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DieseArbeitsmappe" defaultThemeVersion="166925"/>
  <mc:AlternateContent xmlns:mc="http://schemas.openxmlformats.org/markup-compatibility/2006">
    <mc:Choice Requires="x15">
      <x15ac:absPath xmlns:x15ac="http://schemas.microsoft.com/office/spreadsheetml/2010/11/ac" url="D:\Brettspiele\Kennerliga\Ergebnisse\2022\"/>
    </mc:Choice>
  </mc:AlternateContent>
  <xr:revisionPtr revIDLastSave="0" documentId="13_ncr:1_{27D8FFEC-08CE-4786-91BA-B470522F2884}" xr6:coauthVersionLast="47" xr6:coauthVersionMax="47" xr10:uidLastSave="{00000000-0000-0000-0000-000000000000}"/>
  <bookViews>
    <workbookView xWindow="28680" yWindow="-120" windowWidth="29040" windowHeight="17640" activeTab="8" xr2:uid="{A5CF4CB2-0776-4D4B-B42C-99A1174DCE17}"/>
  </bookViews>
  <sheets>
    <sheet name="2022_S1" sheetId="11" r:id="rId1"/>
    <sheet name="2022_S2" sheetId="13" r:id="rId2"/>
    <sheet name="2022_S3" sheetId="12" r:id="rId3"/>
    <sheet name="2022_S4" sheetId="15" r:id="rId4"/>
    <sheet name="2022_S5" sheetId="16" r:id="rId5"/>
    <sheet name="2022_S6" sheetId="17" r:id="rId6"/>
    <sheet name="2022_S7" sheetId="18" r:id="rId7"/>
    <sheet name="2022_S8" sheetId="19" r:id="rId8"/>
    <sheet name="2022_S9" sheetId="20" r:id="rId9"/>
    <sheet name="2022_GESAMTWERTUNG" sheetId="8" r:id="rId10"/>
    <sheet name="Definitionen" sheetId="14" r:id="rId1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127" i="20" l="1"/>
  <c r="N125" i="20"/>
  <c r="E178" i="19"/>
  <c r="F127" i="20"/>
  <c r="J127" i="20" s="1"/>
  <c r="F126" i="20"/>
  <c r="J126" i="20" s="1"/>
  <c r="F125" i="20"/>
  <c r="J125" i="20" s="1"/>
  <c r="R120" i="20"/>
  <c r="J120" i="20"/>
  <c r="L117" i="20" s="1"/>
  <c r="Q119" i="20"/>
  <c r="P119" i="20"/>
  <c r="O119" i="20"/>
  <c r="Q118" i="20"/>
  <c r="P118" i="20"/>
  <c r="O118" i="20"/>
  <c r="Q117" i="20"/>
  <c r="P117" i="20"/>
  <c r="O117" i="20"/>
  <c r="E115" i="20"/>
  <c r="R112" i="20"/>
  <c r="J112" i="20"/>
  <c r="L111" i="20" s="1"/>
  <c r="Q111" i="20"/>
  <c r="P111" i="20"/>
  <c r="O111" i="20"/>
  <c r="Q110" i="20"/>
  <c r="P110" i="20"/>
  <c r="O110" i="20"/>
  <c r="Q109" i="20"/>
  <c r="P109" i="20"/>
  <c r="O109" i="20"/>
  <c r="E107" i="20"/>
  <c r="R104" i="20"/>
  <c r="J104" i="20"/>
  <c r="L102" i="20" s="1"/>
  <c r="Q103" i="20"/>
  <c r="P103" i="20"/>
  <c r="O103" i="20"/>
  <c r="Q102" i="20"/>
  <c r="P102" i="20"/>
  <c r="O102" i="20"/>
  <c r="Q101" i="20"/>
  <c r="P101" i="20"/>
  <c r="O101" i="20"/>
  <c r="E99" i="20"/>
  <c r="K13" i="19"/>
  <c r="K14" i="19"/>
  <c r="K15" i="19"/>
  <c r="F82" i="20"/>
  <c r="J82" i="20" s="1"/>
  <c r="F81" i="20"/>
  <c r="J81" i="20" s="1"/>
  <c r="F80" i="20"/>
  <c r="J80" i="20" s="1"/>
  <c r="F79" i="20"/>
  <c r="J79" i="20" s="1"/>
  <c r="J74" i="20"/>
  <c r="L73" i="20" s="1"/>
  <c r="R73" i="20"/>
  <c r="Q73" i="20"/>
  <c r="P73" i="20"/>
  <c r="O73" i="20"/>
  <c r="R72" i="20"/>
  <c r="Q72" i="20"/>
  <c r="P72" i="20"/>
  <c r="O72" i="20"/>
  <c r="R71" i="20"/>
  <c r="Q71" i="20"/>
  <c r="P71" i="20"/>
  <c r="O71" i="20"/>
  <c r="R70" i="20"/>
  <c r="Q70" i="20"/>
  <c r="P70" i="20"/>
  <c r="O70" i="20"/>
  <c r="E68" i="20"/>
  <c r="J65" i="20"/>
  <c r="R64" i="20"/>
  <c r="Q64" i="20"/>
  <c r="P64" i="20"/>
  <c r="O64" i="20"/>
  <c r="R63" i="20"/>
  <c r="Q63" i="20"/>
  <c r="P63" i="20"/>
  <c r="O63" i="20"/>
  <c r="R62" i="20"/>
  <c r="Q62" i="20"/>
  <c r="P62" i="20"/>
  <c r="O62" i="20"/>
  <c r="R61" i="20"/>
  <c r="Q61" i="20"/>
  <c r="P61" i="20"/>
  <c r="O61" i="20"/>
  <c r="E59" i="20"/>
  <c r="J56" i="20"/>
  <c r="L53" i="20" s="1"/>
  <c r="R55" i="20"/>
  <c r="Q55" i="20"/>
  <c r="P55" i="20"/>
  <c r="O55" i="20"/>
  <c r="R54" i="20"/>
  <c r="Q54" i="20"/>
  <c r="P54" i="20"/>
  <c r="O54" i="20"/>
  <c r="R53" i="20"/>
  <c r="Q53" i="20"/>
  <c r="P53" i="20"/>
  <c r="O53" i="20"/>
  <c r="R52" i="20"/>
  <c r="Q52" i="20"/>
  <c r="P52" i="20"/>
  <c r="O52" i="20"/>
  <c r="E50" i="20"/>
  <c r="J47" i="20"/>
  <c r="L43" i="20" s="1"/>
  <c r="R46" i="20"/>
  <c r="Q46" i="20"/>
  <c r="P46" i="20"/>
  <c r="O46" i="20"/>
  <c r="R45" i="20"/>
  <c r="Q45" i="20"/>
  <c r="P45" i="20"/>
  <c r="O45" i="20"/>
  <c r="R44" i="20"/>
  <c r="Q44" i="20"/>
  <c r="P44" i="20"/>
  <c r="O44" i="20"/>
  <c r="R43" i="20"/>
  <c r="Q43" i="20"/>
  <c r="P43" i="20"/>
  <c r="O43" i="20"/>
  <c r="E41" i="20"/>
  <c r="M13" i="20"/>
  <c r="K12" i="20"/>
  <c r="K11" i="20"/>
  <c r="K10" i="20"/>
  <c r="K9" i="20"/>
  <c r="K8" i="20"/>
  <c r="K7" i="20"/>
  <c r="K6" i="20"/>
  <c r="G195" i="19"/>
  <c r="K195" i="19" s="1"/>
  <c r="G194" i="19"/>
  <c r="K194" i="19" s="1"/>
  <c r="J189" i="19"/>
  <c r="L187" i="19" s="1"/>
  <c r="P188" i="19"/>
  <c r="O188" i="19"/>
  <c r="P187" i="19"/>
  <c r="O187" i="19"/>
  <c r="E185" i="19"/>
  <c r="J182" i="19"/>
  <c r="L181" i="19" s="1"/>
  <c r="P181" i="19"/>
  <c r="O181" i="19"/>
  <c r="P180" i="19"/>
  <c r="O180" i="19"/>
  <c r="J175" i="19"/>
  <c r="L174" i="19" s="1"/>
  <c r="P174" i="19"/>
  <c r="O174" i="19"/>
  <c r="P173" i="19"/>
  <c r="O173" i="19"/>
  <c r="E171" i="19"/>
  <c r="J168" i="19"/>
  <c r="L166" i="19" s="1"/>
  <c r="P167" i="19"/>
  <c r="O167" i="19"/>
  <c r="P166" i="19"/>
  <c r="O166" i="19"/>
  <c r="E164" i="19"/>
  <c r="F142" i="19"/>
  <c r="J142" i="19" s="1"/>
  <c r="F141" i="19"/>
  <c r="J141" i="19" s="1"/>
  <c r="F140" i="19"/>
  <c r="J140" i="19" s="1"/>
  <c r="F139" i="19"/>
  <c r="J139" i="19" s="1"/>
  <c r="J134" i="19"/>
  <c r="L133" i="19" s="1"/>
  <c r="R133" i="19"/>
  <c r="Q133" i="19"/>
  <c r="P133" i="19"/>
  <c r="O133" i="19"/>
  <c r="R132" i="19"/>
  <c r="Q132" i="19"/>
  <c r="P132" i="19"/>
  <c r="O132" i="19"/>
  <c r="R131" i="19"/>
  <c r="Q131" i="19"/>
  <c r="P131" i="19"/>
  <c r="O131" i="19"/>
  <c r="R130" i="19"/>
  <c r="Q130" i="19"/>
  <c r="P130" i="19"/>
  <c r="O130" i="19"/>
  <c r="E128" i="19"/>
  <c r="J125" i="19"/>
  <c r="R124" i="19"/>
  <c r="Q124" i="19"/>
  <c r="P124" i="19"/>
  <c r="O124" i="19"/>
  <c r="R123" i="19"/>
  <c r="Q123" i="19"/>
  <c r="P123" i="19"/>
  <c r="O123" i="19"/>
  <c r="R122" i="19"/>
  <c r="Q122" i="19"/>
  <c r="P122" i="19"/>
  <c r="O122" i="19"/>
  <c r="R121" i="19"/>
  <c r="Q121" i="19"/>
  <c r="P121" i="19"/>
  <c r="O121" i="19"/>
  <c r="E119" i="19"/>
  <c r="J116" i="19"/>
  <c r="L113" i="19" s="1"/>
  <c r="R115" i="19"/>
  <c r="Q115" i="19"/>
  <c r="P115" i="19"/>
  <c r="O115" i="19"/>
  <c r="R114" i="19"/>
  <c r="Q114" i="19"/>
  <c r="P114" i="19"/>
  <c r="O114" i="19"/>
  <c r="R113" i="19"/>
  <c r="Q113" i="19"/>
  <c r="P113" i="19"/>
  <c r="O113" i="19"/>
  <c r="R112" i="19"/>
  <c r="Q112" i="19"/>
  <c r="P112" i="19"/>
  <c r="O112" i="19"/>
  <c r="E110" i="19"/>
  <c r="J107" i="19"/>
  <c r="L105" i="19" s="1"/>
  <c r="R106" i="19"/>
  <c r="Q106" i="19"/>
  <c r="P106" i="19"/>
  <c r="O106" i="19"/>
  <c r="R105" i="19"/>
  <c r="Q105" i="19"/>
  <c r="P105" i="19"/>
  <c r="O105" i="19"/>
  <c r="R104" i="19"/>
  <c r="Q104" i="19"/>
  <c r="P104" i="19"/>
  <c r="O104" i="19"/>
  <c r="R103" i="19"/>
  <c r="Q103" i="19"/>
  <c r="P103" i="19"/>
  <c r="O103" i="19"/>
  <c r="E101" i="19"/>
  <c r="F77" i="19"/>
  <c r="J77" i="19" s="1"/>
  <c r="F76" i="19"/>
  <c r="J76" i="19" s="1"/>
  <c r="F75" i="19"/>
  <c r="J75" i="19" s="1"/>
  <c r="F74" i="19"/>
  <c r="J74" i="19" s="1"/>
  <c r="J69" i="19"/>
  <c r="L68" i="19" s="1"/>
  <c r="R68" i="19"/>
  <c r="Q68" i="19"/>
  <c r="P68" i="19"/>
  <c r="O68" i="19"/>
  <c r="R67" i="19"/>
  <c r="Q67" i="19"/>
  <c r="P67" i="19"/>
  <c r="O67" i="19"/>
  <c r="R66" i="19"/>
  <c r="Q66" i="19"/>
  <c r="P66" i="19"/>
  <c r="O66" i="19"/>
  <c r="R65" i="19"/>
  <c r="Q65" i="19"/>
  <c r="P65" i="19"/>
  <c r="O65" i="19"/>
  <c r="E63" i="19"/>
  <c r="J60" i="19"/>
  <c r="L56" i="19" s="1"/>
  <c r="R59" i="19"/>
  <c r="Q59" i="19"/>
  <c r="P59" i="19"/>
  <c r="O59" i="19"/>
  <c r="R58" i="19"/>
  <c r="Q58" i="19"/>
  <c r="P58" i="19"/>
  <c r="O58" i="19"/>
  <c r="R57" i="19"/>
  <c r="Q57" i="19"/>
  <c r="P57" i="19"/>
  <c r="O57" i="19"/>
  <c r="R56" i="19"/>
  <c r="Q56" i="19"/>
  <c r="P56" i="19"/>
  <c r="O56" i="19"/>
  <c r="E54" i="19"/>
  <c r="J51" i="19"/>
  <c r="L49" i="19" s="1"/>
  <c r="R50" i="19"/>
  <c r="Q50" i="19"/>
  <c r="P50" i="19"/>
  <c r="O50" i="19"/>
  <c r="R49" i="19"/>
  <c r="Q49" i="19"/>
  <c r="P49" i="19"/>
  <c r="O49" i="19"/>
  <c r="R48" i="19"/>
  <c r="Q48" i="19"/>
  <c r="P48" i="19"/>
  <c r="O48" i="19"/>
  <c r="R47" i="19"/>
  <c r="Q47" i="19"/>
  <c r="P47" i="19"/>
  <c r="O47" i="19"/>
  <c r="E45" i="19"/>
  <c r="J42" i="19"/>
  <c r="L38" i="19" s="1"/>
  <c r="R41" i="19"/>
  <c r="Q41" i="19"/>
  <c r="P41" i="19"/>
  <c r="O41" i="19"/>
  <c r="R40" i="19"/>
  <c r="Q40" i="19"/>
  <c r="P40" i="19"/>
  <c r="O40" i="19"/>
  <c r="R39" i="19"/>
  <c r="Q39" i="19"/>
  <c r="P39" i="19"/>
  <c r="O39" i="19"/>
  <c r="R38" i="19"/>
  <c r="Q38" i="19"/>
  <c r="P38" i="19"/>
  <c r="O38" i="19"/>
  <c r="E36" i="19"/>
  <c r="M16" i="19"/>
  <c r="K12" i="19"/>
  <c r="K11" i="19"/>
  <c r="K10" i="19"/>
  <c r="K9" i="19"/>
  <c r="K8" i="19"/>
  <c r="K7" i="19"/>
  <c r="K6" i="19"/>
  <c r="S141" i="18"/>
  <c r="L122" i="18"/>
  <c r="L123" i="18"/>
  <c r="S143" i="18" s="1"/>
  <c r="L124" i="18"/>
  <c r="S140" i="18"/>
  <c r="F143" i="18"/>
  <c r="J143" i="18" s="1"/>
  <c r="S142" i="18"/>
  <c r="F142" i="18"/>
  <c r="J142" i="18" s="1"/>
  <c r="L181" i="18"/>
  <c r="L180" i="18"/>
  <c r="E185" i="18"/>
  <c r="E178" i="18"/>
  <c r="E171" i="18"/>
  <c r="G202" i="18"/>
  <c r="K202" i="18" s="1"/>
  <c r="G201" i="18"/>
  <c r="K201" i="18" s="1"/>
  <c r="J196" i="18"/>
  <c r="L195" i="18" s="1"/>
  <c r="P195" i="18"/>
  <c r="O195" i="18"/>
  <c r="P194" i="18"/>
  <c r="O194" i="18"/>
  <c r="E192" i="18"/>
  <c r="J189" i="18"/>
  <c r="L188" i="18" s="1"/>
  <c r="P188" i="18"/>
  <c r="O188" i="18"/>
  <c r="P187" i="18"/>
  <c r="O187" i="18"/>
  <c r="J182" i="18"/>
  <c r="P181" i="18"/>
  <c r="O181" i="18"/>
  <c r="P180" i="18"/>
  <c r="O180" i="18"/>
  <c r="J175" i="18"/>
  <c r="L173" i="18" s="1"/>
  <c r="P174" i="18"/>
  <c r="O174" i="18"/>
  <c r="P173" i="18"/>
  <c r="O173" i="18"/>
  <c r="F141" i="18"/>
  <c r="J141" i="18" s="1"/>
  <c r="F140" i="18"/>
  <c r="J140" i="18" s="1"/>
  <c r="J135" i="18"/>
  <c r="L133" i="18" s="1"/>
  <c r="R134" i="18"/>
  <c r="Q134" i="18"/>
  <c r="P134" i="18"/>
  <c r="O134" i="18"/>
  <c r="R133" i="18"/>
  <c r="Q133" i="18"/>
  <c r="P133" i="18"/>
  <c r="O133" i="18"/>
  <c r="R132" i="18"/>
  <c r="Q132" i="18"/>
  <c r="P132" i="18"/>
  <c r="O132" i="18"/>
  <c r="R131" i="18"/>
  <c r="Q131" i="18"/>
  <c r="P131" i="18"/>
  <c r="O131" i="18"/>
  <c r="E129" i="18"/>
  <c r="J126" i="18"/>
  <c r="R125" i="18"/>
  <c r="Q125" i="18"/>
  <c r="P125" i="18"/>
  <c r="O125" i="18"/>
  <c r="R124" i="18"/>
  <c r="Q124" i="18"/>
  <c r="P124" i="18"/>
  <c r="O124" i="18"/>
  <c r="R123" i="18"/>
  <c r="Q123" i="18"/>
  <c r="P123" i="18"/>
  <c r="O123" i="18"/>
  <c r="R122" i="18"/>
  <c r="Q122" i="18"/>
  <c r="P122" i="18"/>
  <c r="O122" i="18"/>
  <c r="E120" i="18"/>
  <c r="J117" i="18"/>
  <c r="L115" i="18" s="1"/>
  <c r="R116" i="18"/>
  <c r="Q116" i="18"/>
  <c r="P116" i="18"/>
  <c r="O116" i="18"/>
  <c r="R115" i="18"/>
  <c r="Q115" i="18"/>
  <c r="P115" i="18"/>
  <c r="O115" i="18"/>
  <c r="R114" i="18"/>
  <c r="Q114" i="18"/>
  <c r="P114" i="18"/>
  <c r="O114" i="18"/>
  <c r="R113" i="18"/>
  <c r="Q113" i="18"/>
  <c r="P113" i="18"/>
  <c r="O113" i="18"/>
  <c r="E111" i="18"/>
  <c r="J108" i="18"/>
  <c r="L104" i="18" s="1"/>
  <c r="R107" i="18"/>
  <c r="Q107" i="18"/>
  <c r="P107" i="18"/>
  <c r="O107" i="18"/>
  <c r="R106" i="18"/>
  <c r="Q106" i="18"/>
  <c r="P106" i="18"/>
  <c r="O106" i="18"/>
  <c r="R105" i="18"/>
  <c r="Q105" i="18"/>
  <c r="P105" i="18"/>
  <c r="O105" i="18"/>
  <c r="R104" i="18"/>
  <c r="Q104" i="18"/>
  <c r="P104" i="18"/>
  <c r="O104" i="18"/>
  <c r="E102" i="18"/>
  <c r="F79" i="18"/>
  <c r="J79" i="18" s="1"/>
  <c r="F78" i="18"/>
  <c r="J78" i="18" s="1"/>
  <c r="F77" i="18"/>
  <c r="J77" i="18" s="1"/>
  <c r="F76" i="18"/>
  <c r="J76" i="18" s="1"/>
  <c r="J71" i="18"/>
  <c r="L70" i="18" s="1"/>
  <c r="R70" i="18"/>
  <c r="Q70" i="18"/>
  <c r="P70" i="18"/>
  <c r="O70" i="18"/>
  <c r="R69" i="18"/>
  <c r="Q69" i="18"/>
  <c r="P69" i="18"/>
  <c r="O69" i="18"/>
  <c r="R68" i="18"/>
  <c r="Q68" i="18"/>
  <c r="P68" i="18"/>
  <c r="O68" i="18"/>
  <c r="R67" i="18"/>
  <c r="Q67" i="18"/>
  <c r="P67" i="18"/>
  <c r="O67" i="18"/>
  <c r="E65" i="18"/>
  <c r="J62" i="18"/>
  <c r="L58" i="18" s="1"/>
  <c r="R61" i="18"/>
  <c r="Q61" i="18"/>
  <c r="P61" i="18"/>
  <c r="O61" i="18"/>
  <c r="R60" i="18"/>
  <c r="Q60" i="18"/>
  <c r="P60" i="18"/>
  <c r="O60" i="18"/>
  <c r="R59" i="18"/>
  <c r="Q59" i="18"/>
  <c r="P59" i="18"/>
  <c r="O59" i="18"/>
  <c r="R58" i="18"/>
  <c r="Q58" i="18"/>
  <c r="P58" i="18"/>
  <c r="O58" i="18"/>
  <c r="E56" i="18"/>
  <c r="J53" i="18"/>
  <c r="L49" i="18" s="1"/>
  <c r="R52" i="18"/>
  <c r="Q52" i="18"/>
  <c r="P52" i="18"/>
  <c r="O52" i="18"/>
  <c r="R51" i="18"/>
  <c r="Q51" i="18"/>
  <c r="P51" i="18"/>
  <c r="O51" i="18"/>
  <c r="R50" i="18"/>
  <c r="Q50" i="18"/>
  <c r="P50" i="18"/>
  <c r="O50" i="18"/>
  <c r="R49" i="18"/>
  <c r="Q49" i="18"/>
  <c r="P49" i="18"/>
  <c r="O49" i="18"/>
  <c r="E47" i="18"/>
  <c r="J44" i="18"/>
  <c r="L40" i="18" s="1"/>
  <c r="R43" i="18"/>
  <c r="Q43" i="18"/>
  <c r="P43" i="18"/>
  <c r="O43" i="18"/>
  <c r="R42" i="18"/>
  <c r="Q42" i="18"/>
  <c r="P42" i="18"/>
  <c r="O42" i="18"/>
  <c r="R41" i="18"/>
  <c r="Q41" i="18"/>
  <c r="P41" i="18"/>
  <c r="O41" i="18"/>
  <c r="R40" i="18"/>
  <c r="Q40" i="18"/>
  <c r="P40" i="18"/>
  <c r="O40" i="18"/>
  <c r="E38" i="18"/>
  <c r="M16" i="18"/>
  <c r="K15" i="18"/>
  <c r="K14" i="18"/>
  <c r="K13" i="18"/>
  <c r="K12" i="18"/>
  <c r="K11" i="18"/>
  <c r="K10" i="18"/>
  <c r="K9" i="18"/>
  <c r="K8" i="18"/>
  <c r="K7" i="18"/>
  <c r="K6" i="18"/>
  <c r="G190" i="17"/>
  <c r="K190" i="17" s="1"/>
  <c r="G189" i="17"/>
  <c r="K189" i="17" s="1"/>
  <c r="J184" i="17"/>
  <c r="L183" i="17" s="1"/>
  <c r="P183" i="17"/>
  <c r="O183" i="17"/>
  <c r="P182" i="17"/>
  <c r="O182" i="17"/>
  <c r="E180" i="17"/>
  <c r="J177" i="17"/>
  <c r="L176" i="17" s="1"/>
  <c r="P176" i="17"/>
  <c r="O176" i="17"/>
  <c r="P175" i="17"/>
  <c r="O175" i="17"/>
  <c r="E173" i="17"/>
  <c r="J170" i="17"/>
  <c r="L168" i="17" s="1"/>
  <c r="P169" i="17"/>
  <c r="O169" i="17"/>
  <c r="P168" i="17"/>
  <c r="O168" i="17"/>
  <c r="E166" i="17"/>
  <c r="J163" i="17"/>
  <c r="L162" i="17" s="1"/>
  <c r="P162" i="17"/>
  <c r="O162" i="17"/>
  <c r="P161" i="17"/>
  <c r="O161" i="17"/>
  <c r="E159" i="17"/>
  <c r="E116" i="17"/>
  <c r="L67" i="17"/>
  <c r="L68" i="17"/>
  <c r="L69" i="17"/>
  <c r="L66" i="17"/>
  <c r="J70" i="17"/>
  <c r="E64" i="17"/>
  <c r="M16" i="17"/>
  <c r="K14" i="17"/>
  <c r="K15" i="17"/>
  <c r="F139" i="17"/>
  <c r="J139" i="17" s="1"/>
  <c r="F138" i="17"/>
  <c r="J138" i="17" s="1"/>
  <c r="F137" i="17"/>
  <c r="J137" i="17" s="1"/>
  <c r="F136" i="17"/>
  <c r="J136" i="17" s="1"/>
  <c r="J131" i="17"/>
  <c r="L127" i="17" s="1"/>
  <c r="R130" i="17"/>
  <c r="Q130" i="17"/>
  <c r="P130" i="17"/>
  <c r="O130" i="17"/>
  <c r="R129" i="17"/>
  <c r="Q129" i="17"/>
  <c r="P129" i="17"/>
  <c r="O129" i="17"/>
  <c r="R128" i="17"/>
  <c r="Q128" i="17"/>
  <c r="P128" i="17"/>
  <c r="O128" i="17"/>
  <c r="R127" i="17"/>
  <c r="Q127" i="17"/>
  <c r="P127" i="17"/>
  <c r="O127" i="17"/>
  <c r="E125" i="17"/>
  <c r="J122" i="17"/>
  <c r="L120" i="17" s="1"/>
  <c r="R121" i="17"/>
  <c r="Q121" i="17"/>
  <c r="P121" i="17"/>
  <c r="O121" i="17"/>
  <c r="R120" i="17"/>
  <c r="Q120" i="17"/>
  <c r="P120" i="17"/>
  <c r="O120" i="17"/>
  <c r="R119" i="17"/>
  <c r="Q119" i="17"/>
  <c r="P119" i="17"/>
  <c r="O119" i="17"/>
  <c r="R118" i="17"/>
  <c r="Q118" i="17"/>
  <c r="P118" i="17"/>
  <c r="O118" i="17"/>
  <c r="J113" i="17"/>
  <c r="L110" i="17" s="1"/>
  <c r="R112" i="17"/>
  <c r="Q112" i="17"/>
  <c r="P112" i="17"/>
  <c r="O112" i="17"/>
  <c r="R111" i="17"/>
  <c r="Q111" i="17"/>
  <c r="P111" i="17"/>
  <c r="O111" i="17"/>
  <c r="R110" i="17"/>
  <c r="Q110" i="17"/>
  <c r="P110" i="17"/>
  <c r="O110" i="17"/>
  <c r="R109" i="17"/>
  <c r="Q109" i="17"/>
  <c r="P109" i="17"/>
  <c r="O109" i="17"/>
  <c r="E107" i="17"/>
  <c r="J104" i="17"/>
  <c r="L100" i="17" s="1"/>
  <c r="R103" i="17"/>
  <c r="Q103" i="17"/>
  <c r="P103" i="17"/>
  <c r="O103" i="17"/>
  <c r="R102" i="17"/>
  <c r="Q102" i="17"/>
  <c r="P102" i="17"/>
  <c r="O102" i="17"/>
  <c r="R101" i="17"/>
  <c r="Q101" i="17"/>
  <c r="P101" i="17"/>
  <c r="O101" i="17"/>
  <c r="R100" i="17"/>
  <c r="Q100" i="17"/>
  <c r="P100" i="17"/>
  <c r="O100" i="17"/>
  <c r="E98" i="17"/>
  <c r="F78" i="17"/>
  <c r="J78" i="17" s="1"/>
  <c r="F77" i="17"/>
  <c r="J77" i="17" s="1"/>
  <c r="F76" i="17"/>
  <c r="J76" i="17" s="1"/>
  <c r="F75" i="17"/>
  <c r="J75" i="17" s="1"/>
  <c r="R69" i="17"/>
  <c r="Q69" i="17"/>
  <c r="P69" i="17"/>
  <c r="O69" i="17"/>
  <c r="R68" i="17"/>
  <c r="Q68" i="17"/>
  <c r="P68" i="17"/>
  <c r="O68" i="17"/>
  <c r="R67" i="17"/>
  <c r="Q67" i="17"/>
  <c r="P67" i="17"/>
  <c r="O67" i="17"/>
  <c r="R66" i="17"/>
  <c r="Q66" i="17"/>
  <c r="P66" i="17"/>
  <c r="O66" i="17"/>
  <c r="J61" i="17"/>
  <c r="L60" i="17" s="1"/>
  <c r="R60" i="17"/>
  <c r="Q60" i="17"/>
  <c r="P60" i="17"/>
  <c r="O60" i="17"/>
  <c r="R59" i="17"/>
  <c r="Q59" i="17"/>
  <c r="P59" i="17"/>
  <c r="O59" i="17"/>
  <c r="R58" i="17"/>
  <c r="Q58" i="17"/>
  <c r="P58" i="17"/>
  <c r="O58" i="17"/>
  <c r="R57" i="17"/>
  <c r="Q57" i="17"/>
  <c r="P57" i="17"/>
  <c r="O57" i="17"/>
  <c r="E55" i="17"/>
  <c r="J52" i="17"/>
  <c r="L51" i="17" s="1"/>
  <c r="R51" i="17"/>
  <c r="Q51" i="17"/>
  <c r="P51" i="17"/>
  <c r="O51" i="17"/>
  <c r="R50" i="17"/>
  <c r="Q50" i="17"/>
  <c r="P50" i="17"/>
  <c r="O50" i="17"/>
  <c r="R49" i="17"/>
  <c r="Q49" i="17"/>
  <c r="P49" i="17"/>
  <c r="O49" i="17"/>
  <c r="R48" i="17"/>
  <c r="Q48" i="17"/>
  <c r="P48" i="17"/>
  <c r="O48" i="17"/>
  <c r="E46" i="17"/>
  <c r="J43" i="17"/>
  <c r="L40" i="17" s="1"/>
  <c r="R42" i="17"/>
  <c r="Q42" i="17"/>
  <c r="P42" i="17"/>
  <c r="O42" i="17"/>
  <c r="R41" i="17"/>
  <c r="Q41" i="17"/>
  <c r="P41" i="17"/>
  <c r="O41" i="17"/>
  <c r="R40" i="17"/>
  <c r="Q40" i="17"/>
  <c r="P40" i="17"/>
  <c r="O40" i="17"/>
  <c r="R39" i="17"/>
  <c r="Q39" i="17"/>
  <c r="P39" i="17"/>
  <c r="O39" i="17"/>
  <c r="E37" i="17"/>
  <c r="K13" i="17"/>
  <c r="K12" i="17"/>
  <c r="K11" i="17"/>
  <c r="K10" i="17"/>
  <c r="K9" i="17"/>
  <c r="K8" i="17"/>
  <c r="K7" i="17"/>
  <c r="K6" i="17"/>
  <c r="S137" i="16"/>
  <c r="S138" i="16"/>
  <c r="F138" i="16"/>
  <c r="J138" i="16" s="1"/>
  <c r="F137" i="16"/>
  <c r="J137" i="16" s="1"/>
  <c r="S79" i="16"/>
  <c r="S78" i="16"/>
  <c r="S77" i="16"/>
  <c r="S76" i="16"/>
  <c r="F135" i="16"/>
  <c r="S136" i="16"/>
  <c r="S135" i="16"/>
  <c r="L102" i="16"/>
  <c r="F136" i="16"/>
  <c r="J136" i="16" s="1"/>
  <c r="J135" i="16"/>
  <c r="J130" i="16"/>
  <c r="L129" i="16" s="1"/>
  <c r="R129" i="16"/>
  <c r="Q129" i="16"/>
  <c r="P129" i="16"/>
  <c r="O129" i="16"/>
  <c r="R128" i="16"/>
  <c r="Q128" i="16"/>
  <c r="P128" i="16"/>
  <c r="O128" i="16"/>
  <c r="R127" i="16"/>
  <c r="Q127" i="16"/>
  <c r="P127" i="16"/>
  <c r="O127" i="16"/>
  <c r="R126" i="16"/>
  <c r="Q126" i="16"/>
  <c r="P126" i="16"/>
  <c r="O126" i="16"/>
  <c r="E124" i="16"/>
  <c r="J121" i="16"/>
  <c r="L119" i="16" s="1"/>
  <c r="R120" i="16"/>
  <c r="Q120" i="16"/>
  <c r="P120" i="16"/>
  <c r="O120" i="16"/>
  <c r="R119" i="16"/>
  <c r="Q119" i="16"/>
  <c r="P119" i="16"/>
  <c r="O119" i="16"/>
  <c r="R118" i="16"/>
  <c r="Q118" i="16"/>
  <c r="P118" i="16"/>
  <c r="O118" i="16"/>
  <c r="R117" i="16"/>
  <c r="Q117" i="16"/>
  <c r="P117" i="16"/>
  <c r="O117" i="16"/>
  <c r="E115" i="16"/>
  <c r="J112" i="16"/>
  <c r="L111" i="16" s="1"/>
  <c r="R111" i="16"/>
  <c r="Q111" i="16"/>
  <c r="P111" i="16"/>
  <c r="O111" i="16"/>
  <c r="R110" i="16"/>
  <c r="Q110" i="16"/>
  <c r="P110" i="16"/>
  <c r="O110" i="16"/>
  <c r="R109" i="16"/>
  <c r="Q109" i="16"/>
  <c r="P109" i="16"/>
  <c r="O109" i="16"/>
  <c r="R108" i="16"/>
  <c r="Q108" i="16"/>
  <c r="P108" i="16"/>
  <c r="O108" i="16"/>
  <c r="E106" i="16"/>
  <c r="J103" i="16"/>
  <c r="L99" i="16" s="1"/>
  <c r="R102" i="16"/>
  <c r="Q102" i="16"/>
  <c r="P102" i="16"/>
  <c r="O102" i="16"/>
  <c r="R101" i="16"/>
  <c r="Q101" i="16"/>
  <c r="P101" i="16"/>
  <c r="O101" i="16"/>
  <c r="R100" i="16"/>
  <c r="Q100" i="16"/>
  <c r="P100" i="16"/>
  <c r="O100" i="16"/>
  <c r="R99" i="16"/>
  <c r="Q99" i="16"/>
  <c r="P99" i="16"/>
  <c r="O99" i="16"/>
  <c r="E97" i="16"/>
  <c r="F79" i="16"/>
  <c r="J79" i="16" s="1"/>
  <c r="F78" i="16"/>
  <c r="J78" i="16" s="1"/>
  <c r="F77" i="16"/>
  <c r="J77" i="16" s="1"/>
  <c r="F76" i="16"/>
  <c r="J76" i="16" s="1"/>
  <c r="J71" i="16"/>
  <c r="L67" i="16" s="1"/>
  <c r="R70" i="16"/>
  <c r="Q70" i="16"/>
  <c r="P70" i="16"/>
  <c r="O70" i="16"/>
  <c r="R69" i="16"/>
  <c r="Q69" i="16"/>
  <c r="P69" i="16"/>
  <c r="O69" i="16"/>
  <c r="R68" i="16"/>
  <c r="Q68" i="16"/>
  <c r="P68" i="16"/>
  <c r="O68" i="16"/>
  <c r="R67" i="16"/>
  <c r="Q67" i="16"/>
  <c r="P67" i="16"/>
  <c r="O67" i="16"/>
  <c r="E65" i="16"/>
  <c r="J62" i="16"/>
  <c r="L60" i="16" s="1"/>
  <c r="R61" i="16"/>
  <c r="Q61" i="16"/>
  <c r="P61" i="16"/>
  <c r="O61" i="16"/>
  <c r="R60" i="16"/>
  <c r="Q60" i="16"/>
  <c r="P60" i="16"/>
  <c r="O60" i="16"/>
  <c r="R59" i="16"/>
  <c r="Q59" i="16"/>
  <c r="P59" i="16"/>
  <c r="O59" i="16"/>
  <c r="R58" i="16"/>
  <c r="Q58" i="16"/>
  <c r="P58" i="16"/>
  <c r="O58" i="16"/>
  <c r="E56" i="16"/>
  <c r="J53" i="16"/>
  <c r="L49" i="16" s="1"/>
  <c r="R52" i="16"/>
  <c r="Q52" i="16"/>
  <c r="P52" i="16"/>
  <c r="O52" i="16"/>
  <c r="R51" i="16"/>
  <c r="Q51" i="16"/>
  <c r="P51" i="16"/>
  <c r="O51" i="16"/>
  <c r="R50" i="16"/>
  <c r="Q50" i="16"/>
  <c r="P50" i="16"/>
  <c r="O50" i="16"/>
  <c r="R49" i="16"/>
  <c r="Q49" i="16"/>
  <c r="P49" i="16"/>
  <c r="O49" i="16"/>
  <c r="E47" i="16"/>
  <c r="J44" i="16"/>
  <c r="L40" i="16" s="1"/>
  <c r="R43" i="16"/>
  <c r="Q43" i="16"/>
  <c r="P43" i="16"/>
  <c r="O43" i="16"/>
  <c r="R42" i="16"/>
  <c r="Q42" i="16"/>
  <c r="P42" i="16"/>
  <c r="O42" i="16"/>
  <c r="R41" i="16"/>
  <c r="Q41" i="16"/>
  <c r="P41" i="16"/>
  <c r="O41" i="16"/>
  <c r="R40" i="16"/>
  <c r="Q40" i="16"/>
  <c r="P40" i="16"/>
  <c r="O40" i="16"/>
  <c r="E38" i="16"/>
  <c r="M14" i="16"/>
  <c r="K13" i="16"/>
  <c r="K12" i="16"/>
  <c r="K11" i="16"/>
  <c r="K10" i="16"/>
  <c r="K9" i="16"/>
  <c r="K8" i="16"/>
  <c r="K7" i="16"/>
  <c r="K6" i="16"/>
  <c r="N200" i="15"/>
  <c r="N199" i="15"/>
  <c r="N198" i="15"/>
  <c r="F200" i="15"/>
  <c r="J200" i="15" s="1"/>
  <c r="F199" i="15"/>
  <c r="J199" i="15" s="1"/>
  <c r="F198" i="15"/>
  <c r="J198" i="15" s="1"/>
  <c r="R193" i="15"/>
  <c r="J193" i="15"/>
  <c r="L190" i="15" s="1"/>
  <c r="Q192" i="15"/>
  <c r="P192" i="15"/>
  <c r="O192" i="15"/>
  <c r="Q191" i="15"/>
  <c r="P191" i="15"/>
  <c r="O191" i="15"/>
  <c r="L191" i="15"/>
  <c r="Q190" i="15"/>
  <c r="P190" i="15"/>
  <c r="O190" i="15"/>
  <c r="E188" i="15"/>
  <c r="R185" i="15"/>
  <c r="J185" i="15"/>
  <c r="L183" i="15" s="1"/>
  <c r="Q184" i="15"/>
  <c r="P184" i="15"/>
  <c r="O184" i="15"/>
  <c r="Q183" i="15"/>
  <c r="P183" i="15"/>
  <c r="O183" i="15"/>
  <c r="Q182" i="15"/>
  <c r="P182" i="15"/>
  <c r="O182" i="15"/>
  <c r="E180" i="15"/>
  <c r="R177" i="15"/>
  <c r="J177" i="15"/>
  <c r="L174" i="15" s="1"/>
  <c r="Q176" i="15"/>
  <c r="P176" i="15"/>
  <c r="O176" i="15"/>
  <c r="Q175" i="15"/>
  <c r="P175" i="15"/>
  <c r="O175" i="15"/>
  <c r="Q174" i="15"/>
  <c r="P174" i="15"/>
  <c r="O174" i="15"/>
  <c r="E172" i="15"/>
  <c r="L138" i="15"/>
  <c r="L139" i="15"/>
  <c r="L140" i="15"/>
  <c r="L137" i="15"/>
  <c r="F149" i="15"/>
  <c r="J149" i="15" s="1"/>
  <c r="F148" i="15"/>
  <c r="J148" i="15" s="1"/>
  <c r="F147" i="15"/>
  <c r="J147" i="15" s="1"/>
  <c r="F146" i="15"/>
  <c r="J146" i="15" s="1"/>
  <c r="J141" i="15"/>
  <c r="R140" i="15"/>
  <c r="Q140" i="15"/>
  <c r="P140" i="15"/>
  <c r="O140" i="15"/>
  <c r="R139" i="15"/>
  <c r="Q139" i="15"/>
  <c r="P139" i="15"/>
  <c r="O139" i="15"/>
  <c r="R138" i="15"/>
  <c r="Q138" i="15"/>
  <c r="P138" i="15"/>
  <c r="O138" i="15"/>
  <c r="R137" i="15"/>
  <c r="Q137" i="15"/>
  <c r="P137" i="15"/>
  <c r="O137" i="15"/>
  <c r="E135" i="15"/>
  <c r="J132" i="15"/>
  <c r="L128" i="15" s="1"/>
  <c r="R131" i="15"/>
  <c r="Q131" i="15"/>
  <c r="P131" i="15"/>
  <c r="O131" i="15"/>
  <c r="R130" i="15"/>
  <c r="Q130" i="15"/>
  <c r="P130" i="15"/>
  <c r="O130" i="15"/>
  <c r="R129" i="15"/>
  <c r="Q129" i="15"/>
  <c r="P129" i="15"/>
  <c r="O129" i="15"/>
  <c r="R128" i="15"/>
  <c r="Q128" i="15"/>
  <c r="P128" i="15"/>
  <c r="O128" i="15"/>
  <c r="E126" i="15"/>
  <c r="J123" i="15"/>
  <c r="L120" i="15" s="1"/>
  <c r="R122" i="15"/>
  <c r="Q122" i="15"/>
  <c r="P122" i="15"/>
  <c r="O122" i="15"/>
  <c r="R121" i="15"/>
  <c r="Q121" i="15"/>
  <c r="P121" i="15"/>
  <c r="O121" i="15"/>
  <c r="R120" i="15"/>
  <c r="Q120" i="15"/>
  <c r="P120" i="15"/>
  <c r="O120" i="15"/>
  <c r="R119" i="15"/>
  <c r="Q119" i="15"/>
  <c r="P119" i="15"/>
  <c r="O119" i="15"/>
  <c r="E117" i="15"/>
  <c r="J114" i="15"/>
  <c r="R113" i="15"/>
  <c r="Q113" i="15"/>
  <c r="P113" i="15"/>
  <c r="O113" i="15"/>
  <c r="R112" i="15"/>
  <c r="Q112" i="15"/>
  <c r="P112" i="15"/>
  <c r="O112" i="15"/>
  <c r="R111" i="15"/>
  <c r="Q111" i="15"/>
  <c r="P111" i="15"/>
  <c r="O111" i="15"/>
  <c r="R110" i="15"/>
  <c r="Q110" i="15"/>
  <c r="P110" i="15"/>
  <c r="O110" i="15"/>
  <c r="E108" i="15"/>
  <c r="F78" i="15"/>
  <c r="J78" i="15" s="1"/>
  <c r="F77" i="15"/>
  <c r="J77" i="15" s="1"/>
  <c r="F76" i="15"/>
  <c r="J76" i="15" s="1"/>
  <c r="F75" i="15"/>
  <c r="J75" i="15" s="1"/>
  <c r="J70" i="15"/>
  <c r="L69" i="15" s="1"/>
  <c r="R69" i="15"/>
  <c r="Q69" i="15"/>
  <c r="P69" i="15"/>
  <c r="O69" i="15"/>
  <c r="R68" i="15"/>
  <c r="Q68" i="15"/>
  <c r="P68" i="15"/>
  <c r="O68" i="15"/>
  <c r="R67" i="15"/>
  <c r="Q67" i="15"/>
  <c r="P67" i="15"/>
  <c r="O67" i="15"/>
  <c r="R66" i="15"/>
  <c r="Q66" i="15"/>
  <c r="P66" i="15"/>
  <c r="O66" i="15"/>
  <c r="E64" i="15"/>
  <c r="J61" i="15"/>
  <c r="L59" i="15" s="1"/>
  <c r="R60" i="15"/>
  <c r="Q60" i="15"/>
  <c r="P60" i="15"/>
  <c r="O60" i="15"/>
  <c r="R59" i="15"/>
  <c r="Q59" i="15"/>
  <c r="P59" i="15"/>
  <c r="O59" i="15"/>
  <c r="R58" i="15"/>
  <c r="Q58" i="15"/>
  <c r="P58" i="15"/>
  <c r="O58" i="15"/>
  <c r="R57" i="15"/>
  <c r="Q57" i="15"/>
  <c r="P57" i="15"/>
  <c r="O57" i="15"/>
  <c r="E55" i="15"/>
  <c r="J52" i="15"/>
  <c r="L49" i="15" s="1"/>
  <c r="R51" i="15"/>
  <c r="Q51" i="15"/>
  <c r="P51" i="15"/>
  <c r="O51" i="15"/>
  <c r="R50" i="15"/>
  <c r="Q50" i="15"/>
  <c r="P50" i="15"/>
  <c r="O50" i="15"/>
  <c r="R49" i="15"/>
  <c r="Q49" i="15"/>
  <c r="P49" i="15"/>
  <c r="O49" i="15"/>
  <c r="R48" i="15"/>
  <c r="Q48" i="15"/>
  <c r="P48" i="15"/>
  <c r="O48" i="15"/>
  <c r="E46" i="15"/>
  <c r="J43" i="15"/>
  <c r="L39" i="15" s="1"/>
  <c r="R42" i="15"/>
  <c r="Q42" i="15"/>
  <c r="P42" i="15"/>
  <c r="O42" i="15"/>
  <c r="R41" i="15"/>
  <c r="Q41" i="15"/>
  <c r="P41" i="15"/>
  <c r="O41" i="15"/>
  <c r="R40" i="15"/>
  <c r="Q40" i="15"/>
  <c r="P40" i="15"/>
  <c r="O40" i="15"/>
  <c r="R39" i="15"/>
  <c r="Q39" i="15"/>
  <c r="P39" i="15"/>
  <c r="O39" i="15"/>
  <c r="E37" i="15"/>
  <c r="M17" i="15"/>
  <c r="K16" i="15"/>
  <c r="K15" i="15"/>
  <c r="K14" i="15"/>
  <c r="K13" i="15"/>
  <c r="K12" i="15"/>
  <c r="K11" i="15"/>
  <c r="K10" i="15"/>
  <c r="K9" i="15"/>
  <c r="K8" i="15"/>
  <c r="K7" i="15"/>
  <c r="K6" i="15"/>
  <c r="S154" i="12"/>
  <c r="S153" i="12"/>
  <c r="S152" i="12"/>
  <c r="S151" i="12"/>
  <c r="F152" i="12"/>
  <c r="J152" i="12" s="1"/>
  <c r="F153" i="12"/>
  <c r="J153" i="12" s="1"/>
  <c r="F154" i="12"/>
  <c r="J154" i="12" s="1"/>
  <c r="F151" i="12"/>
  <c r="J151" i="12" s="1"/>
  <c r="L134" i="12"/>
  <c r="L135" i="12"/>
  <c r="L136" i="12"/>
  <c r="L133" i="12"/>
  <c r="S90" i="12"/>
  <c r="S89" i="12"/>
  <c r="S88" i="12"/>
  <c r="S87" i="12"/>
  <c r="F90" i="12"/>
  <c r="J90" i="12" s="1"/>
  <c r="F89" i="12"/>
  <c r="J89" i="12" s="1"/>
  <c r="F88" i="12"/>
  <c r="J88" i="12" s="1"/>
  <c r="F87" i="12"/>
  <c r="J87" i="12" s="1"/>
  <c r="L63" i="12"/>
  <c r="L61" i="12"/>
  <c r="L60" i="12"/>
  <c r="S214" i="12"/>
  <c r="S216" i="12"/>
  <c r="S217" i="12"/>
  <c r="F216" i="12"/>
  <c r="J216" i="12" s="1"/>
  <c r="J217" i="12"/>
  <c r="F217" i="12"/>
  <c r="L181" i="12"/>
  <c r="L179" i="12"/>
  <c r="L178" i="12"/>
  <c r="F215" i="12"/>
  <c r="J215" i="12" s="1"/>
  <c r="F214" i="12"/>
  <c r="J214" i="12" s="1"/>
  <c r="J209" i="12"/>
  <c r="L207" i="12" s="1"/>
  <c r="R208" i="12"/>
  <c r="Q208" i="12"/>
  <c r="P208" i="12"/>
  <c r="O208" i="12"/>
  <c r="R207" i="12"/>
  <c r="Q207" i="12"/>
  <c r="P207" i="12"/>
  <c r="O207" i="12"/>
  <c r="R206" i="12"/>
  <c r="Q206" i="12"/>
  <c r="P206" i="12"/>
  <c r="O206" i="12"/>
  <c r="R205" i="12"/>
  <c r="Q205" i="12"/>
  <c r="P205" i="12"/>
  <c r="O205" i="12"/>
  <c r="E203" i="12"/>
  <c r="J200" i="12"/>
  <c r="L198" i="12" s="1"/>
  <c r="R199" i="12"/>
  <c r="Q199" i="12"/>
  <c r="P199" i="12"/>
  <c r="O199" i="12"/>
  <c r="R198" i="12"/>
  <c r="Q198" i="12"/>
  <c r="P198" i="12"/>
  <c r="O198" i="12"/>
  <c r="R197" i="12"/>
  <c r="Q197" i="12"/>
  <c r="P197" i="12"/>
  <c r="O197" i="12"/>
  <c r="R196" i="12"/>
  <c r="Q196" i="12"/>
  <c r="P196" i="12"/>
  <c r="O196" i="12"/>
  <c r="E194" i="12"/>
  <c r="J191" i="12"/>
  <c r="L188" i="12" s="1"/>
  <c r="R190" i="12"/>
  <c r="Q190" i="12"/>
  <c r="P190" i="12"/>
  <c r="O190" i="12"/>
  <c r="R189" i="12"/>
  <c r="Q189" i="12"/>
  <c r="P189" i="12"/>
  <c r="O189" i="12"/>
  <c r="R188" i="12"/>
  <c r="Q188" i="12"/>
  <c r="P188" i="12"/>
  <c r="O188" i="12"/>
  <c r="R187" i="12"/>
  <c r="Q187" i="12"/>
  <c r="P187" i="12"/>
  <c r="O187" i="12"/>
  <c r="E185" i="12"/>
  <c r="J182" i="12"/>
  <c r="R181" i="12"/>
  <c r="Q181" i="12"/>
  <c r="P181" i="12"/>
  <c r="O181" i="12"/>
  <c r="R180" i="12"/>
  <c r="Q180" i="12"/>
  <c r="P180" i="12"/>
  <c r="O180" i="12"/>
  <c r="R179" i="12"/>
  <c r="Q179" i="12"/>
  <c r="P179" i="12"/>
  <c r="O179" i="12"/>
  <c r="R178" i="12"/>
  <c r="Q178" i="12"/>
  <c r="P178" i="12"/>
  <c r="O178" i="12"/>
  <c r="E176" i="12"/>
  <c r="E235" i="12"/>
  <c r="O237" i="12"/>
  <c r="P237" i="12"/>
  <c r="O238" i="12"/>
  <c r="P238" i="12"/>
  <c r="J239" i="12"/>
  <c r="L237" i="12" s="1"/>
  <c r="E242" i="12"/>
  <c r="O244" i="12"/>
  <c r="P244" i="12"/>
  <c r="O245" i="12"/>
  <c r="P245" i="12"/>
  <c r="J246" i="12"/>
  <c r="L244" i="12" s="1"/>
  <c r="E249" i="12"/>
  <c r="O251" i="12"/>
  <c r="P251" i="12"/>
  <c r="O252" i="12"/>
  <c r="P252" i="12"/>
  <c r="J253" i="12"/>
  <c r="L251" i="12" s="1"/>
  <c r="E256" i="12"/>
  <c r="O258" i="12"/>
  <c r="P258" i="12"/>
  <c r="O259" i="12"/>
  <c r="P259" i="12"/>
  <c r="J260" i="12"/>
  <c r="L259" i="12" s="1"/>
  <c r="G265" i="12"/>
  <c r="K265" i="12" s="1"/>
  <c r="G266" i="12"/>
  <c r="K266" i="12" s="1"/>
  <c r="L116" i="11"/>
  <c r="L115" i="11"/>
  <c r="L114" i="11"/>
  <c r="G247" i="13"/>
  <c r="K247" i="13" s="1"/>
  <c r="K246" i="13"/>
  <c r="G246" i="13"/>
  <c r="J241" i="13"/>
  <c r="L240" i="13" s="1"/>
  <c r="P240" i="13"/>
  <c r="O240" i="13"/>
  <c r="P239" i="13"/>
  <c r="P241" i="13" s="1"/>
  <c r="O239" i="13"/>
  <c r="O241" i="13" s="1"/>
  <c r="E237" i="13"/>
  <c r="J234" i="13"/>
  <c r="L233" i="13" s="1"/>
  <c r="P233" i="13"/>
  <c r="O233" i="13"/>
  <c r="O234" i="13" s="1"/>
  <c r="P232" i="13"/>
  <c r="P234" i="13" s="1"/>
  <c r="O232" i="13"/>
  <c r="E230" i="13"/>
  <c r="O227" i="13"/>
  <c r="J227" i="13"/>
  <c r="L225" i="13" s="1"/>
  <c r="P226" i="13"/>
  <c r="O226" i="13"/>
  <c r="P225" i="13"/>
  <c r="P227" i="13" s="1"/>
  <c r="O225" i="13"/>
  <c r="E223" i="13"/>
  <c r="P220" i="13"/>
  <c r="J220" i="13"/>
  <c r="L219" i="13" s="1"/>
  <c r="P219" i="13"/>
  <c r="O219" i="13"/>
  <c r="P218" i="13"/>
  <c r="O218" i="13"/>
  <c r="O220" i="13" s="1"/>
  <c r="L218" i="13"/>
  <c r="E216" i="13"/>
  <c r="F196" i="13"/>
  <c r="J196" i="13" s="1"/>
  <c r="F195" i="13"/>
  <c r="J195" i="13" s="1"/>
  <c r="F194" i="13"/>
  <c r="J194" i="13" s="1"/>
  <c r="R189" i="13"/>
  <c r="J189" i="13"/>
  <c r="L186" i="13" s="1"/>
  <c r="Q188" i="13"/>
  <c r="P188" i="13"/>
  <c r="O188" i="13"/>
  <c r="Q187" i="13"/>
  <c r="P187" i="13"/>
  <c r="P189" i="13" s="1"/>
  <c r="O187" i="13"/>
  <c r="L187" i="13"/>
  <c r="Q186" i="13"/>
  <c r="Q189" i="13" s="1"/>
  <c r="P186" i="13"/>
  <c r="O186" i="13"/>
  <c r="O189" i="13" s="1"/>
  <c r="E184" i="13"/>
  <c r="R181" i="13"/>
  <c r="O181" i="13"/>
  <c r="J181" i="13"/>
  <c r="L180" i="13" s="1"/>
  <c r="Q180" i="13"/>
  <c r="P180" i="13"/>
  <c r="O180" i="13"/>
  <c r="Q179" i="13"/>
  <c r="P179" i="13"/>
  <c r="P181" i="13" s="1"/>
  <c r="O179" i="13"/>
  <c r="Q178" i="13"/>
  <c r="Q181" i="13" s="1"/>
  <c r="P178" i="13"/>
  <c r="O178" i="13"/>
  <c r="E176" i="13"/>
  <c r="R173" i="13"/>
  <c r="P173" i="13"/>
  <c r="J173" i="13"/>
  <c r="Q172" i="13"/>
  <c r="P172" i="13"/>
  <c r="O172" i="13"/>
  <c r="L172" i="13"/>
  <c r="Q171" i="13"/>
  <c r="Q173" i="13" s="1"/>
  <c r="P171" i="13"/>
  <c r="O171" i="13"/>
  <c r="O173" i="13" s="1"/>
  <c r="L171" i="13"/>
  <c r="Q170" i="13"/>
  <c r="P170" i="13"/>
  <c r="O170" i="13"/>
  <c r="L170" i="13"/>
  <c r="E168" i="13"/>
  <c r="F151" i="13"/>
  <c r="J151" i="13" s="1"/>
  <c r="F150" i="13"/>
  <c r="J150" i="13" s="1"/>
  <c r="J149" i="13"/>
  <c r="F149" i="13"/>
  <c r="F148" i="13"/>
  <c r="J148" i="13" s="1"/>
  <c r="O143" i="13"/>
  <c r="J143" i="13"/>
  <c r="L141" i="13" s="1"/>
  <c r="R142" i="13"/>
  <c r="Q142" i="13"/>
  <c r="P142" i="13"/>
  <c r="P143" i="13" s="1"/>
  <c r="O142" i="13"/>
  <c r="L142" i="13"/>
  <c r="R141" i="13"/>
  <c r="Q141" i="13"/>
  <c r="P141" i="13"/>
  <c r="O141" i="13"/>
  <c r="R140" i="13"/>
  <c r="Q140" i="13"/>
  <c r="P140" i="13"/>
  <c r="O140" i="13"/>
  <c r="L140" i="13"/>
  <c r="R139" i="13"/>
  <c r="R143" i="13" s="1"/>
  <c r="Q139" i="13"/>
  <c r="Q143" i="13" s="1"/>
  <c r="P139" i="13"/>
  <c r="O139" i="13"/>
  <c r="L139" i="13"/>
  <c r="E137" i="13"/>
  <c r="R134" i="13"/>
  <c r="O134" i="13"/>
  <c r="J134" i="13"/>
  <c r="R133" i="13"/>
  <c r="Q133" i="13"/>
  <c r="P133" i="13"/>
  <c r="O133" i="13"/>
  <c r="L133" i="13"/>
  <c r="R132" i="13"/>
  <c r="Q132" i="13"/>
  <c r="P132" i="13"/>
  <c r="O132" i="13"/>
  <c r="L132" i="13"/>
  <c r="R131" i="13"/>
  <c r="Q131" i="13"/>
  <c r="Q134" i="13" s="1"/>
  <c r="P131" i="13"/>
  <c r="O131" i="13"/>
  <c r="L131" i="13"/>
  <c r="R130" i="13"/>
  <c r="Q130" i="13"/>
  <c r="P130" i="13"/>
  <c r="P134" i="13" s="1"/>
  <c r="O130" i="13"/>
  <c r="L130" i="13"/>
  <c r="E128" i="13"/>
  <c r="J125" i="13"/>
  <c r="L121" i="13" s="1"/>
  <c r="R124" i="13"/>
  <c r="Q124" i="13"/>
  <c r="P124" i="13"/>
  <c r="O124" i="13"/>
  <c r="L124" i="13"/>
  <c r="R123" i="13"/>
  <c r="Q123" i="13"/>
  <c r="P123" i="13"/>
  <c r="O123" i="13"/>
  <c r="L123" i="13"/>
  <c r="R122" i="13"/>
  <c r="Q122" i="13"/>
  <c r="P122" i="13"/>
  <c r="O122" i="13"/>
  <c r="L122" i="13"/>
  <c r="R121" i="13"/>
  <c r="R125" i="13" s="1"/>
  <c r="Q121" i="13"/>
  <c r="Q125" i="13" s="1"/>
  <c r="P121" i="13"/>
  <c r="P125" i="13" s="1"/>
  <c r="O121" i="13"/>
  <c r="O125" i="13" s="1"/>
  <c r="E119" i="13"/>
  <c r="J116" i="13"/>
  <c r="L114" i="13" s="1"/>
  <c r="S150" i="13" s="1"/>
  <c r="R115" i="13"/>
  <c r="Q115" i="13"/>
  <c r="P115" i="13"/>
  <c r="O115" i="13"/>
  <c r="R114" i="13"/>
  <c r="Q114" i="13"/>
  <c r="P114" i="13"/>
  <c r="O114" i="13"/>
  <c r="R113" i="13"/>
  <c r="Q113" i="13"/>
  <c r="P113" i="13"/>
  <c r="O113" i="13"/>
  <c r="R112" i="13"/>
  <c r="R116" i="13" s="1"/>
  <c r="Q112" i="13"/>
  <c r="Q116" i="13" s="1"/>
  <c r="P112" i="13"/>
  <c r="P116" i="13" s="1"/>
  <c r="O112" i="13"/>
  <c r="O116" i="13" s="1"/>
  <c r="E110" i="13"/>
  <c r="F89" i="13"/>
  <c r="J89" i="13" s="1"/>
  <c r="F88" i="13"/>
  <c r="J88" i="13" s="1"/>
  <c r="J87" i="13"/>
  <c r="F87" i="13"/>
  <c r="F86" i="13"/>
  <c r="J86" i="13" s="1"/>
  <c r="J81" i="13"/>
  <c r="R80" i="13"/>
  <c r="Q80" i="13"/>
  <c r="P80" i="13"/>
  <c r="O80" i="13"/>
  <c r="L80" i="13"/>
  <c r="R79" i="13"/>
  <c r="Q79" i="13"/>
  <c r="P79" i="13"/>
  <c r="O79" i="13"/>
  <c r="L79" i="13"/>
  <c r="R78" i="13"/>
  <c r="Q78" i="13"/>
  <c r="P78" i="13"/>
  <c r="O78" i="13"/>
  <c r="L78" i="13"/>
  <c r="R77" i="13"/>
  <c r="R81" i="13" s="1"/>
  <c r="Q77" i="13"/>
  <c r="Q81" i="13" s="1"/>
  <c r="P77" i="13"/>
  <c r="P81" i="13" s="1"/>
  <c r="O77" i="13"/>
  <c r="O81" i="13" s="1"/>
  <c r="L77" i="13"/>
  <c r="E75" i="13"/>
  <c r="J72" i="13"/>
  <c r="L70" i="13" s="1"/>
  <c r="R71" i="13"/>
  <c r="Q71" i="13"/>
  <c r="P71" i="13"/>
  <c r="O71" i="13"/>
  <c r="R70" i="13"/>
  <c r="Q70" i="13"/>
  <c r="P70" i="13"/>
  <c r="O70" i="13"/>
  <c r="R69" i="13"/>
  <c r="Q69" i="13"/>
  <c r="P69" i="13"/>
  <c r="O69" i="13"/>
  <c r="R68" i="13"/>
  <c r="R72" i="13" s="1"/>
  <c r="Q68" i="13"/>
  <c r="Q72" i="13" s="1"/>
  <c r="P68" i="13"/>
  <c r="P72" i="13" s="1"/>
  <c r="O68" i="13"/>
  <c r="O72" i="13" s="1"/>
  <c r="E66" i="13"/>
  <c r="P63" i="13"/>
  <c r="O63" i="13"/>
  <c r="J63" i="13"/>
  <c r="L62" i="13" s="1"/>
  <c r="R62" i="13"/>
  <c r="Q62" i="13"/>
  <c r="P62" i="13"/>
  <c r="O62" i="13"/>
  <c r="R61" i="13"/>
  <c r="Q61" i="13"/>
  <c r="P61" i="13"/>
  <c r="O61" i="13"/>
  <c r="L61" i="13"/>
  <c r="R60" i="13"/>
  <c r="Q60" i="13"/>
  <c r="P60" i="13"/>
  <c r="O60" i="13"/>
  <c r="L60" i="13"/>
  <c r="R59" i="13"/>
  <c r="R63" i="13" s="1"/>
  <c r="Q59" i="13"/>
  <c r="Q63" i="13" s="1"/>
  <c r="P59" i="13"/>
  <c r="O59" i="13"/>
  <c r="L59" i="13"/>
  <c r="E57" i="13"/>
  <c r="R54" i="13"/>
  <c r="Q54" i="13"/>
  <c r="J54" i="13"/>
  <c r="L52" i="13" s="1"/>
  <c r="R53" i="13"/>
  <c r="Q53" i="13"/>
  <c r="P53" i="13"/>
  <c r="O53" i="13"/>
  <c r="L53" i="13"/>
  <c r="R52" i="13"/>
  <c r="Q52" i="13"/>
  <c r="P52" i="13"/>
  <c r="O52" i="13"/>
  <c r="R51" i="13"/>
  <c r="Q51" i="13"/>
  <c r="P51" i="13"/>
  <c r="O51" i="13"/>
  <c r="L51" i="13"/>
  <c r="R50" i="13"/>
  <c r="Q50" i="13"/>
  <c r="P50" i="13"/>
  <c r="P54" i="13" s="1"/>
  <c r="O50" i="13"/>
  <c r="O54" i="13" s="1"/>
  <c r="L50" i="13"/>
  <c r="E48" i="13"/>
  <c r="M19" i="13"/>
  <c r="K18" i="13"/>
  <c r="K17" i="13"/>
  <c r="K16" i="13"/>
  <c r="K15" i="13"/>
  <c r="K14" i="13"/>
  <c r="K13" i="13"/>
  <c r="K12" i="13"/>
  <c r="K11" i="13"/>
  <c r="K10" i="13"/>
  <c r="K9" i="13"/>
  <c r="K8" i="13"/>
  <c r="K7" i="13"/>
  <c r="K6" i="13"/>
  <c r="L119" i="20" l="1"/>
  <c r="Q104" i="20"/>
  <c r="L118" i="20"/>
  <c r="P104" i="20"/>
  <c r="L101" i="20"/>
  <c r="L103" i="20"/>
  <c r="O112" i="20"/>
  <c r="L109" i="20"/>
  <c r="L110" i="20"/>
  <c r="P112" i="20"/>
  <c r="Q120" i="20"/>
  <c r="O120" i="20"/>
  <c r="P120" i="20"/>
  <c r="Q112" i="20"/>
  <c r="O104" i="20"/>
  <c r="L70" i="20"/>
  <c r="L72" i="20"/>
  <c r="L71" i="20"/>
  <c r="L55" i="20"/>
  <c r="L54" i="20"/>
  <c r="L52" i="20"/>
  <c r="R65" i="20"/>
  <c r="Q65" i="20"/>
  <c r="P47" i="20"/>
  <c r="R74" i="20"/>
  <c r="O56" i="20"/>
  <c r="R47" i="20"/>
  <c r="P74" i="20"/>
  <c r="Q47" i="20"/>
  <c r="P65" i="20"/>
  <c r="O65" i="20"/>
  <c r="P56" i="20"/>
  <c r="O74" i="20"/>
  <c r="O47" i="20"/>
  <c r="Q74" i="20"/>
  <c r="Q56" i="20"/>
  <c r="R56" i="20"/>
  <c r="L44" i="20"/>
  <c r="L45" i="20"/>
  <c r="L46" i="20"/>
  <c r="L188" i="19"/>
  <c r="L180" i="19"/>
  <c r="L173" i="19"/>
  <c r="L131" i="19"/>
  <c r="L130" i="19"/>
  <c r="L132" i="19"/>
  <c r="L115" i="19"/>
  <c r="L114" i="19"/>
  <c r="L112" i="19"/>
  <c r="L57" i="19"/>
  <c r="L58" i="19"/>
  <c r="P189" i="19"/>
  <c r="P175" i="19"/>
  <c r="L50" i="19"/>
  <c r="L48" i="19"/>
  <c r="L47" i="19"/>
  <c r="L65" i="19"/>
  <c r="L66" i="19"/>
  <c r="L67" i="19"/>
  <c r="L59" i="19"/>
  <c r="P168" i="19"/>
  <c r="O189" i="19"/>
  <c r="P107" i="19"/>
  <c r="P116" i="19"/>
  <c r="P69" i="19"/>
  <c r="Q107" i="19"/>
  <c r="L167" i="19"/>
  <c r="P60" i="19"/>
  <c r="O116" i="19"/>
  <c r="Q125" i="19"/>
  <c r="O134" i="19"/>
  <c r="O42" i="19"/>
  <c r="P51" i="19"/>
  <c r="O168" i="19"/>
  <c r="O182" i="19"/>
  <c r="O60" i="19"/>
  <c r="P182" i="19"/>
  <c r="R42" i="19"/>
  <c r="O69" i="19"/>
  <c r="P125" i="19"/>
  <c r="Q42" i="19"/>
  <c r="O51" i="19"/>
  <c r="O125" i="19"/>
  <c r="Q116" i="19"/>
  <c r="Q69" i="19"/>
  <c r="L106" i="19"/>
  <c r="R116" i="19"/>
  <c r="Q51" i="19"/>
  <c r="P134" i="19"/>
  <c r="R69" i="19"/>
  <c r="Q134" i="19"/>
  <c r="L103" i="19"/>
  <c r="R134" i="19"/>
  <c r="O175" i="19"/>
  <c r="P42" i="19"/>
  <c r="R51" i="19"/>
  <c r="Q60" i="19"/>
  <c r="R107" i="19"/>
  <c r="R60" i="19"/>
  <c r="L104" i="19"/>
  <c r="O107" i="19"/>
  <c r="R125" i="19"/>
  <c r="L39" i="19"/>
  <c r="L40" i="19"/>
  <c r="L41" i="19"/>
  <c r="L134" i="18"/>
  <c r="L131" i="18"/>
  <c r="L132" i="18"/>
  <c r="O44" i="18"/>
  <c r="L68" i="18"/>
  <c r="P135" i="18"/>
  <c r="O189" i="18"/>
  <c r="P189" i="18"/>
  <c r="L69" i="18"/>
  <c r="L67" i="18"/>
  <c r="S76" i="18" s="1"/>
  <c r="L41" i="18"/>
  <c r="R44" i="18"/>
  <c r="O196" i="18"/>
  <c r="Q117" i="18"/>
  <c r="O71" i="18"/>
  <c r="L52" i="18"/>
  <c r="P71" i="18"/>
  <c r="O135" i="18"/>
  <c r="Q135" i="18"/>
  <c r="Q44" i="18"/>
  <c r="L116" i="18"/>
  <c r="Q71" i="18"/>
  <c r="L113" i="18"/>
  <c r="O175" i="18"/>
  <c r="P175" i="18"/>
  <c r="P117" i="18"/>
  <c r="O182" i="18"/>
  <c r="R53" i="18"/>
  <c r="L174" i="18"/>
  <c r="N201" i="18" s="1"/>
  <c r="L50" i="18"/>
  <c r="O108" i="18"/>
  <c r="P108" i="18"/>
  <c r="Q62" i="18"/>
  <c r="R108" i="18"/>
  <c r="O117" i="18"/>
  <c r="R62" i="18"/>
  <c r="L51" i="18"/>
  <c r="R135" i="18"/>
  <c r="R117" i="18"/>
  <c r="Q108" i="18"/>
  <c r="R71" i="18"/>
  <c r="L114" i="18"/>
  <c r="P182" i="18"/>
  <c r="P196" i="18"/>
  <c r="O62" i="18"/>
  <c r="P62" i="18"/>
  <c r="Q53" i="18"/>
  <c r="O126" i="18"/>
  <c r="P126" i="18"/>
  <c r="O53" i="18"/>
  <c r="Q126" i="18"/>
  <c r="P53" i="18"/>
  <c r="R126" i="18"/>
  <c r="P44" i="18"/>
  <c r="L194" i="18"/>
  <c r="L59" i="18"/>
  <c r="L105" i="18"/>
  <c r="L42" i="18"/>
  <c r="L187" i="18"/>
  <c r="L60" i="18"/>
  <c r="L106" i="18"/>
  <c r="L43" i="18"/>
  <c r="L61" i="18"/>
  <c r="L107" i="18"/>
  <c r="L175" i="17"/>
  <c r="L161" i="17"/>
  <c r="L169" i="17"/>
  <c r="P177" i="17"/>
  <c r="P163" i="17"/>
  <c r="P184" i="17"/>
  <c r="O163" i="17"/>
  <c r="O177" i="17"/>
  <c r="O170" i="17"/>
  <c r="P170" i="17"/>
  <c r="O184" i="17"/>
  <c r="N190" i="17"/>
  <c r="L182" i="17"/>
  <c r="N189" i="17" s="1"/>
  <c r="L48" i="17"/>
  <c r="L49" i="17"/>
  <c r="L50" i="17"/>
  <c r="O131" i="17"/>
  <c r="O61" i="17"/>
  <c r="Q70" i="17"/>
  <c r="R52" i="17"/>
  <c r="Q43" i="17"/>
  <c r="O70" i="17"/>
  <c r="O113" i="17"/>
  <c r="O122" i="17"/>
  <c r="R122" i="17"/>
  <c r="R61" i="17"/>
  <c r="P70" i="17"/>
  <c r="O43" i="17"/>
  <c r="Q104" i="17"/>
  <c r="O52" i="17"/>
  <c r="R104" i="17"/>
  <c r="P113" i="17"/>
  <c r="P43" i="17"/>
  <c r="P52" i="17"/>
  <c r="O104" i="17"/>
  <c r="Q113" i="17"/>
  <c r="P104" i="17"/>
  <c r="Q52" i="17"/>
  <c r="R113" i="17"/>
  <c r="P61" i="17"/>
  <c r="P122" i="17"/>
  <c r="R43" i="17"/>
  <c r="Q61" i="17"/>
  <c r="Q122" i="17"/>
  <c r="R70" i="17"/>
  <c r="Q131" i="17"/>
  <c r="P131" i="17"/>
  <c r="R131" i="17"/>
  <c r="L121" i="17"/>
  <c r="L128" i="17"/>
  <c r="L111" i="17"/>
  <c r="L118" i="17"/>
  <c r="L58" i="17"/>
  <c r="L101" i="17"/>
  <c r="L41" i="17"/>
  <c r="L129" i="17"/>
  <c r="L112" i="17"/>
  <c r="L119" i="17"/>
  <c r="L59" i="17"/>
  <c r="L102" i="17"/>
  <c r="L109" i="17"/>
  <c r="L42" i="17"/>
  <c r="L39" i="17"/>
  <c r="L130" i="17"/>
  <c r="L103" i="17"/>
  <c r="L57" i="17"/>
  <c r="L101" i="16"/>
  <c r="L100" i="16"/>
  <c r="L126" i="16"/>
  <c r="L127" i="16"/>
  <c r="L128" i="16"/>
  <c r="L52" i="16"/>
  <c r="L58" i="16"/>
  <c r="L50" i="16"/>
  <c r="L51" i="16"/>
  <c r="P130" i="16"/>
  <c r="O112" i="16"/>
  <c r="R71" i="16"/>
  <c r="O71" i="16"/>
  <c r="R112" i="16"/>
  <c r="Q103" i="16"/>
  <c r="Q130" i="16"/>
  <c r="L120" i="16"/>
  <c r="Q112" i="16"/>
  <c r="P71" i="16"/>
  <c r="P44" i="16"/>
  <c r="R44" i="16"/>
  <c r="O103" i="16"/>
  <c r="R103" i="16"/>
  <c r="L109" i="16"/>
  <c r="P121" i="16"/>
  <c r="Q44" i="16"/>
  <c r="L68" i="16"/>
  <c r="O44" i="16"/>
  <c r="O53" i="16"/>
  <c r="L117" i="16"/>
  <c r="P53" i="16"/>
  <c r="Q71" i="16"/>
  <c r="O121" i="16"/>
  <c r="Q53" i="16"/>
  <c r="L61" i="16"/>
  <c r="L69" i="16"/>
  <c r="Q121" i="16"/>
  <c r="O62" i="16"/>
  <c r="L110" i="16"/>
  <c r="R121" i="16"/>
  <c r="P112" i="16"/>
  <c r="P62" i="16"/>
  <c r="R62" i="16"/>
  <c r="Q62" i="16"/>
  <c r="P103" i="16"/>
  <c r="R53" i="16"/>
  <c r="R130" i="16"/>
  <c r="L59" i="16"/>
  <c r="L108" i="16"/>
  <c r="O130" i="16"/>
  <c r="L41" i="16"/>
  <c r="L42" i="16"/>
  <c r="L118" i="16"/>
  <c r="L70" i="16"/>
  <c r="L43" i="16"/>
  <c r="L176" i="15"/>
  <c r="L175" i="15"/>
  <c r="L184" i="15"/>
  <c r="O177" i="15"/>
  <c r="L192" i="15"/>
  <c r="Q177" i="15"/>
  <c r="Q193" i="15"/>
  <c r="O193" i="15"/>
  <c r="P193" i="15"/>
  <c r="O185" i="15"/>
  <c r="P185" i="15"/>
  <c r="Q185" i="15"/>
  <c r="P177" i="15"/>
  <c r="L182" i="15"/>
  <c r="L130" i="15"/>
  <c r="L129" i="15"/>
  <c r="L111" i="15" s="1"/>
  <c r="S149" i="15" s="1"/>
  <c r="L131" i="15"/>
  <c r="L51" i="15"/>
  <c r="L50" i="15"/>
  <c r="L48" i="15"/>
  <c r="L60" i="15"/>
  <c r="L58" i="15"/>
  <c r="L57" i="15"/>
  <c r="L66" i="15"/>
  <c r="L67" i="15"/>
  <c r="L68" i="15"/>
  <c r="P132" i="15"/>
  <c r="R123" i="15"/>
  <c r="O141" i="15"/>
  <c r="O132" i="15"/>
  <c r="Q123" i="15"/>
  <c r="P123" i="15"/>
  <c r="R61" i="15"/>
  <c r="P70" i="15"/>
  <c r="Q70" i="15"/>
  <c r="Q43" i="15"/>
  <c r="R43" i="15"/>
  <c r="P52" i="15"/>
  <c r="O61" i="15"/>
  <c r="O52" i="15"/>
  <c r="P61" i="15"/>
  <c r="Q61" i="15"/>
  <c r="O114" i="15"/>
  <c r="P114" i="15"/>
  <c r="L122" i="15"/>
  <c r="P43" i="15"/>
  <c r="R52" i="15"/>
  <c r="Q114" i="15"/>
  <c r="P141" i="15"/>
  <c r="Q52" i="15"/>
  <c r="R132" i="15"/>
  <c r="Q141" i="15"/>
  <c r="O70" i="15"/>
  <c r="R70" i="15"/>
  <c r="L119" i="15"/>
  <c r="R141" i="15"/>
  <c r="O43" i="15"/>
  <c r="O123" i="15"/>
  <c r="Q132" i="15"/>
  <c r="R114" i="15"/>
  <c r="L40" i="15"/>
  <c r="L121" i="15"/>
  <c r="L41" i="15"/>
  <c r="L42" i="15"/>
  <c r="L199" i="12"/>
  <c r="L196" i="12"/>
  <c r="L197" i="12"/>
  <c r="L187" i="12"/>
  <c r="L190" i="12"/>
  <c r="L189" i="12"/>
  <c r="O253" i="12"/>
  <c r="L208" i="12"/>
  <c r="L206" i="12"/>
  <c r="L205" i="12"/>
  <c r="O239" i="12"/>
  <c r="P191" i="12"/>
  <c r="P200" i="12"/>
  <c r="R182" i="12"/>
  <c r="Q200" i="12"/>
  <c r="O191" i="12"/>
  <c r="R200" i="12"/>
  <c r="Q182" i="12"/>
  <c r="P182" i="12"/>
  <c r="P246" i="12"/>
  <c r="O209" i="12"/>
  <c r="P209" i="12"/>
  <c r="L245" i="12"/>
  <c r="O246" i="12"/>
  <c r="Q209" i="12"/>
  <c r="Q191" i="12"/>
  <c r="R209" i="12"/>
  <c r="O182" i="12"/>
  <c r="R191" i="12"/>
  <c r="O200" i="12"/>
  <c r="P253" i="12"/>
  <c r="O260" i="12"/>
  <c r="L258" i="12"/>
  <c r="N265" i="12" s="1"/>
  <c r="P239" i="12"/>
  <c r="P260" i="12"/>
  <c r="L252" i="12"/>
  <c r="L238" i="12"/>
  <c r="S87" i="13"/>
  <c r="S89" i="13"/>
  <c r="N196" i="13"/>
  <c r="L68" i="13"/>
  <c r="S86" i="13" s="1"/>
  <c r="L112" i="13"/>
  <c r="S148" i="13" s="1"/>
  <c r="L188" i="13"/>
  <c r="N194" i="13" s="1"/>
  <c r="L226" i="13"/>
  <c r="N247" i="13" s="1"/>
  <c r="L239" i="13"/>
  <c r="N246" i="13" s="1"/>
  <c r="L71" i="13"/>
  <c r="L115" i="13"/>
  <c r="S151" i="13" s="1"/>
  <c r="L69" i="13"/>
  <c r="S88" i="13" s="1"/>
  <c r="L113" i="13"/>
  <c r="S149" i="13" s="1"/>
  <c r="L178" i="13"/>
  <c r="L232" i="13"/>
  <c r="L179" i="13"/>
  <c r="N195" i="13" s="1"/>
  <c r="N126" i="20" l="1"/>
  <c r="L64" i="20"/>
  <c r="S79" i="20" s="1"/>
  <c r="L61" i="20"/>
  <c r="S81" i="20" s="1"/>
  <c r="S80" i="20"/>
  <c r="L63" i="20"/>
  <c r="S82" i="20" s="1"/>
  <c r="N194" i="19"/>
  <c r="S75" i="19"/>
  <c r="S74" i="19"/>
  <c r="S76" i="19"/>
  <c r="L124" i="19"/>
  <c r="S141" i="19" s="1"/>
  <c r="S139" i="19"/>
  <c r="L123" i="19"/>
  <c r="S140" i="19" s="1"/>
  <c r="S77" i="19"/>
  <c r="L121" i="19"/>
  <c r="S142" i="19" s="1"/>
  <c r="N195" i="19"/>
  <c r="N202" i="18"/>
  <c r="S77" i="18"/>
  <c r="S78" i="18"/>
  <c r="S79" i="18"/>
  <c r="S138" i="17"/>
  <c r="S139" i="17"/>
  <c r="S137" i="17"/>
  <c r="S136" i="17"/>
  <c r="S75" i="17"/>
  <c r="S77" i="17"/>
  <c r="S76" i="17"/>
  <c r="S78" i="17"/>
  <c r="S147" i="15"/>
  <c r="S148" i="15"/>
  <c r="L110" i="15"/>
  <c r="S146" i="15" s="1"/>
  <c r="S78" i="15"/>
  <c r="S75" i="15"/>
  <c r="S77" i="15"/>
  <c r="S76" i="15"/>
  <c r="S215" i="12"/>
  <c r="N266" i="12"/>
  <c r="M20" i="12"/>
  <c r="K19" i="12"/>
  <c r="J146" i="12" l="1"/>
  <c r="L142" i="12" s="1"/>
  <c r="R145" i="12"/>
  <c r="Q145" i="12"/>
  <c r="P145" i="12"/>
  <c r="O145" i="12"/>
  <c r="R144" i="12"/>
  <c r="Q144" i="12"/>
  <c r="P144" i="12"/>
  <c r="O144" i="12"/>
  <c r="R143" i="12"/>
  <c r="Q143" i="12"/>
  <c r="P143" i="12"/>
  <c r="O143" i="12"/>
  <c r="R142" i="12"/>
  <c r="Q142" i="12"/>
  <c r="P142" i="12"/>
  <c r="O142" i="12"/>
  <c r="E140" i="12"/>
  <c r="J137" i="12"/>
  <c r="R136" i="12"/>
  <c r="Q136" i="12"/>
  <c r="P136" i="12"/>
  <c r="O136" i="12"/>
  <c r="R135" i="12"/>
  <c r="Q135" i="12"/>
  <c r="P135" i="12"/>
  <c r="O135" i="12"/>
  <c r="R134" i="12"/>
  <c r="Q134" i="12"/>
  <c r="P134" i="12"/>
  <c r="O134" i="12"/>
  <c r="R133" i="12"/>
  <c r="Q133" i="12"/>
  <c r="P133" i="12"/>
  <c r="O133" i="12"/>
  <c r="E131" i="12"/>
  <c r="J128" i="12"/>
  <c r="L126" i="12" s="1"/>
  <c r="R127" i="12"/>
  <c r="Q127" i="12"/>
  <c r="P127" i="12"/>
  <c r="O127" i="12"/>
  <c r="R126" i="12"/>
  <c r="Q126" i="12"/>
  <c r="P126" i="12"/>
  <c r="O126" i="12"/>
  <c r="R125" i="12"/>
  <c r="Q125" i="12"/>
  <c r="P125" i="12"/>
  <c r="O125" i="12"/>
  <c r="R124" i="12"/>
  <c r="Q124" i="12"/>
  <c r="P124" i="12"/>
  <c r="O124" i="12"/>
  <c r="E122" i="12"/>
  <c r="J119" i="12"/>
  <c r="L116" i="12" s="1"/>
  <c r="R118" i="12"/>
  <c r="Q118" i="12"/>
  <c r="P118" i="12"/>
  <c r="O118" i="12"/>
  <c r="R117" i="12"/>
  <c r="Q117" i="12"/>
  <c r="P117" i="12"/>
  <c r="O117" i="12"/>
  <c r="R116" i="12"/>
  <c r="Q116" i="12"/>
  <c r="P116" i="12"/>
  <c r="O116" i="12"/>
  <c r="R115" i="12"/>
  <c r="Q115" i="12"/>
  <c r="P115" i="12"/>
  <c r="O115" i="12"/>
  <c r="E113" i="12"/>
  <c r="J82" i="12"/>
  <c r="R81" i="12"/>
  <c r="Q81" i="12"/>
  <c r="P81" i="12"/>
  <c r="O81" i="12"/>
  <c r="R80" i="12"/>
  <c r="Q80" i="12"/>
  <c r="P80" i="12"/>
  <c r="O80" i="12"/>
  <c r="R79" i="12"/>
  <c r="Q79" i="12"/>
  <c r="P79" i="12"/>
  <c r="O79" i="12"/>
  <c r="R78" i="12"/>
  <c r="Q78" i="12"/>
  <c r="P78" i="12"/>
  <c r="O78" i="12"/>
  <c r="E76" i="12"/>
  <c r="J73" i="12"/>
  <c r="L70" i="12" s="1"/>
  <c r="R72" i="12"/>
  <c r="Q72" i="12"/>
  <c r="P72" i="12"/>
  <c r="O72" i="12"/>
  <c r="R71" i="12"/>
  <c r="Q71" i="12"/>
  <c r="P71" i="12"/>
  <c r="O71" i="12"/>
  <c r="R70" i="12"/>
  <c r="Q70" i="12"/>
  <c r="P70" i="12"/>
  <c r="O70" i="12"/>
  <c r="R69" i="12"/>
  <c r="Q69" i="12"/>
  <c r="P69" i="12"/>
  <c r="O69" i="12"/>
  <c r="E67" i="12"/>
  <c r="J64" i="12"/>
  <c r="R63" i="12"/>
  <c r="Q63" i="12"/>
  <c r="P63" i="12"/>
  <c r="O63" i="12"/>
  <c r="R62" i="12"/>
  <c r="Q62" i="12"/>
  <c r="P62" i="12"/>
  <c r="O62" i="12"/>
  <c r="R61" i="12"/>
  <c r="Q61" i="12"/>
  <c r="P61" i="12"/>
  <c r="O61" i="12"/>
  <c r="R60" i="12"/>
  <c r="Q60" i="12"/>
  <c r="P60" i="12"/>
  <c r="O60" i="12"/>
  <c r="E58" i="12"/>
  <c r="J55" i="12"/>
  <c r="R54" i="12"/>
  <c r="Q54" i="12"/>
  <c r="P54" i="12"/>
  <c r="O54" i="12"/>
  <c r="R53" i="12"/>
  <c r="Q53" i="12"/>
  <c r="P53" i="12"/>
  <c r="O53" i="12"/>
  <c r="R52" i="12"/>
  <c r="Q52" i="12"/>
  <c r="P52" i="12"/>
  <c r="O52" i="12"/>
  <c r="R51" i="12"/>
  <c r="Q51" i="12"/>
  <c r="P51" i="12"/>
  <c r="O51" i="12"/>
  <c r="E49" i="12"/>
  <c r="K18" i="12"/>
  <c r="K17" i="12"/>
  <c r="K16" i="12"/>
  <c r="K15" i="12"/>
  <c r="K14" i="12"/>
  <c r="K13" i="12"/>
  <c r="K12" i="12"/>
  <c r="K11" i="12"/>
  <c r="K10" i="12"/>
  <c r="K9" i="12"/>
  <c r="K8" i="12"/>
  <c r="K7" i="12"/>
  <c r="K6" i="12"/>
  <c r="S245" i="11"/>
  <c r="S243" i="11"/>
  <c r="L123" i="11"/>
  <c r="L124" i="11"/>
  <c r="L125" i="11"/>
  <c r="L122" i="11"/>
  <c r="L80" i="12" l="1"/>
  <c r="L81" i="12"/>
  <c r="L78" i="12"/>
  <c r="L79" i="12"/>
  <c r="L54" i="12"/>
  <c r="L53" i="12"/>
  <c r="L52" i="12"/>
  <c r="L51" i="12"/>
  <c r="L143" i="12"/>
  <c r="L144" i="12"/>
  <c r="L145" i="12"/>
  <c r="Q128" i="12"/>
  <c r="L72" i="12"/>
  <c r="L69" i="12"/>
  <c r="P119" i="12"/>
  <c r="Q119" i="12"/>
  <c r="P82" i="12"/>
  <c r="Q137" i="12"/>
  <c r="Q73" i="12"/>
  <c r="O82" i="12"/>
  <c r="P73" i="12"/>
  <c r="O73" i="12"/>
  <c r="P137" i="12"/>
  <c r="L115" i="12"/>
  <c r="P64" i="12"/>
  <c r="R73" i="12"/>
  <c r="O119" i="12"/>
  <c r="O55" i="12"/>
  <c r="Q82" i="12"/>
  <c r="O128" i="12"/>
  <c r="P146" i="12"/>
  <c r="Q64" i="12"/>
  <c r="R64" i="12"/>
  <c r="O137" i="12"/>
  <c r="Q146" i="12"/>
  <c r="R128" i="12"/>
  <c r="R137" i="12"/>
  <c r="P55" i="12"/>
  <c r="R119" i="12"/>
  <c r="O146" i="12"/>
  <c r="Q55" i="12"/>
  <c r="R82" i="12"/>
  <c r="L118" i="12"/>
  <c r="R55" i="12"/>
  <c r="O64" i="12"/>
  <c r="P128" i="12"/>
  <c r="R146" i="12"/>
  <c r="L127" i="12"/>
  <c r="L71" i="12"/>
  <c r="L117" i="12"/>
  <c r="L124" i="12"/>
  <c r="L125" i="12"/>
  <c r="E102" i="11"/>
  <c r="F246" i="11"/>
  <c r="J246" i="11" s="1"/>
  <c r="F245" i="11"/>
  <c r="J245" i="11" s="1"/>
  <c r="F244" i="11"/>
  <c r="J244" i="11" s="1"/>
  <c r="F243" i="11"/>
  <c r="J243" i="11" s="1"/>
  <c r="J238" i="11"/>
  <c r="L236" i="11" s="1"/>
  <c r="R237" i="11"/>
  <c r="Q237" i="11"/>
  <c r="P237" i="11"/>
  <c r="O237" i="11"/>
  <c r="R236" i="11"/>
  <c r="Q236" i="11"/>
  <c r="P236" i="11"/>
  <c r="O236" i="11"/>
  <c r="R235" i="11"/>
  <c r="Q235" i="11"/>
  <c r="P235" i="11"/>
  <c r="O235" i="11"/>
  <c r="R234" i="11"/>
  <c r="Q234" i="11"/>
  <c r="P234" i="11"/>
  <c r="O234" i="11"/>
  <c r="E232" i="11"/>
  <c r="J229" i="11"/>
  <c r="L226" i="11" s="1"/>
  <c r="R228" i="11"/>
  <c r="Q228" i="11"/>
  <c r="P228" i="11"/>
  <c r="O228" i="11"/>
  <c r="R227" i="11"/>
  <c r="Q227" i="11"/>
  <c r="P227" i="11"/>
  <c r="O227" i="11"/>
  <c r="R226" i="11"/>
  <c r="Q226" i="11"/>
  <c r="P226" i="11"/>
  <c r="O226" i="11"/>
  <c r="R225" i="11"/>
  <c r="Q225" i="11"/>
  <c r="P225" i="11"/>
  <c r="O225" i="11"/>
  <c r="E223" i="11"/>
  <c r="J220" i="11"/>
  <c r="L219" i="11" s="1"/>
  <c r="R219" i="11"/>
  <c r="Q219" i="11"/>
  <c r="P219" i="11"/>
  <c r="O219" i="11"/>
  <c r="R218" i="11"/>
  <c r="Q218" i="11"/>
  <c r="P218" i="11"/>
  <c r="O218" i="11"/>
  <c r="R217" i="11"/>
  <c r="Q217" i="11"/>
  <c r="P217" i="11"/>
  <c r="O217" i="11"/>
  <c r="R216" i="11"/>
  <c r="Q216" i="11"/>
  <c r="P216" i="11"/>
  <c r="O216" i="11"/>
  <c r="E214" i="11"/>
  <c r="J211" i="11"/>
  <c r="L209" i="11" s="1"/>
  <c r="R210" i="11"/>
  <c r="Q210" i="11"/>
  <c r="P210" i="11"/>
  <c r="O210" i="11"/>
  <c r="R209" i="11"/>
  <c r="Q209" i="11"/>
  <c r="P209" i="11"/>
  <c r="O209" i="11"/>
  <c r="R208" i="11"/>
  <c r="Q208" i="11"/>
  <c r="P208" i="11"/>
  <c r="O208" i="11"/>
  <c r="R207" i="11"/>
  <c r="Q207" i="11"/>
  <c r="P207" i="11"/>
  <c r="O207" i="11"/>
  <c r="E205" i="11"/>
  <c r="K6" i="11"/>
  <c r="K14" i="11"/>
  <c r="M22" i="11"/>
  <c r="K21" i="11"/>
  <c r="K20" i="11"/>
  <c r="K19" i="11"/>
  <c r="K18" i="11"/>
  <c r="F188" i="11"/>
  <c r="J188" i="11" s="1"/>
  <c r="F187" i="11"/>
  <c r="J187" i="11" s="1"/>
  <c r="F77" i="11"/>
  <c r="J77" i="11" s="1"/>
  <c r="F78" i="11"/>
  <c r="J78" i="11" s="1"/>
  <c r="F76" i="11"/>
  <c r="J76" i="11" s="1"/>
  <c r="F189" i="11"/>
  <c r="J189" i="11" s="1"/>
  <c r="O238" i="11" l="1"/>
  <c r="L235" i="11"/>
  <c r="L237" i="11"/>
  <c r="R238" i="11"/>
  <c r="R229" i="11"/>
  <c r="Q229" i="11"/>
  <c r="L228" i="11"/>
  <c r="L225" i="11"/>
  <c r="R220" i="11"/>
  <c r="L218" i="11"/>
  <c r="L216" i="11"/>
  <c r="L217" i="11"/>
  <c r="L208" i="11"/>
  <c r="Q238" i="11"/>
  <c r="P238" i="11"/>
  <c r="O229" i="11"/>
  <c r="P229" i="11"/>
  <c r="O220" i="11"/>
  <c r="P220" i="11"/>
  <c r="Q220" i="11"/>
  <c r="P211" i="11"/>
  <c r="O211" i="11"/>
  <c r="R211" i="11"/>
  <c r="Q211" i="11"/>
  <c r="L227" i="11"/>
  <c r="S246" i="11" s="1"/>
  <c r="L234" i="11"/>
  <c r="L210" i="11"/>
  <c r="L207" i="11"/>
  <c r="K17" i="11"/>
  <c r="K16" i="11"/>
  <c r="K10" i="11"/>
  <c r="F190" i="11"/>
  <c r="J190" i="11" s="1"/>
  <c r="J182" i="11"/>
  <c r="L180" i="11" s="1"/>
  <c r="R181" i="11"/>
  <c r="Q181" i="11"/>
  <c r="P181" i="11"/>
  <c r="O181" i="11"/>
  <c r="R180" i="11"/>
  <c r="Q180" i="11"/>
  <c r="P180" i="11"/>
  <c r="O180" i="11"/>
  <c r="R179" i="11"/>
  <c r="Q179" i="11"/>
  <c r="P179" i="11"/>
  <c r="O179" i="11"/>
  <c r="R178" i="11"/>
  <c r="Q178" i="11"/>
  <c r="P178" i="11"/>
  <c r="O178" i="11"/>
  <c r="E176" i="11"/>
  <c r="J173" i="11"/>
  <c r="R172" i="11"/>
  <c r="Q172" i="11"/>
  <c r="P172" i="11"/>
  <c r="O172" i="11"/>
  <c r="R171" i="11"/>
  <c r="Q171" i="11"/>
  <c r="P171" i="11"/>
  <c r="O171" i="11"/>
  <c r="R170" i="11"/>
  <c r="Q170" i="11"/>
  <c r="P170" i="11"/>
  <c r="O170" i="11"/>
  <c r="R169" i="11"/>
  <c r="Q169" i="11"/>
  <c r="P169" i="11"/>
  <c r="O169" i="11"/>
  <c r="E167" i="11"/>
  <c r="J164" i="11"/>
  <c r="L163" i="11" s="1"/>
  <c r="R163" i="11"/>
  <c r="Q163" i="11"/>
  <c r="P163" i="11"/>
  <c r="O163" i="11"/>
  <c r="R162" i="11"/>
  <c r="Q162" i="11"/>
  <c r="P162" i="11"/>
  <c r="O162" i="11"/>
  <c r="R161" i="11"/>
  <c r="Q161" i="11"/>
  <c r="P161" i="11"/>
  <c r="O161" i="11"/>
  <c r="R160" i="11"/>
  <c r="Q160" i="11"/>
  <c r="P160" i="11"/>
  <c r="O160" i="11"/>
  <c r="E158" i="11"/>
  <c r="J155" i="11"/>
  <c r="L153" i="11" s="1"/>
  <c r="R154" i="11"/>
  <c r="Q154" i="11"/>
  <c r="P154" i="11"/>
  <c r="O154" i="11"/>
  <c r="R153" i="11"/>
  <c r="Q153" i="11"/>
  <c r="P153" i="11"/>
  <c r="O153" i="11"/>
  <c r="R152" i="11"/>
  <c r="Q152" i="11"/>
  <c r="P152" i="11"/>
  <c r="O152" i="11"/>
  <c r="R151" i="11"/>
  <c r="Q151" i="11"/>
  <c r="P151" i="11"/>
  <c r="O151" i="11"/>
  <c r="E149" i="11"/>
  <c r="F134" i="11"/>
  <c r="J134" i="11" s="1"/>
  <c r="F133" i="11"/>
  <c r="J133" i="11" s="1"/>
  <c r="F132" i="11"/>
  <c r="J132" i="11" s="1"/>
  <c r="F131" i="11"/>
  <c r="J131" i="11" s="1"/>
  <c r="J126" i="11"/>
  <c r="R125" i="11"/>
  <c r="Q125" i="11"/>
  <c r="P125" i="11"/>
  <c r="O125" i="11"/>
  <c r="R124" i="11"/>
  <c r="Q124" i="11"/>
  <c r="P124" i="11"/>
  <c r="O124" i="11"/>
  <c r="R123" i="11"/>
  <c r="Q123" i="11"/>
  <c r="P123" i="11"/>
  <c r="O123" i="11"/>
  <c r="R122" i="11"/>
  <c r="Q122" i="11"/>
  <c r="P122" i="11"/>
  <c r="O122" i="11"/>
  <c r="E120" i="11"/>
  <c r="J117" i="11"/>
  <c r="R116" i="11"/>
  <c r="Q116" i="11"/>
  <c r="P116" i="11"/>
  <c r="O116" i="11"/>
  <c r="R115" i="11"/>
  <c r="Q115" i="11"/>
  <c r="P115" i="11"/>
  <c r="O115" i="11"/>
  <c r="R114" i="11"/>
  <c r="Q114" i="11"/>
  <c r="P114" i="11"/>
  <c r="O114" i="11"/>
  <c r="R113" i="11"/>
  <c r="Q113" i="11"/>
  <c r="P113" i="11"/>
  <c r="O113" i="11"/>
  <c r="E111" i="11"/>
  <c r="J108" i="11"/>
  <c r="R107" i="11"/>
  <c r="Q107" i="11"/>
  <c r="P107" i="11"/>
  <c r="O107" i="11"/>
  <c r="R106" i="11"/>
  <c r="Q106" i="11"/>
  <c r="P106" i="11"/>
  <c r="O106" i="11"/>
  <c r="R105" i="11"/>
  <c r="Q105" i="11"/>
  <c r="P105" i="11"/>
  <c r="O105" i="11"/>
  <c r="R104" i="11"/>
  <c r="Q104" i="11"/>
  <c r="P104" i="11"/>
  <c r="O104" i="11"/>
  <c r="J99" i="11"/>
  <c r="L98" i="11" s="1"/>
  <c r="R98" i="11"/>
  <c r="Q98" i="11"/>
  <c r="P98" i="11"/>
  <c r="O98" i="11"/>
  <c r="R97" i="11"/>
  <c r="Q97" i="11"/>
  <c r="P97" i="11"/>
  <c r="O97" i="11"/>
  <c r="R96" i="11"/>
  <c r="Q96" i="11"/>
  <c r="P96" i="11"/>
  <c r="O96" i="11"/>
  <c r="R95" i="11"/>
  <c r="Q95" i="11"/>
  <c r="P95" i="11"/>
  <c r="O95" i="11"/>
  <c r="E93" i="11"/>
  <c r="F75" i="11"/>
  <c r="J75" i="11" s="1"/>
  <c r="J70" i="11"/>
  <c r="L68" i="11" s="1"/>
  <c r="R69" i="11"/>
  <c r="Q69" i="11"/>
  <c r="P69" i="11"/>
  <c r="O69" i="11"/>
  <c r="R68" i="11"/>
  <c r="Q68" i="11"/>
  <c r="P68" i="11"/>
  <c r="O68" i="11"/>
  <c r="R67" i="11"/>
  <c r="Q67" i="11"/>
  <c r="P67" i="11"/>
  <c r="O67" i="11"/>
  <c r="R66" i="11"/>
  <c r="Q66" i="11"/>
  <c r="P66" i="11"/>
  <c r="O66" i="11"/>
  <c r="E64" i="11"/>
  <c r="J61" i="11"/>
  <c r="L58" i="11" s="1"/>
  <c r="R60" i="11"/>
  <c r="Q60" i="11"/>
  <c r="P60" i="11"/>
  <c r="O60" i="11"/>
  <c r="R59" i="11"/>
  <c r="Q59" i="11"/>
  <c r="P59" i="11"/>
  <c r="O59" i="11"/>
  <c r="R58" i="11"/>
  <c r="Q58" i="11"/>
  <c r="P58" i="11"/>
  <c r="O58" i="11"/>
  <c r="R57" i="11"/>
  <c r="Q57" i="11"/>
  <c r="P57" i="11"/>
  <c r="O57" i="11"/>
  <c r="E55" i="11"/>
  <c r="J52" i="11"/>
  <c r="L51" i="11" s="1"/>
  <c r="R51" i="11"/>
  <c r="Q51" i="11"/>
  <c r="P51" i="11"/>
  <c r="O51" i="11"/>
  <c r="R50" i="11"/>
  <c r="Q50" i="11"/>
  <c r="P50" i="11"/>
  <c r="O50" i="11"/>
  <c r="R49" i="11"/>
  <c r="Q49" i="11"/>
  <c r="P49" i="11"/>
  <c r="O49" i="11"/>
  <c r="R48" i="11"/>
  <c r="Q48" i="11"/>
  <c r="P48" i="11"/>
  <c r="O48" i="11"/>
  <c r="E46" i="11"/>
  <c r="J43" i="11"/>
  <c r="L39" i="11" s="1"/>
  <c r="R42" i="11"/>
  <c r="Q42" i="11"/>
  <c r="P42" i="11"/>
  <c r="O42" i="11"/>
  <c r="R41" i="11"/>
  <c r="Q41" i="11"/>
  <c r="P41" i="11"/>
  <c r="O41" i="11"/>
  <c r="R40" i="11"/>
  <c r="Q40" i="11"/>
  <c r="P40" i="11"/>
  <c r="O40" i="11"/>
  <c r="R39" i="11"/>
  <c r="Q39" i="11"/>
  <c r="P39" i="11"/>
  <c r="O39" i="11"/>
  <c r="E37" i="11"/>
  <c r="K15" i="11"/>
  <c r="K13" i="11"/>
  <c r="K12" i="11"/>
  <c r="K11" i="11"/>
  <c r="K9" i="11"/>
  <c r="K8" i="11"/>
  <c r="K7" i="11"/>
  <c r="L106" i="11" l="1"/>
  <c r="L105" i="11"/>
  <c r="L104" i="11"/>
  <c r="L107" i="11"/>
  <c r="S244" i="11"/>
  <c r="L171" i="11"/>
  <c r="L172" i="11"/>
  <c r="L169" i="11"/>
  <c r="L170" i="11"/>
  <c r="R99" i="11"/>
  <c r="Q117" i="11"/>
  <c r="L151" i="11"/>
  <c r="S188" i="11" s="1"/>
  <c r="L95" i="11"/>
  <c r="L96" i="11"/>
  <c r="L97" i="11"/>
  <c r="P108" i="11"/>
  <c r="R126" i="11"/>
  <c r="O108" i="11"/>
  <c r="P70" i="11"/>
  <c r="P61" i="11"/>
  <c r="R61" i="11"/>
  <c r="Q43" i="11"/>
  <c r="L48" i="11"/>
  <c r="S77" i="11" s="1"/>
  <c r="L50" i="11"/>
  <c r="P173" i="11"/>
  <c r="R108" i="11"/>
  <c r="Q70" i="11"/>
  <c r="Q126" i="11"/>
  <c r="Q164" i="11"/>
  <c r="O173" i="11"/>
  <c r="L57" i="11"/>
  <c r="Q108" i="11"/>
  <c r="O117" i="11"/>
  <c r="O155" i="11"/>
  <c r="P155" i="11"/>
  <c r="R182" i="11"/>
  <c r="Q61" i="11"/>
  <c r="O70" i="11"/>
  <c r="L179" i="11"/>
  <c r="R52" i="11"/>
  <c r="R43" i="11"/>
  <c r="O52" i="11"/>
  <c r="P99" i="11"/>
  <c r="O43" i="11"/>
  <c r="P52" i="11"/>
  <c r="P43" i="11"/>
  <c r="O164" i="11"/>
  <c r="L162" i="11"/>
  <c r="S190" i="11" s="1"/>
  <c r="Q182" i="11"/>
  <c r="R155" i="11"/>
  <c r="R164" i="11"/>
  <c r="Q52" i="11"/>
  <c r="L181" i="11"/>
  <c r="O99" i="11"/>
  <c r="P117" i="11"/>
  <c r="P126" i="11"/>
  <c r="Q155" i="11"/>
  <c r="Q173" i="11"/>
  <c r="L178" i="11"/>
  <c r="R70" i="11"/>
  <c r="P164" i="11"/>
  <c r="R173" i="11"/>
  <c r="O182" i="11"/>
  <c r="O61" i="11"/>
  <c r="Q99" i="11"/>
  <c r="R117" i="11"/>
  <c r="O126" i="11"/>
  <c r="L152" i="11"/>
  <c r="L160" i="11"/>
  <c r="P182" i="11"/>
  <c r="L41" i="11"/>
  <c r="L60" i="11"/>
  <c r="L67" i="11"/>
  <c r="L40" i="11"/>
  <c r="S75" i="11" s="1"/>
  <c r="L69" i="11"/>
  <c r="L59" i="11"/>
  <c r="L66" i="11"/>
  <c r="L154" i="11"/>
  <c r="S189" i="11" s="1"/>
  <c r="L161" i="11"/>
  <c r="L42" i="11"/>
  <c r="L49" i="11"/>
  <c r="S76" i="11" l="1"/>
  <c r="S131" i="11"/>
  <c r="S132" i="11"/>
  <c r="S133" i="11"/>
  <c r="S78" i="11"/>
  <c r="S134" i="11"/>
  <c r="S187" i="11"/>
</calcChain>
</file>

<file path=xl/sharedStrings.xml><?xml version="1.0" encoding="utf-8"?>
<sst xmlns="http://schemas.openxmlformats.org/spreadsheetml/2006/main" count="6674" uniqueCount="580">
  <si>
    <t>Devid Fulterer</t>
  </si>
  <si>
    <t>Pauline Schätzle</t>
  </si>
  <si>
    <t>Markus Hagenauer</t>
  </si>
  <si>
    <t>Alex Ulbricht</t>
  </si>
  <si>
    <t>Andreas Micke</t>
  </si>
  <si>
    <t>Ginooo</t>
  </si>
  <si>
    <t>eumel247</t>
  </si>
  <si>
    <t>MissM</t>
  </si>
  <si>
    <t>Markus1711</t>
  </si>
  <si>
    <t>Palladium2000</t>
  </si>
  <si>
    <t>Spieler</t>
  </si>
  <si>
    <t>Bienchen_2000</t>
  </si>
  <si>
    <t>gepasst</t>
  </si>
  <si>
    <t>-</t>
  </si>
  <si>
    <t>Startposition</t>
  </si>
  <si>
    <t>Ligapunkte</t>
  </si>
  <si>
    <t>Platzierung</t>
  </si>
  <si>
    <t>1. Plätze</t>
  </si>
  <si>
    <t>2. Plätze</t>
  </si>
  <si>
    <t>3. Plätze</t>
  </si>
  <si>
    <t>4. Plätze</t>
  </si>
  <si>
    <t>Name</t>
  </si>
  <si>
    <t>Reihenfolge</t>
  </si>
  <si>
    <t>Optionen</t>
  </si>
  <si>
    <t>ausgewähltes Spiel</t>
  </si>
  <si>
    <t>gebanntes Spiel</t>
  </si>
  <si>
    <t>neugewähltes Spiel</t>
  </si>
  <si>
    <t>3. Durchgang (falls Spiele gebannt wurden):</t>
  </si>
  <si>
    <t>Tiebreaker (nur bei Gleichstand benötigt)</t>
  </si>
  <si>
    <t>Punkte Gewinner:</t>
  </si>
  <si>
    <t>1. Platz</t>
  </si>
  <si>
    <t>3. Platz</t>
  </si>
  <si>
    <t>4. Platz</t>
  </si>
  <si>
    <t>Summe Platzierungen:</t>
  </si>
  <si>
    <t>2. Platz</t>
  </si>
  <si>
    <t>Yucata</t>
  </si>
  <si>
    <t>2. Durchgang:</t>
  </si>
  <si>
    <t>Prozentuale
 Gewinnbeteiligung</t>
  </si>
  <si>
    <t>Durchschnittliche
prozentuale 
Gewinnbeteiligung</t>
  </si>
  <si>
    <t>Nein</t>
  </si>
  <si>
    <t>Erstellung der Ligen</t>
  </si>
  <si>
    <t>Liga</t>
  </si>
  <si>
    <t xml:space="preserve">1. Durchgang: </t>
  </si>
  <si>
    <t>Plattform</t>
  </si>
  <si>
    <t>Boardgamearena</t>
  </si>
  <si>
    <t>Orakel von Delphi</t>
  </si>
  <si>
    <t>Jérôme Schätzle</t>
  </si>
  <si>
    <t>Kai Maibaum</t>
  </si>
  <si>
    <t>Gesamtstand L2</t>
  </si>
  <si>
    <t>Gesamtstand L1</t>
  </si>
  <si>
    <t>Gesamtstand L3</t>
  </si>
  <si>
    <t>Charakter/Volk
(bei asynchronen Spielen)</t>
  </si>
  <si>
    <t>Nickname auf der Platform wo das Spiel gespielt wird</t>
  </si>
  <si>
    <t>Punkte 
(am Ende vom Spiel)</t>
  </si>
  <si>
    <t>Punkte
(beim Start vom Spiel)</t>
  </si>
  <si>
    <t>Strafpunkte (z.B. wegen nichteinhalten einer Frist)</t>
  </si>
  <si>
    <t>Grund für Strafpunkt(e)</t>
  </si>
  <si>
    <t>Nikname 
Boardgamearena</t>
  </si>
  <si>
    <t>Nr.</t>
  </si>
  <si>
    <t>*</t>
  </si>
  <si>
    <t>MissM1</t>
  </si>
  <si>
    <t>Nikname 
Yukata</t>
  </si>
  <si>
    <t>Nikname 
Boiteajeux</t>
  </si>
  <si>
    <t>autographus</t>
  </si>
  <si>
    <t>MobMob3</t>
  </si>
  <si>
    <t>Nikname auf Yucata</t>
  </si>
  <si>
    <t>Gesamt-Ligapunkte
(Ligapunkte abzüglich Strafpunkte)</t>
  </si>
  <si>
    <t>Nikname: 
Yukata</t>
  </si>
  <si>
    <t>Tableau 9</t>
  </si>
  <si>
    <t>Zimbaland</t>
  </si>
  <si>
    <t>Rajas of the Ganges</t>
  </si>
  <si>
    <t>Die Burgen von Burgund</t>
  </si>
  <si>
    <t>Liga 3</t>
  </si>
  <si>
    <t>Liga 1</t>
  </si>
  <si>
    <t>Liga 2</t>
  </si>
  <si>
    <t>Rang</t>
  </si>
  <si>
    <t>1
(S1)</t>
  </si>
  <si>
    <t>Zweite(r) L1</t>
  </si>
  <si>
    <t>Sieger(in) L1</t>
  </si>
  <si>
    <t>Dritte(r) L1</t>
  </si>
  <si>
    <t>Vierte(r) L1</t>
  </si>
  <si>
    <t>Zweite(r) L2</t>
  </si>
  <si>
    <t>Dritte(r) L2</t>
  </si>
  <si>
    <t>Vierte(r) L2</t>
  </si>
  <si>
    <t>Sieger(in) L3</t>
  </si>
  <si>
    <t>Zweite(r) L3</t>
  </si>
  <si>
    <t>Dritte(r) L3</t>
  </si>
  <si>
    <t>Vierte(r) L3</t>
  </si>
  <si>
    <t>Daniel Zimmermann</t>
  </si>
  <si>
    <t>Sieger(in) L2</t>
  </si>
  <si>
    <t>Lisa Schätzle</t>
  </si>
  <si>
    <t>Eumeline</t>
  </si>
  <si>
    <t>Lise-lotte</t>
  </si>
  <si>
    <t>Auf den Spuren von Marco Polo</t>
  </si>
  <si>
    <t>Raschid ad-Din Sinan</t>
  </si>
  <si>
    <t>Franziska Büchner</t>
  </si>
  <si>
    <t>Frannnyy</t>
  </si>
  <si>
    <t>Nikname 
boardgamers.space</t>
  </si>
  <si>
    <t>- Variante "gemischte Runde": Deaktiviert
- Variante "Navaratnas-Variante": Deaktiviert
- Variante "Ganga Modul": Deaktiviert
- Variante "Mango-Dorf": Deaktiviert</t>
  </si>
  <si>
    <t>Nickname 
Boiteajeux</t>
  </si>
  <si>
    <t>Nickname 
BGA</t>
  </si>
  <si>
    <t>Nickname 
Yucata</t>
  </si>
  <si>
    <t>chefkoch07</t>
  </si>
  <si>
    <t>Terra Mystica</t>
  </si>
  <si>
    <t>Kultisten</t>
  </si>
  <si>
    <t>Hexen</t>
  </si>
  <si>
    <t>Sieger(in) L4</t>
  </si>
  <si>
    <t>Zweite(r) L4</t>
  </si>
  <si>
    <t>Dritte(r) L4</t>
  </si>
  <si>
    <t>Vierte(r) L4</t>
  </si>
  <si>
    <t>Res Arcana</t>
  </si>
  <si>
    <t>Heiler</t>
  </si>
  <si>
    <t>Boiteajeux</t>
  </si>
  <si>
    <t>Vanuatu</t>
  </si>
  <si>
    <t>Jonas Röhrig</t>
  </si>
  <si>
    <t>Hexe</t>
  </si>
  <si>
    <t>Dungeon Petz</t>
  </si>
  <si>
    <t>- Doppelsymbolkarten: Doppelsymbolkarten
- Mehr Vorausschau: Mehr Vorausschau</t>
  </si>
  <si>
    <t>Marco Polo II: Im Auftrag des Khan</t>
  </si>
  <si>
    <t>- Variante Schwarze Würfel: Nein
- Die Karawanen-Erweiterung: Ja
- Alle Charaktere aufnehmen: Nein</t>
  </si>
  <si>
    <t>Zu Zeus zurückgekehrt nach 0 zusätzlichen Runden</t>
  </si>
  <si>
    <t>11 erledigte Zeusaufgaben</t>
  </si>
  <si>
    <t>Zu Zeus zurückgekehrt nach 1 zusätzlichen Runde</t>
  </si>
  <si>
    <t>Marc Lambrecht</t>
  </si>
  <si>
    <t>haligh</t>
  </si>
  <si>
    <t>Bea Kittner</t>
  </si>
  <si>
    <t>isiundossi</t>
  </si>
  <si>
    <t>Judith Fulterer</t>
  </si>
  <si>
    <t>Fabian Spaniol</t>
  </si>
  <si>
    <t>fanabi</t>
  </si>
  <si>
    <t>Florian Spiß</t>
  </si>
  <si>
    <t>Flo101</t>
  </si>
  <si>
    <t>2022 Season 1</t>
  </si>
  <si>
    <t>Angemeldete Spieler für 2022_S1</t>
  </si>
  <si>
    <t>Rang
aus
21_S12</t>
  </si>
  <si>
    <t>Neuanmeldungen für 2022_S2</t>
  </si>
  <si>
    <t>Anmeldung für 
2022_S2</t>
  </si>
  <si>
    <t>Gesamtanzahl Spieler 2022_S1:</t>
  </si>
  <si>
    <t>GESAMTWERTUNG 2022</t>
  </si>
  <si>
    <t>Nikname auf Boardgamearena</t>
  </si>
  <si>
    <t>- Variante: Klassisch</t>
  </si>
  <si>
    <t>- Spielregeln: Normales Spiel mit Draft
- Erweiterung 1: Lux &amp; Tenebrae: Deaktiviert</t>
  </si>
  <si>
    <t>- Keiretsu-Erweiterung: Aus</t>
  </si>
  <si>
    <t>Nippon</t>
  </si>
  <si>
    <t>Gestaltenwandler</t>
  </si>
  <si>
    <t>Frostfeen</t>
  </si>
  <si>
    <t>Duellant</t>
  </si>
  <si>
    <t>Duellist</t>
  </si>
  <si>
    <t>- Spielaufbau (Spieler-Tableaus): Zufälliges Tableau ohne Tableau 8
- Ausgabe: Erste Ausgabe
- Nur bestätigte Züge sehen: Ja</t>
  </si>
  <si>
    <t>- Karte: Für Fortgeschrittene (mehr Variation und Untiefen)
- Schiffsplättchen Verteilung: Auswählen
- Spieldauer: Normal (12 Zeusplättchen)
- Weiterspielen: Ja</t>
  </si>
  <si>
    <t>2 Orakelkarten und 
8 Gunstplättchen übrig</t>
  </si>
  <si>
    <t>2 Orakelkarten und 
2 Gunstplättchen übrig</t>
  </si>
  <si>
    <t>Tableau 7</t>
  </si>
  <si>
    <t>Tableau 10</t>
  </si>
  <si>
    <t>- Abteilungen: Abteilungen aus Grundspiel und Erweiterung
- Warten Option: Aus
- Geheime Spende: Aus</t>
  </si>
  <si>
    <t>Carnegie</t>
  </si>
  <si>
    <t>Sushi Go!</t>
  </si>
  <si>
    <t>- Sojasoße: An
- In beide Richtungen weitergeben: An
- Variante für 2 Spieler: Aus</t>
  </si>
  <si>
    <t>- Spielaufbau (Spieler-Tableau): zufälliges Tableau ohne Tableau 8
- Ausgabe: Ausgabe von 2019
- Nur bestätigte Züge sehen: Ja</t>
  </si>
  <si>
    <t>Lewis &amp; Clark</t>
  </si>
  <si>
    <t>4 Pudding Karten</t>
  </si>
  <si>
    <t>1 Pudding Karte</t>
  </si>
  <si>
    <t>Tableau 6</t>
  </si>
  <si>
    <t>Tableau 2</t>
  </si>
  <si>
    <t>Tableau 1</t>
  </si>
  <si>
    <t>Liga 4</t>
  </si>
  <si>
    <t>- Spielvariante: Fortgeschrittene Regeln</t>
  </si>
  <si>
    <t>Tableau 5</t>
  </si>
  <si>
    <t>- Spielbrett: Grundspiel
- Völkertableau: Völker werden in Spielerreihenfolge ausgewählt
- Startsiegpunkte: Nach Völkern angepasst
- Zugreihenfolge: variable Zugreihenfolge
- Mini-Erweiterungen: Aus
- Landschaften-Erweiterung: Aus
- Feuer und Eis - Endwertungskärtchen: Aus
- Feuer und Eis - Völker: Aus</t>
  </si>
  <si>
    <t>Nomaden</t>
  </si>
  <si>
    <t>Düsterlinge</t>
  </si>
  <si>
    <t>Nixen</t>
  </si>
  <si>
    <t>- Expertenvariante: Ja</t>
  </si>
  <si>
    <t>Niccolo &amp; Marco Polo</t>
  </si>
  <si>
    <t>Matteo Polo</t>
  </si>
  <si>
    <t>Mercator ex Tabriz</t>
  </si>
  <si>
    <t>Stone Age</t>
  </si>
  <si>
    <t>- Harter Winter: An
- Wilde Tiere: An
- Iglus: An
- Die neuen Hütten: An
- Mammutherde: An
- Die Erweiterung: Aus</t>
  </si>
  <si>
    <t>Gesamtstand L4</t>
  </si>
  <si>
    <t>Ja</t>
  </si>
  <si>
    <t>Filippo Vitello</t>
  </si>
  <si>
    <t>Möngke Khan</t>
  </si>
  <si>
    <t>Abha Basu</t>
  </si>
  <si>
    <t>Vidal Badoer</t>
  </si>
  <si>
    <t>Rang
aus
S1</t>
  </si>
  <si>
    <t>Anmeldung für 
2022_S3</t>
  </si>
  <si>
    <t>Neuanmeldungen für 2022_S3</t>
  </si>
  <si>
    <t>2022 Season 2</t>
  </si>
  <si>
    <t>Gesamtanzahl Spieler 2022_S2:</t>
  </si>
  <si>
    <t>Angemeldete Spieler für 2022_S2</t>
  </si>
  <si>
    <t>Agricola</t>
  </si>
  <si>
    <t>Ein Fest für Odin</t>
  </si>
  <si>
    <t>Carcassonne</t>
  </si>
  <si>
    <t>- Zusätzliche Aktionsfelder: Deaktiviert (Standard)</t>
  </si>
  <si>
    <t>- C&amp;D Karten: Eingeschlossen</t>
  </si>
  <si>
    <t>- Draftmodus: Drafte 7 aus 10 Karten, Ausbildungen mit kleinen Anschaffungen</t>
  </si>
  <si>
    <t>- Kompetitives Level: Kompetitiv</t>
  </si>
  <si>
    <t>- Ausbildung: B</t>
  </si>
  <si>
    <t>- Mini Erweiterung 1: Nein</t>
  </si>
  <si>
    <t>- Spieldauer: Langes Spiel</t>
  </si>
  <si>
    <t>- Wertung einer Stadt aus nur 2 Stadtplättchen ergibt: 4 Punkte (Internationale Regeln)</t>
  </si>
  <si>
    <t>- Wiesenwertung: Jede Wiese ist drei Punkte wert pro angrenzender, abgeschlossener Stadt (internationale Regel)</t>
  </si>
  <si>
    <t>- Strategische Variante (3 Plättchen in der Hand): Ja</t>
  </si>
  <si>
    <t>- Prinzessin &amp; Drache (3. Erweiterung): Nein</t>
  </si>
  <si>
    <t>- Händler &amp; Baumeister (2. Erweiterung): Ja</t>
  </si>
  <si>
    <t>- Wirtshäuser &amp; Kathedralen (1. Erweiterung): Ja</t>
  </si>
  <si>
    <t>- Der Fluss: Nein</t>
  </si>
  <si>
    <t>- Variante "Mango-Dorf": Deaktiviert</t>
  </si>
  <si>
    <t>- Variante "Ganga Modul": Deaktiviert</t>
  </si>
  <si>
    <t>- Variante "gemischte Runde": Deaktiviert</t>
  </si>
  <si>
    <t>- Variante "Navaratnas-Variante": Deaktiviert</t>
  </si>
  <si>
    <t>- Spielregeln: Normales Spiel mit Draft</t>
  </si>
  <si>
    <t>- Erweiterung 1: Lux &amp; Tenebrae: Deaktiviert</t>
  </si>
  <si>
    <t>- Spielaufbau (Spieler-Tableaus): Zufälliges Spielertableau ohne Spielertableau 8</t>
  </si>
  <si>
    <t>- Ausgabe: Erste Ausgabe</t>
  </si>
  <si>
    <t>- Nur bestätigte Züge sehen: Ja</t>
  </si>
  <si>
    <t>La Granja</t>
  </si>
  <si>
    <t>- Hofphasenschritte: Gleichzeitig</t>
  </si>
  <si>
    <t>Die Burgen von 
Burgund</t>
  </si>
  <si>
    <t>Tableau 4</t>
  </si>
  <si>
    <t>Seher</t>
  </si>
  <si>
    <t>Kunsthandwerker</t>
  </si>
  <si>
    <t>Liga 3 (3-Spieler-Liga)</t>
  </si>
  <si>
    <t>Azul</t>
  </si>
  <si>
    <t>Dice Hospital</t>
  </si>
  <si>
    <t>Norman Shumway</t>
  </si>
  <si>
    <t>Liga 4 (2-Spieler-Liga)</t>
  </si>
  <si>
    <t>Patchwork</t>
  </si>
  <si>
    <t>Yokohama</t>
  </si>
  <si>
    <t>Vergessen die Liste der Spiele, welche in 
L3 gespielt werden, in die Kennerligagruppe zu posten</t>
  </si>
  <si>
    <t>- Edition: Polnische Folklore</t>
  </si>
  <si>
    <t>- Spielaufbau (Spieler-Tableaus): Klassischer Spielaufbau (Wähle aus zwei Spielertableaus eines aus)</t>
  </si>
  <si>
    <t>- Ausgabe: Ausgabe von 2019</t>
  </si>
  <si>
    <t>- Variantenoption: Deaktiviert</t>
  </si>
  <si>
    <t>- Rückgängig/Bestätigen erlaubt: Aktiviert</t>
  </si>
  <si>
    <t>- Schnellwertung: Deaktiviert</t>
  </si>
  <si>
    <t>- Spielaufbau: Dice Hospital</t>
  </si>
  <si>
    <t>- Schwieriger Modus: Deaktiviert</t>
  </si>
  <si>
    <t>Tableau 8</t>
  </si>
  <si>
    <t>Rita Levi-Montalcini</t>
  </si>
  <si>
    <t>2
(S1, S2)</t>
  </si>
  <si>
    <t>1
(S2)</t>
  </si>
  <si>
    <t>2022 Season 3</t>
  </si>
  <si>
    <t>Rang
aus
S2</t>
  </si>
  <si>
    <t>Anmeldung für 
2022_S4</t>
  </si>
  <si>
    <t>Gesamtanzahl Spieler 2022_S3:</t>
  </si>
  <si>
    <t>Neuanmeldungen für 2022_S4</t>
  </si>
  <si>
    <t>Angemeldete Spieler für 2022_S3</t>
  </si>
  <si>
    <t>Boardgamers.space</t>
  </si>
  <si>
    <t>Gaia Project</t>
  </si>
  <si>
    <t>- Expansions "Frontiers": Deaktiviert</t>
  </si>
  <si>
    <t>- Option "Unlisted": Aktiviert</t>
  </si>
  <si>
    <t>- Option "Join this game": Aktiviert</t>
  </si>
  <si>
    <t>- Option "Last player rotates sectors": Aktiviert</t>
  </si>
  <si>
    <t>- Option "Random factions": Aktiviert</t>
  </si>
  <si>
    <t>- Option "Host sets up the entire board (including rotation): Deaktiviert</t>
  </si>
  <si>
    <t>- Player order: Random player order</t>
  </si>
  <si>
    <t>- Map layout: Standard</t>
  </si>
  <si>
    <t>- Auction mode: Choose factions, then bid</t>
  </si>
  <si>
    <t>- Factions variants: Balanced</t>
  </si>
  <si>
    <t>- Karte: für Fortgeschrittene (mehr Variation und Untiefen)</t>
  </si>
  <si>
    <t xml:space="preserve">- Schiffsplättchen Verteilung: Auswählen </t>
  </si>
  <si>
    <t xml:space="preserve">- Spieldauer: Normal (12 Zeusplättchen) </t>
  </si>
  <si>
    <t>- Weiterspielen: Ja</t>
  </si>
  <si>
    <t>-Doppelsymbolkarten: Doppelsymbolkarten</t>
  </si>
  <si>
    <t>-Mehr Vorschau: Mehr Vorschau</t>
  </si>
  <si>
    <t>Orakel von Delph</t>
  </si>
  <si>
    <t>Dungeon Lords</t>
  </si>
  <si>
    <t>- Variante: Base game</t>
  </si>
  <si>
    <t>- Random donjon setup: Deaktiviert</t>
  </si>
  <si>
    <t>- Spielregeln: normales Spiel mit Draft</t>
  </si>
  <si>
    <t>Zu Zeus zurückgekehrt nach 2 zusätzlichen Runden</t>
  </si>
  <si>
    <t>Schiffsplättchen 1</t>
  </si>
  <si>
    <t>Schiffsplättchen 2</t>
  </si>
  <si>
    <t>Schiffsplättchen 3</t>
  </si>
  <si>
    <t>Schiffsplättchen 4</t>
  </si>
  <si>
    <t>Schiffsplättchen 5</t>
  </si>
  <si>
    <t>Schiffsplättchen 6</t>
  </si>
  <si>
    <t>Schiffsplättchen 7</t>
  </si>
  <si>
    <t>Schiffsplättchen 8</t>
  </si>
  <si>
    <t>Jedes Mal, wenn du mindestens 1 Gunstplättchen erhälst, nimmst du 1 Gunstplättchen zusätzlich. Das gilt auch schon bei der Augabe der Gunstplättchen bei Spielbeginn.</t>
  </si>
  <si>
    <t>Du darfst deine Orakelwürfel auch gegen den Uhrzeigersinn umfärben. Außerdem hast du 2 zusätzliche Lagerplätze.</t>
  </si>
  <si>
    <t>Nimm zu Beginn des Spiels 1 Ausrüstungskarte aus der Auslage und nimm 1 Orakelkarte vom Nachziehstapel.</t>
  </si>
  <si>
    <t>Schiebe zu Beginn des Spiels deinen Schild um 2 Schritte nach rechts.</t>
  </si>
  <si>
    <t>Deine Götter starten alle in der Reihe, die der Spieleranzahl entspricht. Nach Ausführen ihrer Sonderaktion setzt du sie wieder auf die Reihe, die der Spieleranzahl entspricht, anstatt auf die unterste Reihe.</t>
  </si>
  <si>
    <t>Lege zu Beginn des Spiels 1 Zeusplättchen ab, ohne die Belohnung zu nehmen. Du hast also nur 11 Aufgaben zu erfüllen anstatt 12.</t>
  </si>
  <si>
    <t>Das Umfärben eines Orakelwürfels kostet dich 1 Gunstplättchen weniger als üblich.</t>
  </si>
  <si>
    <t>Die Reichweite deines Schiffes ist um 2 Felder höher.</t>
  </si>
  <si>
    <t>Teotihuacan: Die Stadt der Götter</t>
  </si>
  <si>
    <t>- Variante Schwarze Würfel: Nein</t>
  </si>
  <si>
    <t>- Die Karawanen-Erweiterung: Ja</t>
  </si>
  <si>
    <t>- Alle Charaktere aufnehmen: Nein</t>
  </si>
  <si>
    <t>- Aufbau erstes Spiel: Aus</t>
  </si>
  <si>
    <t>- Eklipse Option: normal</t>
  </si>
  <si>
    <t>- Startplättchen: normal</t>
  </si>
  <si>
    <t>- Pyramidenaufbau: normal</t>
  </si>
  <si>
    <t>Parks</t>
  </si>
  <si>
    <t>- Spielaufbau: Wähle eine Vorsatzkarte zum Start</t>
  </si>
  <si>
    <t>- Erweiterungsset: Grundspiel</t>
  </si>
  <si>
    <t>- Wildliebe Variante: Deaktiviert</t>
  </si>
  <si>
    <t>Tapestry</t>
  </si>
  <si>
    <t>- Anpassungen der Zivilisationen: mit Anpassungen</t>
  </si>
  <si>
    <t>0 Orakelkarten übrig</t>
  </si>
  <si>
    <t>3 Orakelkarten übrig</t>
  </si>
  <si>
    <t>1 Orakelkarte übrig</t>
  </si>
  <si>
    <t>- Edition: Halloween</t>
  </si>
  <si>
    <t>- Expertenvariante: Nein</t>
  </si>
  <si>
    <t>Louis Pasteur</t>
  </si>
  <si>
    <t>Verwandlerin</t>
  </si>
  <si>
    <t>Nekromant</t>
  </si>
  <si>
    <t>Alchemist</t>
  </si>
  <si>
    <t>Firaks</t>
  </si>
  <si>
    <t>Lantids</t>
  </si>
  <si>
    <t>Xenos</t>
  </si>
  <si>
    <t>Itars</t>
  </si>
  <si>
    <t>8 besuchte Parks</t>
  </si>
  <si>
    <t>7 besuchte Parks</t>
  </si>
  <si>
    <t>Historiker</t>
  </si>
  <si>
    <t>Anführer</t>
  </si>
  <si>
    <t>Militanten</t>
  </si>
  <si>
    <t>Feiernde</t>
  </si>
  <si>
    <t>Donata Badoer</t>
  </si>
  <si>
    <t>De Wu</t>
  </si>
  <si>
    <t>8 Kamele</t>
  </si>
  <si>
    <t>3 Kamele</t>
  </si>
  <si>
    <t>3 Silbermünzen übrig</t>
  </si>
  <si>
    <t>1
(S3)</t>
  </si>
  <si>
    <t>2
(S2, S3)</t>
  </si>
  <si>
    <t>2022 Season 4</t>
  </si>
  <si>
    <t>Rang
aus
S3</t>
  </si>
  <si>
    <t>Anmeldung für 
2022_S5</t>
  </si>
  <si>
    <t>Madeira</t>
  </si>
  <si>
    <t>Clans of Caledonia</t>
  </si>
  <si>
    <t>- Plättchen aus der Kickstarter-Kampagne verwenden: An</t>
  </si>
  <si>
    <t>- Ohne Clan: Aus</t>
  </si>
  <si>
    <t>- Statische Importgüter (jeweils 4 SP): Aus</t>
  </si>
  <si>
    <t>- Ohne Hafenplättchen: Aus</t>
  </si>
  <si>
    <t>- Ohne Wertungsplättchen: Aus</t>
  </si>
  <si>
    <t>- Clan-Auktion (Empfohlen nur für erfahrene Clan-Chiefs!): Alternative Auktion: Spielerreihenfolge hängt vom gewählten Clan ab</t>
  </si>
  <si>
    <t>Tzolk'in</t>
  </si>
  <si>
    <t>- Uxmal-Begrenzung der Maismenge: Keine Begrenzung</t>
  </si>
  <si>
    <t>Can't Stop</t>
  </si>
  <si>
    <t>Clan Buchanan</t>
  </si>
  <si>
    <t>Clan Fergusson</t>
  </si>
  <si>
    <t>Clan Stewart</t>
  </si>
  <si>
    <t>Clan MacDonald</t>
  </si>
  <si>
    <t>- Völkertableau: Völker werden in Auktion ausgewählt</t>
  </si>
  <si>
    <t>- Zugreihenfolge: Variable Zugreihenfolge</t>
  </si>
  <si>
    <t>- Fan-Völker: Aus</t>
  </si>
  <si>
    <t>- Feuer und Eis - Völker: Aus</t>
  </si>
  <si>
    <t>- Spielbrett: Grundspiel</t>
  </si>
  <si>
    <t>- Mini-Erweiterung: Aus</t>
  </si>
  <si>
    <t>- Landschaften Erweiterung: Aus</t>
  </si>
  <si>
    <t>- Feuer und Eis - Endwertungskärtchen: Aus</t>
  </si>
  <si>
    <t>- Spielbrett: Fjorde
- Völkertableau: Völker werden in Auktion ausgewählt
- Zugreihenfolge: Variable Zugreihenfolge
- Mini-Erweiterung: An
- Landschaften Erweiterung: An
- Feuer und Eis - Endwertungskärtchen: An
- Feuer und Eis - Völker: An</t>
  </si>
  <si>
    <t xml:space="preserve"> Zu Zeus zurückgekehrt nach 0 zusätzlichen Runden</t>
  </si>
  <si>
    <t xml:space="preserve"> Zu Zeus zurückgekehrt nach 1 zusätzlichen Runde</t>
  </si>
  <si>
    <t>10 erledigte Zeusaufgaben</t>
  </si>
  <si>
    <t>4 Orakelkarten übrig</t>
  </si>
  <si>
    <t>Zwerge</t>
  </si>
  <si>
    <t>10 besuchte Parks</t>
  </si>
  <si>
    <t>9 besuchte Parks</t>
  </si>
  <si>
    <t>The Ruhr: A Story of Coal Trade</t>
  </si>
  <si>
    <t>7 Wonders</t>
  </si>
  <si>
    <t>- Spielversion: Neue Edition</t>
  </si>
  <si>
    <t>- Weltwundertableau: Wähle einen Weltwunderplan</t>
  </si>
  <si>
    <t>- Völkertableau: Völker werden in Spielerreihenfolge ausgewählt</t>
  </si>
  <si>
    <t>Alexandria - Tag</t>
  </si>
  <si>
    <t>Cizah - Nacht</t>
  </si>
  <si>
    <t>Babylon - Nacht</t>
  </si>
  <si>
    <t>- Start-Siegpunkte: Nach Völkern angepasst</t>
  </si>
  <si>
    <t>1
(S4)</t>
  </si>
  <si>
    <t>2
(S1, S4)</t>
  </si>
  <si>
    <t>Neuanmeldungen für 2022_S5</t>
  </si>
  <si>
    <t>Angemeldete Spieler für 2022_S4</t>
  </si>
  <si>
    <t>2022 Season 5</t>
  </si>
  <si>
    <t>Angemeldete Spieler für 2022_S5</t>
  </si>
  <si>
    <t>Anmeldung für 
2022_S6</t>
  </si>
  <si>
    <t>Rang
aus
S4</t>
  </si>
  <si>
    <t>Neuanmeldungen für 2022_S6</t>
  </si>
  <si>
    <t>Gesamtanzahl Spieler 2022_S5:</t>
  </si>
  <si>
    <t>Gesamtanzahl Spieler 2022_S4:</t>
  </si>
  <si>
    <t>- Spieldauer: Kurzes Spiel</t>
  </si>
  <si>
    <t>- Ausbildung: A und B</t>
  </si>
  <si>
    <t>- Mini Erweiterung 1: Ja</t>
  </si>
  <si>
    <t>Viticulture</t>
  </si>
  <si>
    <t>- Freundliche Variante: aus</t>
  </si>
  <si>
    <t>- Mama &amp; Papa-Auswahl: an</t>
  </si>
  <si>
    <t>- Alle Charaktere verwenden: Nein</t>
  </si>
  <si>
    <t>- Gobelin: Staatsehe: Entfernen</t>
  </si>
  <si>
    <t>- Gobelin: Renaissance: Entfernen</t>
  </si>
  <si>
    <t>- Einkommen: Original</t>
  </si>
  <si>
    <t>Marco Polo II: Im 
Auftrag des Khan</t>
  </si>
  <si>
    <t>Mama Margot und Papa Gary</t>
  </si>
  <si>
    <t>Mama Teruyo und Papa Steven</t>
  </si>
  <si>
    <t>Mama Naja und Papa Stephan</t>
  </si>
  <si>
    <t>Mama Emily und Papa Morten</t>
  </si>
  <si>
    <t>4 Lira</t>
  </si>
  <si>
    <t>3 Lira</t>
  </si>
  <si>
    <t>Gantulga Od</t>
  </si>
  <si>
    <t>Erfinder</t>
  </si>
  <si>
    <t>Architekten</t>
  </si>
  <si>
    <t>1
(S5)</t>
  </si>
  <si>
    <t>Ultimate Railroads</t>
  </si>
  <si>
    <t>- Railroads: Russian</t>
  </si>
  <si>
    <t>- Industrie: Russisch (Eine private Strecke)</t>
  </si>
  <si>
    <t>Century</t>
  </si>
  <si>
    <t>- Edition: Gewürzstraße</t>
  </si>
  <si>
    <t>- Schwieriger Modus: Eröffnungskrise + Landesweite Epidemie + Resistenter Supererreger</t>
  </si>
  <si>
    <t>Alexander Fleming</t>
  </si>
  <si>
    <t>Robert G. Edwards</t>
  </si>
  <si>
    <t>Neuanmeldungen für 2022_S7</t>
  </si>
  <si>
    <t>2022 Season 6</t>
  </si>
  <si>
    <t>Angemeldete Spieler für 2022_S6</t>
  </si>
  <si>
    <t>Anmeldung für 
2022_S7</t>
  </si>
  <si>
    <t>Rang
aus
S5</t>
  </si>
  <si>
    <t>Gesamtanzahl Spieler 2022_S6:</t>
  </si>
  <si>
    <t>- Doppelsymbolkarten: Doppelsymbolkarten</t>
  </si>
  <si>
    <t>- Mehr Vorausschau: Mehr Vorausschau</t>
  </si>
  <si>
    <t>Boardgamearna</t>
  </si>
  <si>
    <t>- Keiretsu-Erweiterung: An</t>
  </si>
  <si>
    <t>- Ausgabe: 1. Auflage (2016)</t>
  </si>
  <si>
    <t>- Spielaufbau: Standard-Spiel</t>
  </si>
  <si>
    <t>- Rails to the North - Erweiterung: An</t>
  </si>
  <si>
    <t>- Gebot für die Zugreihenfolge: Aus</t>
  </si>
  <si>
    <t>- Livewertung: An</t>
  </si>
  <si>
    <t>Great Western Trail</t>
  </si>
  <si>
    <t>Hearts</t>
  </si>
  <si>
    <t>- Spieldauer: normales Spiel (100 Punkte)</t>
  </si>
  <si>
    <t>1
(S6)</t>
  </si>
  <si>
    <t>2
(S2, S6)</t>
  </si>
  <si>
    <t>Splendor</t>
  </si>
  <si>
    <t>- Spielmodus: Standard</t>
  </si>
  <si>
    <t>- Abteilungen: Nur das Basisspiel</t>
  </si>
  <si>
    <t>- Warten Option: Aus</t>
  </si>
  <si>
    <t>- Geheime Spende: Aus</t>
  </si>
  <si>
    <t>K2</t>
  </si>
  <si>
    <t>- Spielbrett-Seite: Winter</t>
  </si>
  <si>
    <t>Babylon - Tag</t>
  </si>
  <si>
    <t>Halikarnassos - Spielplanseite B</t>
  </si>
  <si>
    <t>Alexandrien -  Spielplanseite B</t>
  </si>
  <si>
    <t>Rhodos - Spielplanseite B</t>
  </si>
  <si>
    <t>Ephesus - Spielplanseite B</t>
  </si>
  <si>
    <t>Olympia - Nacht</t>
  </si>
  <si>
    <t>Ephesos - Nacht</t>
  </si>
  <si>
    <t>2
(S5, S6)</t>
  </si>
  <si>
    <t>Liga 3 (2-Spieler-Liga)</t>
  </si>
  <si>
    <t>7 Wonders Architects</t>
  </si>
  <si>
    <t>Targi</t>
  </si>
  <si>
    <t>Tisch</t>
  </si>
  <si>
    <t>Fäkalini</t>
  </si>
  <si>
    <t>Gizeh</t>
  </si>
  <si>
    <t>Rhodos</t>
  </si>
  <si>
    <t>- Kompetitives Level: Normal</t>
  </si>
  <si>
    <t>- C&amp;D Karten: Ausgeschlossen</t>
  </si>
  <si>
    <t>- Neues Kartenset: Ausgeschlossen</t>
  </si>
  <si>
    <t>- Draftmodus: Drafte 7 aus 10 Karten, Ausbildungen mit Kleinen Anschaffungen</t>
  </si>
  <si>
    <t>- Live-Wertung: Aktiviert</t>
  </si>
  <si>
    <t>Pauline Micke</t>
  </si>
  <si>
    <t>2022 Season 7</t>
  </si>
  <si>
    <t>Angemeldete Spieler für 2022_S7</t>
  </si>
  <si>
    <t>Anmeldung für 
2022_S8</t>
  </si>
  <si>
    <t>Rang
aus
S6</t>
  </si>
  <si>
    <t>Gesamtanzahl Spieler 2022_S7:</t>
  </si>
  <si>
    <t>Neuanmeldungen für 2022_S8</t>
  </si>
  <si>
    <t>- Mehr Vorausschau: Maximale Vorausschau</t>
  </si>
  <si>
    <t>Through the Ages: Eine neue Geschichte der Zivilisation</t>
  </si>
  <si>
    <t>- Spielversion: Expertenspiel</t>
  </si>
  <si>
    <t>- Friedliche Variante: Ein</t>
  </si>
  <si>
    <t>- Startplättchen: Draft</t>
  </si>
  <si>
    <t>Hive</t>
  </si>
  <si>
    <t>- Marienkäfer: Aus</t>
  </si>
  <si>
    <t>- Moskito: Aus</t>
  </si>
  <si>
    <t>- Kellerassel: Aus</t>
  </si>
  <si>
    <t>- Eröffnung: Standard</t>
  </si>
  <si>
    <t>Raja of the Ganges</t>
  </si>
  <si>
    <t>- Karte: Für Fortgeschrittene (mehr Variation und Untiefen)</t>
  </si>
  <si>
    <t>- Schiffsplättchen Verteilung: Auswählen</t>
  </si>
  <si>
    <t>- Spieldauer: Normal (12 Zeusplättchen)</t>
  </si>
  <si>
    <t>Boardgamearnea</t>
  </si>
  <si>
    <t>Alexandria</t>
  </si>
  <si>
    <t>Clan Robertson</t>
  </si>
  <si>
    <t>Catan - Das Spiel</t>
  </si>
  <si>
    <t>- Anordnung der Landfelder: Variabler Aufbau</t>
  </si>
  <si>
    <t>- Auslage der Häfen: Standardaufbau</t>
  </si>
  <si>
    <t>- Kombinierte Handels-/Bauphase: Aktiviert</t>
  </si>
  <si>
    <t xml:space="preserve">- Karte: Für Fortgeschrittene (mehr Variation und Untiefen) </t>
  </si>
  <si>
    <t>3
(S4, S6, S7)</t>
  </si>
  <si>
    <t>2
(S6, S7)</t>
  </si>
  <si>
    <t>1
(S7)</t>
  </si>
  <si>
    <t>6 Orakelkarten übrig</t>
  </si>
  <si>
    <t>2
(S1, S7)</t>
  </si>
  <si>
    <t>2
(S3, S7)</t>
  </si>
  <si>
    <t>2022 Season 8</t>
  </si>
  <si>
    <t>Angemeldete Spieler für 2022_S8</t>
  </si>
  <si>
    <t>Rang
aus
S7</t>
  </si>
  <si>
    <t>Anmeldung für 
2022_S9</t>
  </si>
  <si>
    <t>Neuanmeldungen für 2022_S9</t>
  </si>
  <si>
    <t>Gesamtanzahl Spieler 2022_S8:</t>
  </si>
  <si>
    <t>Roll for the Galaxy</t>
  </si>
  <si>
    <t>Welcome To…</t>
  </si>
  <si>
    <t>- Fortgeschrittene Variante: Ja</t>
  </si>
  <si>
    <t>- Expertenregeln: Nein</t>
  </si>
  <si>
    <t>- Brett/Erweiterung: Normale Variante</t>
  </si>
  <si>
    <t>Dingo's Dreams</t>
  </si>
  <si>
    <t>- Spiellänge: Tiefschlaf: höchste Punktezahl nach 3 Träumen</t>
  </si>
  <si>
    <t>- Spielgeschwindigkeit: Normal: 3 oder 4 Gefahren</t>
  </si>
  <si>
    <t>- Traumgefährten: An</t>
  </si>
  <si>
    <t>- Gebräuchliche BGA Traumkarten: Aus</t>
  </si>
  <si>
    <t>Welcome To...</t>
  </si>
  <si>
    <t>4, Deffekte Alien 
Fabrik</t>
  </si>
  <si>
    <t>1, Vergessene Erdkolonie</t>
  </si>
  <si>
    <t>7, Alte Erde</t>
  </si>
  <si>
    <t>9, Sterbende Welt</t>
  </si>
  <si>
    <t>3
(S1, S2, S8)</t>
  </si>
  <si>
    <t>2
(S4, S8)</t>
  </si>
  <si>
    <t>2
(S2, S8)</t>
  </si>
  <si>
    <t>1
(S8)</t>
  </si>
  <si>
    <t>Grand Austria Hotel</t>
  </si>
  <si>
    <t>Gaja Project</t>
  </si>
  <si>
    <t>Mad Androids</t>
  </si>
  <si>
    <t>Der Schwarm</t>
  </si>
  <si>
    <t>Terraner</t>
  </si>
  <si>
    <t>Gleen</t>
  </si>
  <si>
    <t>1, Alpha Centauri</t>
  </si>
  <si>
    <t>7, Vergessene 
Erdkolonie</t>
  </si>
  <si>
    <t>3, Epsilon Eridani</t>
  </si>
  <si>
    <t>6, Deffekte Alien 
Fabrik</t>
  </si>
  <si>
    <t>Anzahl Würfel im Becher + Galaktische Credits: 9</t>
  </si>
  <si>
    <t>Anzahl Würfel im 
Becher + Galaktische Credits: 3</t>
  </si>
  <si>
    <t>Santorini</t>
  </si>
  <si>
    <t>- Erweiterung Goldenes Vlies: Nein</t>
  </si>
  <si>
    <t>- Einfache Götter: Ja</t>
  </si>
  <si>
    <t>- Heldenkräfte: Nein</t>
  </si>
  <si>
    <t>- Fortgeschrittene Götter: Ja</t>
  </si>
  <si>
    <t>- Aufbau: Begrenzte Auswahl</t>
  </si>
  <si>
    <t>- Aufbau: Standard</t>
  </si>
  <si>
    <t>Artemis</t>
  </si>
  <si>
    <t>Harpies</t>
  </si>
  <si>
    <t>Deutschland - 
Viktor Fiesler</t>
  </si>
  <si>
    <t>Frankreich - 
Anton Krylov</t>
  </si>
  <si>
    <t>2
(S7, S8)</t>
  </si>
  <si>
    <t>- Start-Personalkarten : Profivariante</t>
  </si>
  <si>
    <t>- Hotels: einfacher</t>
  </si>
  <si>
    <t>- Variante "ohne Küchenhilfe": Aktiviert</t>
  </si>
  <si>
    <t>- Variante "Kostenlose Kunden austauschen": Deaktiviert</t>
  </si>
  <si>
    <t>- Spielaufbau: Variable Karte</t>
  </si>
  <si>
    <t>- Kartengröße: Normal</t>
  </si>
  <si>
    <t>- Völkerauswahl: Völker auswählen</t>
  </si>
  <si>
    <t>- Gesperrte Völker: Deaktiviert</t>
  </si>
  <si>
    <t>Angemeldete Spieler für 2022_S9</t>
  </si>
  <si>
    <t>2022 Season 9</t>
  </si>
  <si>
    <t>Rang
aus
S8</t>
  </si>
  <si>
    <t>Neuanmeldungen für 2022_S10</t>
  </si>
  <si>
    <t>Anmeldung für 
2022_S10</t>
  </si>
  <si>
    <t>Gesamtanzahl Spieler 2022_S9:</t>
  </si>
  <si>
    <t>- Neues Kartenset: Eingeschlossen</t>
  </si>
  <si>
    <t>7 verbleibende Rohstoffe</t>
  </si>
  <si>
    <t>2 verbleibende Rohstoffe</t>
  </si>
  <si>
    <t>3 Orakelkarten und 8 Gunstplättchen übrig</t>
  </si>
  <si>
    <t>3 Orakelkarten und 2 Gunstplättchen übrig</t>
  </si>
  <si>
    <t>2 Orakelkarten und 13 Gunstplättchen übrig</t>
  </si>
  <si>
    <t>2 Orakelkarten und 6 Gunstplättchen übrig</t>
  </si>
  <si>
    <t>Liga 2 (3-Spieler-Liga)</t>
  </si>
  <si>
    <t>Wasserkraft</t>
  </si>
  <si>
    <t>- Spielmodus: Mitbewerber</t>
  </si>
  <si>
    <t>Living Forest</t>
  </si>
  <si>
    <t>Gesamtwerte aller drei Siegbedingungen: 20</t>
  </si>
  <si>
    <t>Gesamtwerte aller drei Siegbedingungen: 16</t>
  </si>
  <si>
    <t>Italien - Solomon P. Jordan</t>
  </si>
  <si>
    <t>Deutschland - Anton Krylov</t>
  </si>
  <si>
    <t>Frankreich - 	Jill McDowell</t>
  </si>
  <si>
    <t>17 Speisen, Getränke und Kronen</t>
  </si>
  <si>
    <t>6 Speisen, Getränke und Kronen</t>
  </si>
  <si>
    <t>Stand nach 9 von 12 Seasons</t>
  </si>
  <si>
    <t>1
(S9)</t>
  </si>
  <si>
    <t>4
(S1, S3, S5, S9)</t>
  </si>
  <si>
    <t>5
(S4, S5, S6, S7, S9)</t>
  </si>
  <si>
    <t>2
(S5, S9)</t>
  </si>
  <si>
    <t>2
(S6, S9)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</si>
</sst>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12" x14ac:knownFonts="1">
    <font>
      <sz val="11"/>
      <color theme="1"/>
      <name val="Calibri"/>
      <family val="2"/>
      <scheme val="minor"/>
    </font>
    <font>
      <b/>
      <sz val="11"/>
      <color theme="1"/>
      <name val="Calibri"/>
      <family val="2"/>
      <scheme val="minor"/>
    </font>
    <font>
      <b/>
      <sz val="18"/>
      <color theme="1"/>
      <name val="Calibri"/>
      <family val="2"/>
      <scheme val="minor"/>
    </font>
    <font>
      <b/>
      <sz val="24"/>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26"/>
      <color theme="1"/>
      <name val="Calibri"/>
      <family val="2"/>
      <scheme val="minor"/>
    </font>
    <font>
      <sz val="36"/>
      <color theme="1"/>
      <name val="Calibri"/>
      <family val="2"/>
      <scheme val="minor"/>
    </font>
    <font>
      <b/>
      <sz val="16"/>
      <name val="Calibri"/>
      <family val="2"/>
      <scheme val="minor"/>
    </font>
    <font>
      <sz val="16"/>
      <name val="Calibri"/>
      <family val="2"/>
      <scheme val="minor"/>
    </font>
    <font>
      <sz val="8"/>
      <name val="Calibri"/>
      <family val="2"/>
      <scheme val="minor"/>
    </font>
  </fonts>
  <fills count="13">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33CC"/>
        <bgColor indexed="64"/>
      </patternFill>
    </fill>
    <fill>
      <patternFill patternType="solid">
        <fgColor theme="1"/>
        <bgColor indexed="64"/>
      </patternFill>
    </fill>
    <fill>
      <patternFill patternType="solid">
        <fgColor rgb="FF00FF00"/>
        <bgColor indexed="64"/>
      </patternFill>
    </fill>
    <fill>
      <patternFill patternType="solid">
        <fgColor rgb="FFFFCC00"/>
        <bgColor indexed="64"/>
      </patternFill>
    </fill>
    <fill>
      <patternFill patternType="solid">
        <fgColor rgb="FFB2B2B2"/>
        <bgColor indexed="64"/>
      </patternFill>
    </fill>
    <fill>
      <patternFill patternType="solid">
        <fgColor rgb="FFCC6600"/>
        <bgColor indexed="64"/>
      </patternFill>
    </fill>
  </fills>
  <borders count="78">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medium">
        <color indexed="64"/>
      </right>
      <top/>
      <bottom/>
      <diagonal/>
    </border>
    <border>
      <left style="medium">
        <color indexed="64"/>
      </left>
      <right style="thin">
        <color indexed="64"/>
      </right>
      <top/>
      <bottom/>
      <diagonal/>
    </border>
    <border>
      <left style="thin">
        <color indexed="64"/>
      </left>
      <right/>
      <top style="medium">
        <color indexed="64"/>
      </top>
      <bottom/>
      <diagonal/>
    </border>
    <border>
      <left/>
      <right/>
      <top/>
      <bottom style="thin">
        <color indexed="64"/>
      </bottom>
      <diagonal/>
    </border>
    <border>
      <left style="medium">
        <color indexed="64"/>
      </left>
      <right style="medium">
        <color indexed="64"/>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medium">
        <color indexed="64"/>
      </left>
      <right/>
      <top style="thin">
        <color indexed="64"/>
      </top>
      <bottom style="medium">
        <color indexed="64"/>
      </bottom>
      <diagonal/>
    </border>
    <border>
      <left style="medium">
        <color indexed="64"/>
      </left>
      <right/>
      <top style="thin">
        <color indexed="64"/>
      </top>
      <bottom style="thin">
        <color indexed="64"/>
      </bottom>
      <diagonal/>
    </border>
  </borders>
  <cellStyleXfs count="1">
    <xf numFmtId="0" fontId="0" fillId="0" borderId="0"/>
  </cellStyleXfs>
  <cellXfs count="972">
    <xf numFmtId="0" fontId="0" fillId="0" borderId="0" xfId="0"/>
    <xf numFmtId="0" fontId="2" fillId="0" borderId="0" xfId="0" applyFont="1" applyAlignment="1">
      <alignment vertical="center"/>
    </xf>
    <xf numFmtId="0" fontId="0" fillId="0" borderId="0" xfId="0" applyAlignment="1">
      <alignment vertical="center"/>
    </xf>
    <xf numFmtId="0" fontId="0" fillId="0" borderId="12" xfId="0" applyBorder="1" applyAlignment="1">
      <alignment vertical="center"/>
    </xf>
    <xf numFmtId="0" fontId="1" fillId="0" borderId="0" xfId="0" applyFont="1" applyAlignment="1">
      <alignment horizontal="center" vertical="center"/>
    </xf>
    <xf numFmtId="0" fontId="1" fillId="0" borderId="2" xfId="0" applyFont="1" applyBorder="1" applyAlignment="1">
      <alignment horizontal="center" vertical="center"/>
    </xf>
    <xf numFmtId="0" fontId="0" fillId="0" borderId="0" xfId="0" applyAlignment="1">
      <alignment horizontal="center" vertical="center"/>
    </xf>
    <xf numFmtId="0" fontId="1" fillId="0" borderId="26" xfId="0" applyFont="1"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1" xfId="0" applyBorder="1" applyAlignment="1">
      <alignment horizontal="center" vertical="center"/>
    </xf>
    <xf numFmtId="0" fontId="2" fillId="0" borderId="0" xfId="0" applyFont="1" applyAlignment="1">
      <alignment horizontal="center" vertical="center"/>
    </xf>
    <xf numFmtId="0" fontId="1" fillId="0" borderId="2" xfId="0" applyFont="1" applyBorder="1" applyAlignment="1">
      <alignment vertical="center"/>
    </xf>
    <xf numFmtId="0" fontId="0" fillId="8" borderId="0" xfId="0" applyFill="1" applyAlignment="1">
      <alignment vertical="center"/>
    </xf>
    <xf numFmtId="0" fontId="2" fillId="8" borderId="0" xfId="0" applyFont="1" applyFill="1" applyAlignment="1">
      <alignment vertical="center"/>
    </xf>
    <xf numFmtId="0" fontId="2" fillId="8" borderId="0" xfId="0" applyFont="1" applyFill="1" applyAlignment="1">
      <alignment horizontal="center" vertical="center"/>
    </xf>
    <xf numFmtId="0" fontId="0" fillId="3" borderId="0" xfId="0" applyFill="1" applyAlignment="1">
      <alignment horizontal="center" vertical="center"/>
    </xf>
    <xf numFmtId="164" fontId="5" fillId="0" borderId="15" xfId="0" applyNumberFormat="1" applyFont="1" applyBorder="1" applyAlignment="1">
      <alignment horizontal="center" vertical="center"/>
    </xf>
    <xf numFmtId="0" fontId="1" fillId="0" borderId="26" xfId="0" applyFont="1" applyBorder="1" applyAlignment="1">
      <alignment horizontal="center" vertical="center" wrapText="1"/>
    </xf>
    <xf numFmtId="0" fontId="1" fillId="0" borderId="24" xfId="0" applyFont="1" applyBorder="1" applyAlignment="1">
      <alignment horizontal="center" vertical="center"/>
    </xf>
    <xf numFmtId="0" fontId="5" fillId="0" borderId="27" xfId="0" applyFont="1" applyBorder="1" applyAlignment="1">
      <alignment horizontal="center" vertical="center"/>
    </xf>
    <xf numFmtId="0" fontId="5" fillId="0" borderId="28" xfId="0" applyFont="1" applyBorder="1" applyAlignment="1">
      <alignment horizontal="center" vertical="center"/>
    </xf>
    <xf numFmtId="0" fontId="5" fillId="0" borderId="31" xfId="0" applyFont="1" applyBorder="1" applyAlignment="1">
      <alignment horizontal="center" vertical="center"/>
    </xf>
    <xf numFmtId="0" fontId="1" fillId="0" borderId="27" xfId="0" applyFont="1" applyBorder="1" applyAlignment="1">
      <alignment horizontal="center" vertical="center"/>
    </xf>
    <xf numFmtId="0" fontId="0" fillId="0" borderId="9" xfId="0" applyBorder="1" applyAlignment="1">
      <alignment vertical="center"/>
    </xf>
    <xf numFmtId="0" fontId="1" fillId="8" borderId="0" xfId="0" applyFont="1" applyFill="1" applyAlignment="1">
      <alignment horizontal="left" vertical="center"/>
    </xf>
    <xf numFmtId="0" fontId="0" fillId="5" borderId="0" xfId="0" applyFill="1" applyAlignment="1">
      <alignment vertical="center"/>
    </xf>
    <xf numFmtId="0" fontId="0" fillId="6" borderId="0" xfId="0" applyFill="1" applyAlignment="1">
      <alignment vertical="center"/>
    </xf>
    <xf numFmtId="0" fontId="0" fillId="0" borderId="0" xfId="0" applyAlignment="1">
      <alignment horizontal="left" vertical="center"/>
    </xf>
    <xf numFmtId="2" fontId="0" fillId="0" borderId="0" xfId="0" applyNumberFormat="1" applyAlignment="1">
      <alignment horizontal="left" vertical="center"/>
    </xf>
    <xf numFmtId="0" fontId="0" fillId="4" borderId="0" xfId="0" applyFill="1" applyAlignment="1">
      <alignment vertical="center"/>
    </xf>
    <xf numFmtId="0" fontId="0" fillId="8" borderId="0" xfId="0" applyFill="1" applyAlignment="1">
      <alignment horizontal="left" vertical="center"/>
    </xf>
    <xf numFmtId="0" fontId="0" fillId="7" borderId="0" xfId="0" applyFill="1" applyAlignment="1">
      <alignment vertical="center"/>
    </xf>
    <xf numFmtId="0" fontId="0" fillId="3" borderId="0" xfId="0" applyFill="1" applyAlignment="1">
      <alignment vertical="center"/>
    </xf>
    <xf numFmtId="0" fontId="1" fillId="0" borderId="0" xfId="0" applyFont="1" applyAlignment="1">
      <alignment horizontal="left" vertical="center"/>
    </xf>
    <xf numFmtId="0" fontId="4" fillId="0" borderId="9" xfId="0" applyFont="1" applyBorder="1" applyAlignment="1">
      <alignment vertical="center"/>
    </xf>
    <xf numFmtId="164" fontId="4" fillId="0" borderId="10" xfId="0" applyNumberFormat="1" applyFont="1" applyBorder="1" applyAlignment="1">
      <alignment horizontal="center" vertical="center"/>
    </xf>
    <xf numFmtId="0" fontId="4" fillId="0" borderId="12" xfId="0" applyFont="1" applyBorder="1" applyAlignment="1">
      <alignment vertical="center"/>
    </xf>
    <xf numFmtId="164" fontId="4" fillId="0" borderId="8" xfId="0" applyNumberFormat="1" applyFont="1" applyBorder="1" applyAlignment="1">
      <alignment horizontal="center" vertical="center"/>
    </xf>
    <xf numFmtId="0" fontId="5" fillId="0" borderId="9" xfId="0" applyFont="1" applyBorder="1" applyAlignment="1">
      <alignment vertical="center"/>
    </xf>
    <xf numFmtId="0" fontId="5" fillId="0" borderId="12" xfId="0" applyFont="1" applyBorder="1" applyAlignment="1">
      <alignment vertical="center"/>
    </xf>
    <xf numFmtId="0" fontId="5" fillId="0" borderId="14" xfId="0" applyFont="1" applyBorder="1" applyAlignment="1">
      <alignment vertical="center"/>
    </xf>
    <xf numFmtId="0" fontId="1" fillId="3" borderId="26" xfId="0" applyFont="1" applyFill="1" applyBorder="1" applyAlignment="1">
      <alignment horizontal="center" vertical="center" wrapText="1"/>
    </xf>
    <xf numFmtId="165" fontId="0" fillId="0" borderId="0" xfId="0" applyNumberFormat="1" applyAlignment="1">
      <alignment horizontal="center" vertical="center"/>
    </xf>
    <xf numFmtId="1" fontId="0" fillId="0" borderId="0" xfId="0" applyNumberFormat="1" applyAlignment="1">
      <alignment horizontal="center" vertical="center"/>
    </xf>
    <xf numFmtId="0" fontId="0" fillId="0" borderId="37" xfId="0" applyBorder="1" applyAlignment="1">
      <alignment vertical="center"/>
    </xf>
    <xf numFmtId="0" fontId="0" fillId="0" borderId="38" xfId="0" applyBorder="1" applyAlignment="1">
      <alignment horizontal="center" vertical="center"/>
    </xf>
    <xf numFmtId="0" fontId="5" fillId="0" borderId="8" xfId="0" applyFont="1" applyBorder="1" applyAlignment="1">
      <alignment horizontal="center" vertical="center"/>
    </xf>
    <xf numFmtId="164" fontId="5" fillId="0" borderId="8" xfId="0" applyNumberFormat="1" applyFont="1" applyBorder="1" applyAlignment="1">
      <alignment horizontal="center" vertical="center"/>
    </xf>
    <xf numFmtId="0" fontId="5" fillId="0" borderId="10" xfId="0" applyFont="1" applyBorder="1" applyAlignment="1">
      <alignment horizontal="center" vertical="center"/>
    </xf>
    <xf numFmtId="164" fontId="5" fillId="0" borderId="10" xfId="0" applyNumberFormat="1" applyFont="1" applyBorder="1" applyAlignment="1">
      <alignment horizontal="center" vertical="center"/>
    </xf>
    <xf numFmtId="0" fontId="5" fillId="3" borderId="12" xfId="0" applyFont="1" applyFill="1" applyBorder="1" applyAlignment="1">
      <alignment vertical="center"/>
    </xf>
    <xf numFmtId="1" fontId="5" fillId="3" borderId="8" xfId="0" applyNumberFormat="1" applyFont="1" applyFill="1" applyBorder="1" applyAlignment="1">
      <alignment horizontal="center" vertical="center"/>
    </xf>
    <xf numFmtId="0" fontId="1" fillId="0" borderId="0" xfId="0" applyFont="1" applyAlignment="1">
      <alignment vertical="center"/>
    </xf>
    <xf numFmtId="49" fontId="0" fillId="0" borderId="8" xfId="0" applyNumberFormat="1" applyBorder="1" applyAlignment="1">
      <alignment vertical="center"/>
    </xf>
    <xf numFmtId="49" fontId="0" fillId="0" borderId="10" xfId="0" applyNumberFormat="1" applyBorder="1" applyAlignment="1">
      <alignment vertical="center"/>
    </xf>
    <xf numFmtId="49" fontId="0" fillId="0" borderId="15" xfId="0" applyNumberFormat="1" applyBorder="1" applyAlignment="1">
      <alignment vertical="center"/>
    </xf>
    <xf numFmtId="0" fontId="0" fillId="0" borderId="30" xfId="0" applyBorder="1" applyAlignment="1">
      <alignment horizontal="center" vertical="center"/>
    </xf>
    <xf numFmtId="0" fontId="0" fillId="0" borderId="18" xfId="0" applyBorder="1" applyAlignment="1">
      <alignment horizontal="center" vertical="center"/>
    </xf>
    <xf numFmtId="0" fontId="5" fillId="0" borderId="16" xfId="0" applyFont="1" applyBorder="1" applyAlignment="1">
      <alignment horizontal="center" vertical="center"/>
    </xf>
    <xf numFmtId="0" fontId="5" fillId="0" borderId="13" xfId="0" applyFont="1" applyBorder="1" applyAlignment="1">
      <alignment horizontal="center" vertical="center"/>
    </xf>
    <xf numFmtId="0" fontId="5" fillId="0" borderId="11" xfId="0" applyFont="1" applyBorder="1" applyAlignment="1">
      <alignment horizontal="center" vertical="center"/>
    </xf>
    <xf numFmtId="0" fontId="1" fillId="0" borderId="25" xfId="0" applyFont="1" applyBorder="1" applyAlignment="1">
      <alignment vertical="center"/>
    </xf>
    <xf numFmtId="0" fontId="6" fillId="0" borderId="27" xfId="0" applyFont="1" applyBorder="1" applyAlignment="1">
      <alignment horizontal="center" vertical="center"/>
    </xf>
    <xf numFmtId="0" fontId="1" fillId="0" borderId="27" xfId="0" applyFont="1" applyBorder="1" applyAlignment="1">
      <alignment vertical="center"/>
    </xf>
    <xf numFmtId="0" fontId="5" fillId="7" borderId="0" xfId="0" applyFont="1" applyFill="1" applyAlignment="1">
      <alignment vertical="center"/>
    </xf>
    <xf numFmtId="0" fontId="5" fillId="4" borderId="0" xfId="0" applyFont="1" applyFill="1" applyAlignment="1">
      <alignment vertical="center"/>
    </xf>
    <xf numFmtId="0" fontId="5" fillId="6" borderId="0" xfId="0" applyFont="1" applyFill="1" applyAlignment="1">
      <alignment vertical="center"/>
    </xf>
    <xf numFmtId="0" fontId="5" fillId="5" borderId="0" xfId="0" applyFont="1" applyFill="1" applyAlignment="1">
      <alignment vertical="center"/>
    </xf>
    <xf numFmtId="0" fontId="5" fillId="5" borderId="0" xfId="0" applyFont="1" applyFill="1" applyAlignment="1">
      <alignment horizontal="center" vertical="center"/>
    </xf>
    <xf numFmtId="164" fontId="5" fillId="5" borderId="0" xfId="0" applyNumberFormat="1" applyFont="1" applyFill="1" applyAlignment="1">
      <alignment horizontal="center" vertical="center"/>
    </xf>
    <xf numFmtId="0" fontId="4" fillId="5" borderId="0" xfId="0" applyFont="1" applyFill="1" applyAlignment="1">
      <alignment vertical="center"/>
    </xf>
    <xf numFmtId="0" fontId="4" fillId="5" borderId="0" xfId="0" applyFont="1" applyFill="1" applyAlignment="1">
      <alignment horizontal="center" vertical="center"/>
    </xf>
    <xf numFmtId="164" fontId="4" fillId="5" borderId="0" xfId="0" applyNumberFormat="1" applyFont="1" applyFill="1" applyAlignment="1">
      <alignment horizontal="center" vertical="center"/>
    </xf>
    <xf numFmtId="0" fontId="5" fillId="6" borderId="0" xfId="0" applyFont="1" applyFill="1" applyAlignment="1">
      <alignment horizontal="center" vertical="center"/>
    </xf>
    <xf numFmtId="164" fontId="0" fillId="6" borderId="0" xfId="0" applyNumberFormat="1" applyFill="1" applyAlignment="1">
      <alignment horizontal="center" vertical="center"/>
    </xf>
    <xf numFmtId="164" fontId="0" fillId="4" borderId="0" xfId="0" applyNumberFormat="1" applyFill="1" applyAlignment="1">
      <alignment horizontal="center" vertical="center"/>
    </xf>
    <xf numFmtId="0" fontId="5" fillId="4" borderId="0" xfId="0" applyFont="1" applyFill="1" applyAlignment="1">
      <alignment horizontal="center" vertical="center"/>
    </xf>
    <xf numFmtId="164" fontId="0" fillId="7" borderId="0" xfId="0" applyNumberFormat="1" applyFill="1" applyAlignment="1">
      <alignment horizontal="center" vertical="center"/>
    </xf>
    <xf numFmtId="0" fontId="5" fillId="7" borderId="0" xfId="0" applyFont="1" applyFill="1" applyAlignment="1">
      <alignment horizontal="center" vertical="center"/>
    </xf>
    <xf numFmtId="0" fontId="1" fillId="0" borderId="1" xfId="0" applyFont="1" applyBorder="1" applyAlignment="1">
      <alignment horizontal="center" vertical="center" wrapText="1"/>
    </xf>
    <xf numFmtId="49" fontId="0" fillId="5" borderId="30" xfId="0" applyNumberFormat="1" applyFill="1" applyBorder="1" applyAlignment="1">
      <alignment vertical="center"/>
    </xf>
    <xf numFmtId="49" fontId="0" fillId="6" borderId="17" xfId="0" applyNumberFormat="1" applyFill="1" applyBorder="1" applyAlignment="1">
      <alignment vertical="center"/>
    </xf>
    <xf numFmtId="49" fontId="0" fillId="0" borderId="9" xfId="0" applyNumberFormat="1" applyBorder="1" applyAlignment="1">
      <alignment vertical="center"/>
    </xf>
    <xf numFmtId="49" fontId="0" fillId="0" borderId="12" xfId="0" applyNumberFormat="1" applyBorder="1" applyAlignment="1">
      <alignment vertical="center"/>
    </xf>
    <xf numFmtId="49" fontId="1" fillId="0" borderId="26" xfId="0" applyNumberFormat="1" applyFont="1" applyBorder="1" applyAlignment="1">
      <alignment vertical="center"/>
    </xf>
    <xf numFmtId="49" fontId="1" fillId="0" borderId="24" xfId="0" applyNumberFormat="1" applyFont="1" applyBorder="1" applyAlignment="1">
      <alignment vertical="center"/>
    </xf>
    <xf numFmtId="49" fontId="1" fillId="0" borderId="33" xfId="0" applyNumberFormat="1" applyFont="1" applyBorder="1" applyAlignment="1">
      <alignment vertical="center"/>
    </xf>
    <xf numFmtId="49" fontId="1" fillId="0" borderId="2" xfId="0" applyNumberFormat="1" applyFont="1" applyBorder="1" applyAlignment="1">
      <alignment horizontal="center" vertical="center"/>
    </xf>
    <xf numFmtId="49" fontId="1" fillId="0" borderId="26" xfId="0" applyNumberFormat="1" applyFont="1" applyBorder="1" applyAlignment="1">
      <alignment horizontal="center" vertical="center"/>
    </xf>
    <xf numFmtId="49" fontId="1" fillId="3" borderId="2" xfId="0" applyNumberFormat="1" applyFont="1" applyFill="1" applyBorder="1" applyAlignment="1">
      <alignment horizontal="center" vertical="center"/>
    </xf>
    <xf numFmtId="49" fontId="1" fillId="3" borderId="3" xfId="0" applyNumberFormat="1" applyFont="1" applyFill="1" applyBorder="1" applyAlignment="1">
      <alignment horizontal="center" vertical="center"/>
    </xf>
    <xf numFmtId="49" fontId="1" fillId="3" borderId="26" xfId="0" applyNumberFormat="1" applyFont="1" applyFill="1" applyBorder="1" applyAlignment="1">
      <alignment horizontal="center" vertical="center"/>
    </xf>
    <xf numFmtId="49" fontId="1" fillId="3" borderId="26" xfId="0" applyNumberFormat="1" applyFont="1" applyFill="1" applyBorder="1" applyAlignment="1">
      <alignment horizontal="center" vertical="center" wrapText="1"/>
    </xf>
    <xf numFmtId="49" fontId="1" fillId="0" borderId="32" xfId="0" applyNumberFormat="1" applyFont="1" applyBorder="1" applyAlignment="1">
      <alignment vertical="center"/>
    </xf>
    <xf numFmtId="49" fontId="0" fillId="0" borderId="20" xfId="0" applyNumberFormat="1" applyBorder="1" applyAlignment="1">
      <alignment vertical="center"/>
    </xf>
    <xf numFmtId="0" fontId="0" fillId="0" borderId="12" xfId="0" applyBorder="1" applyAlignment="1">
      <alignment horizontal="left" vertical="center"/>
    </xf>
    <xf numFmtId="0" fontId="5" fillId="0" borderId="8" xfId="0" applyFont="1" applyBorder="1" applyAlignment="1">
      <alignment vertical="center" wrapText="1"/>
    </xf>
    <xf numFmtId="49" fontId="0" fillId="7" borderId="14" xfId="0" applyNumberFormat="1" applyFill="1" applyBorder="1" applyAlignment="1">
      <alignment vertical="center" wrapText="1"/>
    </xf>
    <xf numFmtId="0" fontId="4" fillId="0" borderId="11" xfId="0" applyFont="1" applyBorder="1" applyAlignment="1">
      <alignment horizontal="center" vertical="center"/>
    </xf>
    <xf numFmtId="0" fontId="5" fillId="0" borderId="8" xfId="0" applyFont="1" applyBorder="1" applyAlignment="1">
      <alignment horizontal="center" vertical="center" wrapText="1"/>
    </xf>
    <xf numFmtId="0" fontId="0" fillId="0" borderId="8" xfId="0" applyBorder="1" applyAlignment="1">
      <alignment horizontal="center" vertical="center" wrapText="1"/>
    </xf>
    <xf numFmtId="0" fontId="0" fillId="0" borderId="15" xfId="0" applyBorder="1" applyAlignment="1">
      <alignment horizontal="center" vertical="center" wrapText="1"/>
    </xf>
    <xf numFmtId="0" fontId="4" fillId="0" borderId="10" xfId="0" applyFont="1" applyBorder="1" applyAlignment="1">
      <alignment horizontal="center" vertical="center" wrapText="1"/>
    </xf>
    <xf numFmtId="164" fontId="5" fillId="3" borderId="13" xfId="0" applyNumberFormat="1" applyFont="1" applyFill="1" applyBorder="1" applyAlignment="1">
      <alignment horizontal="center" vertical="center" wrapText="1"/>
    </xf>
    <xf numFmtId="0" fontId="5" fillId="4" borderId="14" xfId="0" applyFont="1" applyFill="1" applyBorder="1" applyAlignment="1">
      <alignment vertical="center"/>
    </xf>
    <xf numFmtId="164" fontId="5" fillId="4" borderId="16" xfId="0" applyNumberFormat="1" applyFont="1" applyFill="1" applyBorder="1" applyAlignment="1">
      <alignment horizontal="center" vertical="center" wrapText="1"/>
    </xf>
    <xf numFmtId="0" fontId="5" fillId="0" borderId="15" xfId="0" applyFont="1" applyBorder="1" applyAlignment="1">
      <alignment horizontal="center" vertical="center" wrapText="1"/>
    </xf>
    <xf numFmtId="0" fontId="4" fillId="0" borderId="13" xfId="0" applyFont="1" applyBorder="1" applyAlignment="1">
      <alignment horizontal="center" vertical="center"/>
    </xf>
    <xf numFmtId="1" fontId="5" fillId="4" borderId="15" xfId="0" applyNumberFormat="1" applyFont="1" applyFill="1" applyBorder="1" applyAlignment="1">
      <alignment horizontal="center" vertical="center"/>
    </xf>
    <xf numFmtId="0" fontId="4" fillId="0" borderId="12" xfId="0" applyFont="1" applyBorder="1" applyAlignment="1">
      <alignment horizontal="left" vertical="center"/>
    </xf>
    <xf numFmtId="0" fontId="0" fillId="0" borderId="10" xfId="0" applyBorder="1" applyAlignment="1">
      <alignment horizontal="center" vertical="center"/>
    </xf>
    <xf numFmtId="164" fontId="0" fillId="0" borderId="10" xfId="0" applyNumberFormat="1" applyBorder="1" applyAlignment="1">
      <alignment horizontal="center" vertical="center"/>
    </xf>
    <xf numFmtId="0" fontId="0" fillId="0" borderId="11" xfId="0" applyBorder="1" applyAlignment="1">
      <alignment horizontal="center" vertical="center"/>
    </xf>
    <xf numFmtId="0" fontId="0" fillId="0" borderId="8" xfId="0" applyBorder="1" applyAlignment="1">
      <alignment horizontal="center" vertical="center"/>
    </xf>
    <xf numFmtId="164" fontId="0" fillId="0" borderId="8" xfId="0" applyNumberFormat="1" applyBorder="1" applyAlignment="1">
      <alignment horizontal="center" vertical="center"/>
    </xf>
    <xf numFmtId="0" fontId="0" fillId="0" borderId="13"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164" fontId="0" fillId="0" borderId="15" xfId="0" applyNumberFormat="1" applyBorder="1" applyAlignment="1">
      <alignment horizontal="center" vertical="center"/>
    </xf>
    <xf numFmtId="49" fontId="0" fillId="6" borderId="12" xfId="0" applyNumberFormat="1" applyFill="1" applyBorder="1" applyAlignment="1">
      <alignment vertical="center"/>
    </xf>
    <xf numFmtId="0" fontId="1" fillId="3" borderId="27" xfId="0" applyFont="1" applyFill="1" applyBorder="1" applyAlignment="1">
      <alignment horizontal="center" vertical="center"/>
    </xf>
    <xf numFmtId="0" fontId="5" fillId="0" borderId="10" xfId="0" applyFont="1" applyBorder="1" applyAlignment="1">
      <alignment horizontal="center" vertical="center" wrapText="1"/>
    </xf>
    <xf numFmtId="0" fontId="4" fillId="0" borderId="8" xfId="0" applyFont="1" applyBorder="1" applyAlignment="1">
      <alignment horizontal="center" vertical="center" wrapText="1"/>
    </xf>
    <xf numFmtId="49" fontId="0" fillId="0" borderId="21" xfId="0" applyNumberFormat="1" applyBorder="1" applyAlignment="1">
      <alignment vertical="center"/>
    </xf>
    <xf numFmtId="49" fontId="1" fillId="0" borderId="26" xfId="0" applyNumberFormat="1" applyFont="1" applyBorder="1" applyAlignment="1">
      <alignment vertical="center" wrapText="1"/>
    </xf>
    <xf numFmtId="0" fontId="1" fillId="8" borderId="3" xfId="0" applyFont="1" applyFill="1" applyBorder="1" applyAlignment="1">
      <alignment horizontal="center" vertical="center" wrapText="1"/>
    </xf>
    <xf numFmtId="49" fontId="1" fillId="0" borderId="0" xfId="0" applyNumberFormat="1" applyFont="1" applyAlignment="1">
      <alignment horizontal="center" vertical="center"/>
    </xf>
    <xf numFmtId="0" fontId="1" fillId="0" borderId="0" xfId="0" applyFont="1" applyAlignment="1">
      <alignment horizontal="right" vertical="center"/>
    </xf>
    <xf numFmtId="49" fontId="0" fillId="5" borderId="10" xfId="0" applyNumberFormat="1" applyFill="1" applyBorder="1" applyAlignment="1">
      <alignment vertical="center"/>
    </xf>
    <xf numFmtId="49" fontId="1" fillId="8" borderId="26" xfId="0" applyNumberFormat="1" applyFont="1" applyFill="1" applyBorder="1" applyAlignment="1">
      <alignment horizontal="center" vertical="center" wrapText="1"/>
    </xf>
    <xf numFmtId="0" fontId="5" fillId="9" borderId="9" xfId="0" applyFont="1" applyFill="1" applyBorder="1" applyAlignment="1">
      <alignment vertical="center"/>
    </xf>
    <xf numFmtId="0" fontId="5" fillId="9" borderId="10" xfId="0" applyFont="1" applyFill="1" applyBorder="1" applyAlignment="1">
      <alignment vertical="center" wrapText="1"/>
    </xf>
    <xf numFmtId="1" fontId="5" fillId="9" borderId="10" xfId="0" applyNumberFormat="1" applyFont="1" applyFill="1" applyBorder="1" applyAlignment="1">
      <alignment horizontal="center" vertical="center"/>
    </xf>
    <xf numFmtId="164" fontId="5" fillId="9" borderId="11" xfId="0" applyNumberFormat="1" applyFont="1" applyFill="1" applyBorder="1" applyAlignment="1">
      <alignment horizontal="center" vertical="center" wrapText="1"/>
    </xf>
    <xf numFmtId="49" fontId="0" fillId="6" borderId="8" xfId="0" applyNumberFormat="1" applyFill="1" applyBorder="1" applyAlignment="1">
      <alignment vertical="center" wrapText="1"/>
    </xf>
    <xf numFmtId="49" fontId="0" fillId="4" borderId="8" xfId="0" applyNumberFormat="1" applyFill="1" applyBorder="1" applyAlignment="1">
      <alignment vertical="center" wrapText="1"/>
    </xf>
    <xf numFmtId="49" fontId="0" fillId="5" borderId="10" xfId="0" applyNumberFormat="1" applyFill="1" applyBorder="1" applyAlignment="1">
      <alignment vertical="center" wrapText="1"/>
    </xf>
    <xf numFmtId="49" fontId="0" fillId="7" borderId="15" xfId="0" applyNumberFormat="1" applyFill="1" applyBorder="1" applyAlignment="1">
      <alignment vertical="center" wrapText="1"/>
    </xf>
    <xf numFmtId="0" fontId="1" fillId="0" borderId="2" xfId="0" applyFont="1" applyBorder="1" applyAlignment="1">
      <alignment horizontal="left" vertical="center"/>
    </xf>
    <xf numFmtId="0" fontId="0" fillId="0" borderId="8" xfId="0" applyBorder="1" applyAlignment="1">
      <alignment vertical="center" wrapText="1"/>
    </xf>
    <xf numFmtId="49" fontId="0" fillId="5" borderId="9" xfId="0" applyNumberFormat="1" applyFill="1" applyBorder="1" applyAlignment="1">
      <alignment vertical="center"/>
    </xf>
    <xf numFmtId="49" fontId="0" fillId="4" borderId="17" xfId="0" applyNumberFormat="1" applyFill="1" applyBorder="1" applyAlignment="1">
      <alignment vertical="center" wrapText="1"/>
    </xf>
    <xf numFmtId="49" fontId="0" fillId="7" borderId="18" xfId="0" applyNumberFormat="1" applyFill="1" applyBorder="1" applyAlignment="1">
      <alignment vertical="center" wrapText="1"/>
    </xf>
    <xf numFmtId="0" fontId="0" fillId="0" borderId="14" xfId="0" applyBorder="1" applyAlignment="1">
      <alignment horizontal="left" vertical="center"/>
    </xf>
    <xf numFmtId="164" fontId="0" fillId="3" borderId="13" xfId="0" applyNumberFormat="1" applyFill="1" applyBorder="1" applyAlignment="1">
      <alignment horizontal="center" vertical="center"/>
    </xf>
    <xf numFmtId="164" fontId="0" fillId="9" borderId="11" xfId="0" applyNumberFormat="1" applyFill="1" applyBorder="1" applyAlignment="1">
      <alignment horizontal="center" vertical="center"/>
    </xf>
    <xf numFmtId="164" fontId="0" fillId="4" borderId="16" xfId="0" applyNumberFormat="1" applyFill="1" applyBorder="1" applyAlignment="1">
      <alignment horizontal="center" vertical="center"/>
    </xf>
    <xf numFmtId="0" fontId="0" fillId="0" borderId="8" xfId="0" applyBorder="1" applyAlignment="1">
      <alignment horizontal="left" vertical="center" wrapText="1"/>
    </xf>
    <xf numFmtId="0" fontId="4" fillId="0" borderId="8" xfId="0" applyFont="1" applyBorder="1" applyAlignment="1">
      <alignment horizontal="center" vertical="center"/>
    </xf>
    <xf numFmtId="0" fontId="5" fillId="0" borderId="15" xfId="0" applyFont="1" applyBorder="1" applyAlignment="1">
      <alignment horizontal="center" vertical="center"/>
    </xf>
    <xf numFmtId="0" fontId="5" fillId="3" borderId="8" xfId="0" applyFont="1" applyFill="1" applyBorder="1" applyAlignment="1">
      <alignment vertical="center"/>
    </xf>
    <xf numFmtId="0" fontId="5" fillId="9" borderId="10" xfId="0" applyFont="1" applyFill="1" applyBorder="1" applyAlignment="1">
      <alignment vertical="center"/>
    </xf>
    <xf numFmtId="0" fontId="5" fillId="4" borderId="15" xfId="0" applyFont="1" applyFill="1" applyBorder="1" applyAlignment="1">
      <alignment vertical="center"/>
    </xf>
    <xf numFmtId="0" fontId="0" fillId="0" borderId="15" xfId="0" applyBorder="1" applyAlignment="1">
      <alignment horizontal="left" vertical="center" wrapText="1"/>
    </xf>
    <xf numFmtId="0" fontId="0" fillId="3" borderId="12" xfId="0" applyFill="1" applyBorder="1" applyAlignment="1">
      <alignment horizontal="left" vertical="center"/>
    </xf>
    <xf numFmtId="49" fontId="0" fillId="7" borderId="8" xfId="0" applyNumberFormat="1" applyFill="1" applyBorder="1" applyAlignment="1">
      <alignment vertical="center" wrapText="1"/>
    </xf>
    <xf numFmtId="0" fontId="4" fillId="0" borderId="10" xfId="0" applyFont="1" applyBorder="1" applyAlignment="1">
      <alignment horizontal="center" vertical="center"/>
    </xf>
    <xf numFmtId="1" fontId="5" fillId="0" borderId="8" xfId="0" applyNumberFormat="1" applyFont="1" applyBorder="1" applyAlignment="1">
      <alignment horizontal="center" vertical="center"/>
    </xf>
    <xf numFmtId="0" fontId="0" fillId="0" borderId="0" xfId="0" applyAlignment="1">
      <alignment horizontal="center"/>
    </xf>
    <xf numFmtId="0" fontId="0" fillId="11" borderId="8" xfId="0" applyFill="1" applyBorder="1" applyAlignment="1">
      <alignment horizontal="center" vertical="center"/>
    </xf>
    <xf numFmtId="0" fontId="0" fillId="11" borderId="8" xfId="0" applyFill="1" applyBorder="1" applyAlignment="1">
      <alignment horizontal="center" vertical="center" wrapText="1"/>
    </xf>
    <xf numFmtId="0" fontId="0" fillId="12" borderId="8" xfId="0" applyFill="1" applyBorder="1" applyAlignment="1">
      <alignment horizontal="center" vertical="center"/>
    </xf>
    <xf numFmtId="0" fontId="0" fillId="12" borderId="8" xfId="0" applyFill="1" applyBorder="1" applyAlignment="1">
      <alignment horizontal="center" vertical="center" wrapText="1"/>
    </xf>
    <xf numFmtId="0" fontId="0" fillId="11" borderId="13" xfId="0" applyFill="1" applyBorder="1" applyAlignment="1">
      <alignment horizontal="center" vertical="center"/>
    </xf>
    <xf numFmtId="0" fontId="0" fillId="0" borderId="13" xfId="0" applyBorder="1" applyAlignment="1">
      <alignment horizontal="center" vertical="center" wrapText="1"/>
    </xf>
    <xf numFmtId="0" fontId="0" fillId="12" borderId="13" xfId="0" applyFill="1" applyBorder="1" applyAlignment="1">
      <alignment horizontal="center" vertical="center"/>
    </xf>
    <xf numFmtId="0" fontId="0" fillId="0" borderId="16" xfId="0" applyBorder="1" applyAlignment="1">
      <alignment horizontal="center" vertical="center" wrapText="1"/>
    </xf>
    <xf numFmtId="0" fontId="10" fillId="0" borderId="0" xfId="0" applyFont="1" applyAlignment="1">
      <alignment vertical="center"/>
    </xf>
    <xf numFmtId="0" fontId="0" fillId="2" borderId="0" xfId="0" applyFill="1"/>
    <xf numFmtId="0" fontId="0" fillId="2" borderId="0" xfId="0" applyFill="1" applyAlignment="1">
      <alignment horizontal="center"/>
    </xf>
    <xf numFmtId="0" fontId="10" fillId="2" borderId="0" xfId="0" applyFont="1" applyFill="1" applyAlignment="1">
      <alignment vertical="center"/>
    </xf>
    <xf numFmtId="0" fontId="1" fillId="2" borderId="0" xfId="0" applyFont="1" applyFill="1" applyAlignment="1">
      <alignment horizontal="center" vertical="center"/>
    </xf>
    <xf numFmtId="0" fontId="0" fillId="2" borderId="0" xfId="0" applyFill="1" applyAlignment="1">
      <alignment horizontal="center" vertical="center"/>
    </xf>
    <xf numFmtId="49" fontId="0" fillId="4" borderId="12" xfId="0" applyNumberFormat="1" applyFill="1" applyBorder="1" applyAlignment="1">
      <alignment horizontal="left" vertical="center" wrapText="1"/>
    </xf>
    <xf numFmtId="49" fontId="0" fillId="0" borderId="17" xfId="0" applyNumberFormat="1" applyBorder="1" applyAlignment="1">
      <alignment vertical="center"/>
    </xf>
    <xf numFmtId="1" fontId="0" fillId="0" borderId="8" xfId="0" applyNumberFormat="1" applyBorder="1" applyAlignment="1">
      <alignment horizontal="center" vertical="center"/>
    </xf>
    <xf numFmtId="1" fontId="0" fillId="0" borderId="15" xfId="0" applyNumberFormat="1" applyBorder="1" applyAlignment="1">
      <alignment horizontal="center" vertical="center"/>
    </xf>
    <xf numFmtId="49" fontId="0" fillId="0" borderId="41" xfId="0" applyNumberFormat="1" applyBorder="1" applyAlignment="1">
      <alignment vertical="center" wrapText="1"/>
    </xf>
    <xf numFmtId="49" fontId="0" fillId="0" borderId="43" xfId="0" applyNumberFormat="1" applyBorder="1" applyAlignment="1">
      <alignment vertical="center"/>
    </xf>
    <xf numFmtId="1" fontId="5" fillId="0" borderId="10" xfId="0" applyNumberFormat="1" applyFont="1" applyBorder="1" applyAlignment="1">
      <alignment horizontal="center" vertical="center"/>
    </xf>
    <xf numFmtId="49" fontId="0" fillId="0" borderId="42" xfId="0" applyNumberFormat="1" applyBorder="1" applyAlignment="1">
      <alignment vertical="center" wrapText="1"/>
    </xf>
    <xf numFmtId="49" fontId="0" fillId="0" borderId="14" xfId="0" applyNumberFormat="1" applyBorder="1" applyAlignment="1">
      <alignment vertical="center" wrapText="1"/>
    </xf>
    <xf numFmtId="49" fontId="0" fillId="0" borderId="15" xfId="0" applyNumberFormat="1" applyBorder="1" applyAlignment="1">
      <alignment vertical="center" wrapText="1"/>
    </xf>
    <xf numFmtId="1" fontId="4" fillId="0" borderId="8" xfId="0" applyNumberFormat="1" applyFont="1" applyBorder="1" applyAlignment="1">
      <alignment horizontal="center" vertical="center"/>
    </xf>
    <xf numFmtId="0" fontId="1" fillId="0" borderId="50" xfId="0" applyFont="1" applyBorder="1" applyAlignment="1">
      <alignment horizontal="center" vertical="center"/>
    </xf>
    <xf numFmtId="0" fontId="1" fillId="0" borderId="46" xfId="0" applyFont="1" applyBorder="1" applyAlignment="1">
      <alignment horizontal="center" vertical="center"/>
    </xf>
    <xf numFmtId="0" fontId="1" fillId="0" borderId="48" xfId="0" applyFont="1" applyBorder="1" applyAlignment="1">
      <alignment horizontal="center" vertical="center"/>
    </xf>
    <xf numFmtId="0" fontId="1" fillId="0" borderId="47" xfId="0" applyFont="1" applyBorder="1" applyAlignment="1">
      <alignment horizontal="center" vertical="center"/>
    </xf>
    <xf numFmtId="0" fontId="0" fillId="10" borderId="10" xfId="0" applyFill="1" applyBorder="1" applyAlignment="1">
      <alignment horizontal="center" vertical="center"/>
    </xf>
    <xf numFmtId="0" fontId="0" fillId="10" borderId="11" xfId="0" applyFill="1" applyBorder="1" applyAlignment="1">
      <alignment horizontal="center" vertical="center"/>
    </xf>
    <xf numFmtId="0" fontId="0" fillId="10" borderId="10" xfId="0" applyFill="1" applyBorder="1" applyAlignment="1">
      <alignment horizontal="center" vertical="center" wrapText="1"/>
    </xf>
    <xf numFmtId="0" fontId="5" fillId="0" borderId="0" xfId="0" applyFont="1" applyAlignment="1">
      <alignment horizontal="center" vertical="center"/>
    </xf>
    <xf numFmtId="0" fontId="1" fillId="0" borderId="25" xfId="0" applyFont="1" applyBorder="1" applyAlignment="1">
      <alignment horizontal="right" vertical="center"/>
    </xf>
    <xf numFmtId="0" fontId="0" fillId="4" borderId="0" xfId="0" applyFill="1" applyAlignment="1">
      <alignment horizontal="center" vertical="center"/>
    </xf>
    <xf numFmtId="0" fontId="1" fillId="7" borderId="0" xfId="0" applyFont="1" applyFill="1" applyAlignment="1">
      <alignment horizontal="center" vertical="center"/>
    </xf>
    <xf numFmtId="0" fontId="1" fillId="4" borderId="0" xfId="0" applyFont="1" applyFill="1" applyAlignment="1">
      <alignment horizontal="center" vertical="center"/>
    </xf>
    <xf numFmtId="0" fontId="1" fillId="6" borderId="0" xfId="0" applyFont="1" applyFill="1" applyAlignment="1">
      <alignment horizontal="center" vertical="center"/>
    </xf>
    <xf numFmtId="0" fontId="0" fillId="5" borderId="0" xfId="0" applyFill="1" applyAlignment="1">
      <alignment horizontal="center" vertical="center"/>
    </xf>
    <xf numFmtId="0" fontId="1" fillId="5" borderId="0" xfId="0" applyFont="1" applyFill="1" applyAlignment="1">
      <alignment horizontal="center" vertical="center"/>
    </xf>
    <xf numFmtId="49" fontId="1" fillId="0" borderId="26" xfId="0" applyNumberFormat="1" applyFont="1" applyBorder="1" applyAlignment="1">
      <alignment horizontal="center" vertical="center" wrapText="1"/>
    </xf>
    <xf numFmtId="0" fontId="0" fillId="7" borderId="0" xfId="0" applyFill="1" applyAlignment="1">
      <alignment horizontal="center" vertical="center"/>
    </xf>
    <xf numFmtId="49" fontId="1" fillId="3" borderId="24" xfId="0" applyNumberFormat="1" applyFont="1" applyFill="1" applyBorder="1" applyAlignment="1">
      <alignment horizontal="center" vertical="center" wrapText="1"/>
    </xf>
    <xf numFmtId="0" fontId="0" fillId="6" borderId="0" xfId="0" applyFill="1" applyAlignment="1">
      <alignment horizontal="center" vertical="center"/>
    </xf>
    <xf numFmtId="49" fontId="1" fillId="0" borderId="24" xfId="0" applyNumberFormat="1" applyFont="1" applyBorder="1" applyAlignment="1">
      <alignment horizontal="center" vertical="center"/>
    </xf>
    <xf numFmtId="0" fontId="0" fillId="0" borderId="17" xfId="0" applyBorder="1" applyAlignment="1">
      <alignment horizontal="center" vertical="center"/>
    </xf>
    <xf numFmtId="49" fontId="1" fillId="0" borderId="3" xfId="0" applyNumberFormat="1" applyFont="1" applyBorder="1" applyAlignment="1">
      <alignment horizontal="center" vertical="center" wrapText="1"/>
    </xf>
    <xf numFmtId="0" fontId="0" fillId="0" borderId="12" xfId="0" applyBorder="1" applyAlignment="1">
      <alignment horizontal="center" vertical="center"/>
    </xf>
    <xf numFmtId="0" fontId="0" fillId="0" borderId="14" xfId="0" applyBorder="1" applyAlignment="1">
      <alignment horizontal="center" vertical="center"/>
    </xf>
    <xf numFmtId="0" fontId="0" fillId="0" borderId="9" xfId="0" applyBorder="1" applyAlignment="1">
      <alignment horizontal="center" vertical="center"/>
    </xf>
    <xf numFmtId="0" fontId="1" fillId="0" borderId="32" xfId="0" applyFont="1" applyBorder="1" applyAlignment="1">
      <alignment horizontal="left" vertical="center"/>
    </xf>
    <xf numFmtId="0" fontId="1" fillId="0" borderId="32" xfId="0" applyFont="1" applyBorder="1" applyAlignment="1">
      <alignment vertical="center" wrapText="1"/>
    </xf>
    <xf numFmtId="0" fontId="1" fillId="0" borderId="33" xfId="0" applyFont="1" applyBorder="1" applyAlignment="1">
      <alignment vertical="center" wrapText="1"/>
    </xf>
    <xf numFmtId="49" fontId="0" fillId="5" borderId="9" xfId="0" applyNumberFormat="1" applyFill="1" applyBorder="1" applyAlignment="1">
      <alignment horizontal="left" vertical="center"/>
    </xf>
    <xf numFmtId="49" fontId="0" fillId="6" borderId="12" xfId="0" applyNumberFormat="1" applyFill="1" applyBorder="1" applyAlignment="1">
      <alignment horizontal="left" vertical="center"/>
    </xf>
    <xf numFmtId="49" fontId="0" fillId="4" borderId="8" xfId="0" applyNumberFormat="1" applyFill="1" applyBorder="1" applyAlignment="1">
      <alignment vertical="center"/>
    </xf>
    <xf numFmtId="49" fontId="0" fillId="4" borderId="12" xfId="0" applyNumberFormat="1" applyFill="1" applyBorder="1" applyAlignment="1">
      <alignment horizontal="left" vertical="center"/>
    </xf>
    <xf numFmtId="49" fontId="0" fillId="7" borderId="12" xfId="0" applyNumberFormat="1" applyFill="1" applyBorder="1" applyAlignment="1">
      <alignment horizontal="left" vertical="center"/>
    </xf>
    <xf numFmtId="49" fontId="0" fillId="0" borderId="30" xfId="0" applyNumberFormat="1" applyBorder="1" applyAlignment="1">
      <alignment vertical="center"/>
    </xf>
    <xf numFmtId="49" fontId="0" fillId="0" borderId="18" xfId="0" applyNumberFormat="1" applyBorder="1" applyAlignment="1">
      <alignment vertical="center"/>
    </xf>
    <xf numFmtId="0" fontId="4" fillId="0" borderId="8" xfId="0" applyFont="1" applyBorder="1" applyAlignment="1">
      <alignment vertical="center" wrapText="1"/>
    </xf>
    <xf numFmtId="0" fontId="0" fillId="9" borderId="10" xfId="0" applyFill="1" applyBorder="1" applyAlignment="1">
      <alignment vertical="center"/>
    </xf>
    <xf numFmtId="0" fontId="0" fillId="10" borderId="9" xfId="0" applyFill="1" applyBorder="1" applyAlignment="1">
      <alignment horizontal="center" vertical="center" wrapText="1"/>
    </xf>
    <xf numFmtId="0" fontId="0" fillId="11" borderId="12" xfId="0" applyFill="1" applyBorder="1" applyAlignment="1">
      <alignment horizontal="center" vertical="center" wrapText="1"/>
    </xf>
    <xf numFmtId="0" fontId="0" fillId="0" borderId="12" xfId="0" applyBorder="1" applyAlignment="1">
      <alignment horizontal="center" vertical="center" wrapText="1"/>
    </xf>
    <xf numFmtId="0" fontId="0" fillId="10" borderId="9" xfId="0" applyFill="1" applyBorder="1" applyAlignment="1">
      <alignment horizontal="center" vertical="center"/>
    </xf>
    <xf numFmtId="0" fontId="0" fillId="0" borderId="14" xfId="0" applyBorder="1" applyAlignment="1">
      <alignment horizontal="center" vertical="center" wrapText="1"/>
    </xf>
    <xf numFmtId="0" fontId="1" fillId="0" borderId="26" xfId="0" applyFont="1" applyBorder="1" applyAlignment="1">
      <alignment vertical="center" wrapText="1"/>
    </xf>
    <xf numFmtId="0" fontId="1" fillId="0" borderId="24" xfId="0" applyFont="1" applyBorder="1" applyAlignment="1">
      <alignment vertical="center" wrapText="1"/>
    </xf>
    <xf numFmtId="0" fontId="0" fillId="0" borderId="51" xfId="0" applyBorder="1" applyAlignment="1">
      <alignment horizontal="left" vertical="center"/>
    </xf>
    <xf numFmtId="0" fontId="0" fillId="0" borderId="49" xfId="0" applyBorder="1" applyAlignment="1">
      <alignment vertical="center" wrapText="1"/>
    </xf>
    <xf numFmtId="0" fontId="0" fillId="0" borderId="40" xfId="0" applyBorder="1" applyAlignment="1">
      <alignment vertical="center" wrapText="1"/>
    </xf>
    <xf numFmtId="0" fontId="0" fillId="0" borderId="37"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left" vertical="center" wrapText="1"/>
    </xf>
    <xf numFmtId="49" fontId="0" fillId="0" borderId="20" xfId="0" applyNumberFormat="1" applyBorder="1" applyAlignment="1">
      <alignment vertical="center" wrapText="1"/>
    </xf>
    <xf numFmtId="49" fontId="0" fillId="6" borderId="20" xfId="0" applyNumberFormat="1" applyFill="1" applyBorder="1" applyAlignment="1">
      <alignment vertical="center"/>
    </xf>
    <xf numFmtId="49" fontId="0" fillId="0" borderId="19" xfId="0" applyNumberFormat="1" applyBorder="1" applyAlignment="1">
      <alignment vertical="center"/>
    </xf>
    <xf numFmtId="0" fontId="5" fillId="0" borderId="3" xfId="0" applyFont="1" applyBorder="1" applyAlignment="1">
      <alignment horizontal="center" vertical="center" wrapText="1"/>
    </xf>
    <xf numFmtId="0" fontId="5" fillId="0" borderId="0" xfId="0" applyFont="1" applyAlignment="1">
      <alignment horizontal="center" vertical="center" wrapText="1"/>
    </xf>
    <xf numFmtId="0" fontId="1" fillId="0" borderId="46" xfId="0" applyFont="1" applyBorder="1" applyAlignment="1">
      <alignment horizontal="center" vertical="center" wrapText="1"/>
    </xf>
    <xf numFmtId="49" fontId="0" fillId="4" borderId="20" xfId="0" applyNumberFormat="1" applyFill="1" applyBorder="1" applyAlignment="1">
      <alignment vertical="center" wrapText="1"/>
    </xf>
    <xf numFmtId="49" fontId="0" fillId="4" borderId="17" xfId="0" applyNumberFormat="1" applyFill="1" applyBorder="1" applyAlignment="1">
      <alignment vertical="center"/>
    </xf>
    <xf numFmtId="49" fontId="0" fillId="4" borderId="19" xfId="0" applyNumberFormat="1" applyFill="1" applyBorder="1" applyAlignment="1">
      <alignment vertical="center"/>
    </xf>
    <xf numFmtId="0" fontId="5" fillId="0" borderId="10" xfId="0" applyFont="1" applyBorder="1" applyAlignment="1">
      <alignment vertical="center"/>
    </xf>
    <xf numFmtId="0" fontId="0" fillId="0" borderId="10" xfId="0" applyBorder="1" applyAlignment="1">
      <alignment vertical="center"/>
    </xf>
    <xf numFmtId="0" fontId="0" fillId="0" borderId="8" xfId="0" applyBorder="1" applyAlignment="1">
      <alignment horizontal="left" vertical="center"/>
    </xf>
    <xf numFmtId="0" fontId="5" fillId="0" borderId="8" xfId="0" applyFont="1" applyBorder="1" applyAlignment="1">
      <alignment horizontal="left" vertical="center"/>
    </xf>
    <xf numFmtId="0" fontId="0" fillId="0" borderId="8" xfId="0" applyBorder="1" applyAlignment="1">
      <alignment vertical="center"/>
    </xf>
    <xf numFmtId="0" fontId="5" fillId="0" borderId="8" xfId="0" applyFont="1" applyBorder="1" applyAlignment="1">
      <alignment vertical="center"/>
    </xf>
    <xf numFmtId="0" fontId="5" fillId="0" borderId="15" xfId="0" applyFont="1" applyBorder="1" applyAlignment="1">
      <alignment vertical="center"/>
    </xf>
    <xf numFmtId="0" fontId="0" fillId="0" borderId="15" xfId="0" applyBorder="1" applyAlignment="1">
      <alignment vertical="center"/>
    </xf>
    <xf numFmtId="0" fontId="0" fillId="11" borderId="12" xfId="0" applyFill="1" applyBorder="1" applyAlignment="1">
      <alignment horizontal="center" vertical="center"/>
    </xf>
    <xf numFmtId="0" fontId="5" fillId="0" borderId="10" xfId="0" applyFont="1" applyBorder="1" applyAlignment="1">
      <alignment horizontal="left" vertical="center"/>
    </xf>
    <xf numFmtId="0" fontId="0" fillId="0" borderId="10" xfId="0" applyBorder="1" applyAlignment="1">
      <alignment horizontal="left" vertical="center"/>
    </xf>
    <xf numFmtId="0" fontId="5" fillId="0" borderId="15" xfId="0" applyFont="1" applyBorder="1" applyAlignment="1">
      <alignment horizontal="left" vertical="center"/>
    </xf>
    <xf numFmtId="0" fontId="0" fillId="0" borderId="15" xfId="0" applyBorder="1" applyAlignment="1">
      <alignment horizontal="left" vertical="center"/>
    </xf>
    <xf numFmtId="0" fontId="5" fillId="0" borderId="13" xfId="0" applyFont="1" applyBorder="1" applyAlignment="1">
      <alignment vertical="center"/>
    </xf>
    <xf numFmtId="0" fontId="5" fillId="0" borderId="11" xfId="0" applyFont="1" applyBorder="1" applyAlignment="1">
      <alignment vertical="center"/>
    </xf>
    <xf numFmtId="0" fontId="5" fillId="0" borderId="16" xfId="0" applyFont="1" applyBorder="1" applyAlignment="1">
      <alignment vertical="center"/>
    </xf>
    <xf numFmtId="0" fontId="0" fillId="4" borderId="14" xfId="0" applyFill="1" applyBorder="1" applyAlignment="1">
      <alignment horizontal="left" vertical="center"/>
    </xf>
    <xf numFmtId="0" fontId="0" fillId="12" borderId="12" xfId="0" applyFill="1" applyBorder="1" applyAlignment="1">
      <alignment horizontal="center" vertical="center" wrapText="1"/>
    </xf>
    <xf numFmtId="0" fontId="5" fillId="9" borderId="10" xfId="0" applyFont="1" applyFill="1" applyBorder="1" applyAlignment="1">
      <alignment horizontal="center" vertical="center"/>
    </xf>
    <xf numFmtId="0" fontId="5" fillId="3" borderId="8" xfId="0" applyFont="1" applyFill="1" applyBorder="1" applyAlignment="1">
      <alignment horizontal="center" vertical="center"/>
    </xf>
    <xf numFmtId="0" fontId="5" fillId="4" borderId="15" xfId="0" applyFont="1" applyFill="1" applyBorder="1" applyAlignment="1">
      <alignment horizontal="center" vertical="center"/>
    </xf>
    <xf numFmtId="0" fontId="0" fillId="3" borderId="8" xfId="0" applyFill="1" applyBorder="1" applyAlignment="1">
      <alignment horizontal="center" vertical="center"/>
    </xf>
    <xf numFmtId="0" fontId="0" fillId="9" borderId="10" xfId="0" applyFill="1" applyBorder="1" applyAlignment="1">
      <alignment horizontal="center" vertical="center"/>
    </xf>
    <xf numFmtId="0" fontId="0" fillId="4" borderId="15" xfId="0" applyFill="1" applyBorder="1" applyAlignment="1">
      <alignment horizontal="center" vertical="center"/>
    </xf>
    <xf numFmtId="0" fontId="0" fillId="0" borderId="10" xfId="0" applyBorder="1" applyAlignment="1">
      <alignment horizontal="center" vertical="center" wrapText="1"/>
    </xf>
    <xf numFmtId="49" fontId="0" fillId="5" borderId="21" xfId="0" applyNumberFormat="1" applyFill="1" applyBorder="1" applyAlignment="1">
      <alignment vertical="center"/>
    </xf>
    <xf numFmtId="1" fontId="0" fillId="0" borderId="10" xfId="0" applyNumberFormat="1" applyBorder="1" applyAlignment="1">
      <alignment horizontal="center" vertical="center"/>
    </xf>
    <xf numFmtId="0" fontId="1" fillId="0" borderId="1" xfId="0" applyFont="1" applyBorder="1" applyAlignment="1">
      <alignment vertical="center" wrapText="1"/>
    </xf>
    <xf numFmtId="0" fontId="4" fillId="0" borderId="10" xfId="0" applyFont="1" applyBorder="1" applyAlignment="1">
      <alignment horizontal="left" vertical="center"/>
    </xf>
    <xf numFmtId="0" fontId="4" fillId="0" borderId="8" xfId="0" applyFont="1" applyBorder="1" applyAlignment="1">
      <alignment horizontal="left" vertical="center"/>
    </xf>
    <xf numFmtId="0" fontId="5" fillId="3" borderId="8" xfId="0" applyFont="1" applyFill="1" applyBorder="1" applyAlignment="1">
      <alignment horizontal="left" vertical="center"/>
    </xf>
    <xf numFmtId="0" fontId="5" fillId="4" borderId="15" xfId="0" applyFont="1" applyFill="1" applyBorder="1" applyAlignment="1">
      <alignment horizontal="left" vertical="center"/>
    </xf>
    <xf numFmtId="164" fontId="5" fillId="0" borderId="8" xfId="0" applyNumberFormat="1" applyFont="1" applyBorder="1" applyAlignment="1">
      <alignment horizontal="center" vertical="center" wrapText="1"/>
    </xf>
    <xf numFmtId="0" fontId="4" fillId="0" borderId="10" xfId="0" applyFont="1" applyBorder="1" applyAlignment="1">
      <alignment vertical="center"/>
    </xf>
    <xf numFmtId="0" fontId="0" fillId="3" borderId="8" xfId="0" applyFill="1" applyBorder="1" applyAlignment="1">
      <alignment vertical="center"/>
    </xf>
    <xf numFmtId="0" fontId="4" fillId="0" borderId="8" xfId="0" applyFont="1" applyBorder="1" applyAlignment="1">
      <alignment vertical="center"/>
    </xf>
    <xf numFmtId="164" fontId="5" fillId="4" borderId="15" xfId="0" applyNumberFormat="1" applyFont="1" applyFill="1" applyBorder="1" applyAlignment="1">
      <alignment horizontal="center" vertical="center"/>
    </xf>
    <xf numFmtId="164" fontId="5" fillId="3" borderId="8" xfId="0" applyNumberFormat="1" applyFont="1" applyFill="1" applyBorder="1" applyAlignment="1">
      <alignment horizontal="center" vertical="center"/>
    </xf>
    <xf numFmtId="0" fontId="4" fillId="0" borderId="14" xfId="0" applyFont="1" applyBorder="1" applyAlignment="1">
      <alignment vertical="center"/>
    </xf>
    <xf numFmtId="0" fontId="4" fillId="0" borderId="15" xfId="0" applyFont="1" applyBorder="1" applyAlignment="1">
      <alignment horizontal="left" vertical="center"/>
    </xf>
    <xf numFmtId="0" fontId="4" fillId="0" borderId="15" xfId="0" applyFont="1" applyBorder="1" applyAlignment="1">
      <alignment horizontal="center" vertical="center"/>
    </xf>
    <xf numFmtId="0" fontId="4" fillId="0" borderId="15" xfId="0" applyFont="1" applyBorder="1" applyAlignment="1">
      <alignment horizontal="center" vertical="center" wrapText="1"/>
    </xf>
    <xf numFmtId="164" fontId="4" fillId="0" borderId="15" xfId="0" applyNumberFormat="1" applyFont="1" applyBorder="1" applyAlignment="1">
      <alignment horizontal="center" vertical="center"/>
    </xf>
    <xf numFmtId="0" fontId="4" fillId="0" borderId="16" xfId="0" applyFont="1" applyBorder="1" applyAlignment="1">
      <alignment horizontal="center" vertical="center"/>
    </xf>
    <xf numFmtId="0" fontId="5" fillId="9" borderId="10" xfId="0" applyFont="1" applyFill="1" applyBorder="1" applyAlignment="1">
      <alignment horizontal="left" vertical="center"/>
    </xf>
    <xf numFmtId="1" fontId="4" fillId="0" borderId="15" xfId="0" applyNumberFormat="1" applyFont="1" applyBorder="1" applyAlignment="1">
      <alignment horizontal="center" vertical="center"/>
    </xf>
    <xf numFmtId="0" fontId="1" fillId="0" borderId="48" xfId="0" applyFont="1" applyBorder="1" applyAlignment="1">
      <alignment horizontal="center" vertical="center" wrapText="1"/>
    </xf>
    <xf numFmtId="0" fontId="5" fillId="0" borderId="11" xfId="0" applyFont="1" applyBorder="1" applyAlignment="1">
      <alignment horizontal="left" vertical="center"/>
    </xf>
    <xf numFmtId="0" fontId="5" fillId="0" borderId="13" xfId="0" applyFont="1" applyBorder="1" applyAlignment="1">
      <alignment horizontal="left" vertical="center"/>
    </xf>
    <xf numFmtId="0" fontId="5" fillId="0" borderId="8" xfId="0" applyFont="1" applyBorder="1" applyAlignment="1">
      <alignment horizontal="left" vertical="center" wrapText="1"/>
    </xf>
    <xf numFmtId="0" fontId="5" fillId="0" borderId="0" xfId="0" applyFont="1" applyAlignment="1">
      <alignment horizontal="left" vertical="center"/>
    </xf>
    <xf numFmtId="0" fontId="0" fillId="0" borderId="0" xfId="0" applyAlignment="1">
      <alignment horizontal="left" vertical="center" wrapText="1"/>
    </xf>
    <xf numFmtId="0" fontId="1" fillId="0" borderId="26" xfId="0" applyFont="1" applyBorder="1" applyAlignment="1">
      <alignment horizontal="left" vertical="center"/>
    </xf>
    <xf numFmtId="0" fontId="5" fillId="0" borderId="39" xfId="0" applyFont="1" applyBorder="1" applyAlignment="1">
      <alignment vertical="center"/>
    </xf>
    <xf numFmtId="0" fontId="5" fillId="0" borderId="49" xfId="0" applyFont="1" applyBorder="1" applyAlignment="1">
      <alignment horizontal="left" vertical="center"/>
    </xf>
    <xf numFmtId="0" fontId="0" fillId="0" borderId="49" xfId="0" applyBorder="1" applyAlignment="1">
      <alignment horizontal="left" vertical="center" wrapText="1"/>
    </xf>
    <xf numFmtId="0" fontId="0" fillId="0" borderId="49" xfId="0" applyBorder="1" applyAlignment="1">
      <alignment horizontal="left" vertical="center"/>
    </xf>
    <xf numFmtId="0" fontId="0" fillId="0" borderId="40" xfId="0" applyBorder="1" applyAlignment="1">
      <alignment vertical="center"/>
    </xf>
    <xf numFmtId="49" fontId="1" fillId="0" borderId="1" xfId="0" applyNumberFormat="1" applyFont="1" applyBorder="1" applyAlignment="1">
      <alignment vertical="center"/>
    </xf>
    <xf numFmtId="0" fontId="5" fillId="0" borderId="12" xfId="0" applyFont="1" applyBorder="1" applyAlignment="1">
      <alignment horizontal="left" vertical="center"/>
    </xf>
    <xf numFmtId="49" fontId="0" fillId="7" borderId="14" xfId="0" applyNumberFormat="1" applyFill="1" applyBorder="1" applyAlignment="1">
      <alignment horizontal="left" vertical="center"/>
    </xf>
    <xf numFmtId="0" fontId="5" fillId="0" borderId="10" xfId="0" applyFont="1" applyBorder="1" applyAlignment="1">
      <alignment vertical="center" wrapText="1"/>
    </xf>
    <xf numFmtId="0" fontId="0" fillId="0" borderId="15" xfId="0" applyBorder="1" applyAlignment="1">
      <alignment vertical="center" wrapText="1"/>
    </xf>
    <xf numFmtId="49" fontId="0" fillId="4" borderId="14" xfId="0" applyNumberFormat="1" applyFill="1" applyBorder="1" applyAlignment="1">
      <alignment horizontal="left" vertical="center" wrapText="1"/>
    </xf>
    <xf numFmtId="49" fontId="0" fillId="4" borderId="15" xfId="0" applyNumberFormat="1" applyFill="1" applyBorder="1" applyAlignment="1">
      <alignment vertical="center" wrapText="1"/>
    </xf>
    <xf numFmtId="49" fontId="0" fillId="0" borderId="14" xfId="0" applyNumberFormat="1" applyBorder="1" applyAlignment="1">
      <alignment vertical="center"/>
    </xf>
    <xf numFmtId="0" fontId="4" fillId="0" borderId="14" xfId="0" applyFont="1" applyBorder="1" applyAlignment="1">
      <alignment horizontal="left" vertical="center"/>
    </xf>
    <xf numFmtId="0" fontId="4" fillId="0" borderId="15" xfId="0" applyFont="1" applyBorder="1" applyAlignment="1">
      <alignment vertical="center" wrapText="1"/>
    </xf>
    <xf numFmtId="0" fontId="2" fillId="3" borderId="0" xfId="0" applyFont="1" applyFill="1" applyAlignment="1">
      <alignment vertical="center"/>
    </xf>
    <xf numFmtId="49" fontId="1" fillId="3" borderId="0" xfId="0" applyNumberFormat="1" applyFont="1" applyFill="1" applyAlignment="1">
      <alignment horizontal="center" vertical="center" wrapText="1"/>
    </xf>
    <xf numFmtId="0" fontId="1" fillId="3" borderId="0" xfId="0" applyFont="1" applyFill="1" applyAlignment="1">
      <alignment horizontal="center" vertical="center" wrapText="1"/>
    </xf>
    <xf numFmtId="0" fontId="0" fillId="9" borderId="10" xfId="0" applyFill="1" applyBorder="1" applyAlignment="1">
      <alignment vertical="center" wrapText="1"/>
    </xf>
    <xf numFmtId="0" fontId="5" fillId="3" borderId="0" xfId="0" applyFont="1" applyFill="1" applyAlignment="1">
      <alignment vertical="center"/>
    </xf>
    <xf numFmtId="0" fontId="5" fillId="3" borderId="0" xfId="0" applyFont="1" applyFill="1" applyAlignment="1">
      <alignment horizontal="center" vertical="center"/>
    </xf>
    <xf numFmtId="0" fontId="0" fillId="3" borderId="8" xfId="0" applyFill="1" applyBorder="1" applyAlignment="1">
      <alignment vertical="center" wrapText="1"/>
    </xf>
    <xf numFmtId="0" fontId="5" fillId="4" borderId="15" xfId="0" applyFont="1" applyFill="1" applyBorder="1" applyAlignment="1">
      <alignment vertical="center" wrapText="1"/>
    </xf>
    <xf numFmtId="0" fontId="0" fillId="0" borderId="10" xfId="0" applyBorder="1" applyAlignment="1">
      <alignment vertical="center" wrapText="1"/>
    </xf>
    <xf numFmtId="49" fontId="0" fillId="8" borderId="20" xfId="0" applyNumberFormat="1" applyFill="1" applyBorder="1" applyAlignment="1">
      <alignment vertical="center" wrapText="1"/>
    </xf>
    <xf numFmtId="49" fontId="0" fillId="8" borderId="17" xfId="0" applyNumberFormat="1" applyFill="1" applyBorder="1" applyAlignment="1">
      <alignment vertical="center"/>
    </xf>
    <xf numFmtId="49" fontId="0" fillId="8" borderId="8" xfId="0" applyNumberFormat="1" applyFill="1" applyBorder="1" applyAlignment="1">
      <alignment vertical="center"/>
    </xf>
    <xf numFmtId="49" fontId="0" fillId="8" borderId="21" xfId="0" applyNumberFormat="1" applyFill="1" applyBorder="1" applyAlignment="1">
      <alignment vertical="center"/>
    </xf>
    <xf numFmtId="49" fontId="0" fillId="8" borderId="18" xfId="0" applyNumberFormat="1" applyFill="1" applyBorder="1" applyAlignment="1">
      <alignment vertical="center"/>
    </xf>
    <xf numFmtId="49" fontId="0" fillId="8" borderId="15" xfId="0" applyNumberFormat="1" applyFill="1" applyBorder="1" applyAlignment="1">
      <alignment vertical="center"/>
    </xf>
    <xf numFmtId="0" fontId="4" fillId="0" borderId="9" xfId="0" applyFont="1" applyBorder="1" applyAlignment="1">
      <alignment horizontal="left" vertical="center"/>
    </xf>
    <xf numFmtId="0" fontId="4" fillId="0" borderId="10" xfId="0" applyFont="1" applyBorder="1" applyAlignment="1">
      <alignment vertical="center" wrapText="1"/>
    </xf>
    <xf numFmtId="0" fontId="0" fillId="9" borderId="9" xfId="0" applyFill="1" applyBorder="1" applyAlignment="1">
      <alignment horizontal="left" vertical="center"/>
    </xf>
    <xf numFmtId="164" fontId="5" fillId="3" borderId="0" xfId="0" applyNumberFormat="1" applyFont="1" applyFill="1" applyAlignment="1">
      <alignment horizontal="center" vertical="center" wrapText="1"/>
    </xf>
    <xf numFmtId="0" fontId="0" fillId="4" borderId="15" xfId="0" applyFill="1" applyBorder="1" applyAlignment="1">
      <alignment horizontal="left" vertical="center" wrapText="1"/>
    </xf>
    <xf numFmtId="0" fontId="5" fillId="0" borderId="15" xfId="0" applyFont="1" applyBorder="1" applyAlignment="1">
      <alignment horizontal="left" vertical="center" wrapText="1"/>
    </xf>
    <xf numFmtId="49" fontId="0" fillId="8" borderId="69" xfId="0" applyNumberFormat="1" applyFill="1" applyBorder="1" applyAlignment="1">
      <alignment vertical="center" wrapText="1"/>
    </xf>
    <xf numFmtId="49" fontId="0" fillId="8" borderId="62" xfId="0" applyNumberFormat="1" applyFill="1" applyBorder="1" applyAlignment="1">
      <alignment vertical="center"/>
    </xf>
    <xf numFmtId="49" fontId="0" fillId="8" borderId="53" xfId="0" applyNumberFormat="1" applyFill="1" applyBorder="1" applyAlignment="1">
      <alignment vertical="center"/>
    </xf>
    <xf numFmtId="49" fontId="0" fillId="8" borderId="61" xfId="0" applyNumberFormat="1" applyFill="1" applyBorder="1" applyAlignment="1">
      <alignment horizontal="left" vertical="center"/>
    </xf>
    <xf numFmtId="49" fontId="0" fillId="8" borderId="70" xfId="0" applyNumberFormat="1" applyFill="1" applyBorder="1" applyAlignment="1">
      <alignment horizontal="left" vertical="center"/>
    </xf>
    <xf numFmtId="49" fontId="0" fillId="8" borderId="71" xfId="0" applyNumberFormat="1" applyFill="1" applyBorder="1" applyAlignment="1">
      <alignment horizontal="left" vertical="center"/>
    </xf>
    <xf numFmtId="49" fontId="0" fillId="8" borderId="15" xfId="0" applyNumberFormat="1" applyFill="1" applyBorder="1" applyAlignment="1">
      <alignment horizontal="left" vertical="center"/>
    </xf>
    <xf numFmtId="49" fontId="0" fillId="8" borderId="16" xfId="0" applyNumberFormat="1" applyFill="1" applyBorder="1" applyAlignment="1">
      <alignment horizontal="left" vertical="center"/>
    </xf>
    <xf numFmtId="0" fontId="0" fillId="0" borderId="29" xfId="0" applyBorder="1" applyAlignment="1">
      <alignment horizontal="center" vertical="center"/>
    </xf>
    <xf numFmtId="49" fontId="0" fillId="8" borderId="20" xfId="0" applyNumberFormat="1" applyFill="1" applyBorder="1" applyAlignment="1">
      <alignment vertical="center"/>
    </xf>
    <xf numFmtId="0" fontId="4" fillId="0" borderId="3" xfId="0" applyFont="1" applyBorder="1" applyAlignment="1">
      <alignment horizontal="center" vertical="center" wrapText="1"/>
    </xf>
    <xf numFmtId="0" fontId="0" fillId="0" borderId="48" xfId="0" applyBorder="1" applyAlignment="1">
      <alignment horizontal="center" vertical="center"/>
    </xf>
    <xf numFmtId="0" fontId="5" fillId="0" borderId="37" xfId="0" applyFont="1" applyBorder="1" applyAlignment="1">
      <alignment horizontal="left" vertical="center"/>
    </xf>
    <xf numFmtId="49" fontId="0" fillId="0" borderId="62" xfId="0" applyNumberFormat="1" applyBorder="1" applyAlignment="1">
      <alignment horizontal="left" vertical="center"/>
    </xf>
    <xf numFmtId="49" fontId="0" fillId="0" borderId="53" xfId="0" applyNumberFormat="1" applyBorder="1" applyAlignment="1">
      <alignment horizontal="left" vertical="center"/>
    </xf>
    <xf numFmtId="0" fontId="0" fillId="0" borderId="53" xfId="0" applyBorder="1" applyAlignment="1">
      <alignment horizontal="left" vertical="center"/>
    </xf>
    <xf numFmtId="49" fontId="0" fillId="4" borderId="37" xfId="0" applyNumberFormat="1" applyFill="1" applyBorder="1" applyAlignment="1">
      <alignment horizontal="left" vertical="center"/>
    </xf>
    <xf numFmtId="49" fontId="0" fillId="4" borderId="61" xfId="0" applyNumberFormat="1" applyFill="1" applyBorder="1" applyAlignment="1">
      <alignment horizontal="left" vertical="center"/>
    </xf>
    <xf numFmtId="0" fontId="0" fillId="0" borderId="53" xfId="0" applyBorder="1" applyAlignment="1">
      <alignment horizontal="left" vertical="center" wrapText="1"/>
    </xf>
    <xf numFmtId="0" fontId="0" fillId="0" borderId="47" xfId="0" applyBorder="1" applyAlignment="1">
      <alignment horizontal="left" vertical="center"/>
    </xf>
    <xf numFmtId="0" fontId="5" fillId="0" borderId="16" xfId="0" applyFont="1" applyBorder="1" applyAlignment="1">
      <alignment horizontal="left" vertical="center"/>
    </xf>
    <xf numFmtId="0" fontId="5" fillId="0" borderId="14" xfId="0" applyFont="1" applyBorder="1" applyAlignment="1">
      <alignment horizontal="left" vertical="center"/>
    </xf>
    <xf numFmtId="49" fontId="0" fillId="0" borderId="43" xfId="0" applyNumberFormat="1" applyBorder="1" applyAlignment="1">
      <alignment vertical="center" wrapText="1"/>
    </xf>
    <xf numFmtId="1" fontId="5" fillId="0" borderId="15" xfId="0" applyNumberFormat="1" applyFont="1" applyBorder="1" applyAlignment="1">
      <alignment horizontal="center" vertical="center"/>
    </xf>
    <xf numFmtId="0" fontId="0" fillId="3" borderId="8" xfId="0" applyFill="1" applyBorder="1" applyAlignment="1">
      <alignment horizontal="left" vertical="center"/>
    </xf>
    <xf numFmtId="0" fontId="0" fillId="0" borderId="54" xfId="0" applyBorder="1" applyAlignment="1">
      <alignment vertical="center"/>
    </xf>
    <xf numFmtId="0" fontId="0" fillId="0" borderId="56" xfId="0" applyBorder="1" applyAlignment="1">
      <alignment vertical="center"/>
    </xf>
    <xf numFmtId="0" fontId="0" fillId="0" borderId="13" xfId="0" applyBorder="1" applyAlignment="1">
      <alignment vertical="center"/>
    </xf>
    <xf numFmtId="0" fontId="0" fillId="0" borderId="14" xfId="0" applyBorder="1" applyAlignment="1">
      <alignment vertical="center"/>
    </xf>
    <xf numFmtId="0" fontId="0" fillId="0" borderId="16" xfId="0" applyBorder="1" applyAlignment="1">
      <alignment vertical="center"/>
    </xf>
    <xf numFmtId="0" fontId="0" fillId="0" borderId="23" xfId="0" applyBorder="1" applyAlignment="1">
      <alignment horizontal="center" vertical="center"/>
    </xf>
    <xf numFmtId="0" fontId="5" fillId="3" borderId="12" xfId="0" applyFont="1" applyFill="1" applyBorder="1" applyAlignment="1">
      <alignment horizontal="left" vertical="center"/>
    </xf>
    <xf numFmtId="0" fontId="5" fillId="0" borderId="9" xfId="0" applyFont="1" applyBorder="1" applyAlignment="1">
      <alignment horizontal="left" vertical="center"/>
    </xf>
    <xf numFmtId="49" fontId="0" fillId="5" borderId="71" xfId="0" applyNumberFormat="1" applyFill="1" applyBorder="1" applyAlignment="1">
      <alignment horizontal="left" vertical="center" wrapText="1"/>
    </xf>
    <xf numFmtId="0" fontId="5" fillId="9" borderId="9" xfId="0" applyFont="1" applyFill="1" applyBorder="1" applyAlignment="1">
      <alignment horizontal="left" vertical="center"/>
    </xf>
    <xf numFmtId="49" fontId="0" fillId="4" borderId="53" xfId="0" applyNumberFormat="1" applyFill="1" applyBorder="1" applyAlignment="1">
      <alignment horizontal="left" vertical="center" wrapText="1"/>
    </xf>
    <xf numFmtId="164" fontId="4" fillId="0" borderId="8" xfId="0" applyNumberFormat="1" applyFont="1" applyBorder="1" applyAlignment="1">
      <alignment horizontal="center" vertical="center" wrapText="1"/>
    </xf>
    <xf numFmtId="0" fontId="5" fillId="3" borderId="0" xfId="0" applyFont="1" applyFill="1" applyAlignment="1">
      <alignment horizontal="left" vertical="center"/>
    </xf>
    <xf numFmtId="1" fontId="5" fillId="3" borderId="0" xfId="0" applyNumberFormat="1" applyFont="1" applyFill="1" applyAlignment="1">
      <alignment horizontal="center" vertical="center"/>
    </xf>
    <xf numFmtId="0" fontId="5" fillId="4" borderId="14" xfId="0" applyFont="1" applyFill="1" applyBorder="1" applyAlignment="1">
      <alignment horizontal="left" vertical="center"/>
    </xf>
    <xf numFmtId="0" fontId="0" fillId="3" borderId="0" xfId="0" applyFill="1" applyAlignment="1">
      <alignment horizontal="left" vertical="center"/>
    </xf>
    <xf numFmtId="164" fontId="0" fillId="3" borderId="0" xfId="0" applyNumberFormat="1" applyFill="1" applyAlignment="1">
      <alignment horizontal="center" vertical="center"/>
    </xf>
    <xf numFmtId="0" fontId="0" fillId="9" borderId="10" xfId="0" applyFill="1" applyBorder="1" applyAlignment="1">
      <alignment horizontal="left" vertical="center"/>
    </xf>
    <xf numFmtId="0" fontId="0" fillId="4" borderId="15" xfId="0" applyFill="1" applyBorder="1" applyAlignment="1">
      <alignment horizontal="left" vertical="center"/>
    </xf>
    <xf numFmtId="165" fontId="5" fillId="3" borderId="8" xfId="0" applyNumberFormat="1" applyFont="1" applyFill="1" applyBorder="1" applyAlignment="1">
      <alignment horizontal="center" vertical="center"/>
    </xf>
    <xf numFmtId="165" fontId="5" fillId="4" borderId="15" xfId="0" applyNumberFormat="1" applyFont="1" applyFill="1" applyBorder="1" applyAlignment="1">
      <alignment horizontal="center" vertical="center"/>
    </xf>
    <xf numFmtId="0" fontId="0" fillId="10" borderId="29" xfId="0" applyFill="1" applyBorder="1" applyAlignment="1">
      <alignment horizontal="center" vertical="center"/>
    </xf>
    <xf numFmtId="0" fontId="0" fillId="12" borderId="22" xfId="0" applyFill="1" applyBorder="1" applyAlignment="1">
      <alignment horizontal="center" vertical="center"/>
    </xf>
    <xf numFmtId="0" fontId="0" fillId="11" borderId="22" xfId="0" applyFill="1" applyBorder="1" applyAlignment="1">
      <alignment horizontal="center" vertical="center"/>
    </xf>
    <xf numFmtId="0" fontId="0" fillId="10" borderId="29" xfId="0" applyFill="1" applyBorder="1" applyAlignment="1">
      <alignment horizontal="center" vertical="center" wrapText="1"/>
    </xf>
    <xf numFmtId="0" fontId="0" fillId="12" borderId="22" xfId="0" applyFill="1" applyBorder="1" applyAlignment="1">
      <alignment horizontal="center" vertical="center" wrapText="1"/>
    </xf>
    <xf numFmtId="0" fontId="0" fillId="11" borderId="22" xfId="0" applyFill="1"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49" fontId="0" fillId="0" borderId="36" xfId="0" applyNumberFormat="1" applyBorder="1" applyAlignment="1">
      <alignment horizontal="left" vertical="center"/>
    </xf>
    <xf numFmtId="49" fontId="0" fillId="0" borderId="10" xfId="0" applyNumberFormat="1" applyBorder="1" applyAlignment="1">
      <alignment horizontal="left" vertical="center"/>
    </xf>
    <xf numFmtId="49" fontId="0" fillId="0" borderId="15" xfId="0" applyNumberFormat="1" applyBorder="1" applyAlignment="1">
      <alignment horizontal="left" vertical="center"/>
    </xf>
    <xf numFmtId="49" fontId="0" fillId="0" borderId="50" xfId="0" applyNumberFormat="1" applyBorder="1" applyAlignment="1">
      <alignment horizontal="left" vertical="center"/>
    </xf>
    <xf numFmtId="49" fontId="0" fillId="0" borderId="46" xfId="0" applyNumberFormat="1" applyBorder="1" applyAlignment="1">
      <alignment horizontal="left" vertical="center"/>
    </xf>
    <xf numFmtId="49" fontId="0" fillId="4" borderId="62" xfId="0" applyNumberFormat="1" applyFill="1" applyBorder="1" applyAlignment="1">
      <alignment horizontal="left" vertical="center" wrapText="1"/>
    </xf>
    <xf numFmtId="49" fontId="0" fillId="4" borderId="61" xfId="0" applyNumberFormat="1" applyFill="1" applyBorder="1" applyAlignment="1">
      <alignment horizontal="left" vertical="center" wrapText="1"/>
    </xf>
    <xf numFmtId="49" fontId="0" fillId="7" borderId="18" xfId="0" applyNumberFormat="1" applyFill="1" applyBorder="1" applyAlignment="1">
      <alignment horizontal="left" vertical="center" wrapText="1"/>
    </xf>
    <xf numFmtId="0" fontId="5" fillId="0" borderId="53" xfId="0" applyFont="1" applyBorder="1" applyAlignment="1">
      <alignment horizontal="left" vertical="center"/>
    </xf>
    <xf numFmtId="0" fontId="5" fillId="0" borderId="47" xfId="0" applyFont="1" applyBorder="1" applyAlignment="1">
      <alignment horizontal="left" vertical="center"/>
    </xf>
    <xf numFmtId="0" fontId="5" fillId="0" borderId="46" xfId="0" applyFont="1" applyBorder="1" applyAlignment="1">
      <alignment horizontal="left" vertical="center"/>
    </xf>
    <xf numFmtId="49" fontId="0" fillId="5" borderId="46" xfId="0" applyNumberFormat="1" applyFill="1" applyBorder="1" applyAlignment="1">
      <alignment horizontal="left" vertical="center"/>
    </xf>
    <xf numFmtId="49" fontId="0" fillId="5" borderId="50" xfId="0" applyNumberFormat="1" applyFill="1" applyBorder="1" applyAlignment="1">
      <alignment horizontal="left" vertical="center"/>
    </xf>
    <xf numFmtId="0" fontId="5" fillId="0" borderId="49" xfId="0" applyFont="1" applyBorder="1" applyAlignment="1">
      <alignment vertical="center"/>
    </xf>
    <xf numFmtId="0" fontId="0" fillId="0" borderId="49" xfId="0" applyBorder="1" applyAlignment="1">
      <alignment vertical="center"/>
    </xf>
    <xf numFmtId="49" fontId="0" fillId="0" borderId="69" xfId="0" applyNumberFormat="1" applyBorder="1" applyAlignment="1">
      <alignment horizontal="left" vertical="center"/>
    </xf>
    <xf numFmtId="0" fontId="0" fillId="0" borderId="43" xfId="0" applyBorder="1" applyAlignment="1">
      <alignment horizontal="center" vertical="center"/>
    </xf>
    <xf numFmtId="49" fontId="0" fillId="0" borderId="21" xfId="0" applyNumberFormat="1" applyBorder="1" applyAlignment="1">
      <alignment horizontal="left" vertical="center"/>
    </xf>
    <xf numFmtId="49" fontId="0" fillId="7" borderId="26" xfId="0" applyNumberFormat="1" applyFill="1" applyBorder="1" applyAlignment="1">
      <alignment horizontal="left" vertical="center"/>
    </xf>
    <xf numFmtId="0" fontId="5" fillId="0" borderId="10" xfId="0" applyFont="1" applyBorder="1" applyAlignment="1">
      <alignment horizontal="left" vertical="center" wrapText="1"/>
    </xf>
    <xf numFmtId="49" fontId="0" fillId="5" borderId="10" xfId="0" applyNumberFormat="1" applyFill="1" applyBorder="1" applyAlignment="1">
      <alignment horizontal="left" vertical="center" wrapText="1"/>
    </xf>
    <xf numFmtId="0" fontId="0" fillId="0" borderId="0" xfId="0" applyAlignment="1">
      <alignment vertical="center" wrapText="1"/>
    </xf>
    <xf numFmtId="0" fontId="0" fillId="8" borderId="0" xfId="0" applyFill="1" applyAlignment="1">
      <alignment vertical="center" wrapText="1"/>
    </xf>
    <xf numFmtId="49" fontId="0" fillId="0" borderId="9" xfId="0" applyNumberFormat="1" applyBorder="1" applyAlignment="1">
      <alignment horizontal="left" vertical="center" wrapText="1"/>
    </xf>
    <xf numFmtId="0" fontId="0" fillId="0" borderId="61" xfId="0" applyBorder="1" applyAlignment="1">
      <alignment horizontal="center" vertical="center"/>
    </xf>
    <xf numFmtId="49" fontId="0" fillId="4" borderId="22" xfId="0" applyNumberFormat="1" applyFill="1" applyBorder="1" applyAlignment="1">
      <alignment horizontal="left" vertical="center"/>
    </xf>
    <xf numFmtId="49" fontId="0" fillId="0" borderId="71" xfId="0" applyNumberFormat="1" applyBorder="1" applyAlignment="1">
      <alignment horizontal="left" vertical="center" wrapText="1"/>
    </xf>
    <xf numFmtId="1" fontId="4" fillId="0" borderId="10" xfId="0" applyNumberFormat="1" applyFont="1" applyBorder="1" applyAlignment="1">
      <alignment horizontal="center" vertical="center"/>
    </xf>
    <xf numFmtId="0" fontId="6" fillId="0" borderId="27" xfId="0" applyFont="1" applyBorder="1" applyAlignment="1">
      <alignment vertical="center"/>
    </xf>
    <xf numFmtId="164" fontId="5" fillId="6" borderId="0" xfId="0" applyNumberFormat="1" applyFont="1" applyFill="1" applyAlignment="1">
      <alignment horizontal="center" vertical="center"/>
    </xf>
    <xf numFmtId="0" fontId="4" fillId="0" borderId="15" xfId="0" applyFont="1" applyBorder="1" applyAlignment="1">
      <alignment vertical="center"/>
    </xf>
    <xf numFmtId="0" fontId="5" fillId="0" borderId="0" xfId="0" applyFont="1" applyAlignment="1">
      <alignment vertical="center"/>
    </xf>
    <xf numFmtId="0" fontId="0" fillId="0" borderId="11" xfId="0" applyBorder="1" applyAlignment="1">
      <alignment horizontal="left" vertical="center"/>
    </xf>
    <xf numFmtId="0" fontId="0" fillId="0" borderId="16" xfId="0" applyBorder="1" applyAlignment="1">
      <alignment horizontal="left" vertical="center"/>
    </xf>
    <xf numFmtId="165" fontId="5" fillId="9" borderId="10" xfId="0" applyNumberFormat="1" applyFont="1" applyFill="1" applyBorder="1" applyAlignment="1">
      <alignment horizontal="center" vertical="center"/>
    </xf>
    <xf numFmtId="0" fontId="0" fillId="0" borderId="72" xfId="0" applyBorder="1" applyAlignment="1">
      <alignment horizontal="center" vertical="center"/>
    </xf>
    <xf numFmtId="49" fontId="0" fillId="7" borderId="72" xfId="0" applyNumberFormat="1" applyFill="1" applyBorder="1" applyAlignment="1">
      <alignment horizontal="left" vertical="center" wrapText="1"/>
    </xf>
    <xf numFmtId="49" fontId="0" fillId="6" borderId="37" xfId="0" applyNumberFormat="1" applyFill="1" applyBorder="1" applyAlignment="1">
      <alignment horizontal="left" vertical="center"/>
    </xf>
    <xf numFmtId="49" fontId="0" fillId="6" borderId="53" xfId="0" applyNumberFormat="1" applyFill="1" applyBorder="1" applyAlignment="1">
      <alignment horizontal="left" vertical="center" wrapText="1"/>
    </xf>
    <xf numFmtId="49" fontId="0" fillId="0" borderId="45" xfId="0" applyNumberFormat="1" applyBorder="1" applyAlignment="1">
      <alignment horizontal="left" vertical="center"/>
    </xf>
    <xf numFmtId="0" fontId="0" fillId="0" borderId="75" xfId="0" applyBorder="1" applyAlignment="1">
      <alignment horizontal="left" vertical="center"/>
    </xf>
    <xf numFmtId="0" fontId="5" fillId="0" borderId="45" xfId="0" applyFont="1" applyBorder="1" applyAlignment="1">
      <alignment horizontal="left" vertical="center"/>
    </xf>
    <xf numFmtId="0" fontId="0" fillId="0" borderId="22" xfId="0" applyBorder="1" applyAlignment="1">
      <alignment horizontal="center" vertical="center"/>
    </xf>
    <xf numFmtId="49" fontId="0" fillId="0" borderId="20" xfId="0" applyNumberFormat="1" applyBorder="1" applyAlignment="1">
      <alignment horizontal="left" vertical="center" wrapText="1"/>
    </xf>
    <xf numFmtId="49" fontId="0" fillId="7" borderId="75" xfId="0" applyNumberFormat="1" applyFill="1" applyBorder="1" applyAlignment="1">
      <alignment horizontal="left" vertical="center" wrapText="1"/>
    </xf>
    <xf numFmtId="49" fontId="0" fillId="0" borderId="73" xfId="0" applyNumberFormat="1" applyBorder="1" applyAlignment="1">
      <alignment horizontal="left" vertical="center"/>
    </xf>
    <xf numFmtId="49" fontId="0" fillId="6" borderId="22" xfId="0" applyNumberFormat="1" applyFill="1" applyBorder="1" applyAlignment="1">
      <alignment horizontal="left" vertical="center" wrapText="1"/>
    </xf>
    <xf numFmtId="0" fontId="0" fillId="0" borderId="47" xfId="0" applyBorder="1" applyAlignment="1">
      <alignment vertical="center"/>
    </xf>
    <xf numFmtId="49" fontId="0" fillId="0" borderId="17" xfId="0" applyNumberFormat="1" applyBorder="1" applyAlignment="1">
      <alignment horizontal="left" vertical="center"/>
    </xf>
    <xf numFmtId="49" fontId="0" fillId="0" borderId="22" xfId="0" applyNumberFormat="1" applyBorder="1" applyAlignment="1">
      <alignment horizontal="left" vertical="center" wrapText="1"/>
    </xf>
    <xf numFmtId="49" fontId="0" fillId="5" borderId="27" xfId="0" applyNumberFormat="1" applyFill="1" applyBorder="1" applyAlignment="1">
      <alignment horizontal="left" vertical="center"/>
    </xf>
    <xf numFmtId="0" fontId="1" fillId="12" borderId="17" xfId="0" applyFont="1" applyFill="1" applyBorder="1" applyAlignment="1">
      <alignment horizontal="center" vertical="center"/>
    </xf>
    <xf numFmtId="0" fontId="1" fillId="0" borderId="17" xfId="0" applyFont="1" applyBorder="1" applyAlignment="1">
      <alignment horizontal="center" vertical="center"/>
    </xf>
    <xf numFmtId="0" fontId="6" fillId="0" borderId="17" xfId="0" applyFont="1" applyBorder="1" applyAlignment="1">
      <alignment horizontal="center" vertical="center"/>
    </xf>
    <xf numFmtId="0" fontId="6" fillId="0" borderId="18" xfId="0" applyFont="1" applyBorder="1" applyAlignment="1">
      <alignment horizontal="center" vertical="center"/>
    </xf>
    <xf numFmtId="0" fontId="1" fillId="10" borderId="19" xfId="0" applyFont="1" applyFill="1" applyBorder="1" applyAlignment="1">
      <alignment horizontal="center" vertical="center"/>
    </xf>
    <xf numFmtId="0" fontId="1" fillId="11" borderId="20" xfId="0" applyFont="1" applyFill="1" applyBorder="1" applyAlignment="1">
      <alignment horizontal="center" vertical="center"/>
    </xf>
    <xf numFmtId="0" fontId="1" fillId="12" borderId="20" xfId="0" applyFont="1" applyFill="1" applyBorder="1" applyAlignment="1">
      <alignment horizontal="center" vertical="center"/>
    </xf>
    <xf numFmtId="0" fontId="1" fillId="0" borderId="20" xfId="0" applyFont="1" applyBorder="1" applyAlignment="1">
      <alignment horizontal="center" vertical="center"/>
    </xf>
    <xf numFmtId="0" fontId="1" fillId="0" borderId="21" xfId="0" applyFont="1" applyBorder="1" applyAlignment="1">
      <alignment horizontal="center" vertical="center"/>
    </xf>
    <xf numFmtId="0" fontId="1" fillId="10" borderId="30" xfId="0" applyFont="1" applyFill="1" applyBorder="1" applyAlignment="1">
      <alignment horizontal="center" vertical="center"/>
    </xf>
    <xf numFmtId="0" fontId="1" fillId="11" borderId="17" xfId="0" applyFont="1" applyFill="1" applyBorder="1" applyAlignment="1">
      <alignment horizontal="center" vertical="center"/>
    </xf>
    <xf numFmtId="0" fontId="4" fillId="0" borderId="0" xfId="0" applyFont="1" applyAlignment="1">
      <alignment horizontal="center" vertical="center" wrapText="1"/>
    </xf>
    <xf numFmtId="49" fontId="0" fillId="4" borderId="71" xfId="0" applyNumberFormat="1" applyFill="1" applyBorder="1" applyAlignment="1">
      <alignment horizontal="left" vertical="center"/>
    </xf>
    <xf numFmtId="49" fontId="0" fillId="8" borderId="69" xfId="0" applyNumberFormat="1" applyFill="1" applyBorder="1" applyAlignment="1">
      <alignment vertical="center"/>
    </xf>
    <xf numFmtId="49" fontId="0" fillId="8" borderId="53" xfId="0" applyNumberFormat="1" applyFill="1" applyBorder="1" applyAlignment="1">
      <alignment horizontal="left" vertical="center"/>
    </xf>
    <xf numFmtId="49" fontId="0" fillId="8" borderId="38" xfId="0" applyNumberFormat="1" applyFill="1" applyBorder="1" applyAlignment="1">
      <alignment horizontal="left" vertical="center"/>
    </xf>
    <xf numFmtId="49" fontId="0" fillId="4" borderId="57" xfId="0" applyNumberFormat="1" applyFill="1" applyBorder="1" applyAlignment="1">
      <alignment horizontal="left" vertical="center"/>
    </xf>
    <xf numFmtId="49" fontId="0" fillId="8" borderId="22" xfId="0" applyNumberFormat="1" applyFill="1" applyBorder="1" applyAlignment="1">
      <alignment horizontal="left" vertical="center"/>
    </xf>
    <xf numFmtId="49" fontId="0" fillId="8" borderId="35" xfId="0" applyNumberFormat="1" applyFill="1" applyBorder="1" applyAlignment="1">
      <alignment horizontal="left" vertical="center"/>
    </xf>
    <xf numFmtId="49" fontId="0" fillId="8" borderId="42" xfId="0" applyNumberFormat="1" applyFill="1" applyBorder="1" applyAlignment="1">
      <alignment horizontal="left" vertical="center"/>
    </xf>
    <xf numFmtId="49" fontId="0" fillId="4" borderId="68" xfId="0" applyNumberFormat="1" applyFill="1" applyBorder="1" applyAlignment="1">
      <alignment horizontal="left" vertical="center"/>
    </xf>
    <xf numFmtId="49" fontId="0" fillId="4" borderId="60" xfId="0" applyNumberFormat="1" applyFill="1" applyBorder="1" applyAlignment="1">
      <alignment horizontal="left" vertical="center"/>
    </xf>
    <xf numFmtId="49" fontId="0" fillId="8" borderId="42" xfId="0" applyNumberFormat="1" applyFill="1" applyBorder="1" applyAlignment="1">
      <alignment vertical="center" wrapText="1"/>
    </xf>
    <xf numFmtId="49" fontId="0" fillId="8" borderId="42" xfId="0" applyNumberFormat="1" applyFill="1" applyBorder="1" applyAlignment="1">
      <alignment vertical="center"/>
    </xf>
    <xf numFmtId="49" fontId="0" fillId="8" borderId="71" xfId="0" applyNumberFormat="1" applyFill="1" applyBorder="1" applyAlignment="1">
      <alignment vertical="center"/>
    </xf>
    <xf numFmtId="49" fontId="0" fillId="8" borderId="43" xfId="0" applyNumberFormat="1" applyFill="1" applyBorder="1" applyAlignment="1">
      <alignment vertical="center"/>
    </xf>
    <xf numFmtId="49" fontId="0" fillId="8" borderId="12" xfId="0" applyNumberFormat="1" applyFill="1" applyBorder="1" applyAlignment="1">
      <alignment vertical="center"/>
    </xf>
    <xf numFmtId="49" fontId="0" fillId="8" borderId="37" xfId="0" applyNumberFormat="1" applyFill="1" applyBorder="1" applyAlignment="1">
      <alignment vertical="center"/>
    </xf>
    <xf numFmtId="49" fontId="0" fillId="8" borderId="14" xfId="0" applyNumberFormat="1" applyFill="1" applyBorder="1" applyAlignment="1">
      <alignment vertical="center"/>
    </xf>
    <xf numFmtId="49" fontId="0" fillId="0" borderId="43" xfId="0" applyNumberFormat="1" applyBorder="1" applyAlignment="1">
      <alignment horizontal="left" vertical="center"/>
    </xf>
    <xf numFmtId="49" fontId="0" fillId="6" borderId="61" xfId="0" applyNumberFormat="1" applyFill="1" applyBorder="1" applyAlignment="1">
      <alignment horizontal="left" vertical="center" wrapText="1"/>
    </xf>
    <xf numFmtId="49" fontId="0" fillId="4" borderId="71" xfId="0" applyNumberFormat="1" applyFill="1" applyBorder="1" applyAlignment="1">
      <alignment horizontal="left" vertical="center" wrapText="1"/>
    </xf>
    <xf numFmtId="49" fontId="0" fillId="0" borderId="18" xfId="0" applyNumberFormat="1" applyBorder="1" applyAlignment="1">
      <alignment horizontal="left" vertical="center"/>
    </xf>
    <xf numFmtId="0" fontId="5" fillId="0" borderId="53" xfId="0" applyFont="1" applyBorder="1" applyAlignment="1">
      <alignment horizontal="left" vertical="center" wrapText="1"/>
    </xf>
    <xf numFmtId="49" fontId="0" fillId="7" borderId="23" xfId="0" applyNumberFormat="1" applyFill="1" applyBorder="1" applyAlignment="1">
      <alignment horizontal="left" vertical="center" wrapText="1"/>
    </xf>
    <xf numFmtId="49" fontId="0" fillId="5" borderId="29" xfId="0" applyNumberFormat="1" applyFill="1" applyBorder="1" applyAlignment="1">
      <alignment horizontal="left" vertical="center"/>
    </xf>
    <xf numFmtId="49" fontId="0" fillId="0" borderId="53" xfId="0" applyNumberFormat="1" applyBorder="1" applyAlignment="1">
      <alignment horizontal="left" vertical="center" wrapText="1"/>
    </xf>
    <xf numFmtId="165" fontId="5" fillId="3" borderId="0" xfId="0" applyNumberFormat="1" applyFont="1" applyFill="1" applyAlignment="1">
      <alignment horizontal="center" vertical="center"/>
    </xf>
    <xf numFmtId="49" fontId="0" fillId="0" borderId="24" xfId="0" applyNumberFormat="1" applyBorder="1" applyAlignment="1">
      <alignment horizontal="left" vertical="center" wrapText="1"/>
    </xf>
    <xf numFmtId="0" fontId="0" fillId="4" borderId="14" xfId="0" applyFill="1" applyBorder="1" applyAlignment="1">
      <alignment vertical="center"/>
    </xf>
    <xf numFmtId="0" fontId="0" fillId="4" borderId="15" xfId="0" applyFill="1" applyBorder="1" applyAlignment="1">
      <alignment vertical="center"/>
    </xf>
    <xf numFmtId="0" fontId="0" fillId="9" borderId="9" xfId="0" applyFill="1" applyBorder="1" applyAlignment="1">
      <alignment vertical="center"/>
    </xf>
    <xf numFmtId="0" fontId="0" fillId="0" borderId="9" xfId="0" applyBorder="1" applyAlignment="1">
      <alignment horizontal="center" vertical="center" wrapText="1"/>
    </xf>
    <xf numFmtId="49" fontId="0" fillId="6" borderId="8" xfId="0" applyNumberFormat="1" applyFill="1" applyBorder="1" applyAlignment="1">
      <alignment horizontal="left" vertical="center" wrapText="1"/>
    </xf>
    <xf numFmtId="0" fontId="5" fillId="9" borderId="10" xfId="0" applyFont="1" applyFill="1" applyBorder="1" applyAlignment="1">
      <alignment horizontal="left" vertical="center" wrapText="1"/>
    </xf>
    <xf numFmtId="49" fontId="0" fillId="0" borderId="37" xfId="0" applyNumberFormat="1" applyBorder="1" applyAlignment="1">
      <alignment horizontal="left" vertical="center"/>
    </xf>
    <xf numFmtId="0" fontId="0" fillId="0" borderId="18" xfId="0" applyBorder="1" applyAlignment="1">
      <alignment horizontal="center" vertical="center" wrapText="1"/>
    </xf>
    <xf numFmtId="0" fontId="0" fillId="5" borderId="0" xfId="0" applyFill="1" applyAlignment="1">
      <alignment vertical="center" wrapText="1"/>
    </xf>
    <xf numFmtId="0" fontId="5" fillId="0" borderId="12" xfId="0" applyFont="1" applyBorder="1" applyAlignment="1">
      <alignment horizontal="left" vertical="center" wrapText="1"/>
    </xf>
    <xf numFmtId="0" fontId="5" fillId="0" borderId="13" xfId="0" applyFont="1" applyBorder="1" applyAlignment="1">
      <alignment horizontal="center" vertical="center" wrapText="1"/>
    </xf>
    <xf numFmtId="0" fontId="0" fillId="0" borderId="17" xfId="0" applyBorder="1" applyAlignment="1">
      <alignment horizontal="center" vertical="center" wrapText="1"/>
    </xf>
    <xf numFmtId="0" fontId="0" fillId="0" borderId="20" xfId="0" applyBorder="1" applyAlignment="1">
      <alignment horizontal="center" vertical="center" wrapText="1"/>
    </xf>
    <xf numFmtId="0" fontId="0" fillId="5" borderId="0" xfId="0" applyFill="1" applyAlignment="1">
      <alignment horizontal="center" vertical="center" wrapText="1"/>
    </xf>
    <xf numFmtId="0" fontId="5" fillId="0" borderId="9" xfId="0" applyFont="1" applyBorder="1" applyAlignment="1">
      <alignment horizontal="left" vertical="center" wrapText="1"/>
    </xf>
    <xf numFmtId="164" fontId="5" fillId="0" borderId="10" xfId="0" applyNumberFormat="1" applyFont="1" applyBorder="1" applyAlignment="1">
      <alignment horizontal="center" vertical="center" wrapText="1"/>
    </xf>
    <xf numFmtId="0" fontId="5" fillId="0" borderId="11" xfId="0" applyFont="1" applyBorder="1" applyAlignment="1">
      <alignment horizontal="center" vertical="center" wrapText="1"/>
    </xf>
    <xf numFmtId="0" fontId="0" fillId="0" borderId="30" xfId="0" applyBorder="1" applyAlignment="1">
      <alignment horizontal="center" vertical="center" wrapText="1"/>
    </xf>
    <xf numFmtId="0" fontId="0" fillId="0" borderId="19" xfId="0" applyBorder="1" applyAlignment="1">
      <alignment horizontal="center" vertical="center" wrapText="1"/>
    </xf>
    <xf numFmtId="0" fontId="0" fillId="4" borderId="0" xfId="0" applyFill="1" applyAlignment="1">
      <alignment vertical="center" wrapText="1"/>
    </xf>
    <xf numFmtId="0" fontId="0" fillId="4" borderId="0" xfId="0" applyFill="1" applyAlignment="1">
      <alignment horizontal="center" vertical="center" wrapText="1"/>
    </xf>
    <xf numFmtId="0" fontId="5" fillId="4" borderId="0" xfId="0" applyFont="1" applyFill="1" applyAlignment="1">
      <alignment vertical="center" wrapText="1"/>
    </xf>
    <xf numFmtId="0" fontId="0" fillId="8" borderId="0" xfId="0" applyFill="1" applyAlignment="1">
      <alignment horizontal="left" vertical="center" wrapText="1"/>
    </xf>
    <xf numFmtId="0" fontId="5" fillId="0" borderId="14" xfId="0" applyFont="1" applyBorder="1" applyAlignment="1">
      <alignment horizontal="left" vertical="center" wrapText="1"/>
    </xf>
    <xf numFmtId="164" fontId="5" fillId="0" borderId="15" xfId="0" applyNumberFormat="1" applyFont="1" applyBorder="1" applyAlignment="1">
      <alignment horizontal="center" vertical="center" wrapText="1"/>
    </xf>
    <xf numFmtId="0" fontId="5" fillId="0" borderId="16" xfId="0" applyFont="1" applyBorder="1" applyAlignment="1">
      <alignment horizontal="center" vertical="center" wrapText="1"/>
    </xf>
    <xf numFmtId="0" fontId="0" fillId="0" borderId="21" xfId="0" applyBorder="1" applyAlignment="1">
      <alignment horizontal="center" vertical="center" wrapText="1"/>
    </xf>
    <xf numFmtId="0" fontId="4" fillId="0" borderId="12" xfId="0" applyFont="1" applyBorder="1" applyAlignment="1">
      <alignment horizontal="left" vertical="center" wrapText="1"/>
    </xf>
    <xf numFmtId="0" fontId="4" fillId="0" borderId="8" xfId="0" applyFont="1" applyBorder="1" applyAlignment="1">
      <alignment horizontal="left" vertical="center" wrapText="1"/>
    </xf>
    <xf numFmtId="0" fontId="4" fillId="0" borderId="13" xfId="0" applyFont="1" applyBorder="1" applyAlignment="1">
      <alignment horizontal="center" vertical="center" wrapText="1"/>
    </xf>
    <xf numFmtId="0" fontId="5" fillId="3" borderId="8" xfId="0" applyFont="1" applyFill="1" applyBorder="1" applyAlignment="1">
      <alignment horizontal="left" vertical="center" wrapText="1"/>
    </xf>
    <xf numFmtId="0" fontId="5" fillId="9" borderId="9" xfId="0" applyFont="1" applyFill="1" applyBorder="1" applyAlignment="1">
      <alignment horizontal="left" vertical="center" wrapText="1"/>
    </xf>
    <xf numFmtId="49" fontId="6" fillId="0" borderId="2" xfId="0" applyNumberFormat="1" applyFont="1" applyBorder="1" applyAlignment="1">
      <alignment horizontal="center" vertical="center"/>
    </xf>
    <xf numFmtId="49" fontId="6" fillId="0" borderId="26" xfId="0" applyNumberFormat="1" applyFont="1" applyBorder="1" applyAlignment="1">
      <alignment vertical="center" wrapText="1"/>
    </xf>
    <xf numFmtId="49" fontId="6" fillId="0" borderId="26" xfId="0" applyNumberFormat="1" applyFont="1" applyBorder="1" applyAlignment="1">
      <alignment horizontal="center" vertical="center"/>
    </xf>
    <xf numFmtId="49" fontId="6" fillId="0" borderId="26" xfId="0" applyNumberFormat="1" applyFont="1" applyBorder="1" applyAlignment="1">
      <alignment horizontal="center" vertical="center" wrapText="1"/>
    </xf>
    <xf numFmtId="0" fontId="6" fillId="0" borderId="26" xfId="0" applyFont="1" applyBorder="1" applyAlignment="1">
      <alignment horizontal="center" vertical="center" wrapText="1"/>
    </xf>
    <xf numFmtId="49" fontId="6" fillId="0" borderId="3" xfId="0" applyNumberFormat="1" applyFont="1" applyBorder="1" applyAlignment="1">
      <alignment horizontal="center" vertical="center" wrapText="1"/>
    </xf>
    <xf numFmtId="49" fontId="6" fillId="0" borderId="24" xfId="0" applyNumberFormat="1" applyFont="1" applyBorder="1" applyAlignment="1">
      <alignment horizontal="center" vertical="center"/>
    </xf>
    <xf numFmtId="0" fontId="5" fillId="0" borderId="12" xfId="0" applyFont="1" applyBorder="1" applyAlignment="1">
      <alignment vertical="center" wrapText="1"/>
    </xf>
    <xf numFmtId="0" fontId="0" fillId="6" borderId="0" xfId="0" applyFill="1" applyAlignment="1">
      <alignment vertical="center" wrapText="1"/>
    </xf>
    <xf numFmtId="0" fontId="5" fillId="6" borderId="0" xfId="0" applyFont="1" applyFill="1" applyAlignment="1">
      <alignment vertical="center" wrapText="1"/>
    </xf>
    <xf numFmtId="0" fontId="0" fillId="6" borderId="0" xfId="0" applyFill="1" applyAlignment="1">
      <alignment horizontal="center" vertical="center" wrapText="1"/>
    </xf>
    <xf numFmtId="0" fontId="4" fillId="0" borderId="12" xfId="0" applyFont="1" applyBorder="1" applyAlignment="1">
      <alignment vertical="center" wrapText="1"/>
    </xf>
    <xf numFmtId="0" fontId="5" fillId="5" borderId="0" xfId="0" applyFont="1" applyFill="1" applyAlignment="1">
      <alignment vertical="center" wrapText="1"/>
    </xf>
    <xf numFmtId="0" fontId="4" fillId="0" borderId="9" xfId="0" applyFont="1" applyBorder="1" applyAlignment="1">
      <alignment horizontal="left" vertical="center" wrapText="1"/>
    </xf>
    <xf numFmtId="0" fontId="4" fillId="0" borderId="10" xfId="0" applyFont="1" applyBorder="1" applyAlignment="1">
      <alignment horizontal="left" vertical="center" wrapText="1"/>
    </xf>
    <xf numFmtId="164" fontId="4" fillId="0" borderId="10" xfId="0" applyNumberFormat="1" applyFont="1" applyBorder="1" applyAlignment="1">
      <alignment horizontal="center" vertical="center" wrapText="1"/>
    </xf>
    <xf numFmtId="0" fontId="4" fillId="0" borderId="11" xfId="0" applyFont="1" applyBorder="1" applyAlignment="1">
      <alignment horizontal="center" vertical="center" wrapText="1"/>
    </xf>
    <xf numFmtId="0" fontId="5" fillId="3" borderId="12" xfId="0" applyFont="1" applyFill="1" applyBorder="1" applyAlignment="1">
      <alignment vertical="center" wrapText="1"/>
    </xf>
    <xf numFmtId="0" fontId="5" fillId="4" borderId="14" xfId="0" applyFont="1" applyFill="1" applyBorder="1" applyAlignment="1">
      <alignment horizontal="left" vertical="center" wrapText="1"/>
    </xf>
    <xf numFmtId="0" fontId="5" fillId="4" borderId="15" xfId="0" applyFont="1" applyFill="1" applyBorder="1" applyAlignment="1">
      <alignment horizontal="left" vertical="center" wrapText="1"/>
    </xf>
    <xf numFmtId="0" fontId="5" fillId="3" borderId="8" xfId="0" applyFont="1" applyFill="1" applyBorder="1" applyAlignment="1">
      <alignment horizontal="center" vertical="center"/>
    </xf>
    <xf numFmtId="0" fontId="5" fillId="4" borderId="15" xfId="0" applyFont="1" applyFill="1" applyBorder="1" applyAlignment="1">
      <alignment horizontal="center" vertical="center"/>
    </xf>
    <xf numFmtId="0" fontId="1" fillId="6" borderId="0" xfId="0" applyFont="1" applyFill="1" applyAlignment="1">
      <alignment horizontal="center" vertical="center"/>
    </xf>
    <xf numFmtId="0" fontId="1" fillId="4" borderId="28" xfId="0" applyFont="1" applyFill="1" applyBorder="1" applyAlignment="1">
      <alignment horizontal="center" vertical="center"/>
    </xf>
    <xf numFmtId="0" fontId="0" fillId="4" borderId="0" xfId="0" applyFill="1" applyAlignment="1">
      <alignment horizontal="center" vertical="center"/>
    </xf>
    <xf numFmtId="0" fontId="1" fillId="7" borderId="28" xfId="0" applyFont="1" applyFill="1" applyBorder="1" applyAlignment="1">
      <alignment horizontal="center" vertical="center"/>
    </xf>
    <xf numFmtId="0" fontId="0" fillId="7" borderId="0" xfId="0" applyFill="1" applyAlignment="1">
      <alignment horizontal="center" vertical="center"/>
    </xf>
    <xf numFmtId="0" fontId="2" fillId="3" borderId="28"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24" xfId="0" applyFont="1" applyFill="1" applyBorder="1" applyAlignment="1">
      <alignment horizontal="center" vertical="center"/>
    </xf>
    <xf numFmtId="0" fontId="5" fillId="9" borderId="10" xfId="0" applyFont="1" applyFill="1" applyBorder="1" applyAlignment="1">
      <alignment horizontal="center" vertical="center"/>
    </xf>
    <xf numFmtId="49" fontId="0" fillId="6" borderId="8" xfId="0" applyNumberFormat="1" applyFill="1" applyBorder="1" applyAlignment="1">
      <alignment horizontal="left" vertical="center" wrapText="1"/>
    </xf>
    <xf numFmtId="49" fontId="0" fillId="6" borderId="13" xfId="0" applyNumberFormat="1" applyFill="1" applyBorder="1" applyAlignment="1">
      <alignment horizontal="left" vertical="center" wrapText="1"/>
    </xf>
    <xf numFmtId="49" fontId="0" fillId="0" borderId="22" xfId="0" applyNumberFormat="1" applyBorder="1" applyAlignment="1">
      <alignment horizontal="left" vertical="center"/>
    </xf>
    <xf numFmtId="49" fontId="0" fillId="0" borderId="35" xfId="0" applyNumberFormat="1" applyBorder="1" applyAlignment="1">
      <alignment horizontal="left" vertical="center"/>
    </xf>
    <xf numFmtId="49" fontId="0" fillId="0" borderId="42" xfId="0" applyNumberFormat="1" applyBorder="1" applyAlignment="1">
      <alignment horizontal="left" vertical="center"/>
    </xf>
    <xf numFmtId="49" fontId="0" fillId="4" borderId="8" xfId="0" applyNumberFormat="1" applyFill="1" applyBorder="1" applyAlignment="1">
      <alignment horizontal="left" vertical="center" wrapText="1"/>
    </xf>
    <xf numFmtId="49" fontId="0" fillId="4" borderId="13" xfId="0" applyNumberFormat="1" applyFill="1" applyBorder="1" applyAlignment="1">
      <alignment horizontal="left" vertical="center" wrapText="1"/>
    </xf>
    <xf numFmtId="49" fontId="0" fillId="7" borderId="15" xfId="0" applyNumberFormat="1" applyFill="1" applyBorder="1" applyAlignment="1">
      <alignment horizontal="left" vertical="center" wrapText="1"/>
    </xf>
    <xf numFmtId="49" fontId="0" fillId="7" borderId="16" xfId="0" applyNumberFormat="1" applyFill="1" applyBorder="1" applyAlignment="1">
      <alignment horizontal="left" vertical="center" wrapText="1"/>
    </xf>
    <xf numFmtId="49" fontId="0" fillId="0" borderId="23" xfId="0" applyNumberFormat="1" applyBorder="1" applyAlignment="1">
      <alignment horizontal="left" vertical="center" wrapText="1"/>
    </xf>
    <xf numFmtId="49" fontId="0" fillId="0" borderId="36" xfId="0" applyNumberFormat="1" applyBorder="1" applyAlignment="1">
      <alignment horizontal="left" vertical="center"/>
    </xf>
    <xf numFmtId="49" fontId="0" fillId="0" borderId="43" xfId="0" applyNumberFormat="1" applyBorder="1" applyAlignment="1">
      <alignment horizontal="left" vertical="center"/>
    </xf>
    <xf numFmtId="0" fontId="1" fillId="5" borderId="28" xfId="0" applyFont="1" applyFill="1" applyBorder="1" applyAlignment="1">
      <alignment horizontal="center" vertical="center"/>
    </xf>
    <xf numFmtId="0" fontId="0" fillId="5" borderId="0" xfId="0" applyFill="1" applyAlignment="1">
      <alignment horizontal="center" vertical="center"/>
    </xf>
    <xf numFmtId="0" fontId="1" fillId="6" borderId="28" xfId="0" applyFont="1" applyFill="1" applyBorder="1" applyAlignment="1">
      <alignment horizontal="center" vertical="center"/>
    </xf>
    <xf numFmtId="0" fontId="3" fillId="2" borderId="0" xfId="0" applyFont="1" applyFill="1" applyAlignment="1">
      <alignment horizontal="center" vertical="center"/>
    </xf>
    <xf numFmtId="49" fontId="1" fillId="0" borderId="2" xfId="0" applyNumberFormat="1" applyFont="1" applyBorder="1" applyAlignment="1">
      <alignment horizontal="center" vertical="center"/>
    </xf>
    <xf numFmtId="49" fontId="1" fillId="0" borderId="4" xfId="0" applyNumberFormat="1" applyFont="1" applyBorder="1" applyAlignment="1">
      <alignment horizontal="center" vertical="center"/>
    </xf>
    <xf numFmtId="49" fontId="1" fillId="0" borderId="26" xfId="0" applyNumberFormat="1" applyFont="1" applyBorder="1" applyAlignment="1">
      <alignment horizontal="center" vertical="center" wrapText="1"/>
    </xf>
    <xf numFmtId="49" fontId="1" fillId="0" borderId="32" xfId="0" applyNumberFormat="1" applyFont="1" applyBorder="1" applyAlignment="1">
      <alignment horizontal="center" vertical="center"/>
    </xf>
    <xf numFmtId="49" fontId="1" fillId="0" borderId="26" xfId="0" applyNumberFormat="1" applyFont="1" applyBorder="1" applyAlignment="1">
      <alignment horizontal="center" vertical="center"/>
    </xf>
    <xf numFmtId="49" fontId="1" fillId="0" borderId="6" xfId="0" applyNumberFormat="1" applyFont="1" applyBorder="1" applyAlignment="1">
      <alignment horizontal="center" vertical="center" wrapText="1"/>
    </xf>
    <xf numFmtId="49" fontId="1" fillId="0" borderId="7" xfId="0" applyNumberFormat="1" applyFont="1" applyBorder="1" applyAlignment="1">
      <alignment horizontal="center" vertical="center" wrapText="1"/>
    </xf>
    <xf numFmtId="49" fontId="1" fillId="0" borderId="5" xfId="0" applyNumberFormat="1" applyFont="1" applyBorder="1" applyAlignment="1">
      <alignment horizontal="center" vertical="center" wrapText="1"/>
    </xf>
    <xf numFmtId="49" fontId="1" fillId="0" borderId="24" xfId="0" applyNumberFormat="1" applyFont="1" applyBorder="1" applyAlignment="1">
      <alignment horizontal="center" vertical="center"/>
    </xf>
    <xf numFmtId="49" fontId="1" fillId="0" borderId="5" xfId="0" applyNumberFormat="1" applyFont="1" applyBorder="1" applyAlignment="1">
      <alignment horizontal="center" vertical="center"/>
    </xf>
    <xf numFmtId="49" fontId="1" fillId="0" borderId="6" xfId="0" applyNumberFormat="1" applyFont="1" applyBorder="1" applyAlignment="1">
      <alignment horizontal="center" vertical="center"/>
    </xf>
    <xf numFmtId="49" fontId="1" fillId="0" borderId="7" xfId="0" applyNumberFormat="1" applyFont="1" applyBorder="1" applyAlignment="1">
      <alignment horizontal="center" vertical="center"/>
    </xf>
    <xf numFmtId="49" fontId="0" fillId="5" borderId="10" xfId="0" applyNumberFormat="1" applyFill="1" applyBorder="1" applyAlignment="1">
      <alignment horizontal="left" vertical="center" wrapText="1"/>
    </xf>
    <xf numFmtId="49" fontId="0" fillId="5" borderId="11" xfId="0" applyNumberFormat="1" applyFill="1" applyBorder="1" applyAlignment="1">
      <alignment horizontal="left" vertical="center"/>
    </xf>
    <xf numFmtId="49" fontId="0" fillId="0" borderId="29" xfId="0" applyNumberFormat="1" applyBorder="1" applyAlignment="1">
      <alignment horizontal="left" vertical="center"/>
    </xf>
    <xf numFmtId="49" fontId="0" fillId="0" borderId="34" xfId="0" applyNumberFormat="1" applyBorder="1" applyAlignment="1">
      <alignment horizontal="left" vertical="center"/>
    </xf>
    <xf numFmtId="49" fontId="0" fillId="0" borderId="41" xfId="0" applyNumberFormat="1" applyBorder="1" applyAlignment="1">
      <alignment horizontal="left" vertical="center"/>
    </xf>
    <xf numFmtId="0" fontId="7" fillId="3" borderId="0" xfId="0" applyFont="1" applyFill="1" applyAlignment="1">
      <alignment horizontal="center" vertical="center"/>
    </xf>
    <xf numFmtId="0" fontId="1" fillId="0" borderId="4" xfId="0" applyFont="1" applyBorder="1" applyAlignment="1">
      <alignment horizontal="center" vertical="center" wrapText="1"/>
    </xf>
    <xf numFmtId="0" fontId="1" fillId="0" borderId="33" xfId="0" applyFont="1"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46" xfId="0" applyBorder="1" applyAlignment="1">
      <alignment horizontal="center" vertical="center"/>
    </xf>
    <xf numFmtId="0" fontId="0" fillId="0" borderId="44" xfId="0" applyBorder="1" applyAlignment="1">
      <alignment horizontal="center" vertical="center"/>
    </xf>
    <xf numFmtId="0" fontId="0" fillId="0" borderId="45" xfId="0" applyBorder="1" applyAlignment="1">
      <alignment horizontal="center" vertical="center"/>
    </xf>
    <xf numFmtId="0" fontId="0" fillId="0" borderId="12" xfId="0" applyBorder="1" applyAlignment="1">
      <alignment horizontal="center" vertical="center"/>
    </xf>
    <xf numFmtId="0" fontId="0" fillId="0" borderId="8" xfId="0" applyBorder="1" applyAlignment="1">
      <alignment horizontal="center" vertical="center"/>
    </xf>
    <xf numFmtId="49" fontId="0" fillId="4" borderId="15" xfId="0" applyNumberFormat="1" applyFill="1" applyBorder="1" applyAlignment="1">
      <alignment horizontal="center" vertical="center"/>
    </xf>
    <xf numFmtId="0" fontId="1" fillId="3" borderId="25" xfId="0" applyFont="1" applyFill="1" applyBorder="1" applyAlignment="1">
      <alignment horizontal="right" vertical="center"/>
    </xf>
    <xf numFmtId="0" fontId="1" fillId="3" borderId="31" xfId="0" applyFont="1" applyFill="1" applyBorder="1" applyAlignment="1">
      <alignment horizontal="right" vertical="center"/>
    </xf>
    <xf numFmtId="0" fontId="1" fillId="0" borderId="2" xfId="0" applyFont="1" applyBorder="1" applyAlignment="1">
      <alignment horizontal="center" vertical="center" wrapText="1"/>
    </xf>
    <xf numFmtId="0" fontId="1" fillId="0" borderId="24" xfId="0" applyFont="1" applyBorder="1" applyAlignment="1">
      <alignment horizontal="center" vertical="center"/>
    </xf>
    <xf numFmtId="49" fontId="1" fillId="0" borderId="3" xfId="0" applyNumberFormat="1" applyFont="1" applyBorder="1" applyAlignment="1">
      <alignment horizontal="center" vertical="center"/>
    </xf>
    <xf numFmtId="49" fontId="0" fillId="5" borderId="29" xfId="0" applyNumberFormat="1" applyFill="1" applyBorder="1" applyAlignment="1">
      <alignment horizontal="left" vertical="center" wrapText="1"/>
    </xf>
    <xf numFmtId="49" fontId="0" fillId="0" borderId="10" xfId="0" applyNumberFormat="1" applyBorder="1" applyAlignment="1">
      <alignment horizontal="left" vertical="center"/>
    </xf>
    <xf numFmtId="49" fontId="0" fillId="0" borderId="11" xfId="0" applyNumberFormat="1" applyBorder="1" applyAlignment="1">
      <alignment horizontal="left" vertical="center"/>
    </xf>
    <xf numFmtId="49" fontId="0" fillId="6" borderId="22" xfId="0" applyNumberFormat="1" applyFill="1" applyBorder="1" applyAlignment="1">
      <alignment horizontal="left" vertical="center" wrapText="1"/>
    </xf>
    <xf numFmtId="49" fontId="0" fillId="0" borderId="8" xfId="0" applyNumberFormat="1" applyBorder="1" applyAlignment="1">
      <alignment horizontal="left" vertical="center"/>
    </xf>
    <xf numFmtId="49" fontId="0" fillId="0" borderId="13" xfId="0" applyNumberFormat="1" applyBorder="1" applyAlignment="1">
      <alignment horizontal="left" vertical="center"/>
    </xf>
    <xf numFmtId="49" fontId="1" fillId="0" borderId="2" xfId="0" applyNumberFormat="1" applyFont="1" applyBorder="1" applyAlignment="1">
      <alignment horizontal="center" vertical="center" wrapText="1"/>
    </xf>
    <xf numFmtId="49" fontId="1" fillId="0" borderId="3" xfId="0" applyNumberFormat="1" applyFont="1" applyBorder="1" applyAlignment="1">
      <alignment horizontal="center" vertical="center" wrapText="1"/>
    </xf>
    <xf numFmtId="49" fontId="1" fillId="0" borderId="24" xfId="0" applyNumberFormat="1" applyFont="1" applyBorder="1" applyAlignment="1">
      <alignment horizontal="center" vertical="center" wrapText="1"/>
    </xf>
    <xf numFmtId="49" fontId="0" fillId="4" borderId="22" xfId="0" applyNumberFormat="1" applyFill="1" applyBorder="1" applyAlignment="1">
      <alignment horizontal="left" vertical="center" wrapText="1"/>
    </xf>
    <xf numFmtId="49" fontId="0" fillId="7" borderId="23" xfId="0" applyNumberFormat="1" applyFill="1" applyBorder="1" applyAlignment="1">
      <alignment horizontal="left" vertical="center" wrapText="1"/>
    </xf>
    <xf numFmtId="49" fontId="0" fillId="0" borderId="15" xfId="0" applyNumberFormat="1" applyBorder="1" applyAlignment="1">
      <alignment horizontal="left" vertical="center" wrapText="1"/>
    </xf>
    <xf numFmtId="49" fontId="0" fillId="0" borderId="15" xfId="0" applyNumberFormat="1" applyBorder="1" applyAlignment="1">
      <alignment horizontal="left" vertical="center"/>
    </xf>
    <xf numFmtId="49" fontId="0" fillId="0" borderId="16" xfId="0" applyNumberFormat="1" applyBorder="1" applyAlignment="1">
      <alignment horizontal="left" vertical="center"/>
    </xf>
    <xf numFmtId="49" fontId="0" fillId="9" borderId="10" xfId="0" applyNumberFormat="1" applyFill="1" applyBorder="1" applyAlignment="1">
      <alignment horizontal="center" vertical="center"/>
    </xf>
    <xf numFmtId="0" fontId="0" fillId="9" borderId="10" xfId="0" applyFill="1" applyBorder="1" applyAlignment="1">
      <alignment horizontal="center" vertical="center"/>
    </xf>
    <xf numFmtId="49" fontId="0" fillId="3" borderId="8" xfId="0" applyNumberFormat="1" applyFill="1" applyBorder="1" applyAlignment="1">
      <alignment horizontal="center" vertical="center"/>
    </xf>
    <xf numFmtId="0" fontId="0" fillId="3" borderId="8" xfId="0" applyFill="1" applyBorder="1" applyAlignment="1">
      <alignment horizontal="center" vertical="center"/>
    </xf>
    <xf numFmtId="0" fontId="1" fillId="5" borderId="0" xfId="0" applyFont="1" applyFill="1" applyAlignment="1">
      <alignment horizontal="right" vertical="center"/>
    </xf>
    <xf numFmtId="49" fontId="1" fillId="0" borderId="25" xfId="0" applyNumberFormat="1" applyFont="1" applyBorder="1" applyAlignment="1">
      <alignment horizontal="center" vertical="center"/>
    </xf>
    <xf numFmtId="49" fontId="1" fillId="0" borderId="27" xfId="0" applyNumberFormat="1" applyFont="1" applyBorder="1" applyAlignment="1">
      <alignment horizontal="center" vertical="center"/>
    </xf>
    <xf numFmtId="0" fontId="0" fillId="0" borderId="0" xfId="0" applyAlignment="1">
      <alignment horizontal="center" vertical="center"/>
    </xf>
    <xf numFmtId="49" fontId="0" fillId="7" borderId="8" xfId="0" applyNumberFormat="1" applyFill="1" applyBorder="1" applyAlignment="1">
      <alignment horizontal="left" vertical="center" wrapText="1"/>
    </xf>
    <xf numFmtId="49" fontId="0" fillId="7" borderId="22" xfId="0" applyNumberFormat="1" applyFill="1" applyBorder="1" applyAlignment="1">
      <alignment horizontal="left" vertical="center" wrapText="1"/>
    </xf>
    <xf numFmtId="49" fontId="0" fillId="0" borderId="23" xfId="0" applyNumberFormat="1" applyBorder="1" applyAlignment="1">
      <alignment horizontal="left" vertical="center"/>
    </xf>
    <xf numFmtId="0" fontId="1" fillId="2" borderId="5" xfId="0" applyFont="1" applyFill="1" applyBorder="1" applyAlignment="1">
      <alignment horizontal="center" vertical="center"/>
    </xf>
    <xf numFmtId="0" fontId="1" fillId="2" borderId="6" xfId="0" applyFont="1" applyFill="1" applyBorder="1" applyAlignment="1">
      <alignment horizontal="center" vertical="center"/>
    </xf>
    <xf numFmtId="0" fontId="1" fillId="2" borderId="7" xfId="0" applyFont="1" applyFill="1"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39" xfId="0" applyBorder="1" applyAlignment="1">
      <alignment horizontal="center" vertical="center" wrapText="1"/>
    </xf>
    <xf numFmtId="0" fontId="0" fillId="0" borderId="40" xfId="0" applyBorder="1" applyAlignment="1">
      <alignment horizontal="center" vertical="center" wrapText="1"/>
    </xf>
    <xf numFmtId="49" fontId="0" fillId="0" borderId="26" xfId="0" applyNumberFormat="1" applyBorder="1" applyAlignment="1">
      <alignment horizontal="left" vertical="center"/>
    </xf>
    <xf numFmtId="49" fontId="0" fillId="0" borderId="32" xfId="0" applyNumberFormat="1" applyBorder="1" applyAlignment="1">
      <alignment horizontal="left" vertical="center"/>
    </xf>
    <xf numFmtId="49" fontId="0" fillId="0" borderId="58" xfId="0" applyNumberFormat="1" applyBorder="1" applyAlignment="1">
      <alignment horizontal="left" vertical="center"/>
    </xf>
    <xf numFmtId="49" fontId="0" fillId="0" borderId="50" xfId="0" applyNumberFormat="1" applyBorder="1" applyAlignment="1">
      <alignment horizontal="left" vertical="center"/>
    </xf>
    <xf numFmtId="49" fontId="0" fillId="0" borderId="64" xfId="0" applyNumberFormat="1" applyBorder="1" applyAlignment="1">
      <alignment horizontal="left" vertical="center"/>
    </xf>
    <xf numFmtId="49" fontId="0" fillId="0" borderId="59" xfId="0" applyNumberFormat="1" applyBorder="1" applyAlignment="1">
      <alignment horizontal="left" vertical="center"/>
    </xf>
    <xf numFmtId="49" fontId="0" fillId="0" borderId="46" xfId="0" applyNumberFormat="1" applyBorder="1" applyAlignment="1">
      <alignment horizontal="left" vertical="center"/>
    </xf>
    <xf numFmtId="49" fontId="0" fillId="0" borderId="44" xfId="0" applyNumberFormat="1" applyBorder="1" applyAlignment="1">
      <alignment horizontal="left" vertical="center"/>
    </xf>
    <xf numFmtId="49" fontId="0" fillId="0" borderId="55" xfId="0" applyNumberFormat="1" applyBorder="1" applyAlignment="1">
      <alignment horizontal="left" vertical="center"/>
    </xf>
    <xf numFmtId="49" fontId="0" fillId="0" borderId="67" xfId="0" applyNumberFormat="1" applyBorder="1" applyAlignment="1">
      <alignment horizontal="left" vertical="center"/>
    </xf>
    <xf numFmtId="49" fontId="0" fillId="0" borderId="3" xfId="0" applyNumberFormat="1" applyBorder="1" applyAlignment="1">
      <alignment horizontal="left" vertical="center"/>
    </xf>
    <xf numFmtId="49" fontId="0" fillId="0" borderId="24" xfId="0" applyNumberFormat="1" applyBorder="1" applyAlignment="1">
      <alignment horizontal="left" vertical="center"/>
    </xf>
    <xf numFmtId="49" fontId="0" fillId="0" borderId="63" xfId="0" applyNumberFormat="1" applyBorder="1" applyAlignment="1">
      <alignment horizontal="left" vertical="center"/>
    </xf>
    <xf numFmtId="49" fontId="0" fillId="0" borderId="0" xfId="0" applyNumberFormat="1" applyAlignment="1">
      <alignment horizontal="left" vertical="center"/>
    </xf>
    <xf numFmtId="49" fontId="0" fillId="0" borderId="33" xfId="0" applyNumberFormat="1" applyBorder="1" applyAlignment="1">
      <alignment horizontal="left" vertical="center"/>
    </xf>
    <xf numFmtId="49" fontId="0" fillId="0" borderId="57" xfId="0" applyNumberFormat="1" applyBorder="1" applyAlignment="1">
      <alignment horizontal="left" vertical="center"/>
    </xf>
    <xf numFmtId="49" fontId="0" fillId="0" borderId="68" xfId="0" applyNumberFormat="1" applyBorder="1" applyAlignment="1">
      <alignment horizontal="left" vertical="center"/>
    </xf>
    <xf numFmtId="49" fontId="0" fillId="0" borderId="60" xfId="0" applyNumberFormat="1" applyBorder="1" applyAlignment="1">
      <alignment horizontal="left" vertical="center"/>
    </xf>
    <xf numFmtId="49" fontId="0" fillId="5" borderId="63" xfId="0" applyNumberFormat="1" applyFill="1" applyBorder="1" applyAlignment="1">
      <alignment horizontal="left" vertical="center" wrapText="1"/>
    </xf>
    <xf numFmtId="49" fontId="0" fillId="5" borderId="33" xfId="0" applyNumberFormat="1" applyFill="1" applyBorder="1" applyAlignment="1">
      <alignment horizontal="left" vertical="center" wrapText="1"/>
    </xf>
    <xf numFmtId="0" fontId="5" fillId="0" borderId="47" xfId="0" applyFont="1" applyBorder="1" applyAlignment="1">
      <alignment horizontal="left" vertical="center"/>
    </xf>
    <xf numFmtId="0" fontId="5" fillId="0" borderId="66" xfId="0" applyFont="1" applyBorder="1" applyAlignment="1">
      <alignment horizontal="left" vertical="center"/>
    </xf>
    <xf numFmtId="0" fontId="5" fillId="0" borderId="54" xfId="0" applyFont="1" applyBorder="1" applyAlignment="1">
      <alignment horizontal="left" vertical="center"/>
    </xf>
    <xf numFmtId="0" fontId="5" fillId="0" borderId="46" xfId="0" applyFont="1" applyBorder="1" applyAlignment="1">
      <alignment horizontal="left" vertical="center"/>
    </xf>
    <xf numFmtId="0" fontId="5" fillId="0" borderId="44" xfId="0" applyFont="1" applyBorder="1" applyAlignment="1">
      <alignment horizontal="left" vertical="center"/>
    </xf>
    <xf numFmtId="0" fontId="5" fillId="0" borderId="55" xfId="0" applyFont="1" applyBorder="1" applyAlignment="1">
      <alignment horizontal="left" vertical="center"/>
    </xf>
    <xf numFmtId="0" fontId="0" fillId="0" borderId="48" xfId="0" applyBorder="1" applyAlignment="1">
      <alignment horizontal="center" vertical="center"/>
    </xf>
    <xf numFmtId="0" fontId="0" fillId="0" borderId="65" xfId="0" applyBorder="1" applyAlignment="1">
      <alignment horizontal="center" vertical="center"/>
    </xf>
    <xf numFmtId="0" fontId="0" fillId="0" borderId="56" xfId="0" applyBorder="1" applyAlignment="1">
      <alignment horizontal="center" vertical="center"/>
    </xf>
    <xf numFmtId="49" fontId="0" fillId="5" borderId="50" xfId="0" applyNumberFormat="1" applyFill="1" applyBorder="1" applyAlignment="1">
      <alignment horizontal="left" vertical="center"/>
    </xf>
    <xf numFmtId="49" fontId="0" fillId="5" borderId="64" xfId="0" applyNumberFormat="1" applyFill="1" applyBorder="1" applyAlignment="1">
      <alignment horizontal="left" vertical="center"/>
    </xf>
    <xf numFmtId="49" fontId="0" fillId="5" borderId="59" xfId="0" applyNumberFormat="1" applyFill="1" applyBorder="1" applyAlignment="1">
      <alignment horizontal="left" vertical="center"/>
    </xf>
    <xf numFmtId="49" fontId="0" fillId="5" borderId="46" xfId="0" applyNumberFormat="1" applyFill="1" applyBorder="1" applyAlignment="1">
      <alignment horizontal="left" vertical="center"/>
    </xf>
    <xf numFmtId="49" fontId="0" fillId="5" borderId="44" xfId="0" applyNumberFormat="1" applyFill="1" applyBorder="1" applyAlignment="1">
      <alignment horizontal="left" vertical="center"/>
    </xf>
    <xf numFmtId="49" fontId="0" fillId="5" borderId="55" xfId="0" applyNumberFormat="1" applyFill="1" applyBorder="1" applyAlignment="1">
      <alignment horizontal="left" vertical="center"/>
    </xf>
    <xf numFmtId="49" fontId="0" fillId="5" borderId="67" xfId="0" applyNumberFormat="1" applyFill="1" applyBorder="1" applyAlignment="1">
      <alignment horizontal="left" vertical="center" wrapText="1"/>
    </xf>
    <xf numFmtId="49" fontId="0" fillId="5" borderId="24" xfId="0" applyNumberFormat="1" applyFill="1" applyBorder="1" applyAlignment="1">
      <alignment horizontal="left" vertical="center" wrapText="1"/>
    </xf>
    <xf numFmtId="49" fontId="0" fillId="0" borderId="61" xfId="0" applyNumberFormat="1" applyBorder="1" applyAlignment="1">
      <alignment horizontal="left" vertical="center"/>
    </xf>
    <xf numFmtId="49" fontId="0" fillId="0" borderId="70" xfId="0" applyNumberFormat="1" applyBorder="1" applyAlignment="1">
      <alignment horizontal="left" vertical="center"/>
    </xf>
    <xf numFmtId="49" fontId="0" fillId="0" borderId="71" xfId="0" applyNumberFormat="1" applyBorder="1" applyAlignment="1">
      <alignment horizontal="left" vertical="center"/>
    </xf>
    <xf numFmtId="49" fontId="0" fillId="6" borderId="63" xfId="0" applyNumberFormat="1" applyFill="1" applyBorder="1" applyAlignment="1">
      <alignment horizontal="left" vertical="center" wrapText="1"/>
    </xf>
    <xf numFmtId="49" fontId="0" fillId="6" borderId="33" xfId="0" applyNumberFormat="1" applyFill="1" applyBorder="1" applyAlignment="1">
      <alignment horizontal="left" vertical="center" wrapText="1"/>
    </xf>
    <xf numFmtId="0" fontId="5" fillId="0" borderId="37" xfId="0" applyFont="1" applyBorder="1" applyAlignment="1">
      <alignment horizontal="left" vertical="center"/>
    </xf>
    <xf numFmtId="0" fontId="5" fillId="0" borderId="53" xfId="0" applyFont="1" applyBorder="1" applyAlignment="1">
      <alignment horizontal="left" vertical="center" wrapText="1"/>
    </xf>
    <xf numFmtId="0" fontId="5" fillId="0" borderId="44" xfId="0" applyFont="1" applyBorder="1" applyAlignment="1">
      <alignment horizontal="left" vertical="center" wrapText="1"/>
    </xf>
    <xf numFmtId="0" fontId="5" fillId="0" borderId="55" xfId="0" applyFont="1" applyBorder="1" applyAlignment="1">
      <alignment horizontal="left" vertical="center" wrapText="1"/>
    </xf>
    <xf numFmtId="0" fontId="0" fillId="0" borderId="38" xfId="0" applyBorder="1" applyAlignment="1">
      <alignment horizontal="center" vertical="center"/>
    </xf>
    <xf numFmtId="49" fontId="0" fillId="6" borderId="62" xfId="0" applyNumberFormat="1" applyFill="1" applyBorder="1" applyAlignment="1">
      <alignment horizontal="left" vertical="center"/>
    </xf>
    <xf numFmtId="49" fontId="0" fillId="6" borderId="64" xfId="0" applyNumberFormat="1" applyFill="1" applyBorder="1" applyAlignment="1">
      <alignment horizontal="left" vertical="center"/>
    </xf>
    <xf numFmtId="49" fontId="0" fillId="6" borderId="59" xfId="0" applyNumberFormat="1" applyFill="1" applyBorder="1" applyAlignment="1">
      <alignment horizontal="left" vertical="center"/>
    </xf>
    <xf numFmtId="49" fontId="0" fillId="6" borderId="61" xfId="0" applyNumberFormat="1" applyFill="1" applyBorder="1" applyAlignment="1">
      <alignment horizontal="left" vertical="center" wrapText="1"/>
    </xf>
    <xf numFmtId="49" fontId="0" fillId="6" borderId="57" xfId="0" applyNumberFormat="1" applyFill="1" applyBorder="1" applyAlignment="1">
      <alignment horizontal="left" vertical="center" wrapText="1"/>
    </xf>
    <xf numFmtId="49" fontId="0" fillId="6" borderId="71" xfId="0" applyNumberFormat="1" applyFill="1" applyBorder="1" applyAlignment="1">
      <alignment horizontal="left" vertical="center" wrapText="1"/>
    </xf>
    <xf numFmtId="0" fontId="0" fillId="0" borderId="37" xfId="0" applyBorder="1" applyAlignment="1">
      <alignment horizontal="left" vertical="center"/>
    </xf>
    <xf numFmtId="0" fontId="0" fillId="0" borderId="66" xfId="0" applyBorder="1" applyAlignment="1">
      <alignment horizontal="left" vertical="center"/>
    </xf>
    <xf numFmtId="0" fontId="0" fillId="0" borderId="54" xfId="0" applyBorder="1" applyAlignment="1">
      <alignment horizontal="left" vertical="center"/>
    </xf>
    <xf numFmtId="0" fontId="5" fillId="0" borderId="53" xfId="0" applyFont="1" applyBorder="1" applyAlignment="1">
      <alignment horizontal="left" vertical="center"/>
    </xf>
    <xf numFmtId="49" fontId="0" fillId="4" borderId="62" xfId="0" applyNumberFormat="1" applyFill="1" applyBorder="1" applyAlignment="1">
      <alignment horizontal="left" vertical="center" wrapText="1"/>
    </xf>
    <xf numFmtId="49" fontId="0" fillId="4" borderId="64" xfId="0" applyNumberFormat="1" applyFill="1" applyBorder="1" applyAlignment="1">
      <alignment horizontal="left" vertical="center" wrapText="1"/>
    </xf>
    <xf numFmtId="49" fontId="0" fillId="4" borderId="59" xfId="0" applyNumberFormat="1" applyFill="1" applyBorder="1" applyAlignment="1">
      <alignment horizontal="left" vertical="center" wrapText="1"/>
    </xf>
    <xf numFmtId="49" fontId="0" fillId="4" borderId="61" xfId="0" applyNumberFormat="1" applyFill="1" applyBorder="1" applyAlignment="1">
      <alignment horizontal="left" vertical="center" wrapText="1"/>
    </xf>
    <xf numFmtId="49" fontId="0" fillId="4" borderId="63" xfId="0" applyNumberFormat="1" applyFill="1" applyBorder="1" applyAlignment="1">
      <alignment horizontal="left" vertical="center" wrapText="1"/>
    </xf>
    <xf numFmtId="49" fontId="0" fillId="4" borderId="57" xfId="0" applyNumberFormat="1" applyFill="1" applyBorder="1" applyAlignment="1">
      <alignment horizontal="left" vertical="center" wrapText="1"/>
    </xf>
    <xf numFmtId="49" fontId="0" fillId="4" borderId="71" xfId="0" applyNumberFormat="1" applyFill="1" applyBorder="1" applyAlignment="1">
      <alignment horizontal="left" vertical="center" wrapText="1"/>
    </xf>
    <xf numFmtId="49" fontId="0" fillId="4" borderId="69" xfId="0" applyNumberFormat="1" applyFill="1" applyBorder="1" applyAlignment="1">
      <alignment horizontal="left" vertical="center" wrapText="1"/>
    </xf>
    <xf numFmtId="49" fontId="0" fillId="4" borderId="32" xfId="0" applyNumberFormat="1" applyFill="1" applyBorder="1" applyAlignment="1">
      <alignment horizontal="left" vertical="center" wrapText="1"/>
    </xf>
    <xf numFmtId="49" fontId="0" fillId="4" borderId="58" xfId="0" applyNumberFormat="1" applyFill="1" applyBorder="1" applyAlignment="1">
      <alignment horizontal="left" vertical="center" wrapText="1"/>
    </xf>
    <xf numFmtId="49" fontId="0" fillId="0" borderId="62" xfId="0" applyNumberFormat="1" applyBorder="1" applyAlignment="1">
      <alignment horizontal="left" vertical="center"/>
    </xf>
    <xf numFmtId="49" fontId="0" fillId="0" borderId="53" xfId="0" applyNumberFormat="1" applyBorder="1" applyAlignment="1">
      <alignment horizontal="left" vertical="center"/>
    </xf>
    <xf numFmtId="49" fontId="0" fillId="6" borderId="69" xfId="0" applyNumberFormat="1" applyFill="1" applyBorder="1" applyAlignment="1">
      <alignment horizontal="left" vertical="center"/>
    </xf>
    <xf numFmtId="49" fontId="0" fillId="6" borderId="32" xfId="0" applyNumberFormat="1" applyFill="1" applyBorder="1" applyAlignment="1">
      <alignment horizontal="left" vertical="center"/>
    </xf>
    <xf numFmtId="49" fontId="0" fillId="6" borderId="58" xfId="0" applyNumberFormat="1" applyFill="1" applyBorder="1" applyAlignment="1">
      <alignment horizontal="left" vertical="center"/>
    </xf>
    <xf numFmtId="49" fontId="0" fillId="0" borderId="61" xfId="0" applyNumberFormat="1" applyBorder="1" applyAlignment="1">
      <alignment horizontal="left" vertical="center" wrapText="1"/>
    </xf>
    <xf numFmtId="49" fontId="0" fillId="0" borderId="70" xfId="0" applyNumberFormat="1" applyBorder="1" applyAlignment="1">
      <alignment horizontal="left" vertical="center" wrapText="1"/>
    </xf>
    <xf numFmtId="49" fontId="0" fillId="0" borderId="71" xfId="0" applyNumberFormat="1" applyBorder="1" applyAlignment="1">
      <alignment horizontal="left" vertical="center" wrapText="1"/>
    </xf>
    <xf numFmtId="49" fontId="0" fillId="0" borderId="63" xfId="0" applyNumberFormat="1" applyBorder="1" applyAlignment="1">
      <alignment horizontal="left" vertical="center" wrapText="1"/>
    </xf>
    <xf numFmtId="49" fontId="0" fillId="0" borderId="0" xfId="0" applyNumberFormat="1" applyAlignment="1">
      <alignment horizontal="left" vertical="center" wrapText="1"/>
    </xf>
    <xf numFmtId="49" fontId="0" fillId="0" borderId="33" xfId="0" applyNumberFormat="1" applyBorder="1" applyAlignment="1">
      <alignment horizontal="left" vertical="center" wrapText="1"/>
    </xf>
    <xf numFmtId="49" fontId="0" fillId="0" borderId="57" xfId="0" applyNumberFormat="1" applyBorder="1" applyAlignment="1">
      <alignment horizontal="left" vertical="center" wrapText="1"/>
    </xf>
    <xf numFmtId="49" fontId="0" fillId="0" borderId="68" xfId="0" applyNumberFormat="1" applyBorder="1" applyAlignment="1">
      <alignment horizontal="left" vertical="center" wrapText="1"/>
    </xf>
    <xf numFmtId="49" fontId="0" fillId="0" borderId="60" xfId="0" applyNumberFormat="1" applyBorder="1" applyAlignment="1">
      <alignment horizontal="left" vertical="center" wrapText="1"/>
    </xf>
    <xf numFmtId="49" fontId="0" fillId="4" borderId="33" xfId="0" applyNumberFormat="1" applyFill="1" applyBorder="1" applyAlignment="1">
      <alignment horizontal="left" vertical="center" wrapText="1"/>
    </xf>
    <xf numFmtId="49" fontId="0" fillId="0" borderId="69" xfId="0" applyNumberFormat="1" applyBorder="1" applyAlignment="1">
      <alignment horizontal="left" vertical="center"/>
    </xf>
    <xf numFmtId="49" fontId="0" fillId="0" borderId="27" xfId="0" applyNumberFormat="1" applyBorder="1" applyAlignment="1">
      <alignment horizontal="left" vertical="center"/>
    </xf>
    <xf numFmtId="49" fontId="0" fillId="0" borderId="28" xfId="0" applyNumberFormat="1" applyBorder="1" applyAlignment="1">
      <alignment horizontal="left" vertical="center"/>
    </xf>
    <xf numFmtId="49" fontId="0" fillId="0" borderId="45" xfId="0" applyNumberFormat="1" applyBorder="1" applyAlignment="1">
      <alignment horizontal="left" vertical="center"/>
    </xf>
    <xf numFmtId="49" fontId="0" fillId="0" borderId="28" xfId="0" applyNumberFormat="1" applyBorder="1" applyAlignment="1">
      <alignment horizontal="left" vertical="center" wrapText="1"/>
    </xf>
    <xf numFmtId="49" fontId="0" fillId="0" borderId="31" xfId="0" applyNumberFormat="1" applyBorder="1" applyAlignment="1">
      <alignment horizontal="left" vertical="center" wrapText="1"/>
    </xf>
    <xf numFmtId="49" fontId="0" fillId="7" borderId="63" xfId="0" applyNumberFormat="1" applyFill="1" applyBorder="1" applyAlignment="1">
      <alignment horizontal="left" vertical="center" wrapText="1"/>
    </xf>
    <xf numFmtId="49" fontId="0" fillId="7" borderId="33" xfId="0" applyNumberFormat="1" applyFill="1" applyBorder="1" applyAlignment="1">
      <alignment horizontal="left" vertical="center" wrapText="1"/>
    </xf>
    <xf numFmtId="49" fontId="0" fillId="7" borderId="72" xfId="0" applyNumberFormat="1" applyFill="1" applyBorder="1" applyAlignment="1">
      <alignment horizontal="left" vertical="center" wrapText="1"/>
    </xf>
    <xf numFmtId="49" fontId="0" fillId="7" borderId="31" xfId="0" applyNumberFormat="1" applyFill="1" applyBorder="1" applyAlignment="1">
      <alignment horizontal="left" vertical="center" wrapText="1"/>
    </xf>
    <xf numFmtId="0" fontId="0" fillId="0" borderId="52" xfId="0" applyBorder="1" applyAlignment="1">
      <alignment horizontal="left" vertical="center"/>
    </xf>
    <xf numFmtId="0" fontId="0" fillId="0" borderId="4" xfId="0" applyBorder="1" applyAlignment="1">
      <alignment horizontal="left" vertical="center"/>
    </xf>
    <xf numFmtId="0" fontId="0" fillId="0" borderId="25" xfId="0" applyBorder="1" applyAlignment="1">
      <alignment horizontal="left" vertical="center"/>
    </xf>
    <xf numFmtId="0" fontId="5" fillId="0" borderId="45" xfId="0" applyFont="1" applyBorder="1" applyAlignment="1">
      <alignment horizontal="left" vertical="center"/>
    </xf>
    <xf numFmtId="0" fontId="0" fillId="0" borderId="71" xfId="0" applyBorder="1" applyAlignment="1">
      <alignment horizontal="center" vertical="center"/>
    </xf>
    <xf numFmtId="0" fontId="0" fillId="0" borderId="33" xfId="0" applyBorder="1" applyAlignment="1">
      <alignment horizontal="center" vertical="center"/>
    </xf>
    <xf numFmtId="0" fontId="0" fillId="0" borderId="31" xfId="0" applyBorder="1" applyAlignment="1">
      <alignment horizontal="center" vertical="center"/>
    </xf>
    <xf numFmtId="49" fontId="0" fillId="7" borderId="17" xfId="0" applyNumberFormat="1" applyFill="1" applyBorder="1" applyAlignment="1">
      <alignment horizontal="left" vertical="center" wrapText="1"/>
    </xf>
    <xf numFmtId="49" fontId="0" fillId="7" borderId="18" xfId="0" applyNumberFormat="1" applyFill="1" applyBorder="1" applyAlignment="1">
      <alignment horizontal="left" vertical="center" wrapText="1"/>
    </xf>
    <xf numFmtId="49" fontId="0" fillId="7" borderId="62" xfId="0" applyNumberFormat="1" applyFill="1" applyBorder="1" applyAlignment="1">
      <alignment horizontal="left" vertical="center" wrapText="1"/>
    </xf>
    <xf numFmtId="49" fontId="0" fillId="7" borderId="64" xfId="0" applyNumberFormat="1" applyFill="1" applyBorder="1" applyAlignment="1">
      <alignment horizontal="left" vertical="center" wrapText="1"/>
    </xf>
    <xf numFmtId="49" fontId="0" fillId="7" borderId="73" xfId="0" applyNumberFormat="1" applyFill="1" applyBorder="1" applyAlignment="1">
      <alignment horizontal="left" vertical="center" wrapText="1"/>
    </xf>
    <xf numFmtId="49" fontId="0" fillId="7" borderId="61" xfId="0" applyNumberFormat="1" applyFill="1" applyBorder="1" applyAlignment="1">
      <alignment horizontal="left" vertical="center" wrapText="1"/>
    </xf>
    <xf numFmtId="49" fontId="0" fillId="7" borderId="71" xfId="0" applyNumberFormat="1" applyFill="1" applyBorder="1" applyAlignment="1">
      <alignment horizontal="left" vertical="center" wrapText="1"/>
    </xf>
    <xf numFmtId="49" fontId="0" fillId="6" borderId="37" xfId="0" applyNumberFormat="1" applyFill="1" applyBorder="1" applyAlignment="1">
      <alignment horizontal="left" vertical="center"/>
    </xf>
    <xf numFmtId="49" fontId="0" fillId="6" borderId="66" xfId="0" applyNumberFormat="1" applyFill="1" applyBorder="1" applyAlignment="1">
      <alignment horizontal="left" vertical="center"/>
    </xf>
    <xf numFmtId="49" fontId="0" fillId="6" borderId="54" xfId="0" applyNumberFormat="1" applyFill="1" applyBorder="1" applyAlignment="1">
      <alignment horizontal="left" vertical="center"/>
    </xf>
    <xf numFmtId="49" fontId="0" fillId="0" borderId="37" xfId="0" applyNumberFormat="1" applyBorder="1" applyAlignment="1">
      <alignment horizontal="left" vertical="center"/>
    </xf>
    <xf numFmtId="49" fontId="0" fillId="0" borderId="66" xfId="0" applyNumberFormat="1" applyBorder="1" applyAlignment="1">
      <alignment horizontal="left" vertical="center"/>
    </xf>
    <xf numFmtId="49" fontId="0" fillId="0" borderId="54" xfId="0" applyNumberFormat="1" applyBorder="1" applyAlignment="1">
      <alignment horizontal="left" vertical="center"/>
    </xf>
    <xf numFmtId="0" fontId="0" fillId="0" borderId="46" xfId="0" applyBorder="1" applyAlignment="1">
      <alignment horizontal="left" vertical="center"/>
    </xf>
    <xf numFmtId="0" fontId="0" fillId="0" borderId="55" xfId="0" applyBorder="1" applyAlignment="1">
      <alignment horizontal="left" vertical="center"/>
    </xf>
    <xf numFmtId="49" fontId="0" fillId="5" borderId="47" xfId="0" applyNumberFormat="1" applyFill="1" applyBorder="1" applyAlignment="1">
      <alignment horizontal="left" vertical="center"/>
    </xf>
    <xf numFmtId="49" fontId="0" fillId="5" borderId="54" xfId="0" applyNumberFormat="1" applyFill="1" applyBorder="1" applyAlignment="1">
      <alignment horizontal="left" vertical="center"/>
    </xf>
    <xf numFmtId="49" fontId="0" fillId="5" borderId="57" xfId="0" applyNumberFormat="1" applyFill="1" applyBorder="1" applyAlignment="1">
      <alignment horizontal="left" vertical="center" wrapText="1"/>
    </xf>
    <xf numFmtId="49" fontId="0" fillId="6" borderId="24" xfId="0" applyNumberFormat="1" applyFill="1" applyBorder="1" applyAlignment="1">
      <alignment horizontal="left" vertical="center" wrapText="1"/>
    </xf>
    <xf numFmtId="49" fontId="0" fillId="6" borderId="60" xfId="0" applyNumberFormat="1" applyFill="1" applyBorder="1" applyAlignment="1">
      <alignment horizontal="left" vertical="center"/>
    </xf>
    <xf numFmtId="49" fontId="0" fillId="0" borderId="47" xfId="0" applyNumberFormat="1" applyBorder="1" applyAlignment="1">
      <alignment horizontal="left" vertical="center"/>
    </xf>
    <xf numFmtId="0" fontId="0" fillId="0" borderId="53" xfId="0" applyBorder="1" applyAlignment="1">
      <alignment horizontal="left" vertical="center"/>
    </xf>
    <xf numFmtId="0" fontId="0" fillId="0" borderId="44" xfId="0" applyBorder="1" applyAlignment="1">
      <alignment horizontal="left" vertical="center"/>
    </xf>
    <xf numFmtId="49" fontId="0" fillId="4" borderId="37" xfId="0" applyNumberFormat="1" applyFill="1" applyBorder="1" applyAlignment="1">
      <alignment horizontal="left" vertical="center"/>
    </xf>
    <xf numFmtId="49" fontId="0" fillId="4" borderId="66" xfId="0" applyNumberFormat="1" applyFill="1" applyBorder="1" applyAlignment="1">
      <alignment horizontal="left" vertical="center"/>
    </xf>
    <xf numFmtId="49" fontId="0" fillId="4" borderId="54" xfId="0" applyNumberFormat="1" applyFill="1" applyBorder="1" applyAlignment="1">
      <alignment horizontal="left" vertical="center"/>
    </xf>
    <xf numFmtId="49" fontId="0" fillId="4" borderId="61" xfId="0" applyNumberFormat="1" applyFill="1" applyBorder="1" applyAlignment="1">
      <alignment horizontal="left" vertical="center"/>
    </xf>
    <xf numFmtId="49" fontId="0" fillId="4" borderId="63" xfId="0" applyNumberFormat="1" applyFill="1" applyBorder="1" applyAlignment="1">
      <alignment horizontal="left" vertical="center"/>
    </xf>
    <xf numFmtId="49" fontId="0" fillId="4" borderId="57" xfId="0" applyNumberFormat="1" applyFill="1" applyBorder="1" applyAlignment="1">
      <alignment horizontal="left" vertical="center"/>
    </xf>
    <xf numFmtId="49" fontId="0" fillId="7" borderId="45" xfId="0" applyNumberFormat="1" applyFill="1" applyBorder="1" applyAlignment="1">
      <alignment horizontal="left" vertical="center" wrapText="1"/>
    </xf>
    <xf numFmtId="49" fontId="0" fillId="7" borderId="74" xfId="0" applyNumberFormat="1" applyFill="1" applyBorder="1" applyAlignment="1">
      <alignment horizontal="left" vertical="center" wrapText="1"/>
    </xf>
    <xf numFmtId="49" fontId="0" fillId="4" borderId="60" xfId="0" applyNumberFormat="1" applyFill="1" applyBorder="1" applyAlignment="1">
      <alignment horizontal="left" vertical="center" wrapText="1"/>
    </xf>
    <xf numFmtId="49" fontId="0" fillId="6" borderId="60" xfId="0" applyNumberFormat="1" applyFill="1" applyBorder="1" applyAlignment="1">
      <alignment horizontal="left" vertical="center" wrapText="1"/>
    </xf>
    <xf numFmtId="49" fontId="0" fillId="5" borderId="60" xfId="0" applyNumberFormat="1" applyFill="1" applyBorder="1" applyAlignment="1">
      <alignment horizontal="left" vertical="center" wrapText="1"/>
    </xf>
    <xf numFmtId="0" fontId="5" fillId="0" borderId="46" xfId="0" applyFont="1" applyBorder="1" applyAlignment="1">
      <alignment horizontal="left" vertical="center" wrapText="1"/>
    </xf>
    <xf numFmtId="49" fontId="0" fillId="5" borderId="66" xfId="0" applyNumberFormat="1" applyFill="1" applyBorder="1" applyAlignment="1">
      <alignment horizontal="left" vertical="center"/>
    </xf>
    <xf numFmtId="49" fontId="0" fillId="4" borderId="15" xfId="0" applyNumberFormat="1" applyFill="1" applyBorder="1" applyAlignment="1">
      <alignment horizontal="left" vertical="center" wrapText="1"/>
    </xf>
    <xf numFmtId="49" fontId="0" fillId="4" borderId="16" xfId="0" applyNumberFormat="1" applyFill="1" applyBorder="1" applyAlignment="1">
      <alignment horizontal="left" vertical="center" wrapText="1"/>
    </xf>
    <xf numFmtId="0" fontId="5" fillId="9" borderId="10" xfId="0" applyFont="1" applyFill="1" applyBorder="1" applyAlignment="1">
      <alignment horizontal="left" vertical="center" wrapText="1"/>
    </xf>
    <xf numFmtId="0" fontId="5" fillId="9" borderId="10" xfId="0" applyFont="1" applyFill="1" applyBorder="1" applyAlignment="1">
      <alignment horizontal="left" vertical="center"/>
    </xf>
    <xf numFmtId="49" fontId="0" fillId="5" borderId="41" xfId="0" applyNumberFormat="1" applyFill="1" applyBorder="1" applyAlignment="1">
      <alignment horizontal="left" vertical="center" wrapText="1"/>
    </xf>
    <xf numFmtId="0" fontId="0" fillId="0" borderId="53" xfId="0" applyBorder="1" applyAlignment="1">
      <alignment horizontal="left" vertical="center" wrapText="1"/>
    </xf>
    <xf numFmtId="0" fontId="0" fillId="0" borderId="44" xfId="0" applyBorder="1" applyAlignment="1">
      <alignment horizontal="left" vertical="center" wrapText="1"/>
    </xf>
    <xf numFmtId="0" fontId="0" fillId="0" borderId="55" xfId="0" applyBorder="1" applyAlignment="1">
      <alignment horizontal="left" vertical="center" wrapText="1"/>
    </xf>
    <xf numFmtId="0" fontId="0" fillId="0" borderId="61" xfId="0" applyBorder="1" applyAlignment="1">
      <alignment horizontal="center" vertical="center"/>
    </xf>
    <xf numFmtId="0" fontId="0" fillId="0" borderId="63" xfId="0" applyBorder="1" applyAlignment="1">
      <alignment horizontal="center" vertical="center"/>
    </xf>
    <xf numFmtId="0" fontId="0" fillId="0" borderId="57" xfId="0" applyBorder="1" applyAlignment="1">
      <alignment horizontal="center" vertical="center"/>
    </xf>
    <xf numFmtId="49" fontId="0" fillId="6" borderId="53" xfId="0" applyNumberFormat="1" applyFill="1" applyBorder="1" applyAlignment="1">
      <alignment horizontal="left" vertical="center" wrapText="1"/>
    </xf>
    <xf numFmtId="49" fontId="0" fillId="6" borderId="44" xfId="0" applyNumberFormat="1" applyFill="1" applyBorder="1" applyAlignment="1">
      <alignment horizontal="left" vertical="center" wrapText="1"/>
    </xf>
    <xf numFmtId="49" fontId="0" fillId="6" borderId="55" xfId="0" applyNumberFormat="1" applyFill="1" applyBorder="1" applyAlignment="1">
      <alignment horizontal="left" vertical="center" wrapText="1"/>
    </xf>
    <xf numFmtId="49" fontId="0" fillId="8" borderId="22" xfId="0" applyNumberFormat="1" applyFill="1" applyBorder="1" applyAlignment="1">
      <alignment horizontal="left" vertical="center"/>
    </xf>
    <xf numFmtId="49" fontId="0" fillId="8" borderId="35" xfId="0" applyNumberFormat="1" applyFill="1" applyBorder="1" applyAlignment="1">
      <alignment horizontal="left" vertical="center"/>
    </xf>
    <xf numFmtId="49" fontId="0" fillId="8" borderId="42" xfId="0" applyNumberFormat="1" applyFill="1" applyBorder="1" applyAlignment="1">
      <alignment horizontal="left" vertical="center"/>
    </xf>
    <xf numFmtId="0" fontId="0" fillId="0" borderId="12" xfId="0" applyBorder="1" applyAlignment="1">
      <alignment horizontal="left" vertical="center"/>
    </xf>
    <xf numFmtId="0" fontId="0" fillId="0" borderId="14" xfId="0" applyBorder="1" applyAlignment="1">
      <alignment horizontal="left" vertical="center"/>
    </xf>
    <xf numFmtId="0" fontId="0" fillId="0" borderId="45" xfId="0" applyBorder="1" applyAlignment="1">
      <alignment horizontal="left" vertical="center" wrapText="1"/>
    </xf>
    <xf numFmtId="0" fontId="0" fillId="0" borderId="72" xfId="0" applyBorder="1" applyAlignment="1">
      <alignment horizontal="center" vertical="center"/>
    </xf>
    <xf numFmtId="49" fontId="0" fillId="7" borderId="37" xfId="0" applyNumberFormat="1" applyFill="1" applyBorder="1" applyAlignment="1">
      <alignment horizontal="left" vertical="center"/>
    </xf>
    <xf numFmtId="49" fontId="0" fillId="7" borderId="75" xfId="0" applyNumberFormat="1" applyFill="1" applyBorder="1" applyAlignment="1">
      <alignment horizontal="left" vertical="center"/>
    </xf>
    <xf numFmtId="49" fontId="0" fillId="8" borderId="8" xfId="0" applyNumberFormat="1" applyFill="1" applyBorder="1" applyAlignment="1">
      <alignment horizontal="left" vertical="center"/>
    </xf>
    <xf numFmtId="49" fontId="0" fillId="8" borderId="13" xfId="0" applyNumberFormat="1" applyFill="1" applyBorder="1" applyAlignment="1">
      <alignment horizontal="left" vertical="center"/>
    </xf>
    <xf numFmtId="0" fontId="5" fillId="3" borderId="0" xfId="0" applyFont="1" applyFill="1" applyAlignment="1">
      <alignment horizontal="center" vertical="center"/>
    </xf>
    <xf numFmtId="49" fontId="0" fillId="3" borderId="0" xfId="0" applyNumberFormat="1" applyFill="1" applyAlignment="1">
      <alignment horizontal="center" vertical="center"/>
    </xf>
    <xf numFmtId="0" fontId="0" fillId="3" borderId="0" xfId="0" applyFill="1" applyAlignment="1">
      <alignment horizontal="center" vertical="center"/>
    </xf>
    <xf numFmtId="49" fontId="0" fillId="5" borderId="9" xfId="0" applyNumberFormat="1" applyFill="1" applyBorder="1" applyAlignment="1">
      <alignment horizontal="left" vertical="center"/>
    </xf>
    <xf numFmtId="49" fontId="0" fillId="5" borderId="12" xfId="0" applyNumberFormat="1" applyFill="1" applyBorder="1" applyAlignment="1">
      <alignment horizontal="left" vertical="center"/>
    </xf>
    <xf numFmtId="49" fontId="0" fillId="5" borderId="22" xfId="0" applyNumberFormat="1" applyFill="1" applyBorder="1" applyAlignment="1">
      <alignment horizontal="left" vertical="center" wrapText="1"/>
    </xf>
    <xf numFmtId="49" fontId="0" fillId="0" borderId="24" xfId="0" applyNumberFormat="1" applyBorder="1" applyAlignment="1">
      <alignment horizontal="left" vertical="center" wrapText="1"/>
    </xf>
    <xf numFmtId="49" fontId="0" fillId="6" borderId="12" xfId="0" applyNumberFormat="1" applyFill="1" applyBorder="1" applyAlignment="1">
      <alignment horizontal="left" vertical="center"/>
    </xf>
    <xf numFmtId="0" fontId="5" fillId="0" borderId="12" xfId="0" applyFont="1" applyBorder="1" applyAlignment="1">
      <alignment horizontal="left" vertical="center"/>
    </xf>
    <xf numFmtId="0" fontId="5" fillId="0" borderId="14" xfId="0" applyFont="1" applyBorder="1" applyAlignment="1">
      <alignment horizontal="left" vertical="center"/>
    </xf>
    <xf numFmtId="0" fontId="5" fillId="0" borderId="8" xfId="0" applyFont="1" applyBorder="1" applyAlignment="1">
      <alignment horizontal="left" vertical="center"/>
    </xf>
    <xf numFmtId="0" fontId="5" fillId="0" borderId="15" xfId="0" applyFont="1" applyBorder="1" applyAlignment="1">
      <alignment horizontal="left" vertical="center"/>
    </xf>
    <xf numFmtId="0" fontId="0" fillId="0" borderId="13" xfId="0" applyBorder="1" applyAlignment="1">
      <alignment horizontal="center" vertical="center"/>
    </xf>
    <xf numFmtId="0" fontId="0" fillId="0" borderId="16" xfId="0" applyBorder="1" applyAlignment="1">
      <alignment horizontal="center" vertical="center"/>
    </xf>
    <xf numFmtId="49" fontId="0" fillId="7" borderId="12" xfId="0" applyNumberFormat="1" applyFill="1" applyBorder="1" applyAlignment="1">
      <alignment horizontal="left" vertical="center"/>
    </xf>
    <xf numFmtId="49" fontId="0" fillId="7" borderId="14" xfId="0" applyNumberFormat="1" applyFill="1" applyBorder="1" applyAlignment="1">
      <alignment horizontal="left" vertical="center"/>
    </xf>
    <xf numFmtId="49" fontId="0" fillId="0" borderId="17" xfId="0" applyNumberFormat="1" applyBorder="1" applyAlignment="1">
      <alignment horizontal="left" vertical="center"/>
    </xf>
    <xf numFmtId="49" fontId="0" fillId="0" borderId="18" xfId="0" applyNumberFormat="1" applyBorder="1" applyAlignment="1">
      <alignment horizontal="left" vertical="center"/>
    </xf>
    <xf numFmtId="0" fontId="0" fillId="0" borderId="76" xfId="0" applyBorder="1" applyAlignment="1">
      <alignment horizontal="center" vertical="center"/>
    </xf>
    <xf numFmtId="0" fontId="0" fillId="0" borderId="18" xfId="0" applyBorder="1" applyAlignment="1">
      <alignment horizontal="center" vertical="center"/>
    </xf>
    <xf numFmtId="0" fontId="0" fillId="0" borderId="67" xfId="0" applyBorder="1" applyAlignment="1">
      <alignment horizontal="center" vertical="center"/>
    </xf>
    <xf numFmtId="49" fontId="0" fillId="9" borderId="29" xfId="0" applyNumberFormat="1" applyFill="1" applyBorder="1" applyAlignment="1">
      <alignment horizontal="center" vertical="center"/>
    </xf>
    <xf numFmtId="49" fontId="0" fillId="9" borderId="30" xfId="0" applyNumberFormat="1" applyFill="1" applyBorder="1" applyAlignment="1">
      <alignment horizontal="center" vertical="center"/>
    </xf>
    <xf numFmtId="49" fontId="0" fillId="3" borderId="22" xfId="0" applyNumberFormat="1" applyFill="1" applyBorder="1" applyAlignment="1">
      <alignment horizontal="center" vertical="center"/>
    </xf>
    <xf numFmtId="49" fontId="0" fillId="3" borderId="17" xfId="0" applyNumberFormat="1" applyFill="1" applyBorder="1" applyAlignment="1">
      <alignment horizontal="center" vertical="center"/>
    </xf>
    <xf numFmtId="0" fontId="0" fillId="4" borderId="15" xfId="0" applyFill="1" applyBorder="1" applyAlignment="1">
      <alignment horizontal="center" vertical="center"/>
    </xf>
    <xf numFmtId="49" fontId="0" fillId="4" borderId="70" xfId="0" applyNumberFormat="1" applyFill="1" applyBorder="1" applyAlignment="1">
      <alignment horizontal="left" vertical="center" wrapText="1"/>
    </xf>
    <xf numFmtId="49" fontId="0" fillId="4" borderId="68" xfId="0" applyNumberFormat="1" applyFill="1" applyBorder="1" applyAlignment="1">
      <alignment horizontal="left" vertical="center" wrapText="1"/>
    </xf>
    <xf numFmtId="49" fontId="1" fillId="0" borderId="27" xfId="0" applyNumberFormat="1" applyFont="1" applyBorder="1" applyAlignment="1">
      <alignment horizontal="center" vertical="center" wrapText="1"/>
    </xf>
    <xf numFmtId="49" fontId="0" fillId="7" borderId="69" xfId="0" applyNumberFormat="1" applyFill="1" applyBorder="1" applyAlignment="1">
      <alignment horizontal="left" vertical="center"/>
    </xf>
    <xf numFmtId="49" fontId="0" fillId="7" borderId="58" xfId="0" applyNumberFormat="1" applyFill="1" applyBorder="1" applyAlignment="1">
      <alignment horizontal="left" vertical="center"/>
    </xf>
    <xf numFmtId="49" fontId="0" fillId="4" borderId="62" xfId="0" applyNumberFormat="1" applyFill="1" applyBorder="1" applyAlignment="1">
      <alignment horizontal="left" vertical="center"/>
    </xf>
    <xf numFmtId="49" fontId="0" fillId="4" borderId="59" xfId="0" applyNumberFormat="1" applyFill="1" applyBorder="1" applyAlignment="1">
      <alignment horizontal="left" vertical="center"/>
    </xf>
    <xf numFmtId="49" fontId="0" fillId="4" borderId="53" xfId="0" applyNumberFormat="1" applyFill="1" applyBorder="1" applyAlignment="1">
      <alignment horizontal="left" vertical="center"/>
    </xf>
    <xf numFmtId="49" fontId="0" fillId="4" borderId="55" xfId="0" applyNumberFormat="1" applyFill="1" applyBorder="1" applyAlignment="1">
      <alignment horizontal="left" vertical="center"/>
    </xf>
    <xf numFmtId="0" fontId="0" fillId="0" borderId="75" xfId="0" applyBorder="1" applyAlignment="1">
      <alignment horizontal="left" vertical="center"/>
    </xf>
    <xf numFmtId="49" fontId="0" fillId="4" borderId="69" xfId="0" applyNumberFormat="1" applyFill="1" applyBorder="1" applyAlignment="1">
      <alignment horizontal="left" vertical="center"/>
    </xf>
    <xf numFmtId="49" fontId="0" fillId="4" borderId="27" xfId="0" applyNumberFormat="1" applyFill="1" applyBorder="1" applyAlignment="1">
      <alignment horizontal="left" vertical="center"/>
    </xf>
    <xf numFmtId="49" fontId="0" fillId="4" borderId="12" xfId="0" applyNumberFormat="1" applyFill="1" applyBorder="1" applyAlignment="1">
      <alignment horizontal="left" vertical="center"/>
    </xf>
    <xf numFmtId="49" fontId="0" fillId="4" borderId="22" xfId="0" applyNumberFormat="1" applyFill="1" applyBorder="1" applyAlignment="1">
      <alignment horizontal="left" vertical="center"/>
    </xf>
    <xf numFmtId="0" fontId="0" fillId="7" borderId="3" xfId="0" applyFill="1" applyBorder="1" applyAlignment="1">
      <alignment horizontal="center" vertical="center"/>
    </xf>
    <xf numFmtId="0" fontId="1" fillId="3" borderId="5" xfId="0" applyFont="1" applyFill="1" applyBorder="1" applyAlignment="1">
      <alignment horizontal="center" vertical="center"/>
    </xf>
    <xf numFmtId="0" fontId="1" fillId="3" borderId="7" xfId="0" applyFont="1" applyFill="1" applyBorder="1" applyAlignment="1">
      <alignment horizontal="center" vertical="center"/>
    </xf>
    <xf numFmtId="0" fontId="5" fillId="9" borderId="29" xfId="0" applyFont="1" applyFill="1" applyBorder="1" applyAlignment="1">
      <alignment horizontal="center" vertical="center"/>
    </xf>
    <xf numFmtId="0" fontId="5" fillId="9" borderId="30" xfId="0" applyFont="1" applyFill="1" applyBorder="1" applyAlignment="1">
      <alignment horizontal="center" vertical="center"/>
    </xf>
    <xf numFmtId="0" fontId="5" fillId="4" borderId="23" xfId="0" applyFont="1" applyFill="1" applyBorder="1" applyAlignment="1">
      <alignment horizontal="center" vertical="center"/>
    </xf>
    <xf numFmtId="0" fontId="5" fillId="4" borderId="18" xfId="0" applyFont="1" applyFill="1" applyBorder="1" applyAlignment="1">
      <alignment horizontal="center" vertical="center"/>
    </xf>
    <xf numFmtId="0" fontId="0" fillId="5" borderId="3" xfId="0" applyFill="1" applyBorder="1" applyAlignment="1">
      <alignment horizontal="center" vertical="center"/>
    </xf>
    <xf numFmtId="0" fontId="1" fillId="6" borderId="3" xfId="0" applyFont="1" applyFill="1" applyBorder="1" applyAlignment="1">
      <alignment horizontal="center" vertical="center"/>
    </xf>
    <xf numFmtId="0" fontId="0" fillId="4" borderId="3" xfId="0" applyFill="1" applyBorder="1" applyAlignment="1">
      <alignment horizontal="center" vertical="center"/>
    </xf>
    <xf numFmtId="0" fontId="0" fillId="0" borderId="74" xfId="0" applyBorder="1" applyAlignment="1">
      <alignment horizontal="center" vertical="center"/>
    </xf>
    <xf numFmtId="49" fontId="0" fillId="7" borderId="53" xfId="0" applyNumberFormat="1" applyFill="1" applyBorder="1" applyAlignment="1">
      <alignment horizontal="left" vertical="center" wrapText="1"/>
    </xf>
    <xf numFmtId="49" fontId="0" fillId="5" borderId="46" xfId="0" applyNumberFormat="1" applyFill="1" applyBorder="1" applyAlignment="1">
      <alignment horizontal="left" vertical="center" wrapText="1"/>
    </xf>
    <xf numFmtId="49" fontId="0" fillId="5" borderId="48" xfId="0" applyNumberFormat="1" applyFill="1" applyBorder="1" applyAlignment="1">
      <alignment horizontal="left" vertical="center" wrapText="1"/>
    </xf>
    <xf numFmtId="0" fontId="5" fillId="9" borderId="10" xfId="0" applyFont="1" applyFill="1" applyBorder="1" applyAlignment="1">
      <alignment horizontal="center" vertical="center" wrapText="1"/>
    </xf>
    <xf numFmtId="0" fontId="5" fillId="0" borderId="37" xfId="0" applyFont="1" applyBorder="1" applyAlignment="1">
      <alignment horizontal="left" vertical="center" wrapText="1"/>
    </xf>
    <xf numFmtId="0" fontId="5" fillId="0" borderId="66" xfId="0" applyFont="1" applyBorder="1" applyAlignment="1">
      <alignment horizontal="left" vertical="center" wrapText="1"/>
    </xf>
    <xf numFmtId="0" fontId="5" fillId="0" borderId="54" xfId="0" applyFont="1" applyBorder="1" applyAlignment="1">
      <alignment horizontal="left" vertical="center" wrapText="1"/>
    </xf>
    <xf numFmtId="0" fontId="0" fillId="0" borderId="8" xfId="0" applyBorder="1" applyAlignment="1">
      <alignment horizontal="left" vertical="center" wrapText="1"/>
    </xf>
    <xf numFmtId="0" fontId="0" fillId="0" borderId="15" xfId="0" applyBorder="1" applyAlignment="1">
      <alignment horizontal="left" vertical="center" wrapText="1"/>
    </xf>
    <xf numFmtId="49" fontId="0" fillId="4" borderId="12" xfId="0" applyNumberFormat="1" applyFill="1" applyBorder="1" applyAlignment="1">
      <alignment horizontal="left" vertical="center" wrapText="1"/>
    </xf>
    <xf numFmtId="49" fontId="0" fillId="4" borderId="14" xfId="0" applyNumberFormat="1" applyFill="1" applyBorder="1" applyAlignment="1">
      <alignment horizontal="left" vertical="center" wrapText="1"/>
    </xf>
    <xf numFmtId="49" fontId="0" fillId="0" borderId="37" xfId="0" applyNumberFormat="1" applyBorder="1" applyAlignment="1">
      <alignment horizontal="left" vertical="center" wrapText="1"/>
    </xf>
    <xf numFmtId="49" fontId="0" fillId="0" borderId="66" xfId="0" applyNumberFormat="1" applyBorder="1" applyAlignment="1">
      <alignment horizontal="left" vertical="center" wrapText="1"/>
    </xf>
    <xf numFmtId="49" fontId="0" fillId="0" borderId="54" xfId="0" applyNumberFormat="1" applyBorder="1" applyAlignment="1">
      <alignment horizontal="left" vertical="center" wrapText="1"/>
    </xf>
    <xf numFmtId="0" fontId="0" fillId="0" borderId="22" xfId="0" applyBorder="1" applyAlignment="1">
      <alignment horizontal="center" vertical="center"/>
    </xf>
    <xf numFmtId="0" fontId="0" fillId="0" borderId="23" xfId="0" applyBorder="1" applyAlignment="1">
      <alignment horizontal="center" vertical="center"/>
    </xf>
    <xf numFmtId="49" fontId="0" fillId="4" borderId="72" xfId="0" applyNumberFormat="1" applyFill="1" applyBorder="1" applyAlignment="1">
      <alignment horizontal="left" vertical="center" wrapText="1"/>
    </xf>
    <xf numFmtId="49" fontId="0" fillId="4" borderId="31" xfId="0" applyNumberFormat="1" applyFill="1" applyBorder="1" applyAlignment="1">
      <alignment horizontal="left" vertical="center" wrapText="1"/>
    </xf>
    <xf numFmtId="0" fontId="0" fillId="0" borderId="38" xfId="0" applyBorder="1" applyAlignment="1">
      <alignment horizontal="center" vertical="center" wrapText="1"/>
    </xf>
    <xf numFmtId="0" fontId="0" fillId="0" borderId="65" xfId="0" applyBorder="1" applyAlignment="1">
      <alignment horizontal="center" vertical="center" wrapText="1"/>
    </xf>
    <xf numFmtId="0" fontId="0" fillId="0" borderId="56" xfId="0" applyBorder="1" applyAlignment="1">
      <alignment horizontal="center" vertical="center" wrapText="1"/>
    </xf>
    <xf numFmtId="49" fontId="0" fillId="6" borderId="37" xfId="0" applyNumberFormat="1" applyFill="1" applyBorder="1" applyAlignment="1">
      <alignment horizontal="left" vertical="center" wrapText="1"/>
    </xf>
    <xf numFmtId="49" fontId="0" fillId="6" borderId="66" xfId="0" applyNumberFormat="1" applyFill="1" applyBorder="1" applyAlignment="1">
      <alignment horizontal="left" vertical="center" wrapText="1"/>
    </xf>
    <xf numFmtId="49" fontId="0" fillId="6" borderId="54" xfId="0" applyNumberFormat="1" applyFill="1" applyBorder="1" applyAlignment="1">
      <alignment horizontal="left" vertical="center" wrapText="1"/>
    </xf>
    <xf numFmtId="49" fontId="0" fillId="0" borderId="53" xfId="0" applyNumberFormat="1" applyBorder="1" applyAlignment="1">
      <alignment horizontal="left" vertical="center" wrapText="1"/>
    </xf>
    <xf numFmtId="49" fontId="0" fillId="0" borderId="44" xfId="0" applyNumberFormat="1" applyBorder="1" applyAlignment="1">
      <alignment horizontal="left" vertical="center" wrapText="1"/>
    </xf>
    <xf numFmtId="49" fontId="0" fillId="0" borderId="55" xfId="0" applyNumberFormat="1" applyBorder="1" applyAlignment="1">
      <alignment horizontal="left" vertical="center" wrapText="1"/>
    </xf>
    <xf numFmtId="49" fontId="0" fillId="4" borderId="23" xfId="0" applyNumberFormat="1" applyFill="1" applyBorder="1" applyAlignment="1">
      <alignment horizontal="left" vertical="center" wrapText="1"/>
    </xf>
    <xf numFmtId="49" fontId="0" fillId="0" borderId="12" xfId="0" applyNumberFormat="1" applyBorder="1" applyAlignment="1">
      <alignment horizontal="left" vertical="center" wrapText="1"/>
    </xf>
    <xf numFmtId="49" fontId="0" fillId="0" borderId="14" xfId="0" applyNumberFormat="1" applyBorder="1" applyAlignment="1">
      <alignment horizontal="left" vertical="center" wrapText="1"/>
    </xf>
    <xf numFmtId="49" fontId="0" fillId="0" borderId="36" xfId="0" applyNumberFormat="1" applyBorder="1" applyAlignment="1">
      <alignment horizontal="left" vertical="center" wrapText="1"/>
    </xf>
    <xf numFmtId="49" fontId="0" fillId="0" borderId="43" xfId="0" applyNumberFormat="1" applyBorder="1" applyAlignment="1">
      <alignment horizontal="left" vertical="center" wrapText="1"/>
    </xf>
    <xf numFmtId="49" fontId="0" fillId="7" borderId="43" xfId="0" applyNumberFormat="1" applyFill="1" applyBorder="1" applyAlignment="1">
      <alignment horizontal="left" vertical="center" wrapText="1"/>
    </xf>
    <xf numFmtId="49" fontId="0" fillId="0" borderId="69" xfId="0" applyNumberFormat="1" applyBorder="1" applyAlignment="1">
      <alignment horizontal="left" vertical="center" wrapText="1"/>
    </xf>
    <xf numFmtId="49" fontId="0" fillId="0" borderId="32" xfId="0" applyNumberFormat="1" applyBorder="1" applyAlignment="1">
      <alignment horizontal="left" vertical="center" wrapText="1"/>
    </xf>
    <xf numFmtId="49" fontId="0" fillId="0" borderId="58" xfId="0" applyNumberFormat="1" applyBorder="1" applyAlignment="1">
      <alignment horizontal="left" vertical="center" wrapText="1"/>
    </xf>
    <xf numFmtId="49" fontId="0" fillId="6" borderId="68" xfId="0" applyNumberFormat="1" applyFill="1" applyBorder="1" applyAlignment="1">
      <alignment horizontal="left" vertical="center" wrapText="1"/>
    </xf>
    <xf numFmtId="49" fontId="0" fillId="4" borderId="26" xfId="0" applyNumberFormat="1" applyFill="1" applyBorder="1" applyAlignment="1">
      <alignment horizontal="left" vertical="center" wrapText="1"/>
    </xf>
    <xf numFmtId="49" fontId="0" fillId="4" borderId="32" xfId="0" applyNumberFormat="1" applyFill="1" applyBorder="1" applyAlignment="1">
      <alignment horizontal="left" vertical="center"/>
    </xf>
    <xf numFmtId="49" fontId="0" fillId="4" borderId="58" xfId="0" applyNumberFormat="1" applyFill="1" applyBorder="1" applyAlignment="1">
      <alignment horizontal="left" vertical="center"/>
    </xf>
    <xf numFmtId="49" fontId="0" fillId="6" borderId="27" xfId="0" applyNumberFormat="1" applyFill="1" applyBorder="1" applyAlignment="1">
      <alignment horizontal="left" vertical="center"/>
    </xf>
    <xf numFmtId="49" fontId="0" fillId="0" borderId="73" xfId="0" applyNumberFormat="1" applyBorder="1" applyAlignment="1">
      <alignment horizontal="left" vertical="center"/>
    </xf>
    <xf numFmtId="0" fontId="0" fillId="0" borderId="29" xfId="0" applyBorder="1" applyAlignment="1">
      <alignment horizontal="center" vertical="center"/>
    </xf>
    <xf numFmtId="49" fontId="0" fillId="7" borderId="37" xfId="0" applyNumberFormat="1" applyFill="1" applyBorder="1" applyAlignment="1">
      <alignment horizontal="left" vertical="center" wrapText="1"/>
    </xf>
    <xf numFmtId="49" fontId="0" fillId="7" borderId="66" xfId="0" applyNumberFormat="1" applyFill="1" applyBorder="1" applyAlignment="1">
      <alignment horizontal="left" vertical="center" wrapText="1"/>
    </xf>
    <xf numFmtId="49" fontId="0" fillId="7" borderId="75" xfId="0" applyNumberFormat="1" applyFill="1" applyBorder="1" applyAlignment="1">
      <alignment horizontal="left" vertical="center" wrapText="1"/>
    </xf>
    <xf numFmtId="0" fontId="5" fillId="0" borderId="10" xfId="0" applyFont="1" applyBorder="1" applyAlignment="1">
      <alignment horizontal="left" vertical="center"/>
    </xf>
    <xf numFmtId="0" fontId="5" fillId="0" borderId="9" xfId="0" applyFont="1" applyBorder="1" applyAlignment="1">
      <alignment horizontal="left" vertical="center"/>
    </xf>
    <xf numFmtId="49" fontId="0" fillId="5" borderId="29" xfId="0" applyNumberFormat="1" applyFill="1" applyBorder="1" applyAlignment="1">
      <alignment horizontal="left" vertical="center"/>
    </xf>
    <xf numFmtId="49" fontId="0" fillId="5" borderId="22" xfId="0" applyNumberFormat="1" applyFill="1" applyBorder="1" applyAlignment="1">
      <alignment horizontal="left" vertical="center"/>
    </xf>
    <xf numFmtId="0" fontId="6" fillId="6" borderId="0" xfId="0" applyFont="1" applyFill="1" applyAlignment="1">
      <alignment horizontal="center" vertical="center"/>
    </xf>
    <xf numFmtId="49" fontId="0" fillId="7" borderId="24" xfId="0" applyNumberFormat="1" applyFill="1" applyBorder="1" applyAlignment="1">
      <alignment horizontal="left" vertical="center" wrapText="1"/>
    </xf>
    <xf numFmtId="0" fontId="0" fillId="0" borderId="76" xfId="0" applyBorder="1" applyAlignment="1">
      <alignment horizontal="center" vertical="center" wrapText="1"/>
    </xf>
    <xf numFmtId="0" fontId="0" fillId="0" borderId="18" xfId="0" applyBorder="1" applyAlignment="1">
      <alignment horizontal="center" vertical="center" wrapText="1"/>
    </xf>
    <xf numFmtId="49" fontId="0" fillId="0" borderId="20" xfId="0" applyNumberFormat="1" applyBorder="1" applyAlignment="1">
      <alignment horizontal="left" vertical="center" wrapText="1"/>
    </xf>
    <xf numFmtId="49" fontId="0" fillId="6" borderId="17" xfId="0" applyNumberFormat="1" applyFill="1" applyBorder="1" applyAlignment="1">
      <alignment horizontal="left" vertical="center"/>
    </xf>
    <xf numFmtId="0" fontId="5" fillId="0" borderId="8" xfId="0" applyFont="1" applyBorder="1" applyAlignment="1">
      <alignment horizontal="left" vertical="center" wrapText="1"/>
    </xf>
    <xf numFmtId="49" fontId="0" fillId="0" borderId="72" xfId="0" applyNumberFormat="1" applyBorder="1" applyAlignment="1">
      <alignment horizontal="left" vertical="center" wrapText="1"/>
    </xf>
    <xf numFmtId="49" fontId="0" fillId="6" borderId="70" xfId="0" applyNumberFormat="1" applyFill="1" applyBorder="1" applyAlignment="1">
      <alignment horizontal="left"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49" fontId="0" fillId="7" borderId="66" xfId="0" applyNumberFormat="1" applyFill="1" applyBorder="1" applyAlignment="1">
      <alignment horizontal="left" vertical="center"/>
    </xf>
    <xf numFmtId="49" fontId="0" fillId="4" borderId="44" xfId="0" applyNumberFormat="1" applyFill="1" applyBorder="1" applyAlignment="1">
      <alignment horizontal="left" vertical="center"/>
    </xf>
    <xf numFmtId="49" fontId="0" fillId="4" borderId="70" xfId="0" applyNumberFormat="1" applyFill="1" applyBorder="1" applyAlignment="1">
      <alignment horizontal="left" vertical="center"/>
    </xf>
    <xf numFmtId="49" fontId="0" fillId="4" borderId="71" xfId="0" applyNumberFormat="1" applyFill="1" applyBorder="1" applyAlignment="1">
      <alignment horizontal="left" vertical="center"/>
    </xf>
    <xf numFmtId="49" fontId="0" fillId="4" borderId="0" xfId="0" applyNumberFormat="1" applyFill="1" applyAlignment="1">
      <alignment horizontal="left" vertical="center"/>
    </xf>
    <xf numFmtId="49" fontId="0" fillId="4" borderId="33" xfId="0" applyNumberFormat="1" applyFill="1" applyBorder="1" applyAlignment="1">
      <alignment horizontal="left" vertical="center"/>
    </xf>
    <xf numFmtId="49" fontId="0" fillId="4" borderId="68" xfId="0" applyNumberFormat="1" applyFill="1" applyBorder="1" applyAlignment="1">
      <alignment horizontal="left" vertical="center"/>
    </xf>
    <xf numFmtId="49" fontId="0" fillId="4" borderId="60" xfId="0" applyNumberFormat="1" applyFill="1" applyBorder="1" applyAlignment="1">
      <alignment horizontal="left" vertical="center"/>
    </xf>
    <xf numFmtId="49" fontId="0" fillId="5" borderId="57" xfId="0" applyNumberFormat="1" applyFill="1" applyBorder="1" applyAlignment="1">
      <alignment horizontal="left" vertical="center"/>
    </xf>
    <xf numFmtId="49" fontId="0" fillId="6" borderId="26" xfId="0" applyNumberFormat="1" applyFill="1" applyBorder="1" applyAlignment="1">
      <alignment horizontal="left" vertical="center" wrapText="1"/>
    </xf>
    <xf numFmtId="49" fontId="0" fillId="5" borderId="67" xfId="0" applyNumberFormat="1" applyFill="1" applyBorder="1" applyAlignment="1">
      <alignment horizontal="left" vertical="center"/>
    </xf>
    <xf numFmtId="49" fontId="0" fillId="5" borderId="3" xfId="0" applyNumberFormat="1" applyFill="1" applyBorder="1" applyAlignment="1">
      <alignment horizontal="left" vertical="center"/>
    </xf>
    <xf numFmtId="49" fontId="0" fillId="5" borderId="24" xfId="0" applyNumberFormat="1" applyFill="1" applyBorder="1" applyAlignment="1">
      <alignment horizontal="left" vertical="center"/>
    </xf>
    <xf numFmtId="49" fontId="0" fillId="5" borderId="68" xfId="0" applyNumberFormat="1" applyFill="1" applyBorder="1" applyAlignment="1">
      <alignment horizontal="left" vertical="center"/>
    </xf>
    <xf numFmtId="49" fontId="0" fillId="5" borderId="60" xfId="0" applyNumberFormat="1" applyFill="1" applyBorder="1" applyAlignment="1">
      <alignment horizontal="left" vertical="center"/>
    </xf>
    <xf numFmtId="49" fontId="0" fillId="5" borderId="69" xfId="0" applyNumberFormat="1" applyFill="1" applyBorder="1" applyAlignment="1">
      <alignment horizontal="left" vertical="center"/>
    </xf>
    <xf numFmtId="49" fontId="0" fillId="5" borderId="32" xfId="0" applyNumberFormat="1" applyFill="1" applyBorder="1" applyAlignment="1">
      <alignment horizontal="left" vertical="center"/>
    </xf>
    <xf numFmtId="49" fontId="0" fillId="5" borderId="58" xfId="0" applyNumberFormat="1" applyFill="1" applyBorder="1" applyAlignment="1">
      <alignment horizontal="left" vertical="center"/>
    </xf>
    <xf numFmtId="49" fontId="0" fillId="4" borderId="24" xfId="0" applyNumberFormat="1" applyFill="1" applyBorder="1" applyAlignment="1">
      <alignment horizontal="left" vertical="center" wrapText="1"/>
    </xf>
    <xf numFmtId="49" fontId="0" fillId="4" borderId="42" xfId="0" applyNumberFormat="1" applyFill="1" applyBorder="1" applyAlignment="1">
      <alignment horizontal="left" vertical="center"/>
    </xf>
    <xf numFmtId="49" fontId="0" fillId="4" borderId="43" xfId="0" applyNumberFormat="1" applyFill="1" applyBorder="1" applyAlignment="1">
      <alignment horizontal="left" vertical="center"/>
    </xf>
    <xf numFmtId="0" fontId="0" fillId="0" borderId="3" xfId="0" applyBorder="1" applyAlignment="1">
      <alignment horizontal="center" vertical="center"/>
    </xf>
    <xf numFmtId="0" fontId="0" fillId="0" borderId="28" xfId="0" applyBorder="1" applyAlignment="1">
      <alignment horizontal="center" vertical="center"/>
    </xf>
    <xf numFmtId="0" fontId="0" fillId="0" borderId="14" xfId="0" applyBorder="1" applyAlignment="1">
      <alignment horizontal="center" vertical="center" wrapText="1"/>
    </xf>
    <xf numFmtId="0" fontId="0" fillId="0" borderId="15" xfId="0" applyBorder="1" applyAlignment="1">
      <alignment horizontal="center" vertical="center" wrapText="1"/>
    </xf>
    <xf numFmtId="49" fontId="0" fillId="5" borderId="44" xfId="0" applyNumberFormat="1" applyFill="1" applyBorder="1" applyAlignment="1">
      <alignment horizontal="left" vertical="center" wrapText="1"/>
    </xf>
    <xf numFmtId="49" fontId="0" fillId="5" borderId="55" xfId="0" applyNumberFormat="1" applyFill="1" applyBorder="1" applyAlignment="1">
      <alignment horizontal="left" vertical="center" wrapText="1"/>
    </xf>
    <xf numFmtId="0" fontId="0" fillId="0" borderId="49" xfId="0" applyBorder="1" applyAlignment="1">
      <alignment horizontal="center" vertical="center" wrapText="1"/>
    </xf>
    <xf numFmtId="49" fontId="0" fillId="5" borderId="67" xfId="0" applyNumberFormat="1" applyFill="1" applyBorder="1" applyAlignment="1">
      <alignment horizontal="left"/>
    </xf>
    <xf numFmtId="49" fontId="0" fillId="5" borderId="3" xfId="0" applyNumberFormat="1" applyFill="1" applyBorder="1" applyAlignment="1">
      <alignment horizontal="left"/>
    </xf>
    <xf numFmtId="49" fontId="0" fillId="5" borderId="24" xfId="0" applyNumberFormat="1" applyFill="1" applyBorder="1" applyAlignment="1">
      <alignment horizontal="left"/>
    </xf>
    <xf numFmtId="49" fontId="0" fillId="5" borderId="63" xfId="0" applyNumberFormat="1" applyFill="1" applyBorder="1" applyAlignment="1">
      <alignment horizontal="left" vertical="top" wrapText="1"/>
    </xf>
    <xf numFmtId="49" fontId="0" fillId="5" borderId="33" xfId="0" applyNumberFormat="1" applyFill="1" applyBorder="1" applyAlignment="1">
      <alignment horizontal="left" vertical="top" wrapText="1"/>
    </xf>
    <xf numFmtId="49" fontId="0" fillId="5" borderId="57" xfId="0" applyNumberFormat="1" applyFill="1" applyBorder="1" applyAlignment="1">
      <alignment horizontal="left" vertical="top"/>
    </xf>
    <xf numFmtId="49" fontId="0" fillId="5" borderId="68" xfId="0" applyNumberFormat="1" applyFill="1" applyBorder="1" applyAlignment="1">
      <alignment horizontal="left" vertical="top"/>
    </xf>
    <xf numFmtId="49" fontId="0" fillId="5" borderId="60" xfId="0" applyNumberFormat="1" applyFill="1" applyBorder="1" applyAlignment="1">
      <alignment horizontal="left" vertical="top"/>
    </xf>
    <xf numFmtId="49" fontId="0" fillId="5" borderId="67" xfId="0" applyNumberFormat="1" applyFill="1" applyBorder="1" applyAlignment="1">
      <alignment horizontal="left" wrapText="1"/>
    </xf>
    <xf numFmtId="49" fontId="0" fillId="5" borderId="24" xfId="0" applyNumberFormat="1" applyFill="1" applyBorder="1" applyAlignment="1">
      <alignment horizontal="left" wrapText="1"/>
    </xf>
    <xf numFmtId="49" fontId="0" fillId="5" borderId="71" xfId="0" applyNumberFormat="1" applyFill="1" applyBorder="1" applyAlignment="1">
      <alignment horizontal="left" vertical="center"/>
    </xf>
    <xf numFmtId="49" fontId="0" fillId="5" borderId="33" xfId="0" applyNumberFormat="1" applyFill="1" applyBorder="1" applyAlignment="1">
      <alignment horizontal="left" vertical="center"/>
    </xf>
    <xf numFmtId="49" fontId="0" fillId="6" borderId="33" xfId="0" applyNumberFormat="1" applyFill="1" applyBorder="1" applyAlignment="1">
      <alignment horizontal="left" vertical="center"/>
    </xf>
    <xf numFmtId="49" fontId="0" fillId="5" borderId="71" xfId="0" applyNumberFormat="1" applyFill="1" applyBorder="1" applyAlignment="1">
      <alignment horizontal="left" vertical="center" wrapText="1"/>
    </xf>
    <xf numFmtId="49" fontId="0" fillId="0" borderId="8" xfId="0" applyNumberFormat="1" applyBorder="1" applyAlignment="1">
      <alignment horizontal="left" vertical="center" wrapText="1"/>
    </xf>
    <xf numFmtId="49" fontId="0" fillId="0" borderId="13" xfId="0" applyNumberFormat="1" applyBorder="1" applyAlignment="1">
      <alignment horizontal="left" vertical="center" wrapText="1"/>
    </xf>
    <xf numFmtId="49" fontId="0" fillId="0" borderId="16" xfId="0" applyNumberFormat="1" applyBorder="1" applyAlignment="1">
      <alignment horizontal="left" vertical="center" wrapText="1"/>
    </xf>
    <xf numFmtId="49" fontId="0" fillId="0" borderId="38" xfId="0" applyNumberFormat="1" applyBorder="1" applyAlignment="1">
      <alignment horizontal="left" vertical="center"/>
    </xf>
    <xf numFmtId="49" fontId="1" fillId="6" borderId="28" xfId="0" applyNumberFormat="1" applyFont="1" applyFill="1" applyBorder="1" applyAlignment="1">
      <alignment horizontal="center" vertical="center"/>
    </xf>
    <xf numFmtId="49" fontId="1" fillId="4" borderId="28" xfId="0" applyNumberFormat="1" applyFont="1" applyFill="1" applyBorder="1" applyAlignment="1">
      <alignment horizontal="center" vertical="center"/>
    </xf>
    <xf numFmtId="49" fontId="0" fillId="7" borderId="12" xfId="0" applyNumberFormat="1" applyFill="1" applyBorder="1" applyAlignment="1">
      <alignment horizontal="left" vertical="center" wrapText="1"/>
    </xf>
    <xf numFmtId="49" fontId="0" fillId="7" borderId="14" xfId="0" applyNumberFormat="1" applyFill="1" applyBorder="1" applyAlignment="1">
      <alignment horizontal="left" vertical="center" wrapText="1"/>
    </xf>
    <xf numFmtId="49" fontId="0" fillId="6" borderId="57" xfId="0" applyNumberFormat="1" applyFill="1" applyBorder="1" applyAlignment="1">
      <alignment horizontal="left" vertical="top" wrapText="1"/>
    </xf>
    <xf numFmtId="49" fontId="0" fillId="6" borderId="60" xfId="0" applyNumberFormat="1" applyFill="1" applyBorder="1" applyAlignment="1">
      <alignment horizontal="left" vertical="top" wrapText="1"/>
    </xf>
    <xf numFmtId="49" fontId="0" fillId="6" borderId="61" xfId="0" applyNumberFormat="1" applyFill="1" applyBorder="1" applyAlignment="1">
      <alignment horizontal="left" wrapText="1"/>
    </xf>
    <xf numFmtId="49" fontId="0" fillId="6" borderId="71" xfId="0" applyNumberFormat="1" applyFill="1" applyBorder="1" applyAlignment="1">
      <alignment horizontal="left" wrapText="1"/>
    </xf>
    <xf numFmtId="0" fontId="0" fillId="0" borderId="47" xfId="0" applyBorder="1" applyAlignment="1">
      <alignment horizontal="left" vertical="center"/>
    </xf>
    <xf numFmtId="0" fontId="0" fillId="0" borderId="46" xfId="0" applyBorder="1" applyAlignment="1">
      <alignment horizontal="left" vertical="center" wrapText="1"/>
    </xf>
    <xf numFmtId="49" fontId="0" fillId="5" borderId="63" xfId="0" applyNumberFormat="1" applyFill="1" applyBorder="1" applyAlignment="1">
      <alignment horizontal="left" vertical="center"/>
    </xf>
    <xf numFmtId="49" fontId="0" fillId="5" borderId="0" xfId="0" applyNumberFormat="1" applyFill="1" applyAlignment="1">
      <alignment horizontal="left" vertical="center"/>
    </xf>
    <xf numFmtId="49" fontId="0" fillId="8" borderId="57" xfId="0" applyNumberFormat="1" applyFill="1" applyBorder="1" applyAlignment="1">
      <alignment horizontal="left" vertical="center"/>
    </xf>
    <xf numFmtId="49" fontId="0" fillId="8" borderId="68" xfId="0" applyNumberFormat="1" applyFill="1" applyBorder="1" applyAlignment="1">
      <alignment horizontal="left" vertical="center"/>
    </xf>
    <xf numFmtId="49" fontId="0" fillId="8" borderId="60" xfId="0" applyNumberFormat="1" applyFill="1" applyBorder="1" applyAlignment="1">
      <alignment horizontal="left" vertical="center"/>
    </xf>
    <xf numFmtId="49" fontId="0" fillId="4" borderId="24" xfId="0" applyNumberFormat="1" applyFill="1" applyBorder="1" applyAlignment="1">
      <alignment horizontal="left" vertical="center"/>
    </xf>
    <xf numFmtId="0" fontId="0" fillId="0" borderId="77" xfId="0" applyBorder="1" applyAlignment="1">
      <alignment horizontal="center" vertical="center"/>
    </xf>
    <xf numFmtId="0" fontId="0" fillId="0" borderId="17" xfId="0" applyBorder="1" applyAlignment="1">
      <alignment horizontal="center" vertical="center"/>
    </xf>
    <xf numFmtId="49" fontId="0" fillId="8" borderId="15" xfId="0" applyNumberFormat="1" applyFill="1" applyBorder="1" applyAlignment="1">
      <alignment horizontal="left" vertical="center"/>
    </xf>
    <xf numFmtId="49" fontId="0" fillId="8" borderId="16" xfId="0" applyNumberFormat="1" applyFill="1" applyBorder="1" applyAlignment="1">
      <alignment horizontal="left" vertical="center"/>
    </xf>
    <xf numFmtId="49" fontId="0" fillId="6" borderId="71" xfId="0" applyNumberFormat="1" applyFill="1" applyBorder="1" applyAlignment="1">
      <alignment horizontal="left" vertical="center"/>
    </xf>
    <xf numFmtId="49" fontId="0" fillId="7" borderId="26" xfId="0" applyNumberFormat="1" applyFill="1" applyBorder="1" applyAlignment="1">
      <alignment horizontal="left" vertical="center" wrapText="1"/>
    </xf>
    <xf numFmtId="49" fontId="0" fillId="7" borderId="32" xfId="0" applyNumberFormat="1" applyFill="1" applyBorder="1" applyAlignment="1">
      <alignment horizontal="left" vertical="center" wrapText="1"/>
    </xf>
    <xf numFmtId="49" fontId="0" fillId="7" borderId="58" xfId="0" applyNumberFormat="1" applyFill="1" applyBorder="1" applyAlignment="1">
      <alignment horizontal="left" vertical="center" wrapText="1"/>
    </xf>
    <xf numFmtId="0" fontId="5" fillId="9" borderId="29" xfId="0" applyFont="1" applyFill="1" applyBorder="1" applyAlignment="1">
      <alignment horizontal="center" vertical="center" wrapText="1"/>
    </xf>
    <xf numFmtId="0" fontId="5" fillId="9" borderId="30" xfId="0" applyFont="1" applyFill="1" applyBorder="1" applyAlignment="1">
      <alignment horizontal="center" vertical="center" wrapText="1"/>
    </xf>
    <xf numFmtId="49" fontId="0" fillId="6" borderId="56" xfId="0" applyNumberFormat="1" applyFill="1" applyBorder="1" applyAlignment="1">
      <alignment horizontal="left" vertical="center" wrapText="1"/>
    </xf>
    <xf numFmtId="0" fontId="8" fillId="2" borderId="0" xfId="0" applyFont="1" applyFill="1" applyAlignment="1">
      <alignment horizontal="center" vertical="center"/>
    </xf>
    <xf numFmtId="0" fontId="9" fillId="2" borderId="0" xfId="0" applyFont="1" applyFill="1" applyAlignment="1">
      <alignment horizontal="center" vertical="center"/>
    </xf>
    <xf numFmtId="0" fontId="1" fillId="2" borderId="39" xfId="0" applyFont="1" applyFill="1" applyBorder="1" applyAlignment="1">
      <alignment horizontal="left" vertical="center"/>
    </xf>
    <xf numFmtId="0" fontId="1" fillId="2" borderId="40" xfId="0" applyFont="1" applyFill="1" applyBorder="1" applyAlignment="1">
      <alignment horizontal="left" vertical="center"/>
    </xf>
    <xf numFmtId="0" fontId="0" fillId="0" borderId="8" xfId="0" applyBorder="1" applyAlignment="1">
      <alignment horizontal="center" vertical="center" wrapText="1"/>
    </xf>
    <xf numFmtId="0" fontId="0" fillId="0" borderId="12" xfId="0" applyBorder="1" applyAlignment="1">
      <alignment horizontal="center" vertical="center" wrapText="1"/>
    </xf>
  </cellXfs>
  <cellStyles count="1">
    <cellStyle name="Standard" xfId="0" builtinId="0"/>
  </cellStyles>
  <dxfs count="1174">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s>
  <tableStyles count="0" defaultTableStyle="TableStyleMedium2" defaultPivotStyle="PivotStyleLight16"/>
  <colors>
    <mruColors>
      <color rgb="FF00FF00"/>
      <color rgb="FFFFC000"/>
      <color rgb="FF92D050"/>
      <color rgb="FFFF33CC"/>
      <color rgb="FFB2B2B2"/>
      <color rgb="FFFFCC00"/>
      <color rgb="FFCC6600"/>
      <color rgb="FF09DD3B"/>
      <color rgb="FF9696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F155B-4ED6-409E-BA7A-3B485CA6230B}">
  <dimension ref="A1:AE248"/>
  <sheetViews>
    <sheetView showGridLines="0" topLeftCell="A73" workbookViewId="0">
      <selection activeCell="D14" sqref="D14:H14"/>
    </sheetView>
  </sheetViews>
  <sheetFormatPr baseColWidth="10" defaultColWidth="11.42578125" defaultRowHeight="15" outlineLevelRow="1" outlineLevelCol="1" x14ac:dyDescent="0.25"/>
  <cols>
    <col min="1" max="3" width="3.7109375" style="2" customWidth="1"/>
    <col min="4" max="14" width="20.7109375" style="2" customWidth="1"/>
    <col min="15" max="18" width="20.7109375" style="2" hidden="1" customWidth="1" outlineLevel="1"/>
    <col min="19" max="19" width="20.7109375" style="2" customWidth="1" collapsed="1"/>
    <col min="20" max="21" width="3.7109375" style="2" customWidth="1"/>
    <col min="22" max="22" width="15.85546875" style="2" customWidth="1"/>
    <col min="23" max="24" width="20.7109375" style="2" customWidth="1"/>
    <col min="25" max="16384" width="11.42578125" style="2"/>
  </cols>
  <sheetData>
    <row r="1" spans="1:23" x14ac:dyDescent="0.25">
      <c r="A1" s="573" t="s">
        <v>132</v>
      </c>
      <c r="B1" s="573"/>
      <c r="C1" s="573"/>
      <c r="D1" s="573"/>
      <c r="E1" s="573"/>
      <c r="F1" s="573"/>
      <c r="G1" s="573"/>
      <c r="H1" s="573"/>
      <c r="I1" s="573"/>
      <c r="J1" s="573"/>
      <c r="K1" s="573"/>
      <c r="L1" s="573"/>
      <c r="M1" s="573"/>
      <c r="N1" s="573"/>
    </row>
    <row r="2" spans="1:23" x14ac:dyDescent="0.25">
      <c r="A2" s="573"/>
      <c r="B2" s="573"/>
      <c r="C2" s="573"/>
      <c r="D2" s="573"/>
      <c r="E2" s="573"/>
      <c r="F2" s="573"/>
      <c r="G2" s="573"/>
      <c r="H2" s="573"/>
      <c r="I2" s="573"/>
      <c r="J2" s="573"/>
      <c r="K2" s="573"/>
      <c r="L2" s="573"/>
      <c r="M2" s="573"/>
      <c r="N2" s="573"/>
    </row>
    <row r="3" spans="1:23" ht="20.100000000000001" customHeight="1" thickBot="1" x14ac:dyDescent="0.3"/>
    <row r="4" spans="1:23" ht="15.75" thickBot="1" x14ac:dyDescent="0.3">
      <c r="B4" s="614" t="s">
        <v>133</v>
      </c>
      <c r="C4" s="615"/>
      <c r="D4" s="615"/>
      <c r="E4" s="615"/>
      <c r="F4" s="615"/>
      <c r="G4" s="615"/>
      <c r="H4" s="615"/>
      <c r="I4" s="616"/>
      <c r="K4" s="614" t="s">
        <v>40</v>
      </c>
      <c r="L4" s="615"/>
      <c r="M4" s="616"/>
      <c r="P4" s="53"/>
      <c r="Q4" s="53"/>
      <c r="R4" s="53"/>
      <c r="S4" s="4"/>
      <c r="T4" s="53"/>
      <c r="U4" s="53"/>
      <c r="V4" s="53"/>
      <c r="W4" s="53"/>
    </row>
    <row r="5" spans="1:23" ht="50.1" customHeight="1" thickBot="1" x14ac:dyDescent="0.3">
      <c r="B5" s="574" t="s">
        <v>134</v>
      </c>
      <c r="C5" s="575"/>
      <c r="D5" s="210" t="s">
        <v>21</v>
      </c>
      <c r="E5" s="211" t="s">
        <v>57</v>
      </c>
      <c r="F5" s="227" t="s">
        <v>61</v>
      </c>
      <c r="G5" s="212" t="s">
        <v>62</v>
      </c>
      <c r="H5" s="212" t="s">
        <v>97</v>
      </c>
      <c r="I5" s="211" t="s">
        <v>136</v>
      </c>
      <c r="K5" s="12" t="s">
        <v>21</v>
      </c>
      <c r="L5" s="80" t="s">
        <v>41</v>
      </c>
      <c r="M5" s="19" t="s">
        <v>22</v>
      </c>
      <c r="P5" s="4"/>
      <c r="R5" s="53"/>
      <c r="S5" s="53"/>
      <c r="T5" s="53"/>
      <c r="U5" s="4"/>
      <c r="V5" s="4"/>
    </row>
    <row r="6" spans="1:23" ht="20.100000000000001" customHeight="1" x14ac:dyDescent="0.25">
      <c r="B6" s="576">
        <v>1</v>
      </c>
      <c r="C6" s="577"/>
      <c r="D6" s="244" t="s">
        <v>114</v>
      </c>
      <c r="E6" s="253" t="s">
        <v>102</v>
      </c>
      <c r="F6" s="234" t="s">
        <v>102</v>
      </c>
      <c r="G6" s="254" t="s">
        <v>102</v>
      </c>
      <c r="H6" s="245" t="s">
        <v>102</v>
      </c>
      <c r="I6" s="258" t="s">
        <v>179</v>
      </c>
      <c r="K6" s="24" t="str">
        <f>D6</f>
        <v>Jonas Röhrig</v>
      </c>
      <c r="L6" s="578">
        <v>1</v>
      </c>
      <c r="M6" s="113">
        <v>1</v>
      </c>
      <c r="P6" s="6"/>
      <c r="U6" s="6"/>
      <c r="V6" s="6"/>
    </row>
    <row r="7" spans="1:23" ht="20.100000000000001" customHeight="1" x14ac:dyDescent="0.25">
      <c r="B7" s="581">
        <v>2</v>
      </c>
      <c r="C7" s="582"/>
      <c r="D7" s="249" t="s">
        <v>0</v>
      </c>
      <c r="E7" s="97" t="s">
        <v>5</v>
      </c>
      <c r="F7" s="97" t="s">
        <v>5</v>
      </c>
      <c r="G7" s="97" t="s">
        <v>5</v>
      </c>
      <c r="H7" s="248" t="s">
        <v>5</v>
      </c>
      <c r="I7" s="257" t="s">
        <v>179</v>
      </c>
      <c r="K7" s="3" t="str">
        <f t="shared" ref="K7:K21" si="0">D7</f>
        <v>Devid Fulterer</v>
      </c>
      <c r="L7" s="579"/>
      <c r="M7" s="116">
        <v>2</v>
      </c>
      <c r="P7" s="6"/>
      <c r="U7" s="6"/>
      <c r="V7" s="6"/>
    </row>
    <row r="8" spans="1:23" ht="20.100000000000001" customHeight="1" x14ac:dyDescent="0.25">
      <c r="B8" s="581">
        <v>3</v>
      </c>
      <c r="C8" s="582"/>
      <c r="D8" s="246" t="s">
        <v>127</v>
      </c>
      <c r="E8" s="247" t="s">
        <v>60</v>
      </c>
      <c r="F8" s="148" t="s">
        <v>7</v>
      </c>
      <c r="G8" s="246" t="s">
        <v>7</v>
      </c>
      <c r="H8" s="248" t="s">
        <v>7</v>
      </c>
      <c r="I8" s="257" t="s">
        <v>179</v>
      </c>
      <c r="K8" s="3" t="str">
        <f t="shared" si="0"/>
        <v>Judith Fulterer</v>
      </c>
      <c r="L8" s="579"/>
      <c r="M8" s="116">
        <v>3</v>
      </c>
      <c r="P8" s="6"/>
      <c r="U8" s="6"/>
      <c r="V8" s="6"/>
    </row>
    <row r="9" spans="1:23" ht="20.100000000000001" customHeight="1" thickBot="1" x14ac:dyDescent="0.3">
      <c r="B9" s="581">
        <v>4</v>
      </c>
      <c r="C9" s="582"/>
      <c r="D9" s="246" t="s">
        <v>4</v>
      </c>
      <c r="E9" s="247" t="s">
        <v>9</v>
      </c>
      <c r="F9" s="148" t="s">
        <v>9</v>
      </c>
      <c r="G9" s="246" t="s">
        <v>9</v>
      </c>
      <c r="H9" s="248" t="s">
        <v>9</v>
      </c>
      <c r="I9" s="257" t="s">
        <v>179</v>
      </c>
      <c r="K9" s="45" t="str">
        <f t="shared" si="0"/>
        <v>Andreas Micke</v>
      </c>
      <c r="L9" s="580"/>
      <c r="M9" s="46">
        <v>4</v>
      </c>
      <c r="P9" s="6"/>
      <c r="U9" s="6"/>
      <c r="V9" s="6"/>
    </row>
    <row r="10" spans="1:23" ht="20.100000000000001" customHeight="1" x14ac:dyDescent="0.25">
      <c r="B10" s="581">
        <v>5</v>
      </c>
      <c r="C10" s="582"/>
      <c r="D10" s="249" t="s">
        <v>46</v>
      </c>
      <c r="E10" s="248" t="s">
        <v>6</v>
      </c>
      <c r="F10" s="97" t="s">
        <v>6</v>
      </c>
      <c r="G10" s="248" t="s">
        <v>6</v>
      </c>
      <c r="H10" s="248" t="s">
        <v>6</v>
      </c>
      <c r="I10" s="257" t="s">
        <v>179</v>
      </c>
      <c r="K10" s="24" t="str">
        <f t="shared" si="0"/>
        <v>Jérôme Schätzle</v>
      </c>
      <c r="L10" s="578">
        <v>2</v>
      </c>
      <c r="M10" s="113">
        <v>1</v>
      </c>
      <c r="P10" s="6"/>
      <c r="U10" s="6"/>
      <c r="V10" s="6"/>
    </row>
    <row r="11" spans="1:23" ht="20.100000000000001" customHeight="1" x14ac:dyDescent="0.25">
      <c r="B11" s="581">
        <v>6</v>
      </c>
      <c r="C11" s="582"/>
      <c r="D11" s="246" t="s">
        <v>90</v>
      </c>
      <c r="E11" s="247" t="s">
        <v>92</v>
      </c>
      <c r="F11" s="148" t="s">
        <v>91</v>
      </c>
      <c r="G11" s="246" t="s">
        <v>91</v>
      </c>
      <c r="H11" s="248" t="s">
        <v>92</v>
      </c>
      <c r="I11" s="257" t="s">
        <v>179</v>
      </c>
      <c r="K11" s="3" t="str">
        <f t="shared" si="0"/>
        <v>Lisa Schätzle</v>
      </c>
      <c r="L11" s="579"/>
      <c r="M11" s="116">
        <v>2</v>
      </c>
      <c r="P11" s="6"/>
      <c r="U11" s="6"/>
      <c r="V11" s="6"/>
    </row>
    <row r="12" spans="1:23" ht="20.100000000000001" customHeight="1" x14ac:dyDescent="0.25">
      <c r="B12" s="581">
        <v>7</v>
      </c>
      <c r="C12" s="582"/>
      <c r="D12" s="249" t="s">
        <v>1</v>
      </c>
      <c r="E12" s="248" t="s">
        <v>11</v>
      </c>
      <c r="F12" s="97" t="s">
        <v>11</v>
      </c>
      <c r="G12" s="248" t="s">
        <v>11</v>
      </c>
      <c r="H12" s="248" t="s">
        <v>11</v>
      </c>
      <c r="I12" s="257" t="s">
        <v>179</v>
      </c>
      <c r="K12" s="3" t="str">
        <f t="shared" si="0"/>
        <v>Pauline Schätzle</v>
      </c>
      <c r="L12" s="579"/>
      <c r="M12" s="116">
        <v>3</v>
      </c>
      <c r="P12" s="6"/>
      <c r="U12" s="6"/>
      <c r="V12" s="6"/>
    </row>
    <row r="13" spans="1:23" ht="20.100000000000001" customHeight="1" thickBot="1" x14ac:dyDescent="0.3">
      <c r="B13" s="581">
        <v>8</v>
      </c>
      <c r="C13" s="582"/>
      <c r="D13" s="249" t="s">
        <v>47</v>
      </c>
      <c r="E13" s="247" t="s">
        <v>64</v>
      </c>
      <c r="F13" s="148" t="s">
        <v>64</v>
      </c>
      <c r="G13" s="246" t="s">
        <v>64</v>
      </c>
      <c r="H13" s="248" t="s">
        <v>64</v>
      </c>
      <c r="I13" s="257" t="s">
        <v>179</v>
      </c>
      <c r="K13" s="45" t="str">
        <f t="shared" si="0"/>
        <v>Kai Maibaum</v>
      </c>
      <c r="L13" s="579"/>
      <c r="M13" s="46">
        <v>4</v>
      </c>
      <c r="P13" s="6"/>
      <c r="U13" s="6"/>
      <c r="V13" s="6"/>
    </row>
    <row r="14" spans="1:23" ht="20.100000000000001" customHeight="1" x14ac:dyDescent="0.25">
      <c r="B14" s="581">
        <v>9</v>
      </c>
      <c r="C14" s="582"/>
      <c r="D14" s="249" t="s">
        <v>88</v>
      </c>
      <c r="E14" s="247" t="s">
        <v>69</v>
      </c>
      <c r="F14" s="148" t="s">
        <v>69</v>
      </c>
      <c r="G14" s="246" t="s">
        <v>69</v>
      </c>
      <c r="H14" s="248" t="s">
        <v>69</v>
      </c>
      <c r="I14" s="257" t="s">
        <v>179</v>
      </c>
      <c r="K14" s="24" t="str">
        <f>D14</f>
        <v>Daniel Zimmermann</v>
      </c>
      <c r="L14" s="578">
        <v>3</v>
      </c>
      <c r="M14" s="113">
        <v>1</v>
      </c>
      <c r="P14" s="6"/>
      <c r="U14" s="6"/>
      <c r="V14" s="6"/>
    </row>
    <row r="15" spans="1:23" ht="20.100000000000001" customHeight="1" x14ac:dyDescent="0.25">
      <c r="B15" s="581">
        <v>10</v>
      </c>
      <c r="C15" s="582"/>
      <c r="D15" s="249" t="s">
        <v>123</v>
      </c>
      <c r="E15" s="248" t="s">
        <v>124</v>
      </c>
      <c r="F15" s="140" t="s">
        <v>59</v>
      </c>
      <c r="G15" s="248" t="s">
        <v>59</v>
      </c>
      <c r="H15" s="248" t="s">
        <v>59</v>
      </c>
      <c r="I15" s="257" t="s">
        <v>39</v>
      </c>
      <c r="K15" s="3" t="str">
        <f t="shared" si="0"/>
        <v>Marc Lambrecht</v>
      </c>
      <c r="L15" s="579"/>
      <c r="M15" s="116">
        <v>2</v>
      </c>
      <c r="P15" s="6"/>
      <c r="U15" s="6"/>
      <c r="V15" s="6"/>
    </row>
    <row r="16" spans="1:23" ht="20.100000000000001" customHeight="1" x14ac:dyDescent="0.25">
      <c r="B16" s="581">
        <v>11</v>
      </c>
      <c r="C16" s="582"/>
      <c r="D16" s="249" t="s">
        <v>125</v>
      </c>
      <c r="E16" s="247" t="s">
        <v>126</v>
      </c>
      <c r="F16" s="148" t="s">
        <v>59</v>
      </c>
      <c r="G16" s="246" t="s">
        <v>59</v>
      </c>
      <c r="H16" s="248" t="s">
        <v>59</v>
      </c>
      <c r="I16" s="257" t="s">
        <v>179</v>
      </c>
      <c r="K16" s="96" t="str">
        <f t="shared" si="0"/>
        <v>Bea Kittner</v>
      </c>
      <c r="L16" s="579"/>
      <c r="M16" s="116">
        <v>3</v>
      </c>
      <c r="P16" s="6"/>
      <c r="U16" s="6"/>
      <c r="V16" s="6"/>
    </row>
    <row r="17" spans="2:23" ht="20.100000000000001" customHeight="1" thickBot="1" x14ac:dyDescent="0.3">
      <c r="B17" s="581">
        <v>12</v>
      </c>
      <c r="C17" s="582"/>
      <c r="D17" s="249" t="s">
        <v>2</v>
      </c>
      <c r="E17" s="247" t="s">
        <v>8</v>
      </c>
      <c r="F17" s="148" t="s">
        <v>8</v>
      </c>
      <c r="G17" s="246" t="s">
        <v>8</v>
      </c>
      <c r="H17" s="248" t="s">
        <v>8</v>
      </c>
      <c r="I17" s="257" t="s">
        <v>179</v>
      </c>
      <c r="K17" s="232" t="str">
        <f t="shared" si="0"/>
        <v>Markus Hagenauer</v>
      </c>
      <c r="L17" s="579"/>
      <c r="M17" s="46">
        <v>4</v>
      </c>
      <c r="P17" s="6"/>
      <c r="U17" s="6"/>
      <c r="V17" s="6"/>
    </row>
    <row r="18" spans="2:23" ht="20.100000000000001" customHeight="1" x14ac:dyDescent="0.25">
      <c r="B18" s="581">
        <v>13</v>
      </c>
      <c r="C18" s="582"/>
      <c r="D18" s="249" t="s">
        <v>95</v>
      </c>
      <c r="E18" s="247" t="s">
        <v>96</v>
      </c>
      <c r="F18" s="148" t="s">
        <v>96</v>
      </c>
      <c r="G18" s="246" t="s">
        <v>59</v>
      </c>
      <c r="H18" s="248" t="s">
        <v>59</v>
      </c>
      <c r="I18" s="257" t="s">
        <v>39</v>
      </c>
      <c r="K18" s="233" t="str">
        <f t="shared" si="0"/>
        <v>Franziska Büchner</v>
      </c>
      <c r="L18" s="578">
        <v>4</v>
      </c>
      <c r="M18" s="113">
        <v>1</v>
      </c>
      <c r="P18" s="6"/>
      <c r="U18" s="6"/>
      <c r="V18" s="6"/>
    </row>
    <row r="19" spans="2:23" ht="20.100000000000001" customHeight="1" x14ac:dyDescent="0.25">
      <c r="B19" s="581">
        <v>14</v>
      </c>
      <c r="C19" s="582"/>
      <c r="D19" s="249" t="s">
        <v>128</v>
      </c>
      <c r="E19" s="247" t="s">
        <v>129</v>
      </c>
      <c r="F19" s="148" t="s">
        <v>129</v>
      </c>
      <c r="G19" s="246" t="s">
        <v>129</v>
      </c>
      <c r="H19" s="248" t="s">
        <v>129</v>
      </c>
      <c r="I19" s="257" t="s">
        <v>39</v>
      </c>
      <c r="K19" s="96" t="str">
        <f t="shared" si="0"/>
        <v>Fabian Spaniol</v>
      </c>
      <c r="L19" s="579"/>
      <c r="M19" s="116">
        <v>2</v>
      </c>
      <c r="P19" s="6"/>
      <c r="U19" s="6"/>
      <c r="V19" s="6"/>
    </row>
    <row r="20" spans="2:23" ht="20.100000000000001" customHeight="1" x14ac:dyDescent="0.25">
      <c r="B20" s="581">
        <v>15</v>
      </c>
      <c r="C20" s="582"/>
      <c r="D20" s="249" t="s">
        <v>130</v>
      </c>
      <c r="E20" s="247" t="s">
        <v>131</v>
      </c>
      <c r="F20" s="148" t="s">
        <v>131</v>
      </c>
      <c r="G20" s="246" t="s">
        <v>59</v>
      </c>
      <c r="H20" s="248" t="s">
        <v>59</v>
      </c>
      <c r="I20" s="257" t="s">
        <v>179</v>
      </c>
      <c r="K20" s="96" t="str">
        <f t="shared" si="0"/>
        <v>Florian Spiß</v>
      </c>
      <c r="L20" s="579"/>
      <c r="M20" s="116">
        <v>3</v>
      </c>
      <c r="P20" s="6"/>
      <c r="U20" s="6"/>
      <c r="V20" s="6"/>
    </row>
    <row r="21" spans="2:23" ht="20.100000000000001" customHeight="1" thickBot="1" x14ac:dyDescent="0.3">
      <c r="B21" s="617">
        <v>16</v>
      </c>
      <c r="C21" s="618"/>
      <c r="D21" s="250" t="s">
        <v>3</v>
      </c>
      <c r="E21" s="255" t="s">
        <v>63</v>
      </c>
      <c r="F21" s="154" t="s">
        <v>63</v>
      </c>
      <c r="G21" s="256" t="s">
        <v>59</v>
      </c>
      <c r="H21" s="251" t="s">
        <v>63</v>
      </c>
      <c r="I21" s="259" t="s">
        <v>179</v>
      </c>
      <c r="K21" s="144" t="str">
        <f t="shared" si="0"/>
        <v>Alex Ulbricht</v>
      </c>
      <c r="L21" s="580"/>
      <c r="M21" s="118">
        <v>4</v>
      </c>
      <c r="P21" s="6"/>
      <c r="U21" s="6"/>
      <c r="V21" s="6"/>
    </row>
    <row r="22" spans="2:23" ht="20.100000000000001" customHeight="1" thickBot="1" x14ac:dyDescent="0.3">
      <c r="K22" s="584" t="s">
        <v>137</v>
      </c>
      <c r="L22" s="585"/>
      <c r="M22" s="121">
        <f>ROWS(M6:M21)</f>
        <v>16</v>
      </c>
      <c r="O22" s="53"/>
      <c r="P22" s="53"/>
      <c r="R22" s="53"/>
      <c r="S22" s="53"/>
      <c r="T22" s="53"/>
      <c r="U22" s="53"/>
    </row>
    <row r="23" spans="2:23" ht="15.75" thickBot="1" x14ac:dyDescent="0.3">
      <c r="B23" s="614" t="s">
        <v>135</v>
      </c>
      <c r="C23" s="615"/>
      <c r="D23" s="615"/>
      <c r="E23" s="615"/>
      <c r="F23" s="615"/>
      <c r="G23" s="615"/>
      <c r="H23" s="616"/>
      <c r="L23" s="128"/>
      <c r="M23" s="128"/>
      <c r="N23" s="128"/>
      <c r="O23" s="4"/>
      <c r="P23" s="53"/>
      <c r="Q23" s="53"/>
      <c r="S23" s="53"/>
      <c r="T23" s="53"/>
      <c r="U23" s="53"/>
      <c r="V23" s="53"/>
    </row>
    <row r="24" spans="2:23" ht="30.75" thickBot="1" x14ac:dyDescent="0.3">
      <c r="B24" s="586" t="s">
        <v>58</v>
      </c>
      <c r="C24" s="587"/>
      <c r="D24" s="139" t="s">
        <v>21</v>
      </c>
      <c r="E24" s="227" t="s">
        <v>57</v>
      </c>
      <c r="F24" s="271" t="s">
        <v>61</v>
      </c>
      <c r="G24" s="228" t="s">
        <v>62</v>
      </c>
      <c r="H24" s="228" t="s">
        <v>97</v>
      </c>
      <c r="L24" s="128"/>
      <c r="M24" s="128"/>
      <c r="N24" s="128"/>
      <c r="O24" s="4"/>
      <c r="P24" s="53"/>
      <c r="Q24" s="53"/>
      <c r="S24" s="53"/>
      <c r="T24" s="53"/>
      <c r="U24" s="53"/>
      <c r="V24" s="53"/>
    </row>
    <row r="25" spans="2:23" ht="20.100000000000001" customHeight="1" thickBot="1" x14ac:dyDescent="0.3">
      <c r="B25" s="619">
        <v>1</v>
      </c>
      <c r="C25" s="620"/>
      <c r="D25" s="229"/>
      <c r="E25" s="230"/>
      <c r="F25" s="230"/>
      <c r="G25" s="230"/>
      <c r="H25" s="231"/>
      <c r="O25" s="257" t="s">
        <v>39</v>
      </c>
      <c r="P25" s="53"/>
      <c r="Q25" s="53"/>
      <c r="S25" s="53"/>
      <c r="T25" s="53"/>
      <c r="U25" s="53"/>
      <c r="V25" s="53"/>
    </row>
    <row r="26" spans="2:23" ht="20.100000000000001" customHeight="1" x14ac:dyDescent="0.25">
      <c r="M26" s="128"/>
      <c r="N26" s="128"/>
      <c r="O26" s="128"/>
      <c r="P26" s="4"/>
      <c r="Q26" s="53"/>
      <c r="R26" s="53"/>
      <c r="T26" s="53"/>
      <c r="U26" s="53"/>
      <c r="V26" s="53"/>
      <c r="W26" s="53"/>
    </row>
    <row r="27" spans="2:23" ht="20.100000000000001" customHeight="1" x14ac:dyDescent="0.25">
      <c r="B27" s="13"/>
      <c r="C27" s="13"/>
      <c r="D27" s="25"/>
      <c r="E27" s="25"/>
      <c r="F27" s="25"/>
      <c r="G27" s="25"/>
      <c r="H27" s="13"/>
      <c r="I27" s="13"/>
      <c r="J27" s="13"/>
      <c r="K27" s="13"/>
      <c r="L27" s="13"/>
      <c r="M27" s="13"/>
      <c r="N27" s="13"/>
      <c r="O27" s="13"/>
      <c r="P27" s="13"/>
      <c r="Q27" s="13"/>
      <c r="R27" s="13"/>
      <c r="S27" s="13"/>
      <c r="T27" s="13"/>
      <c r="U27" s="13"/>
    </row>
    <row r="28" spans="2:23" ht="30" customHeight="1" x14ac:dyDescent="0.25">
      <c r="B28" s="13"/>
      <c r="C28" s="555" t="s">
        <v>73</v>
      </c>
      <c r="D28" s="555"/>
      <c r="E28" s="555"/>
      <c r="F28" s="555"/>
      <c r="G28" s="555"/>
      <c r="H28" s="555"/>
      <c r="I28" s="555"/>
      <c r="J28" s="555"/>
      <c r="K28" s="555"/>
      <c r="L28" s="555"/>
      <c r="M28" s="555"/>
      <c r="N28" s="555"/>
      <c r="O28" s="555"/>
      <c r="P28" s="555"/>
      <c r="Q28" s="555"/>
      <c r="R28" s="555"/>
      <c r="S28" s="555"/>
      <c r="T28" s="555"/>
      <c r="U28" s="13"/>
    </row>
    <row r="29" spans="2:23" ht="20.100000000000001" customHeight="1" thickBot="1" x14ac:dyDescent="0.3">
      <c r="B29" s="13"/>
      <c r="U29" s="13"/>
    </row>
    <row r="30" spans="2:23" ht="20.100000000000001" customHeight="1" thickBot="1" x14ac:dyDescent="0.3">
      <c r="B30" s="13"/>
      <c r="D30" s="556" t="s">
        <v>10</v>
      </c>
      <c r="E30" s="558" t="s">
        <v>139</v>
      </c>
      <c r="F30" s="560" t="s">
        <v>22</v>
      </c>
      <c r="G30" s="595" t="s">
        <v>42</v>
      </c>
      <c r="H30" s="596"/>
      <c r="I30" s="596"/>
      <c r="J30" s="597"/>
      <c r="K30" s="200" t="s">
        <v>36</v>
      </c>
      <c r="L30" s="563" t="s">
        <v>27</v>
      </c>
      <c r="M30" s="561"/>
      <c r="N30" s="561"/>
      <c r="O30" s="561"/>
      <c r="P30" s="561"/>
      <c r="Q30" s="561"/>
      <c r="R30" s="561"/>
      <c r="S30" s="562"/>
      <c r="U30" s="13"/>
    </row>
    <row r="31" spans="2:23" ht="20.100000000000001" customHeight="1" thickBot="1" x14ac:dyDescent="0.3">
      <c r="B31" s="13"/>
      <c r="D31" s="557"/>
      <c r="E31" s="559"/>
      <c r="F31" s="559"/>
      <c r="G31" s="85" t="s">
        <v>43</v>
      </c>
      <c r="H31" s="85" t="s">
        <v>24</v>
      </c>
      <c r="I31" s="556" t="s">
        <v>23</v>
      </c>
      <c r="J31" s="564"/>
      <c r="K31" s="85" t="s">
        <v>25</v>
      </c>
      <c r="L31" s="85" t="s">
        <v>43</v>
      </c>
      <c r="M31" s="86" t="s">
        <v>26</v>
      </c>
      <c r="N31" s="556" t="s">
        <v>23</v>
      </c>
      <c r="O31" s="588"/>
      <c r="P31" s="588"/>
      <c r="Q31" s="588"/>
      <c r="R31" s="588"/>
      <c r="S31" s="564"/>
      <c r="U31" s="13"/>
    </row>
    <row r="32" spans="2:23" ht="35.1" customHeight="1" x14ac:dyDescent="0.25">
      <c r="B32" s="13"/>
      <c r="D32" s="39" t="s">
        <v>114</v>
      </c>
      <c r="E32" s="253" t="s">
        <v>102</v>
      </c>
      <c r="F32" s="113">
        <v>1</v>
      </c>
      <c r="G32" s="213" t="s">
        <v>44</v>
      </c>
      <c r="H32" s="129" t="s">
        <v>116</v>
      </c>
      <c r="I32" s="568" t="s">
        <v>117</v>
      </c>
      <c r="J32" s="589"/>
      <c r="K32" s="243" t="s">
        <v>113</v>
      </c>
      <c r="L32" s="218" t="s">
        <v>13</v>
      </c>
      <c r="M32" s="55" t="s">
        <v>13</v>
      </c>
      <c r="N32" s="590" t="s">
        <v>13</v>
      </c>
      <c r="O32" s="590"/>
      <c r="P32" s="590"/>
      <c r="Q32" s="590"/>
      <c r="R32" s="590"/>
      <c r="S32" s="591"/>
      <c r="U32" s="13"/>
    </row>
    <row r="33" spans="2:21" ht="120" customHeight="1" x14ac:dyDescent="0.25">
      <c r="B33" s="13"/>
      <c r="D33" s="40" t="s">
        <v>0</v>
      </c>
      <c r="E33" s="97" t="s">
        <v>5</v>
      </c>
      <c r="F33" s="116">
        <v>2</v>
      </c>
      <c r="G33" s="214" t="s">
        <v>44</v>
      </c>
      <c r="H33" s="135" t="s">
        <v>103</v>
      </c>
      <c r="I33" s="540" t="s">
        <v>354</v>
      </c>
      <c r="J33" s="592"/>
      <c r="K33" s="241" t="s">
        <v>113</v>
      </c>
      <c r="L33" s="175" t="s">
        <v>13</v>
      </c>
      <c r="M33" s="54" t="s">
        <v>13</v>
      </c>
      <c r="N33" s="593" t="s">
        <v>13</v>
      </c>
      <c r="O33" s="593"/>
      <c r="P33" s="593"/>
      <c r="Q33" s="593"/>
      <c r="R33" s="593"/>
      <c r="S33" s="594"/>
      <c r="U33" s="13"/>
    </row>
    <row r="34" spans="2:21" ht="20.100000000000001" customHeight="1" x14ac:dyDescent="0.25">
      <c r="B34" s="13"/>
      <c r="D34" s="96" t="s">
        <v>127</v>
      </c>
      <c r="E34" s="247" t="s">
        <v>60</v>
      </c>
      <c r="F34" s="116">
        <v>3</v>
      </c>
      <c r="G34" s="174" t="s">
        <v>112</v>
      </c>
      <c r="H34" s="136" t="s">
        <v>113</v>
      </c>
      <c r="I34" s="545" t="s">
        <v>140</v>
      </c>
      <c r="J34" s="598"/>
      <c r="K34" s="236" t="s">
        <v>103</v>
      </c>
      <c r="L34" s="242" t="s">
        <v>44</v>
      </c>
      <c r="M34" s="215" t="s">
        <v>143</v>
      </c>
      <c r="N34" s="545" t="s">
        <v>142</v>
      </c>
      <c r="O34" s="545"/>
      <c r="P34" s="545"/>
      <c r="Q34" s="545"/>
      <c r="R34" s="545"/>
      <c r="S34" s="546"/>
      <c r="U34" s="13"/>
    </row>
    <row r="35" spans="2:21" ht="35.1" customHeight="1" thickBot="1" x14ac:dyDescent="0.3">
      <c r="B35" s="13"/>
      <c r="D35" s="144" t="s">
        <v>4</v>
      </c>
      <c r="E35" s="255" t="s">
        <v>9</v>
      </c>
      <c r="F35" s="118">
        <v>4</v>
      </c>
      <c r="G35" s="98" t="s">
        <v>44</v>
      </c>
      <c r="H35" s="138" t="s">
        <v>110</v>
      </c>
      <c r="I35" s="547" t="s">
        <v>141</v>
      </c>
      <c r="J35" s="599"/>
      <c r="K35" s="269" t="s">
        <v>116</v>
      </c>
      <c r="L35" s="219" t="s">
        <v>13</v>
      </c>
      <c r="M35" s="56" t="s">
        <v>13</v>
      </c>
      <c r="N35" s="600" t="s">
        <v>13</v>
      </c>
      <c r="O35" s="601"/>
      <c r="P35" s="601"/>
      <c r="Q35" s="601"/>
      <c r="R35" s="601"/>
      <c r="S35" s="602"/>
      <c r="U35" s="13"/>
    </row>
    <row r="36" spans="2:21" ht="20.100000000000001" customHeight="1" x14ac:dyDescent="0.25">
      <c r="B36" s="13"/>
      <c r="U36" s="13"/>
    </row>
    <row r="37" spans="2:21" ht="20.100000000000001" customHeight="1" thickBot="1" x14ac:dyDescent="0.3">
      <c r="B37" s="13"/>
      <c r="C37" s="26"/>
      <c r="D37" s="26"/>
      <c r="E37" s="552" t="str">
        <f>IF(OR(M32="-",M32= ""),H32,M32)</f>
        <v>Dungeon Petz</v>
      </c>
      <c r="F37" s="552"/>
      <c r="G37" s="552"/>
      <c r="H37" s="552"/>
      <c r="I37" s="552"/>
      <c r="J37" s="552"/>
      <c r="K37" s="552"/>
      <c r="L37" s="552"/>
      <c r="M37" s="552"/>
      <c r="N37" s="552"/>
      <c r="O37" s="199"/>
      <c r="P37" s="199"/>
      <c r="Q37" s="199"/>
      <c r="R37" s="199"/>
      <c r="S37" s="199"/>
      <c r="T37" s="26"/>
      <c r="U37" s="13"/>
    </row>
    <row r="38" spans="2:21" ht="50.1" customHeight="1" thickBot="1" x14ac:dyDescent="0.3">
      <c r="B38" s="13"/>
      <c r="C38" s="26"/>
      <c r="D38" s="199"/>
      <c r="E38" s="88" t="s">
        <v>10</v>
      </c>
      <c r="F38" s="125" t="s">
        <v>52</v>
      </c>
      <c r="G38" s="89" t="s">
        <v>14</v>
      </c>
      <c r="H38" s="200" t="s">
        <v>51</v>
      </c>
      <c r="I38" s="18" t="s">
        <v>54</v>
      </c>
      <c r="J38" s="200" t="s">
        <v>53</v>
      </c>
      <c r="K38" s="206" t="s">
        <v>28</v>
      </c>
      <c r="L38" s="200" t="s">
        <v>37</v>
      </c>
      <c r="M38" s="204" t="s">
        <v>16</v>
      </c>
      <c r="N38" s="89" t="s">
        <v>15</v>
      </c>
      <c r="O38" s="5" t="s">
        <v>30</v>
      </c>
      <c r="P38" s="7" t="s">
        <v>34</v>
      </c>
      <c r="Q38" s="7" t="s">
        <v>31</v>
      </c>
      <c r="R38" s="7" t="s">
        <v>32</v>
      </c>
      <c r="S38" s="199"/>
      <c r="T38" s="26"/>
      <c r="U38" s="13"/>
    </row>
    <row r="39" spans="2:21" ht="20.100000000000001" customHeight="1" x14ac:dyDescent="0.25">
      <c r="B39" s="13"/>
      <c r="C39" s="26"/>
      <c r="D39" s="26"/>
      <c r="E39" s="35" t="s">
        <v>114</v>
      </c>
      <c r="F39" s="272" t="s">
        <v>102</v>
      </c>
      <c r="G39" s="157">
        <v>1</v>
      </c>
      <c r="H39" s="103" t="s">
        <v>13</v>
      </c>
      <c r="I39" s="157">
        <v>0</v>
      </c>
      <c r="J39" s="157">
        <v>90</v>
      </c>
      <c r="K39" s="157" t="s">
        <v>13</v>
      </c>
      <c r="L39" s="36">
        <f>IF(J39="",0,(J39/J43)*100)</f>
        <v>100</v>
      </c>
      <c r="M39" s="157">
        <v>1</v>
      </c>
      <c r="N39" s="99">
        <v>6</v>
      </c>
      <c r="O39" s="57">
        <f>IF(M39=1,1,0)</f>
        <v>1</v>
      </c>
      <c r="P39" s="209">
        <f>IF(M39=2,1,0)</f>
        <v>0</v>
      </c>
      <c r="Q39" s="209">
        <f>IF(M39=3,1,0)</f>
        <v>0</v>
      </c>
      <c r="R39" s="8">
        <f>IF(M39=4,1,0)</f>
        <v>0</v>
      </c>
      <c r="S39" s="198"/>
      <c r="T39" s="26"/>
      <c r="U39" s="13"/>
    </row>
    <row r="40" spans="2:21" ht="20.100000000000001" customHeight="1" x14ac:dyDescent="0.25">
      <c r="B40" s="13"/>
      <c r="C40" s="26"/>
      <c r="D40" s="26"/>
      <c r="E40" s="3" t="s">
        <v>0</v>
      </c>
      <c r="F40" s="140" t="s">
        <v>5</v>
      </c>
      <c r="G40" s="114">
        <v>4</v>
      </c>
      <c r="H40" s="114" t="s">
        <v>13</v>
      </c>
      <c r="I40" s="114">
        <v>0</v>
      </c>
      <c r="J40" s="114">
        <v>58</v>
      </c>
      <c r="K40" s="114" t="s">
        <v>13</v>
      </c>
      <c r="L40" s="115">
        <f>IF(J40="",0,(J40/J43)*100)</f>
        <v>64.444444444444443</v>
      </c>
      <c r="M40" s="114">
        <v>3</v>
      </c>
      <c r="N40" s="116">
        <v>1</v>
      </c>
      <c r="O40" s="205">
        <f>IF(M40=1,1,0)</f>
        <v>0</v>
      </c>
      <c r="P40" s="207">
        <f>IF(M40=2,1,0)</f>
        <v>0</v>
      </c>
      <c r="Q40" s="207">
        <f>IF(M40=3,1,0)</f>
        <v>1</v>
      </c>
      <c r="R40" s="9">
        <f>IF(M40=4,1,0)</f>
        <v>0</v>
      </c>
      <c r="S40" s="198"/>
      <c r="T40" s="26"/>
      <c r="U40" s="13"/>
    </row>
    <row r="41" spans="2:21" ht="20.100000000000001" customHeight="1" x14ac:dyDescent="0.25">
      <c r="B41" s="13"/>
      <c r="C41" s="26"/>
      <c r="D41" s="26"/>
      <c r="E41" s="96" t="s">
        <v>127</v>
      </c>
      <c r="F41" s="246" t="s">
        <v>60</v>
      </c>
      <c r="G41" s="114">
        <v>2</v>
      </c>
      <c r="H41" s="114" t="s">
        <v>13</v>
      </c>
      <c r="I41" s="114">
        <v>0</v>
      </c>
      <c r="J41" s="114">
        <v>83</v>
      </c>
      <c r="K41" s="114" t="s">
        <v>13</v>
      </c>
      <c r="L41" s="115">
        <f>IF(J41="",0,(J41/J43)*100)</f>
        <v>92.222222222222229</v>
      </c>
      <c r="M41" s="114">
        <v>2</v>
      </c>
      <c r="N41" s="116">
        <v>3</v>
      </c>
      <c r="O41" s="205">
        <f>IF(M41=1,1,0)</f>
        <v>0</v>
      </c>
      <c r="P41" s="207">
        <f>IF(M41=2,1,0)</f>
        <v>1</v>
      </c>
      <c r="Q41" s="207">
        <f>IF(M41=3,1,0)</f>
        <v>0</v>
      </c>
      <c r="R41" s="9">
        <f>IF(M41=4,1,0)</f>
        <v>0</v>
      </c>
      <c r="S41" s="198"/>
      <c r="T41" s="26"/>
      <c r="U41" s="13"/>
    </row>
    <row r="42" spans="2:21" ht="20.100000000000001" customHeight="1" thickBot="1" x14ac:dyDescent="0.3">
      <c r="B42" s="13"/>
      <c r="C42" s="26"/>
      <c r="D42" s="68"/>
      <c r="E42" s="144" t="s">
        <v>4</v>
      </c>
      <c r="F42" s="256" t="s">
        <v>9</v>
      </c>
      <c r="G42" s="117">
        <v>3</v>
      </c>
      <c r="H42" s="117" t="s">
        <v>13</v>
      </c>
      <c r="I42" s="117">
        <v>0</v>
      </c>
      <c r="J42" s="117">
        <v>28</v>
      </c>
      <c r="K42" s="117" t="s">
        <v>13</v>
      </c>
      <c r="L42" s="119">
        <f>IF(J42="",0,(J42/J43)*100)</f>
        <v>31.111111111111111</v>
      </c>
      <c r="M42" s="117">
        <v>4</v>
      </c>
      <c r="N42" s="118">
        <v>0</v>
      </c>
      <c r="O42" s="58">
        <f>IF(M42=1,1,0)</f>
        <v>0</v>
      </c>
      <c r="P42" s="208">
        <f>IF(M42=2,1,0)</f>
        <v>0</v>
      </c>
      <c r="Q42" s="208">
        <f>IF(M42=3,1,0)</f>
        <v>0</v>
      </c>
      <c r="R42" s="10">
        <f>IF(M42=4,1,0)</f>
        <v>1</v>
      </c>
      <c r="S42" s="198"/>
      <c r="T42" s="26"/>
      <c r="U42" s="13"/>
    </row>
    <row r="43" spans="2:21" ht="20.100000000000001" hidden="1" customHeight="1" outlineLevel="1" x14ac:dyDescent="0.25">
      <c r="B43" s="13"/>
      <c r="C43" s="26"/>
      <c r="D43" s="71"/>
      <c r="E43" s="71"/>
      <c r="F43" s="553"/>
      <c r="G43" s="553"/>
      <c r="H43" s="26"/>
      <c r="I43" s="193" t="s">
        <v>29</v>
      </c>
      <c r="J43" s="23">
        <f>MAX(J39:J42)</f>
        <v>90</v>
      </c>
      <c r="K43" s="73"/>
      <c r="L43" s="72"/>
      <c r="M43" s="26"/>
      <c r="N43" s="63" t="s">
        <v>33</v>
      </c>
      <c r="O43" s="20">
        <f>SUM(O39:O42)</f>
        <v>1</v>
      </c>
      <c r="P43" s="21">
        <f>SUM(P39:P42)</f>
        <v>1</v>
      </c>
      <c r="Q43" s="20">
        <f>SUM(Q39:Q42)</f>
        <v>1</v>
      </c>
      <c r="R43" s="20">
        <f>SUM(R39:R42)</f>
        <v>1</v>
      </c>
      <c r="S43" s="69"/>
      <c r="T43" s="26"/>
      <c r="U43" s="13"/>
    </row>
    <row r="44" spans="2:21" ht="20.100000000000001" customHeight="1" collapsed="1" x14ac:dyDescent="0.25">
      <c r="B44" s="13"/>
      <c r="C44" s="26"/>
      <c r="D44" s="26"/>
      <c r="E44" s="26"/>
      <c r="F44" s="607"/>
      <c r="G44" s="607"/>
      <c r="H44" s="199"/>
      <c r="I44" s="26"/>
      <c r="J44" s="26"/>
      <c r="K44" s="26"/>
      <c r="L44" s="26"/>
      <c r="M44" s="26"/>
      <c r="N44" s="26"/>
      <c r="O44" s="26"/>
      <c r="P44" s="26"/>
      <c r="Q44" s="26"/>
      <c r="R44" s="26"/>
      <c r="S44" s="26"/>
      <c r="T44" s="26"/>
      <c r="U44" s="13"/>
    </row>
    <row r="45" spans="2:21" ht="20.100000000000001" customHeight="1" x14ac:dyDescent="0.25">
      <c r="B45" s="13"/>
      <c r="U45" s="13"/>
    </row>
    <row r="46" spans="2:21" ht="20.100000000000001" customHeight="1" thickBot="1" x14ac:dyDescent="0.3">
      <c r="B46" s="13"/>
      <c r="C46" s="27"/>
      <c r="D46" s="27"/>
      <c r="E46" s="554" t="str">
        <f>IF(OR(M33="-",M33= ""),H33,M33)</f>
        <v>Terra Mystica</v>
      </c>
      <c r="F46" s="554"/>
      <c r="G46" s="554"/>
      <c r="H46" s="554"/>
      <c r="I46" s="554"/>
      <c r="J46" s="554"/>
      <c r="K46" s="554"/>
      <c r="L46" s="554"/>
      <c r="M46" s="554"/>
      <c r="N46" s="554"/>
      <c r="O46" s="197"/>
      <c r="P46" s="197"/>
      <c r="Q46" s="197"/>
      <c r="R46" s="197"/>
      <c r="S46" s="197"/>
      <c r="T46" s="27"/>
      <c r="U46" s="13"/>
    </row>
    <row r="47" spans="2:21" ht="50.1" customHeight="1" thickBot="1" x14ac:dyDescent="0.3">
      <c r="B47" s="13"/>
      <c r="C47" s="27"/>
      <c r="D47" s="197"/>
      <c r="E47" s="88" t="s">
        <v>10</v>
      </c>
      <c r="F47" s="125" t="s">
        <v>52</v>
      </c>
      <c r="G47" s="89" t="s">
        <v>14</v>
      </c>
      <c r="H47" s="200" t="s">
        <v>51</v>
      </c>
      <c r="I47" s="18" t="s">
        <v>54</v>
      </c>
      <c r="J47" s="200" t="s">
        <v>53</v>
      </c>
      <c r="K47" s="206" t="s">
        <v>28</v>
      </c>
      <c r="L47" s="200" t="s">
        <v>37</v>
      </c>
      <c r="M47" s="204" t="s">
        <v>16</v>
      </c>
      <c r="N47" s="89" t="s">
        <v>15</v>
      </c>
      <c r="O47" s="5" t="s">
        <v>30</v>
      </c>
      <c r="P47" s="7" t="s">
        <v>34</v>
      </c>
      <c r="Q47" s="7" t="s">
        <v>31</v>
      </c>
      <c r="R47" s="7" t="s">
        <v>32</v>
      </c>
      <c r="S47" s="197"/>
      <c r="T47" s="27"/>
      <c r="U47" s="13"/>
    </row>
    <row r="48" spans="2:21" ht="20.100000000000001" customHeight="1" x14ac:dyDescent="0.25">
      <c r="B48" s="13"/>
      <c r="C48" s="27"/>
      <c r="D48" s="27"/>
      <c r="E48" s="24" t="s">
        <v>114</v>
      </c>
      <c r="F48" s="254" t="s">
        <v>102</v>
      </c>
      <c r="G48" s="111">
        <v>1</v>
      </c>
      <c r="H48" s="268" t="s">
        <v>105</v>
      </c>
      <c r="I48" s="111">
        <v>8</v>
      </c>
      <c r="J48" s="268">
        <v>113</v>
      </c>
      <c r="K48" s="268" t="s">
        <v>13</v>
      </c>
      <c r="L48" s="112">
        <f>IF(J48="",0,(J48/J52)*100)</f>
        <v>79.020979020979027</v>
      </c>
      <c r="M48" s="111">
        <v>4</v>
      </c>
      <c r="N48" s="113">
        <v>0</v>
      </c>
      <c r="O48" s="57">
        <f>IF(M48=1,1,0)</f>
        <v>0</v>
      </c>
      <c r="P48" s="209">
        <f>IF(M48=2,1,0)</f>
        <v>0</v>
      </c>
      <c r="Q48" s="209">
        <f>IF(M48=3,1,0)</f>
        <v>0</v>
      </c>
      <c r="R48" s="8">
        <f>IF(M48=4,1,0)</f>
        <v>1</v>
      </c>
      <c r="S48" s="203"/>
      <c r="T48" s="27"/>
      <c r="U48" s="13"/>
    </row>
    <row r="49" spans="2:23" ht="20.100000000000001" customHeight="1" x14ac:dyDescent="0.25">
      <c r="B49" s="13"/>
      <c r="C49" s="27"/>
      <c r="D49" s="67"/>
      <c r="E49" s="37" t="s">
        <v>0</v>
      </c>
      <c r="F49" s="220" t="s">
        <v>5</v>
      </c>
      <c r="G49" s="149">
        <v>3</v>
      </c>
      <c r="H49" s="123" t="s">
        <v>144</v>
      </c>
      <c r="I49" s="149">
        <v>20</v>
      </c>
      <c r="J49" s="123">
        <v>143</v>
      </c>
      <c r="K49" s="123" t="s">
        <v>13</v>
      </c>
      <c r="L49" s="38">
        <f>IF(J49="",0,(J49/J52)*100)</f>
        <v>100</v>
      </c>
      <c r="M49" s="149">
        <v>1</v>
      </c>
      <c r="N49" s="108">
        <v>6</v>
      </c>
      <c r="O49" s="205">
        <f>IF(M49=1,1,0)</f>
        <v>1</v>
      </c>
      <c r="P49" s="207">
        <f>IF(M49=2,1,0)</f>
        <v>0</v>
      </c>
      <c r="Q49" s="207">
        <f>IF(M49=3,1,0)</f>
        <v>0</v>
      </c>
      <c r="R49" s="9">
        <f>IF(M49=4,1,0)</f>
        <v>0</v>
      </c>
      <c r="S49" s="203"/>
      <c r="T49" s="27"/>
      <c r="U49" s="13"/>
    </row>
    <row r="50" spans="2:23" ht="20.100000000000001" customHeight="1" x14ac:dyDescent="0.25">
      <c r="B50" s="13"/>
      <c r="C50" s="27"/>
      <c r="D50" s="27"/>
      <c r="E50" s="96" t="s">
        <v>127</v>
      </c>
      <c r="F50" s="246" t="s">
        <v>60</v>
      </c>
      <c r="G50" s="114">
        <v>2</v>
      </c>
      <c r="H50" s="101" t="s">
        <v>104</v>
      </c>
      <c r="I50" s="114">
        <v>12</v>
      </c>
      <c r="J50" s="101">
        <v>131</v>
      </c>
      <c r="K50" s="101" t="s">
        <v>13</v>
      </c>
      <c r="L50" s="115">
        <f>IF(J50="",0,(J50/J52)*100)</f>
        <v>91.608391608391599</v>
      </c>
      <c r="M50" s="114">
        <v>3</v>
      </c>
      <c r="N50" s="116">
        <v>1</v>
      </c>
      <c r="O50" s="205">
        <f>IF(M50=1,1,0)</f>
        <v>0</v>
      </c>
      <c r="P50" s="207">
        <f>IF(M50=2,1,0)</f>
        <v>0</v>
      </c>
      <c r="Q50" s="207">
        <f>IF(M50=3,1,0)</f>
        <v>1</v>
      </c>
      <c r="R50" s="9">
        <f>IF(M50=4,1,0)</f>
        <v>0</v>
      </c>
      <c r="S50" s="203"/>
      <c r="T50" s="27"/>
      <c r="U50" s="13"/>
    </row>
    <row r="51" spans="2:23" ht="20.100000000000001" customHeight="1" thickBot="1" x14ac:dyDescent="0.3">
      <c r="B51" s="13"/>
      <c r="C51" s="27"/>
      <c r="D51" s="27"/>
      <c r="E51" s="144" t="s">
        <v>4</v>
      </c>
      <c r="F51" s="256" t="s">
        <v>9</v>
      </c>
      <c r="G51" s="117">
        <v>1</v>
      </c>
      <c r="H51" s="102" t="s">
        <v>145</v>
      </c>
      <c r="I51" s="117">
        <v>30</v>
      </c>
      <c r="J51" s="102">
        <v>137</v>
      </c>
      <c r="K51" s="117" t="s">
        <v>13</v>
      </c>
      <c r="L51" s="119">
        <f>IF(J51="",0,(J51/J52)*100)</f>
        <v>95.8041958041958</v>
      </c>
      <c r="M51" s="117">
        <v>2</v>
      </c>
      <c r="N51" s="118">
        <v>3</v>
      </c>
      <c r="O51" s="58">
        <f>IF(M51=1,1,0)</f>
        <v>0</v>
      </c>
      <c r="P51" s="208">
        <f>IF(M51=2,1,0)</f>
        <v>1</v>
      </c>
      <c r="Q51" s="208">
        <f>IF(M51=3,1,0)</f>
        <v>0</v>
      </c>
      <c r="R51" s="10">
        <f>IF(M51=4,1,0)</f>
        <v>0</v>
      </c>
      <c r="S51" s="203"/>
      <c r="T51" s="27"/>
      <c r="U51" s="13"/>
    </row>
    <row r="52" spans="2:23" ht="20.100000000000001" hidden="1" customHeight="1" outlineLevel="1" x14ac:dyDescent="0.25">
      <c r="B52" s="13"/>
      <c r="C52" s="27"/>
      <c r="D52" s="27"/>
      <c r="E52" s="27"/>
      <c r="F52" s="531"/>
      <c r="G52" s="531"/>
      <c r="H52" s="27"/>
      <c r="I52" s="62" t="s">
        <v>29</v>
      </c>
      <c r="J52" s="23">
        <f>MAX(J48:J51)</f>
        <v>143</v>
      </c>
      <c r="K52" s="75"/>
      <c r="L52" s="203"/>
      <c r="M52" s="27"/>
      <c r="N52" s="63" t="s">
        <v>33</v>
      </c>
      <c r="O52" s="20">
        <f>SUM(O48:O51)</f>
        <v>1</v>
      </c>
      <c r="P52" s="21">
        <f>SUM(P48:P51)</f>
        <v>1</v>
      </c>
      <c r="Q52" s="20">
        <f>SUM(Q48:Q51)</f>
        <v>1</v>
      </c>
      <c r="R52" s="22">
        <f>SUM(R48:R51)</f>
        <v>1</v>
      </c>
      <c r="S52" s="74"/>
      <c r="T52" s="27"/>
      <c r="U52" s="13"/>
    </row>
    <row r="53" spans="2:23" ht="20.100000000000001" customHeight="1" collapsed="1" x14ac:dyDescent="0.25">
      <c r="B53" s="13"/>
      <c r="C53" s="27"/>
      <c r="D53" s="27"/>
      <c r="E53" s="27"/>
      <c r="F53" s="27"/>
      <c r="G53" s="27"/>
      <c r="H53" s="27"/>
      <c r="I53" s="27"/>
      <c r="J53" s="27"/>
      <c r="K53" s="27"/>
      <c r="L53" s="27"/>
      <c r="M53" s="27"/>
      <c r="N53" s="27"/>
      <c r="O53" s="27"/>
      <c r="P53" s="27"/>
      <c r="Q53" s="27"/>
      <c r="R53" s="27"/>
      <c r="S53" s="27"/>
      <c r="T53" s="27"/>
      <c r="U53" s="13"/>
    </row>
    <row r="54" spans="2:23" ht="20.100000000000001" customHeight="1" x14ac:dyDescent="0.25">
      <c r="B54" s="13"/>
      <c r="D54" s="28"/>
      <c r="E54" s="28"/>
      <c r="F54" s="28"/>
      <c r="G54" s="28"/>
      <c r="H54" s="29"/>
      <c r="I54" s="28"/>
      <c r="J54" s="28"/>
      <c r="U54" s="13"/>
    </row>
    <row r="55" spans="2:23" ht="20.100000000000001" customHeight="1" thickBot="1" x14ac:dyDescent="0.3">
      <c r="B55" s="13"/>
      <c r="C55" s="30"/>
      <c r="D55" s="30"/>
      <c r="E55" s="532" t="str">
        <f>IF(OR(M34="-",M34= ""),H34,M34)</f>
        <v>Nippon</v>
      </c>
      <c r="F55" s="532"/>
      <c r="G55" s="532"/>
      <c r="H55" s="532"/>
      <c r="I55" s="532"/>
      <c r="J55" s="532"/>
      <c r="K55" s="532"/>
      <c r="L55" s="532"/>
      <c r="M55" s="532"/>
      <c r="N55" s="532"/>
      <c r="O55" s="196"/>
      <c r="P55" s="196"/>
      <c r="Q55" s="196"/>
      <c r="R55" s="196"/>
      <c r="S55" s="196"/>
      <c r="T55" s="30"/>
      <c r="U55" s="14"/>
      <c r="V55" s="1"/>
      <c r="W55" s="1"/>
    </row>
    <row r="56" spans="2:23" ht="50.1" customHeight="1" thickBot="1" x14ac:dyDescent="0.3">
      <c r="B56" s="13"/>
      <c r="C56" s="30"/>
      <c r="D56" s="196"/>
      <c r="E56" s="88" t="s">
        <v>10</v>
      </c>
      <c r="F56" s="125" t="s">
        <v>52</v>
      </c>
      <c r="G56" s="89" t="s">
        <v>14</v>
      </c>
      <c r="H56" s="200" t="s">
        <v>51</v>
      </c>
      <c r="I56" s="18" t="s">
        <v>54</v>
      </c>
      <c r="J56" s="200" t="s">
        <v>53</v>
      </c>
      <c r="K56" s="206" t="s">
        <v>28</v>
      </c>
      <c r="L56" s="200" t="s">
        <v>37</v>
      </c>
      <c r="M56" s="204" t="s">
        <v>16</v>
      </c>
      <c r="N56" s="89" t="s">
        <v>15</v>
      </c>
      <c r="O56" s="5" t="s">
        <v>30</v>
      </c>
      <c r="P56" s="7" t="s">
        <v>34</v>
      </c>
      <c r="Q56" s="7" t="s">
        <v>31</v>
      </c>
      <c r="R56" s="19" t="s">
        <v>32</v>
      </c>
      <c r="S56" s="196"/>
      <c r="T56" s="30"/>
      <c r="U56" s="14"/>
      <c r="V56" s="1"/>
      <c r="W56" s="1"/>
    </row>
    <row r="57" spans="2:23" ht="20.100000000000001" customHeight="1" x14ac:dyDescent="0.25">
      <c r="B57" s="13"/>
      <c r="C57" s="30"/>
      <c r="D57" s="30"/>
      <c r="E57" s="24" t="s">
        <v>114</v>
      </c>
      <c r="F57" s="254" t="s">
        <v>102</v>
      </c>
      <c r="G57" s="111">
        <v>4</v>
      </c>
      <c r="H57" s="268" t="s">
        <v>13</v>
      </c>
      <c r="I57" s="111">
        <v>13</v>
      </c>
      <c r="J57" s="270">
        <v>118</v>
      </c>
      <c r="K57" s="111" t="s">
        <v>13</v>
      </c>
      <c r="L57" s="112">
        <f>IF(J57="",0,(J57/J61)*100)</f>
        <v>55.399061032863848</v>
      </c>
      <c r="M57" s="111">
        <v>4</v>
      </c>
      <c r="N57" s="113">
        <v>0</v>
      </c>
      <c r="O57" s="57">
        <f>IF(M57=1,1,0)</f>
        <v>0</v>
      </c>
      <c r="P57" s="209">
        <f>IF(M57=2,1,0)</f>
        <v>0</v>
      </c>
      <c r="Q57" s="209">
        <f>IF(M57=3,1,0)</f>
        <v>0</v>
      </c>
      <c r="R57" s="8">
        <f>IF(M57=4,1,0)</f>
        <v>1</v>
      </c>
      <c r="S57" s="194"/>
      <c r="T57" s="30"/>
      <c r="U57" s="13"/>
    </row>
    <row r="58" spans="2:23" ht="20.100000000000001" customHeight="1" x14ac:dyDescent="0.25">
      <c r="B58" s="13"/>
      <c r="C58" s="30"/>
      <c r="D58" s="66"/>
      <c r="E58" s="3" t="s">
        <v>0</v>
      </c>
      <c r="F58" s="140" t="s">
        <v>5</v>
      </c>
      <c r="G58" s="114">
        <v>1</v>
      </c>
      <c r="H58" s="114" t="s">
        <v>13</v>
      </c>
      <c r="I58" s="114">
        <v>10</v>
      </c>
      <c r="J58" s="176">
        <v>174</v>
      </c>
      <c r="K58" s="114" t="s">
        <v>13</v>
      </c>
      <c r="L58" s="115">
        <f>IF(J58="",0,(J58/J61)*100)</f>
        <v>81.690140845070431</v>
      </c>
      <c r="M58" s="114">
        <v>2</v>
      </c>
      <c r="N58" s="116">
        <v>3</v>
      </c>
      <c r="O58" s="205">
        <f>IF(M58=1,1,0)</f>
        <v>0</v>
      </c>
      <c r="P58" s="207">
        <f>IF(M58=2,1,0)</f>
        <v>1</v>
      </c>
      <c r="Q58" s="207">
        <f>IF(M58=3,1,0)</f>
        <v>0</v>
      </c>
      <c r="R58" s="9">
        <f>IF(M58=4,1,0)</f>
        <v>0</v>
      </c>
      <c r="S58" s="194"/>
      <c r="T58" s="30"/>
      <c r="U58" s="31"/>
    </row>
    <row r="59" spans="2:23" ht="20.100000000000001" customHeight="1" x14ac:dyDescent="0.25">
      <c r="B59" s="13"/>
      <c r="C59" s="30"/>
      <c r="D59" s="30"/>
      <c r="E59" s="110" t="s">
        <v>127</v>
      </c>
      <c r="F59" s="273" t="s">
        <v>60</v>
      </c>
      <c r="G59" s="149">
        <v>3</v>
      </c>
      <c r="H59" s="123" t="s">
        <v>13</v>
      </c>
      <c r="I59" s="149">
        <v>12</v>
      </c>
      <c r="J59" s="184">
        <v>213</v>
      </c>
      <c r="K59" s="149" t="s">
        <v>13</v>
      </c>
      <c r="L59" s="38">
        <f>IF(J59="",0,(J59/J61)*100)</f>
        <v>100</v>
      </c>
      <c r="M59" s="149">
        <v>1</v>
      </c>
      <c r="N59" s="108">
        <v>6</v>
      </c>
      <c r="O59" s="205">
        <f>IF(M59=1,1,0)</f>
        <v>1</v>
      </c>
      <c r="P59" s="207">
        <f>IF(M59=2,1,0)</f>
        <v>0</v>
      </c>
      <c r="Q59" s="207">
        <f>IF(M59=3,1,0)</f>
        <v>0</v>
      </c>
      <c r="R59" s="9">
        <f>IF(M59=4,1,0)</f>
        <v>0</v>
      </c>
      <c r="S59" s="194"/>
      <c r="T59" s="30"/>
      <c r="U59" s="31"/>
    </row>
    <row r="60" spans="2:23" ht="20.100000000000001" customHeight="1" thickBot="1" x14ac:dyDescent="0.3">
      <c r="B60" s="13"/>
      <c r="C60" s="30"/>
      <c r="D60" s="30"/>
      <c r="E60" s="144" t="s">
        <v>4</v>
      </c>
      <c r="F60" s="256" t="s">
        <v>9</v>
      </c>
      <c r="G60" s="117">
        <v>2</v>
      </c>
      <c r="H60" s="102" t="s">
        <v>13</v>
      </c>
      <c r="I60" s="117">
        <v>11</v>
      </c>
      <c r="J60" s="177">
        <v>133</v>
      </c>
      <c r="K60" s="117" t="s">
        <v>13</v>
      </c>
      <c r="L60" s="119">
        <f>IF(J60="",0,(J60/J61)*100)</f>
        <v>62.441314553990615</v>
      </c>
      <c r="M60" s="117">
        <v>3</v>
      </c>
      <c r="N60" s="118">
        <v>1</v>
      </c>
      <c r="O60" s="58">
        <f>IF(M60=1,1,0)</f>
        <v>0</v>
      </c>
      <c r="P60" s="208">
        <f>IF(M60=2,1,0)</f>
        <v>0</v>
      </c>
      <c r="Q60" s="208">
        <f>IF(M60=3,1,0)</f>
        <v>1</v>
      </c>
      <c r="R60" s="10">
        <f>IF(M60=4,1,0)</f>
        <v>0</v>
      </c>
      <c r="S60" s="194"/>
      <c r="T60" s="30"/>
      <c r="U60" s="31"/>
    </row>
    <row r="61" spans="2:23" ht="20.100000000000001" hidden="1" customHeight="1" outlineLevel="1" x14ac:dyDescent="0.25">
      <c r="B61" s="13"/>
      <c r="C61" s="30"/>
      <c r="D61" s="30"/>
      <c r="E61" s="30"/>
      <c r="F61" s="533"/>
      <c r="G61" s="533"/>
      <c r="H61" s="30"/>
      <c r="I61" s="64" t="s">
        <v>29</v>
      </c>
      <c r="J61" s="23">
        <f>MAX(J57:J60)</f>
        <v>213</v>
      </c>
      <c r="K61" s="76"/>
      <c r="L61" s="194"/>
      <c r="M61" s="30"/>
      <c r="N61" s="63" t="s">
        <v>33</v>
      </c>
      <c r="O61" s="20">
        <f>SUM(O57:O60)</f>
        <v>1</v>
      </c>
      <c r="P61" s="21">
        <f>SUM(P57:P60)</f>
        <v>1</v>
      </c>
      <c r="Q61" s="20">
        <f>SUM(Q57:Q60)</f>
        <v>1</v>
      </c>
      <c r="R61" s="22">
        <f>SUM(R57:R60)</f>
        <v>1</v>
      </c>
      <c r="S61" s="77"/>
      <c r="T61" s="30"/>
      <c r="U61" s="31"/>
    </row>
    <row r="62" spans="2:23" ht="20.100000000000001" customHeight="1" collapsed="1" x14ac:dyDescent="0.25">
      <c r="B62" s="13"/>
      <c r="C62" s="30"/>
      <c r="D62" s="30"/>
      <c r="E62" s="30"/>
      <c r="F62" s="30"/>
      <c r="G62" s="30"/>
      <c r="H62" s="30"/>
      <c r="I62" s="30"/>
      <c r="J62" s="30"/>
      <c r="K62" s="30"/>
      <c r="L62" s="30"/>
      <c r="M62" s="30"/>
      <c r="N62" s="30"/>
      <c r="O62" s="30"/>
      <c r="P62" s="30"/>
      <c r="Q62" s="30"/>
      <c r="R62" s="30"/>
      <c r="S62" s="30"/>
      <c r="T62" s="30"/>
      <c r="U62" s="31"/>
    </row>
    <row r="63" spans="2:23" ht="20.100000000000001" customHeight="1" x14ac:dyDescent="0.25">
      <c r="B63" s="13"/>
      <c r="D63" s="28"/>
      <c r="E63" s="28"/>
      <c r="F63" s="28"/>
      <c r="G63" s="28"/>
      <c r="H63" s="29"/>
      <c r="I63" s="28"/>
      <c r="J63" s="28"/>
      <c r="K63" s="28"/>
      <c r="U63" s="13"/>
    </row>
    <row r="64" spans="2:23" ht="20.100000000000001" customHeight="1" thickBot="1" x14ac:dyDescent="0.3">
      <c r="B64" s="13"/>
      <c r="C64" s="32"/>
      <c r="D64" s="32"/>
      <c r="E64" s="534" t="str">
        <f>IF(OR(M35="-",M35= ""),H35,M35)</f>
        <v>Res Arcana</v>
      </c>
      <c r="F64" s="534"/>
      <c r="G64" s="534"/>
      <c r="H64" s="534"/>
      <c r="I64" s="534"/>
      <c r="J64" s="534"/>
      <c r="K64" s="534"/>
      <c r="L64" s="534"/>
      <c r="M64" s="534"/>
      <c r="N64" s="534"/>
      <c r="O64" s="195"/>
      <c r="P64" s="195"/>
      <c r="Q64" s="195"/>
      <c r="R64" s="195"/>
      <c r="S64" s="195"/>
      <c r="T64" s="32"/>
      <c r="U64" s="13"/>
    </row>
    <row r="65" spans="2:31" ht="50.1" customHeight="1" thickBot="1" x14ac:dyDescent="0.3">
      <c r="B65" s="13"/>
      <c r="C65" s="32"/>
      <c r="D65" s="195"/>
      <c r="E65" s="88" t="s">
        <v>10</v>
      </c>
      <c r="F65" s="125" t="s">
        <v>52</v>
      </c>
      <c r="G65" s="89" t="s">
        <v>14</v>
      </c>
      <c r="H65" s="200" t="s">
        <v>51</v>
      </c>
      <c r="I65" s="18" t="s">
        <v>54</v>
      </c>
      <c r="J65" s="200" t="s">
        <v>53</v>
      </c>
      <c r="K65" s="206" t="s">
        <v>28</v>
      </c>
      <c r="L65" s="200" t="s">
        <v>37</v>
      </c>
      <c r="M65" s="204" t="s">
        <v>16</v>
      </c>
      <c r="N65" s="89" t="s">
        <v>15</v>
      </c>
      <c r="O65" s="5" t="s">
        <v>30</v>
      </c>
      <c r="P65" s="7" t="s">
        <v>34</v>
      </c>
      <c r="Q65" s="7" t="s">
        <v>31</v>
      </c>
      <c r="R65" s="19" t="s">
        <v>32</v>
      </c>
      <c r="S65" s="195"/>
      <c r="T65" s="32"/>
      <c r="U65" s="13"/>
    </row>
    <row r="66" spans="2:31" ht="20.100000000000001" customHeight="1" x14ac:dyDescent="0.25">
      <c r="B66" s="13"/>
      <c r="C66" s="32"/>
      <c r="D66" s="32"/>
      <c r="E66" s="24" t="s">
        <v>114</v>
      </c>
      <c r="F66" s="254" t="s">
        <v>102</v>
      </c>
      <c r="G66" s="111">
        <v>2</v>
      </c>
      <c r="H66" s="268" t="s">
        <v>146</v>
      </c>
      <c r="I66" s="111">
        <v>0</v>
      </c>
      <c r="J66" s="111">
        <v>7</v>
      </c>
      <c r="K66" s="111" t="s">
        <v>13</v>
      </c>
      <c r="L66" s="112">
        <f>IF(J66="",0,(J66/J70)*100)</f>
        <v>70</v>
      </c>
      <c r="M66" s="111">
        <v>2</v>
      </c>
      <c r="N66" s="113">
        <v>3</v>
      </c>
      <c r="O66" s="57">
        <f>IF(M66=1,1,0)</f>
        <v>0</v>
      </c>
      <c r="P66" s="209">
        <f>IF(M66=2,1,0)</f>
        <v>1</v>
      </c>
      <c r="Q66" s="209">
        <f>IF(M66=3,1,0)</f>
        <v>0</v>
      </c>
      <c r="R66" s="8">
        <f>IF(M66=4,1,0)</f>
        <v>0</v>
      </c>
      <c r="S66" s="201"/>
      <c r="T66" s="32"/>
      <c r="U66" s="13"/>
    </row>
    <row r="67" spans="2:31" ht="20.100000000000001" customHeight="1" x14ac:dyDescent="0.25">
      <c r="B67" s="13"/>
      <c r="C67" s="32"/>
      <c r="D67" s="32"/>
      <c r="E67" s="37" t="s">
        <v>0</v>
      </c>
      <c r="F67" s="220" t="s">
        <v>5</v>
      </c>
      <c r="G67" s="149">
        <v>4</v>
      </c>
      <c r="H67" s="149" t="s">
        <v>111</v>
      </c>
      <c r="I67" s="149">
        <v>0</v>
      </c>
      <c r="J67" s="149">
        <v>10</v>
      </c>
      <c r="K67" s="149" t="s">
        <v>13</v>
      </c>
      <c r="L67" s="38">
        <f>IF(J67="",0,(J67/J70)*100)</f>
        <v>100</v>
      </c>
      <c r="M67" s="149">
        <v>1</v>
      </c>
      <c r="N67" s="108">
        <v>6</v>
      </c>
      <c r="O67" s="205">
        <f>IF(M67=1,1,0)</f>
        <v>1</v>
      </c>
      <c r="P67" s="207">
        <f>IF(M67=2,1,0)</f>
        <v>0</v>
      </c>
      <c r="Q67" s="207">
        <f>IF(M67=3,1,0)</f>
        <v>0</v>
      </c>
      <c r="R67" s="9">
        <f>IF(M67=4,1,0)</f>
        <v>0</v>
      </c>
      <c r="S67" s="201"/>
      <c r="T67" s="32"/>
      <c r="U67" s="13"/>
    </row>
    <row r="68" spans="2:31" ht="20.100000000000001" customHeight="1" x14ac:dyDescent="0.25">
      <c r="B68" s="13"/>
      <c r="C68" s="32"/>
      <c r="D68" s="32"/>
      <c r="E68" s="96" t="s">
        <v>127</v>
      </c>
      <c r="F68" s="246" t="s">
        <v>60</v>
      </c>
      <c r="G68" s="114">
        <v>3</v>
      </c>
      <c r="H68" s="114" t="s">
        <v>147</v>
      </c>
      <c r="I68" s="114">
        <v>0</v>
      </c>
      <c r="J68" s="114">
        <v>6</v>
      </c>
      <c r="K68" s="114" t="s">
        <v>13</v>
      </c>
      <c r="L68" s="115">
        <f>IF(J68="",0,(J68/J70)*100)</f>
        <v>60</v>
      </c>
      <c r="M68" s="114">
        <v>3</v>
      </c>
      <c r="N68" s="116">
        <v>1</v>
      </c>
      <c r="O68" s="205">
        <f>IF(M68=1,1,0)</f>
        <v>0</v>
      </c>
      <c r="P68" s="207">
        <f>IF(M68=2,1,0)</f>
        <v>0</v>
      </c>
      <c r="Q68" s="207">
        <f>IF(M68=3,1,0)</f>
        <v>1</v>
      </c>
      <c r="R68" s="9">
        <f>IF(M68=4,1,0)</f>
        <v>0</v>
      </c>
      <c r="S68" s="201"/>
      <c r="T68" s="32"/>
      <c r="U68" s="13"/>
    </row>
    <row r="69" spans="2:31" ht="20.100000000000001" customHeight="1" thickBot="1" x14ac:dyDescent="0.3">
      <c r="B69" s="13"/>
      <c r="C69" s="32"/>
      <c r="D69" s="65"/>
      <c r="E69" s="144" t="s">
        <v>4</v>
      </c>
      <c r="F69" s="256" t="s">
        <v>9</v>
      </c>
      <c r="G69" s="117">
        <v>1</v>
      </c>
      <c r="H69" s="117" t="s">
        <v>115</v>
      </c>
      <c r="I69" s="117">
        <v>0</v>
      </c>
      <c r="J69" s="117">
        <v>4</v>
      </c>
      <c r="K69" s="117" t="s">
        <v>13</v>
      </c>
      <c r="L69" s="119">
        <f>IF(J69="",0,(J69/J70)*100)</f>
        <v>40</v>
      </c>
      <c r="M69" s="117">
        <v>4</v>
      </c>
      <c r="N69" s="118">
        <v>0</v>
      </c>
      <c r="O69" s="58">
        <f>IF(M69=1,1,0)</f>
        <v>0</v>
      </c>
      <c r="P69" s="208">
        <f>IF(M69=2,1,0)</f>
        <v>0</v>
      </c>
      <c r="Q69" s="208">
        <f>IF(M69=3,1,0)</f>
        <v>0</v>
      </c>
      <c r="R69" s="10">
        <f>IF(M69=4,1,0)</f>
        <v>1</v>
      </c>
      <c r="S69" s="201"/>
      <c r="T69" s="32"/>
      <c r="U69" s="13"/>
    </row>
    <row r="70" spans="2:31" ht="20.100000000000001" hidden="1" customHeight="1" outlineLevel="1" x14ac:dyDescent="0.25">
      <c r="B70" s="13"/>
      <c r="C70" s="32"/>
      <c r="D70" s="32"/>
      <c r="E70" s="32"/>
      <c r="F70" s="535"/>
      <c r="G70" s="535"/>
      <c r="H70" s="32"/>
      <c r="I70" s="62" t="s">
        <v>29</v>
      </c>
      <c r="J70" s="23">
        <f>MAX(J66:J69)</f>
        <v>10</v>
      </c>
      <c r="K70" s="78"/>
      <c r="L70" s="201"/>
      <c r="M70" s="32"/>
      <c r="N70" s="63" t="s">
        <v>33</v>
      </c>
      <c r="O70" s="20">
        <f>SUM(O66:O69)</f>
        <v>1</v>
      </c>
      <c r="P70" s="21">
        <f>SUM(P66:P69)</f>
        <v>1</v>
      </c>
      <c r="Q70" s="20">
        <f>SUM(Q66:Q69)</f>
        <v>1</v>
      </c>
      <c r="R70" s="22">
        <f>SUM(R66:R69)</f>
        <v>1</v>
      </c>
      <c r="S70" s="79"/>
      <c r="T70" s="32"/>
      <c r="U70" s="13"/>
    </row>
    <row r="71" spans="2:31" ht="20.100000000000001" customHeight="1" collapsed="1" x14ac:dyDescent="0.25">
      <c r="B71" s="13"/>
      <c r="C71" s="32"/>
      <c r="D71" s="32"/>
      <c r="E71" s="32"/>
      <c r="F71" s="32"/>
      <c r="G71" s="32"/>
      <c r="H71" s="32"/>
      <c r="I71" s="32"/>
      <c r="J71" s="32"/>
      <c r="K71" s="32"/>
      <c r="L71" s="32"/>
      <c r="M71" s="32"/>
      <c r="N71" s="32"/>
      <c r="O71" s="32"/>
      <c r="P71" s="32"/>
      <c r="Q71" s="32"/>
      <c r="R71" s="32"/>
      <c r="S71" s="32"/>
      <c r="T71" s="32"/>
      <c r="U71" s="13"/>
    </row>
    <row r="72" spans="2:31" ht="20.100000000000001" customHeight="1" x14ac:dyDescent="0.25">
      <c r="B72" s="13"/>
      <c r="D72" s="4"/>
      <c r="E72" s="4"/>
      <c r="F72" s="4"/>
      <c r="G72" s="4"/>
      <c r="H72" s="4"/>
      <c r="I72" s="4"/>
      <c r="J72" s="4"/>
      <c r="U72" s="13"/>
    </row>
    <row r="73" spans="2:31" ht="30" customHeight="1" thickBot="1" x14ac:dyDescent="0.3">
      <c r="B73" s="13"/>
      <c r="C73" s="33"/>
      <c r="D73" s="536" t="s">
        <v>49</v>
      </c>
      <c r="E73" s="536"/>
      <c r="F73" s="536"/>
      <c r="G73" s="536"/>
      <c r="H73" s="536"/>
      <c r="I73" s="536"/>
      <c r="J73" s="536"/>
      <c r="K73" s="536"/>
      <c r="L73" s="536"/>
      <c r="M73" s="536"/>
      <c r="N73" s="536"/>
      <c r="O73" s="536"/>
      <c r="P73" s="536"/>
      <c r="Q73" s="536"/>
      <c r="R73" s="536"/>
      <c r="S73" s="536"/>
      <c r="T73" s="33"/>
      <c r="U73" s="13"/>
    </row>
    <row r="74" spans="2:31" ht="50.1" customHeight="1" thickBot="1" x14ac:dyDescent="0.3">
      <c r="B74" s="13"/>
      <c r="C74" s="33"/>
      <c r="D74" s="90" t="s">
        <v>10</v>
      </c>
      <c r="E74" s="93" t="s">
        <v>139</v>
      </c>
      <c r="F74" s="91" t="s">
        <v>15</v>
      </c>
      <c r="G74" s="42" t="s">
        <v>55</v>
      </c>
      <c r="H74" s="537" t="s">
        <v>56</v>
      </c>
      <c r="I74" s="538"/>
      <c r="J74" s="202" t="s">
        <v>66</v>
      </c>
      <c r="K74" s="92" t="s">
        <v>17</v>
      </c>
      <c r="L74" s="91" t="s">
        <v>18</v>
      </c>
      <c r="M74" s="92" t="s">
        <v>19</v>
      </c>
      <c r="N74" s="91" t="s">
        <v>20</v>
      </c>
      <c r="O74" s="130"/>
      <c r="P74" s="126"/>
      <c r="Q74" s="126"/>
      <c r="R74" s="126"/>
      <c r="S74" s="93" t="s">
        <v>38</v>
      </c>
      <c r="T74" s="33"/>
      <c r="U74" s="13"/>
    </row>
    <row r="75" spans="2:31" ht="20.100000000000001" customHeight="1" x14ac:dyDescent="0.25">
      <c r="B75" s="13"/>
      <c r="C75" s="33"/>
      <c r="D75" s="131" t="s">
        <v>0</v>
      </c>
      <c r="E75" s="132" t="s">
        <v>5</v>
      </c>
      <c r="F75" s="266">
        <f>(K75*6+L75*3+M75*1+N75*0)</f>
        <v>16</v>
      </c>
      <c r="G75" s="266">
        <v>0</v>
      </c>
      <c r="H75" s="603" t="s">
        <v>13</v>
      </c>
      <c r="I75" s="604"/>
      <c r="J75" s="266">
        <f>F75+G75</f>
        <v>16</v>
      </c>
      <c r="K75" s="266">
        <v>2</v>
      </c>
      <c r="L75" s="266">
        <v>1</v>
      </c>
      <c r="M75" s="266">
        <v>1</v>
      </c>
      <c r="N75" s="266">
        <v>0</v>
      </c>
      <c r="O75" s="266"/>
      <c r="P75" s="266"/>
      <c r="Q75" s="266"/>
      <c r="R75" s="266"/>
      <c r="S75" s="146">
        <f>(L40+L49+L58+L67)/4</f>
        <v>86.533646322378729</v>
      </c>
      <c r="T75" s="33"/>
      <c r="U75" s="13"/>
      <c r="W75" s="127"/>
      <c r="X75" s="127"/>
      <c r="Y75" s="127"/>
      <c r="Z75" s="127"/>
    </row>
    <row r="76" spans="2:31" ht="20.100000000000001" customHeight="1" x14ac:dyDescent="0.25">
      <c r="B76" s="13"/>
      <c r="C76" s="33"/>
      <c r="D76" s="155" t="s">
        <v>127</v>
      </c>
      <c r="E76" s="274" t="s">
        <v>60</v>
      </c>
      <c r="F76" s="265">
        <f>(K76*6+L76*3+M76*1+N76*0)</f>
        <v>11</v>
      </c>
      <c r="G76" s="265">
        <v>0</v>
      </c>
      <c r="H76" s="605" t="s">
        <v>13</v>
      </c>
      <c r="I76" s="606"/>
      <c r="J76" s="265">
        <f>F76+G76</f>
        <v>11</v>
      </c>
      <c r="K76" s="265">
        <v>1</v>
      </c>
      <c r="L76" s="265">
        <v>1</v>
      </c>
      <c r="M76" s="265">
        <v>2</v>
      </c>
      <c r="N76" s="265">
        <v>0</v>
      </c>
      <c r="O76" s="265"/>
      <c r="P76" s="265"/>
      <c r="Q76" s="265"/>
      <c r="R76" s="265"/>
      <c r="S76" s="145">
        <f>(L41+L50+L59+L68)/4</f>
        <v>85.957653457653464</v>
      </c>
      <c r="T76" s="33"/>
      <c r="U76" s="13"/>
      <c r="W76" s="192"/>
      <c r="X76" s="192"/>
      <c r="Y76" s="192"/>
      <c r="Z76" s="192"/>
    </row>
    <row r="77" spans="2:31" ht="20.100000000000001" customHeight="1" x14ac:dyDescent="0.25">
      <c r="B77" s="13"/>
      <c r="C77" s="33"/>
      <c r="D77" s="51" t="s">
        <v>114</v>
      </c>
      <c r="E77" s="274" t="s">
        <v>102</v>
      </c>
      <c r="F77" s="265">
        <f>(K77*6+L77*3+M77*1+N77*0)</f>
        <v>9</v>
      </c>
      <c r="G77" s="265">
        <v>0</v>
      </c>
      <c r="H77" s="605" t="s">
        <v>13</v>
      </c>
      <c r="I77" s="606"/>
      <c r="J77" s="265">
        <f>F77+G77</f>
        <v>9</v>
      </c>
      <c r="K77" s="265">
        <v>1</v>
      </c>
      <c r="L77" s="265">
        <v>1</v>
      </c>
      <c r="M77" s="265">
        <v>0</v>
      </c>
      <c r="N77" s="265">
        <v>2</v>
      </c>
      <c r="O77" s="265"/>
      <c r="P77" s="265"/>
      <c r="Q77" s="265"/>
      <c r="R77" s="265"/>
      <c r="S77" s="145">
        <f>(L39+L48+L57+L66)/4</f>
        <v>76.105010013460713</v>
      </c>
      <c r="T77" s="33"/>
      <c r="U77" s="13"/>
      <c r="W77" s="192"/>
      <c r="X77" s="192"/>
      <c r="Y77" s="192"/>
      <c r="Z77" s="192"/>
    </row>
    <row r="78" spans="2:31" ht="20.100000000000001" customHeight="1" thickBot="1" x14ac:dyDescent="0.3">
      <c r="B78" s="13"/>
      <c r="C78" s="33"/>
      <c r="D78" s="260" t="s">
        <v>4</v>
      </c>
      <c r="E78" s="275" t="s">
        <v>9</v>
      </c>
      <c r="F78" s="267">
        <f>(K78*6+L78*3+M78*1+N78*0)</f>
        <v>4</v>
      </c>
      <c r="G78" s="267">
        <v>0</v>
      </c>
      <c r="H78" s="583" t="s">
        <v>13</v>
      </c>
      <c r="I78" s="583"/>
      <c r="J78" s="267">
        <f>F78+G78</f>
        <v>4</v>
      </c>
      <c r="K78" s="267">
        <v>0</v>
      </c>
      <c r="L78" s="267">
        <v>1</v>
      </c>
      <c r="M78" s="267">
        <v>1</v>
      </c>
      <c r="N78" s="267">
        <v>2</v>
      </c>
      <c r="O78" s="267"/>
      <c r="P78" s="267"/>
      <c r="Q78" s="267"/>
      <c r="R78" s="267"/>
      <c r="S78" s="147">
        <f>(L42+L51+L60+L69)/4</f>
        <v>57.339155367324381</v>
      </c>
      <c r="T78" s="33"/>
      <c r="U78" s="13"/>
      <c r="W78" s="192"/>
      <c r="X78" s="192"/>
      <c r="Y78" s="192"/>
      <c r="Z78" s="192"/>
      <c r="AB78" s="192"/>
      <c r="AC78" s="192"/>
      <c r="AD78" s="192"/>
      <c r="AE78" s="192"/>
    </row>
    <row r="79" spans="2:31" ht="20.100000000000001" customHeight="1" x14ac:dyDescent="0.25">
      <c r="B79" s="13"/>
      <c r="C79" s="33"/>
      <c r="D79" s="33"/>
      <c r="E79" s="33"/>
      <c r="F79" s="33"/>
      <c r="G79" s="33"/>
      <c r="H79" s="33"/>
      <c r="I79" s="33"/>
      <c r="J79" s="33"/>
      <c r="K79" s="33"/>
      <c r="L79" s="33"/>
      <c r="M79" s="33"/>
      <c r="N79" s="33"/>
      <c r="O79" s="33"/>
      <c r="P79" s="33"/>
      <c r="Q79" s="33"/>
      <c r="R79" s="33"/>
      <c r="S79" s="33"/>
      <c r="T79" s="33"/>
      <c r="U79" s="13"/>
      <c r="W79" s="192"/>
      <c r="X79" s="192"/>
      <c r="Y79" s="192"/>
      <c r="Z79" s="192"/>
    </row>
    <row r="80" spans="2:31" ht="20.100000000000001" customHeight="1" x14ac:dyDescent="0.25">
      <c r="B80" s="13"/>
      <c r="C80" s="13"/>
      <c r="D80" s="15"/>
      <c r="E80" s="15"/>
      <c r="F80" s="14"/>
      <c r="G80" s="14"/>
      <c r="H80" s="15"/>
      <c r="I80" s="15"/>
      <c r="J80" s="15"/>
      <c r="K80" s="13"/>
      <c r="L80" s="13"/>
      <c r="M80" s="13"/>
      <c r="N80" s="13"/>
      <c r="O80" s="13"/>
      <c r="P80" s="13"/>
      <c r="Q80" s="13"/>
      <c r="R80" s="13"/>
      <c r="S80" s="13"/>
      <c r="T80" s="13"/>
      <c r="U80" s="13"/>
    </row>
    <row r="81" spans="2:21" ht="20.100000000000001" customHeight="1" x14ac:dyDescent="0.25">
      <c r="D81" s="11"/>
    </row>
    <row r="82" spans="2:21" ht="20.100000000000001" customHeight="1" x14ac:dyDescent="0.25">
      <c r="D82" s="34"/>
    </row>
    <row r="83" spans="2:21" ht="20.100000000000001" customHeight="1" x14ac:dyDescent="0.25">
      <c r="B83" s="13"/>
      <c r="C83" s="13"/>
      <c r="D83" s="25"/>
      <c r="E83" s="25"/>
      <c r="F83" s="25"/>
      <c r="G83" s="25"/>
      <c r="H83" s="13"/>
      <c r="I83" s="13"/>
      <c r="J83" s="13"/>
      <c r="K83" s="13"/>
      <c r="L83" s="13"/>
      <c r="M83" s="13"/>
      <c r="N83" s="13"/>
      <c r="O83" s="13"/>
      <c r="P83" s="13"/>
      <c r="Q83" s="13"/>
      <c r="R83" s="13"/>
      <c r="S83" s="13"/>
      <c r="T83" s="13"/>
      <c r="U83" s="13"/>
    </row>
    <row r="84" spans="2:21" ht="30" customHeight="1" x14ac:dyDescent="0.25">
      <c r="B84" s="13"/>
      <c r="C84" s="555" t="s">
        <v>74</v>
      </c>
      <c r="D84" s="555"/>
      <c r="E84" s="555"/>
      <c r="F84" s="555"/>
      <c r="G84" s="555"/>
      <c r="H84" s="555"/>
      <c r="I84" s="555"/>
      <c r="J84" s="555"/>
      <c r="K84" s="555"/>
      <c r="L84" s="555"/>
      <c r="M84" s="555"/>
      <c r="N84" s="555"/>
      <c r="O84" s="555"/>
      <c r="P84" s="555"/>
      <c r="Q84" s="555"/>
      <c r="R84" s="555"/>
      <c r="S84" s="555"/>
      <c r="T84" s="555"/>
      <c r="U84" s="13"/>
    </row>
    <row r="85" spans="2:21" ht="20.100000000000001" customHeight="1" thickBot="1" x14ac:dyDescent="0.3">
      <c r="B85" s="13"/>
      <c r="U85" s="13"/>
    </row>
    <row r="86" spans="2:21" ht="20.100000000000001" customHeight="1" thickBot="1" x14ac:dyDescent="0.3">
      <c r="B86" s="13"/>
      <c r="D86" s="556" t="s">
        <v>10</v>
      </c>
      <c r="E86" s="558" t="s">
        <v>139</v>
      </c>
      <c r="F86" s="560" t="s">
        <v>22</v>
      </c>
      <c r="G86" s="561" t="s">
        <v>42</v>
      </c>
      <c r="H86" s="561"/>
      <c r="I86" s="561"/>
      <c r="J86" s="562"/>
      <c r="K86" s="200" t="s">
        <v>36</v>
      </c>
      <c r="L86" s="563" t="s">
        <v>27</v>
      </c>
      <c r="M86" s="561"/>
      <c r="N86" s="561"/>
      <c r="O86" s="561"/>
      <c r="P86" s="561"/>
      <c r="Q86" s="561"/>
      <c r="R86" s="561"/>
      <c r="S86" s="562"/>
      <c r="U86" s="13"/>
    </row>
    <row r="87" spans="2:21" ht="20.100000000000001" customHeight="1" thickBot="1" x14ac:dyDescent="0.3">
      <c r="B87" s="13"/>
      <c r="D87" s="608"/>
      <c r="E87" s="609"/>
      <c r="F87" s="559"/>
      <c r="G87" s="86" t="s">
        <v>43</v>
      </c>
      <c r="H87" s="85" t="s">
        <v>24</v>
      </c>
      <c r="I87" s="556" t="s">
        <v>23</v>
      </c>
      <c r="J87" s="564"/>
      <c r="K87" s="85" t="s">
        <v>25</v>
      </c>
      <c r="L87" s="94" t="s">
        <v>43</v>
      </c>
      <c r="M87" s="87" t="s">
        <v>26</v>
      </c>
      <c r="N87" s="565" t="s">
        <v>23</v>
      </c>
      <c r="O87" s="566"/>
      <c r="P87" s="566"/>
      <c r="Q87" s="566"/>
      <c r="R87" s="566"/>
      <c r="S87" s="567"/>
      <c r="U87" s="13"/>
    </row>
    <row r="88" spans="2:21" ht="65.099999999999994" customHeight="1" x14ac:dyDescent="0.25">
      <c r="B88" s="13"/>
      <c r="D88" s="39" t="s">
        <v>46</v>
      </c>
      <c r="E88" s="245" t="s">
        <v>6</v>
      </c>
      <c r="F88" s="113">
        <v>1</v>
      </c>
      <c r="G88" s="141" t="s">
        <v>44</v>
      </c>
      <c r="H88" s="137" t="s">
        <v>71</v>
      </c>
      <c r="I88" s="568" t="s">
        <v>148</v>
      </c>
      <c r="J88" s="589"/>
      <c r="K88" s="237" t="s">
        <v>12</v>
      </c>
      <c r="L88" s="218" t="s">
        <v>13</v>
      </c>
      <c r="M88" s="55" t="s">
        <v>13</v>
      </c>
      <c r="N88" s="570" t="s">
        <v>13</v>
      </c>
      <c r="O88" s="571"/>
      <c r="P88" s="571"/>
      <c r="Q88" s="571"/>
      <c r="R88" s="571"/>
      <c r="S88" s="572"/>
      <c r="U88" s="13"/>
    </row>
    <row r="89" spans="2:21" ht="50.1" customHeight="1" x14ac:dyDescent="0.25">
      <c r="B89" s="13"/>
      <c r="D89" s="96" t="s">
        <v>90</v>
      </c>
      <c r="E89" s="247" t="s">
        <v>92</v>
      </c>
      <c r="F89" s="116">
        <v>2</v>
      </c>
      <c r="G89" s="120" t="s">
        <v>44</v>
      </c>
      <c r="H89" s="135" t="s">
        <v>118</v>
      </c>
      <c r="I89" s="540" t="s">
        <v>119</v>
      </c>
      <c r="J89" s="592"/>
      <c r="K89" s="95" t="s">
        <v>12</v>
      </c>
      <c r="L89" s="175" t="s">
        <v>13</v>
      </c>
      <c r="M89" s="54" t="s">
        <v>13</v>
      </c>
      <c r="N89" s="542" t="s">
        <v>13</v>
      </c>
      <c r="O89" s="543"/>
      <c r="P89" s="543"/>
      <c r="Q89" s="543"/>
      <c r="R89" s="543"/>
      <c r="S89" s="544"/>
      <c r="U89" s="13"/>
    </row>
    <row r="90" spans="2:21" ht="80.099999999999994" customHeight="1" x14ac:dyDescent="0.25">
      <c r="B90" s="13"/>
      <c r="D90" s="40" t="s">
        <v>1</v>
      </c>
      <c r="E90" s="248" t="s">
        <v>11</v>
      </c>
      <c r="F90" s="116">
        <v>3</v>
      </c>
      <c r="G90" s="216" t="s">
        <v>35</v>
      </c>
      <c r="H90" s="215" t="s">
        <v>45</v>
      </c>
      <c r="I90" s="545" t="s">
        <v>149</v>
      </c>
      <c r="J90" s="598"/>
      <c r="K90" s="235" t="s">
        <v>12</v>
      </c>
      <c r="L90" s="175" t="s">
        <v>13</v>
      </c>
      <c r="M90" s="54" t="s">
        <v>13</v>
      </c>
      <c r="N90" s="542" t="s">
        <v>13</v>
      </c>
      <c r="O90" s="543"/>
      <c r="P90" s="543"/>
      <c r="Q90" s="543"/>
      <c r="R90" s="543"/>
      <c r="S90" s="544"/>
      <c r="U90" s="13"/>
    </row>
    <row r="91" spans="2:21" ht="65.099999999999994" customHeight="1" thickBot="1" x14ac:dyDescent="0.3">
      <c r="B91" s="13"/>
      <c r="D91" s="41" t="s">
        <v>47</v>
      </c>
      <c r="E91" s="255" t="s">
        <v>64</v>
      </c>
      <c r="F91" s="118">
        <v>4</v>
      </c>
      <c r="G91" s="217" t="s">
        <v>35</v>
      </c>
      <c r="H91" s="156" t="s">
        <v>70</v>
      </c>
      <c r="I91" s="611" t="s">
        <v>98</v>
      </c>
      <c r="J91" s="612"/>
      <c r="K91" s="124" t="s">
        <v>12</v>
      </c>
      <c r="L91" s="219" t="s">
        <v>13</v>
      </c>
      <c r="M91" s="56" t="s">
        <v>13</v>
      </c>
      <c r="N91" s="613" t="s">
        <v>13</v>
      </c>
      <c r="O91" s="550"/>
      <c r="P91" s="550"/>
      <c r="Q91" s="550"/>
      <c r="R91" s="550"/>
      <c r="S91" s="551"/>
      <c r="U91" s="13"/>
    </row>
    <row r="92" spans="2:21" ht="20.100000000000001" customHeight="1" x14ac:dyDescent="0.25">
      <c r="B92" s="13"/>
      <c r="U92" s="13"/>
    </row>
    <row r="93" spans="2:21" ht="20.100000000000001" customHeight="1" thickBot="1" x14ac:dyDescent="0.3">
      <c r="B93" s="13"/>
      <c r="C93" s="26"/>
      <c r="D93" s="26"/>
      <c r="E93" s="552" t="str">
        <f>IF(OR(L88="-",L88= ""),H88,L88)</f>
        <v>Die Burgen von Burgund</v>
      </c>
      <c r="F93" s="552"/>
      <c r="G93" s="552"/>
      <c r="H93" s="552"/>
      <c r="I93" s="552"/>
      <c r="J93" s="552"/>
      <c r="K93" s="552"/>
      <c r="L93" s="552"/>
      <c r="M93" s="552"/>
      <c r="N93" s="552"/>
      <c r="O93" s="199"/>
      <c r="P93" s="199"/>
      <c r="Q93" s="199"/>
      <c r="R93" s="199"/>
      <c r="S93" s="199"/>
      <c r="T93" s="26"/>
      <c r="U93" s="13"/>
    </row>
    <row r="94" spans="2:21" ht="50.1" customHeight="1" thickBot="1" x14ac:dyDescent="0.3">
      <c r="B94" s="13"/>
      <c r="C94" s="26"/>
      <c r="D94" s="199"/>
      <c r="E94" s="88" t="s">
        <v>10</v>
      </c>
      <c r="F94" s="125" t="s">
        <v>52</v>
      </c>
      <c r="G94" s="89" t="s">
        <v>14</v>
      </c>
      <c r="H94" s="200" t="s">
        <v>51</v>
      </c>
      <c r="I94" s="18" t="s">
        <v>54</v>
      </c>
      <c r="J94" s="200" t="s">
        <v>53</v>
      </c>
      <c r="K94" s="206" t="s">
        <v>28</v>
      </c>
      <c r="L94" s="200" t="s">
        <v>37</v>
      </c>
      <c r="M94" s="204" t="s">
        <v>16</v>
      </c>
      <c r="N94" s="89" t="s">
        <v>15</v>
      </c>
      <c r="O94" s="5" t="s">
        <v>30</v>
      </c>
      <c r="P94" s="7" t="s">
        <v>34</v>
      </c>
      <c r="Q94" s="7" t="s">
        <v>31</v>
      </c>
      <c r="R94" s="19" t="s">
        <v>32</v>
      </c>
      <c r="S94" s="199"/>
      <c r="T94" s="26"/>
      <c r="U94" s="13"/>
    </row>
    <row r="95" spans="2:21" ht="20.100000000000001" customHeight="1" x14ac:dyDescent="0.25">
      <c r="B95" s="13"/>
      <c r="C95" s="26"/>
      <c r="D95" s="68"/>
      <c r="E95" s="35" t="s">
        <v>46</v>
      </c>
      <c r="F95" s="277" t="s">
        <v>6</v>
      </c>
      <c r="G95" s="157">
        <v>3</v>
      </c>
      <c r="H95" s="157" t="s">
        <v>152</v>
      </c>
      <c r="I95" s="157">
        <v>0</v>
      </c>
      <c r="J95" s="157">
        <v>258</v>
      </c>
      <c r="K95" s="157" t="s">
        <v>13</v>
      </c>
      <c r="L95" s="36">
        <f>IF(J95="",0,(J95/J99)*100)</f>
        <v>100</v>
      </c>
      <c r="M95" s="157">
        <v>1</v>
      </c>
      <c r="N95" s="99">
        <v>6</v>
      </c>
      <c r="O95" s="57">
        <f>IF(M95=1,1,0)</f>
        <v>1</v>
      </c>
      <c r="P95" s="209">
        <f>IF(M95=2,1,0)</f>
        <v>0</v>
      </c>
      <c r="Q95" s="209">
        <f>IF(M95=3,1,0)</f>
        <v>0</v>
      </c>
      <c r="R95" s="8">
        <f>IF(M95=4,1,0)</f>
        <v>0</v>
      </c>
      <c r="S95" s="198"/>
      <c r="T95" s="26"/>
      <c r="U95" s="13"/>
    </row>
    <row r="96" spans="2:21" ht="20.100000000000001" customHeight="1" x14ac:dyDescent="0.25">
      <c r="B96" s="13"/>
      <c r="C96" s="26"/>
      <c r="D96" s="26"/>
      <c r="E96" s="96" t="s">
        <v>90</v>
      </c>
      <c r="F96" s="247" t="s">
        <v>92</v>
      </c>
      <c r="G96" s="47">
        <v>1</v>
      </c>
      <c r="H96" s="47" t="s">
        <v>153</v>
      </c>
      <c r="I96" s="47">
        <v>0</v>
      </c>
      <c r="J96" s="47">
        <v>221</v>
      </c>
      <c r="K96" s="100" t="s">
        <v>13</v>
      </c>
      <c r="L96" s="48">
        <f>IF(J96="",0,(J96/J99)*100)</f>
        <v>85.658914728682163</v>
      </c>
      <c r="M96" s="47">
        <v>3</v>
      </c>
      <c r="N96" s="60">
        <v>1</v>
      </c>
      <c r="O96" s="205">
        <f>IF(M96=1,1,0)</f>
        <v>0</v>
      </c>
      <c r="P96" s="207">
        <f>IF(M96=2,1,0)</f>
        <v>0</v>
      </c>
      <c r="Q96" s="207">
        <f>IF(M96=3,1,0)</f>
        <v>1</v>
      </c>
      <c r="R96" s="9">
        <f>IF(M96=4,1,0)</f>
        <v>0</v>
      </c>
      <c r="S96" s="198"/>
      <c r="T96" s="26"/>
      <c r="U96" s="13"/>
    </row>
    <row r="97" spans="2:21" ht="20.100000000000001" customHeight="1" x14ac:dyDescent="0.25">
      <c r="B97" s="13"/>
      <c r="C97" s="26"/>
      <c r="D97" s="26"/>
      <c r="E97" s="40" t="s">
        <v>1</v>
      </c>
      <c r="F97" s="248" t="s">
        <v>11</v>
      </c>
      <c r="G97" s="47">
        <v>4</v>
      </c>
      <c r="H97" s="47" t="s">
        <v>153</v>
      </c>
      <c r="I97" s="47">
        <v>0</v>
      </c>
      <c r="J97" s="47">
        <v>235</v>
      </c>
      <c r="K97" s="47" t="s">
        <v>13</v>
      </c>
      <c r="L97" s="48">
        <f>IF(J97="",0,(J97/J99)*100)</f>
        <v>91.085271317829452</v>
      </c>
      <c r="M97" s="47">
        <v>2</v>
      </c>
      <c r="N97" s="60">
        <v>3</v>
      </c>
      <c r="O97" s="205">
        <f>IF(M97=1,1,0)</f>
        <v>0</v>
      </c>
      <c r="P97" s="207">
        <f>IF(M97=2,1,0)</f>
        <v>1</v>
      </c>
      <c r="Q97" s="207">
        <f>IF(M97=3,1,0)</f>
        <v>0</v>
      </c>
      <c r="R97" s="9">
        <f>IF(M97=4,1,0)</f>
        <v>0</v>
      </c>
      <c r="S97" s="198"/>
      <c r="T97" s="26"/>
      <c r="U97" s="13"/>
    </row>
    <row r="98" spans="2:21" ht="20.100000000000001" customHeight="1" thickBot="1" x14ac:dyDescent="0.3">
      <c r="B98" s="13"/>
      <c r="C98" s="26"/>
      <c r="D98" s="26"/>
      <c r="E98" s="41" t="s">
        <v>47</v>
      </c>
      <c r="F98" s="255" t="s">
        <v>64</v>
      </c>
      <c r="G98" s="150">
        <v>2</v>
      </c>
      <c r="H98" s="107" t="s">
        <v>68</v>
      </c>
      <c r="I98" s="150">
        <v>0</v>
      </c>
      <c r="J98" s="150">
        <v>194</v>
      </c>
      <c r="K98" s="107" t="s">
        <v>13</v>
      </c>
      <c r="L98" s="17">
        <f>IF(J98="",0,(J98/J99)*100)</f>
        <v>75.193798449612402</v>
      </c>
      <c r="M98" s="150">
        <v>4</v>
      </c>
      <c r="N98" s="59">
        <v>0</v>
      </c>
      <c r="O98" s="58">
        <f>IF(M98=1,1,0)</f>
        <v>0</v>
      </c>
      <c r="P98" s="208">
        <f>IF(M98=2,1,0)</f>
        <v>0</v>
      </c>
      <c r="Q98" s="208">
        <f>IF(M98=3,1,0)</f>
        <v>0</v>
      </c>
      <c r="R98" s="10">
        <f>IF(M98=4,1,0)</f>
        <v>1</v>
      </c>
      <c r="S98" s="198"/>
      <c r="T98" s="26"/>
      <c r="U98" s="13"/>
    </row>
    <row r="99" spans="2:21" ht="20.100000000000001" hidden="1" customHeight="1" outlineLevel="1" x14ac:dyDescent="0.25">
      <c r="B99" s="13"/>
      <c r="C99" s="26"/>
      <c r="D99" s="68"/>
      <c r="E99" s="68"/>
      <c r="F99" s="553"/>
      <c r="G99" s="553"/>
      <c r="H99" s="26"/>
      <c r="I99" s="64" t="s">
        <v>29</v>
      </c>
      <c r="J99" s="23">
        <f>MAX(J95:J98)</f>
        <v>258</v>
      </c>
      <c r="K99" s="70"/>
      <c r="L99" s="69"/>
      <c r="M99" s="26"/>
      <c r="N99" s="63" t="s">
        <v>33</v>
      </c>
      <c r="O99" s="20">
        <f>SUM(O95:O98)</f>
        <v>1</v>
      </c>
      <c r="P99" s="21">
        <f>SUM(P95:P98)</f>
        <v>1</v>
      </c>
      <c r="Q99" s="20">
        <f>SUM(Q95:Q98)</f>
        <v>1</v>
      </c>
      <c r="R99" s="22">
        <f>SUM(R95:R98)</f>
        <v>1</v>
      </c>
      <c r="S99" s="69"/>
      <c r="T99" s="26"/>
      <c r="U99" s="13"/>
    </row>
    <row r="100" spans="2:21" ht="20.100000000000001" customHeight="1" collapsed="1" x14ac:dyDescent="0.25">
      <c r="B100" s="13"/>
      <c r="C100" s="26"/>
      <c r="D100" s="26"/>
      <c r="E100" s="26"/>
      <c r="F100" s="26"/>
      <c r="G100" s="26"/>
      <c r="H100" s="26"/>
      <c r="I100" s="26"/>
      <c r="J100" s="26"/>
      <c r="K100" s="26"/>
      <c r="L100" s="26"/>
      <c r="M100" s="26"/>
      <c r="N100" s="26"/>
      <c r="O100" s="26"/>
      <c r="P100" s="26"/>
      <c r="Q100" s="26"/>
      <c r="R100" s="26"/>
      <c r="S100" s="26"/>
      <c r="T100" s="26"/>
      <c r="U100" s="13"/>
    </row>
    <row r="101" spans="2:21" ht="20.100000000000001" customHeight="1" x14ac:dyDescent="0.25">
      <c r="B101" s="13"/>
      <c r="U101" s="13"/>
    </row>
    <row r="102" spans="2:21" ht="20.100000000000001" customHeight="1" thickBot="1" x14ac:dyDescent="0.3">
      <c r="B102" s="13"/>
      <c r="C102" s="27"/>
      <c r="D102" s="27"/>
      <c r="E102" s="554" t="str">
        <f>IF(OR(L89="-",L89= ""),H89,L89)</f>
        <v>Marco Polo II: Im Auftrag des Khan</v>
      </c>
      <c r="F102" s="554"/>
      <c r="G102" s="554"/>
      <c r="H102" s="554"/>
      <c r="I102" s="554"/>
      <c r="J102" s="554"/>
      <c r="K102" s="554"/>
      <c r="L102" s="554"/>
      <c r="M102" s="554"/>
      <c r="N102" s="554"/>
      <c r="O102" s="197"/>
      <c r="P102" s="197"/>
      <c r="Q102" s="197"/>
      <c r="R102" s="197"/>
      <c r="S102" s="197"/>
      <c r="T102" s="27"/>
      <c r="U102" s="13"/>
    </row>
    <row r="103" spans="2:21" ht="50.1" customHeight="1" thickBot="1" x14ac:dyDescent="0.3">
      <c r="B103" s="13"/>
      <c r="C103" s="27"/>
      <c r="D103" s="197"/>
      <c r="E103" s="88" t="s">
        <v>10</v>
      </c>
      <c r="F103" s="125" t="s">
        <v>52</v>
      </c>
      <c r="G103" s="89" t="s">
        <v>14</v>
      </c>
      <c r="H103" s="200" t="s">
        <v>51</v>
      </c>
      <c r="I103" s="18" t="s">
        <v>54</v>
      </c>
      <c r="J103" s="200" t="s">
        <v>53</v>
      </c>
      <c r="K103" s="206" t="s">
        <v>28</v>
      </c>
      <c r="L103" s="200" t="s">
        <v>37</v>
      </c>
      <c r="M103" s="204" t="s">
        <v>16</v>
      </c>
      <c r="N103" s="89" t="s">
        <v>15</v>
      </c>
      <c r="O103" s="5" t="s">
        <v>30</v>
      </c>
      <c r="P103" s="7" t="s">
        <v>34</v>
      </c>
      <c r="Q103" s="7" t="s">
        <v>31</v>
      </c>
      <c r="R103" s="19" t="s">
        <v>32</v>
      </c>
      <c r="S103" s="197"/>
      <c r="T103" s="27"/>
      <c r="U103" s="13"/>
    </row>
    <row r="104" spans="2:21" ht="20.100000000000001" customHeight="1" x14ac:dyDescent="0.25">
      <c r="B104" s="13"/>
      <c r="C104" s="27"/>
      <c r="D104" s="67"/>
      <c r="E104" s="39" t="s">
        <v>46</v>
      </c>
      <c r="F104" s="245" t="s">
        <v>6</v>
      </c>
      <c r="G104" s="49">
        <v>1</v>
      </c>
      <c r="H104" s="122" t="s">
        <v>180</v>
      </c>
      <c r="I104" s="49">
        <v>0</v>
      </c>
      <c r="J104" s="122">
        <v>146</v>
      </c>
      <c r="K104" s="238" t="s">
        <v>13</v>
      </c>
      <c r="L104" s="50">
        <f>IF(J104="",0,(J104/J108)*100)</f>
        <v>94.193548387096769</v>
      </c>
      <c r="M104" s="49">
        <v>2</v>
      </c>
      <c r="N104" s="61">
        <v>3</v>
      </c>
      <c r="O104" s="57">
        <f>IF(M104=1,1,0)</f>
        <v>0</v>
      </c>
      <c r="P104" s="209">
        <f>IF(M104=2,1,0)</f>
        <v>1</v>
      </c>
      <c r="Q104" s="209">
        <f>IF(M104=3,1,0)</f>
        <v>0</v>
      </c>
      <c r="R104" s="8">
        <f>IF(M104=4,1,0)</f>
        <v>0</v>
      </c>
      <c r="S104" s="203"/>
      <c r="T104" s="27"/>
      <c r="U104" s="13"/>
    </row>
    <row r="105" spans="2:21" ht="20.100000000000001" customHeight="1" x14ac:dyDescent="0.25">
      <c r="B105" s="13"/>
      <c r="C105" s="27"/>
      <c r="D105" s="27"/>
      <c r="E105" s="110" t="s">
        <v>90</v>
      </c>
      <c r="F105" s="273" t="s">
        <v>92</v>
      </c>
      <c r="G105" s="149">
        <v>4</v>
      </c>
      <c r="H105" s="123" t="s">
        <v>183</v>
      </c>
      <c r="I105" s="149">
        <v>0</v>
      </c>
      <c r="J105" s="123">
        <v>155</v>
      </c>
      <c r="K105" s="123" t="s">
        <v>13</v>
      </c>
      <c r="L105" s="38">
        <f>IF(J105="",0,(J105/J108)*100)</f>
        <v>100</v>
      </c>
      <c r="M105" s="149">
        <v>1</v>
      </c>
      <c r="N105" s="108">
        <v>6</v>
      </c>
      <c r="O105" s="205">
        <f>IF(M105=1,1,0)</f>
        <v>1</v>
      </c>
      <c r="P105" s="207">
        <f>IF(M105=2,1,0)</f>
        <v>0</v>
      </c>
      <c r="Q105" s="207">
        <f>IF(M105=3,1,0)</f>
        <v>0</v>
      </c>
      <c r="R105" s="9">
        <f>IF(M105=4,1,0)</f>
        <v>0</v>
      </c>
      <c r="S105" s="203"/>
      <c r="T105" s="27"/>
      <c r="U105" s="13"/>
    </row>
    <row r="106" spans="2:21" ht="20.100000000000001" customHeight="1" x14ac:dyDescent="0.25">
      <c r="B106" s="13"/>
      <c r="C106" s="27"/>
      <c r="D106" s="67"/>
      <c r="E106" s="40" t="s">
        <v>1</v>
      </c>
      <c r="F106" s="248" t="s">
        <v>11</v>
      </c>
      <c r="G106" s="47">
        <v>3</v>
      </c>
      <c r="H106" s="100" t="s">
        <v>182</v>
      </c>
      <c r="I106" s="47">
        <v>0</v>
      </c>
      <c r="J106" s="100">
        <v>136</v>
      </c>
      <c r="K106" s="239" t="s">
        <v>13</v>
      </c>
      <c r="L106" s="48">
        <f>IF(J106="",0,(J106/J108)*100)</f>
        <v>87.741935483870975</v>
      </c>
      <c r="M106" s="47">
        <v>3</v>
      </c>
      <c r="N106" s="60">
        <v>1</v>
      </c>
      <c r="O106" s="205">
        <f>IF(M106=1,1,0)</f>
        <v>0</v>
      </c>
      <c r="P106" s="207">
        <f>IF(M106=2,1,0)</f>
        <v>0</v>
      </c>
      <c r="Q106" s="207">
        <f>IF(M106=3,1,0)</f>
        <v>1</v>
      </c>
      <c r="R106" s="9">
        <f>IF(M106=4,1,0)</f>
        <v>0</v>
      </c>
      <c r="S106" s="203"/>
      <c r="T106" s="27"/>
      <c r="U106" s="13"/>
    </row>
    <row r="107" spans="2:21" ht="20.100000000000001" customHeight="1" thickBot="1" x14ac:dyDescent="0.3">
      <c r="B107" s="13"/>
      <c r="C107" s="27"/>
      <c r="D107" s="27"/>
      <c r="E107" s="41" t="s">
        <v>47</v>
      </c>
      <c r="F107" s="255" t="s">
        <v>64</v>
      </c>
      <c r="G107" s="150">
        <v>2</v>
      </c>
      <c r="H107" s="107" t="s">
        <v>181</v>
      </c>
      <c r="I107" s="150">
        <v>0</v>
      </c>
      <c r="J107" s="107">
        <v>66</v>
      </c>
      <c r="K107" s="107" t="s">
        <v>13</v>
      </c>
      <c r="L107" s="17">
        <f>IF(J107="",0,(J107/J108)*100)</f>
        <v>42.58064516129032</v>
      </c>
      <c r="M107" s="150">
        <v>4</v>
      </c>
      <c r="N107" s="59">
        <v>0</v>
      </c>
      <c r="O107" s="58">
        <f>IF(M107=1,1,0)</f>
        <v>0</v>
      </c>
      <c r="P107" s="208">
        <f>IF(M107=2,1,0)</f>
        <v>0</v>
      </c>
      <c r="Q107" s="208">
        <f>IF(M107=3,1,0)</f>
        <v>0</v>
      </c>
      <c r="R107" s="10">
        <f>IF(M107=4,1,0)</f>
        <v>1</v>
      </c>
      <c r="S107" s="203"/>
      <c r="T107" s="27"/>
      <c r="U107" s="13"/>
    </row>
    <row r="108" spans="2:21" ht="20.100000000000001" hidden="1" customHeight="1" outlineLevel="1" x14ac:dyDescent="0.25">
      <c r="B108" s="13"/>
      <c r="C108" s="27"/>
      <c r="D108" s="27"/>
      <c r="E108" s="27"/>
      <c r="F108" s="531"/>
      <c r="G108" s="531"/>
      <c r="H108" s="27"/>
      <c r="I108" s="64" t="s">
        <v>29</v>
      </c>
      <c r="J108" s="23">
        <f>MAX(J104:J107)</f>
        <v>155</v>
      </c>
      <c r="K108" s="75"/>
      <c r="L108" s="203"/>
      <c r="M108" s="27"/>
      <c r="N108" s="63" t="s">
        <v>33</v>
      </c>
      <c r="O108" s="20">
        <f>SUM(O104:O107)</f>
        <v>1</v>
      </c>
      <c r="P108" s="21">
        <f>SUM(P104:P107)</f>
        <v>1</v>
      </c>
      <c r="Q108" s="20">
        <f>SUM(Q104:Q107)</f>
        <v>1</v>
      </c>
      <c r="R108" s="22">
        <f>SUM(R104:R107)</f>
        <v>1</v>
      </c>
      <c r="S108" s="74"/>
      <c r="T108" s="27"/>
      <c r="U108" s="13"/>
    </row>
    <row r="109" spans="2:21" ht="20.100000000000001" customHeight="1" collapsed="1" x14ac:dyDescent="0.25">
      <c r="B109" s="13"/>
      <c r="C109" s="27"/>
      <c r="D109" s="27"/>
      <c r="E109" s="27"/>
      <c r="F109" s="27"/>
      <c r="G109" s="27"/>
      <c r="H109" s="27"/>
      <c r="I109" s="27"/>
      <c r="J109" s="27"/>
      <c r="K109" s="27"/>
      <c r="L109" s="27"/>
      <c r="M109" s="27"/>
      <c r="N109" s="27"/>
      <c r="O109" s="27"/>
      <c r="P109" s="27"/>
      <c r="Q109" s="27"/>
      <c r="R109" s="27"/>
      <c r="S109" s="27"/>
      <c r="T109" s="27"/>
      <c r="U109" s="13"/>
    </row>
    <row r="110" spans="2:21" ht="20.100000000000001" customHeight="1" x14ac:dyDescent="0.25">
      <c r="B110" s="13"/>
      <c r="D110" s="28"/>
      <c r="E110" s="28"/>
      <c r="F110" s="28"/>
      <c r="G110" s="28"/>
      <c r="H110" s="29"/>
      <c r="I110" s="28"/>
      <c r="J110" s="28"/>
      <c r="U110" s="13"/>
    </row>
    <row r="111" spans="2:21" ht="20.100000000000001" customHeight="1" thickBot="1" x14ac:dyDescent="0.3">
      <c r="B111" s="13"/>
      <c r="C111" s="30"/>
      <c r="D111" s="30"/>
      <c r="E111" s="532" t="str">
        <f>IF(OR(L90="-",L90= ""),H90,L90)</f>
        <v>Orakel von Delphi</v>
      </c>
      <c r="F111" s="532"/>
      <c r="G111" s="532"/>
      <c r="H111" s="532"/>
      <c r="I111" s="532"/>
      <c r="J111" s="532"/>
      <c r="K111" s="532"/>
      <c r="L111" s="532"/>
      <c r="M111" s="532"/>
      <c r="N111" s="532"/>
      <c r="O111" s="196"/>
      <c r="P111" s="196"/>
      <c r="Q111" s="196"/>
      <c r="R111" s="196"/>
      <c r="S111" s="196"/>
      <c r="T111" s="30"/>
      <c r="U111" s="14"/>
    </row>
    <row r="112" spans="2:21" ht="50.1" customHeight="1" thickBot="1" x14ac:dyDescent="0.3">
      <c r="B112" s="13"/>
      <c r="C112" s="30"/>
      <c r="D112" s="196"/>
      <c r="E112" s="88" t="s">
        <v>10</v>
      </c>
      <c r="F112" s="125" t="s">
        <v>52</v>
      </c>
      <c r="G112" s="89" t="s">
        <v>14</v>
      </c>
      <c r="H112" s="200" t="s">
        <v>51</v>
      </c>
      <c r="I112" s="18" t="s">
        <v>54</v>
      </c>
      <c r="J112" s="200" t="s">
        <v>53</v>
      </c>
      <c r="K112" s="206" t="s">
        <v>28</v>
      </c>
      <c r="L112" s="200" t="s">
        <v>37</v>
      </c>
      <c r="M112" s="204" t="s">
        <v>16</v>
      </c>
      <c r="N112" s="89" t="s">
        <v>15</v>
      </c>
      <c r="O112" s="5" t="s">
        <v>30</v>
      </c>
      <c r="P112" s="7" t="s">
        <v>34</v>
      </c>
      <c r="Q112" s="7" t="s">
        <v>31</v>
      </c>
      <c r="R112" s="19" t="s">
        <v>32</v>
      </c>
      <c r="S112" s="196"/>
      <c r="T112" s="30"/>
      <c r="U112" s="14"/>
    </row>
    <row r="113" spans="2:21" ht="42" customHeight="1" x14ac:dyDescent="0.25">
      <c r="B113" s="13"/>
      <c r="C113" s="30"/>
      <c r="D113" s="66"/>
      <c r="E113" s="35" t="s">
        <v>46</v>
      </c>
      <c r="F113" s="277" t="s">
        <v>6</v>
      </c>
      <c r="G113" s="157">
        <v>3</v>
      </c>
      <c r="H113" s="103" t="s">
        <v>272</v>
      </c>
      <c r="I113" s="157" t="s">
        <v>13</v>
      </c>
      <c r="J113" s="103" t="s">
        <v>120</v>
      </c>
      <c r="K113" s="36" t="s">
        <v>13</v>
      </c>
      <c r="L113" s="36">
        <v>100</v>
      </c>
      <c r="M113" s="157">
        <v>1</v>
      </c>
      <c r="N113" s="99">
        <v>6</v>
      </c>
      <c r="O113" s="57">
        <f>IF(M113=1,1,0)</f>
        <v>1</v>
      </c>
      <c r="P113" s="209">
        <f>IF(M113=2,1,0)</f>
        <v>0</v>
      </c>
      <c r="Q113" s="209">
        <f>IF(M113=3,1,0)</f>
        <v>0</v>
      </c>
      <c r="R113" s="8">
        <f>IF(M113=4,1,0)</f>
        <v>0</v>
      </c>
      <c r="S113" s="194"/>
      <c r="T113" s="30"/>
      <c r="U113" s="13"/>
    </row>
    <row r="114" spans="2:21" ht="42" customHeight="1" x14ac:dyDescent="0.25">
      <c r="B114" s="13"/>
      <c r="C114" s="30"/>
      <c r="D114" s="30"/>
      <c r="E114" s="96" t="s">
        <v>90</v>
      </c>
      <c r="F114" s="247" t="s">
        <v>91</v>
      </c>
      <c r="G114" s="47">
        <v>2</v>
      </c>
      <c r="H114" s="100" t="s">
        <v>273</v>
      </c>
      <c r="I114" s="47" t="s">
        <v>13</v>
      </c>
      <c r="J114" s="100" t="s">
        <v>122</v>
      </c>
      <c r="K114" s="276" t="s">
        <v>150</v>
      </c>
      <c r="L114" s="276">
        <f>(L97+L104+L125)/3</f>
        <v>94.034738843441005</v>
      </c>
      <c r="M114" s="47">
        <v>2</v>
      </c>
      <c r="N114" s="60">
        <v>3</v>
      </c>
      <c r="O114" s="205">
        <f>IF(M114=1,1,0)</f>
        <v>0</v>
      </c>
      <c r="P114" s="207">
        <f>IF(M114=2,1,0)</f>
        <v>1</v>
      </c>
      <c r="Q114" s="207">
        <f>IF(M114=3,1,0)</f>
        <v>0</v>
      </c>
      <c r="R114" s="9">
        <f>IF(M114=4,1,0)</f>
        <v>0</v>
      </c>
      <c r="S114" s="194"/>
      <c r="T114" s="30"/>
      <c r="U114" s="31"/>
    </row>
    <row r="115" spans="2:21" ht="42" customHeight="1" x14ac:dyDescent="0.25">
      <c r="B115" s="13"/>
      <c r="C115" s="30"/>
      <c r="D115" s="30"/>
      <c r="E115" s="40" t="s">
        <v>1</v>
      </c>
      <c r="F115" s="248" t="s">
        <v>11</v>
      </c>
      <c r="G115" s="47">
        <v>4</v>
      </c>
      <c r="H115" s="100" t="s">
        <v>276</v>
      </c>
      <c r="I115" s="47" t="s">
        <v>13</v>
      </c>
      <c r="J115" s="100" t="s">
        <v>122</v>
      </c>
      <c r="K115" s="276" t="s">
        <v>151</v>
      </c>
      <c r="L115" s="276">
        <f>(L96+L106+L124)/3</f>
        <v>85.31351091741189</v>
      </c>
      <c r="M115" s="47">
        <v>3</v>
      </c>
      <c r="N115" s="60">
        <v>1</v>
      </c>
      <c r="O115" s="205">
        <f>IF(M115=1,1,0)</f>
        <v>0</v>
      </c>
      <c r="P115" s="207">
        <f>IF(M115=2,1,0)</f>
        <v>0</v>
      </c>
      <c r="Q115" s="207">
        <f>IF(M115=3,1,0)</f>
        <v>1</v>
      </c>
      <c r="R115" s="9">
        <f>IF(M115=4,1,0)</f>
        <v>0</v>
      </c>
      <c r="S115" s="194"/>
      <c r="T115" s="30"/>
      <c r="U115" s="31"/>
    </row>
    <row r="116" spans="2:21" ht="42" customHeight="1" thickBot="1" x14ac:dyDescent="0.3">
      <c r="B116" s="13"/>
      <c r="C116" s="30"/>
      <c r="D116" s="30"/>
      <c r="E116" s="41" t="s">
        <v>47</v>
      </c>
      <c r="F116" s="255" t="s">
        <v>64</v>
      </c>
      <c r="G116" s="150">
        <v>1</v>
      </c>
      <c r="H116" s="107" t="s">
        <v>278</v>
      </c>
      <c r="I116" s="150" t="s">
        <v>13</v>
      </c>
      <c r="J116" s="107" t="s">
        <v>121</v>
      </c>
      <c r="K116" s="17" t="s">
        <v>13</v>
      </c>
      <c r="L116" s="17">
        <f>(L98+L107+L123)/3</f>
        <v>65.184073796226826</v>
      </c>
      <c r="M116" s="150">
        <v>4</v>
      </c>
      <c r="N116" s="59">
        <v>0</v>
      </c>
      <c r="O116" s="58">
        <f>IF(M116=1,1,0)</f>
        <v>0</v>
      </c>
      <c r="P116" s="208">
        <f>IF(M116=2,1,0)</f>
        <v>0</v>
      </c>
      <c r="Q116" s="208">
        <f>IF(M116=3,1,0)</f>
        <v>0</v>
      </c>
      <c r="R116" s="10">
        <f>IF(M116=4,1,0)</f>
        <v>1</v>
      </c>
      <c r="S116" s="194"/>
      <c r="T116" s="30"/>
      <c r="U116" s="31"/>
    </row>
    <row r="117" spans="2:21" ht="20.100000000000001" hidden="1" customHeight="1" outlineLevel="1" thickBot="1" x14ac:dyDescent="0.3">
      <c r="B117" s="13"/>
      <c r="C117" s="30"/>
      <c r="D117" s="30"/>
      <c r="E117" s="30"/>
      <c r="F117" s="533"/>
      <c r="G117" s="533"/>
      <c r="H117" s="30"/>
      <c r="I117" s="64" t="s">
        <v>29</v>
      </c>
      <c r="J117" s="23">
        <f>MAX(J113:J116)</f>
        <v>0</v>
      </c>
      <c r="K117" s="76"/>
      <c r="L117" s="194"/>
      <c r="M117" s="30"/>
      <c r="N117" s="63" t="s">
        <v>33</v>
      </c>
      <c r="O117" s="20">
        <f>SUM(O113:O116)</f>
        <v>1</v>
      </c>
      <c r="P117" s="21">
        <f>SUM(P113:P116)</f>
        <v>1</v>
      </c>
      <c r="Q117" s="20">
        <f>SUM(Q113:Q116)</f>
        <v>1</v>
      </c>
      <c r="R117" s="22">
        <f>SUM(R113:R116)</f>
        <v>1</v>
      </c>
      <c r="S117" s="77"/>
      <c r="T117" s="30"/>
      <c r="U117" s="31"/>
    </row>
    <row r="118" spans="2:21" ht="20.100000000000001" customHeight="1" collapsed="1" x14ac:dyDescent="0.25">
      <c r="B118" s="13"/>
      <c r="C118" s="30"/>
      <c r="D118" s="30"/>
      <c r="E118" s="30"/>
      <c r="F118" s="30"/>
      <c r="G118" s="30"/>
      <c r="H118" s="30"/>
      <c r="I118" s="30"/>
      <c r="J118" s="30"/>
      <c r="K118" s="30"/>
      <c r="L118" s="30"/>
      <c r="M118" s="30"/>
      <c r="N118" s="30"/>
      <c r="O118" s="30"/>
      <c r="P118" s="30"/>
      <c r="Q118" s="30"/>
      <c r="R118" s="30"/>
      <c r="S118" s="30"/>
      <c r="T118" s="30"/>
      <c r="U118" s="31"/>
    </row>
    <row r="119" spans="2:21" ht="20.100000000000001" customHeight="1" x14ac:dyDescent="0.25">
      <c r="B119" s="13"/>
      <c r="D119" s="28"/>
      <c r="E119" s="28"/>
      <c r="F119" s="28"/>
      <c r="G119" s="28"/>
      <c r="H119" s="29"/>
      <c r="I119" s="28"/>
      <c r="J119" s="28"/>
      <c r="K119" s="28"/>
      <c r="U119" s="13"/>
    </row>
    <row r="120" spans="2:21" ht="20.100000000000001" customHeight="1" thickBot="1" x14ac:dyDescent="0.3">
      <c r="B120" s="13"/>
      <c r="C120" s="32"/>
      <c r="D120" s="32"/>
      <c r="E120" s="534" t="str">
        <f>IF(OR(L91="-",L91= ""),H91,L91)</f>
        <v>Rajas of the Ganges</v>
      </c>
      <c r="F120" s="534"/>
      <c r="G120" s="534"/>
      <c r="H120" s="534"/>
      <c r="I120" s="534"/>
      <c r="J120" s="534"/>
      <c r="K120" s="534"/>
      <c r="L120" s="534"/>
      <c r="M120" s="534"/>
      <c r="N120" s="534"/>
      <c r="O120" s="195"/>
      <c r="P120" s="195"/>
      <c r="Q120" s="195"/>
      <c r="R120" s="195"/>
      <c r="S120" s="195"/>
      <c r="T120" s="32"/>
      <c r="U120" s="13"/>
    </row>
    <row r="121" spans="2:21" ht="50.1" customHeight="1" thickBot="1" x14ac:dyDescent="0.3">
      <c r="B121" s="13"/>
      <c r="C121" s="32"/>
      <c r="D121" s="195"/>
      <c r="E121" s="88" t="s">
        <v>10</v>
      </c>
      <c r="F121" s="125" t="s">
        <v>52</v>
      </c>
      <c r="G121" s="89" t="s">
        <v>14</v>
      </c>
      <c r="H121" s="200" t="s">
        <v>51</v>
      </c>
      <c r="I121" s="18" t="s">
        <v>54</v>
      </c>
      <c r="J121" s="200" t="s">
        <v>53</v>
      </c>
      <c r="K121" s="206" t="s">
        <v>28</v>
      </c>
      <c r="L121" s="200" t="s">
        <v>37</v>
      </c>
      <c r="M121" s="204" t="s">
        <v>16</v>
      </c>
      <c r="N121" s="89" t="s">
        <v>15</v>
      </c>
      <c r="O121" s="5" t="s">
        <v>30</v>
      </c>
      <c r="P121" s="7" t="s">
        <v>34</v>
      </c>
      <c r="Q121" s="7" t="s">
        <v>31</v>
      </c>
      <c r="R121" s="19" t="s">
        <v>32</v>
      </c>
      <c r="S121" s="195"/>
      <c r="T121" s="32"/>
      <c r="U121" s="13"/>
    </row>
    <row r="122" spans="2:21" ht="20.100000000000001" customHeight="1" x14ac:dyDescent="0.25">
      <c r="B122" s="13"/>
      <c r="C122" s="32"/>
      <c r="D122" s="32"/>
      <c r="E122" s="35" t="s">
        <v>46</v>
      </c>
      <c r="F122" s="277" t="s">
        <v>6</v>
      </c>
      <c r="G122" s="157">
        <v>1</v>
      </c>
      <c r="H122" s="157" t="s">
        <v>13</v>
      </c>
      <c r="I122" s="157">
        <v>-59</v>
      </c>
      <c r="J122" s="157">
        <v>5</v>
      </c>
      <c r="K122" s="157" t="s">
        <v>13</v>
      </c>
      <c r="L122" s="36">
        <f>($I$124-J122)/($I$124-$J$122)*100</f>
        <v>100</v>
      </c>
      <c r="M122" s="157">
        <v>1</v>
      </c>
      <c r="N122" s="99">
        <v>6</v>
      </c>
      <c r="O122" s="57">
        <f>IF(M122=1,1,0)</f>
        <v>1</v>
      </c>
      <c r="P122" s="209">
        <f>IF(M122=2,1,0)</f>
        <v>0</v>
      </c>
      <c r="Q122" s="209">
        <f>IF(M122=3,1,0)</f>
        <v>0</v>
      </c>
      <c r="R122" s="8">
        <f>IF(M122=4,1,0)</f>
        <v>0</v>
      </c>
      <c r="S122" s="201"/>
      <c r="T122" s="32"/>
      <c r="U122" s="13"/>
    </row>
    <row r="123" spans="2:21" ht="20.100000000000001" customHeight="1" x14ac:dyDescent="0.25">
      <c r="B123" s="13"/>
      <c r="C123" s="32"/>
      <c r="D123" s="32"/>
      <c r="E123" s="96" t="s">
        <v>90</v>
      </c>
      <c r="F123" s="247" t="s">
        <v>91</v>
      </c>
      <c r="G123" s="47">
        <v>2</v>
      </c>
      <c r="H123" s="47" t="s">
        <v>13</v>
      </c>
      <c r="I123" s="47">
        <v>-59</v>
      </c>
      <c r="J123" s="47">
        <v>-9</v>
      </c>
      <c r="K123" s="100" t="s">
        <v>13</v>
      </c>
      <c r="L123" s="48">
        <f>($I$124-J123)/($I$124-$J$122)*100</f>
        <v>77.777777777777786</v>
      </c>
      <c r="M123" s="47">
        <v>4</v>
      </c>
      <c r="N123" s="60">
        <v>0</v>
      </c>
      <c r="O123" s="205">
        <f>IF(M123=1,1,0)</f>
        <v>0</v>
      </c>
      <c r="P123" s="207">
        <f>IF(M123=2,1,0)</f>
        <v>0</v>
      </c>
      <c r="Q123" s="207">
        <f>IF(M123=3,1,0)</f>
        <v>0</v>
      </c>
      <c r="R123" s="9">
        <f>IF(M123=4,1,0)</f>
        <v>1</v>
      </c>
      <c r="S123" s="201"/>
      <c r="T123" s="32"/>
      <c r="U123" s="13"/>
    </row>
    <row r="124" spans="2:21" ht="20.100000000000001" customHeight="1" x14ac:dyDescent="0.25">
      <c r="B124" s="13"/>
      <c r="C124" s="32"/>
      <c r="D124" s="32"/>
      <c r="E124" s="40" t="s">
        <v>1</v>
      </c>
      <c r="F124" s="248" t="s">
        <v>11</v>
      </c>
      <c r="G124" s="47">
        <v>4</v>
      </c>
      <c r="H124" s="47" t="s">
        <v>13</v>
      </c>
      <c r="I124" s="47">
        <v>-58</v>
      </c>
      <c r="J124" s="47">
        <v>-6</v>
      </c>
      <c r="K124" s="47" t="s">
        <v>13</v>
      </c>
      <c r="L124" s="48">
        <f>($I$124-J124)/($I$124-$J$122)*100</f>
        <v>82.539682539682531</v>
      </c>
      <c r="M124" s="47">
        <v>3</v>
      </c>
      <c r="N124" s="60">
        <v>1</v>
      </c>
      <c r="O124" s="205">
        <f>IF(M124=1,1,0)</f>
        <v>0</v>
      </c>
      <c r="P124" s="207">
        <f>IF(M124=2,1,0)</f>
        <v>0</v>
      </c>
      <c r="Q124" s="207">
        <f>IF(M124=3,1,0)</f>
        <v>1</v>
      </c>
      <c r="R124" s="9">
        <f>IF(M124=4,1,0)</f>
        <v>0</v>
      </c>
      <c r="S124" s="201"/>
      <c r="T124" s="32"/>
      <c r="U124" s="13"/>
    </row>
    <row r="125" spans="2:21" ht="20.100000000000001" customHeight="1" thickBot="1" x14ac:dyDescent="0.3">
      <c r="B125" s="13"/>
      <c r="C125" s="32"/>
      <c r="D125" s="65"/>
      <c r="E125" s="41" t="s">
        <v>47</v>
      </c>
      <c r="F125" s="255" t="s">
        <v>64</v>
      </c>
      <c r="G125" s="150">
        <v>3</v>
      </c>
      <c r="H125" s="150" t="s">
        <v>13</v>
      </c>
      <c r="I125" s="150">
        <v>-58</v>
      </c>
      <c r="J125" s="150">
        <v>3</v>
      </c>
      <c r="K125" s="107" t="s">
        <v>13</v>
      </c>
      <c r="L125" s="17">
        <f>($I$124-J125)/($I$124-$J$122)*100</f>
        <v>96.825396825396822</v>
      </c>
      <c r="M125" s="150">
        <v>2</v>
      </c>
      <c r="N125" s="59">
        <v>3</v>
      </c>
      <c r="O125" s="58">
        <f>IF(M125=1,1,0)</f>
        <v>0</v>
      </c>
      <c r="P125" s="208">
        <f>IF(M125=2,1,0)</f>
        <v>1</v>
      </c>
      <c r="Q125" s="208">
        <f>IF(M125=3,1,0)</f>
        <v>0</v>
      </c>
      <c r="R125" s="10">
        <f>IF(M125=4,1,0)</f>
        <v>0</v>
      </c>
      <c r="S125" s="201"/>
      <c r="T125" s="32"/>
      <c r="U125" s="13"/>
    </row>
    <row r="126" spans="2:21" ht="20.100000000000001" hidden="1" customHeight="1" outlineLevel="1" x14ac:dyDescent="0.3">
      <c r="B126" s="13"/>
      <c r="C126" s="32"/>
      <c r="D126" s="32"/>
      <c r="E126" s="32"/>
      <c r="F126" s="535"/>
      <c r="G126" s="535"/>
      <c r="H126" s="32"/>
      <c r="I126" s="64" t="s">
        <v>29</v>
      </c>
      <c r="J126" s="23">
        <f>MAX(J122:J125)</f>
        <v>5</v>
      </c>
      <c r="K126" s="78"/>
      <c r="L126" s="201"/>
      <c r="M126" s="32"/>
      <c r="N126" s="63" t="s">
        <v>33</v>
      </c>
      <c r="O126" s="20">
        <f>SUM(O122:O125)</f>
        <v>1</v>
      </c>
      <c r="P126" s="21">
        <f>SUM(P122:P125)</f>
        <v>1</v>
      </c>
      <c r="Q126" s="20">
        <f>SUM(Q122:Q125)</f>
        <v>1</v>
      </c>
      <c r="R126" s="22">
        <f>SUM(R122:R125)</f>
        <v>1</v>
      </c>
      <c r="S126" s="79"/>
      <c r="T126" s="32"/>
      <c r="U126" s="13"/>
    </row>
    <row r="127" spans="2:21" ht="20.100000000000001" customHeight="1" collapsed="1" x14ac:dyDescent="0.25">
      <c r="B127" s="13"/>
      <c r="C127" s="32"/>
      <c r="D127" s="32"/>
      <c r="E127" s="32"/>
      <c r="F127" s="32"/>
      <c r="G127" s="32"/>
      <c r="H127" s="32"/>
      <c r="I127" s="32"/>
      <c r="J127" s="32"/>
      <c r="K127" s="32"/>
      <c r="L127" s="32"/>
      <c r="M127" s="32"/>
      <c r="N127" s="32"/>
      <c r="O127" s="32"/>
      <c r="P127" s="32"/>
      <c r="Q127" s="32"/>
      <c r="R127" s="32"/>
      <c r="S127" s="32"/>
      <c r="T127" s="32"/>
      <c r="U127" s="13"/>
    </row>
    <row r="128" spans="2:21" ht="20.100000000000001" customHeight="1" x14ac:dyDescent="0.25">
      <c r="B128" s="13"/>
      <c r="D128" s="4"/>
      <c r="E128" s="4"/>
      <c r="F128" s="4"/>
      <c r="G128" s="4"/>
      <c r="H128" s="4"/>
      <c r="I128" s="4"/>
      <c r="J128" s="4"/>
      <c r="U128" s="13"/>
    </row>
    <row r="129" spans="2:31" ht="30" customHeight="1" thickBot="1" x14ac:dyDescent="0.3">
      <c r="B129" s="13"/>
      <c r="C129" s="33"/>
      <c r="D129" s="536" t="s">
        <v>48</v>
      </c>
      <c r="E129" s="536"/>
      <c r="F129" s="536"/>
      <c r="G129" s="536"/>
      <c r="H129" s="536"/>
      <c r="I129" s="536"/>
      <c r="J129" s="536"/>
      <c r="K129" s="536"/>
      <c r="L129" s="536"/>
      <c r="M129" s="536"/>
      <c r="N129" s="536"/>
      <c r="O129" s="536"/>
      <c r="P129" s="536"/>
      <c r="Q129" s="536"/>
      <c r="R129" s="536"/>
      <c r="S129" s="536"/>
      <c r="T129" s="33"/>
      <c r="U129" s="13"/>
    </row>
    <row r="130" spans="2:31" ht="50.1" customHeight="1" thickBot="1" x14ac:dyDescent="0.3">
      <c r="B130" s="13"/>
      <c r="C130" s="33"/>
      <c r="D130" s="90" t="s">
        <v>10</v>
      </c>
      <c r="E130" s="93" t="s">
        <v>139</v>
      </c>
      <c r="F130" s="91" t="s">
        <v>15</v>
      </c>
      <c r="G130" s="42" t="s">
        <v>55</v>
      </c>
      <c r="H130" s="537" t="s">
        <v>56</v>
      </c>
      <c r="I130" s="538"/>
      <c r="J130" s="202" t="s">
        <v>66</v>
      </c>
      <c r="K130" s="92" t="s">
        <v>17</v>
      </c>
      <c r="L130" s="91" t="s">
        <v>18</v>
      </c>
      <c r="M130" s="92" t="s">
        <v>19</v>
      </c>
      <c r="N130" s="91" t="s">
        <v>20</v>
      </c>
      <c r="O130" s="130"/>
      <c r="P130" s="126"/>
      <c r="Q130" s="126"/>
      <c r="R130" s="126"/>
      <c r="S130" s="93" t="s">
        <v>38</v>
      </c>
      <c r="T130" s="33"/>
      <c r="U130" s="13"/>
    </row>
    <row r="131" spans="2:31" ht="20.100000000000001" customHeight="1" x14ac:dyDescent="0.25">
      <c r="B131" s="13"/>
      <c r="C131" s="33"/>
      <c r="D131" s="131" t="s">
        <v>46</v>
      </c>
      <c r="E131" s="221" t="s">
        <v>6</v>
      </c>
      <c r="F131" s="133">
        <f>K131*6+L131*3+M131*1+N131*0</f>
        <v>21</v>
      </c>
      <c r="G131" s="262">
        <v>0</v>
      </c>
      <c r="H131" s="539" t="s">
        <v>13</v>
      </c>
      <c r="I131" s="539"/>
      <c r="J131" s="133">
        <f>F131+G131</f>
        <v>21</v>
      </c>
      <c r="K131" s="133">
        <v>3</v>
      </c>
      <c r="L131" s="133">
        <v>1</v>
      </c>
      <c r="M131" s="133">
        <v>0</v>
      </c>
      <c r="N131" s="133">
        <v>0</v>
      </c>
      <c r="O131" s="152"/>
      <c r="P131" s="262"/>
      <c r="Q131" s="262"/>
      <c r="R131" s="262"/>
      <c r="S131" s="134">
        <f>(L95+L104+L113+L122)/4</f>
        <v>98.548387096774192</v>
      </c>
      <c r="T131" s="33"/>
      <c r="U131" s="13"/>
    </row>
    <row r="132" spans="2:31" ht="20.100000000000001" customHeight="1" x14ac:dyDescent="0.25">
      <c r="B132" s="13"/>
      <c r="C132" s="33"/>
      <c r="D132" s="155" t="s">
        <v>90</v>
      </c>
      <c r="E132" s="274" t="s">
        <v>91</v>
      </c>
      <c r="F132" s="52">
        <f>K132*6+L132*3+M132*1+N132*0</f>
        <v>10</v>
      </c>
      <c r="G132" s="263">
        <v>0</v>
      </c>
      <c r="H132" s="529" t="s">
        <v>13</v>
      </c>
      <c r="I132" s="529"/>
      <c r="J132" s="52">
        <f>F132+G132</f>
        <v>10</v>
      </c>
      <c r="K132" s="52">
        <v>1</v>
      </c>
      <c r="L132" s="52">
        <v>1</v>
      </c>
      <c r="M132" s="52">
        <v>1</v>
      </c>
      <c r="N132" s="52">
        <v>1</v>
      </c>
      <c r="O132" s="151"/>
      <c r="P132" s="263"/>
      <c r="Q132" s="263"/>
      <c r="R132" s="263"/>
      <c r="S132" s="104">
        <f>(L96+L105+L114+L123)/4</f>
        <v>89.367857837475228</v>
      </c>
      <c r="T132" s="33"/>
      <c r="U132" s="13"/>
      <c r="Y132" s="610"/>
      <c r="Z132" s="610"/>
      <c r="AA132" s="43"/>
      <c r="AB132" s="43"/>
      <c r="AC132" s="44"/>
      <c r="AD132" s="44"/>
      <c r="AE132" s="44"/>
    </row>
    <row r="133" spans="2:31" ht="20.100000000000001" customHeight="1" x14ac:dyDescent="0.25">
      <c r="B133" s="13"/>
      <c r="C133" s="33"/>
      <c r="D133" s="51" t="s">
        <v>1</v>
      </c>
      <c r="E133" s="278" t="s">
        <v>11</v>
      </c>
      <c r="F133" s="52">
        <f>K133*6+L133*3+M133*1+N133*0</f>
        <v>6</v>
      </c>
      <c r="G133" s="263">
        <v>0</v>
      </c>
      <c r="H133" s="529" t="s">
        <v>13</v>
      </c>
      <c r="I133" s="529"/>
      <c r="J133" s="52">
        <f>F133+G133</f>
        <v>6</v>
      </c>
      <c r="K133" s="52">
        <v>0</v>
      </c>
      <c r="L133" s="52">
        <v>1</v>
      </c>
      <c r="M133" s="52">
        <v>3</v>
      </c>
      <c r="N133" s="52">
        <v>1</v>
      </c>
      <c r="O133" s="151"/>
      <c r="P133" s="263"/>
      <c r="Q133" s="263"/>
      <c r="R133" s="263"/>
      <c r="S133" s="104">
        <f>(L97+L106+L115+L124)/4</f>
        <v>86.670100064698715</v>
      </c>
      <c r="T133" s="33"/>
      <c r="U133" s="13"/>
    </row>
    <row r="134" spans="2:31" ht="20.100000000000001" customHeight="1" thickBot="1" x14ac:dyDescent="0.3">
      <c r="B134" s="13"/>
      <c r="C134" s="33"/>
      <c r="D134" s="105" t="s">
        <v>47</v>
      </c>
      <c r="E134" s="275" t="s">
        <v>64</v>
      </c>
      <c r="F134" s="109">
        <f>K134*6+L134*3+M134*1+N134*0</f>
        <v>3</v>
      </c>
      <c r="G134" s="264">
        <v>0</v>
      </c>
      <c r="H134" s="530" t="s">
        <v>13</v>
      </c>
      <c r="I134" s="530"/>
      <c r="J134" s="109">
        <f>F134+G134</f>
        <v>3</v>
      </c>
      <c r="K134" s="109">
        <v>0</v>
      </c>
      <c r="L134" s="109">
        <v>1</v>
      </c>
      <c r="M134" s="109">
        <v>0</v>
      </c>
      <c r="N134" s="109">
        <v>3</v>
      </c>
      <c r="O134" s="153"/>
      <c r="P134" s="264"/>
      <c r="Q134" s="264"/>
      <c r="R134" s="264"/>
      <c r="S134" s="106">
        <f>(L98++L107+L116+L125)/4</f>
        <v>69.945978558131586</v>
      </c>
      <c r="T134" s="33"/>
      <c r="U134" s="13"/>
    </row>
    <row r="135" spans="2:31" ht="20.100000000000001" customHeight="1" x14ac:dyDescent="0.25">
      <c r="B135" s="13"/>
      <c r="C135" s="33"/>
      <c r="D135" s="33"/>
      <c r="E135" s="33"/>
      <c r="F135" s="16"/>
      <c r="G135" s="16"/>
      <c r="H135" s="16"/>
      <c r="I135" s="16"/>
      <c r="J135" s="16"/>
      <c r="K135" s="16"/>
      <c r="L135" s="16"/>
      <c r="M135" s="16"/>
      <c r="N135" s="16"/>
      <c r="O135" s="16"/>
      <c r="P135" s="16"/>
      <c r="Q135" s="16"/>
      <c r="R135" s="16"/>
      <c r="S135" s="16"/>
      <c r="T135" s="33"/>
      <c r="U135" s="13"/>
    </row>
    <row r="136" spans="2:31" ht="20.100000000000001" customHeight="1" x14ac:dyDescent="0.25">
      <c r="B136" s="13"/>
      <c r="C136" s="13"/>
      <c r="D136" s="15"/>
      <c r="E136" s="15"/>
      <c r="F136" s="14"/>
      <c r="G136" s="14"/>
      <c r="H136" s="15"/>
      <c r="I136" s="15"/>
      <c r="J136" s="15"/>
      <c r="K136" s="13"/>
      <c r="L136" s="13"/>
      <c r="M136" s="13"/>
      <c r="N136" s="13"/>
      <c r="O136" s="13"/>
      <c r="P136" s="13"/>
      <c r="Q136" s="13"/>
      <c r="R136" s="13"/>
      <c r="S136" s="13"/>
      <c r="T136" s="13"/>
      <c r="U136" s="13"/>
    </row>
    <row r="137" spans="2:31" ht="20.100000000000001" customHeight="1" x14ac:dyDescent="0.25"/>
    <row r="138" spans="2:31" ht="20.100000000000001" customHeight="1" x14ac:dyDescent="0.25"/>
    <row r="139" spans="2:31" ht="20.100000000000001" customHeight="1" x14ac:dyDescent="0.25">
      <c r="B139" s="13"/>
      <c r="C139" s="13"/>
      <c r="D139" s="25"/>
      <c r="E139" s="25"/>
      <c r="F139" s="25"/>
      <c r="G139" s="25"/>
      <c r="H139" s="13"/>
      <c r="I139" s="13"/>
      <c r="J139" s="13"/>
      <c r="K139" s="13"/>
      <c r="L139" s="13"/>
      <c r="M139" s="13"/>
      <c r="N139" s="13"/>
      <c r="O139" s="13"/>
      <c r="P139" s="13"/>
      <c r="Q139" s="13"/>
      <c r="R139" s="13"/>
      <c r="S139" s="13"/>
      <c r="T139" s="13"/>
      <c r="U139" s="13"/>
    </row>
    <row r="140" spans="2:31" ht="30" customHeight="1" x14ac:dyDescent="0.25">
      <c r="B140" s="13"/>
      <c r="C140" s="555" t="s">
        <v>72</v>
      </c>
      <c r="D140" s="555"/>
      <c r="E140" s="555"/>
      <c r="F140" s="555"/>
      <c r="G140" s="555"/>
      <c r="H140" s="555"/>
      <c r="I140" s="555"/>
      <c r="J140" s="555"/>
      <c r="K140" s="555"/>
      <c r="L140" s="555"/>
      <c r="M140" s="555"/>
      <c r="N140" s="555"/>
      <c r="O140" s="555"/>
      <c r="P140" s="555"/>
      <c r="Q140" s="555"/>
      <c r="R140" s="555"/>
      <c r="S140" s="555"/>
      <c r="T140" s="555"/>
      <c r="U140" s="13"/>
    </row>
    <row r="141" spans="2:31" ht="20.100000000000001" customHeight="1" thickBot="1" x14ac:dyDescent="0.3">
      <c r="B141" s="13"/>
      <c r="U141" s="13"/>
    </row>
    <row r="142" spans="2:31" ht="20.100000000000001" customHeight="1" thickBot="1" x14ac:dyDescent="0.3">
      <c r="B142" s="13"/>
      <c r="D142" s="556" t="s">
        <v>10</v>
      </c>
      <c r="E142" s="558" t="s">
        <v>67</v>
      </c>
      <c r="F142" s="560" t="s">
        <v>22</v>
      </c>
      <c r="G142" s="561" t="s">
        <v>42</v>
      </c>
      <c r="H142" s="561"/>
      <c r="I142" s="561"/>
      <c r="J142" s="562"/>
      <c r="K142" s="200" t="s">
        <v>36</v>
      </c>
      <c r="L142" s="563" t="s">
        <v>27</v>
      </c>
      <c r="M142" s="561"/>
      <c r="N142" s="561"/>
      <c r="O142" s="561"/>
      <c r="P142" s="561"/>
      <c r="Q142" s="561"/>
      <c r="R142" s="561"/>
      <c r="S142" s="562"/>
      <c r="U142" s="13"/>
    </row>
    <row r="143" spans="2:31" ht="20.100000000000001" customHeight="1" thickBot="1" x14ac:dyDescent="0.3">
      <c r="B143" s="13"/>
      <c r="D143" s="557"/>
      <c r="E143" s="559"/>
      <c r="F143" s="559"/>
      <c r="G143" s="86" t="s">
        <v>43</v>
      </c>
      <c r="H143" s="85" t="s">
        <v>24</v>
      </c>
      <c r="I143" s="556" t="s">
        <v>23</v>
      </c>
      <c r="J143" s="564"/>
      <c r="K143" s="85" t="s">
        <v>25</v>
      </c>
      <c r="L143" s="94" t="s">
        <v>43</v>
      </c>
      <c r="M143" s="87" t="s">
        <v>26</v>
      </c>
      <c r="N143" s="565" t="s">
        <v>23</v>
      </c>
      <c r="O143" s="566"/>
      <c r="P143" s="566"/>
      <c r="Q143" s="566"/>
      <c r="R143" s="566"/>
      <c r="S143" s="567"/>
      <c r="U143" s="13"/>
    </row>
    <row r="144" spans="2:31" ht="65.099999999999994" customHeight="1" x14ac:dyDescent="0.25">
      <c r="B144" s="13"/>
      <c r="D144" s="39" t="s">
        <v>88</v>
      </c>
      <c r="E144" s="253" t="s">
        <v>69</v>
      </c>
      <c r="F144" s="113">
        <v>1</v>
      </c>
      <c r="G144" s="81" t="s">
        <v>44</v>
      </c>
      <c r="H144" s="137" t="s">
        <v>155</v>
      </c>
      <c r="I144" s="568" t="s">
        <v>154</v>
      </c>
      <c r="J144" s="569"/>
      <c r="K144" s="178" t="s">
        <v>12</v>
      </c>
      <c r="L144" s="83" t="s">
        <v>13</v>
      </c>
      <c r="M144" s="55" t="s">
        <v>13</v>
      </c>
      <c r="N144" s="570" t="s">
        <v>13</v>
      </c>
      <c r="O144" s="571"/>
      <c r="P144" s="571"/>
      <c r="Q144" s="571"/>
      <c r="R144" s="571"/>
      <c r="S144" s="572"/>
      <c r="U144" s="13"/>
    </row>
    <row r="145" spans="2:21" ht="50.1" customHeight="1" x14ac:dyDescent="0.25">
      <c r="B145" s="13"/>
      <c r="D145" s="40" t="s">
        <v>123</v>
      </c>
      <c r="E145" s="248" t="s">
        <v>124</v>
      </c>
      <c r="F145" s="116">
        <v>2</v>
      </c>
      <c r="G145" s="82" t="s">
        <v>44</v>
      </c>
      <c r="H145" s="135" t="s">
        <v>156</v>
      </c>
      <c r="I145" s="540" t="s">
        <v>157</v>
      </c>
      <c r="J145" s="541"/>
      <c r="K145" s="181" t="s">
        <v>12</v>
      </c>
      <c r="L145" s="84" t="s">
        <v>13</v>
      </c>
      <c r="M145" s="54" t="s">
        <v>13</v>
      </c>
      <c r="N145" s="542" t="s">
        <v>13</v>
      </c>
      <c r="O145" s="543"/>
      <c r="P145" s="543"/>
      <c r="Q145" s="543"/>
      <c r="R145" s="543"/>
      <c r="S145" s="544"/>
      <c r="U145" s="13"/>
    </row>
    <row r="146" spans="2:21" ht="65.099999999999994" customHeight="1" x14ac:dyDescent="0.25">
      <c r="B146" s="13"/>
      <c r="D146" s="40" t="s">
        <v>125</v>
      </c>
      <c r="E146" s="247" t="s">
        <v>126</v>
      </c>
      <c r="F146" s="116">
        <v>3</v>
      </c>
      <c r="G146" s="142" t="s">
        <v>44</v>
      </c>
      <c r="H146" s="136" t="s">
        <v>71</v>
      </c>
      <c r="I146" s="545" t="s">
        <v>158</v>
      </c>
      <c r="J146" s="546"/>
      <c r="K146" s="181" t="s">
        <v>12</v>
      </c>
      <c r="L146" s="84" t="s">
        <v>13</v>
      </c>
      <c r="M146" s="54" t="s">
        <v>13</v>
      </c>
      <c r="N146" s="542" t="s">
        <v>13</v>
      </c>
      <c r="O146" s="543"/>
      <c r="P146" s="543"/>
      <c r="Q146" s="543"/>
      <c r="R146" s="543"/>
      <c r="S146" s="544"/>
      <c r="U146" s="13"/>
    </row>
    <row r="147" spans="2:21" ht="35.1" customHeight="1" thickBot="1" x14ac:dyDescent="0.3">
      <c r="B147" s="13"/>
      <c r="D147" s="41" t="s">
        <v>2</v>
      </c>
      <c r="E147" s="255" t="s">
        <v>8</v>
      </c>
      <c r="F147" s="118">
        <v>4</v>
      </c>
      <c r="G147" s="143" t="s">
        <v>44</v>
      </c>
      <c r="H147" s="138" t="s">
        <v>159</v>
      </c>
      <c r="I147" s="547" t="s">
        <v>13</v>
      </c>
      <c r="J147" s="548"/>
      <c r="K147" s="179" t="s">
        <v>12</v>
      </c>
      <c r="L147" s="182" t="s">
        <v>13</v>
      </c>
      <c r="M147" s="183" t="s">
        <v>13</v>
      </c>
      <c r="N147" s="549" t="s">
        <v>13</v>
      </c>
      <c r="O147" s="550"/>
      <c r="P147" s="550"/>
      <c r="Q147" s="550"/>
      <c r="R147" s="550"/>
      <c r="S147" s="551"/>
      <c r="U147" s="13"/>
    </row>
    <row r="148" spans="2:21" ht="20.100000000000001" customHeight="1" x14ac:dyDescent="0.25">
      <c r="B148" s="13"/>
      <c r="U148" s="13"/>
    </row>
    <row r="149" spans="2:21" ht="20.100000000000001" customHeight="1" thickBot="1" x14ac:dyDescent="0.3">
      <c r="B149" s="13"/>
      <c r="C149" s="26"/>
      <c r="D149" s="26"/>
      <c r="E149" s="552" t="str">
        <f>IF(OR(L144="-",L144= ""),H144,L144)</f>
        <v>Carnegie</v>
      </c>
      <c r="F149" s="552"/>
      <c r="G149" s="552"/>
      <c r="H149" s="552"/>
      <c r="I149" s="552"/>
      <c r="J149" s="552"/>
      <c r="K149" s="552"/>
      <c r="L149" s="552"/>
      <c r="M149" s="552"/>
      <c r="N149" s="552"/>
      <c r="O149" s="199"/>
      <c r="P149" s="199"/>
      <c r="Q149" s="199"/>
      <c r="R149" s="199"/>
      <c r="S149" s="199"/>
      <c r="T149" s="26"/>
      <c r="U149" s="13"/>
    </row>
    <row r="150" spans="2:21" ht="50.1" customHeight="1" thickBot="1" x14ac:dyDescent="0.3">
      <c r="B150" s="13"/>
      <c r="C150" s="26"/>
      <c r="D150" s="199"/>
      <c r="E150" s="88" t="s">
        <v>10</v>
      </c>
      <c r="F150" s="125" t="s">
        <v>52</v>
      </c>
      <c r="G150" s="89" t="s">
        <v>14</v>
      </c>
      <c r="H150" s="200" t="s">
        <v>51</v>
      </c>
      <c r="I150" s="18" t="s">
        <v>54</v>
      </c>
      <c r="J150" s="200" t="s">
        <v>53</v>
      </c>
      <c r="K150" s="206" t="s">
        <v>28</v>
      </c>
      <c r="L150" s="200" t="s">
        <v>37</v>
      </c>
      <c r="M150" s="204" t="s">
        <v>16</v>
      </c>
      <c r="N150" s="89" t="s">
        <v>15</v>
      </c>
      <c r="O150" s="5" t="s">
        <v>30</v>
      </c>
      <c r="P150" s="7" t="s">
        <v>34</v>
      </c>
      <c r="Q150" s="7" t="s">
        <v>31</v>
      </c>
      <c r="R150" s="19" t="s">
        <v>32</v>
      </c>
      <c r="S150" s="199"/>
      <c r="T150" s="26"/>
      <c r="U150" s="13"/>
    </row>
    <row r="151" spans="2:21" ht="20.100000000000001" customHeight="1" x14ac:dyDescent="0.25">
      <c r="B151" s="13"/>
      <c r="C151" s="26"/>
      <c r="D151" s="68"/>
      <c r="E151" s="35" t="s">
        <v>88</v>
      </c>
      <c r="F151" s="272" t="s">
        <v>69</v>
      </c>
      <c r="G151" s="157">
        <v>1</v>
      </c>
      <c r="H151" s="157" t="s">
        <v>13</v>
      </c>
      <c r="I151" s="157">
        <v>0</v>
      </c>
      <c r="J151" s="157">
        <v>135</v>
      </c>
      <c r="K151" s="157" t="s">
        <v>13</v>
      </c>
      <c r="L151" s="36">
        <f>IF(J151="",0,(J151/J155)*100)</f>
        <v>100</v>
      </c>
      <c r="M151" s="157">
        <v>1</v>
      </c>
      <c r="N151" s="99">
        <v>6</v>
      </c>
      <c r="O151" s="57">
        <f>IF(M151=1,1,0)</f>
        <v>1</v>
      </c>
      <c r="P151" s="209">
        <f>IF(M151=2,1,0)</f>
        <v>0</v>
      </c>
      <c r="Q151" s="209">
        <f>IF(M151=3,1,0)</f>
        <v>0</v>
      </c>
      <c r="R151" s="8">
        <f>IF(M151=4,1,0)</f>
        <v>0</v>
      </c>
      <c r="S151" s="198"/>
      <c r="T151" s="26"/>
      <c r="U151" s="13"/>
    </row>
    <row r="152" spans="2:21" ht="20.100000000000001" customHeight="1" x14ac:dyDescent="0.25">
      <c r="B152" s="13"/>
      <c r="C152" s="26"/>
      <c r="D152" s="26"/>
      <c r="E152" s="40" t="s">
        <v>123</v>
      </c>
      <c r="F152" s="248" t="s">
        <v>124</v>
      </c>
      <c r="G152" s="114">
        <v>2</v>
      </c>
      <c r="H152" s="114" t="s">
        <v>13</v>
      </c>
      <c r="I152" s="114">
        <v>0</v>
      </c>
      <c r="J152" s="114">
        <v>107</v>
      </c>
      <c r="K152" s="101" t="s">
        <v>13</v>
      </c>
      <c r="L152" s="115">
        <f>IF(J152="",0,(J152/J155)*100)</f>
        <v>79.259259259259267</v>
      </c>
      <c r="M152" s="114">
        <v>3</v>
      </c>
      <c r="N152" s="116">
        <v>1</v>
      </c>
      <c r="O152" s="205">
        <f>IF(M152=1,1,0)</f>
        <v>0</v>
      </c>
      <c r="P152" s="207">
        <f>IF(M152=2,1,0)</f>
        <v>0</v>
      </c>
      <c r="Q152" s="207">
        <f>IF(M152=3,1,0)</f>
        <v>1</v>
      </c>
      <c r="R152" s="9">
        <f>IF(M152=4,1,0)</f>
        <v>0</v>
      </c>
      <c r="S152" s="198"/>
      <c r="T152" s="26"/>
      <c r="U152" s="13"/>
    </row>
    <row r="153" spans="2:21" ht="20.100000000000001" customHeight="1" x14ac:dyDescent="0.25">
      <c r="B153" s="13"/>
      <c r="C153" s="26"/>
      <c r="D153" s="26"/>
      <c r="E153" s="40" t="s">
        <v>125</v>
      </c>
      <c r="F153" s="247" t="s">
        <v>126</v>
      </c>
      <c r="G153" s="114">
        <v>4</v>
      </c>
      <c r="H153" s="114" t="s">
        <v>13</v>
      </c>
      <c r="I153" s="114">
        <v>0</v>
      </c>
      <c r="J153" s="114">
        <v>102</v>
      </c>
      <c r="K153" s="114" t="s">
        <v>13</v>
      </c>
      <c r="L153" s="115">
        <f>IF(J153="",0,(J153/J155)*100)</f>
        <v>75.555555555555557</v>
      </c>
      <c r="M153" s="114">
        <v>4</v>
      </c>
      <c r="N153" s="116">
        <v>0</v>
      </c>
      <c r="O153" s="205">
        <f>IF(M153=1,1,0)</f>
        <v>0</v>
      </c>
      <c r="P153" s="207">
        <f>IF(M153=2,1,0)</f>
        <v>0</v>
      </c>
      <c r="Q153" s="207">
        <f>IF(M153=3,1,0)</f>
        <v>0</v>
      </c>
      <c r="R153" s="9">
        <f>IF(M153=4,1,0)</f>
        <v>1</v>
      </c>
      <c r="S153" s="198"/>
      <c r="T153" s="26"/>
      <c r="U153" s="13"/>
    </row>
    <row r="154" spans="2:21" ht="20.100000000000001" customHeight="1" thickBot="1" x14ac:dyDescent="0.3">
      <c r="B154" s="13"/>
      <c r="C154" s="26"/>
      <c r="D154" s="26"/>
      <c r="E154" s="41" t="s">
        <v>2</v>
      </c>
      <c r="F154" s="255" t="s">
        <v>8</v>
      </c>
      <c r="G154" s="117">
        <v>3</v>
      </c>
      <c r="H154" s="117" t="s">
        <v>13</v>
      </c>
      <c r="I154" s="117">
        <v>0</v>
      </c>
      <c r="J154" s="117">
        <v>126</v>
      </c>
      <c r="K154" s="102" t="s">
        <v>13</v>
      </c>
      <c r="L154" s="119">
        <f>IF(J154="",0,(J154/J155)*100)</f>
        <v>93.333333333333329</v>
      </c>
      <c r="M154" s="117">
        <v>2</v>
      </c>
      <c r="N154" s="118">
        <v>3</v>
      </c>
      <c r="O154" s="58">
        <f>IF(M154=1,1,0)</f>
        <v>0</v>
      </c>
      <c r="P154" s="208">
        <f>IF(M154=2,1,0)</f>
        <v>1</v>
      </c>
      <c r="Q154" s="208">
        <f>IF(M154=3,1,0)</f>
        <v>0</v>
      </c>
      <c r="R154" s="10">
        <f>IF(M154=4,1,0)</f>
        <v>0</v>
      </c>
      <c r="S154" s="198"/>
      <c r="T154" s="26"/>
      <c r="U154" s="13"/>
    </row>
    <row r="155" spans="2:21" ht="20.100000000000001" hidden="1" customHeight="1" outlineLevel="1" x14ac:dyDescent="0.25">
      <c r="B155" s="13"/>
      <c r="C155" s="26"/>
      <c r="D155" s="68"/>
      <c r="E155" s="68"/>
      <c r="F155" s="553"/>
      <c r="G155" s="553"/>
      <c r="H155" s="26"/>
      <c r="I155" s="64" t="s">
        <v>29</v>
      </c>
      <c r="J155" s="23">
        <f>MAX(J151:J154)</f>
        <v>135</v>
      </c>
      <c r="K155" s="70"/>
      <c r="L155" s="69"/>
      <c r="M155" s="26"/>
      <c r="N155" s="63" t="s">
        <v>33</v>
      </c>
      <c r="O155" s="20">
        <f>SUM(O151:O154)</f>
        <v>1</v>
      </c>
      <c r="P155" s="21">
        <f>SUM(P151:P154)</f>
        <v>1</v>
      </c>
      <c r="Q155" s="20">
        <f>SUM(Q151:Q154)</f>
        <v>1</v>
      </c>
      <c r="R155" s="22">
        <f>SUM(R151:R154)</f>
        <v>1</v>
      </c>
      <c r="S155" s="69"/>
      <c r="T155" s="26"/>
      <c r="U155" s="13"/>
    </row>
    <row r="156" spans="2:21" ht="20.100000000000001" customHeight="1" collapsed="1" x14ac:dyDescent="0.25">
      <c r="B156" s="13"/>
      <c r="C156" s="26"/>
      <c r="D156" s="26"/>
      <c r="E156" s="26"/>
      <c r="F156" s="26"/>
      <c r="G156" s="26"/>
      <c r="H156" s="26"/>
      <c r="I156" s="26"/>
      <c r="J156" s="26"/>
      <c r="K156" s="26"/>
      <c r="L156" s="26"/>
      <c r="M156" s="26"/>
      <c r="N156" s="26"/>
      <c r="O156" s="26"/>
      <c r="P156" s="26"/>
      <c r="Q156" s="26"/>
      <c r="R156" s="26"/>
      <c r="S156" s="26"/>
      <c r="T156" s="26"/>
      <c r="U156" s="13"/>
    </row>
    <row r="157" spans="2:21" ht="20.100000000000001" customHeight="1" x14ac:dyDescent="0.25">
      <c r="B157" s="13"/>
      <c r="U157" s="13"/>
    </row>
    <row r="158" spans="2:21" ht="20.100000000000001" customHeight="1" thickBot="1" x14ac:dyDescent="0.3">
      <c r="B158" s="13"/>
      <c r="C158" s="27"/>
      <c r="D158" s="27"/>
      <c r="E158" s="554" t="str">
        <f>IF(OR(L145="-",L145= ""),H145,L145)</f>
        <v>Sushi Go!</v>
      </c>
      <c r="F158" s="554"/>
      <c r="G158" s="554"/>
      <c r="H158" s="554"/>
      <c r="I158" s="554"/>
      <c r="J158" s="554"/>
      <c r="K158" s="554"/>
      <c r="L158" s="554"/>
      <c r="M158" s="554"/>
      <c r="N158" s="554"/>
      <c r="O158" s="197"/>
      <c r="P158" s="197"/>
      <c r="Q158" s="197"/>
      <c r="R158" s="197"/>
      <c r="S158" s="197"/>
      <c r="T158" s="27"/>
      <c r="U158" s="13"/>
    </row>
    <row r="159" spans="2:21" ht="50.1" customHeight="1" thickBot="1" x14ac:dyDescent="0.3">
      <c r="B159" s="13"/>
      <c r="C159" s="27"/>
      <c r="D159" s="197"/>
      <c r="E159" s="88" t="s">
        <v>10</v>
      </c>
      <c r="F159" s="125" t="s">
        <v>52</v>
      </c>
      <c r="G159" s="89" t="s">
        <v>14</v>
      </c>
      <c r="H159" s="200" t="s">
        <v>51</v>
      </c>
      <c r="I159" s="18" t="s">
        <v>54</v>
      </c>
      <c r="J159" s="200" t="s">
        <v>53</v>
      </c>
      <c r="K159" s="206" t="s">
        <v>28</v>
      </c>
      <c r="L159" s="200" t="s">
        <v>37</v>
      </c>
      <c r="M159" s="204" t="s">
        <v>16</v>
      </c>
      <c r="N159" s="89" t="s">
        <v>15</v>
      </c>
      <c r="O159" s="5" t="s">
        <v>30</v>
      </c>
      <c r="P159" s="7" t="s">
        <v>34</v>
      </c>
      <c r="Q159" s="7" t="s">
        <v>31</v>
      </c>
      <c r="R159" s="19" t="s">
        <v>32</v>
      </c>
      <c r="S159" s="197"/>
      <c r="T159" s="27"/>
      <c r="U159" s="13"/>
    </row>
    <row r="160" spans="2:21" ht="20.100000000000001" customHeight="1" x14ac:dyDescent="0.25">
      <c r="B160" s="13"/>
      <c r="C160" s="27"/>
      <c r="D160" s="67"/>
      <c r="E160" s="39" t="s">
        <v>88</v>
      </c>
      <c r="F160" s="253" t="s">
        <v>69</v>
      </c>
      <c r="G160" s="111">
        <v>2</v>
      </c>
      <c r="H160" s="111" t="s">
        <v>13</v>
      </c>
      <c r="I160" s="111">
        <v>0</v>
      </c>
      <c r="J160" s="111">
        <v>36</v>
      </c>
      <c r="K160" s="111" t="s">
        <v>161</v>
      </c>
      <c r="L160" s="112">
        <f>IF(J160="",0,(J160/J164)*100)</f>
        <v>87.804878048780495</v>
      </c>
      <c r="M160" s="111">
        <v>3</v>
      </c>
      <c r="N160" s="113">
        <v>1</v>
      </c>
      <c r="O160" s="57">
        <f>IF(M160=1,1,0)</f>
        <v>0</v>
      </c>
      <c r="P160" s="209">
        <f>IF(M160=2,1,0)</f>
        <v>0</v>
      </c>
      <c r="Q160" s="209">
        <f>IF(M160=3,1,0)</f>
        <v>1</v>
      </c>
      <c r="R160" s="8">
        <f>IF(M160=4,1,0)</f>
        <v>0</v>
      </c>
      <c r="S160" s="203"/>
      <c r="T160" s="27"/>
      <c r="U160" s="13"/>
    </row>
    <row r="161" spans="2:21" ht="20.100000000000001" customHeight="1" x14ac:dyDescent="0.25">
      <c r="B161" s="13"/>
      <c r="C161" s="27"/>
      <c r="D161" s="27"/>
      <c r="E161" s="37" t="s">
        <v>123</v>
      </c>
      <c r="F161" s="279" t="s">
        <v>124</v>
      </c>
      <c r="G161" s="149">
        <v>1</v>
      </c>
      <c r="H161" s="149" t="s">
        <v>13</v>
      </c>
      <c r="I161" s="149">
        <v>0</v>
      </c>
      <c r="J161" s="149">
        <v>41</v>
      </c>
      <c r="K161" s="123" t="s">
        <v>13</v>
      </c>
      <c r="L161" s="38">
        <f>IF(J161="",0,(J161/J164)*100)</f>
        <v>100</v>
      </c>
      <c r="M161" s="149">
        <v>1</v>
      </c>
      <c r="N161" s="108">
        <v>6</v>
      </c>
      <c r="O161" s="205">
        <f>IF(M161=1,1,0)</f>
        <v>1</v>
      </c>
      <c r="P161" s="207">
        <f>IF(M161=2,1,0)</f>
        <v>0</v>
      </c>
      <c r="Q161" s="207">
        <f>IF(M161=3,1,0)</f>
        <v>0</v>
      </c>
      <c r="R161" s="9">
        <f>IF(M161=4,1,0)</f>
        <v>0</v>
      </c>
      <c r="S161" s="203"/>
      <c r="T161" s="27"/>
      <c r="U161" s="13"/>
    </row>
    <row r="162" spans="2:21" ht="20.100000000000001" customHeight="1" x14ac:dyDescent="0.25">
      <c r="B162" s="13"/>
      <c r="C162" s="27"/>
      <c r="D162" s="67"/>
      <c r="E162" s="40" t="s">
        <v>125</v>
      </c>
      <c r="F162" s="247" t="s">
        <v>126</v>
      </c>
      <c r="G162" s="114">
        <v>3</v>
      </c>
      <c r="H162" s="114" t="s">
        <v>13</v>
      </c>
      <c r="I162" s="114">
        <v>0</v>
      </c>
      <c r="J162" s="114">
        <v>35</v>
      </c>
      <c r="K162" s="114" t="s">
        <v>13</v>
      </c>
      <c r="L162" s="115">
        <f>IF(J162="",0,(J162/J164)*100)</f>
        <v>85.365853658536579</v>
      </c>
      <c r="M162" s="114">
        <v>4</v>
      </c>
      <c r="N162" s="116">
        <v>0</v>
      </c>
      <c r="O162" s="205">
        <f>IF(M162=1,1,0)</f>
        <v>0</v>
      </c>
      <c r="P162" s="207">
        <f>IF(M162=2,1,0)</f>
        <v>0</v>
      </c>
      <c r="Q162" s="207">
        <f>IF(M162=3,1,0)</f>
        <v>0</v>
      </c>
      <c r="R162" s="9">
        <f>IF(M162=4,1,0)</f>
        <v>1</v>
      </c>
      <c r="S162" s="203"/>
      <c r="T162" s="27"/>
      <c r="U162" s="13"/>
    </row>
    <row r="163" spans="2:21" ht="20.100000000000001" customHeight="1" thickBot="1" x14ac:dyDescent="0.3">
      <c r="B163" s="13"/>
      <c r="C163" s="27"/>
      <c r="D163" s="27"/>
      <c r="E163" s="41" t="s">
        <v>2</v>
      </c>
      <c r="F163" s="255" t="s">
        <v>8</v>
      </c>
      <c r="G163" s="117">
        <v>4</v>
      </c>
      <c r="H163" s="117" t="s">
        <v>13</v>
      </c>
      <c r="I163" s="117">
        <v>0</v>
      </c>
      <c r="J163" s="117">
        <v>36</v>
      </c>
      <c r="K163" s="102" t="s">
        <v>160</v>
      </c>
      <c r="L163" s="119">
        <f>IF(J163="",0,(J163/J164)*100)</f>
        <v>87.804878048780495</v>
      </c>
      <c r="M163" s="117">
        <v>2</v>
      </c>
      <c r="N163" s="118">
        <v>3</v>
      </c>
      <c r="O163" s="58">
        <f>IF(M163=1,1,0)</f>
        <v>0</v>
      </c>
      <c r="P163" s="208">
        <f>IF(M163=2,1,0)</f>
        <v>1</v>
      </c>
      <c r="Q163" s="208">
        <f>IF(M163=3,1,0)</f>
        <v>0</v>
      </c>
      <c r="R163" s="10">
        <f>IF(M163=4,1,0)</f>
        <v>0</v>
      </c>
      <c r="S163" s="203"/>
      <c r="T163" s="27"/>
      <c r="U163" s="13"/>
    </row>
    <row r="164" spans="2:21" ht="20.100000000000001" hidden="1" customHeight="1" outlineLevel="1" x14ac:dyDescent="0.25">
      <c r="B164" s="13"/>
      <c r="C164" s="27"/>
      <c r="D164" s="27"/>
      <c r="E164" s="27"/>
      <c r="F164" s="531"/>
      <c r="G164" s="531"/>
      <c r="H164" s="27"/>
      <c r="I164" s="64" t="s">
        <v>29</v>
      </c>
      <c r="J164" s="23">
        <f>MAX(J160:J163)</f>
        <v>41</v>
      </c>
      <c r="K164" s="75"/>
      <c r="L164" s="203"/>
      <c r="M164" s="27"/>
      <c r="N164" s="63" t="s">
        <v>33</v>
      </c>
      <c r="O164" s="20">
        <f>SUM(O160:O163)</f>
        <v>1</v>
      </c>
      <c r="P164" s="21">
        <f>SUM(P160:P163)</f>
        <v>1</v>
      </c>
      <c r="Q164" s="20">
        <f>SUM(Q160:Q163)</f>
        <v>1</v>
      </c>
      <c r="R164" s="22">
        <f>SUM(R160:R163)</f>
        <v>1</v>
      </c>
      <c r="S164" s="74"/>
      <c r="T164" s="27"/>
      <c r="U164" s="13"/>
    </row>
    <row r="165" spans="2:21" ht="20.100000000000001" customHeight="1" collapsed="1" x14ac:dyDescent="0.25">
      <c r="B165" s="13"/>
      <c r="C165" s="27"/>
      <c r="D165" s="27"/>
      <c r="E165" s="27"/>
      <c r="F165" s="27"/>
      <c r="G165" s="27"/>
      <c r="H165" s="27"/>
      <c r="I165" s="27"/>
      <c r="J165" s="27"/>
      <c r="K165" s="27"/>
      <c r="L165" s="27"/>
      <c r="M165" s="27"/>
      <c r="N165" s="27"/>
      <c r="O165" s="27"/>
      <c r="P165" s="27"/>
      <c r="Q165" s="27"/>
      <c r="R165" s="27"/>
      <c r="S165" s="27"/>
      <c r="T165" s="27"/>
      <c r="U165" s="13"/>
    </row>
    <row r="166" spans="2:21" ht="20.100000000000001" customHeight="1" x14ac:dyDescent="0.25">
      <c r="B166" s="13"/>
      <c r="D166" s="28"/>
      <c r="E166" s="28"/>
      <c r="F166" s="28"/>
      <c r="G166" s="28"/>
      <c r="H166" s="29"/>
      <c r="I166" s="28"/>
      <c r="J166" s="28"/>
      <c r="U166" s="13"/>
    </row>
    <row r="167" spans="2:21" ht="20.100000000000001" customHeight="1" thickBot="1" x14ac:dyDescent="0.3">
      <c r="B167" s="13"/>
      <c r="C167" s="30"/>
      <c r="D167" s="30"/>
      <c r="E167" s="532" t="str">
        <f>IF(OR(L146="-",L146= ""),H146,L146)</f>
        <v>Die Burgen von Burgund</v>
      </c>
      <c r="F167" s="532"/>
      <c r="G167" s="532"/>
      <c r="H167" s="532"/>
      <c r="I167" s="532"/>
      <c r="J167" s="532"/>
      <c r="K167" s="532"/>
      <c r="L167" s="532"/>
      <c r="M167" s="532"/>
      <c r="N167" s="532"/>
      <c r="O167" s="196"/>
      <c r="P167" s="196"/>
      <c r="Q167" s="196"/>
      <c r="R167" s="196"/>
      <c r="S167" s="196"/>
      <c r="T167" s="30"/>
      <c r="U167" s="14"/>
    </row>
    <row r="168" spans="2:21" ht="50.1" customHeight="1" thickBot="1" x14ac:dyDescent="0.3">
      <c r="B168" s="13"/>
      <c r="C168" s="30"/>
      <c r="D168" s="196"/>
      <c r="E168" s="88" t="s">
        <v>10</v>
      </c>
      <c r="F168" s="125" t="s">
        <v>52</v>
      </c>
      <c r="G168" s="89" t="s">
        <v>14</v>
      </c>
      <c r="H168" s="200" t="s">
        <v>51</v>
      </c>
      <c r="I168" s="18" t="s">
        <v>54</v>
      </c>
      <c r="J168" s="200" t="s">
        <v>53</v>
      </c>
      <c r="K168" s="206" t="s">
        <v>28</v>
      </c>
      <c r="L168" s="200" t="s">
        <v>37</v>
      </c>
      <c r="M168" s="204" t="s">
        <v>16</v>
      </c>
      <c r="N168" s="89" t="s">
        <v>15</v>
      </c>
      <c r="O168" s="5" t="s">
        <v>30</v>
      </c>
      <c r="P168" s="7" t="s">
        <v>34</v>
      </c>
      <c r="Q168" s="7" t="s">
        <v>31</v>
      </c>
      <c r="R168" s="19" t="s">
        <v>32</v>
      </c>
      <c r="S168" s="196"/>
      <c r="T168" s="30"/>
      <c r="U168" s="14"/>
    </row>
    <row r="169" spans="2:21" ht="20.100000000000001" customHeight="1" x14ac:dyDescent="0.25">
      <c r="B169" s="13"/>
      <c r="C169" s="30"/>
      <c r="D169" s="66"/>
      <c r="E169" s="39" t="s">
        <v>88</v>
      </c>
      <c r="F169" s="253" t="s">
        <v>69</v>
      </c>
      <c r="G169" s="111">
        <v>3</v>
      </c>
      <c r="H169" s="268" t="s">
        <v>164</v>
      </c>
      <c r="I169" s="111">
        <v>0</v>
      </c>
      <c r="J169" s="268">
        <v>209</v>
      </c>
      <c r="K169" s="268" t="s">
        <v>13</v>
      </c>
      <c r="L169" s="112">
        <f>IF(J169="",0,(J169/J173)*100)</f>
        <v>88.185654008438817</v>
      </c>
      <c r="M169" s="111">
        <v>4</v>
      </c>
      <c r="N169" s="113">
        <v>0</v>
      </c>
      <c r="O169" s="57">
        <f>IF(M169=1,1,0)</f>
        <v>0</v>
      </c>
      <c r="P169" s="209">
        <f>IF(M169=2,1,0)</f>
        <v>0</v>
      </c>
      <c r="Q169" s="209">
        <f>IF(M169=3,1,0)</f>
        <v>0</v>
      </c>
      <c r="R169" s="8">
        <f>IF(M169=4,1,0)</f>
        <v>1</v>
      </c>
      <c r="S169" s="194"/>
      <c r="T169" s="30"/>
      <c r="U169" s="13"/>
    </row>
    <row r="170" spans="2:21" ht="20.100000000000001" customHeight="1" x14ac:dyDescent="0.25">
      <c r="B170" s="13"/>
      <c r="C170" s="30"/>
      <c r="D170" s="30"/>
      <c r="E170" s="37" t="s">
        <v>123</v>
      </c>
      <c r="F170" s="279" t="s">
        <v>124</v>
      </c>
      <c r="G170" s="149">
        <v>4</v>
      </c>
      <c r="H170" s="123" t="s">
        <v>162</v>
      </c>
      <c r="I170" s="149">
        <v>0</v>
      </c>
      <c r="J170" s="123">
        <v>237</v>
      </c>
      <c r="K170" s="123" t="s">
        <v>13</v>
      </c>
      <c r="L170" s="38">
        <f>IF(J170="",0,(J170/J173)*100)</f>
        <v>100</v>
      </c>
      <c r="M170" s="149">
        <v>1</v>
      </c>
      <c r="N170" s="108">
        <v>6</v>
      </c>
      <c r="O170" s="205">
        <f>IF(M170=1,1,0)</f>
        <v>1</v>
      </c>
      <c r="P170" s="207">
        <f>IF(M170=2,1,0)</f>
        <v>0</v>
      </c>
      <c r="Q170" s="207">
        <f>IF(M170=3,1,0)</f>
        <v>0</v>
      </c>
      <c r="R170" s="9">
        <f>IF(M170=4,1,0)</f>
        <v>0</v>
      </c>
      <c r="S170" s="194"/>
      <c r="T170" s="30"/>
      <c r="U170" s="31"/>
    </row>
    <row r="171" spans="2:21" ht="20.100000000000001" customHeight="1" x14ac:dyDescent="0.25">
      <c r="B171" s="13"/>
      <c r="C171" s="30"/>
      <c r="D171" s="30"/>
      <c r="E171" s="40" t="s">
        <v>125</v>
      </c>
      <c r="F171" s="247" t="s">
        <v>126</v>
      </c>
      <c r="G171" s="114">
        <v>2</v>
      </c>
      <c r="H171" s="101" t="s">
        <v>163</v>
      </c>
      <c r="I171" s="114">
        <v>0</v>
      </c>
      <c r="J171" s="101">
        <v>230</v>
      </c>
      <c r="K171" s="101" t="s">
        <v>13</v>
      </c>
      <c r="L171" s="115">
        <f>IF(J171="",0,(J171/J173)*100)</f>
        <v>97.046413502109701</v>
      </c>
      <c r="M171" s="114">
        <v>2</v>
      </c>
      <c r="N171" s="116">
        <v>3</v>
      </c>
      <c r="O171" s="205">
        <f>IF(M171=1,1,0)</f>
        <v>0</v>
      </c>
      <c r="P171" s="207">
        <f>IF(M171=2,1,0)</f>
        <v>1</v>
      </c>
      <c r="Q171" s="207">
        <f>IF(M171=3,1,0)</f>
        <v>0</v>
      </c>
      <c r="R171" s="9">
        <f>IF(M171=4,1,0)</f>
        <v>0</v>
      </c>
      <c r="S171" s="194"/>
      <c r="T171" s="30"/>
      <c r="U171" s="31"/>
    </row>
    <row r="172" spans="2:21" ht="20.100000000000001" customHeight="1" thickBot="1" x14ac:dyDescent="0.3">
      <c r="B172" s="13"/>
      <c r="C172" s="30"/>
      <c r="D172" s="30"/>
      <c r="E172" s="41" t="s">
        <v>2</v>
      </c>
      <c r="F172" s="255" t="s">
        <v>8</v>
      </c>
      <c r="G172" s="117">
        <v>1</v>
      </c>
      <c r="H172" s="102" t="s">
        <v>152</v>
      </c>
      <c r="I172" s="117">
        <v>0</v>
      </c>
      <c r="J172" s="102">
        <v>222</v>
      </c>
      <c r="K172" s="102" t="s">
        <v>13</v>
      </c>
      <c r="L172" s="119">
        <f>IF(J172="",0,(J172/J173)*100)</f>
        <v>93.670886075949369</v>
      </c>
      <c r="M172" s="117">
        <v>3</v>
      </c>
      <c r="N172" s="118">
        <v>1</v>
      </c>
      <c r="O172" s="58">
        <f>IF(M172=1,1,0)</f>
        <v>0</v>
      </c>
      <c r="P172" s="208">
        <f>IF(M172=2,1,0)</f>
        <v>0</v>
      </c>
      <c r="Q172" s="208">
        <f>IF(M172=3,1,0)</f>
        <v>1</v>
      </c>
      <c r="R172" s="10">
        <f>IF(M172=4,1,0)</f>
        <v>0</v>
      </c>
      <c r="S172" s="194"/>
      <c r="T172" s="30"/>
      <c r="U172" s="31"/>
    </row>
    <row r="173" spans="2:21" ht="20.100000000000001" hidden="1" customHeight="1" outlineLevel="1" x14ac:dyDescent="0.25">
      <c r="B173" s="13"/>
      <c r="C173" s="30"/>
      <c r="D173" s="30"/>
      <c r="E173" s="30"/>
      <c r="F173" s="533"/>
      <c r="G173" s="533"/>
      <c r="H173" s="30"/>
      <c r="I173" s="64" t="s">
        <v>29</v>
      </c>
      <c r="J173" s="23">
        <f>MAX(J169:J172)</f>
        <v>237</v>
      </c>
      <c r="K173" s="76"/>
      <c r="L173" s="194"/>
      <c r="M173" s="30"/>
      <c r="N173" s="63" t="s">
        <v>33</v>
      </c>
      <c r="O173" s="20">
        <f>SUM(O169:O172)</f>
        <v>1</v>
      </c>
      <c r="P173" s="21">
        <f>SUM(P169:P172)</f>
        <v>1</v>
      </c>
      <c r="Q173" s="20">
        <f>SUM(Q169:Q172)</f>
        <v>1</v>
      </c>
      <c r="R173" s="22">
        <f>SUM(R169:R172)</f>
        <v>1</v>
      </c>
      <c r="S173" s="77"/>
      <c r="T173" s="30"/>
      <c r="U173" s="31"/>
    </row>
    <row r="174" spans="2:21" ht="20.100000000000001" customHeight="1" collapsed="1" x14ac:dyDescent="0.25">
      <c r="B174" s="13"/>
      <c r="C174" s="30"/>
      <c r="D174" s="30"/>
      <c r="E174" s="30"/>
      <c r="F174" s="30"/>
      <c r="G174" s="30"/>
      <c r="H174" s="30"/>
      <c r="I174" s="30"/>
      <c r="J174" s="30"/>
      <c r="K174" s="30"/>
      <c r="L174" s="30"/>
      <c r="M174" s="30"/>
      <c r="N174" s="30"/>
      <c r="O174" s="30"/>
      <c r="P174" s="30"/>
      <c r="Q174" s="30"/>
      <c r="R174" s="30"/>
      <c r="S174" s="30"/>
      <c r="T174" s="30"/>
      <c r="U174" s="31"/>
    </row>
    <row r="175" spans="2:21" ht="20.100000000000001" customHeight="1" x14ac:dyDescent="0.25">
      <c r="B175" s="13"/>
      <c r="D175" s="28"/>
      <c r="E175" s="28"/>
      <c r="F175" s="28"/>
      <c r="G175" s="28"/>
      <c r="H175" s="29"/>
      <c r="I175" s="28"/>
      <c r="J175" s="28"/>
      <c r="K175" s="28"/>
      <c r="U175" s="13"/>
    </row>
    <row r="176" spans="2:21" ht="20.100000000000001" customHeight="1" thickBot="1" x14ac:dyDescent="0.3">
      <c r="B176" s="13"/>
      <c r="C176" s="32"/>
      <c r="D176" s="32"/>
      <c r="E176" s="534" t="str">
        <f>IF(OR(M147="-",M147= ""),H147,M147)</f>
        <v>Lewis &amp; Clark</v>
      </c>
      <c r="F176" s="534"/>
      <c r="G176" s="534"/>
      <c r="H176" s="534"/>
      <c r="I176" s="534"/>
      <c r="J176" s="534"/>
      <c r="K176" s="534"/>
      <c r="L176" s="534"/>
      <c r="M176" s="534"/>
      <c r="N176" s="534"/>
      <c r="O176" s="195"/>
      <c r="P176" s="195"/>
      <c r="Q176" s="195"/>
      <c r="R176" s="195"/>
      <c r="S176" s="195"/>
      <c r="T176" s="32"/>
      <c r="U176" s="13"/>
    </row>
    <row r="177" spans="2:21" ht="50.1" customHeight="1" thickBot="1" x14ac:dyDescent="0.3">
      <c r="B177" s="13"/>
      <c r="C177" s="32"/>
      <c r="D177" s="195"/>
      <c r="E177" s="88" t="s">
        <v>10</v>
      </c>
      <c r="F177" s="125" t="s">
        <v>52</v>
      </c>
      <c r="G177" s="89" t="s">
        <v>14</v>
      </c>
      <c r="H177" s="200" t="s">
        <v>51</v>
      </c>
      <c r="I177" s="18" t="s">
        <v>54</v>
      </c>
      <c r="J177" s="200" t="s">
        <v>53</v>
      </c>
      <c r="K177" s="206" t="s">
        <v>28</v>
      </c>
      <c r="L177" s="200" t="s">
        <v>37</v>
      </c>
      <c r="M177" s="204" t="s">
        <v>16</v>
      </c>
      <c r="N177" s="89" t="s">
        <v>15</v>
      </c>
      <c r="O177" s="5" t="s">
        <v>30</v>
      </c>
      <c r="P177" s="7" t="s">
        <v>34</v>
      </c>
      <c r="Q177" s="7" t="s">
        <v>31</v>
      </c>
      <c r="R177" s="19" t="s">
        <v>32</v>
      </c>
      <c r="S177" s="195"/>
      <c r="T177" s="32"/>
      <c r="U177" s="13"/>
    </row>
    <row r="178" spans="2:21" ht="20.100000000000001" customHeight="1" x14ac:dyDescent="0.25">
      <c r="B178" s="13"/>
      <c r="C178" s="32"/>
      <c r="D178" s="32"/>
      <c r="E178" s="39" t="s">
        <v>88</v>
      </c>
      <c r="F178" s="253" t="s">
        <v>69</v>
      </c>
      <c r="G178" s="111">
        <v>2</v>
      </c>
      <c r="H178" s="268" t="s">
        <v>13</v>
      </c>
      <c r="I178" s="111">
        <v>5</v>
      </c>
      <c r="J178" s="270">
        <v>0</v>
      </c>
      <c r="K178" s="268" t="s">
        <v>13</v>
      </c>
      <c r="L178" s="112">
        <f>IF(J178="",0,(J178/J182)*100)</f>
        <v>0</v>
      </c>
      <c r="M178" s="111">
        <v>2</v>
      </c>
      <c r="N178" s="113">
        <v>1.333</v>
      </c>
      <c r="O178" s="57">
        <f>IF(M178=1,1,0)</f>
        <v>0</v>
      </c>
      <c r="P178" s="209">
        <f>IF(M178=2,1,0)</f>
        <v>1</v>
      </c>
      <c r="Q178" s="209">
        <f>IF(M178=3,1,0)</f>
        <v>0</v>
      </c>
      <c r="R178" s="8">
        <f>IF(M178=4,1,0)</f>
        <v>0</v>
      </c>
      <c r="S178" s="201"/>
      <c r="T178" s="32"/>
      <c r="U178" s="13"/>
    </row>
    <row r="179" spans="2:21" ht="20.100000000000001" customHeight="1" x14ac:dyDescent="0.25">
      <c r="B179" s="13"/>
      <c r="C179" s="32"/>
      <c r="D179" s="32"/>
      <c r="E179" s="37" t="s">
        <v>123</v>
      </c>
      <c r="F179" s="279" t="s">
        <v>124</v>
      </c>
      <c r="G179" s="149">
        <v>4</v>
      </c>
      <c r="H179" s="149" t="s">
        <v>13</v>
      </c>
      <c r="I179" s="149">
        <v>5</v>
      </c>
      <c r="J179" s="184">
        <v>51</v>
      </c>
      <c r="K179" s="123" t="s">
        <v>13</v>
      </c>
      <c r="L179" s="38">
        <f>IF(J179="",0,(J179/J182)*100)</f>
        <v>100</v>
      </c>
      <c r="M179" s="149">
        <v>1</v>
      </c>
      <c r="N179" s="108">
        <v>6</v>
      </c>
      <c r="O179" s="205">
        <f>IF(M179=1,1,0)</f>
        <v>1</v>
      </c>
      <c r="P179" s="207">
        <f>IF(M179=2,1,0)</f>
        <v>0</v>
      </c>
      <c r="Q179" s="207">
        <f>IF(M179=3,1,0)</f>
        <v>0</v>
      </c>
      <c r="R179" s="9">
        <f>IF(M179=4,1,0)</f>
        <v>0</v>
      </c>
      <c r="S179" s="201"/>
      <c r="T179" s="32"/>
      <c r="U179" s="13"/>
    </row>
    <row r="180" spans="2:21" ht="20.100000000000001" customHeight="1" x14ac:dyDescent="0.25">
      <c r="B180" s="13"/>
      <c r="C180" s="32"/>
      <c r="D180" s="32"/>
      <c r="E180" s="40" t="s">
        <v>125</v>
      </c>
      <c r="F180" s="247" t="s">
        <v>126</v>
      </c>
      <c r="G180" s="114">
        <v>1</v>
      </c>
      <c r="H180" s="114" t="s">
        <v>13</v>
      </c>
      <c r="I180" s="114">
        <v>5</v>
      </c>
      <c r="J180" s="176">
        <v>0</v>
      </c>
      <c r="K180" s="114" t="s">
        <v>13</v>
      </c>
      <c r="L180" s="115">
        <f>IF(J180="",0,(J180/J182)*100)</f>
        <v>0</v>
      </c>
      <c r="M180" s="114">
        <v>2</v>
      </c>
      <c r="N180" s="116">
        <v>1.333</v>
      </c>
      <c r="O180" s="205">
        <f>IF(M180=1,1,0)</f>
        <v>0</v>
      </c>
      <c r="P180" s="207">
        <f>IF(M180=2,1,0)</f>
        <v>1</v>
      </c>
      <c r="Q180" s="207">
        <f>IF(M180=3,1,0)</f>
        <v>0</v>
      </c>
      <c r="R180" s="9">
        <f>IF(M180=4,1,0)</f>
        <v>0</v>
      </c>
      <c r="S180" s="201"/>
      <c r="T180" s="32"/>
      <c r="U180" s="13"/>
    </row>
    <row r="181" spans="2:21" ht="20.100000000000001" customHeight="1" thickBot="1" x14ac:dyDescent="0.3">
      <c r="B181" s="13"/>
      <c r="C181" s="32"/>
      <c r="D181" s="65"/>
      <c r="E181" s="41" t="s">
        <v>2</v>
      </c>
      <c r="F181" s="255" t="s">
        <v>8</v>
      </c>
      <c r="G181" s="117">
        <v>3</v>
      </c>
      <c r="H181" s="117" t="s">
        <v>13</v>
      </c>
      <c r="I181" s="117">
        <v>5</v>
      </c>
      <c r="J181" s="177">
        <v>0</v>
      </c>
      <c r="K181" s="102" t="s">
        <v>13</v>
      </c>
      <c r="L181" s="119">
        <f>IF(J181="",0,(J181/J182)*100)</f>
        <v>0</v>
      </c>
      <c r="M181" s="117">
        <v>2</v>
      </c>
      <c r="N181" s="118">
        <v>1.333</v>
      </c>
      <c r="O181" s="58">
        <f>IF(M181=1,1,0)</f>
        <v>0</v>
      </c>
      <c r="P181" s="208">
        <f>IF(M181=2,1,0)</f>
        <v>1</v>
      </c>
      <c r="Q181" s="208">
        <f>IF(M181=3,1,0)</f>
        <v>0</v>
      </c>
      <c r="R181" s="10">
        <f>IF(M181=4,1,0)</f>
        <v>0</v>
      </c>
      <c r="S181" s="201"/>
      <c r="T181" s="32"/>
      <c r="U181" s="13"/>
    </row>
    <row r="182" spans="2:21" ht="20.100000000000001" hidden="1" customHeight="1" outlineLevel="1" x14ac:dyDescent="0.25">
      <c r="B182" s="13"/>
      <c r="C182" s="32"/>
      <c r="D182" s="32"/>
      <c r="E182" s="32"/>
      <c r="F182" s="535"/>
      <c r="G182" s="535"/>
      <c r="H182" s="32"/>
      <c r="I182" s="64" t="s">
        <v>29</v>
      </c>
      <c r="J182" s="23">
        <f>MAX(J178:J181)</f>
        <v>51</v>
      </c>
      <c r="K182" s="78"/>
      <c r="L182" s="201"/>
      <c r="M182" s="32"/>
      <c r="N182" s="63" t="s">
        <v>33</v>
      </c>
      <c r="O182" s="20">
        <f>SUM(O178:O181)</f>
        <v>1</v>
      </c>
      <c r="P182" s="21">
        <f>SUM(P178:P181)</f>
        <v>3</v>
      </c>
      <c r="Q182" s="20">
        <f>SUM(Q178:Q181)</f>
        <v>0</v>
      </c>
      <c r="R182" s="22">
        <f>SUM(R178:R181)</f>
        <v>0</v>
      </c>
      <c r="S182" s="79"/>
      <c r="T182" s="32"/>
      <c r="U182" s="13"/>
    </row>
    <row r="183" spans="2:21" ht="20.100000000000001" customHeight="1" collapsed="1" x14ac:dyDescent="0.25">
      <c r="B183" s="13"/>
      <c r="C183" s="32"/>
      <c r="D183" s="32"/>
      <c r="E183" s="32"/>
      <c r="F183" s="32"/>
      <c r="G183" s="32"/>
      <c r="H183" s="32"/>
      <c r="I183" s="32"/>
      <c r="J183" s="32"/>
      <c r="K183" s="32"/>
      <c r="L183" s="32"/>
      <c r="M183" s="32"/>
      <c r="N183" s="32"/>
      <c r="O183" s="32"/>
      <c r="P183" s="32"/>
      <c r="Q183" s="32"/>
      <c r="R183" s="32"/>
      <c r="S183" s="32"/>
      <c r="T183" s="32"/>
      <c r="U183" s="13"/>
    </row>
    <row r="184" spans="2:21" ht="20.100000000000001" customHeight="1" x14ac:dyDescent="0.25">
      <c r="B184" s="13"/>
      <c r="D184" s="4"/>
      <c r="E184" s="4"/>
      <c r="F184" s="4"/>
      <c r="G184" s="4"/>
      <c r="H184" s="4"/>
      <c r="I184" s="4"/>
      <c r="J184" s="4"/>
      <c r="U184" s="13"/>
    </row>
    <row r="185" spans="2:21" ht="30" customHeight="1" thickBot="1" x14ac:dyDescent="0.3">
      <c r="B185" s="13"/>
      <c r="C185" s="33"/>
      <c r="D185" s="536" t="s">
        <v>50</v>
      </c>
      <c r="E185" s="536"/>
      <c r="F185" s="536"/>
      <c r="G185" s="536"/>
      <c r="H185" s="536"/>
      <c r="I185" s="536"/>
      <c r="J185" s="536"/>
      <c r="K185" s="536"/>
      <c r="L185" s="536"/>
      <c r="M185" s="536"/>
      <c r="N185" s="536"/>
      <c r="O185" s="536"/>
      <c r="P185" s="536"/>
      <c r="Q185" s="536"/>
      <c r="R185" s="536"/>
      <c r="S185" s="536"/>
      <c r="T185" s="33"/>
      <c r="U185" s="13"/>
    </row>
    <row r="186" spans="2:21" ht="50.1" customHeight="1" thickBot="1" x14ac:dyDescent="0.3">
      <c r="B186" s="13"/>
      <c r="C186" s="33"/>
      <c r="D186" s="90" t="s">
        <v>10</v>
      </c>
      <c r="E186" s="93" t="s">
        <v>65</v>
      </c>
      <c r="F186" s="91" t="s">
        <v>15</v>
      </c>
      <c r="G186" s="42" t="s">
        <v>55</v>
      </c>
      <c r="H186" s="537" t="s">
        <v>56</v>
      </c>
      <c r="I186" s="538"/>
      <c r="J186" s="202" t="s">
        <v>66</v>
      </c>
      <c r="K186" s="92" t="s">
        <v>17</v>
      </c>
      <c r="L186" s="91" t="s">
        <v>18</v>
      </c>
      <c r="M186" s="92" t="s">
        <v>19</v>
      </c>
      <c r="N186" s="91" t="s">
        <v>20</v>
      </c>
      <c r="O186" s="130"/>
      <c r="P186" s="126"/>
      <c r="Q186" s="126"/>
      <c r="R186" s="126"/>
      <c r="S186" s="93" t="s">
        <v>38</v>
      </c>
      <c r="T186" s="33"/>
      <c r="U186" s="13"/>
    </row>
    <row r="187" spans="2:21" ht="20.100000000000001" customHeight="1" x14ac:dyDescent="0.25">
      <c r="B187" s="13"/>
      <c r="C187" s="33"/>
      <c r="D187" s="131" t="s">
        <v>123</v>
      </c>
      <c r="E187" s="221" t="s">
        <v>124</v>
      </c>
      <c r="F187" s="133">
        <f>K187*6+L187*3+M187*1+N187*0</f>
        <v>19</v>
      </c>
      <c r="G187" s="262">
        <v>0</v>
      </c>
      <c r="H187" s="539" t="s">
        <v>13</v>
      </c>
      <c r="I187" s="539"/>
      <c r="J187" s="133">
        <f>F187+G187</f>
        <v>19</v>
      </c>
      <c r="K187" s="133">
        <v>3</v>
      </c>
      <c r="L187" s="133">
        <v>0</v>
      </c>
      <c r="M187" s="133">
        <v>1</v>
      </c>
      <c r="N187" s="133">
        <v>0</v>
      </c>
      <c r="O187" s="152"/>
      <c r="P187" s="262"/>
      <c r="Q187" s="262"/>
      <c r="R187" s="262"/>
      <c r="S187" s="134">
        <f>(L152+L161+L170+L179)/4</f>
        <v>94.81481481481481</v>
      </c>
      <c r="T187" s="33"/>
      <c r="U187" s="13"/>
    </row>
    <row r="188" spans="2:21" ht="20.100000000000001" customHeight="1" x14ac:dyDescent="0.25">
      <c r="B188" s="13"/>
      <c r="C188" s="33"/>
      <c r="D188" s="51" t="s">
        <v>88</v>
      </c>
      <c r="E188" s="274" t="s">
        <v>69</v>
      </c>
      <c r="F188" s="281">
        <f>K188*6+L188*3+M188*1+N188*0</f>
        <v>8.3333333333333286</v>
      </c>
      <c r="G188" s="263">
        <v>0</v>
      </c>
      <c r="H188" s="529" t="s">
        <v>13</v>
      </c>
      <c r="I188" s="529"/>
      <c r="J188" s="52">
        <f>F188+G188</f>
        <v>8.3333333333333286</v>
      </c>
      <c r="K188" s="52">
        <v>1</v>
      </c>
      <c r="L188" s="281">
        <v>0.33333333333333298</v>
      </c>
      <c r="M188" s="281">
        <v>1.3333333333333299</v>
      </c>
      <c r="N188" s="281">
        <v>1.3333333333333299</v>
      </c>
      <c r="O188" s="151"/>
      <c r="P188" s="263"/>
      <c r="Q188" s="263"/>
      <c r="R188" s="263"/>
      <c r="S188" s="104">
        <f>(L151+L160+L169+L178)/4</f>
        <v>68.997633014304824</v>
      </c>
      <c r="T188" s="33"/>
      <c r="U188" s="13"/>
    </row>
    <row r="189" spans="2:21" ht="20.100000000000001" customHeight="1" x14ac:dyDescent="0.25">
      <c r="B189" s="13"/>
      <c r="C189" s="33"/>
      <c r="D189" s="51" t="s">
        <v>2</v>
      </c>
      <c r="E189" s="274" t="s">
        <v>8</v>
      </c>
      <c r="F189" s="281">
        <f>K189*6+L189*3+M189*1+N189*0</f>
        <v>8.3333333333333197</v>
      </c>
      <c r="G189" s="263">
        <v>0</v>
      </c>
      <c r="H189" s="529" t="s">
        <v>13</v>
      </c>
      <c r="I189" s="529"/>
      <c r="J189" s="52">
        <f>F189+G189</f>
        <v>8.3333333333333197</v>
      </c>
      <c r="K189" s="52">
        <v>0</v>
      </c>
      <c r="L189" s="281">
        <v>2.3333333333333299</v>
      </c>
      <c r="M189" s="281">
        <v>1.3333333333333299</v>
      </c>
      <c r="N189" s="281">
        <v>0.33333333333333298</v>
      </c>
      <c r="O189" s="151"/>
      <c r="P189" s="263"/>
      <c r="Q189" s="263"/>
      <c r="R189" s="263"/>
      <c r="S189" s="104">
        <f>(L154+L163+L172+L181)/4</f>
        <v>68.702274364515802</v>
      </c>
      <c r="T189" s="33"/>
      <c r="U189" s="13"/>
    </row>
    <row r="190" spans="2:21" ht="20.100000000000001" customHeight="1" thickBot="1" x14ac:dyDescent="0.3">
      <c r="B190" s="13"/>
      <c r="C190" s="33"/>
      <c r="D190" s="105" t="s">
        <v>125</v>
      </c>
      <c r="E190" s="275" t="s">
        <v>126</v>
      </c>
      <c r="F190" s="280">
        <f>K190*6+L190*3+M190*1+N190*0</f>
        <v>4.3333333333333224</v>
      </c>
      <c r="G190" s="264">
        <v>0</v>
      </c>
      <c r="H190" s="530" t="s">
        <v>13</v>
      </c>
      <c r="I190" s="530"/>
      <c r="J190" s="109">
        <f>F190+G190</f>
        <v>4.3333333333333224</v>
      </c>
      <c r="K190" s="109">
        <v>0</v>
      </c>
      <c r="L190" s="280">
        <v>1.3333333333333299</v>
      </c>
      <c r="M190" s="280">
        <v>0.33333333333333298</v>
      </c>
      <c r="N190" s="280">
        <v>2.3333333333333299</v>
      </c>
      <c r="O190" s="153"/>
      <c r="P190" s="264"/>
      <c r="Q190" s="264"/>
      <c r="R190" s="264"/>
      <c r="S190" s="106">
        <f>(L153+L162+L171+L180)/4</f>
        <v>64.491955679050463</v>
      </c>
      <c r="T190" s="33"/>
      <c r="U190" s="13"/>
    </row>
    <row r="191" spans="2:21" ht="20.100000000000001" customHeight="1" x14ac:dyDescent="0.25">
      <c r="B191" s="13"/>
      <c r="C191" s="33"/>
      <c r="D191" s="33"/>
      <c r="E191" s="33"/>
      <c r="F191" s="33"/>
      <c r="G191" s="33"/>
      <c r="H191" s="33"/>
      <c r="I191" s="33"/>
      <c r="J191" s="33"/>
      <c r="K191" s="33"/>
      <c r="L191" s="33"/>
      <c r="M191" s="33"/>
      <c r="N191" s="33"/>
      <c r="O191" s="33"/>
      <c r="P191" s="33"/>
      <c r="Q191" s="33"/>
      <c r="R191" s="33"/>
      <c r="S191" s="33"/>
      <c r="T191" s="33"/>
      <c r="U191" s="13"/>
    </row>
    <row r="192" spans="2:21" ht="20.100000000000001" customHeight="1" x14ac:dyDescent="0.25">
      <c r="B192" s="13"/>
      <c r="C192" s="13"/>
      <c r="D192" s="15"/>
      <c r="E192" s="15"/>
      <c r="F192" s="14"/>
      <c r="G192" s="14"/>
      <c r="H192" s="15"/>
      <c r="I192" s="15"/>
      <c r="J192" s="15"/>
      <c r="K192" s="13"/>
      <c r="L192" s="13"/>
      <c r="M192" s="13"/>
      <c r="N192" s="13"/>
      <c r="O192" s="13"/>
      <c r="P192" s="13"/>
      <c r="Q192" s="13"/>
      <c r="R192" s="13"/>
      <c r="S192" s="13"/>
      <c r="T192" s="13"/>
      <c r="U192" s="13"/>
    </row>
    <row r="193" spans="2:21" ht="20.100000000000001" customHeight="1" x14ac:dyDescent="0.25"/>
    <row r="194" spans="2:21" ht="20.100000000000001" customHeight="1" x14ac:dyDescent="0.25"/>
    <row r="195" spans="2:21" ht="20.100000000000001" customHeight="1" x14ac:dyDescent="0.25">
      <c r="B195" s="13"/>
      <c r="C195" s="13"/>
      <c r="D195" s="25"/>
      <c r="E195" s="25"/>
      <c r="F195" s="25"/>
      <c r="G195" s="25"/>
      <c r="H195" s="13"/>
      <c r="I195" s="13"/>
      <c r="J195" s="13"/>
      <c r="K195" s="13"/>
      <c r="L195" s="13"/>
      <c r="M195" s="13"/>
      <c r="N195" s="13"/>
      <c r="O195" s="13"/>
      <c r="P195" s="13"/>
      <c r="Q195" s="13"/>
      <c r="R195" s="13"/>
      <c r="S195" s="13"/>
      <c r="T195" s="13"/>
      <c r="U195" s="13"/>
    </row>
    <row r="196" spans="2:21" ht="30" customHeight="1" x14ac:dyDescent="0.25">
      <c r="B196" s="13"/>
      <c r="C196" s="555" t="s">
        <v>165</v>
      </c>
      <c r="D196" s="555"/>
      <c r="E196" s="555"/>
      <c r="F196" s="555"/>
      <c r="G196" s="555"/>
      <c r="H196" s="555"/>
      <c r="I196" s="555"/>
      <c r="J196" s="555"/>
      <c r="K196" s="555"/>
      <c r="L196" s="555"/>
      <c r="M196" s="555"/>
      <c r="N196" s="555"/>
      <c r="O196" s="555"/>
      <c r="P196" s="555"/>
      <c r="Q196" s="555"/>
      <c r="R196" s="555"/>
      <c r="S196" s="555"/>
      <c r="T196" s="555"/>
      <c r="U196" s="13"/>
    </row>
    <row r="197" spans="2:21" ht="20.100000000000001" customHeight="1" thickBot="1" x14ac:dyDescent="0.3">
      <c r="B197" s="13"/>
      <c r="U197" s="13"/>
    </row>
    <row r="198" spans="2:21" ht="20.100000000000001" customHeight="1" thickBot="1" x14ac:dyDescent="0.3">
      <c r="B198" s="13"/>
      <c r="D198" s="556" t="s">
        <v>10</v>
      </c>
      <c r="E198" s="558" t="s">
        <v>67</v>
      </c>
      <c r="F198" s="560" t="s">
        <v>22</v>
      </c>
      <c r="G198" s="561" t="s">
        <v>42</v>
      </c>
      <c r="H198" s="561"/>
      <c r="I198" s="561"/>
      <c r="J198" s="562"/>
      <c r="K198" s="200" t="s">
        <v>36</v>
      </c>
      <c r="L198" s="563" t="s">
        <v>27</v>
      </c>
      <c r="M198" s="561"/>
      <c r="N198" s="561"/>
      <c r="O198" s="561"/>
      <c r="P198" s="561"/>
      <c r="Q198" s="561"/>
      <c r="R198" s="561"/>
      <c r="S198" s="562"/>
      <c r="U198" s="13"/>
    </row>
    <row r="199" spans="2:21" ht="20.100000000000001" customHeight="1" thickBot="1" x14ac:dyDescent="0.3">
      <c r="B199" s="13"/>
      <c r="D199" s="557"/>
      <c r="E199" s="559"/>
      <c r="F199" s="559"/>
      <c r="G199" s="86" t="s">
        <v>43</v>
      </c>
      <c r="H199" s="85" t="s">
        <v>24</v>
      </c>
      <c r="I199" s="556" t="s">
        <v>23</v>
      </c>
      <c r="J199" s="564"/>
      <c r="K199" s="85" t="s">
        <v>25</v>
      </c>
      <c r="L199" s="94" t="s">
        <v>43</v>
      </c>
      <c r="M199" s="87" t="s">
        <v>26</v>
      </c>
      <c r="N199" s="565" t="s">
        <v>23</v>
      </c>
      <c r="O199" s="566"/>
      <c r="P199" s="566"/>
      <c r="Q199" s="566"/>
      <c r="R199" s="566"/>
      <c r="S199" s="567"/>
      <c r="U199" s="13"/>
    </row>
    <row r="200" spans="2:21" ht="35.1" customHeight="1" x14ac:dyDescent="0.25">
      <c r="B200" s="13"/>
      <c r="D200" s="39" t="s">
        <v>95</v>
      </c>
      <c r="E200" s="253" t="s">
        <v>96</v>
      </c>
      <c r="F200" s="113">
        <v>1</v>
      </c>
      <c r="G200" s="81" t="s">
        <v>35</v>
      </c>
      <c r="H200" s="137" t="s">
        <v>71</v>
      </c>
      <c r="I200" s="568" t="s">
        <v>166</v>
      </c>
      <c r="J200" s="569"/>
      <c r="K200" s="178" t="s">
        <v>12</v>
      </c>
      <c r="L200" s="83" t="s">
        <v>13</v>
      </c>
      <c r="M200" s="55" t="s">
        <v>13</v>
      </c>
      <c r="N200" s="570" t="s">
        <v>13</v>
      </c>
      <c r="O200" s="571"/>
      <c r="P200" s="571"/>
      <c r="Q200" s="571"/>
      <c r="R200" s="571"/>
      <c r="S200" s="572"/>
      <c r="U200" s="13"/>
    </row>
    <row r="201" spans="2:21" ht="140.1" customHeight="1" x14ac:dyDescent="0.25">
      <c r="B201" s="13"/>
      <c r="D201" s="40" t="s">
        <v>128</v>
      </c>
      <c r="E201" s="247" t="s">
        <v>129</v>
      </c>
      <c r="F201" s="116">
        <v>2</v>
      </c>
      <c r="G201" s="82" t="s">
        <v>44</v>
      </c>
      <c r="H201" s="135" t="s">
        <v>103</v>
      </c>
      <c r="I201" s="540" t="s">
        <v>168</v>
      </c>
      <c r="J201" s="541"/>
      <c r="K201" s="181" t="s">
        <v>12</v>
      </c>
      <c r="L201" s="84" t="s">
        <v>13</v>
      </c>
      <c r="M201" s="54" t="s">
        <v>13</v>
      </c>
      <c r="N201" s="542" t="s">
        <v>13</v>
      </c>
      <c r="O201" s="543"/>
      <c r="P201" s="543"/>
      <c r="Q201" s="543"/>
      <c r="R201" s="543"/>
      <c r="S201" s="544"/>
      <c r="U201" s="13"/>
    </row>
    <row r="202" spans="2:21" ht="35.1" customHeight="1" x14ac:dyDescent="0.25">
      <c r="B202" s="13"/>
      <c r="D202" s="40" t="s">
        <v>130</v>
      </c>
      <c r="E202" s="247" t="s">
        <v>131</v>
      </c>
      <c r="F202" s="116">
        <v>3</v>
      </c>
      <c r="G202" s="142" t="s">
        <v>44</v>
      </c>
      <c r="H202" s="136" t="s">
        <v>93</v>
      </c>
      <c r="I202" s="545" t="s">
        <v>172</v>
      </c>
      <c r="J202" s="546"/>
      <c r="K202" s="181" t="s">
        <v>12</v>
      </c>
      <c r="L202" s="84" t="s">
        <v>13</v>
      </c>
      <c r="M202" s="54" t="s">
        <v>13</v>
      </c>
      <c r="N202" s="542" t="s">
        <v>13</v>
      </c>
      <c r="O202" s="543"/>
      <c r="P202" s="543"/>
      <c r="Q202" s="543"/>
      <c r="R202" s="543"/>
      <c r="S202" s="544"/>
      <c r="U202" s="13"/>
    </row>
    <row r="203" spans="2:21" ht="95.1" customHeight="1" thickBot="1" x14ac:dyDescent="0.3">
      <c r="B203" s="13"/>
      <c r="D203" s="41" t="s">
        <v>3</v>
      </c>
      <c r="E203" s="255" t="s">
        <v>63</v>
      </c>
      <c r="F203" s="118">
        <v>4</v>
      </c>
      <c r="G203" s="143" t="s">
        <v>44</v>
      </c>
      <c r="H203" s="138" t="s">
        <v>176</v>
      </c>
      <c r="I203" s="547" t="s">
        <v>177</v>
      </c>
      <c r="J203" s="548"/>
      <c r="K203" s="179" t="s">
        <v>12</v>
      </c>
      <c r="L203" s="182" t="s">
        <v>13</v>
      </c>
      <c r="M203" s="183" t="s">
        <v>13</v>
      </c>
      <c r="N203" s="549" t="s">
        <v>13</v>
      </c>
      <c r="O203" s="550"/>
      <c r="P203" s="550"/>
      <c r="Q203" s="550"/>
      <c r="R203" s="550"/>
      <c r="S203" s="551"/>
      <c r="U203" s="13"/>
    </row>
    <row r="204" spans="2:21" ht="20.100000000000001" customHeight="1" x14ac:dyDescent="0.25">
      <c r="B204" s="13"/>
      <c r="U204" s="13"/>
    </row>
    <row r="205" spans="2:21" ht="20.100000000000001" customHeight="1" thickBot="1" x14ac:dyDescent="0.3">
      <c r="B205" s="13"/>
      <c r="C205" s="26"/>
      <c r="D205" s="26"/>
      <c r="E205" s="552" t="str">
        <f>IF(OR(L200="-",L200= ""),H200,L200)</f>
        <v>Die Burgen von Burgund</v>
      </c>
      <c r="F205" s="552"/>
      <c r="G205" s="552"/>
      <c r="H205" s="552"/>
      <c r="I205" s="552"/>
      <c r="J205" s="552"/>
      <c r="K205" s="552"/>
      <c r="L205" s="552"/>
      <c r="M205" s="552"/>
      <c r="N205" s="552"/>
      <c r="O205" s="199"/>
      <c r="P205" s="199"/>
      <c r="Q205" s="199"/>
      <c r="R205" s="199"/>
      <c r="S205" s="199"/>
      <c r="T205" s="26"/>
      <c r="U205" s="13"/>
    </row>
    <row r="206" spans="2:21" ht="50.1" customHeight="1" thickBot="1" x14ac:dyDescent="0.3">
      <c r="B206" s="13"/>
      <c r="C206" s="26"/>
      <c r="D206" s="199"/>
      <c r="E206" s="88" t="s">
        <v>10</v>
      </c>
      <c r="F206" s="125" t="s">
        <v>52</v>
      </c>
      <c r="G206" s="89" t="s">
        <v>14</v>
      </c>
      <c r="H206" s="200" t="s">
        <v>51</v>
      </c>
      <c r="I206" s="18" t="s">
        <v>54</v>
      </c>
      <c r="J206" s="200" t="s">
        <v>53</v>
      </c>
      <c r="K206" s="206" t="s">
        <v>28</v>
      </c>
      <c r="L206" s="200" t="s">
        <v>37</v>
      </c>
      <c r="M206" s="204" t="s">
        <v>16</v>
      </c>
      <c r="N206" s="89" t="s">
        <v>15</v>
      </c>
      <c r="O206" s="5" t="s">
        <v>30</v>
      </c>
      <c r="P206" s="7" t="s">
        <v>34</v>
      </c>
      <c r="Q206" s="7" t="s">
        <v>31</v>
      </c>
      <c r="R206" s="19" t="s">
        <v>32</v>
      </c>
      <c r="S206" s="199"/>
      <c r="T206" s="26"/>
      <c r="U206" s="13"/>
    </row>
    <row r="207" spans="2:21" ht="20.100000000000001" customHeight="1" x14ac:dyDescent="0.25">
      <c r="B207" s="13"/>
      <c r="C207" s="26"/>
      <c r="D207" s="68"/>
      <c r="E207" s="39" t="s">
        <v>95</v>
      </c>
      <c r="F207" s="253" t="s">
        <v>96</v>
      </c>
      <c r="G207" s="49">
        <v>4</v>
      </c>
      <c r="H207" s="49" t="s">
        <v>167</v>
      </c>
      <c r="I207" s="49">
        <v>0</v>
      </c>
      <c r="J207" s="49">
        <v>218</v>
      </c>
      <c r="K207" s="49" t="s">
        <v>13</v>
      </c>
      <c r="L207" s="50">
        <f>IF(J207="",0,(J207/J211)*100)</f>
        <v>94.372294372294377</v>
      </c>
      <c r="M207" s="49">
        <v>2</v>
      </c>
      <c r="N207" s="61">
        <v>3</v>
      </c>
      <c r="O207" s="57">
        <f>IF(M207=1,1,0)</f>
        <v>0</v>
      </c>
      <c r="P207" s="209">
        <f>IF(M207=2,1,0)</f>
        <v>1</v>
      </c>
      <c r="Q207" s="209">
        <f>IF(M207=3,1,0)</f>
        <v>0</v>
      </c>
      <c r="R207" s="8">
        <f>IF(M207=4,1,0)</f>
        <v>0</v>
      </c>
      <c r="S207" s="198"/>
      <c r="T207" s="26"/>
      <c r="U207" s="13"/>
    </row>
    <row r="208" spans="2:21" ht="20.100000000000001" customHeight="1" x14ac:dyDescent="0.25">
      <c r="B208" s="13"/>
      <c r="C208" s="26"/>
      <c r="D208" s="26"/>
      <c r="E208" s="40" t="s">
        <v>128</v>
      </c>
      <c r="F208" s="247" t="s">
        <v>129</v>
      </c>
      <c r="G208" s="47">
        <v>1</v>
      </c>
      <c r="H208" s="47" t="s">
        <v>164</v>
      </c>
      <c r="I208" s="47">
        <v>0</v>
      </c>
      <c r="J208" s="47">
        <v>190</v>
      </c>
      <c r="K208" s="100" t="s">
        <v>13</v>
      </c>
      <c r="L208" s="48">
        <f>IF(J208="",0,(J208/J211)*100)</f>
        <v>82.251082251082252</v>
      </c>
      <c r="M208" s="47">
        <v>3</v>
      </c>
      <c r="N208" s="60">
        <v>1</v>
      </c>
      <c r="O208" s="205">
        <f>IF(M208=1,1,0)</f>
        <v>0</v>
      </c>
      <c r="P208" s="207">
        <f>IF(M208=2,1,0)</f>
        <v>0</v>
      </c>
      <c r="Q208" s="207">
        <f>IF(M208=3,1,0)</f>
        <v>1</v>
      </c>
      <c r="R208" s="9">
        <f>IF(M208=4,1,0)</f>
        <v>0</v>
      </c>
      <c r="S208" s="198"/>
      <c r="T208" s="26"/>
      <c r="U208" s="13"/>
    </row>
    <row r="209" spans="2:21" ht="20.100000000000001" customHeight="1" x14ac:dyDescent="0.25">
      <c r="B209" s="13"/>
      <c r="C209" s="26"/>
      <c r="D209" s="26"/>
      <c r="E209" s="40" t="s">
        <v>130</v>
      </c>
      <c r="F209" s="247" t="s">
        <v>131</v>
      </c>
      <c r="G209" s="47">
        <v>3</v>
      </c>
      <c r="H209" s="47" t="s">
        <v>164</v>
      </c>
      <c r="I209" s="47">
        <v>0</v>
      </c>
      <c r="J209" s="47">
        <v>185</v>
      </c>
      <c r="K209" s="47" t="s">
        <v>13</v>
      </c>
      <c r="L209" s="48">
        <f>IF(J209="",0,(J209/J211)*100)</f>
        <v>80.086580086580085</v>
      </c>
      <c r="M209" s="47">
        <v>4</v>
      </c>
      <c r="N209" s="60">
        <v>0</v>
      </c>
      <c r="O209" s="205">
        <f>IF(M209=1,1,0)</f>
        <v>0</v>
      </c>
      <c r="P209" s="207">
        <f>IF(M209=2,1,0)</f>
        <v>0</v>
      </c>
      <c r="Q209" s="207">
        <f>IF(M209=3,1,0)</f>
        <v>0</v>
      </c>
      <c r="R209" s="9">
        <f>IF(M209=4,1,0)</f>
        <v>1</v>
      </c>
      <c r="S209" s="198"/>
      <c r="T209" s="26"/>
      <c r="U209" s="13"/>
    </row>
    <row r="210" spans="2:21" ht="20.100000000000001" customHeight="1" thickBot="1" x14ac:dyDescent="0.3">
      <c r="B210" s="13"/>
      <c r="C210" s="26"/>
      <c r="D210" s="26"/>
      <c r="E210" s="282" t="s">
        <v>3</v>
      </c>
      <c r="F210" s="283" t="s">
        <v>63</v>
      </c>
      <c r="G210" s="284">
        <v>2</v>
      </c>
      <c r="H210" s="284" t="s">
        <v>164</v>
      </c>
      <c r="I210" s="284">
        <v>0</v>
      </c>
      <c r="J210" s="284">
        <v>231</v>
      </c>
      <c r="K210" s="285" t="s">
        <v>13</v>
      </c>
      <c r="L210" s="286">
        <f>IF(J210="",0,(J210/J211)*100)</f>
        <v>100</v>
      </c>
      <c r="M210" s="284">
        <v>1</v>
      </c>
      <c r="N210" s="287">
        <v>6</v>
      </c>
      <c r="O210" s="58">
        <f>IF(M210=1,1,0)</f>
        <v>1</v>
      </c>
      <c r="P210" s="208">
        <f>IF(M210=2,1,0)</f>
        <v>0</v>
      </c>
      <c r="Q210" s="208">
        <f>IF(M210=3,1,0)</f>
        <v>0</v>
      </c>
      <c r="R210" s="10">
        <f>IF(M210=4,1,0)</f>
        <v>0</v>
      </c>
      <c r="S210" s="198"/>
      <c r="T210" s="26"/>
      <c r="U210" s="13"/>
    </row>
    <row r="211" spans="2:21" ht="20.100000000000001" hidden="1" customHeight="1" outlineLevel="1" thickBot="1" x14ac:dyDescent="0.3">
      <c r="B211" s="13"/>
      <c r="C211" s="26"/>
      <c r="D211" s="68"/>
      <c r="E211" s="68"/>
      <c r="F211" s="553"/>
      <c r="G211" s="553"/>
      <c r="H211" s="26"/>
      <c r="I211" s="64" t="s">
        <v>29</v>
      </c>
      <c r="J211" s="23">
        <f>MAX(J207:J210)</f>
        <v>231</v>
      </c>
      <c r="K211" s="70"/>
      <c r="L211" s="69"/>
      <c r="M211" s="26"/>
      <c r="N211" s="63" t="s">
        <v>33</v>
      </c>
      <c r="O211" s="20">
        <f>SUM(O207:O210)</f>
        <v>1</v>
      </c>
      <c r="P211" s="21">
        <f>SUM(P207:P210)</f>
        <v>1</v>
      </c>
      <c r="Q211" s="20">
        <f>SUM(Q207:Q210)</f>
        <v>1</v>
      </c>
      <c r="R211" s="22">
        <f>SUM(R207:R210)</f>
        <v>1</v>
      </c>
      <c r="S211" s="69"/>
      <c r="T211" s="26"/>
      <c r="U211" s="13"/>
    </row>
    <row r="212" spans="2:21" ht="20.100000000000001" customHeight="1" collapsed="1" x14ac:dyDescent="0.25">
      <c r="B212" s="13"/>
      <c r="C212" s="26"/>
      <c r="D212" s="26"/>
      <c r="E212" s="26"/>
      <c r="F212" s="26"/>
      <c r="G212" s="26"/>
      <c r="H212" s="26"/>
      <c r="I212" s="26"/>
      <c r="J212" s="26"/>
      <c r="K212" s="26"/>
      <c r="L212" s="26"/>
      <c r="M212" s="26"/>
      <c r="N212" s="26"/>
      <c r="O212" s="26"/>
      <c r="P212" s="26"/>
      <c r="Q212" s="26"/>
      <c r="R212" s="26"/>
      <c r="S212" s="26"/>
      <c r="T212" s="26"/>
      <c r="U212" s="13"/>
    </row>
    <row r="213" spans="2:21" ht="20.100000000000001" customHeight="1" x14ac:dyDescent="0.25">
      <c r="B213" s="13"/>
      <c r="U213" s="13"/>
    </row>
    <row r="214" spans="2:21" ht="20.100000000000001" customHeight="1" thickBot="1" x14ac:dyDescent="0.3">
      <c r="B214" s="13"/>
      <c r="C214" s="27"/>
      <c r="D214" s="27"/>
      <c r="E214" s="554" t="str">
        <f>IF(OR(L201="-",L201= ""),H201,L201)</f>
        <v>Terra Mystica</v>
      </c>
      <c r="F214" s="554"/>
      <c r="G214" s="554"/>
      <c r="H214" s="554"/>
      <c r="I214" s="554"/>
      <c r="J214" s="554"/>
      <c r="K214" s="554"/>
      <c r="L214" s="554"/>
      <c r="M214" s="554"/>
      <c r="N214" s="554"/>
      <c r="O214" s="197"/>
      <c r="P214" s="197"/>
      <c r="Q214" s="197"/>
      <c r="R214" s="197"/>
      <c r="S214" s="197"/>
      <c r="T214" s="27"/>
      <c r="U214" s="13"/>
    </row>
    <row r="215" spans="2:21" ht="50.1" customHeight="1" thickBot="1" x14ac:dyDescent="0.3">
      <c r="B215" s="13"/>
      <c r="C215" s="27"/>
      <c r="D215" s="197"/>
      <c r="E215" s="88" t="s">
        <v>10</v>
      </c>
      <c r="F215" s="125" t="s">
        <v>52</v>
      </c>
      <c r="G215" s="89" t="s">
        <v>14</v>
      </c>
      <c r="H215" s="200" t="s">
        <v>51</v>
      </c>
      <c r="I215" s="18" t="s">
        <v>54</v>
      </c>
      <c r="J215" s="200" t="s">
        <v>53</v>
      </c>
      <c r="K215" s="206" t="s">
        <v>28</v>
      </c>
      <c r="L215" s="200" t="s">
        <v>37</v>
      </c>
      <c r="M215" s="204" t="s">
        <v>16</v>
      </c>
      <c r="N215" s="89" t="s">
        <v>15</v>
      </c>
      <c r="O215" s="5" t="s">
        <v>30</v>
      </c>
      <c r="P215" s="7" t="s">
        <v>34</v>
      </c>
      <c r="Q215" s="7" t="s">
        <v>31</v>
      </c>
      <c r="R215" s="19" t="s">
        <v>32</v>
      </c>
      <c r="S215" s="197"/>
      <c r="T215" s="27"/>
      <c r="U215" s="13"/>
    </row>
    <row r="216" spans="2:21" ht="20.100000000000001" customHeight="1" x14ac:dyDescent="0.25">
      <c r="B216" s="13"/>
      <c r="C216" s="27"/>
      <c r="D216" s="67"/>
      <c r="E216" s="39" t="s">
        <v>95</v>
      </c>
      <c r="F216" s="253" t="s">
        <v>96</v>
      </c>
      <c r="G216" s="49">
        <v>2</v>
      </c>
      <c r="H216" s="49" t="s">
        <v>105</v>
      </c>
      <c r="I216" s="49">
        <v>25</v>
      </c>
      <c r="J216" s="49">
        <v>64</v>
      </c>
      <c r="K216" s="49" t="s">
        <v>13</v>
      </c>
      <c r="L216" s="50">
        <f>IF(J216="",0,(J216/J220)*100)</f>
        <v>40.25157232704403</v>
      </c>
      <c r="M216" s="49">
        <v>4</v>
      </c>
      <c r="N216" s="61">
        <v>0</v>
      </c>
      <c r="O216" s="57">
        <f>IF(M216=1,1,0)</f>
        <v>0</v>
      </c>
      <c r="P216" s="209">
        <f>IF(M216=2,1,0)</f>
        <v>0</v>
      </c>
      <c r="Q216" s="209">
        <f>IF(M216=3,1,0)</f>
        <v>0</v>
      </c>
      <c r="R216" s="8">
        <f>IF(M216=4,1,0)</f>
        <v>1</v>
      </c>
      <c r="S216" s="203"/>
      <c r="T216" s="27"/>
      <c r="U216" s="13"/>
    </row>
    <row r="217" spans="2:21" ht="20.100000000000001" customHeight="1" x14ac:dyDescent="0.25">
      <c r="B217" s="13"/>
      <c r="C217" s="27"/>
      <c r="D217" s="27"/>
      <c r="E217" s="40" t="s">
        <v>128</v>
      </c>
      <c r="F217" s="247" t="s">
        <v>129</v>
      </c>
      <c r="G217" s="47">
        <v>4</v>
      </c>
      <c r="H217" s="47" t="s">
        <v>170</v>
      </c>
      <c r="I217" s="47">
        <v>15</v>
      </c>
      <c r="J217" s="47">
        <v>134</v>
      </c>
      <c r="K217" s="100" t="s">
        <v>13</v>
      </c>
      <c r="L217" s="48">
        <f>IF(J217="",0,(J217/J220)*100)</f>
        <v>84.276729559748432</v>
      </c>
      <c r="M217" s="47">
        <v>2</v>
      </c>
      <c r="N217" s="60">
        <v>3</v>
      </c>
      <c r="O217" s="205">
        <f>IF(M217=1,1,0)</f>
        <v>0</v>
      </c>
      <c r="P217" s="207">
        <f>IF(M217=2,1,0)</f>
        <v>1</v>
      </c>
      <c r="Q217" s="207">
        <f>IF(M217=3,1,0)</f>
        <v>0</v>
      </c>
      <c r="R217" s="9">
        <f>IF(M217=4,1,0)</f>
        <v>0</v>
      </c>
      <c r="S217" s="203"/>
      <c r="T217" s="27"/>
      <c r="U217" s="13"/>
    </row>
    <row r="218" spans="2:21" ht="20.100000000000001" customHeight="1" x14ac:dyDescent="0.25">
      <c r="B218" s="13"/>
      <c r="C218" s="27"/>
      <c r="D218" s="67"/>
      <c r="E218" s="40" t="s">
        <v>130</v>
      </c>
      <c r="F218" s="247" t="s">
        <v>131</v>
      </c>
      <c r="G218" s="47">
        <v>1</v>
      </c>
      <c r="H218" s="47" t="s">
        <v>171</v>
      </c>
      <c r="I218" s="47">
        <v>20</v>
      </c>
      <c r="J218" s="47">
        <v>112</v>
      </c>
      <c r="K218" s="47" t="s">
        <v>13</v>
      </c>
      <c r="L218" s="48">
        <f>IF(J218="",0,(J218/J220)*100)</f>
        <v>70.440251572327043</v>
      </c>
      <c r="M218" s="47">
        <v>3</v>
      </c>
      <c r="N218" s="60">
        <v>1</v>
      </c>
      <c r="O218" s="205">
        <f>IF(M218=1,1,0)</f>
        <v>0</v>
      </c>
      <c r="P218" s="207">
        <f>IF(M218=2,1,0)</f>
        <v>0</v>
      </c>
      <c r="Q218" s="207">
        <f>IF(M218=3,1,0)</f>
        <v>1</v>
      </c>
      <c r="R218" s="9">
        <f>IF(M218=4,1,0)</f>
        <v>0</v>
      </c>
      <c r="S218" s="203"/>
      <c r="T218" s="27"/>
      <c r="U218" s="13"/>
    </row>
    <row r="219" spans="2:21" ht="20.100000000000001" customHeight="1" thickBot="1" x14ac:dyDescent="0.3">
      <c r="B219" s="13"/>
      <c r="C219" s="27"/>
      <c r="D219" s="27"/>
      <c r="E219" s="282" t="s">
        <v>3</v>
      </c>
      <c r="F219" s="283" t="s">
        <v>63</v>
      </c>
      <c r="G219" s="284">
        <v>3</v>
      </c>
      <c r="H219" s="284" t="s">
        <v>169</v>
      </c>
      <c r="I219" s="284">
        <v>20</v>
      </c>
      <c r="J219" s="284">
        <v>159</v>
      </c>
      <c r="K219" s="285" t="s">
        <v>13</v>
      </c>
      <c r="L219" s="286">
        <f>IF(J219="",0,(J219/J220)*100)</f>
        <v>100</v>
      </c>
      <c r="M219" s="284">
        <v>1</v>
      </c>
      <c r="N219" s="287">
        <v>6</v>
      </c>
      <c r="O219" s="58">
        <f>IF(M219=1,1,0)</f>
        <v>1</v>
      </c>
      <c r="P219" s="208">
        <f>IF(M219=2,1,0)</f>
        <v>0</v>
      </c>
      <c r="Q219" s="208">
        <f>IF(M219=3,1,0)</f>
        <v>0</v>
      </c>
      <c r="R219" s="10">
        <f>IF(M219=4,1,0)</f>
        <v>0</v>
      </c>
      <c r="S219" s="203"/>
      <c r="T219" s="27"/>
      <c r="U219" s="13"/>
    </row>
    <row r="220" spans="2:21" ht="20.100000000000001" hidden="1" customHeight="1" outlineLevel="1" thickBot="1" x14ac:dyDescent="0.3">
      <c r="B220" s="13"/>
      <c r="C220" s="27"/>
      <c r="D220" s="27"/>
      <c r="E220" s="27"/>
      <c r="F220" s="531"/>
      <c r="G220" s="531"/>
      <c r="H220" s="27"/>
      <c r="I220" s="64" t="s">
        <v>29</v>
      </c>
      <c r="J220" s="23">
        <f>MAX(J216:J219)</f>
        <v>159</v>
      </c>
      <c r="K220" s="75"/>
      <c r="L220" s="203"/>
      <c r="M220" s="27"/>
      <c r="N220" s="63" t="s">
        <v>33</v>
      </c>
      <c r="O220" s="20">
        <f>SUM(O216:O219)</f>
        <v>1</v>
      </c>
      <c r="P220" s="21">
        <f>SUM(P216:P219)</f>
        <v>1</v>
      </c>
      <c r="Q220" s="20">
        <f>SUM(Q216:Q219)</f>
        <v>1</v>
      </c>
      <c r="R220" s="22">
        <f>SUM(R216:R219)</f>
        <v>1</v>
      </c>
      <c r="S220" s="74"/>
      <c r="T220" s="27"/>
      <c r="U220" s="13"/>
    </row>
    <row r="221" spans="2:21" ht="20.100000000000001" customHeight="1" collapsed="1" x14ac:dyDescent="0.25">
      <c r="B221" s="13"/>
      <c r="C221" s="27"/>
      <c r="D221" s="27"/>
      <c r="E221" s="27"/>
      <c r="F221" s="27"/>
      <c r="G221" s="27"/>
      <c r="H221" s="27"/>
      <c r="I221" s="27"/>
      <c r="J221" s="27"/>
      <c r="K221" s="27"/>
      <c r="L221" s="27"/>
      <c r="M221" s="27"/>
      <c r="N221" s="27"/>
      <c r="O221" s="27"/>
      <c r="P221" s="27"/>
      <c r="Q221" s="27"/>
      <c r="R221" s="27"/>
      <c r="S221" s="27"/>
      <c r="T221" s="27"/>
      <c r="U221" s="13"/>
    </row>
    <row r="222" spans="2:21" ht="20.100000000000001" customHeight="1" x14ac:dyDescent="0.25">
      <c r="B222" s="13"/>
      <c r="D222" s="28"/>
      <c r="E222" s="28"/>
      <c r="F222" s="28"/>
      <c r="G222" s="28"/>
      <c r="H222" s="29"/>
      <c r="I222" s="28"/>
      <c r="J222" s="28"/>
      <c r="U222" s="13"/>
    </row>
    <row r="223" spans="2:21" ht="20.100000000000001" customHeight="1" thickBot="1" x14ac:dyDescent="0.3">
      <c r="B223" s="13"/>
      <c r="C223" s="30"/>
      <c r="D223" s="30"/>
      <c r="E223" s="532" t="str">
        <f>IF(OR(L202="-",L202= ""),H202,L202)</f>
        <v>Auf den Spuren von Marco Polo</v>
      </c>
      <c r="F223" s="532"/>
      <c r="G223" s="532"/>
      <c r="H223" s="532"/>
      <c r="I223" s="532"/>
      <c r="J223" s="532"/>
      <c r="K223" s="532"/>
      <c r="L223" s="532"/>
      <c r="M223" s="532"/>
      <c r="N223" s="532"/>
      <c r="O223" s="196"/>
      <c r="P223" s="196"/>
      <c r="Q223" s="196"/>
      <c r="R223" s="196"/>
      <c r="S223" s="196"/>
      <c r="T223" s="30"/>
      <c r="U223" s="14"/>
    </row>
    <row r="224" spans="2:21" ht="50.1" customHeight="1" thickBot="1" x14ac:dyDescent="0.3">
      <c r="B224" s="13"/>
      <c r="C224" s="30"/>
      <c r="D224" s="196"/>
      <c r="E224" s="88" t="s">
        <v>10</v>
      </c>
      <c r="F224" s="125" t="s">
        <v>52</v>
      </c>
      <c r="G224" s="89" t="s">
        <v>14</v>
      </c>
      <c r="H224" s="200" t="s">
        <v>51</v>
      </c>
      <c r="I224" s="18" t="s">
        <v>54</v>
      </c>
      <c r="J224" s="200" t="s">
        <v>53</v>
      </c>
      <c r="K224" s="206" t="s">
        <v>28</v>
      </c>
      <c r="L224" s="200" t="s">
        <v>37</v>
      </c>
      <c r="M224" s="204" t="s">
        <v>16</v>
      </c>
      <c r="N224" s="89" t="s">
        <v>15</v>
      </c>
      <c r="O224" s="5" t="s">
        <v>30</v>
      </c>
      <c r="P224" s="7" t="s">
        <v>34</v>
      </c>
      <c r="Q224" s="7" t="s">
        <v>31</v>
      </c>
      <c r="R224" s="19" t="s">
        <v>32</v>
      </c>
      <c r="S224" s="196"/>
      <c r="T224" s="30"/>
      <c r="U224" s="14"/>
    </row>
    <row r="225" spans="2:21" ht="20.100000000000001" customHeight="1" x14ac:dyDescent="0.25">
      <c r="B225" s="13"/>
      <c r="C225" s="30"/>
      <c r="D225" s="66"/>
      <c r="E225" s="35" t="s">
        <v>95</v>
      </c>
      <c r="F225" s="272" t="s">
        <v>96</v>
      </c>
      <c r="G225" s="157">
        <v>4</v>
      </c>
      <c r="H225" s="103" t="s">
        <v>175</v>
      </c>
      <c r="I225" s="157">
        <v>0</v>
      </c>
      <c r="J225" s="103">
        <v>77</v>
      </c>
      <c r="K225" s="103" t="s">
        <v>13</v>
      </c>
      <c r="L225" s="36">
        <f>IF(J225="",0,(J225/J229)*100)</f>
        <v>100</v>
      </c>
      <c r="M225" s="157">
        <v>1</v>
      </c>
      <c r="N225" s="99">
        <v>6</v>
      </c>
      <c r="O225" s="57">
        <f>IF(M225=1,1,0)</f>
        <v>1</v>
      </c>
      <c r="P225" s="209">
        <f>IF(M225=2,1,0)</f>
        <v>0</v>
      </c>
      <c r="Q225" s="209">
        <f>IF(M225=3,1,0)</f>
        <v>0</v>
      </c>
      <c r="R225" s="8">
        <f>IF(M225=4,1,0)</f>
        <v>0</v>
      </c>
      <c r="S225" s="194"/>
      <c r="T225" s="30"/>
      <c r="U225" s="13"/>
    </row>
    <row r="226" spans="2:21" ht="20.100000000000001" customHeight="1" x14ac:dyDescent="0.25">
      <c r="B226" s="13"/>
      <c r="C226" s="30"/>
      <c r="D226" s="30"/>
      <c r="E226" s="40" t="s">
        <v>128</v>
      </c>
      <c r="F226" s="247" t="s">
        <v>129</v>
      </c>
      <c r="G226" s="47">
        <v>2</v>
      </c>
      <c r="H226" s="100" t="s">
        <v>174</v>
      </c>
      <c r="I226" s="47">
        <v>0</v>
      </c>
      <c r="J226" s="100">
        <v>67</v>
      </c>
      <c r="K226" s="100" t="s">
        <v>13</v>
      </c>
      <c r="L226" s="48">
        <f>IF(J226="",0,(J226/J229)*100)</f>
        <v>87.012987012987011</v>
      </c>
      <c r="M226" s="47">
        <v>2</v>
      </c>
      <c r="N226" s="60">
        <v>3</v>
      </c>
      <c r="O226" s="205">
        <f>IF(M226=1,1,0)</f>
        <v>0</v>
      </c>
      <c r="P226" s="207">
        <f>IF(M226=2,1,0)</f>
        <v>1</v>
      </c>
      <c r="Q226" s="207">
        <f>IF(M226=3,1,0)</f>
        <v>0</v>
      </c>
      <c r="R226" s="9">
        <f>IF(M226=4,1,0)</f>
        <v>0</v>
      </c>
      <c r="S226" s="194"/>
      <c r="T226" s="30"/>
      <c r="U226" s="31"/>
    </row>
    <row r="227" spans="2:21" ht="20.100000000000001" customHeight="1" x14ac:dyDescent="0.25">
      <c r="B227" s="13"/>
      <c r="C227" s="30"/>
      <c r="D227" s="30"/>
      <c r="E227" s="40" t="s">
        <v>130</v>
      </c>
      <c r="F227" s="247" t="s">
        <v>131</v>
      </c>
      <c r="G227" s="47">
        <v>3</v>
      </c>
      <c r="H227" s="100" t="s">
        <v>94</v>
      </c>
      <c r="I227" s="47">
        <v>0</v>
      </c>
      <c r="J227" s="100">
        <v>60</v>
      </c>
      <c r="K227" s="100" t="s">
        <v>13</v>
      </c>
      <c r="L227" s="48">
        <f>IF(J227="",0,(J227/J229)*100)</f>
        <v>77.922077922077932</v>
      </c>
      <c r="M227" s="47">
        <v>4</v>
      </c>
      <c r="N227" s="60">
        <v>0</v>
      </c>
      <c r="O227" s="205">
        <f>IF(M227=1,1,0)</f>
        <v>0</v>
      </c>
      <c r="P227" s="207">
        <f>IF(M227=2,1,0)</f>
        <v>0</v>
      </c>
      <c r="Q227" s="207">
        <f>IF(M227=3,1,0)</f>
        <v>0</v>
      </c>
      <c r="R227" s="9">
        <f>IF(M227=4,1,0)</f>
        <v>1</v>
      </c>
      <c r="S227" s="194"/>
      <c r="T227" s="30"/>
      <c r="U227" s="31"/>
    </row>
    <row r="228" spans="2:21" ht="20.100000000000001" customHeight="1" thickBot="1" x14ac:dyDescent="0.3">
      <c r="B228" s="13"/>
      <c r="C228" s="30"/>
      <c r="D228" s="30"/>
      <c r="E228" s="41" t="s">
        <v>3</v>
      </c>
      <c r="F228" s="255" t="s">
        <v>63</v>
      </c>
      <c r="G228" s="150">
        <v>1</v>
      </c>
      <c r="H228" s="107" t="s">
        <v>173</v>
      </c>
      <c r="I228" s="150">
        <v>0</v>
      </c>
      <c r="J228" s="107">
        <v>66</v>
      </c>
      <c r="K228" s="107" t="s">
        <v>13</v>
      </c>
      <c r="L228" s="17">
        <f>IF(J228="",0,(J228/J229)*100)</f>
        <v>85.714285714285708</v>
      </c>
      <c r="M228" s="150">
        <v>3</v>
      </c>
      <c r="N228" s="59">
        <v>1</v>
      </c>
      <c r="O228" s="58">
        <f>IF(M228=1,1,0)</f>
        <v>0</v>
      </c>
      <c r="P228" s="208">
        <f>IF(M228=2,1,0)</f>
        <v>0</v>
      </c>
      <c r="Q228" s="208">
        <f>IF(M228=3,1,0)</f>
        <v>1</v>
      </c>
      <c r="R228" s="10">
        <f>IF(M228=4,1,0)</f>
        <v>0</v>
      </c>
      <c r="S228" s="194"/>
      <c r="T228" s="30"/>
      <c r="U228" s="31"/>
    </row>
    <row r="229" spans="2:21" ht="20.100000000000001" hidden="1" customHeight="1" outlineLevel="1" thickBot="1" x14ac:dyDescent="0.3">
      <c r="B229" s="13"/>
      <c r="C229" s="30"/>
      <c r="D229" s="30"/>
      <c r="E229" s="30"/>
      <c r="F229" s="533"/>
      <c r="G229" s="533"/>
      <c r="H229" s="30"/>
      <c r="I229" s="64" t="s">
        <v>29</v>
      </c>
      <c r="J229" s="23">
        <f>MAX(J225:J228)</f>
        <v>77</v>
      </c>
      <c r="K229" s="76"/>
      <c r="L229" s="194"/>
      <c r="M229" s="30"/>
      <c r="N229" s="63" t="s">
        <v>33</v>
      </c>
      <c r="O229" s="20">
        <f>SUM(O225:O228)</f>
        <v>1</v>
      </c>
      <c r="P229" s="21">
        <f>SUM(P225:P228)</f>
        <v>1</v>
      </c>
      <c r="Q229" s="20">
        <f>SUM(Q225:Q228)</f>
        <v>1</v>
      </c>
      <c r="R229" s="22">
        <f>SUM(R225:R228)</f>
        <v>1</v>
      </c>
      <c r="S229" s="77"/>
      <c r="T229" s="30"/>
      <c r="U229" s="31"/>
    </row>
    <row r="230" spans="2:21" ht="20.100000000000001" customHeight="1" collapsed="1" x14ac:dyDescent="0.25">
      <c r="B230" s="13"/>
      <c r="C230" s="30"/>
      <c r="D230" s="30"/>
      <c r="E230" s="30"/>
      <c r="F230" s="30"/>
      <c r="G230" s="30"/>
      <c r="H230" s="30"/>
      <c r="I230" s="30"/>
      <c r="J230" s="30"/>
      <c r="K230" s="30"/>
      <c r="L230" s="30"/>
      <c r="M230" s="30"/>
      <c r="N230" s="30"/>
      <c r="O230" s="30"/>
      <c r="P230" s="30"/>
      <c r="Q230" s="30"/>
      <c r="R230" s="30"/>
      <c r="S230" s="30"/>
      <c r="T230" s="30"/>
      <c r="U230" s="31"/>
    </row>
    <row r="231" spans="2:21" ht="20.100000000000001" customHeight="1" x14ac:dyDescent="0.25">
      <c r="B231" s="13"/>
      <c r="D231" s="28"/>
      <c r="E231" s="28"/>
      <c r="F231" s="28"/>
      <c r="G231" s="28"/>
      <c r="H231" s="29"/>
      <c r="I231" s="28"/>
      <c r="J231" s="28"/>
      <c r="K231" s="28"/>
      <c r="U231" s="13"/>
    </row>
    <row r="232" spans="2:21" ht="20.100000000000001" customHeight="1" thickBot="1" x14ac:dyDescent="0.3">
      <c r="B232" s="13"/>
      <c r="C232" s="32"/>
      <c r="D232" s="32"/>
      <c r="E232" s="534" t="str">
        <f>IF(OR(M203="-",M203= ""),H203,M203)</f>
        <v>Stone Age</v>
      </c>
      <c r="F232" s="534"/>
      <c r="G232" s="534"/>
      <c r="H232" s="534"/>
      <c r="I232" s="534"/>
      <c r="J232" s="534"/>
      <c r="K232" s="534"/>
      <c r="L232" s="534"/>
      <c r="M232" s="534"/>
      <c r="N232" s="534"/>
      <c r="O232" s="195"/>
      <c r="P232" s="195"/>
      <c r="Q232" s="195"/>
      <c r="R232" s="195"/>
      <c r="S232" s="195"/>
      <c r="T232" s="32"/>
      <c r="U232" s="13"/>
    </row>
    <row r="233" spans="2:21" ht="50.1" customHeight="1" thickBot="1" x14ac:dyDescent="0.3">
      <c r="B233" s="13"/>
      <c r="C233" s="32"/>
      <c r="D233" s="195"/>
      <c r="E233" s="88" t="s">
        <v>10</v>
      </c>
      <c r="F233" s="125" t="s">
        <v>52</v>
      </c>
      <c r="G233" s="89" t="s">
        <v>14</v>
      </c>
      <c r="H233" s="200" t="s">
        <v>51</v>
      </c>
      <c r="I233" s="18" t="s">
        <v>54</v>
      </c>
      <c r="J233" s="200" t="s">
        <v>53</v>
      </c>
      <c r="K233" s="206" t="s">
        <v>28</v>
      </c>
      <c r="L233" s="200" t="s">
        <v>37</v>
      </c>
      <c r="M233" s="204" t="s">
        <v>16</v>
      </c>
      <c r="N233" s="89" t="s">
        <v>15</v>
      </c>
      <c r="O233" s="5" t="s">
        <v>30</v>
      </c>
      <c r="P233" s="7" t="s">
        <v>34</v>
      </c>
      <c r="Q233" s="7" t="s">
        <v>31</v>
      </c>
      <c r="R233" s="19" t="s">
        <v>32</v>
      </c>
      <c r="S233" s="195"/>
      <c r="T233" s="32"/>
      <c r="U233" s="13"/>
    </row>
    <row r="234" spans="2:21" ht="20.100000000000001" customHeight="1" x14ac:dyDescent="0.25">
      <c r="B234" s="13"/>
      <c r="C234" s="32"/>
      <c r="D234" s="32"/>
      <c r="E234" s="39" t="s">
        <v>95</v>
      </c>
      <c r="F234" s="253" t="s">
        <v>96</v>
      </c>
      <c r="G234" s="49">
        <v>4</v>
      </c>
      <c r="H234" s="122" t="s">
        <v>13</v>
      </c>
      <c r="I234" s="49">
        <v>0</v>
      </c>
      <c r="J234" s="180">
        <v>149</v>
      </c>
      <c r="K234" s="122" t="s">
        <v>13</v>
      </c>
      <c r="L234" s="50">
        <f>IF(J234="",0,(J234/J238)*100)</f>
        <v>47.301587301587297</v>
      </c>
      <c r="M234" s="49">
        <v>4</v>
      </c>
      <c r="N234" s="61">
        <v>0</v>
      </c>
      <c r="O234" s="57">
        <f>IF(M234=1,1,0)</f>
        <v>0</v>
      </c>
      <c r="P234" s="209">
        <f>IF(M234=2,1,0)</f>
        <v>0</v>
      </c>
      <c r="Q234" s="209">
        <f>IF(M234=3,1,0)</f>
        <v>0</v>
      </c>
      <c r="R234" s="8">
        <f>IF(M234=4,1,0)</f>
        <v>1</v>
      </c>
      <c r="S234" s="201"/>
      <c r="T234" s="32"/>
      <c r="U234" s="13"/>
    </row>
    <row r="235" spans="2:21" ht="20.100000000000001" customHeight="1" x14ac:dyDescent="0.25">
      <c r="B235" s="13"/>
      <c r="C235" s="32"/>
      <c r="D235" s="32"/>
      <c r="E235" s="40" t="s">
        <v>128</v>
      </c>
      <c r="F235" s="247" t="s">
        <v>129</v>
      </c>
      <c r="G235" s="47">
        <v>3</v>
      </c>
      <c r="H235" s="47" t="s">
        <v>13</v>
      </c>
      <c r="I235" s="47">
        <v>0</v>
      </c>
      <c r="J235" s="158">
        <v>151</v>
      </c>
      <c r="K235" s="100" t="s">
        <v>13</v>
      </c>
      <c r="L235" s="48">
        <f>IF(J235="",0,(J235/J238)*100)</f>
        <v>47.936507936507937</v>
      </c>
      <c r="M235" s="47">
        <v>3</v>
      </c>
      <c r="N235" s="60">
        <v>1</v>
      </c>
      <c r="O235" s="205">
        <f>IF(M235=1,1,0)</f>
        <v>0</v>
      </c>
      <c r="P235" s="207">
        <f>IF(M235=2,1,0)</f>
        <v>0</v>
      </c>
      <c r="Q235" s="207">
        <f>IF(M235=3,1,0)</f>
        <v>1</v>
      </c>
      <c r="R235" s="9">
        <f>IF(M235=4,1,0)</f>
        <v>0</v>
      </c>
      <c r="S235" s="201"/>
      <c r="T235" s="32"/>
      <c r="U235" s="13"/>
    </row>
    <row r="236" spans="2:21" ht="20.100000000000001" customHeight="1" x14ac:dyDescent="0.25">
      <c r="B236" s="13"/>
      <c r="C236" s="32"/>
      <c r="D236" s="32"/>
      <c r="E236" s="40" t="s">
        <v>130</v>
      </c>
      <c r="F236" s="247" t="s">
        <v>131</v>
      </c>
      <c r="G236" s="47">
        <v>1</v>
      </c>
      <c r="H236" s="47" t="s">
        <v>13</v>
      </c>
      <c r="I236" s="47">
        <v>0</v>
      </c>
      <c r="J236" s="158">
        <v>166</v>
      </c>
      <c r="K236" s="47" t="s">
        <v>13</v>
      </c>
      <c r="L236" s="48">
        <f>IF(J236="",0,(J236/J238)*100)</f>
        <v>52.698412698412703</v>
      </c>
      <c r="M236" s="47">
        <v>2</v>
      </c>
      <c r="N236" s="60">
        <v>3</v>
      </c>
      <c r="O236" s="205">
        <f>IF(M236=1,1,0)</f>
        <v>0</v>
      </c>
      <c r="P236" s="207">
        <f>IF(M236=2,1,0)</f>
        <v>1</v>
      </c>
      <c r="Q236" s="207">
        <f>IF(M236=3,1,0)</f>
        <v>0</v>
      </c>
      <c r="R236" s="9">
        <f>IF(M236=4,1,0)</f>
        <v>0</v>
      </c>
      <c r="S236" s="201"/>
      <c r="T236" s="32"/>
      <c r="U236" s="13"/>
    </row>
    <row r="237" spans="2:21" ht="20.100000000000001" customHeight="1" thickBot="1" x14ac:dyDescent="0.3">
      <c r="B237" s="13"/>
      <c r="C237" s="32"/>
      <c r="D237" s="65"/>
      <c r="E237" s="282" t="s">
        <v>3</v>
      </c>
      <c r="F237" s="283" t="s">
        <v>63</v>
      </c>
      <c r="G237" s="284">
        <v>2</v>
      </c>
      <c r="H237" s="284" t="s">
        <v>13</v>
      </c>
      <c r="I237" s="284">
        <v>0</v>
      </c>
      <c r="J237" s="289">
        <v>315</v>
      </c>
      <c r="K237" s="285" t="s">
        <v>13</v>
      </c>
      <c r="L237" s="286">
        <f>IF(J237="",0,(J237/J238)*100)</f>
        <v>100</v>
      </c>
      <c r="M237" s="284">
        <v>1</v>
      </c>
      <c r="N237" s="287">
        <v>6</v>
      </c>
      <c r="O237" s="58">
        <f>IF(M237=1,1,0)</f>
        <v>1</v>
      </c>
      <c r="P237" s="208">
        <f>IF(M237=2,1,0)</f>
        <v>0</v>
      </c>
      <c r="Q237" s="208">
        <f>IF(M237=3,1,0)</f>
        <v>0</v>
      </c>
      <c r="R237" s="10">
        <f>IF(M237=4,1,0)</f>
        <v>0</v>
      </c>
      <c r="S237" s="201"/>
      <c r="T237" s="32"/>
      <c r="U237" s="13"/>
    </row>
    <row r="238" spans="2:21" ht="20.100000000000001" hidden="1" customHeight="1" outlineLevel="1" thickBot="1" x14ac:dyDescent="0.3">
      <c r="B238" s="13"/>
      <c r="C238" s="32"/>
      <c r="D238" s="32"/>
      <c r="E238" s="32"/>
      <c r="F238" s="535"/>
      <c r="G238" s="535"/>
      <c r="H238" s="32"/>
      <c r="I238" s="64" t="s">
        <v>29</v>
      </c>
      <c r="J238" s="23">
        <f>MAX(J234:J237)</f>
        <v>315</v>
      </c>
      <c r="K238" s="78"/>
      <c r="L238" s="201"/>
      <c r="M238" s="32"/>
      <c r="N238" s="63" t="s">
        <v>33</v>
      </c>
      <c r="O238" s="20">
        <f>SUM(O234:O237)</f>
        <v>1</v>
      </c>
      <c r="P238" s="21">
        <f>SUM(P234:P237)</f>
        <v>1</v>
      </c>
      <c r="Q238" s="20">
        <f>SUM(Q234:Q237)</f>
        <v>1</v>
      </c>
      <c r="R238" s="22">
        <f>SUM(R234:R237)</f>
        <v>1</v>
      </c>
      <c r="S238" s="79"/>
      <c r="T238" s="32"/>
      <c r="U238" s="13"/>
    </row>
    <row r="239" spans="2:21" ht="20.100000000000001" customHeight="1" collapsed="1" x14ac:dyDescent="0.25">
      <c r="B239" s="13"/>
      <c r="C239" s="32"/>
      <c r="D239" s="32"/>
      <c r="E239" s="32"/>
      <c r="F239" s="32"/>
      <c r="G239" s="32"/>
      <c r="H239" s="32"/>
      <c r="I239" s="32"/>
      <c r="J239" s="32"/>
      <c r="K239" s="32"/>
      <c r="L239" s="32"/>
      <c r="M239" s="32"/>
      <c r="N239" s="32"/>
      <c r="O239" s="32"/>
      <c r="P239" s="32"/>
      <c r="Q239" s="32"/>
      <c r="R239" s="32"/>
      <c r="S239" s="32"/>
      <c r="T239" s="32"/>
      <c r="U239" s="13"/>
    </row>
    <row r="240" spans="2:21" ht="20.100000000000001" customHeight="1" x14ac:dyDescent="0.25">
      <c r="B240" s="13"/>
      <c r="D240" s="4"/>
      <c r="E240" s="4"/>
      <c r="F240" s="4"/>
      <c r="G240" s="4"/>
      <c r="H240" s="4"/>
      <c r="I240" s="4"/>
      <c r="J240" s="4"/>
      <c r="U240" s="13"/>
    </row>
    <row r="241" spans="2:21" ht="30" customHeight="1" thickBot="1" x14ac:dyDescent="0.3">
      <c r="B241" s="13"/>
      <c r="C241" s="33"/>
      <c r="D241" s="536" t="s">
        <v>178</v>
      </c>
      <c r="E241" s="536"/>
      <c r="F241" s="536"/>
      <c r="G241" s="536"/>
      <c r="H241" s="536"/>
      <c r="I241" s="536"/>
      <c r="J241" s="536"/>
      <c r="K241" s="536"/>
      <c r="L241" s="536"/>
      <c r="M241" s="536"/>
      <c r="N241" s="536"/>
      <c r="O241" s="536"/>
      <c r="P241" s="536"/>
      <c r="Q241" s="536"/>
      <c r="R241" s="536"/>
      <c r="S241" s="536"/>
      <c r="T241" s="33"/>
      <c r="U241" s="13"/>
    </row>
    <row r="242" spans="2:21" ht="50.1" customHeight="1" thickBot="1" x14ac:dyDescent="0.3">
      <c r="B242" s="13"/>
      <c r="C242" s="33"/>
      <c r="D242" s="90" t="s">
        <v>10</v>
      </c>
      <c r="E242" s="93" t="s">
        <v>65</v>
      </c>
      <c r="F242" s="91" t="s">
        <v>15</v>
      </c>
      <c r="G242" s="42" t="s">
        <v>55</v>
      </c>
      <c r="H242" s="537" t="s">
        <v>56</v>
      </c>
      <c r="I242" s="538"/>
      <c r="J242" s="202" t="s">
        <v>66</v>
      </c>
      <c r="K242" s="92" t="s">
        <v>17</v>
      </c>
      <c r="L242" s="91" t="s">
        <v>18</v>
      </c>
      <c r="M242" s="92" t="s">
        <v>19</v>
      </c>
      <c r="N242" s="91" t="s">
        <v>20</v>
      </c>
      <c r="O242" s="130"/>
      <c r="P242" s="126"/>
      <c r="Q242" s="126"/>
      <c r="R242" s="126"/>
      <c r="S242" s="93" t="s">
        <v>38</v>
      </c>
      <c r="T242" s="33"/>
      <c r="U242" s="13"/>
    </row>
    <row r="243" spans="2:21" ht="20.100000000000001" customHeight="1" x14ac:dyDescent="0.25">
      <c r="B243" s="13"/>
      <c r="C243" s="33"/>
      <c r="D243" s="131" t="s">
        <v>3</v>
      </c>
      <c r="E243" s="288" t="s">
        <v>63</v>
      </c>
      <c r="F243" s="133">
        <f>K243*6+L243*3+M243*1+N243*0</f>
        <v>19</v>
      </c>
      <c r="G243" s="262">
        <v>0</v>
      </c>
      <c r="H243" s="539" t="s">
        <v>13</v>
      </c>
      <c r="I243" s="539"/>
      <c r="J243" s="133">
        <f>F243+G243</f>
        <v>19</v>
      </c>
      <c r="K243" s="133">
        <v>3</v>
      </c>
      <c r="L243" s="133">
        <v>0</v>
      </c>
      <c r="M243" s="133">
        <v>1</v>
      </c>
      <c r="N243" s="133">
        <v>0</v>
      </c>
      <c r="O243" s="152"/>
      <c r="P243" s="262"/>
      <c r="Q243" s="262"/>
      <c r="R243" s="262"/>
      <c r="S243" s="134">
        <f>(L210+L219+L228+L237)/4</f>
        <v>96.428571428571431</v>
      </c>
      <c r="T243" s="33"/>
      <c r="U243" s="13"/>
    </row>
    <row r="244" spans="2:21" ht="20.100000000000001" customHeight="1" x14ac:dyDescent="0.25">
      <c r="B244" s="13"/>
      <c r="C244" s="33"/>
      <c r="D244" s="51" t="s">
        <v>95</v>
      </c>
      <c r="E244" s="274" t="s">
        <v>96</v>
      </c>
      <c r="F244" s="52">
        <f>K244*6+L244*3+M244*1+N244*0</f>
        <v>9</v>
      </c>
      <c r="G244" s="263">
        <v>0</v>
      </c>
      <c r="H244" s="529" t="s">
        <v>13</v>
      </c>
      <c r="I244" s="529"/>
      <c r="J244" s="52">
        <f>F244+G244</f>
        <v>9</v>
      </c>
      <c r="K244" s="52">
        <v>1</v>
      </c>
      <c r="L244" s="52">
        <v>1</v>
      </c>
      <c r="M244" s="52">
        <v>0</v>
      </c>
      <c r="N244" s="52">
        <v>2</v>
      </c>
      <c r="O244" s="151"/>
      <c r="P244" s="263"/>
      <c r="Q244" s="263"/>
      <c r="R244" s="263"/>
      <c r="S244" s="104">
        <f>(L207+L216+L225+L234)/4</f>
        <v>70.481363500231424</v>
      </c>
      <c r="T244" s="33"/>
      <c r="U244" s="13"/>
    </row>
    <row r="245" spans="2:21" ht="20.100000000000001" customHeight="1" x14ac:dyDescent="0.25">
      <c r="B245" s="13"/>
      <c r="C245" s="33"/>
      <c r="D245" s="51" t="s">
        <v>128</v>
      </c>
      <c r="E245" s="274" t="s">
        <v>129</v>
      </c>
      <c r="F245" s="52">
        <f>K245*6+L245*3+M245*1+N245*0</f>
        <v>8</v>
      </c>
      <c r="G245" s="263">
        <v>0</v>
      </c>
      <c r="H245" s="529" t="s">
        <v>13</v>
      </c>
      <c r="I245" s="529"/>
      <c r="J245" s="52">
        <f>F245+G245</f>
        <v>8</v>
      </c>
      <c r="K245" s="52">
        <v>0</v>
      </c>
      <c r="L245" s="52">
        <v>2</v>
      </c>
      <c r="M245" s="52">
        <v>2</v>
      </c>
      <c r="N245" s="52">
        <v>0</v>
      </c>
      <c r="O245" s="151"/>
      <c r="P245" s="263"/>
      <c r="Q245" s="263"/>
      <c r="R245" s="263"/>
      <c r="S245" s="104">
        <f>(L208+L217+L226+L235)/4</f>
        <v>75.369326690081408</v>
      </c>
      <c r="T245" s="33"/>
      <c r="U245" s="13"/>
    </row>
    <row r="246" spans="2:21" ht="20.100000000000001" customHeight="1" thickBot="1" x14ac:dyDescent="0.3">
      <c r="B246" s="13"/>
      <c r="C246" s="33"/>
      <c r="D246" s="105" t="s">
        <v>130</v>
      </c>
      <c r="E246" s="275" t="s">
        <v>131</v>
      </c>
      <c r="F246" s="109">
        <f>K246*6+L246*3+M246*1+N246*0</f>
        <v>4</v>
      </c>
      <c r="G246" s="264">
        <v>0</v>
      </c>
      <c r="H246" s="530" t="s">
        <v>13</v>
      </c>
      <c r="I246" s="530"/>
      <c r="J246" s="109">
        <f>F246+G246</f>
        <v>4</v>
      </c>
      <c r="K246" s="109">
        <v>0</v>
      </c>
      <c r="L246" s="109">
        <v>1</v>
      </c>
      <c r="M246" s="109">
        <v>1</v>
      </c>
      <c r="N246" s="109">
        <v>2</v>
      </c>
      <c r="O246" s="153"/>
      <c r="P246" s="264"/>
      <c r="Q246" s="264"/>
      <c r="R246" s="264"/>
      <c r="S246" s="106">
        <f>(L209+L218+L227+L236)/4</f>
        <v>70.286830569849442</v>
      </c>
      <c r="T246" s="33"/>
      <c r="U246" s="13"/>
    </row>
    <row r="247" spans="2:21" ht="20.100000000000001" customHeight="1" x14ac:dyDescent="0.25">
      <c r="B247" s="13"/>
      <c r="C247" s="33"/>
      <c r="D247" s="33"/>
      <c r="E247" s="33"/>
      <c r="F247" s="33"/>
      <c r="G247" s="33"/>
      <c r="H247" s="33"/>
      <c r="I247" s="33"/>
      <c r="J247" s="33"/>
      <c r="K247" s="33"/>
      <c r="L247" s="33"/>
      <c r="M247" s="33"/>
      <c r="N247" s="33"/>
      <c r="O247" s="33"/>
      <c r="P247" s="33"/>
      <c r="Q247" s="33"/>
      <c r="R247" s="33"/>
      <c r="S247" s="33"/>
      <c r="T247" s="33"/>
      <c r="U247" s="13"/>
    </row>
    <row r="248" spans="2:21" ht="20.100000000000001" customHeight="1" x14ac:dyDescent="0.25">
      <c r="B248" s="13"/>
      <c r="C248" s="13"/>
      <c r="D248" s="15"/>
      <c r="E248" s="15"/>
      <c r="F248" s="14"/>
      <c r="G248" s="14"/>
      <c r="H248" s="15"/>
      <c r="I248" s="15"/>
      <c r="J248" s="15"/>
      <c r="K248" s="13"/>
      <c r="L248" s="13"/>
      <c r="M248" s="13"/>
      <c r="N248" s="13"/>
      <c r="O248" s="13"/>
      <c r="P248" s="13"/>
      <c r="Q248" s="13"/>
      <c r="R248" s="13"/>
      <c r="S248" s="13"/>
      <c r="T248" s="13"/>
      <c r="U248" s="13"/>
    </row>
  </sheetData>
  <mergeCells count="150">
    <mergeCell ref="B18:C18"/>
    <mergeCell ref="B19:C19"/>
    <mergeCell ref="B20:C20"/>
    <mergeCell ref="B21:C21"/>
    <mergeCell ref="L18:L21"/>
    <mergeCell ref="B23:H23"/>
    <mergeCell ref="B4:I4"/>
    <mergeCell ref="B25:C25"/>
    <mergeCell ref="H187:I187"/>
    <mergeCell ref="F142:F143"/>
    <mergeCell ref="G142:J142"/>
    <mergeCell ref="L142:S142"/>
    <mergeCell ref="I143:J143"/>
    <mergeCell ref="N143:S143"/>
    <mergeCell ref="H131:I131"/>
    <mergeCell ref="H132:I132"/>
    <mergeCell ref="E93:N93"/>
    <mergeCell ref="F99:G99"/>
    <mergeCell ref="E102:N102"/>
    <mergeCell ref="F108:G108"/>
    <mergeCell ref="I88:J88"/>
    <mergeCell ref="N88:S88"/>
    <mergeCell ref="I89:J89"/>
    <mergeCell ref="N89:S89"/>
    <mergeCell ref="H188:I188"/>
    <mergeCell ref="H190:I190"/>
    <mergeCell ref="K4:M4"/>
    <mergeCell ref="E167:N167"/>
    <mergeCell ref="F173:G173"/>
    <mergeCell ref="E176:N176"/>
    <mergeCell ref="F182:G182"/>
    <mergeCell ref="D185:S185"/>
    <mergeCell ref="H186:I186"/>
    <mergeCell ref="I147:J147"/>
    <mergeCell ref="N147:S147"/>
    <mergeCell ref="E149:N149"/>
    <mergeCell ref="F155:G155"/>
    <mergeCell ref="E158:N158"/>
    <mergeCell ref="F164:G164"/>
    <mergeCell ref="I144:J144"/>
    <mergeCell ref="N144:S144"/>
    <mergeCell ref="I145:J145"/>
    <mergeCell ref="N145:S145"/>
    <mergeCell ref="I146:J146"/>
    <mergeCell ref="N146:S146"/>
    <mergeCell ref="H76:I76"/>
    <mergeCell ref="D142:D143"/>
    <mergeCell ref="E142:E143"/>
    <mergeCell ref="I90:J90"/>
    <mergeCell ref="N90:S90"/>
    <mergeCell ref="C84:T84"/>
    <mergeCell ref="D86:D87"/>
    <mergeCell ref="E86:E87"/>
    <mergeCell ref="Y132:Z132"/>
    <mergeCell ref="H133:I133"/>
    <mergeCell ref="H134:I134"/>
    <mergeCell ref="C140:T140"/>
    <mergeCell ref="E111:N111"/>
    <mergeCell ref="F117:G117"/>
    <mergeCell ref="E120:N120"/>
    <mergeCell ref="F126:G126"/>
    <mergeCell ref="D129:S129"/>
    <mergeCell ref="H130:I130"/>
    <mergeCell ref="F86:F87"/>
    <mergeCell ref="G86:J86"/>
    <mergeCell ref="L86:S86"/>
    <mergeCell ref="I87:J87"/>
    <mergeCell ref="N87:S87"/>
    <mergeCell ref="I91:J91"/>
    <mergeCell ref="N91:S91"/>
    <mergeCell ref="D73:S73"/>
    <mergeCell ref="H74:I74"/>
    <mergeCell ref="H75:I75"/>
    <mergeCell ref="H77:I77"/>
    <mergeCell ref="F44:G44"/>
    <mergeCell ref="E46:N46"/>
    <mergeCell ref="F52:G52"/>
    <mergeCell ref="E55:N55"/>
    <mergeCell ref="F61:G61"/>
    <mergeCell ref="E64:N64"/>
    <mergeCell ref="F43:G43"/>
    <mergeCell ref="I31:J31"/>
    <mergeCell ref="N31:S31"/>
    <mergeCell ref="I32:J32"/>
    <mergeCell ref="N32:S32"/>
    <mergeCell ref="I33:J33"/>
    <mergeCell ref="N33:S33"/>
    <mergeCell ref="D30:D31"/>
    <mergeCell ref="E30:E31"/>
    <mergeCell ref="F30:F31"/>
    <mergeCell ref="G30:J30"/>
    <mergeCell ref="L30:S30"/>
    <mergeCell ref="I34:J34"/>
    <mergeCell ref="N34:S34"/>
    <mergeCell ref="I35:J35"/>
    <mergeCell ref="N35:S35"/>
    <mergeCell ref="A1:N2"/>
    <mergeCell ref="B5:C5"/>
    <mergeCell ref="B6:C6"/>
    <mergeCell ref="L6:L9"/>
    <mergeCell ref="B7:C7"/>
    <mergeCell ref="B8:C8"/>
    <mergeCell ref="B9:C9"/>
    <mergeCell ref="H78:I78"/>
    <mergeCell ref="H189:I189"/>
    <mergeCell ref="B10:C10"/>
    <mergeCell ref="L10:L13"/>
    <mergeCell ref="B11:C11"/>
    <mergeCell ref="B12:C12"/>
    <mergeCell ref="B13:C13"/>
    <mergeCell ref="B14:C14"/>
    <mergeCell ref="L14:L17"/>
    <mergeCell ref="B15:C15"/>
    <mergeCell ref="B16:C16"/>
    <mergeCell ref="B17:C17"/>
    <mergeCell ref="K22:L22"/>
    <mergeCell ref="B24:C24"/>
    <mergeCell ref="C28:T28"/>
    <mergeCell ref="F70:G70"/>
    <mergeCell ref="E37:N37"/>
    <mergeCell ref="C196:T196"/>
    <mergeCell ref="D198:D199"/>
    <mergeCell ref="E198:E199"/>
    <mergeCell ref="F198:F199"/>
    <mergeCell ref="G198:J198"/>
    <mergeCell ref="L198:S198"/>
    <mergeCell ref="I199:J199"/>
    <mergeCell ref="N199:S199"/>
    <mergeCell ref="I200:J200"/>
    <mergeCell ref="N200:S200"/>
    <mergeCell ref="I201:J201"/>
    <mergeCell ref="N201:S201"/>
    <mergeCell ref="I202:J202"/>
    <mergeCell ref="N202:S202"/>
    <mergeCell ref="I203:J203"/>
    <mergeCell ref="N203:S203"/>
    <mergeCell ref="E205:N205"/>
    <mergeCell ref="F211:G211"/>
    <mergeCell ref="E214:N214"/>
    <mergeCell ref="H245:I245"/>
    <mergeCell ref="H246:I246"/>
    <mergeCell ref="F220:G220"/>
    <mergeCell ref="E223:N223"/>
    <mergeCell ref="F229:G229"/>
    <mergeCell ref="E232:N232"/>
    <mergeCell ref="F238:G238"/>
    <mergeCell ref="D241:S241"/>
    <mergeCell ref="H242:I242"/>
    <mergeCell ref="H243:I243"/>
    <mergeCell ref="H244:I244"/>
  </mergeCells>
  <conditionalFormatting sqref="B6:I21">
    <cfRule type="expression" dxfId="1173" priority="1">
      <formula>$I6="Nein"</formula>
    </cfRule>
    <cfRule type="expression" dxfId="1172" priority="2">
      <formula>$I6="Ja"</formula>
    </cfRule>
  </conditionalFormatting>
  <dataValidations disablePrompts="1" count="1">
    <dataValidation type="list" allowBlank="1" showInputMessage="1" showErrorMessage="1" sqref="O25 I6:I21" xr:uid="{20FBC417-8A70-4177-8E78-393AEEEA012D}">
      <formula1>"Ja,Nein"</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967D4-F862-443B-A5A2-DC26DE16FE2B}">
  <dimension ref="A1:AE249"/>
  <sheetViews>
    <sheetView showGridLines="0" topLeftCell="A191" workbookViewId="0">
      <selection activeCell="A156" sqref="A156:XFD199"/>
    </sheetView>
  </sheetViews>
  <sheetFormatPr baseColWidth="10" defaultColWidth="11.42578125" defaultRowHeight="15" outlineLevelRow="1" outlineLevelCol="1" x14ac:dyDescent="0.25"/>
  <cols>
    <col min="1" max="3" width="3.7109375" style="2" customWidth="1"/>
    <col min="4" max="14" width="20.7109375" style="2" customWidth="1"/>
    <col min="15" max="18" width="20.7109375" style="2" hidden="1" customWidth="1" outlineLevel="1"/>
    <col min="19" max="19" width="20.7109375" style="2" customWidth="1" collapsed="1"/>
    <col min="20" max="21" width="3.7109375" style="2" customWidth="1"/>
    <col min="22" max="22" width="15.85546875" style="2" customWidth="1"/>
    <col min="23" max="24" width="20.7109375" style="2" customWidth="1"/>
    <col min="25" max="16384" width="11.42578125" style="2"/>
  </cols>
  <sheetData>
    <row r="1" spans="1:23" x14ac:dyDescent="0.25">
      <c r="A1" s="573" t="s">
        <v>187</v>
      </c>
      <c r="B1" s="573"/>
      <c r="C1" s="573"/>
      <c r="D1" s="573"/>
      <c r="E1" s="573"/>
      <c r="F1" s="573"/>
      <c r="G1" s="573"/>
      <c r="H1" s="573"/>
      <c r="I1" s="573"/>
      <c r="J1" s="573"/>
      <c r="K1" s="573"/>
      <c r="L1" s="573"/>
      <c r="M1" s="573"/>
      <c r="N1" s="573"/>
    </row>
    <row r="2" spans="1:23" x14ac:dyDescent="0.25">
      <c r="A2" s="573"/>
      <c r="B2" s="573"/>
      <c r="C2" s="573"/>
      <c r="D2" s="573"/>
      <c r="E2" s="573"/>
      <c r="F2" s="573"/>
      <c r="G2" s="573"/>
      <c r="H2" s="573"/>
      <c r="I2" s="573"/>
      <c r="J2" s="573"/>
      <c r="K2" s="573"/>
      <c r="L2" s="573"/>
      <c r="M2" s="573"/>
      <c r="N2" s="573"/>
    </row>
    <row r="3" spans="1:23" ht="20.100000000000001" customHeight="1" thickBot="1" x14ac:dyDescent="0.3"/>
    <row r="4" spans="1:23" ht="15.75" thickBot="1" x14ac:dyDescent="0.3">
      <c r="B4" s="614" t="s">
        <v>189</v>
      </c>
      <c r="C4" s="615"/>
      <c r="D4" s="615"/>
      <c r="E4" s="615"/>
      <c r="F4" s="615"/>
      <c r="G4" s="615"/>
      <c r="H4" s="615"/>
      <c r="I4" s="616"/>
      <c r="K4" s="614" t="s">
        <v>40</v>
      </c>
      <c r="L4" s="615"/>
      <c r="M4" s="616"/>
      <c r="P4" s="53"/>
      <c r="Q4" s="53"/>
      <c r="R4" s="53"/>
      <c r="S4" s="4"/>
      <c r="T4" s="53"/>
      <c r="U4" s="53"/>
      <c r="V4" s="53"/>
      <c r="W4" s="53"/>
    </row>
    <row r="5" spans="1:23" ht="50.1" customHeight="1" thickBot="1" x14ac:dyDescent="0.3">
      <c r="B5" s="586" t="s">
        <v>184</v>
      </c>
      <c r="C5" s="587"/>
      <c r="D5" s="296" t="s">
        <v>21</v>
      </c>
      <c r="E5" s="227" t="s">
        <v>57</v>
      </c>
      <c r="F5" s="227" t="s">
        <v>61</v>
      </c>
      <c r="G5" s="228" t="s">
        <v>62</v>
      </c>
      <c r="H5" s="228" t="s">
        <v>97</v>
      </c>
      <c r="I5" s="227" t="s">
        <v>185</v>
      </c>
      <c r="K5" s="12" t="s">
        <v>21</v>
      </c>
      <c r="L5" s="80" t="s">
        <v>41</v>
      </c>
      <c r="M5" s="19" t="s">
        <v>22</v>
      </c>
      <c r="P5" s="4"/>
      <c r="R5" s="53"/>
      <c r="S5" s="53"/>
      <c r="T5" s="53"/>
      <c r="U5" s="4"/>
      <c r="V5" s="4"/>
    </row>
    <row r="6" spans="1:23" ht="20.100000000000001" customHeight="1" x14ac:dyDescent="0.25">
      <c r="B6" s="576">
        <v>1</v>
      </c>
      <c r="C6" s="577"/>
      <c r="D6" s="254" t="s">
        <v>0</v>
      </c>
      <c r="E6" s="254" t="s">
        <v>5</v>
      </c>
      <c r="F6" s="254" t="s">
        <v>5</v>
      </c>
      <c r="G6" s="254" t="s">
        <v>5</v>
      </c>
      <c r="H6" s="254" t="s">
        <v>5</v>
      </c>
      <c r="I6" s="291" t="s">
        <v>179</v>
      </c>
      <c r="K6" s="24" t="str">
        <f>D6</f>
        <v>Devid Fulterer</v>
      </c>
      <c r="L6" s="578">
        <v>1</v>
      </c>
      <c r="M6" s="113">
        <v>1</v>
      </c>
      <c r="P6" s="6"/>
      <c r="U6" s="6"/>
      <c r="V6" s="6"/>
    </row>
    <row r="7" spans="1:23" ht="20.100000000000001" customHeight="1" x14ac:dyDescent="0.25">
      <c r="B7" s="581">
        <v>2</v>
      </c>
      <c r="C7" s="582"/>
      <c r="D7" s="246" t="s">
        <v>127</v>
      </c>
      <c r="E7" s="246" t="s">
        <v>60</v>
      </c>
      <c r="F7" s="246" t="s">
        <v>7</v>
      </c>
      <c r="G7" s="246" t="s">
        <v>7</v>
      </c>
      <c r="H7" s="246" t="s">
        <v>7</v>
      </c>
      <c r="I7" s="292" t="s">
        <v>179</v>
      </c>
      <c r="K7" s="3" t="str">
        <f t="shared" ref="K7:K18" si="0">D7</f>
        <v>Judith Fulterer</v>
      </c>
      <c r="L7" s="579"/>
      <c r="M7" s="116">
        <v>2</v>
      </c>
      <c r="P7" s="6"/>
      <c r="U7" s="6"/>
      <c r="V7" s="6"/>
    </row>
    <row r="8" spans="1:23" ht="20.100000000000001" customHeight="1" x14ac:dyDescent="0.25">
      <c r="B8" s="581">
        <v>3</v>
      </c>
      <c r="C8" s="582"/>
      <c r="D8" s="246" t="s">
        <v>114</v>
      </c>
      <c r="E8" s="246" t="s">
        <v>102</v>
      </c>
      <c r="F8" s="246" t="s">
        <v>102</v>
      </c>
      <c r="G8" s="246" t="s">
        <v>102</v>
      </c>
      <c r="H8" s="246" t="s">
        <v>102</v>
      </c>
      <c r="I8" s="292" t="s">
        <v>179</v>
      </c>
      <c r="K8" s="3" t="str">
        <f t="shared" si="0"/>
        <v>Jonas Röhrig</v>
      </c>
      <c r="L8" s="579"/>
      <c r="M8" s="116">
        <v>3</v>
      </c>
      <c r="P8" s="6"/>
      <c r="U8" s="6"/>
      <c r="V8" s="6"/>
    </row>
    <row r="9" spans="1:23" ht="20.100000000000001" customHeight="1" thickBot="1" x14ac:dyDescent="0.3">
      <c r="B9" s="581">
        <v>4</v>
      </c>
      <c r="C9" s="582"/>
      <c r="D9" s="246" t="s">
        <v>46</v>
      </c>
      <c r="E9" s="246" t="s">
        <v>6</v>
      </c>
      <c r="F9" s="246" t="s">
        <v>6</v>
      </c>
      <c r="G9" s="246" t="s">
        <v>6</v>
      </c>
      <c r="H9" s="246" t="s">
        <v>6</v>
      </c>
      <c r="I9" s="292" t="s">
        <v>179</v>
      </c>
      <c r="K9" s="45" t="str">
        <f t="shared" si="0"/>
        <v>Jérôme Schätzle</v>
      </c>
      <c r="L9" s="580"/>
      <c r="M9" s="46">
        <v>4</v>
      </c>
      <c r="P9" s="6"/>
      <c r="U9" s="6"/>
      <c r="V9" s="6"/>
    </row>
    <row r="10" spans="1:23" ht="20.100000000000001" customHeight="1" x14ac:dyDescent="0.25">
      <c r="B10" s="581">
        <v>5</v>
      </c>
      <c r="C10" s="582"/>
      <c r="D10" s="246" t="s">
        <v>4</v>
      </c>
      <c r="E10" s="246" t="s">
        <v>9</v>
      </c>
      <c r="F10" s="246" t="s">
        <v>9</v>
      </c>
      <c r="G10" s="246" t="s">
        <v>9</v>
      </c>
      <c r="H10" s="246" t="s">
        <v>9</v>
      </c>
      <c r="I10" s="292" t="s">
        <v>179</v>
      </c>
      <c r="K10" s="24" t="str">
        <f>D10</f>
        <v>Andreas Micke</v>
      </c>
      <c r="L10" s="578">
        <v>2</v>
      </c>
      <c r="M10" s="113">
        <v>1</v>
      </c>
      <c r="P10" s="6"/>
      <c r="U10" s="6"/>
      <c r="V10" s="6"/>
    </row>
    <row r="11" spans="1:23" ht="20.100000000000001" customHeight="1" x14ac:dyDescent="0.25">
      <c r="B11" s="581">
        <v>6</v>
      </c>
      <c r="C11" s="582"/>
      <c r="D11" s="246" t="s">
        <v>90</v>
      </c>
      <c r="E11" s="247" t="s">
        <v>92</v>
      </c>
      <c r="F11" s="148" t="s">
        <v>91</v>
      </c>
      <c r="G11" s="246" t="s">
        <v>91</v>
      </c>
      <c r="H11" s="246" t="s">
        <v>92</v>
      </c>
      <c r="I11" s="292" t="s">
        <v>179</v>
      </c>
      <c r="K11" s="3" t="str">
        <f t="shared" si="0"/>
        <v>Lisa Schätzle</v>
      </c>
      <c r="L11" s="579"/>
      <c r="M11" s="116">
        <v>2</v>
      </c>
      <c r="P11" s="6"/>
      <c r="U11" s="6"/>
      <c r="V11" s="6"/>
    </row>
    <row r="12" spans="1:23" ht="20.100000000000001" customHeight="1" x14ac:dyDescent="0.25">
      <c r="B12" s="581">
        <v>7</v>
      </c>
      <c r="C12" s="582"/>
      <c r="D12" s="247" t="s">
        <v>1</v>
      </c>
      <c r="E12" s="246" t="s">
        <v>11</v>
      </c>
      <c r="F12" s="293" t="s">
        <v>11</v>
      </c>
      <c r="G12" s="246" t="s">
        <v>11</v>
      </c>
      <c r="H12" s="246" t="s">
        <v>11</v>
      </c>
      <c r="I12" s="292" t="s">
        <v>179</v>
      </c>
      <c r="K12" s="3" t="str">
        <f t="shared" si="0"/>
        <v>Pauline Schätzle</v>
      </c>
      <c r="L12" s="579"/>
      <c r="M12" s="116">
        <v>3</v>
      </c>
      <c r="P12" s="6"/>
      <c r="U12" s="6"/>
      <c r="V12" s="6"/>
    </row>
    <row r="13" spans="1:23" ht="20.100000000000001" customHeight="1" thickBot="1" x14ac:dyDescent="0.3">
      <c r="B13" s="581">
        <v>8</v>
      </c>
      <c r="C13" s="582"/>
      <c r="D13" s="247" t="s">
        <v>88</v>
      </c>
      <c r="E13" s="247" t="s">
        <v>69</v>
      </c>
      <c r="F13" s="148" t="s">
        <v>69</v>
      </c>
      <c r="G13" s="246" t="s">
        <v>69</v>
      </c>
      <c r="H13" s="246" t="s">
        <v>69</v>
      </c>
      <c r="I13" s="292" t="s">
        <v>179</v>
      </c>
      <c r="K13" s="45" t="str">
        <f t="shared" si="0"/>
        <v>Daniel Zimmermann</v>
      </c>
      <c r="L13" s="579"/>
      <c r="M13" s="46">
        <v>4</v>
      </c>
      <c r="P13" s="6"/>
      <c r="U13" s="6"/>
      <c r="V13" s="6"/>
    </row>
    <row r="14" spans="1:23" ht="20.100000000000001" customHeight="1" x14ac:dyDescent="0.25">
      <c r="B14" s="581">
        <v>9</v>
      </c>
      <c r="C14" s="582"/>
      <c r="D14" s="247" t="s">
        <v>47</v>
      </c>
      <c r="E14" s="247" t="s">
        <v>64</v>
      </c>
      <c r="F14" s="148" t="s">
        <v>64</v>
      </c>
      <c r="G14" s="246" t="s">
        <v>64</v>
      </c>
      <c r="H14" s="246" t="s">
        <v>64</v>
      </c>
      <c r="I14" s="292" t="s">
        <v>179</v>
      </c>
      <c r="K14" s="24" t="str">
        <f>D14</f>
        <v>Kai Maibaum</v>
      </c>
      <c r="L14" s="578">
        <v>3</v>
      </c>
      <c r="M14" s="113">
        <v>1</v>
      </c>
      <c r="P14" s="6"/>
      <c r="U14" s="6"/>
      <c r="V14" s="6"/>
    </row>
    <row r="15" spans="1:23" ht="20.100000000000001" customHeight="1" x14ac:dyDescent="0.25">
      <c r="B15" s="581">
        <v>10</v>
      </c>
      <c r="C15" s="582"/>
      <c r="D15" s="247" t="s">
        <v>2</v>
      </c>
      <c r="E15" s="247" t="s">
        <v>8</v>
      </c>
      <c r="F15" s="148" t="s">
        <v>8</v>
      </c>
      <c r="G15" s="246" t="s">
        <v>8</v>
      </c>
      <c r="H15" s="246" t="s">
        <v>8</v>
      </c>
      <c r="I15" s="292" t="s">
        <v>179</v>
      </c>
      <c r="K15" s="3" t="str">
        <f t="shared" si="0"/>
        <v>Markus Hagenauer</v>
      </c>
      <c r="L15" s="579"/>
      <c r="M15" s="116">
        <v>2</v>
      </c>
      <c r="P15" s="6"/>
      <c r="U15" s="6"/>
      <c r="V15" s="6"/>
    </row>
    <row r="16" spans="1:23" ht="20.100000000000001" customHeight="1" thickBot="1" x14ac:dyDescent="0.3">
      <c r="B16" s="581">
        <v>11</v>
      </c>
      <c r="C16" s="582"/>
      <c r="D16" s="247" t="s">
        <v>3</v>
      </c>
      <c r="E16" s="247" t="s">
        <v>63</v>
      </c>
      <c r="F16" s="148" t="s">
        <v>63</v>
      </c>
      <c r="G16" s="246" t="s">
        <v>59</v>
      </c>
      <c r="H16" s="246" t="s">
        <v>63</v>
      </c>
      <c r="I16" s="292" t="s">
        <v>179</v>
      </c>
      <c r="K16" s="232" t="str">
        <f t="shared" si="0"/>
        <v>Alex Ulbricht</v>
      </c>
      <c r="L16" s="579"/>
      <c r="M16" s="46">
        <v>3</v>
      </c>
      <c r="P16" s="6"/>
      <c r="U16" s="6"/>
      <c r="V16" s="6"/>
    </row>
    <row r="17" spans="2:23" ht="20.100000000000001" customHeight="1" x14ac:dyDescent="0.25">
      <c r="B17" s="581">
        <v>12</v>
      </c>
      <c r="C17" s="582"/>
      <c r="D17" s="247" t="s">
        <v>125</v>
      </c>
      <c r="E17" s="247" t="s">
        <v>126</v>
      </c>
      <c r="F17" s="148" t="s">
        <v>59</v>
      </c>
      <c r="G17" s="246" t="s">
        <v>59</v>
      </c>
      <c r="H17" s="246" t="s">
        <v>59</v>
      </c>
      <c r="I17" s="292" t="s">
        <v>179</v>
      </c>
      <c r="K17" s="352" t="str">
        <f t="shared" si="0"/>
        <v>Bea Kittner</v>
      </c>
      <c r="L17" s="578">
        <v>4</v>
      </c>
      <c r="M17" s="344">
        <v>1</v>
      </c>
      <c r="P17" s="6"/>
      <c r="U17" s="6"/>
      <c r="V17" s="6"/>
    </row>
    <row r="18" spans="2:23" ht="20.100000000000001" customHeight="1" thickBot="1" x14ac:dyDescent="0.3">
      <c r="B18" s="617">
        <v>13</v>
      </c>
      <c r="C18" s="618"/>
      <c r="D18" s="255" t="s">
        <v>130</v>
      </c>
      <c r="E18" s="255" t="s">
        <v>131</v>
      </c>
      <c r="F18" s="154" t="s">
        <v>131</v>
      </c>
      <c r="G18" s="256" t="s">
        <v>59</v>
      </c>
      <c r="H18" s="256" t="s">
        <v>59</v>
      </c>
      <c r="I18" s="353" t="s">
        <v>179</v>
      </c>
      <c r="K18" s="144" t="str">
        <f t="shared" si="0"/>
        <v>Florian Spiß</v>
      </c>
      <c r="L18" s="580"/>
      <c r="M18" s="118">
        <v>2</v>
      </c>
      <c r="P18" s="6"/>
      <c r="U18" s="6"/>
      <c r="V18" s="6"/>
    </row>
    <row r="19" spans="2:23" ht="20.100000000000001" customHeight="1" thickBot="1" x14ac:dyDescent="0.3">
      <c r="D19" s="294"/>
      <c r="E19" s="294"/>
      <c r="F19" s="295"/>
      <c r="G19" s="28"/>
      <c r="H19" s="28"/>
      <c r="I19" s="294"/>
      <c r="K19" s="584" t="s">
        <v>188</v>
      </c>
      <c r="L19" s="585"/>
      <c r="M19" s="121">
        <f>ROWS(M6:M18)</f>
        <v>13</v>
      </c>
      <c r="O19" s="53"/>
      <c r="P19" s="53"/>
      <c r="R19" s="53"/>
      <c r="S19" s="53"/>
      <c r="T19" s="53"/>
      <c r="U19" s="53"/>
    </row>
    <row r="20" spans="2:23" ht="15.75" thickBot="1" x14ac:dyDescent="0.3">
      <c r="B20" s="614" t="s">
        <v>186</v>
      </c>
      <c r="C20" s="615"/>
      <c r="D20" s="615"/>
      <c r="E20" s="615"/>
      <c r="F20" s="615"/>
      <c r="G20" s="615"/>
      <c r="H20" s="616"/>
      <c r="L20" s="128"/>
      <c r="M20" s="128"/>
      <c r="N20" s="128"/>
      <c r="O20" s="4"/>
      <c r="P20" s="53"/>
      <c r="Q20" s="53"/>
      <c r="S20" s="53"/>
      <c r="T20" s="53"/>
      <c r="U20" s="53"/>
      <c r="V20" s="53"/>
    </row>
    <row r="21" spans="2:23" ht="30.75" thickBot="1" x14ac:dyDescent="0.3">
      <c r="B21" s="586" t="s">
        <v>58</v>
      </c>
      <c r="C21" s="587"/>
      <c r="D21" s="139" t="s">
        <v>21</v>
      </c>
      <c r="E21" s="227" t="s">
        <v>57</v>
      </c>
      <c r="F21" s="227" t="s">
        <v>61</v>
      </c>
      <c r="G21" s="228" t="s">
        <v>62</v>
      </c>
      <c r="H21" s="228" t="s">
        <v>97</v>
      </c>
      <c r="L21" s="128"/>
      <c r="M21" s="128"/>
      <c r="N21" s="128"/>
      <c r="O21" s="4"/>
      <c r="P21" s="53"/>
      <c r="Q21" s="53"/>
      <c r="S21" s="53"/>
      <c r="T21" s="53"/>
      <c r="U21" s="53"/>
      <c r="V21" s="53"/>
    </row>
    <row r="22" spans="2:23" ht="20.100000000000001" customHeight="1" thickBot="1" x14ac:dyDescent="0.3">
      <c r="B22" s="619">
        <v>1</v>
      </c>
      <c r="C22" s="620"/>
      <c r="D22" s="297" t="s">
        <v>128</v>
      </c>
      <c r="E22" s="298" t="s">
        <v>129</v>
      </c>
      <c r="F22" s="299" t="s">
        <v>129</v>
      </c>
      <c r="G22" s="300" t="s">
        <v>129</v>
      </c>
      <c r="H22" s="301" t="s">
        <v>129</v>
      </c>
      <c r="O22" s="257" t="s">
        <v>39</v>
      </c>
      <c r="P22" s="53"/>
      <c r="Q22" s="53"/>
      <c r="S22" s="53"/>
      <c r="T22" s="53"/>
      <c r="U22" s="53"/>
      <c r="V22" s="53"/>
    </row>
    <row r="23" spans="2:23" ht="20.100000000000001" customHeight="1" x14ac:dyDescent="0.25">
      <c r="M23" s="128"/>
      <c r="N23" s="128"/>
      <c r="O23" s="128"/>
      <c r="P23" s="4"/>
      <c r="Q23" s="53"/>
      <c r="R23" s="53"/>
      <c r="T23" s="53"/>
      <c r="U23" s="53"/>
      <c r="V23" s="53"/>
      <c r="W23" s="53"/>
    </row>
    <row r="24" spans="2:23" ht="20.100000000000001" customHeight="1" x14ac:dyDescent="0.25">
      <c r="B24" s="13"/>
      <c r="C24" s="13"/>
      <c r="D24" s="25"/>
      <c r="E24" s="25"/>
      <c r="F24" s="25"/>
      <c r="G24" s="25"/>
      <c r="H24" s="13"/>
      <c r="I24" s="13"/>
      <c r="J24" s="13"/>
      <c r="K24" s="13"/>
      <c r="L24" s="13"/>
      <c r="M24" s="13"/>
      <c r="N24" s="13"/>
      <c r="O24" s="13"/>
      <c r="P24" s="13"/>
      <c r="Q24" s="13"/>
      <c r="R24" s="13"/>
      <c r="S24" s="13"/>
      <c r="T24" s="13"/>
      <c r="U24" s="13"/>
    </row>
    <row r="25" spans="2:23" ht="30" customHeight="1" x14ac:dyDescent="0.25">
      <c r="B25" s="13"/>
      <c r="C25" s="555" t="s">
        <v>73</v>
      </c>
      <c r="D25" s="555"/>
      <c r="E25" s="555"/>
      <c r="F25" s="555"/>
      <c r="G25" s="555"/>
      <c r="H25" s="555"/>
      <c r="I25" s="555"/>
      <c r="J25" s="555"/>
      <c r="K25" s="555"/>
      <c r="L25" s="555"/>
      <c r="M25" s="555"/>
      <c r="N25" s="555"/>
      <c r="O25" s="555"/>
      <c r="P25" s="555"/>
      <c r="Q25" s="555"/>
      <c r="R25" s="555"/>
      <c r="S25" s="555"/>
      <c r="T25" s="555"/>
      <c r="U25" s="13"/>
    </row>
    <row r="26" spans="2:23" ht="20.100000000000001" customHeight="1" thickBot="1" x14ac:dyDescent="0.3">
      <c r="B26" s="13"/>
      <c r="U26" s="13"/>
    </row>
    <row r="27" spans="2:23" ht="20.100000000000001" customHeight="1" thickBot="1" x14ac:dyDescent="0.3">
      <c r="B27" s="13"/>
      <c r="D27" s="556" t="s">
        <v>10</v>
      </c>
      <c r="E27" s="558" t="s">
        <v>139</v>
      </c>
      <c r="F27" s="560" t="s">
        <v>22</v>
      </c>
      <c r="G27" s="595" t="s">
        <v>42</v>
      </c>
      <c r="H27" s="596"/>
      <c r="I27" s="596"/>
      <c r="J27" s="597"/>
      <c r="K27" s="200" t="s">
        <v>36</v>
      </c>
      <c r="L27" s="563" t="s">
        <v>27</v>
      </c>
      <c r="M27" s="561"/>
      <c r="N27" s="561"/>
      <c r="O27" s="561"/>
      <c r="P27" s="561"/>
      <c r="Q27" s="561"/>
      <c r="R27" s="561"/>
      <c r="S27" s="562"/>
      <c r="U27" s="13"/>
    </row>
    <row r="28" spans="2:23" ht="20.100000000000001" customHeight="1" thickBot="1" x14ac:dyDescent="0.3">
      <c r="B28" s="13"/>
      <c r="D28" s="557"/>
      <c r="E28" s="559"/>
      <c r="F28" s="559"/>
      <c r="G28" s="302" t="s">
        <v>43</v>
      </c>
      <c r="H28" s="302" t="s">
        <v>24</v>
      </c>
      <c r="I28" s="565" t="s">
        <v>23</v>
      </c>
      <c r="J28" s="567"/>
      <c r="K28" s="85" t="s">
        <v>25</v>
      </c>
      <c r="L28" s="85" t="s">
        <v>43</v>
      </c>
      <c r="M28" s="86" t="s">
        <v>26</v>
      </c>
      <c r="N28" s="556" t="s">
        <v>23</v>
      </c>
      <c r="O28" s="588"/>
      <c r="P28" s="588"/>
      <c r="Q28" s="588"/>
      <c r="R28" s="588"/>
      <c r="S28" s="564"/>
      <c r="U28" s="13"/>
    </row>
    <row r="29" spans="2:23" ht="15" customHeight="1" x14ac:dyDescent="0.25">
      <c r="B29" s="13"/>
      <c r="D29" s="641" t="s">
        <v>0</v>
      </c>
      <c r="E29" s="644" t="s">
        <v>5</v>
      </c>
      <c r="F29" s="647">
        <v>1</v>
      </c>
      <c r="G29" s="650" t="s">
        <v>44</v>
      </c>
      <c r="H29" s="653" t="s">
        <v>190</v>
      </c>
      <c r="I29" s="656" t="s">
        <v>196</v>
      </c>
      <c r="J29" s="657"/>
      <c r="K29" s="621" t="s">
        <v>12</v>
      </c>
      <c r="L29" s="624" t="s">
        <v>13</v>
      </c>
      <c r="M29" s="627" t="s">
        <v>13</v>
      </c>
      <c r="N29" s="630" t="s">
        <v>13</v>
      </c>
      <c r="O29" s="631"/>
      <c r="P29" s="631"/>
      <c r="Q29" s="631"/>
      <c r="R29" s="631"/>
      <c r="S29" s="632"/>
      <c r="U29" s="13"/>
    </row>
    <row r="30" spans="2:23" ht="30" customHeight="1" x14ac:dyDescent="0.25">
      <c r="B30" s="13"/>
      <c r="D30" s="642"/>
      <c r="E30" s="645"/>
      <c r="F30" s="648"/>
      <c r="G30" s="651"/>
      <c r="H30" s="654"/>
      <c r="I30" s="639" t="s">
        <v>193</v>
      </c>
      <c r="J30" s="640"/>
      <c r="K30" s="622"/>
      <c r="L30" s="625"/>
      <c r="M30" s="628"/>
      <c r="N30" s="633"/>
      <c r="O30" s="634"/>
      <c r="P30" s="634"/>
      <c r="Q30" s="634"/>
      <c r="R30" s="634"/>
      <c r="S30" s="635"/>
      <c r="U30" s="13"/>
    </row>
    <row r="31" spans="2:23" ht="15" customHeight="1" x14ac:dyDescent="0.25">
      <c r="B31" s="13"/>
      <c r="D31" s="642"/>
      <c r="E31" s="645"/>
      <c r="F31" s="648"/>
      <c r="G31" s="651"/>
      <c r="H31" s="654"/>
      <c r="I31" s="639" t="s">
        <v>194</v>
      </c>
      <c r="J31" s="640"/>
      <c r="K31" s="622"/>
      <c r="L31" s="625"/>
      <c r="M31" s="628"/>
      <c r="N31" s="633"/>
      <c r="O31" s="634"/>
      <c r="P31" s="634"/>
      <c r="Q31" s="634"/>
      <c r="R31" s="634"/>
      <c r="S31" s="635"/>
      <c r="U31" s="13"/>
    </row>
    <row r="32" spans="2:23" ht="30" customHeight="1" x14ac:dyDescent="0.25">
      <c r="B32" s="13"/>
      <c r="D32" s="643"/>
      <c r="E32" s="646"/>
      <c r="F32" s="649"/>
      <c r="G32" s="652"/>
      <c r="H32" s="655"/>
      <c r="I32" s="639" t="s">
        <v>195</v>
      </c>
      <c r="J32" s="640"/>
      <c r="K32" s="623"/>
      <c r="L32" s="626"/>
      <c r="M32" s="629"/>
      <c r="N32" s="636"/>
      <c r="O32" s="637"/>
      <c r="P32" s="637"/>
      <c r="Q32" s="637"/>
      <c r="R32" s="637"/>
      <c r="S32" s="638"/>
      <c r="U32" s="13"/>
    </row>
    <row r="33" spans="2:21" ht="15" customHeight="1" x14ac:dyDescent="0.25">
      <c r="B33" s="13"/>
      <c r="D33" s="663" t="s">
        <v>127</v>
      </c>
      <c r="E33" s="664" t="s">
        <v>60</v>
      </c>
      <c r="F33" s="667">
        <v>2</v>
      </c>
      <c r="G33" s="668" t="s">
        <v>44</v>
      </c>
      <c r="H33" s="671" t="s">
        <v>191</v>
      </c>
      <c r="I33" s="671" t="s">
        <v>199</v>
      </c>
      <c r="J33" s="673"/>
      <c r="K33" s="685" t="s">
        <v>192</v>
      </c>
      <c r="L33" s="688" t="s">
        <v>13</v>
      </c>
      <c r="M33" s="689" t="s">
        <v>13</v>
      </c>
      <c r="N33" s="658" t="s">
        <v>13</v>
      </c>
      <c r="O33" s="659"/>
      <c r="P33" s="659"/>
      <c r="Q33" s="659"/>
      <c r="R33" s="659"/>
      <c r="S33" s="660"/>
      <c r="U33" s="13"/>
    </row>
    <row r="34" spans="2:21" ht="15" customHeight="1" x14ac:dyDescent="0.25">
      <c r="B34" s="13"/>
      <c r="D34" s="642"/>
      <c r="E34" s="665"/>
      <c r="F34" s="648"/>
      <c r="G34" s="669"/>
      <c r="H34" s="661"/>
      <c r="I34" s="661" t="s">
        <v>197</v>
      </c>
      <c r="J34" s="662"/>
      <c r="K34" s="686"/>
      <c r="L34" s="625"/>
      <c r="M34" s="628"/>
      <c r="N34" s="633"/>
      <c r="O34" s="634"/>
      <c r="P34" s="634"/>
      <c r="Q34" s="634"/>
      <c r="R34" s="634"/>
      <c r="S34" s="635"/>
      <c r="U34" s="13"/>
    </row>
    <row r="35" spans="2:21" ht="15" customHeight="1" x14ac:dyDescent="0.25">
      <c r="B35" s="13"/>
      <c r="D35" s="643"/>
      <c r="E35" s="666"/>
      <c r="F35" s="649"/>
      <c r="G35" s="670"/>
      <c r="H35" s="672"/>
      <c r="I35" s="661" t="s">
        <v>198</v>
      </c>
      <c r="J35" s="662"/>
      <c r="K35" s="687"/>
      <c r="L35" s="626"/>
      <c r="M35" s="629"/>
      <c r="N35" s="636"/>
      <c r="O35" s="637"/>
      <c r="P35" s="637"/>
      <c r="Q35" s="637"/>
      <c r="R35" s="637"/>
      <c r="S35" s="638"/>
      <c r="U35" s="13"/>
    </row>
    <row r="36" spans="2:21" ht="15" customHeight="1" x14ac:dyDescent="0.25">
      <c r="B36" s="13"/>
      <c r="D36" s="674" t="s">
        <v>114</v>
      </c>
      <c r="E36" s="677" t="s">
        <v>102</v>
      </c>
      <c r="F36" s="667">
        <v>3</v>
      </c>
      <c r="G36" s="678" t="s">
        <v>44</v>
      </c>
      <c r="H36" s="681" t="s">
        <v>192</v>
      </c>
      <c r="I36" s="681" t="s">
        <v>206</v>
      </c>
      <c r="J36" s="684"/>
      <c r="K36" s="690" t="s">
        <v>191</v>
      </c>
      <c r="L36" s="688" t="s">
        <v>13</v>
      </c>
      <c r="M36" s="689" t="s">
        <v>13</v>
      </c>
      <c r="N36" s="693" t="s">
        <v>13</v>
      </c>
      <c r="O36" s="694"/>
      <c r="P36" s="694"/>
      <c r="Q36" s="694"/>
      <c r="R36" s="694"/>
      <c r="S36" s="695"/>
      <c r="U36" s="13"/>
    </row>
    <row r="37" spans="2:21" ht="30" customHeight="1" x14ac:dyDescent="0.25">
      <c r="B37" s="13"/>
      <c r="D37" s="675"/>
      <c r="E37" s="645"/>
      <c r="F37" s="648"/>
      <c r="G37" s="679"/>
      <c r="H37" s="682"/>
      <c r="I37" s="682" t="s">
        <v>205</v>
      </c>
      <c r="J37" s="702"/>
      <c r="K37" s="691"/>
      <c r="L37" s="625"/>
      <c r="M37" s="628"/>
      <c r="N37" s="696"/>
      <c r="O37" s="697"/>
      <c r="P37" s="697"/>
      <c r="Q37" s="697"/>
      <c r="R37" s="697"/>
      <c r="S37" s="698"/>
      <c r="U37" s="13"/>
    </row>
    <row r="38" spans="2:21" ht="15" customHeight="1" x14ac:dyDescent="0.25">
      <c r="B38" s="13"/>
      <c r="D38" s="675"/>
      <c r="E38" s="645"/>
      <c r="F38" s="648"/>
      <c r="G38" s="679"/>
      <c r="H38" s="682"/>
      <c r="I38" s="682" t="s">
        <v>204</v>
      </c>
      <c r="J38" s="702"/>
      <c r="K38" s="691"/>
      <c r="L38" s="625"/>
      <c r="M38" s="628"/>
      <c r="N38" s="696"/>
      <c r="O38" s="697"/>
      <c r="P38" s="697"/>
      <c r="Q38" s="697"/>
      <c r="R38" s="697"/>
      <c r="S38" s="698"/>
      <c r="U38" s="13"/>
    </row>
    <row r="39" spans="2:21" ht="15" customHeight="1" x14ac:dyDescent="0.25">
      <c r="B39" s="13"/>
      <c r="D39" s="675"/>
      <c r="E39" s="645"/>
      <c r="F39" s="648"/>
      <c r="G39" s="679"/>
      <c r="H39" s="682"/>
      <c r="I39" s="682" t="s">
        <v>203</v>
      </c>
      <c r="J39" s="702"/>
      <c r="K39" s="691"/>
      <c r="L39" s="625"/>
      <c r="M39" s="628"/>
      <c r="N39" s="696"/>
      <c r="O39" s="697"/>
      <c r="P39" s="697"/>
      <c r="Q39" s="697"/>
      <c r="R39" s="697"/>
      <c r="S39" s="698"/>
      <c r="U39" s="13"/>
    </row>
    <row r="40" spans="2:21" ht="30" customHeight="1" x14ac:dyDescent="0.25">
      <c r="B40" s="13"/>
      <c r="D40" s="675"/>
      <c r="E40" s="645"/>
      <c r="F40" s="648"/>
      <c r="G40" s="679"/>
      <c r="H40" s="682"/>
      <c r="I40" s="682" t="s">
        <v>202</v>
      </c>
      <c r="J40" s="702"/>
      <c r="K40" s="691"/>
      <c r="L40" s="625"/>
      <c r="M40" s="628"/>
      <c r="N40" s="696"/>
      <c r="O40" s="697"/>
      <c r="P40" s="697"/>
      <c r="Q40" s="697"/>
      <c r="R40" s="697"/>
      <c r="S40" s="698"/>
      <c r="U40" s="13"/>
    </row>
    <row r="41" spans="2:21" ht="45" customHeight="1" x14ac:dyDescent="0.25">
      <c r="B41" s="13"/>
      <c r="D41" s="675"/>
      <c r="E41" s="645"/>
      <c r="F41" s="648"/>
      <c r="G41" s="679"/>
      <c r="H41" s="682"/>
      <c r="I41" s="682" t="s">
        <v>201</v>
      </c>
      <c r="J41" s="702"/>
      <c r="K41" s="691"/>
      <c r="L41" s="625"/>
      <c r="M41" s="628"/>
      <c r="N41" s="696"/>
      <c r="O41" s="697"/>
      <c r="P41" s="697"/>
      <c r="Q41" s="697"/>
      <c r="R41" s="697"/>
      <c r="S41" s="698"/>
      <c r="U41" s="13"/>
    </row>
    <row r="42" spans="2:21" ht="30" customHeight="1" x14ac:dyDescent="0.25">
      <c r="B42" s="13"/>
      <c r="D42" s="676"/>
      <c r="E42" s="646"/>
      <c r="F42" s="649"/>
      <c r="G42" s="680"/>
      <c r="H42" s="683"/>
      <c r="I42" s="682" t="s">
        <v>200</v>
      </c>
      <c r="J42" s="702"/>
      <c r="K42" s="692"/>
      <c r="L42" s="626"/>
      <c r="M42" s="629"/>
      <c r="N42" s="699"/>
      <c r="O42" s="700"/>
      <c r="P42" s="700"/>
      <c r="Q42" s="700"/>
      <c r="R42" s="700"/>
      <c r="S42" s="701"/>
      <c r="U42" s="13"/>
    </row>
    <row r="43" spans="2:21" ht="15" customHeight="1" x14ac:dyDescent="0.25">
      <c r="B43" s="13"/>
      <c r="D43" s="713" t="s">
        <v>46</v>
      </c>
      <c r="E43" s="677" t="s">
        <v>6</v>
      </c>
      <c r="F43" s="717">
        <v>4</v>
      </c>
      <c r="G43" s="720" t="s">
        <v>35</v>
      </c>
      <c r="H43" s="722" t="s">
        <v>70</v>
      </c>
      <c r="I43" s="725" t="s">
        <v>209</v>
      </c>
      <c r="J43" s="726"/>
      <c r="K43" s="703" t="s">
        <v>12</v>
      </c>
      <c r="L43" s="659" t="s">
        <v>13</v>
      </c>
      <c r="M43" s="689" t="s">
        <v>13</v>
      </c>
      <c r="N43" s="694" t="s">
        <v>13</v>
      </c>
      <c r="O43" s="694"/>
      <c r="P43" s="694"/>
      <c r="Q43" s="694"/>
      <c r="R43" s="694"/>
      <c r="S43" s="695"/>
      <c r="U43" s="13"/>
    </row>
    <row r="44" spans="2:21" ht="15" customHeight="1" x14ac:dyDescent="0.25">
      <c r="B44" s="13"/>
      <c r="D44" s="714"/>
      <c r="E44" s="645"/>
      <c r="F44" s="718"/>
      <c r="G44" s="720"/>
      <c r="H44" s="723"/>
      <c r="I44" s="709" t="s">
        <v>210</v>
      </c>
      <c r="J44" s="710"/>
      <c r="K44" s="622"/>
      <c r="L44" s="634"/>
      <c r="M44" s="628"/>
      <c r="N44" s="697"/>
      <c r="O44" s="697"/>
      <c r="P44" s="697"/>
      <c r="Q44" s="697"/>
      <c r="R44" s="697"/>
      <c r="S44" s="698"/>
      <c r="U44" s="13"/>
    </row>
    <row r="45" spans="2:21" ht="15" customHeight="1" x14ac:dyDescent="0.25">
      <c r="B45" s="13"/>
      <c r="D45" s="714"/>
      <c r="E45" s="645"/>
      <c r="F45" s="718"/>
      <c r="G45" s="720"/>
      <c r="H45" s="723"/>
      <c r="I45" s="709" t="s">
        <v>208</v>
      </c>
      <c r="J45" s="710"/>
      <c r="K45" s="622"/>
      <c r="L45" s="634"/>
      <c r="M45" s="628"/>
      <c r="N45" s="697"/>
      <c r="O45" s="697"/>
      <c r="P45" s="697"/>
      <c r="Q45" s="697"/>
      <c r="R45" s="697"/>
      <c r="S45" s="698"/>
      <c r="U45" s="13"/>
    </row>
    <row r="46" spans="2:21" ht="15" customHeight="1" thickBot="1" x14ac:dyDescent="0.3">
      <c r="B46" s="13"/>
      <c r="D46" s="715"/>
      <c r="E46" s="716"/>
      <c r="F46" s="719"/>
      <c r="G46" s="721"/>
      <c r="H46" s="724"/>
      <c r="I46" s="711" t="s">
        <v>207</v>
      </c>
      <c r="J46" s="712"/>
      <c r="K46" s="704"/>
      <c r="L46" s="705"/>
      <c r="M46" s="706"/>
      <c r="N46" s="707"/>
      <c r="O46" s="707"/>
      <c r="P46" s="707"/>
      <c r="Q46" s="707"/>
      <c r="R46" s="707"/>
      <c r="S46" s="708"/>
      <c r="U46" s="13"/>
    </row>
    <row r="47" spans="2:21" ht="20.100000000000001" customHeight="1" x14ac:dyDescent="0.25">
      <c r="B47" s="13"/>
      <c r="U47" s="13"/>
    </row>
    <row r="48" spans="2:21" ht="20.100000000000001" customHeight="1" thickBot="1" x14ac:dyDescent="0.3">
      <c r="B48" s="13"/>
      <c r="C48" s="26"/>
      <c r="D48" s="26"/>
      <c r="E48" s="552" t="str">
        <f>IF(OR(M29="-",M29= ""),H29,M29)</f>
        <v>Agricola</v>
      </c>
      <c r="F48" s="552"/>
      <c r="G48" s="552"/>
      <c r="H48" s="552"/>
      <c r="I48" s="552"/>
      <c r="J48" s="552"/>
      <c r="K48" s="552"/>
      <c r="L48" s="552"/>
      <c r="M48" s="552"/>
      <c r="N48" s="552"/>
      <c r="O48" s="199"/>
      <c r="P48" s="199"/>
      <c r="Q48" s="199"/>
      <c r="R48" s="199"/>
      <c r="S48" s="199"/>
      <c r="T48" s="26"/>
      <c r="U48" s="13"/>
    </row>
    <row r="49" spans="2:21" ht="50.1" customHeight="1" thickBot="1" x14ac:dyDescent="0.3">
      <c r="B49" s="13"/>
      <c r="C49" s="26"/>
      <c r="D49" s="199"/>
      <c r="E49" s="88" t="s">
        <v>10</v>
      </c>
      <c r="F49" s="125" t="s">
        <v>52</v>
      </c>
      <c r="G49" s="89" t="s">
        <v>14</v>
      </c>
      <c r="H49" s="200" t="s">
        <v>51</v>
      </c>
      <c r="I49" s="18" t="s">
        <v>54</v>
      </c>
      <c r="J49" s="200" t="s">
        <v>53</v>
      </c>
      <c r="K49" s="206" t="s">
        <v>28</v>
      </c>
      <c r="L49" s="200" t="s">
        <v>37</v>
      </c>
      <c r="M49" s="204" t="s">
        <v>16</v>
      </c>
      <c r="N49" s="89" t="s">
        <v>15</v>
      </c>
      <c r="O49" s="5" t="s">
        <v>30</v>
      </c>
      <c r="P49" s="7" t="s">
        <v>34</v>
      </c>
      <c r="Q49" s="7" t="s">
        <v>31</v>
      </c>
      <c r="R49" s="7" t="s">
        <v>32</v>
      </c>
      <c r="S49" s="199"/>
      <c r="T49" s="26"/>
      <c r="U49" s="13"/>
    </row>
    <row r="50" spans="2:21" ht="20.100000000000001" customHeight="1" x14ac:dyDescent="0.25">
      <c r="B50" s="13"/>
      <c r="C50" s="26"/>
      <c r="D50" s="26"/>
      <c r="E50" s="39" t="s">
        <v>0</v>
      </c>
      <c r="F50" s="253" t="s">
        <v>5</v>
      </c>
      <c r="G50" s="49">
        <v>2</v>
      </c>
      <c r="H50" s="122" t="s">
        <v>13</v>
      </c>
      <c r="I50" s="49">
        <v>-14</v>
      </c>
      <c r="J50" s="49">
        <v>42</v>
      </c>
      <c r="K50" s="49" t="s">
        <v>13</v>
      </c>
      <c r="L50" s="50">
        <f>IF(J50="",0,(J50/J54)*100)</f>
        <v>89.361702127659569</v>
      </c>
      <c r="M50" s="49">
        <v>2</v>
      </c>
      <c r="N50" s="61">
        <v>3</v>
      </c>
      <c r="O50" s="57">
        <f>IF(M50=1,1,0)</f>
        <v>0</v>
      </c>
      <c r="P50" s="209">
        <f>IF(M50=2,1,0)</f>
        <v>1</v>
      </c>
      <c r="Q50" s="209">
        <f>IF(M50=3,1,0)</f>
        <v>0</v>
      </c>
      <c r="R50" s="8">
        <f>IF(M50=4,1,0)</f>
        <v>0</v>
      </c>
      <c r="S50" s="198"/>
      <c r="T50" s="26"/>
      <c r="U50" s="13"/>
    </row>
    <row r="51" spans="2:21" ht="20.100000000000001" customHeight="1" x14ac:dyDescent="0.25">
      <c r="B51" s="13"/>
      <c r="C51" s="26"/>
      <c r="D51" s="26"/>
      <c r="E51" s="37" t="s">
        <v>127</v>
      </c>
      <c r="F51" s="220" t="s">
        <v>60</v>
      </c>
      <c r="G51" s="149">
        <v>3</v>
      </c>
      <c r="H51" s="149" t="s">
        <v>13</v>
      </c>
      <c r="I51" s="149">
        <v>-14</v>
      </c>
      <c r="J51" s="149">
        <v>47</v>
      </c>
      <c r="K51" s="149" t="s">
        <v>13</v>
      </c>
      <c r="L51" s="38">
        <f>IF(J51="",0,(J51/J54)*100)</f>
        <v>100</v>
      </c>
      <c r="M51" s="149">
        <v>1</v>
      </c>
      <c r="N51" s="108">
        <v>6</v>
      </c>
      <c r="O51" s="205">
        <f>IF(M51=1,1,0)</f>
        <v>1</v>
      </c>
      <c r="P51" s="207">
        <f>IF(M51=2,1,0)</f>
        <v>0</v>
      </c>
      <c r="Q51" s="207">
        <f>IF(M51=3,1,0)</f>
        <v>0</v>
      </c>
      <c r="R51" s="9">
        <f>IF(M51=4,1,0)</f>
        <v>0</v>
      </c>
      <c r="S51" s="198"/>
      <c r="T51" s="26"/>
      <c r="U51" s="13"/>
    </row>
    <row r="52" spans="2:21" ht="20.100000000000001" customHeight="1" x14ac:dyDescent="0.25">
      <c r="B52" s="13"/>
      <c r="C52" s="26"/>
      <c r="D52" s="26"/>
      <c r="E52" s="303" t="s">
        <v>114</v>
      </c>
      <c r="F52" s="247" t="s">
        <v>102</v>
      </c>
      <c r="G52" s="47">
        <v>1</v>
      </c>
      <c r="H52" s="47" t="s">
        <v>13</v>
      </c>
      <c r="I52" s="47">
        <v>-14</v>
      </c>
      <c r="J52" s="47">
        <v>32</v>
      </c>
      <c r="K52" s="47" t="s">
        <v>13</v>
      </c>
      <c r="L52" s="48">
        <f>IF(J52="",0,(J52/J54)*100)</f>
        <v>68.085106382978722</v>
      </c>
      <c r="M52" s="47">
        <v>4</v>
      </c>
      <c r="N52" s="60">
        <v>0</v>
      </c>
      <c r="O52" s="205">
        <f>IF(M52=1,1,0)</f>
        <v>0</v>
      </c>
      <c r="P52" s="207">
        <f>IF(M52=2,1,0)</f>
        <v>0</v>
      </c>
      <c r="Q52" s="207">
        <f>IF(M52=3,1,0)</f>
        <v>0</v>
      </c>
      <c r="R52" s="9">
        <f>IF(M52=4,1,0)</f>
        <v>1</v>
      </c>
      <c r="S52" s="198"/>
      <c r="T52" s="26"/>
      <c r="U52" s="13"/>
    </row>
    <row r="53" spans="2:21" ht="20.100000000000001" customHeight="1" thickBot="1" x14ac:dyDescent="0.3">
      <c r="B53" s="13"/>
      <c r="C53" s="26"/>
      <c r="D53" s="68"/>
      <c r="E53" s="354" t="s">
        <v>46</v>
      </c>
      <c r="F53" s="255" t="s">
        <v>6</v>
      </c>
      <c r="G53" s="150">
        <v>4</v>
      </c>
      <c r="H53" s="150" t="s">
        <v>13</v>
      </c>
      <c r="I53" s="150">
        <v>-14</v>
      </c>
      <c r="J53" s="150">
        <v>34</v>
      </c>
      <c r="K53" s="150" t="s">
        <v>13</v>
      </c>
      <c r="L53" s="17">
        <f>IF(J53="",0,(J53/J54)*100)</f>
        <v>72.340425531914903</v>
      </c>
      <c r="M53" s="150">
        <v>3</v>
      </c>
      <c r="N53" s="59">
        <v>1</v>
      </c>
      <c r="O53" s="58">
        <f>IF(M53=1,1,0)</f>
        <v>0</v>
      </c>
      <c r="P53" s="208">
        <f>IF(M53=2,1,0)</f>
        <v>0</v>
      </c>
      <c r="Q53" s="208">
        <f>IF(M53=3,1,0)</f>
        <v>1</v>
      </c>
      <c r="R53" s="10">
        <f>IF(M53=4,1,0)</f>
        <v>0</v>
      </c>
      <c r="S53" s="198"/>
      <c r="T53" s="26"/>
      <c r="U53" s="13"/>
    </row>
    <row r="54" spans="2:21" ht="20.100000000000001" hidden="1" customHeight="1" outlineLevel="1" x14ac:dyDescent="0.25">
      <c r="B54" s="13"/>
      <c r="C54" s="26"/>
      <c r="D54" s="71"/>
      <c r="E54" s="71"/>
      <c r="F54" s="553"/>
      <c r="G54" s="553"/>
      <c r="H54" s="26"/>
      <c r="I54" s="193" t="s">
        <v>29</v>
      </c>
      <c r="J54" s="23">
        <f>MAX(J50:J53)</f>
        <v>47</v>
      </c>
      <c r="K54" s="73"/>
      <c r="L54" s="72"/>
      <c r="M54" s="26"/>
      <c r="N54" s="63" t="s">
        <v>33</v>
      </c>
      <c r="O54" s="20">
        <f>SUM(O50:O53)</f>
        <v>1</v>
      </c>
      <c r="P54" s="21">
        <f>SUM(P50:P53)</f>
        <v>1</v>
      </c>
      <c r="Q54" s="20">
        <f>SUM(Q50:Q53)</f>
        <v>1</v>
      </c>
      <c r="R54" s="20">
        <f>SUM(R50:R53)</f>
        <v>1</v>
      </c>
      <c r="S54" s="69"/>
      <c r="T54" s="26"/>
      <c r="U54" s="13"/>
    </row>
    <row r="55" spans="2:21" ht="20.100000000000001" customHeight="1" collapsed="1" x14ac:dyDescent="0.25">
      <c r="B55" s="13"/>
      <c r="C55" s="26"/>
      <c r="D55" s="26"/>
      <c r="E55" s="26"/>
      <c r="F55" s="607"/>
      <c r="G55" s="607"/>
      <c r="H55" s="199"/>
      <c r="I55" s="26"/>
      <c r="J55" s="26"/>
      <c r="K55" s="26"/>
      <c r="L55" s="26"/>
      <c r="M55" s="26"/>
      <c r="N55" s="26"/>
      <c r="O55" s="26"/>
      <c r="P55" s="26"/>
      <c r="Q55" s="26"/>
      <c r="R55" s="26"/>
      <c r="S55" s="26"/>
      <c r="T55" s="26"/>
      <c r="U55" s="13"/>
    </row>
    <row r="56" spans="2:21" ht="20.100000000000001" customHeight="1" x14ac:dyDescent="0.25">
      <c r="B56" s="13"/>
      <c r="U56" s="13"/>
    </row>
    <row r="57" spans="2:21" ht="20.100000000000001" customHeight="1" thickBot="1" x14ac:dyDescent="0.3">
      <c r="B57" s="13"/>
      <c r="C57" s="27"/>
      <c r="D57" s="27"/>
      <c r="E57" s="554" t="str">
        <f>IF(OR(M33="-",M33= ""),H33,M33)</f>
        <v>Ein Fest für Odin</v>
      </c>
      <c r="F57" s="554"/>
      <c r="G57" s="554"/>
      <c r="H57" s="554"/>
      <c r="I57" s="554"/>
      <c r="J57" s="554"/>
      <c r="K57" s="554"/>
      <c r="L57" s="554"/>
      <c r="M57" s="554"/>
      <c r="N57" s="554"/>
      <c r="O57" s="197"/>
      <c r="P57" s="197"/>
      <c r="Q57" s="197"/>
      <c r="R57" s="197"/>
      <c r="S57" s="197"/>
      <c r="T57" s="27"/>
      <c r="U57" s="13"/>
    </row>
    <row r="58" spans="2:21" ht="50.1" customHeight="1" thickBot="1" x14ac:dyDescent="0.3">
      <c r="B58" s="13"/>
      <c r="C58" s="27"/>
      <c r="D58" s="197"/>
      <c r="E58" s="88" t="s">
        <v>10</v>
      </c>
      <c r="F58" s="125" t="s">
        <v>52</v>
      </c>
      <c r="G58" s="89" t="s">
        <v>14</v>
      </c>
      <c r="H58" s="200" t="s">
        <v>51</v>
      </c>
      <c r="I58" s="18" t="s">
        <v>54</v>
      </c>
      <c r="J58" s="200" t="s">
        <v>53</v>
      </c>
      <c r="K58" s="206" t="s">
        <v>28</v>
      </c>
      <c r="L58" s="200" t="s">
        <v>37</v>
      </c>
      <c r="M58" s="204" t="s">
        <v>16</v>
      </c>
      <c r="N58" s="89" t="s">
        <v>15</v>
      </c>
      <c r="O58" s="5" t="s">
        <v>30</v>
      </c>
      <c r="P58" s="7" t="s">
        <v>34</v>
      </c>
      <c r="Q58" s="7" t="s">
        <v>31</v>
      </c>
      <c r="R58" s="7" t="s">
        <v>32</v>
      </c>
      <c r="S58" s="197"/>
      <c r="T58" s="27"/>
      <c r="U58" s="13"/>
    </row>
    <row r="59" spans="2:21" ht="20.100000000000001" customHeight="1" x14ac:dyDescent="0.25">
      <c r="B59" s="13"/>
      <c r="C59" s="27"/>
      <c r="D59" s="27"/>
      <c r="E59" s="39" t="s">
        <v>0</v>
      </c>
      <c r="F59" s="253" t="s">
        <v>5</v>
      </c>
      <c r="G59" s="49">
        <v>3</v>
      </c>
      <c r="H59" s="122" t="s">
        <v>13</v>
      </c>
      <c r="I59" s="49">
        <v>-86</v>
      </c>
      <c r="J59" s="122">
        <v>105</v>
      </c>
      <c r="K59" s="122" t="s">
        <v>13</v>
      </c>
      <c r="L59" s="50">
        <f>IF(J59="",0,(J59/J63)*100)</f>
        <v>84.677419354838719</v>
      </c>
      <c r="M59" s="49">
        <v>2</v>
      </c>
      <c r="N59" s="61">
        <v>3</v>
      </c>
      <c r="O59" s="57">
        <f>IF(M59=1,1,0)</f>
        <v>0</v>
      </c>
      <c r="P59" s="209">
        <f>IF(M59=2,1,0)</f>
        <v>1</v>
      </c>
      <c r="Q59" s="209">
        <f>IF(M59=3,1,0)</f>
        <v>0</v>
      </c>
      <c r="R59" s="8">
        <f>IF(M59=4,1,0)</f>
        <v>0</v>
      </c>
      <c r="S59" s="203"/>
      <c r="T59" s="27"/>
      <c r="U59" s="13"/>
    </row>
    <row r="60" spans="2:21" ht="20.100000000000001" customHeight="1" x14ac:dyDescent="0.25">
      <c r="B60" s="13"/>
      <c r="C60" s="27"/>
      <c r="D60" s="67"/>
      <c r="E60" s="40" t="s">
        <v>127</v>
      </c>
      <c r="F60" s="97" t="s">
        <v>60</v>
      </c>
      <c r="G60" s="47">
        <v>4</v>
      </c>
      <c r="H60" s="100" t="s">
        <v>13</v>
      </c>
      <c r="I60" s="47">
        <v>-86</v>
      </c>
      <c r="J60" s="100">
        <v>98</v>
      </c>
      <c r="K60" s="100" t="s">
        <v>13</v>
      </c>
      <c r="L60" s="48">
        <f>IF(J60="",0,(J60/J63)*100)</f>
        <v>79.032258064516128</v>
      </c>
      <c r="M60" s="47">
        <v>3</v>
      </c>
      <c r="N60" s="60">
        <v>1</v>
      </c>
      <c r="O60" s="205">
        <f>IF(M60=1,1,0)</f>
        <v>0</v>
      </c>
      <c r="P60" s="207">
        <f>IF(M60=2,1,0)</f>
        <v>0</v>
      </c>
      <c r="Q60" s="207">
        <f>IF(M60=3,1,0)</f>
        <v>1</v>
      </c>
      <c r="R60" s="9">
        <f>IF(M60=4,1,0)</f>
        <v>0</v>
      </c>
      <c r="S60" s="203"/>
      <c r="T60" s="27"/>
      <c r="U60" s="13"/>
    </row>
    <row r="61" spans="2:21" ht="20.100000000000001" customHeight="1" x14ac:dyDescent="0.25">
      <c r="B61" s="13"/>
      <c r="C61" s="27"/>
      <c r="D61" s="27"/>
      <c r="E61" s="303" t="s">
        <v>114</v>
      </c>
      <c r="F61" s="247" t="s">
        <v>102</v>
      </c>
      <c r="G61" s="47">
        <v>2</v>
      </c>
      <c r="H61" s="100" t="s">
        <v>13</v>
      </c>
      <c r="I61" s="47">
        <v>-86</v>
      </c>
      <c r="J61" s="100">
        <v>76</v>
      </c>
      <c r="K61" s="100" t="s">
        <v>13</v>
      </c>
      <c r="L61" s="48">
        <f>IF(J61="",0,(J61/J63)*100)</f>
        <v>61.29032258064516</v>
      </c>
      <c r="M61" s="47">
        <v>4</v>
      </c>
      <c r="N61" s="60">
        <v>0</v>
      </c>
      <c r="O61" s="205">
        <f>IF(M61=1,1,0)</f>
        <v>0</v>
      </c>
      <c r="P61" s="207">
        <f>IF(M61=2,1,0)</f>
        <v>0</v>
      </c>
      <c r="Q61" s="207">
        <f>IF(M61=3,1,0)</f>
        <v>0</v>
      </c>
      <c r="R61" s="9">
        <f>IF(M61=4,1,0)</f>
        <v>1</v>
      </c>
      <c r="S61" s="203"/>
      <c r="T61" s="27"/>
      <c r="U61" s="13"/>
    </row>
    <row r="62" spans="2:21" ht="20.100000000000001" customHeight="1" thickBot="1" x14ac:dyDescent="0.3">
      <c r="B62" s="13"/>
      <c r="C62" s="27"/>
      <c r="D62" s="27"/>
      <c r="E62" s="310" t="s">
        <v>46</v>
      </c>
      <c r="F62" s="283" t="s">
        <v>6</v>
      </c>
      <c r="G62" s="284">
        <v>1</v>
      </c>
      <c r="H62" s="285" t="s">
        <v>13</v>
      </c>
      <c r="I62" s="284">
        <v>-86</v>
      </c>
      <c r="J62" s="285">
        <v>124</v>
      </c>
      <c r="K62" s="284" t="s">
        <v>13</v>
      </c>
      <c r="L62" s="286">
        <f>IF(J62="",0,(J62/J63)*100)</f>
        <v>100</v>
      </c>
      <c r="M62" s="284">
        <v>1</v>
      </c>
      <c r="N62" s="287">
        <v>6</v>
      </c>
      <c r="O62" s="58">
        <f>IF(M62=1,1,0)</f>
        <v>1</v>
      </c>
      <c r="P62" s="208">
        <f>IF(M62=2,1,0)</f>
        <v>0</v>
      </c>
      <c r="Q62" s="208">
        <f>IF(M62=3,1,0)</f>
        <v>0</v>
      </c>
      <c r="R62" s="10">
        <f>IF(M62=4,1,0)</f>
        <v>0</v>
      </c>
      <c r="S62" s="203"/>
      <c r="T62" s="27"/>
      <c r="U62" s="13"/>
    </row>
    <row r="63" spans="2:21" ht="20.100000000000001" hidden="1" customHeight="1" outlineLevel="1" x14ac:dyDescent="0.25">
      <c r="B63" s="13"/>
      <c r="C63" s="27"/>
      <c r="D63" s="27"/>
      <c r="E63" s="27"/>
      <c r="F63" s="531"/>
      <c r="G63" s="531"/>
      <c r="H63" s="27"/>
      <c r="I63" s="62" t="s">
        <v>29</v>
      </c>
      <c r="J63" s="23">
        <f>MAX(J59:J62)</f>
        <v>124</v>
      </c>
      <c r="K63" s="75"/>
      <c r="L63" s="203"/>
      <c r="M63" s="27"/>
      <c r="N63" s="63" t="s">
        <v>33</v>
      </c>
      <c r="O63" s="20">
        <f>SUM(O59:O62)</f>
        <v>1</v>
      </c>
      <c r="P63" s="21">
        <f>SUM(P59:P62)</f>
        <v>1</v>
      </c>
      <c r="Q63" s="20">
        <f>SUM(Q59:Q62)</f>
        <v>1</v>
      </c>
      <c r="R63" s="22">
        <f>SUM(R59:R62)</f>
        <v>1</v>
      </c>
      <c r="S63" s="74"/>
      <c r="T63" s="27"/>
      <c r="U63" s="13"/>
    </row>
    <row r="64" spans="2:21" ht="20.100000000000001" customHeight="1" collapsed="1" x14ac:dyDescent="0.25">
      <c r="B64" s="13"/>
      <c r="C64" s="27"/>
      <c r="D64" s="27"/>
      <c r="E64" s="27"/>
      <c r="F64" s="27"/>
      <c r="G64" s="27"/>
      <c r="H64" s="27"/>
      <c r="I64" s="27"/>
      <c r="J64" s="27"/>
      <c r="K64" s="27"/>
      <c r="L64" s="27"/>
      <c r="M64" s="27"/>
      <c r="N64" s="27"/>
      <c r="O64" s="27"/>
      <c r="P64" s="27"/>
      <c r="Q64" s="27"/>
      <c r="R64" s="27"/>
      <c r="S64" s="27"/>
      <c r="T64" s="27"/>
      <c r="U64" s="13"/>
    </row>
    <row r="65" spans="2:23" ht="20.100000000000001" customHeight="1" x14ac:dyDescent="0.25">
      <c r="B65" s="13"/>
      <c r="D65" s="28"/>
      <c r="E65" s="28"/>
      <c r="F65" s="28"/>
      <c r="G65" s="28"/>
      <c r="H65" s="29"/>
      <c r="I65" s="28"/>
      <c r="J65" s="28"/>
      <c r="U65" s="13"/>
    </row>
    <row r="66" spans="2:23" ht="20.100000000000001" customHeight="1" thickBot="1" x14ac:dyDescent="0.3">
      <c r="B66" s="13"/>
      <c r="C66" s="30"/>
      <c r="D66" s="30"/>
      <c r="E66" s="532" t="str">
        <f>IF(OR(M36="-",M36= ""),H36,M36)</f>
        <v>Carcassonne</v>
      </c>
      <c r="F66" s="532"/>
      <c r="G66" s="532"/>
      <c r="H66" s="532"/>
      <c r="I66" s="532"/>
      <c r="J66" s="532"/>
      <c r="K66" s="532"/>
      <c r="L66" s="532"/>
      <c r="M66" s="532"/>
      <c r="N66" s="532"/>
      <c r="O66" s="196"/>
      <c r="P66" s="196"/>
      <c r="Q66" s="196"/>
      <c r="R66" s="196"/>
      <c r="S66" s="196"/>
      <c r="T66" s="30"/>
      <c r="U66" s="14"/>
      <c r="V66" s="1"/>
      <c r="W66" s="1"/>
    </row>
    <row r="67" spans="2:23" ht="50.1" customHeight="1" thickBot="1" x14ac:dyDescent="0.3">
      <c r="B67" s="13"/>
      <c r="C67" s="30"/>
      <c r="D67" s="196"/>
      <c r="E67" s="88" t="s">
        <v>10</v>
      </c>
      <c r="F67" s="125" t="s">
        <v>52</v>
      </c>
      <c r="G67" s="89" t="s">
        <v>14</v>
      </c>
      <c r="H67" s="200" t="s">
        <v>51</v>
      </c>
      <c r="I67" s="18" t="s">
        <v>54</v>
      </c>
      <c r="J67" s="200" t="s">
        <v>53</v>
      </c>
      <c r="K67" s="206" t="s">
        <v>28</v>
      </c>
      <c r="L67" s="200" t="s">
        <v>37</v>
      </c>
      <c r="M67" s="204" t="s">
        <v>16</v>
      </c>
      <c r="N67" s="89" t="s">
        <v>15</v>
      </c>
      <c r="O67" s="5" t="s">
        <v>30</v>
      </c>
      <c r="P67" s="7" t="s">
        <v>34</v>
      </c>
      <c r="Q67" s="7" t="s">
        <v>31</v>
      </c>
      <c r="R67" s="19" t="s">
        <v>32</v>
      </c>
      <c r="S67" s="196"/>
      <c r="T67" s="30"/>
      <c r="U67" s="14"/>
      <c r="V67" s="1"/>
      <c r="W67" s="1"/>
    </row>
    <row r="68" spans="2:23" ht="20.100000000000001" customHeight="1" x14ac:dyDescent="0.25">
      <c r="B68" s="13"/>
      <c r="C68" s="30"/>
      <c r="D68" s="30"/>
      <c r="E68" s="39" t="s">
        <v>0</v>
      </c>
      <c r="F68" s="253" t="s">
        <v>5</v>
      </c>
      <c r="G68" s="49">
        <v>1</v>
      </c>
      <c r="H68" s="122" t="s">
        <v>13</v>
      </c>
      <c r="I68" s="49">
        <v>0</v>
      </c>
      <c r="J68" s="180">
        <v>134</v>
      </c>
      <c r="K68" s="49" t="s">
        <v>13</v>
      </c>
      <c r="L68" s="50">
        <f>IF(J68="",0,(J68/J72)*100)</f>
        <v>95.714285714285722</v>
      </c>
      <c r="M68" s="49">
        <v>2</v>
      </c>
      <c r="N68" s="61">
        <v>3</v>
      </c>
      <c r="O68" s="57">
        <f>IF(M68=1,1,0)</f>
        <v>0</v>
      </c>
      <c r="P68" s="209">
        <f>IF(M68=2,1,0)</f>
        <v>1</v>
      </c>
      <c r="Q68" s="209">
        <f>IF(M68=3,1,0)</f>
        <v>0</v>
      </c>
      <c r="R68" s="8">
        <f>IF(M68=4,1,0)</f>
        <v>0</v>
      </c>
      <c r="S68" s="194"/>
      <c r="T68" s="30"/>
      <c r="U68" s="13"/>
    </row>
    <row r="69" spans="2:23" ht="20.100000000000001" customHeight="1" x14ac:dyDescent="0.25">
      <c r="B69" s="13"/>
      <c r="C69" s="30"/>
      <c r="D69" s="66"/>
      <c r="E69" s="40" t="s">
        <v>127</v>
      </c>
      <c r="F69" s="97" t="s">
        <v>60</v>
      </c>
      <c r="G69" s="47">
        <v>3</v>
      </c>
      <c r="H69" s="47" t="s">
        <v>13</v>
      </c>
      <c r="I69" s="47">
        <v>0</v>
      </c>
      <c r="J69" s="158">
        <v>128</v>
      </c>
      <c r="K69" s="47" t="s">
        <v>13</v>
      </c>
      <c r="L69" s="48">
        <f>IF(J69="",0,(J69/J72)*100)</f>
        <v>91.428571428571431</v>
      </c>
      <c r="M69" s="47">
        <v>4</v>
      </c>
      <c r="N69" s="60">
        <v>0</v>
      </c>
      <c r="O69" s="205">
        <f>IF(M69=1,1,0)</f>
        <v>0</v>
      </c>
      <c r="P69" s="207">
        <f>IF(M69=2,1,0)</f>
        <v>0</v>
      </c>
      <c r="Q69" s="207">
        <f>IF(M69=3,1,0)</f>
        <v>0</v>
      </c>
      <c r="R69" s="9">
        <f>IF(M69=4,1,0)</f>
        <v>1</v>
      </c>
      <c r="S69" s="194"/>
      <c r="T69" s="30"/>
      <c r="U69" s="31"/>
    </row>
    <row r="70" spans="2:23" ht="20.100000000000001" customHeight="1" x14ac:dyDescent="0.25">
      <c r="B70" s="13"/>
      <c r="C70" s="30"/>
      <c r="D70" s="30"/>
      <c r="E70" s="303" t="s">
        <v>114</v>
      </c>
      <c r="F70" s="247" t="s">
        <v>102</v>
      </c>
      <c r="G70" s="47">
        <v>2</v>
      </c>
      <c r="H70" s="100" t="s">
        <v>13</v>
      </c>
      <c r="I70" s="47">
        <v>0</v>
      </c>
      <c r="J70" s="158">
        <v>133</v>
      </c>
      <c r="K70" s="47" t="s">
        <v>13</v>
      </c>
      <c r="L70" s="48">
        <f>IF(J70="",0,(J70/J72)*100)</f>
        <v>95</v>
      </c>
      <c r="M70" s="47">
        <v>3</v>
      </c>
      <c r="N70" s="60">
        <v>1</v>
      </c>
      <c r="O70" s="205">
        <f>IF(M70=1,1,0)</f>
        <v>0</v>
      </c>
      <c r="P70" s="207">
        <f>IF(M70=2,1,0)</f>
        <v>0</v>
      </c>
      <c r="Q70" s="207">
        <f>IF(M70=3,1,0)</f>
        <v>1</v>
      </c>
      <c r="R70" s="9">
        <f>IF(M70=4,1,0)</f>
        <v>0</v>
      </c>
      <c r="S70" s="194"/>
      <c r="T70" s="30"/>
      <c r="U70" s="31"/>
    </row>
    <row r="71" spans="2:23" ht="20.100000000000001" customHeight="1" thickBot="1" x14ac:dyDescent="0.3">
      <c r="B71" s="13"/>
      <c r="C71" s="30"/>
      <c r="D71" s="30"/>
      <c r="E71" s="310" t="s">
        <v>46</v>
      </c>
      <c r="F71" s="283" t="s">
        <v>6</v>
      </c>
      <c r="G71" s="284">
        <v>4</v>
      </c>
      <c r="H71" s="285" t="s">
        <v>13</v>
      </c>
      <c r="I71" s="284">
        <v>0</v>
      </c>
      <c r="J71" s="289">
        <v>140</v>
      </c>
      <c r="K71" s="284" t="s">
        <v>13</v>
      </c>
      <c r="L71" s="286">
        <f>IF(J71="",0,(J71/J72)*100)</f>
        <v>100</v>
      </c>
      <c r="M71" s="284">
        <v>1</v>
      </c>
      <c r="N71" s="287">
        <v>6</v>
      </c>
      <c r="O71" s="58">
        <f>IF(M71=1,1,0)</f>
        <v>1</v>
      </c>
      <c r="P71" s="208">
        <f>IF(M71=2,1,0)</f>
        <v>0</v>
      </c>
      <c r="Q71" s="208">
        <f>IF(M71=3,1,0)</f>
        <v>0</v>
      </c>
      <c r="R71" s="10">
        <f>IF(M71=4,1,0)</f>
        <v>0</v>
      </c>
      <c r="S71" s="194"/>
      <c r="T71" s="30"/>
      <c r="U71" s="31"/>
    </row>
    <row r="72" spans="2:23" ht="20.100000000000001" hidden="1" customHeight="1" outlineLevel="1" x14ac:dyDescent="0.25">
      <c r="B72" s="13"/>
      <c r="C72" s="30"/>
      <c r="D72" s="30"/>
      <c r="E72" s="30"/>
      <c r="F72" s="533"/>
      <c r="G72" s="533"/>
      <c r="H72" s="30"/>
      <c r="I72" s="64" t="s">
        <v>29</v>
      </c>
      <c r="J72" s="23">
        <f>MAX(J68:J71)</f>
        <v>140</v>
      </c>
      <c r="K72" s="76"/>
      <c r="L72" s="194"/>
      <c r="M72" s="30"/>
      <c r="N72" s="63"/>
      <c r="O72" s="20">
        <f>SUM(O68:O71)</f>
        <v>1</v>
      </c>
      <c r="P72" s="21">
        <f>SUM(P68:P71)</f>
        <v>1</v>
      </c>
      <c r="Q72" s="20">
        <f>SUM(Q68:Q71)</f>
        <v>1</v>
      </c>
      <c r="R72" s="22">
        <f>SUM(R68:R71)</f>
        <v>1</v>
      </c>
      <c r="S72" s="77"/>
      <c r="T72" s="30"/>
      <c r="U72" s="31"/>
    </row>
    <row r="73" spans="2:23" ht="20.100000000000001" customHeight="1" collapsed="1" x14ac:dyDescent="0.25">
      <c r="B73" s="13"/>
      <c r="C73" s="30"/>
      <c r="D73" s="30"/>
      <c r="E73" s="30"/>
      <c r="F73" s="30"/>
      <c r="G73" s="30"/>
      <c r="H73" s="30"/>
      <c r="I73" s="30"/>
      <c r="J73" s="30"/>
      <c r="K73" s="30"/>
      <c r="L73" s="30"/>
      <c r="M73" s="30"/>
      <c r="N73" s="30"/>
      <c r="O73" s="30"/>
      <c r="P73" s="30"/>
      <c r="Q73" s="30"/>
      <c r="R73" s="30"/>
      <c r="S73" s="30"/>
      <c r="T73" s="30"/>
      <c r="U73" s="31"/>
    </row>
    <row r="74" spans="2:23" ht="20.100000000000001" customHeight="1" x14ac:dyDescent="0.25">
      <c r="B74" s="13"/>
      <c r="D74" s="28"/>
      <c r="E74" s="28"/>
      <c r="F74" s="28"/>
      <c r="G74" s="28"/>
      <c r="H74" s="29"/>
      <c r="I74" s="28"/>
      <c r="J74" s="28"/>
      <c r="K74" s="28"/>
      <c r="U74" s="13"/>
    </row>
    <row r="75" spans="2:23" ht="20.100000000000001" customHeight="1" thickBot="1" x14ac:dyDescent="0.3">
      <c r="B75" s="13"/>
      <c r="C75" s="32"/>
      <c r="D75" s="32"/>
      <c r="E75" s="534" t="str">
        <f>IF(OR(M43="-",M43= ""),H43,M43)</f>
        <v>Rajas of the Ganges</v>
      </c>
      <c r="F75" s="534"/>
      <c r="G75" s="534"/>
      <c r="H75" s="534"/>
      <c r="I75" s="534"/>
      <c r="J75" s="534"/>
      <c r="K75" s="534"/>
      <c r="L75" s="534"/>
      <c r="M75" s="534"/>
      <c r="N75" s="534"/>
      <c r="O75" s="195"/>
      <c r="P75" s="195"/>
      <c r="Q75" s="195"/>
      <c r="R75" s="195"/>
      <c r="S75" s="195"/>
      <c r="T75" s="32"/>
      <c r="U75" s="13"/>
    </row>
    <row r="76" spans="2:23" ht="50.1" customHeight="1" thickBot="1" x14ac:dyDescent="0.3">
      <c r="B76" s="13"/>
      <c r="C76" s="32"/>
      <c r="D76" s="195"/>
      <c r="E76" s="88" t="s">
        <v>10</v>
      </c>
      <c r="F76" s="125" t="s">
        <v>52</v>
      </c>
      <c r="G76" s="89" t="s">
        <v>14</v>
      </c>
      <c r="H76" s="200" t="s">
        <v>51</v>
      </c>
      <c r="I76" s="18" t="s">
        <v>54</v>
      </c>
      <c r="J76" s="200" t="s">
        <v>53</v>
      </c>
      <c r="K76" s="206" t="s">
        <v>28</v>
      </c>
      <c r="L76" s="200" t="s">
        <v>37</v>
      </c>
      <c r="M76" s="204" t="s">
        <v>16</v>
      </c>
      <c r="N76" s="89" t="s">
        <v>15</v>
      </c>
      <c r="O76" s="5" t="s">
        <v>30</v>
      </c>
      <c r="P76" s="7" t="s">
        <v>34</v>
      </c>
      <c r="Q76" s="7" t="s">
        <v>31</v>
      </c>
      <c r="R76" s="19" t="s">
        <v>32</v>
      </c>
      <c r="S76" s="195"/>
      <c r="T76" s="32"/>
      <c r="U76" s="13"/>
    </row>
    <row r="77" spans="2:23" ht="20.100000000000001" customHeight="1" x14ac:dyDescent="0.25">
      <c r="B77" s="13"/>
      <c r="C77" s="32"/>
      <c r="D77" s="32"/>
      <c r="E77" s="35" t="s">
        <v>0</v>
      </c>
      <c r="F77" s="272" t="s">
        <v>5</v>
      </c>
      <c r="G77" s="157">
        <v>2</v>
      </c>
      <c r="H77" s="103" t="s">
        <v>13</v>
      </c>
      <c r="I77" s="157">
        <v>-59</v>
      </c>
      <c r="J77" s="157">
        <v>3</v>
      </c>
      <c r="K77" s="157" t="s">
        <v>13</v>
      </c>
      <c r="L77" s="36">
        <f>($I$78-J77)/($I$78-$J$77)*100</f>
        <v>100</v>
      </c>
      <c r="M77" s="157">
        <v>1</v>
      </c>
      <c r="N77" s="99">
        <v>6</v>
      </c>
      <c r="O77" s="57">
        <f>IF(M77=1,1,0)</f>
        <v>1</v>
      </c>
      <c r="P77" s="209">
        <f>IF(M77=2,1,0)</f>
        <v>0</v>
      </c>
      <c r="Q77" s="209">
        <f>IF(M77=3,1,0)</f>
        <v>0</v>
      </c>
      <c r="R77" s="8">
        <f>IF(M77=4,1,0)</f>
        <v>0</v>
      </c>
      <c r="S77" s="201"/>
      <c r="T77" s="32"/>
      <c r="U77" s="13"/>
    </row>
    <row r="78" spans="2:23" ht="20.100000000000001" customHeight="1" x14ac:dyDescent="0.25">
      <c r="B78" s="13"/>
      <c r="C78" s="32"/>
      <c r="D78" s="32"/>
      <c r="E78" s="40" t="s">
        <v>127</v>
      </c>
      <c r="F78" s="97" t="s">
        <v>7</v>
      </c>
      <c r="G78" s="47">
        <v>3</v>
      </c>
      <c r="H78" s="47" t="s">
        <v>13</v>
      </c>
      <c r="I78" s="47">
        <v>-58</v>
      </c>
      <c r="J78" s="47">
        <v>1</v>
      </c>
      <c r="K78" s="47" t="s">
        <v>13</v>
      </c>
      <c r="L78" s="48">
        <f t="shared" ref="L78:L80" si="1">($I$78-J78)/($I$78-$J$77)*100</f>
        <v>96.721311475409834</v>
      </c>
      <c r="M78" s="47">
        <v>2</v>
      </c>
      <c r="N78" s="60">
        <v>3</v>
      </c>
      <c r="O78" s="205">
        <f>IF(M78=1,1,0)</f>
        <v>0</v>
      </c>
      <c r="P78" s="207">
        <f>IF(M78=2,1,0)</f>
        <v>1</v>
      </c>
      <c r="Q78" s="207">
        <f>IF(M78=3,1,0)</f>
        <v>0</v>
      </c>
      <c r="R78" s="9">
        <f>IF(M78=4,1,0)</f>
        <v>0</v>
      </c>
      <c r="S78" s="201"/>
      <c r="T78" s="32"/>
      <c r="U78" s="13"/>
    </row>
    <row r="79" spans="2:23" ht="20.100000000000001" customHeight="1" x14ac:dyDescent="0.25">
      <c r="B79" s="13"/>
      <c r="C79" s="32"/>
      <c r="D79" s="32"/>
      <c r="E79" s="303" t="s">
        <v>114</v>
      </c>
      <c r="F79" s="247" t="s">
        <v>102</v>
      </c>
      <c r="G79" s="47">
        <v>4</v>
      </c>
      <c r="H79" s="47" t="s">
        <v>13</v>
      </c>
      <c r="I79" s="47">
        <v>-58</v>
      </c>
      <c r="J79" s="47">
        <v>-7</v>
      </c>
      <c r="K79" s="47" t="s">
        <v>13</v>
      </c>
      <c r="L79" s="48">
        <f t="shared" si="1"/>
        <v>83.606557377049185</v>
      </c>
      <c r="M79" s="47">
        <v>3</v>
      </c>
      <c r="N79" s="60">
        <v>1</v>
      </c>
      <c r="O79" s="205">
        <f>IF(M79=1,1,0)</f>
        <v>0</v>
      </c>
      <c r="P79" s="207">
        <f>IF(M79=2,1,0)</f>
        <v>0</v>
      </c>
      <c r="Q79" s="207">
        <f>IF(M79=3,1,0)</f>
        <v>1</v>
      </c>
      <c r="R79" s="9">
        <f>IF(M79=4,1,0)</f>
        <v>0</v>
      </c>
      <c r="S79" s="201"/>
      <c r="T79" s="32"/>
      <c r="U79" s="13"/>
    </row>
    <row r="80" spans="2:23" ht="20.100000000000001" customHeight="1" thickBot="1" x14ac:dyDescent="0.3">
      <c r="B80" s="13"/>
      <c r="C80" s="32"/>
      <c r="D80" s="65"/>
      <c r="E80" s="354" t="s">
        <v>46</v>
      </c>
      <c r="F80" s="255" t="s">
        <v>6</v>
      </c>
      <c r="G80" s="150">
        <v>1</v>
      </c>
      <c r="H80" s="150" t="s">
        <v>13</v>
      </c>
      <c r="I80" s="150">
        <v>-59</v>
      </c>
      <c r="J80" s="150">
        <v>-15</v>
      </c>
      <c r="K80" s="150" t="s">
        <v>13</v>
      </c>
      <c r="L80" s="17">
        <f t="shared" si="1"/>
        <v>70.491803278688522</v>
      </c>
      <c r="M80" s="150">
        <v>4</v>
      </c>
      <c r="N80" s="59">
        <v>0</v>
      </c>
      <c r="O80" s="58">
        <f>IF(M80=1,1,0)</f>
        <v>0</v>
      </c>
      <c r="P80" s="208">
        <f>IF(M80=2,1,0)</f>
        <v>0</v>
      </c>
      <c r="Q80" s="208">
        <f>IF(M80=3,1,0)</f>
        <v>0</v>
      </c>
      <c r="R80" s="10">
        <f>IF(M80=4,1,0)</f>
        <v>1</v>
      </c>
      <c r="S80" s="201"/>
      <c r="T80" s="32"/>
      <c r="U80" s="13"/>
    </row>
    <row r="81" spans="2:31" ht="20.100000000000001" hidden="1" customHeight="1" outlineLevel="1" x14ac:dyDescent="0.25">
      <c r="B81" s="13"/>
      <c r="C81" s="32"/>
      <c r="D81" s="32"/>
      <c r="E81" s="32"/>
      <c r="F81" s="535"/>
      <c r="G81" s="535"/>
      <c r="H81" s="32"/>
      <c r="I81" s="62" t="s">
        <v>29</v>
      </c>
      <c r="J81" s="23">
        <f>MAX(J77:J80)</f>
        <v>3</v>
      </c>
      <c r="K81" s="78"/>
      <c r="L81" s="201"/>
      <c r="M81" s="32"/>
      <c r="N81" s="63" t="s">
        <v>33</v>
      </c>
      <c r="O81" s="20">
        <f>SUM(O77:O80)</f>
        <v>1</v>
      </c>
      <c r="P81" s="21">
        <f>SUM(P77:P80)</f>
        <v>1</v>
      </c>
      <c r="Q81" s="20">
        <f>SUM(Q77:Q80)</f>
        <v>1</v>
      </c>
      <c r="R81" s="22">
        <f>SUM(R77:R80)</f>
        <v>1</v>
      </c>
      <c r="S81" s="79"/>
      <c r="T81" s="32"/>
      <c r="U81" s="13"/>
    </row>
    <row r="82" spans="2:31" ht="20.100000000000001" customHeight="1" collapsed="1" x14ac:dyDescent="0.25">
      <c r="B82" s="13"/>
      <c r="C82" s="32"/>
      <c r="D82" s="32"/>
      <c r="E82" s="32"/>
      <c r="F82" s="32"/>
      <c r="G82" s="32"/>
      <c r="H82" s="32"/>
      <c r="I82" s="32"/>
      <c r="J82" s="32"/>
      <c r="K82" s="32"/>
      <c r="L82" s="32"/>
      <c r="M82" s="32"/>
      <c r="N82" s="32"/>
      <c r="O82" s="32"/>
      <c r="P82" s="32"/>
      <c r="Q82" s="32"/>
      <c r="R82" s="32"/>
      <c r="S82" s="32"/>
      <c r="T82" s="32"/>
      <c r="U82" s="13"/>
    </row>
    <row r="83" spans="2:31" ht="20.100000000000001" customHeight="1" x14ac:dyDescent="0.25">
      <c r="B83" s="13"/>
      <c r="D83" s="4"/>
      <c r="E83" s="4"/>
      <c r="F83" s="4"/>
      <c r="G83" s="4"/>
      <c r="H83" s="4"/>
      <c r="I83" s="4"/>
      <c r="J83" s="4"/>
      <c r="U83" s="13"/>
    </row>
    <row r="84" spans="2:31" ht="30" customHeight="1" thickBot="1" x14ac:dyDescent="0.3">
      <c r="B84" s="13"/>
      <c r="C84" s="33"/>
      <c r="D84" s="536" t="s">
        <v>49</v>
      </c>
      <c r="E84" s="536"/>
      <c r="F84" s="536"/>
      <c r="G84" s="536"/>
      <c r="H84" s="536"/>
      <c r="I84" s="536"/>
      <c r="J84" s="536"/>
      <c r="K84" s="536"/>
      <c r="L84" s="536"/>
      <c r="M84" s="536"/>
      <c r="N84" s="536"/>
      <c r="O84" s="536"/>
      <c r="P84" s="536"/>
      <c r="Q84" s="536"/>
      <c r="R84" s="536"/>
      <c r="S84" s="536"/>
      <c r="T84" s="33"/>
      <c r="U84" s="13"/>
    </row>
    <row r="85" spans="2:31" ht="50.1" customHeight="1" thickBot="1" x14ac:dyDescent="0.3">
      <c r="B85" s="13"/>
      <c r="C85" s="33"/>
      <c r="D85" s="90" t="s">
        <v>10</v>
      </c>
      <c r="E85" s="93" t="s">
        <v>139</v>
      </c>
      <c r="F85" s="91" t="s">
        <v>15</v>
      </c>
      <c r="G85" s="42" t="s">
        <v>55</v>
      </c>
      <c r="H85" s="537" t="s">
        <v>56</v>
      </c>
      <c r="I85" s="538"/>
      <c r="J85" s="202" t="s">
        <v>66</v>
      </c>
      <c r="K85" s="92" t="s">
        <v>17</v>
      </c>
      <c r="L85" s="91" t="s">
        <v>18</v>
      </c>
      <c r="M85" s="92" t="s">
        <v>19</v>
      </c>
      <c r="N85" s="91" t="s">
        <v>20</v>
      </c>
      <c r="O85" s="130"/>
      <c r="P85" s="126"/>
      <c r="Q85" s="126"/>
      <c r="R85" s="126"/>
      <c r="S85" s="93" t="s">
        <v>38</v>
      </c>
      <c r="T85" s="33"/>
      <c r="U85" s="13"/>
    </row>
    <row r="86" spans="2:31" ht="20.100000000000001" customHeight="1" x14ac:dyDescent="0.25">
      <c r="B86" s="13"/>
      <c r="C86" s="33"/>
      <c r="D86" s="131" t="s">
        <v>0</v>
      </c>
      <c r="E86" s="132" t="s">
        <v>5</v>
      </c>
      <c r="F86" s="266">
        <f>(K86*6+L86*3+M86*1+N86*0)</f>
        <v>15</v>
      </c>
      <c r="G86" s="266">
        <v>0</v>
      </c>
      <c r="H86" s="603" t="s">
        <v>13</v>
      </c>
      <c r="I86" s="604"/>
      <c r="J86" s="266">
        <f>F86+G86</f>
        <v>15</v>
      </c>
      <c r="K86" s="266">
        <v>1</v>
      </c>
      <c r="L86" s="266">
        <v>3</v>
      </c>
      <c r="M86" s="266">
        <v>0</v>
      </c>
      <c r="N86" s="266">
        <v>0</v>
      </c>
      <c r="O86" s="266"/>
      <c r="P86" s="266"/>
      <c r="Q86" s="266"/>
      <c r="R86" s="266"/>
      <c r="S86" s="146">
        <f>(L50+L59+L68+L77)/4</f>
        <v>92.438351799195999</v>
      </c>
      <c r="T86" s="33"/>
      <c r="U86" s="13"/>
      <c r="W86" s="127"/>
      <c r="X86" s="127"/>
      <c r="Y86" s="127"/>
      <c r="Z86" s="127"/>
    </row>
    <row r="87" spans="2:31" ht="20.100000000000001" customHeight="1" x14ac:dyDescent="0.25">
      <c r="B87" s="13"/>
      <c r="C87" s="33"/>
      <c r="D87" s="155" t="s">
        <v>46</v>
      </c>
      <c r="E87" s="274" t="s">
        <v>6</v>
      </c>
      <c r="F87" s="265">
        <f>(K87*6+L87*3+M87*1+N87*0)</f>
        <v>13</v>
      </c>
      <c r="G87" s="265">
        <v>0</v>
      </c>
      <c r="H87" s="605" t="s">
        <v>13</v>
      </c>
      <c r="I87" s="606"/>
      <c r="J87" s="265">
        <f>F87+G87</f>
        <v>13</v>
      </c>
      <c r="K87" s="265">
        <v>2</v>
      </c>
      <c r="L87" s="265">
        <v>0</v>
      </c>
      <c r="M87" s="265">
        <v>1</v>
      </c>
      <c r="N87" s="265">
        <v>1</v>
      </c>
      <c r="O87" s="265"/>
      <c r="P87" s="265"/>
      <c r="Q87" s="265"/>
      <c r="R87" s="265"/>
      <c r="S87" s="145">
        <f>(L53+L62+L71+L80)/4</f>
        <v>85.708057202650849</v>
      </c>
      <c r="T87" s="33"/>
      <c r="U87" s="13"/>
      <c r="W87" s="192"/>
      <c r="X87" s="192"/>
      <c r="Y87" s="192"/>
      <c r="Z87" s="192"/>
    </row>
    <row r="88" spans="2:31" ht="20.100000000000001" customHeight="1" x14ac:dyDescent="0.25">
      <c r="B88" s="13"/>
      <c r="C88" s="33"/>
      <c r="D88" s="51" t="s">
        <v>127</v>
      </c>
      <c r="E88" s="274" t="s">
        <v>60</v>
      </c>
      <c r="F88" s="265">
        <f>(K88*6+L88*3+M88*1+N88*0)</f>
        <v>10</v>
      </c>
      <c r="G88" s="265">
        <v>0</v>
      </c>
      <c r="H88" s="605" t="s">
        <v>13</v>
      </c>
      <c r="I88" s="606"/>
      <c r="J88" s="265">
        <f>F88+G88</f>
        <v>10</v>
      </c>
      <c r="K88" s="265">
        <v>1</v>
      </c>
      <c r="L88" s="265">
        <v>1</v>
      </c>
      <c r="M88" s="265">
        <v>1</v>
      </c>
      <c r="N88" s="265">
        <v>1</v>
      </c>
      <c r="O88" s="265"/>
      <c r="P88" s="265"/>
      <c r="Q88" s="265"/>
      <c r="R88" s="265"/>
      <c r="S88" s="145">
        <f>(L51+L60+L69+L78)/4</f>
        <v>91.795535242124345</v>
      </c>
      <c r="T88" s="33"/>
      <c r="U88" s="13"/>
      <c r="W88" s="192"/>
      <c r="X88" s="192"/>
      <c r="Y88" s="192"/>
      <c r="Z88" s="192"/>
    </row>
    <row r="89" spans="2:31" ht="20.100000000000001" customHeight="1" thickBot="1" x14ac:dyDescent="0.3">
      <c r="B89" s="13"/>
      <c r="C89" s="33"/>
      <c r="D89" s="260" t="s">
        <v>114</v>
      </c>
      <c r="E89" s="275" t="s">
        <v>102</v>
      </c>
      <c r="F89" s="267">
        <f>(K89*6+L89*3+M89*1+N89*0)</f>
        <v>2</v>
      </c>
      <c r="G89" s="267">
        <v>0</v>
      </c>
      <c r="H89" s="583" t="s">
        <v>13</v>
      </c>
      <c r="I89" s="583"/>
      <c r="J89" s="267">
        <f>F89+G89</f>
        <v>2</v>
      </c>
      <c r="K89" s="267">
        <v>0</v>
      </c>
      <c r="L89" s="267">
        <v>0</v>
      </c>
      <c r="M89" s="267">
        <v>2</v>
      </c>
      <c r="N89" s="267">
        <v>2</v>
      </c>
      <c r="O89" s="267"/>
      <c r="P89" s="267"/>
      <c r="Q89" s="267"/>
      <c r="R89" s="267"/>
      <c r="S89" s="147">
        <f>(L52+L61+L70+L79)/4</f>
        <v>76.995496585168269</v>
      </c>
      <c r="T89" s="33"/>
      <c r="U89" s="13"/>
      <c r="W89" s="192"/>
      <c r="X89" s="192"/>
      <c r="Y89" s="192"/>
      <c r="Z89" s="192"/>
      <c r="AB89" s="192"/>
      <c r="AC89" s="192"/>
      <c r="AD89" s="192"/>
      <c r="AE89" s="192"/>
    </row>
    <row r="90" spans="2:31" ht="20.100000000000001" customHeight="1" x14ac:dyDescent="0.25">
      <c r="B90" s="13"/>
      <c r="C90" s="33"/>
      <c r="D90" s="33"/>
      <c r="E90" s="33"/>
      <c r="F90" s="33"/>
      <c r="G90" s="33"/>
      <c r="H90" s="33"/>
      <c r="I90" s="33"/>
      <c r="J90" s="33"/>
      <c r="K90" s="33"/>
      <c r="L90" s="33"/>
      <c r="M90" s="33"/>
      <c r="N90" s="33"/>
      <c r="O90" s="33"/>
      <c r="P90" s="33"/>
      <c r="Q90" s="33"/>
      <c r="R90" s="33"/>
      <c r="S90" s="33"/>
      <c r="T90" s="33"/>
      <c r="U90" s="13"/>
      <c r="W90" s="192"/>
      <c r="X90" s="192"/>
      <c r="Y90" s="192"/>
      <c r="Z90" s="192"/>
    </row>
    <row r="91" spans="2:31" ht="20.100000000000001" customHeight="1" x14ac:dyDescent="0.25">
      <c r="B91" s="13"/>
      <c r="C91" s="13"/>
      <c r="D91" s="15"/>
      <c r="E91" s="15"/>
      <c r="F91" s="14"/>
      <c r="G91" s="14"/>
      <c r="H91" s="15"/>
      <c r="I91" s="15"/>
      <c r="J91" s="15"/>
      <c r="K91" s="13"/>
      <c r="L91" s="13"/>
      <c r="M91" s="13"/>
      <c r="N91" s="13"/>
      <c r="O91" s="13"/>
      <c r="P91" s="13"/>
      <c r="Q91" s="13"/>
      <c r="R91" s="13"/>
      <c r="S91" s="13"/>
      <c r="T91" s="13"/>
      <c r="U91" s="13"/>
    </row>
    <row r="92" spans="2:31" ht="20.100000000000001" customHeight="1" x14ac:dyDescent="0.25">
      <c r="D92" s="11"/>
    </row>
    <row r="93" spans="2:31" ht="20.100000000000001" customHeight="1" x14ac:dyDescent="0.25">
      <c r="D93" s="34"/>
    </row>
    <row r="94" spans="2:31" ht="20.100000000000001" customHeight="1" x14ac:dyDescent="0.25">
      <c r="B94" s="13"/>
      <c r="C94" s="13"/>
      <c r="D94" s="25"/>
      <c r="E94" s="25"/>
      <c r="F94" s="25"/>
      <c r="G94" s="25"/>
      <c r="H94" s="13"/>
      <c r="I94" s="13"/>
      <c r="J94" s="13"/>
      <c r="K94" s="13"/>
      <c r="L94" s="13"/>
      <c r="M94" s="13"/>
      <c r="N94" s="13"/>
      <c r="O94" s="13"/>
      <c r="P94" s="13"/>
      <c r="Q94" s="13"/>
      <c r="R94" s="13"/>
      <c r="S94" s="13"/>
      <c r="T94" s="13"/>
      <c r="U94" s="13"/>
    </row>
    <row r="95" spans="2:31" ht="30" customHeight="1" x14ac:dyDescent="0.25">
      <c r="B95" s="13"/>
      <c r="C95" s="555" t="s">
        <v>74</v>
      </c>
      <c r="D95" s="555"/>
      <c r="E95" s="555"/>
      <c r="F95" s="555"/>
      <c r="G95" s="555"/>
      <c r="H95" s="555"/>
      <c r="I95" s="555"/>
      <c r="J95" s="555"/>
      <c r="K95" s="555"/>
      <c r="L95" s="555"/>
      <c r="M95" s="555"/>
      <c r="N95" s="555"/>
      <c r="O95" s="555"/>
      <c r="P95" s="555"/>
      <c r="Q95" s="555"/>
      <c r="R95" s="555"/>
      <c r="S95" s="555"/>
      <c r="T95" s="555"/>
      <c r="U95" s="13"/>
    </row>
    <row r="96" spans="2:31" ht="20.100000000000001" customHeight="1" thickBot="1" x14ac:dyDescent="0.3">
      <c r="B96" s="13"/>
      <c r="U96" s="13"/>
    </row>
    <row r="97" spans="2:21" ht="20.100000000000001" customHeight="1" thickBot="1" x14ac:dyDescent="0.3">
      <c r="B97" s="13"/>
      <c r="D97" s="556" t="s">
        <v>10</v>
      </c>
      <c r="E97" s="558" t="s">
        <v>139</v>
      </c>
      <c r="F97" s="560" t="s">
        <v>22</v>
      </c>
      <c r="G97" s="561" t="s">
        <v>42</v>
      </c>
      <c r="H97" s="561"/>
      <c r="I97" s="561"/>
      <c r="J97" s="562"/>
      <c r="K97" s="200" t="s">
        <v>36</v>
      </c>
      <c r="L97" s="563" t="s">
        <v>27</v>
      </c>
      <c r="M97" s="561"/>
      <c r="N97" s="561"/>
      <c r="O97" s="561"/>
      <c r="P97" s="561"/>
      <c r="Q97" s="561"/>
      <c r="R97" s="561"/>
      <c r="S97" s="562"/>
      <c r="U97" s="13"/>
    </row>
    <row r="98" spans="2:21" ht="20.100000000000001" customHeight="1" thickBot="1" x14ac:dyDescent="0.3">
      <c r="B98" s="13"/>
      <c r="D98" s="557"/>
      <c r="E98" s="559"/>
      <c r="F98" s="559"/>
      <c r="G98" s="86" t="s">
        <v>43</v>
      </c>
      <c r="H98" s="85" t="s">
        <v>24</v>
      </c>
      <c r="I98" s="556" t="s">
        <v>23</v>
      </c>
      <c r="J98" s="564"/>
      <c r="K98" s="85" t="s">
        <v>25</v>
      </c>
      <c r="L98" s="94" t="s">
        <v>43</v>
      </c>
      <c r="M98" s="87" t="s">
        <v>26</v>
      </c>
      <c r="N98" s="556" t="s">
        <v>23</v>
      </c>
      <c r="O98" s="588"/>
      <c r="P98" s="588"/>
      <c r="Q98" s="588"/>
      <c r="R98" s="588"/>
      <c r="S98" s="564"/>
      <c r="U98" s="13"/>
    </row>
    <row r="99" spans="2:21" ht="15" customHeight="1" x14ac:dyDescent="0.25">
      <c r="B99" s="13"/>
      <c r="D99" s="641" t="s">
        <v>4</v>
      </c>
      <c r="E99" s="733" t="s">
        <v>9</v>
      </c>
      <c r="F99" s="647">
        <v>1</v>
      </c>
      <c r="G99" s="735" t="s">
        <v>44</v>
      </c>
      <c r="H99" s="656" t="s">
        <v>110</v>
      </c>
      <c r="I99" s="656" t="s">
        <v>211</v>
      </c>
      <c r="J99" s="657"/>
      <c r="K99" s="738" t="s">
        <v>218</v>
      </c>
      <c r="L99" s="740" t="s">
        <v>13</v>
      </c>
      <c r="M99" s="627" t="s">
        <v>13</v>
      </c>
      <c r="N99" s="630" t="s">
        <v>13</v>
      </c>
      <c r="O99" s="631"/>
      <c r="P99" s="631"/>
      <c r="Q99" s="631"/>
      <c r="R99" s="631"/>
      <c r="S99" s="632"/>
      <c r="U99" s="13"/>
    </row>
    <row r="100" spans="2:21" ht="15" customHeight="1" x14ac:dyDescent="0.25">
      <c r="B100" s="13"/>
      <c r="D100" s="643"/>
      <c r="E100" s="734"/>
      <c r="F100" s="649"/>
      <c r="G100" s="736"/>
      <c r="H100" s="737"/>
      <c r="I100" s="639" t="s">
        <v>212</v>
      </c>
      <c r="J100" s="640"/>
      <c r="K100" s="739"/>
      <c r="L100" s="732"/>
      <c r="M100" s="629"/>
      <c r="N100" s="636"/>
      <c r="O100" s="637"/>
      <c r="P100" s="637"/>
      <c r="Q100" s="637"/>
      <c r="R100" s="637"/>
      <c r="S100" s="638"/>
      <c r="U100" s="13"/>
    </row>
    <row r="101" spans="2:21" ht="30" customHeight="1" x14ac:dyDescent="0.25">
      <c r="B101" s="13"/>
      <c r="D101" s="674" t="s">
        <v>90</v>
      </c>
      <c r="E101" s="677" t="s">
        <v>92</v>
      </c>
      <c r="F101" s="667">
        <v>2</v>
      </c>
      <c r="G101" s="727" t="s">
        <v>44</v>
      </c>
      <c r="H101" s="671" t="s">
        <v>71</v>
      </c>
      <c r="I101" s="671" t="s">
        <v>213</v>
      </c>
      <c r="J101" s="673"/>
      <c r="K101" s="660" t="s">
        <v>12</v>
      </c>
      <c r="L101" s="730" t="s">
        <v>13</v>
      </c>
      <c r="M101" s="689" t="s">
        <v>13</v>
      </c>
      <c r="N101" s="658" t="s">
        <v>13</v>
      </c>
      <c r="O101" s="659"/>
      <c r="P101" s="659"/>
      <c r="Q101" s="659"/>
      <c r="R101" s="659"/>
      <c r="S101" s="660"/>
      <c r="U101" s="13"/>
    </row>
    <row r="102" spans="2:21" ht="15" customHeight="1" x14ac:dyDescent="0.25">
      <c r="B102" s="13"/>
      <c r="D102" s="675"/>
      <c r="E102" s="645"/>
      <c r="F102" s="648"/>
      <c r="G102" s="728"/>
      <c r="H102" s="661"/>
      <c r="I102" s="661" t="s">
        <v>214</v>
      </c>
      <c r="J102" s="662"/>
      <c r="K102" s="635"/>
      <c r="L102" s="731"/>
      <c r="M102" s="628"/>
      <c r="N102" s="633"/>
      <c r="O102" s="634"/>
      <c r="P102" s="634"/>
      <c r="Q102" s="634"/>
      <c r="R102" s="634"/>
      <c r="S102" s="635"/>
      <c r="U102" s="13"/>
    </row>
    <row r="103" spans="2:21" ht="15" customHeight="1" x14ac:dyDescent="0.25">
      <c r="B103" s="13"/>
      <c r="D103" s="676"/>
      <c r="E103" s="646"/>
      <c r="F103" s="649"/>
      <c r="G103" s="729"/>
      <c r="H103" s="672"/>
      <c r="I103" s="661" t="s">
        <v>215</v>
      </c>
      <c r="J103" s="662"/>
      <c r="K103" s="638"/>
      <c r="L103" s="732"/>
      <c r="M103" s="629"/>
      <c r="N103" s="636"/>
      <c r="O103" s="637"/>
      <c r="P103" s="637"/>
      <c r="Q103" s="637"/>
      <c r="R103" s="637"/>
      <c r="S103" s="638"/>
      <c r="U103" s="13"/>
    </row>
    <row r="104" spans="2:21" ht="15" customHeight="1" x14ac:dyDescent="0.25">
      <c r="B104" s="13"/>
      <c r="D104" s="663" t="s">
        <v>1</v>
      </c>
      <c r="E104" s="741" t="s">
        <v>11</v>
      </c>
      <c r="F104" s="667">
        <v>3</v>
      </c>
      <c r="G104" s="743" t="s">
        <v>35</v>
      </c>
      <c r="H104" s="746" t="s">
        <v>70</v>
      </c>
      <c r="I104" s="681" t="s">
        <v>209</v>
      </c>
      <c r="J104" s="684"/>
      <c r="K104" s="695" t="s">
        <v>12</v>
      </c>
      <c r="L104" s="730" t="s">
        <v>13</v>
      </c>
      <c r="M104" s="689" t="s">
        <v>13</v>
      </c>
      <c r="N104" s="658" t="s">
        <v>13</v>
      </c>
      <c r="O104" s="659"/>
      <c r="P104" s="659"/>
      <c r="Q104" s="659"/>
      <c r="R104" s="659"/>
      <c r="S104" s="660"/>
      <c r="U104" s="13"/>
    </row>
    <row r="105" spans="2:21" ht="15" customHeight="1" x14ac:dyDescent="0.25">
      <c r="B105" s="13"/>
      <c r="D105" s="642"/>
      <c r="E105" s="742"/>
      <c r="F105" s="648"/>
      <c r="G105" s="744"/>
      <c r="H105" s="747"/>
      <c r="I105" s="682" t="s">
        <v>210</v>
      </c>
      <c r="J105" s="702"/>
      <c r="K105" s="698"/>
      <c r="L105" s="731"/>
      <c r="M105" s="628"/>
      <c r="N105" s="633"/>
      <c r="O105" s="634"/>
      <c r="P105" s="634"/>
      <c r="Q105" s="634"/>
      <c r="R105" s="634"/>
      <c r="S105" s="635"/>
      <c r="U105" s="13"/>
    </row>
    <row r="106" spans="2:21" ht="15" customHeight="1" x14ac:dyDescent="0.25">
      <c r="B106" s="13"/>
      <c r="D106" s="642"/>
      <c r="E106" s="742"/>
      <c r="F106" s="648"/>
      <c r="G106" s="744"/>
      <c r="H106" s="747"/>
      <c r="I106" s="682" t="s">
        <v>208</v>
      </c>
      <c r="J106" s="702"/>
      <c r="K106" s="698"/>
      <c r="L106" s="731"/>
      <c r="M106" s="628"/>
      <c r="N106" s="633"/>
      <c r="O106" s="634"/>
      <c r="P106" s="634"/>
      <c r="Q106" s="634"/>
      <c r="R106" s="634"/>
      <c r="S106" s="635"/>
      <c r="U106" s="13"/>
    </row>
    <row r="107" spans="2:21" ht="15" customHeight="1" x14ac:dyDescent="0.25">
      <c r="B107" s="13"/>
      <c r="D107" s="643"/>
      <c r="E107" s="734"/>
      <c r="F107" s="649"/>
      <c r="G107" s="745"/>
      <c r="H107" s="748"/>
      <c r="I107" s="683" t="s">
        <v>207</v>
      </c>
      <c r="J107" s="751"/>
      <c r="K107" s="701"/>
      <c r="L107" s="732"/>
      <c r="M107" s="629"/>
      <c r="N107" s="636"/>
      <c r="O107" s="637"/>
      <c r="P107" s="637"/>
      <c r="Q107" s="637"/>
      <c r="R107" s="637"/>
      <c r="S107" s="638"/>
      <c r="U107" s="13"/>
    </row>
    <row r="108" spans="2:21" ht="20.100000000000001" customHeight="1" thickBot="1" x14ac:dyDescent="0.3">
      <c r="B108" s="13"/>
      <c r="D108" s="41" t="s">
        <v>88</v>
      </c>
      <c r="E108" s="255" t="s">
        <v>69</v>
      </c>
      <c r="F108" s="118">
        <v>4</v>
      </c>
      <c r="G108" s="304" t="s">
        <v>44</v>
      </c>
      <c r="H108" s="138" t="s">
        <v>216</v>
      </c>
      <c r="I108" s="749" t="s">
        <v>217</v>
      </c>
      <c r="J108" s="750"/>
      <c r="K108" s="179" t="s">
        <v>12</v>
      </c>
      <c r="L108" s="219" t="s">
        <v>13</v>
      </c>
      <c r="M108" s="56" t="s">
        <v>13</v>
      </c>
      <c r="N108" s="613" t="s">
        <v>13</v>
      </c>
      <c r="O108" s="550"/>
      <c r="P108" s="550"/>
      <c r="Q108" s="550"/>
      <c r="R108" s="550"/>
      <c r="S108" s="551"/>
      <c r="U108" s="13"/>
    </row>
    <row r="109" spans="2:21" ht="20.100000000000001" customHeight="1" x14ac:dyDescent="0.25">
      <c r="B109" s="13"/>
      <c r="U109" s="13"/>
    </row>
    <row r="110" spans="2:21" ht="20.100000000000001" customHeight="1" thickBot="1" x14ac:dyDescent="0.3">
      <c r="B110" s="13"/>
      <c r="C110" s="26"/>
      <c r="D110" s="26"/>
      <c r="E110" s="552" t="str">
        <f>IF(OR(L99="-",L99= ""),H99,L99)</f>
        <v>Res Arcana</v>
      </c>
      <c r="F110" s="552"/>
      <c r="G110" s="552"/>
      <c r="H110" s="552"/>
      <c r="I110" s="552"/>
      <c r="J110" s="552"/>
      <c r="K110" s="552"/>
      <c r="L110" s="552"/>
      <c r="M110" s="552"/>
      <c r="N110" s="552"/>
      <c r="O110" s="199"/>
      <c r="P110" s="199"/>
      <c r="Q110" s="199"/>
      <c r="R110" s="199"/>
      <c r="S110" s="199"/>
      <c r="T110" s="26"/>
      <c r="U110" s="13"/>
    </row>
    <row r="111" spans="2:21" ht="50.1" customHeight="1" thickBot="1" x14ac:dyDescent="0.3">
      <c r="B111" s="13"/>
      <c r="C111" s="26"/>
      <c r="D111" s="199"/>
      <c r="E111" s="88" t="s">
        <v>10</v>
      </c>
      <c r="F111" s="125" t="s">
        <v>52</v>
      </c>
      <c r="G111" s="89" t="s">
        <v>14</v>
      </c>
      <c r="H111" s="200" t="s">
        <v>51</v>
      </c>
      <c r="I111" s="18" t="s">
        <v>54</v>
      </c>
      <c r="J111" s="200" t="s">
        <v>53</v>
      </c>
      <c r="K111" s="206" t="s">
        <v>28</v>
      </c>
      <c r="L111" s="200" t="s">
        <v>37</v>
      </c>
      <c r="M111" s="204" t="s">
        <v>16</v>
      </c>
      <c r="N111" s="89" t="s">
        <v>15</v>
      </c>
      <c r="O111" s="5" t="s">
        <v>30</v>
      </c>
      <c r="P111" s="7" t="s">
        <v>34</v>
      </c>
      <c r="Q111" s="7" t="s">
        <v>31</v>
      </c>
      <c r="R111" s="19" t="s">
        <v>32</v>
      </c>
      <c r="S111" s="199"/>
      <c r="T111" s="26"/>
      <c r="U111" s="13"/>
    </row>
    <row r="112" spans="2:21" ht="20.100000000000001" customHeight="1" x14ac:dyDescent="0.25">
      <c r="B112" s="13"/>
      <c r="C112" s="26"/>
      <c r="D112" s="68"/>
      <c r="E112" s="35" t="s">
        <v>4</v>
      </c>
      <c r="F112" s="277" t="s">
        <v>9</v>
      </c>
      <c r="G112" s="157">
        <v>4</v>
      </c>
      <c r="H112" s="157" t="s">
        <v>146</v>
      </c>
      <c r="I112" s="157">
        <v>0</v>
      </c>
      <c r="J112" s="157">
        <v>10</v>
      </c>
      <c r="K112" s="157" t="s">
        <v>13</v>
      </c>
      <c r="L112" s="36">
        <f>IF(J112="",0,(J112/J116)*100)</f>
        <v>100</v>
      </c>
      <c r="M112" s="157">
        <v>1</v>
      </c>
      <c r="N112" s="99">
        <v>6</v>
      </c>
      <c r="O112" s="57">
        <f>IF(M112=1,1,0)</f>
        <v>1</v>
      </c>
      <c r="P112" s="209">
        <f>IF(M112=2,1,0)</f>
        <v>0</v>
      </c>
      <c r="Q112" s="209">
        <f>IF(M112=3,1,0)</f>
        <v>0</v>
      </c>
      <c r="R112" s="8">
        <f>IF(M112=4,1,0)</f>
        <v>0</v>
      </c>
      <c r="S112" s="198"/>
      <c r="T112" s="26"/>
      <c r="U112" s="13"/>
    </row>
    <row r="113" spans="2:21" ht="20.100000000000001" customHeight="1" x14ac:dyDescent="0.25">
      <c r="B113" s="13"/>
      <c r="C113" s="26"/>
      <c r="D113" s="26"/>
      <c r="E113" s="303" t="s">
        <v>90</v>
      </c>
      <c r="F113" s="247" t="s">
        <v>92</v>
      </c>
      <c r="G113" s="47">
        <v>1</v>
      </c>
      <c r="H113" s="47" t="s">
        <v>220</v>
      </c>
      <c r="I113" s="47">
        <v>0</v>
      </c>
      <c r="J113" s="47">
        <v>3</v>
      </c>
      <c r="K113" s="100" t="s">
        <v>13</v>
      </c>
      <c r="L113" s="48">
        <f>IF(J113="",0,(J113/J116)*100)</f>
        <v>30</v>
      </c>
      <c r="M113" s="47">
        <v>3</v>
      </c>
      <c r="N113" s="60">
        <v>1</v>
      </c>
      <c r="O113" s="205">
        <f>IF(M113=1,1,0)</f>
        <v>0</v>
      </c>
      <c r="P113" s="207">
        <f>IF(M113=2,1,0)</f>
        <v>0</v>
      </c>
      <c r="Q113" s="207">
        <f>IF(M113=3,1,0)</f>
        <v>1</v>
      </c>
      <c r="R113" s="9">
        <f>IF(M113=4,1,0)</f>
        <v>0</v>
      </c>
      <c r="S113" s="198"/>
      <c r="T113" s="26"/>
      <c r="U113" s="13"/>
    </row>
    <row r="114" spans="2:21" ht="20.100000000000001" customHeight="1" x14ac:dyDescent="0.25">
      <c r="B114" s="13"/>
      <c r="C114" s="26"/>
      <c r="D114" s="26"/>
      <c r="E114" s="40" t="s">
        <v>1</v>
      </c>
      <c r="F114" s="249" t="s">
        <v>11</v>
      </c>
      <c r="G114" s="47">
        <v>3</v>
      </c>
      <c r="H114" s="47" t="s">
        <v>111</v>
      </c>
      <c r="I114" s="47">
        <v>0</v>
      </c>
      <c r="J114" s="47">
        <v>9</v>
      </c>
      <c r="K114" s="47" t="s">
        <v>13</v>
      </c>
      <c r="L114" s="48">
        <f>IF(J114="",0,(J114/J116)*100)</f>
        <v>90</v>
      </c>
      <c r="M114" s="47">
        <v>2</v>
      </c>
      <c r="N114" s="60">
        <v>3</v>
      </c>
      <c r="O114" s="205">
        <f>IF(M114=1,1,0)</f>
        <v>0</v>
      </c>
      <c r="P114" s="207">
        <f>IF(M114=2,1,0)</f>
        <v>1</v>
      </c>
      <c r="Q114" s="207">
        <f>IF(M114=3,1,0)</f>
        <v>0</v>
      </c>
      <c r="R114" s="9">
        <f>IF(M114=4,1,0)</f>
        <v>0</v>
      </c>
      <c r="S114" s="198"/>
      <c r="T114" s="26"/>
      <c r="U114" s="13"/>
    </row>
    <row r="115" spans="2:21" ht="20.100000000000001" customHeight="1" thickBot="1" x14ac:dyDescent="0.3">
      <c r="B115" s="13"/>
      <c r="C115" s="26"/>
      <c r="D115" s="26"/>
      <c r="E115" s="41" t="s">
        <v>88</v>
      </c>
      <c r="F115" s="255" t="s">
        <v>69</v>
      </c>
      <c r="G115" s="150">
        <v>2</v>
      </c>
      <c r="H115" s="107" t="s">
        <v>221</v>
      </c>
      <c r="I115" s="150">
        <v>0</v>
      </c>
      <c r="J115" s="150">
        <v>1</v>
      </c>
      <c r="K115" s="107" t="s">
        <v>13</v>
      </c>
      <c r="L115" s="17">
        <f>IF(J115="",0,(J115/J116)*100)</f>
        <v>10</v>
      </c>
      <c r="M115" s="150">
        <v>4</v>
      </c>
      <c r="N115" s="59">
        <v>0</v>
      </c>
      <c r="O115" s="58">
        <f>IF(M115=1,1,0)</f>
        <v>0</v>
      </c>
      <c r="P115" s="208">
        <f>IF(M115=2,1,0)</f>
        <v>0</v>
      </c>
      <c r="Q115" s="208">
        <f>IF(M115=3,1,0)</f>
        <v>0</v>
      </c>
      <c r="R115" s="10">
        <f>IF(M115=4,1,0)</f>
        <v>1</v>
      </c>
      <c r="S115" s="198"/>
      <c r="T115" s="26"/>
      <c r="U115" s="13"/>
    </row>
    <row r="116" spans="2:21" ht="20.100000000000001" hidden="1" customHeight="1" outlineLevel="1" x14ac:dyDescent="0.25">
      <c r="B116" s="13"/>
      <c r="C116" s="26"/>
      <c r="D116" s="68"/>
      <c r="E116" s="68"/>
      <c r="F116" s="553"/>
      <c r="G116" s="553"/>
      <c r="H116" s="26"/>
      <c r="I116" s="64" t="s">
        <v>29</v>
      </c>
      <c r="J116" s="23">
        <f>MAX(J112:J115)</f>
        <v>10</v>
      </c>
      <c r="K116" s="70"/>
      <c r="L116" s="69"/>
      <c r="M116" s="26"/>
      <c r="N116" s="63" t="s">
        <v>33</v>
      </c>
      <c r="O116" s="20">
        <f>SUM(O112:O115)</f>
        <v>1</v>
      </c>
      <c r="P116" s="21">
        <f>SUM(P112:P115)</f>
        <v>1</v>
      </c>
      <c r="Q116" s="20">
        <f>SUM(Q112:Q115)</f>
        <v>1</v>
      </c>
      <c r="R116" s="22">
        <f>SUM(R112:R115)</f>
        <v>1</v>
      </c>
      <c r="S116" s="69"/>
      <c r="T116" s="26"/>
      <c r="U116" s="13"/>
    </row>
    <row r="117" spans="2:21" ht="20.100000000000001" customHeight="1" collapsed="1" x14ac:dyDescent="0.25">
      <c r="B117" s="13"/>
      <c r="C117" s="26"/>
      <c r="D117" s="26"/>
      <c r="E117" s="26"/>
      <c r="F117" s="26"/>
      <c r="G117" s="26"/>
      <c r="H117" s="26"/>
      <c r="I117" s="26"/>
      <c r="J117" s="26"/>
      <c r="K117" s="26"/>
      <c r="L117" s="26"/>
      <c r="M117" s="26"/>
      <c r="N117" s="26"/>
      <c r="O117" s="26"/>
      <c r="P117" s="26"/>
      <c r="Q117" s="26"/>
      <c r="R117" s="26"/>
      <c r="S117" s="26"/>
      <c r="T117" s="26"/>
      <c r="U117" s="13"/>
    </row>
    <row r="118" spans="2:21" ht="20.100000000000001" customHeight="1" x14ac:dyDescent="0.25">
      <c r="B118" s="13"/>
      <c r="U118" s="13"/>
    </row>
    <row r="119" spans="2:21" ht="20.100000000000001" customHeight="1" thickBot="1" x14ac:dyDescent="0.3">
      <c r="B119" s="13"/>
      <c r="C119" s="27"/>
      <c r="D119" s="27"/>
      <c r="E119" s="554" t="str">
        <f>IF(OR(L101="-",L101= ""),H101,L101)</f>
        <v>Die Burgen von Burgund</v>
      </c>
      <c r="F119" s="554"/>
      <c r="G119" s="554"/>
      <c r="H119" s="554"/>
      <c r="I119" s="554"/>
      <c r="J119" s="554"/>
      <c r="K119" s="554"/>
      <c r="L119" s="554"/>
      <c r="M119" s="554"/>
      <c r="N119" s="554"/>
      <c r="O119" s="197"/>
      <c r="P119" s="197"/>
      <c r="Q119" s="197"/>
      <c r="R119" s="197"/>
      <c r="S119" s="197"/>
      <c r="T119" s="27"/>
      <c r="U119" s="13"/>
    </row>
    <row r="120" spans="2:21" ht="50.1" customHeight="1" thickBot="1" x14ac:dyDescent="0.3">
      <c r="B120" s="13"/>
      <c r="C120" s="27"/>
      <c r="D120" s="197"/>
      <c r="E120" s="88" t="s">
        <v>10</v>
      </c>
      <c r="F120" s="125" t="s">
        <v>52</v>
      </c>
      <c r="G120" s="89" t="s">
        <v>14</v>
      </c>
      <c r="H120" s="200" t="s">
        <v>51</v>
      </c>
      <c r="I120" s="18" t="s">
        <v>54</v>
      </c>
      <c r="J120" s="200" t="s">
        <v>53</v>
      </c>
      <c r="K120" s="206" t="s">
        <v>28</v>
      </c>
      <c r="L120" s="200" t="s">
        <v>37</v>
      </c>
      <c r="M120" s="204" t="s">
        <v>16</v>
      </c>
      <c r="N120" s="89" t="s">
        <v>15</v>
      </c>
      <c r="O120" s="5" t="s">
        <v>30</v>
      </c>
      <c r="P120" s="7" t="s">
        <v>34</v>
      </c>
      <c r="Q120" s="7" t="s">
        <v>31</v>
      </c>
      <c r="R120" s="19" t="s">
        <v>32</v>
      </c>
      <c r="S120" s="197"/>
      <c r="T120" s="27"/>
      <c r="U120" s="13"/>
    </row>
    <row r="121" spans="2:21" ht="20.100000000000001" customHeight="1" x14ac:dyDescent="0.25">
      <c r="B121" s="13"/>
      <c r="C121" s="27"/>
      <c r="D121" s="67"/>
      <c r="E121" s="39" t="s">
        <v>4</v>
      </c>
      <c r="F121" s="244" t="s">
        <v>9</v>
      </c>
      <c r="G121" s="49">
        <v>3</v>
      </c>
      <c r="H121" s="122" t="s">
        <v>219</v>
      </c>
      <c r="I121" s="49">
        <v>0</v>
      </c>
      <c r="J121" s="122">
        <v>230</v>
      </c>
      <c r="K121" s="238" t="s">
        <v>13</v>
      </c>
      <c r="L121" s="50">
        <f>IF(J121="",0,(J121/J125)*100)</f>
        <v>90.196078431372555</v>
      </c>
      <c r="M121" s="49">
        <v>3</v>
      </c>
      <c r="N121" s="61">
        <v>1</v>
      </c>
      <c r="O121" s="57">
        <f>IF(M121=1,1,0)</f>
        <v>0</v>
      </c>
      <c r="P121" s="209">
        <f>IF(M121=2,1,0)</f>
        <v>0</v>
      </c>
      <c r="Q121" s="209">
        <f>IF(M121=3,1,0)</f>
        <v>1</v>
      </c>
      <c r="R121" s="8">
        <f>IF(M121=4,1,0)</f>
        <v>0</v>
      </c>
      <c r="S121" s="203"/>
      <c r="T121" s="27"/>
      <c r="U121" s="13"/>
    </row>
    <row r="122" spans="2:21" ht="20.100000000000001" customHeight="1" x14ac:dyDescent="0.25">
      <c r="B122" s="13"/>
      <c r="C122" s="27"/>
      <c r="D122" s="27"/>
      <c r="E122" s="110" t="s">
        <v>90</v>
      </c>
      <c r="F122" s="273" t="s">
        <v>92</v>
      </c>
      <c r="G122" s="149">
        <v>1</v>
      </c>
      <c r="H122" s="123" t="s">
        <v>163</v>
      </c>
      <c r="I122" s="149">
        <v>0</v>
      </c>
      <c r="J122" s="123">
        <v>255</v>
      </c>
      <c r="K122" s="123" t="s">
        <v>13</v>
      </c>
      <c r="L122" s="38">
        <f>IF(J122="",0,(J122/J125)*100)</f>
        <v>100</v>
      </c>
      <c r="M122" s="149">
        <v>1</v>
      </c>
      <c r="N122" s="108">
        <v>6</v>
      </c>
      <c r="O122" s="205">
        <f>IF(M122=1,1,0)</f>
        <v>1</v>
      </c>
      <c r="P122" s="207">
        <f>IF(M122=2,1,0)</f>
        <v>0</v>
      </c>
      <c r="Q122" s="207">
        <f>IF(M122=3,1,0)</f>
        <v>0</v>
      </c>
      <c r="R122" s="9">
        <f>IF(M122=4,1,0)</f>
        <v>0</v>
      </c>
      <c r="S122" s="203"/>
      <c r="T122" s="27"/>
      <c r="U122" s="13"/>
    </row>
    <row r="123" spans="2:21" ht="20.100000000000001" customHeight="1" x14ac:dyDescent="0.25">
      <c r="B123" s="13"/>
      <c r="C123" s="27"/>
      <c r="D123" s="67"/>
      <c r="E123" s="40" t="s">
        <v>1</v>
      </c>
      <c r="F123" s="249" t="s">
        <v>11</v>
      </c>
      <c r="G123" s="47">
        <v>2</v>
      </c>
      <c r="H123" s="100" t="s">
        <v>164</v>
      </c>
      <c r="I123" s="47">
        <v>0</v>
      </c>
      <c r="J123" s="100">
        <v>243</v>
      </c>
      <c r="K123" s="239" t="s">
        <v>13</v>
      </c>
      <c r="L123" s="48">
        <f>IF(J123="",0,(J123/J125)*100)</f>
        <v>95.294117647058812</v>
      </c>
      <c r="M123" s="47">
        <v>2</v>
      </c>
      <c r="N123" s="60">
        <v>3</v>
      </c>
      <c r="O123" s="205">
        <f>IF(M123=1,1,0)</f>
        <v>0</v>
      </c>
      <c r="P123" s="207">
        <f>IF(M123=2,1,0)</f>
        <v>1</v>
      </c>
      <c r="Q123" s="207">
        <f>IF(M123=3,1,0)</f>
        <v>0</v>
      </c>
      <c r="R123" s="9">
        <f>IF(M123=4,1,0)</f>
        <v>0</v>
      </c>
      <c r="S123" s="203"/>
      <c r="T123" s="27"/>
      <c r="U123" s="13"/>
    </row>
    <row r="124" spans="2:21" ht="20.100000000000001" customHeight="1" thickBot="1" x14ac:dyDescent="0.3">
      <c r="B124" s="13"/>
      <c r="C124" s="27"/>
      <c r="D124" s="27"/>
      <c r="E124" s="41" t="s">
        <v>88</v>
      </c>
      <c r="F124" s="255" t="s">
        <v>69</v>
      </c>
      <c r="G124" s="150">
        <v>4</v>
      </c>
      <c r="H124" s="107" t="s">
        <v>68</v>
      </c>
      <c r="I124" s="150">
        <v>0</v>
      </c>
      <c r="J124" s="107">
        <v>218</v>
      </c>
      <c r="K124" s="107" t="s">
        <v>13</v>
      </c>
      <c r="L124" s="17">
        <f>IF(J124="",0,(J124/J125)*100)</f>
        <v>85.490196078431367</v>
      </c>
      <c r="M124" s="150">
        <v>4</v>
      </c>
      <c r="N124" s="59">
        <v>0</v>
      </c>
      <c r="O124" s="58">
        <f>IF(M124=1,1,0)</f>
        <v>0</v>
      </c>
      <c r="P124" s="208">
        <f>IF(M124=2,1,0)</f>
        <v>0</v>
      </c>
      <c r="Q124" s="208">
        <f>IF(M124=3,1,0)</f>
        <v>0</v>
      </c>
      <c r="R124" s="10">
        <f>IF(M124=4,1,0)</f>
        <v>1</v>
      </c>
      <c r="S124" s="203"/>
      <c r="T124" s="27"/>
      <c r="U124" s="13"/>
    </row>
    <row r="125" spans="2:21" ht="20.100000000000001" hidden="1" customHeight="1" outlineLevel="1" x14ac:dyDescent="0.25">
      <c r="B125" s="13"/>
      <c r="C125" s="27"/>
      <c r="D125" s="27"/>
      <c r="E125" s="27"/>
      <c r="F125" s="531"/>
      <c r="G125" s="531"/>
      <c r="H125" s="27"/>
      <c r="I125" s="64" t="s">
        <v>29</v>
      </c>
      <c r="J125" s="23">
        <f>MAX(J121:J124)</f>
        <v>255</v>
      </c>
      <c r="K125" s="75"/>
      <c r="L125" s="203"/>
      <c r="M125" s="27"/>
      <c r="N125" s="63" t="s">
        <v>33</v>
      </c>
      <c r="O125" s="20">
        <f>SUM(O121:O124)</f>
        <v>1</v>
      </c>
      <c r="P125" s="21">
        <f>SUM(P121:P124)</f>
        <v>1</v>
      </c>
      <c r="Q125" s="20">
        <f>SUM(Q121:Q124)</f>
        <v>1</v>
      </c>
      <c r="R125" s="22">
        <f>SUM(R121:R124)</f>
        <v>1</v>
      </c>
      <c r="S125" s="74"/>
      <c r="T125" s="27"/>
      <c r="U125" s="13"/>
    </row>
    <row r="126" spans="2:21" ht="20.100000000000001" customHeight="1" collapsed="1" x14ac:dyDescent="0.25">
      <c r="B126" s="13"/>
      <c r="C126" s="27"/>
      <c r="D126" s="27"/>
      <c r="E126" s="27"/>
      <c r="F126" s="27"/>
      <c r="G126" s="27"/>
      <c r="H126" s="27"/>
      <c r="I126" s="27"/>
      <c r="J126" s="27"/>
      <c r="K126" s="27"/>
      <c r="L126" s="27"/>
      <c r="M126" s="27"/>
      <c r="N126" s="27"/>
      <c r="O126" s="27"/>
      <c r="P126" s="27"/>
      <c r="Q126" s="27"/>
      <c r="R126" s="27"/>
      <c r="S126" s="27"/>
      <c r="T126" s="27"/>
      <c r="U126" s="13"/>
    </row>
    <row r="127" spans="2:21" ht="20.100000000000001" customHeight="1" x14ac:dyDescent="0.25">
      <c r="B127" s="13"/>
      <c r="D127" s="28"/>
      <c r="E127" s="28"/>
      <c r="F127" s="28"/>
      <c r="G127" s="28"/>
      <c r="H127" s="29"/>
      <c r="I127" s="28"/>
      <c r="J127" s="28"/>
      <c r="U127" s="13"/>
    </row>
    <row r="128" spans="2:21" ht="20.100000000000001" customHeight="1" thickBot="1" x14ac:dyDescent="0.3">
      <c r="B128" s="13"/>
      <c r="C128" s="30"/>
      <c r="D128" s="30"/>
      <c r="E128" s="532" t="str">
        <f>IF(OR(L104="-",L104= ""),H104,L104)</f>
        <v>Rajas of the Ganges</v>
      </c>
      <c r="F128" s="532"/>
      <c r="G128" s="532"/>
      <c r="H128" s="532"/>
      <c r="I128" s="532"/>
      <c r="J128" s="532"/>
      <c r="K128" s="532"/>
      <c r="L128" s="532"/>
      <c r="M128" s="532"/>
      <c r="N128" s="532"/>
      <c r="O128" s="196"/>
      <c r="P128" s="196"/>
      <c r="Q128" s="196"/>
      <c r="R128" s="196"/>
      <c r="S128" s="196"/>
      <c r="T128" s="30"/>
      <c r="U128" s="14"/>
    </row>
    <row r="129" spans="2:21" ht="50.1" customHeight="1" thickBot="1" x14ac:dyDescent="0.3">
      <c r="B129" s="13"/>
      <c r="C129" s="30"/>
      <c r="D129" s="196"/>
      <c r="E129" s="88" t="s">
        <v>10</v>
      </c>
      <c r="F129" s="125" t="s">
        <v>52</v>
      </c>
      <c r="G129" s="89" t="s">
        <v>14</v>
      </c>
      <c r="H129" s="200" t="s">
        <v>51</v>
      </c>
      <c r="I129" s="18" t="s">
        <v>54</v>
      </c>
      <c r="J129" s="200" t="s">
        <v>53</v>
      </c>
      <c r="K129" s="206" t="s">
        <v>28</v>
      </c>
      <c r="L129" s="200" t="s">
        <v>37</v>
      </c>
      <c r="M129" s="204" t="s">
        <v>16</v>
      </c>
      <c r="N129" s="89" t="s">
        <v>15</v>
      </c>
      <c r="O129" s="5" t="s">
        <v>30</v>
      </c>
      <c r="P129" s="7" t="s">
        <v>34</v>
      </c>
      <c r="Q129" s="7" t="s">
        <v>31</v>
      </c>
      <c r="R129" s="19" t="s">
        <v>32</v>
      </c>
      <c r="S129" s="196"/>
      <c r="T129" s="30"/>
      <c r="U129" s="14"/>
    </row>
    <row r="130" spans="2:21" ht="20.100000000000001" customHeight="1" x14ac:dyDescent="0.25">
      <c r="B130" s="13"/>
      <c r="C130" s="30"/>
      <c r="D130" s="66"/>
      <c r="E130" s="35" t="s">
        <v>4</v>
      </c>
      <c r="F130" s="277" t="s">
        <v>9</v>
      </c>
      <c r="G130" s="157">
        <v>3</v>
      </c>
      <c r="H130" s="103" t="s">
        <v>13</v>
      </c>
      <c r="I130" s="157">
        <v>-58</v>
      </c>
      <c r="J130" s="103">
        <v>0</v>
      </c>
      <c r="K130" s="36" t="s">
        <v>13</v>
      </c>
      <c r="L130" s="36">
        <f>($I$130-J130)/($I$130-$J$130)*100</f>
        <v>100</v>
      </c>
      <c r="M130" s="157">
        <v>1</v>
      </c>
      <c r="N130" s="99">
        <v>6</v>
      </c>
      <c r="O130" s="57">
        <f>IF(M130=1,1,0)</f>
        <v>1</v>
      </c>
      <c r="P130" s="209">
        <f>IF(M130=2,1,0)</f>
        <v>0</v>
      </c>
      <c r="Q130" s="209">
        <f>IF(M130=3,1,0)</f>
        <v>0</v>
      </c>
      <c r="R130" s="8">
        <f>IF(M130=4,1,0)</f>
        <v>0</v>
      </c>
      <c r="S130" s="194"/>
      <c r="T130" s="30"/>
      <c r="U130" s="13"/>
    </row>
    <row r="131" spans="2:21" ht="20.100000000000001" customHeight="1" x14ac:dyDescent="0.25">
      <c r="B131" s="13"/>
      <c r="C131" s="30"/>
      <c r="D131" s="30"/>
      <c r="E131" s="303" t="s">
        <v>90</v>
      </c>
      <c r="F131" s="247" t="s">
        <v>91</v>
      </c>
      <c r="G131" s="47">
        <v>1</v>
      </c>
      <c r="H131" s="100" t="s">
        <v>13</v>
      </c>
      <c r="I131" s="47">
        <v>-59</v>
      </c>
      <c r="J131" s="100">
        <v>-11</v>
      </c>
      <c r="K131" s="276" t="s">
        <v>13</v>
      </c>
      <c r="L131" s="48">
        <f t="shared" ref="L131:L133" si="2">($I$130-J131)/($I$130-$J$130)*100</f>
        <v>81.034482758620683</v>
      </c>
      <c r="M131" s="47">
        <v>3</v>
      </c>
      <c r="N131" s="60">
        <v>1</v>
      </c>
      <c r="O131" s="205">
        <f>IF(M131=1,1,0)</f>
        <v>0</v>
      </c>
      <c r="P131" s="207">
        <f>IF(M131=2,1,0)</f>
        <v>0</v>
      </c>
      <c r="Q131" s="207">
        <f>IF(M131=3,1,0)</f>
        <v>1</v>
      </c>
      <c r="R131" s="9">
        <f>IF(M131=4,1,0)</f>
        <v>0</v>
      </c>
      <c r="S131" s="194"/>
      <c r="T131" s="30"/>
      <c r="U131" s="31"/>
    </row>
    <row r="132" spans="2:21" ht="20.100000000000001" customHeight="1" x14ac:dyDescent="0.25">
      <c r="B132" s="13"/>
      <c r="C132" s="30"/>
      <c r="D132" s="30"/>
      <c r="E132" s="40" t="s">
        <v>1</v>
      </c>
      <c r="F132" s="249" t="s">
        <v>11</v>
      </c>
      <c r="G132" s="47">
        <v>4</v>
      </c>
      <c r="H132" s="100" t="s">
        <v>13</v>
      </c>
      <c r="I132" s="47">
        <v>-58</v>
      </c>
      <c r="J132" s="100">
        <v>-3</v>
      </c>
      <c r="K132" s="276" t="s">
        <v>13</v>
      </c>
      <c r="L132" s="48">
        <f t="shared" si="2"/>
        <v>94.827586206896555</v>
      </c>
      <c r="M132" s="47">
        <v>2</v>
      </c>
      <c r="N132" s="60">
        <v>3</v>
      </c>
      <c r="O132" s="205">
        <f>IF(M132=1,1,0)</f>
        <v>0</v>
      </c>
      <c r="P132" s="207">
        <f>IF(M132=2,1,0)</f>
        <v>1</v>
      </c>
      <c r="Q132" s="207">
        <f>IF(M132=3,1,0)</f>
        <v>0</v>
      </c>
      <c r="R132" s="9">
        <f>IF(M132=4,1,0)</f>
        <v>0</v>
      </c>
      <c r="S132" s="194"/>
      <c r="T132" s="30"/>
      <c r="U132" s="31"/>
    </row>
    <row r="133" spans="2:21" ht="20.100000000000001" customHeight="1" thickBot="1" x14ac:dyDescent="0.3">
      <c r="B133" s="13"/>
      <c r="C133" s="30"/>
      <c r="D133" s="30"/>
      <c r="E133" s="41" t="s">
        <v>88</v>
      </c>
      <c r="F133" s="255" t="s">
        <v>69</v>
      </c>
      <c r="G133" s="150">
        <v>2</v>
      </c>
      <c r="H133" s="107" t="s">
        <v>13</v>
      </c>
      <c r="I133" s="150">
        <v>-59</v>
      </c>
      <c r="J133" s="107">
        <v>-22</v>
      </c>
      <c r="K133" s="17" t="s">
        <v>13</v>
      </c>
      <c r="L133" s="17">
        <f t="shared" si="2"/>
        <v>62.068965517241381</v>
      </c>
      <c r="M133" s="150">
        <v>4</v>
      </c>
      <c r="N133" s="59">
        <v>0</v>
      </c>
      <c r="O133" s="58">
        <f>IF(M133=1,1,0)</f>
        <v>0</v>
      </c>
      <c r="P133" s="208">
        <f>IF(M133=2,1,0)</f>
        <v>0</v>
      </c>
      <c r="Q133" s="208">
        <f>IF(M133=3,1,0)</f>
        <v>0</v>
      </c>
      <c r="R133" s="10">
        <f>IF(M133=4,1,0)</f>
        <v>1</v>
      </c>
      <c r="S133" s="194"/>
      <c r="T133" s="30"/>
      <c r="U133" s="31"/>
    </row>
    <row r="134" spans="2:21" ht="20.100000000000001" customHeight="1" outlineLevel="1" thickBot="1" x14ac:dyDescent="0.3">
      <c r="B134" s="13"/>
      <c r="C134" s="30"/>
      <c r="D134" s="30"/>
      <c r="E134" s="30"/>
      <c r="F134" s="533"/>
      <c r="G134" s="533"/>
      <c r="H134" s="30"/>
      <c r="I134" s="64" t="s">
        <v>29</v>
      </c>
      <c r="J134" s="23">
        <f>MAX(J130:J133)</f>
        <v>0</v>
      </c>
      <c r="K134" s="76"/>
      <c r="L134" s="194"/>
      <c r="M134" s="30"/>
      <c r="N134" s="63" t="s">
        <v>33</v>
      </c>
      <c r="O134" s="20">
        <f>SUM(O130:O133)</f>
        <v>1</v>
      </c>
      <c r="P134" s="21">
        <f>SUM(P130:P133)</f>
        <v>1</v>
      </c>
      <c r="Q134" s="20">
        <f>SUM(Q130:Q133)</f>
        <v>1</v>
      </c>
      <c r="R134" s="22">
        <f>SUM(R130:R133)</f>
        <v>1</v>
      </c>
      <c r="S134" s="77"/>
      <c r="T134" s="30"/>
      <c r="U134" s="31"/>
    </row>
    <row r="135" spans="2:21" ht="20.100000000000001" customHeight="1" x14ac:dyDescent="0.25">
      <c r="B135" s="13"/>
      <c r="C135" s="30"/>
      <c r="D135" s="30"/>
      <c r="E135" s="30"/>
      <c r="F135" s="30"/>
      <c r="G135" s="30"/>
      <c r="H135" s="30"/>
      <c r="I135" s="30"/>
      <c r="J135" s="30"/>
      <c r="K135" s="30"/>
      <c r="L135" s="30"/>
      <c r="M135" s="30"/>
      <c r="N135" s="30"/>
      <c r="O135" s="30"/>
      <c r="P135" s="30"/>
      <c r="Q135" s="30"/>
      <c r="R135" s="30"/>
      <c r="S135" s="30"/>
      <c r="T135" s="30"/>
      <c r="U135" s="31"/>
    </row>
    <row r="136" spans="2:21" ht="20.100000000000001" customHeight="1" x14ac:dyDescent="0.25">
      <c r="B136" s="13"/>
      <c r="D136" s="28"/>
      <c r="E136" s="28"/>
      <c r="F136" s="28"/>
      <c r="G136" s="28"/>
      <c r="H136" s="29"/>
      <c r="I136" s="28"/>
      <c r="J136" s="28"/>
      <c r="K136" s="28"/>
      <c r="U136" s="13"/>
    </row>
    <row r="137" spans="2:21" ht="20.100000000000001" customHeight="1" thickBot="1" x14ac:dyDescent="0.3">
      <c r="B137" s="13"/>
      <c r="C137" s="32"/>
      <c r="D137" s="32"/>
      <c r="E137" s="534" t="str">
        <f>IF(OR(L108="-",L108= ""),H108,L108)</f>
        <v>La Granja</v>
      </c>
      <c r="F137" s="534"/>
      <c r="G137" s="534"/>
      <c r="H137" s="534"/>
      <c r="I137" s="534"/>
      <c r="J137" s="534"/>
      <c r="K137" s="534"/>
      <c r="L137" s="534"/>
      <c r="M137" s="534"/>
      <c r="N137" s="534"/>
      <c r="O137" s="195"/>
      <c r="P137" s="195"/>
      <c r="Q137" s="195"/>
      <c r="R137" s="195"/>
      <c r="S137" s="195"/>
      <c r="T137" s="32"/>
      <c r="U137" s="13"/>
    </row>
    <row r="138" spans="2:21" ht="50.1" customHeight="1" thickBot="1" x14ac:dyDescent="0.3">
      <c r="B138" s="13"/>
      <c r="C138" s="32"/>
      <c r="D138" s="195"/>
      <c r="E138" s="88" t="s">
        <v>10</v>
      </c>
      <c r="F138" s="125" t="s">
        <v>52</v>
      </c>
      <c r="G138" s="89" t="s">
        <v>14</v>
      </c>
      <c r="H138" s="200" t="s">
        <v>51</v>
      </c>
      <c r="I138" s="18" t="s">
        <v>54</v>
      </c>
      <c r="J138" s="200" t="s">
        <v>53</v>
      </c>
      <c r="K138" s="206" t="s">
        <v>28</v>
      </c>
      <c r="L138" s="200" t="s">
        <v>37</v>
      </c>
      <c r="M138" s="204" t="s">
        <v>16</v>
      </c>
      <c r="N138" s="89" t="s">
        <v>15</v>
      </c>
      <c r="O138" s="5" t="s">
        <v>30</v>
      </c>
      <c r="P138" s="7" t="s">
        <v>34</v>
      </c>
      <c r="Q138" s="7" t="s">
        <v>31</v>
      </c>
      <c r="R138" s="19" t="s">
        <v>32</v>
      </c>
      <c r="S138" s="195"/>
      <c r="T138" s="32"/>
      <c r="U138" s="13"/>
    </row>
    <row r="139" spans="2:21" ht="20.100000000000001" customHeight="1" x14ac:dyDescent="0.25">
      <c r="B139" s="13"/>
      <c r="C139" s="32"/>
      <c r="D139" s="32"/>
      <c r="E139" s="35" t="s">
        <v>4</v>
      </c>
      <c r="F139" s="277" t="s">
        <v>9</v>
      </c>
      <c r="G139" s="157">
        <v>2</v>
      </c>
      <c r="H139" s="157" t="s">
        <v>13</v>
      </c>
      <c r="I139" s="157">
        <v>1</v>
      </c>
      <c r="J139" s="157">
        <v>83</v>
      </c>
      <c r="K139" s="157" t="s">
        <v>13</v>
      </c>
      <c r="L139" s="36">
        <f>IF(J139="",0,(J139/J143)*100)</f>
        <v>100</v>
      </c>
      <c r="M139" s="157">
        <v>1</v>
      </c>
      <c r="N139" s="99">
        <v>6</v>
      </c>
      <c r="O139" s="57">
        <f>IF(M139=1,1,0)</f>
        <v>1</v>
      </c>
      <c r="P139" s="209">
        <f>IF(M139=2,1,0)</f>
        <v>0</v>
      </c>
      <c r="Q139" s="209">
        <f>IF(M139=3,1,0)</f>
        <v>0</v>
      </c>
      <c r="R139" s="8">
        <f>IF(M139=4,1,0)</f>
        <v>0</v>
      </c>
      <c r="S139" s="201"/>
      <c r="T139" s="32"/>
      <c r="U139" s="13"/>
    </row>
    <row r="140" spans="2:21" ht="20.100000000000001" customHeight="1" x14ac:dyDescent="0.25">
      <c r="B140" s="13"/>
      <c r="C140" s="32"/>
      <c r="D140" s="32"/>
      <c r="E140" s="303" t="s">
        <v>90</v>
      </c>
      <c r="F140" s="247" t="s">
        <v>92</v>
      </c>
      <c r="G140" s="47">
        <v>1</v>
      </c>
      <c r="H140" s="47" t="s">
        <v>13</v>
      </c>
      <c r="I140" s="47">
        <v>1</v>
      </c>
      <c r="J140" s="47">
        <v>72</v>
      </c>
      <c r="K140" s="100" t="s">
        <v>13</v>
      </c>
      <c r="L140" s="48">
        <f>IF(J140="",0,(J140/J143)*100)</f>
        <v>86.746987951807228</v>
      </c>
      <c r="M140" s="47">
        <v>3</v>
      </c>
      <c r="N140" s="60">
        <v>1</v>
      </c>
      <c r="O140" s="205">
        <f>IF(M140=1,1,0)</f>
        <v>0</v>
      </c>
      <c r="P140" s="207">
        <f>IF(M140=2,1,0)</f>
        <v>0</v>
      </c>
      <c r="Q140" s="207">
        <f>IF(M140=3,1,0)</f>
        <v>1</v>
      </c>
      <c r="R140" s="9">
        <f>IF(M140=4,1,0)</f>
        <v>0</v>
      </c>
      <c r="S140" s="201"/>
      <c r="T140" s="32"/>
      <c r="U140" s="13"/>
    </row>
    <row r="141" spans="2:21" ht="20.100000000000001" customHeight="1" x14ac:dyDescent="0.25">
      <c r="B141" s="13"/>
      <c r="C141" s="32"/>
      <c r="D141" s="32"/>
      <c r="E141" s="40" t="s">
        <v>1</v>
      </c>
      <c r="F141" s="249" t="s">
        <v>11</v>
      </c>
      <c r="G141" s="47">
        <v>3</v>
      </c>
      <c r="H141" s="47" t="s">
        <v>13</v>
      </c>
      <c r="I141" s="47">
        <v>1</v>
      </c>
      <c r="J141" s="47">
        <v>69</v>
      </c>
      <c r="K141" s="47" t="s">
        <v>13</v>
      </c>
      <c r="L141" s="48">
        <f>IF(J141="",0,(J141/J143)*100)</f>
        <v>83.132530120481931</v>
      </c>
      <c r="M141" s="47">
        <v>4</v>
      </c>
      <c r="N141" s="60">
        <v>0</v>
      </c>
      <c r="O141" s="205">
        <f>IF(M141=1,1,0)</f>
        <v>0</v>
      </c>
      <c r="P141" s="207">
        <f>IF(M141=2,1,0)</f>
        <v>0</v>
      </c>
      <c r="Q141" s="207">
        <f>IF(M141=3,1,0)</f>
        <v>0</v>
      </c>
      <c r="R141" s="9">
        <f>IF(M141=4,1,0)</f>
        <v>1</v>
      </c>
      <c r="S141" s="201"/>
      <c r="T141" s="32"/>
      <c r="U141" s="13"/>
    </row>
    <row r="142" spans="2:21" ht="20.100000000000001" customHeight="1" thickBot="1" x14ac:dyDescent="0.3">
      <c r="B142" s="13"/>
      <c r="C142" s="32"/>
      <c r="D142" s="65"/>
      <c r="E142" s="41" t="s">
        <v>88</v>
      </c>
      <c r="F142" s="255" t="s">
        <v>69</v>
      </c>
      <c r="G142" s="150">
        <v>4</v>
      </c>
      <c r="H142" s="150" t="s">
        <v>13</v>
      </c>
      <c r="I142" s="150">
        <v>1</v>
      </c>
      <c r="J142" s="150">
        <v>74</v>
      </c>
      <c r="K142" s="107" t="s">
        <v>13</v>
      </c>
      <c r="L142" s="17">
        <f>IF(J142="",0,(J142/J143)*100)</f>
        <v>89.156626506024097</v>
      </c>
      <c r="M142" s="150">
        <v>2</v>
      </c>
      <c r="N142" s="59">
        <v>3</v>
      </c>
      <c r="O142" s="58">
        <f>IF(M142=1,1,0)</f>
        <v>0</v>
      </c>
      <c r="P142" s="208">
        <f>IF(M142=2,1,0)</f>
        <v>1</v>
      </c>
      <c r="Q142" s="208">
        <f>IF(M142=3,1,0)</f>
        <v>0</v>
      </c>
      <c r="R142" s="10">
        <f>IF(M142=4,1,0)</f>
        <v>0</v>
      </c>
      <c r="S142" s="201"/>
      <c r="T142" s="32"/>
      <c r="U142" s="13"/>
    </row>
    <row r="143" spans="2:21" ht="20.100000000000001" hidden="1" customHeight="1" outlineLevel="1" x14ac:dyDescent="0.25">
      <c r="B143" s="13"/>
      <c r="C143" s="32"/>
      <c r="D143" s="32"/>
      <c r="E143" s="32"/>
      <c r="F143" s="535"/>
      <c r="G143" s="535"/>
      <c r="H143" s="32"/>
      <c r="I143" s="64" t="s">
        <v>29</v>
      </c>
      <c r="J143" s="23">
        <f>MAX(J139:J142)</f>
        <v>83</v>
      </c>
      <c r="K143" s="78"/>
      <c r="L143" s="201"/>
      <c r="M143" s="32"/>
      <c r="N143" s="63" t="s">
        <v>33</v>
      </c>
      <c r="O143" s="20">
        <f>SUM(O139:O142)</f>
        <v>1</v>
      </c>
      <c r="P143" s="21">
        <f>SUM(P139:P142)</f>
        <v>1</v>
      </c>
      <c r="Q143" s="20">
        <f>SUM(Q139:Q142)</f>
        <v>1</v>
      </c>
      <c r="R143" s="22">
        <f>SUM(R139:R142)</f>
        <v>1</v>
      </c>
      <c r="S143" s="79"/>
      <c r="T143" s="32"/>
      <c r="U143" s="13"/>
    </row>
    <row r="144" spans="2:21" ht="20.100000000000001" customHeight="1" collapsed="1" x14ac:dyDescent="0.25">
      <c r="B144" s="13"/>
      <c r="C144" s="32"/>
      <c r="D144" s="32"/>
      <c r="E144" s="32"/>
      <c r="F144" s="32"/>
      <c r="G144" s="32"/>
      <c r="H144" s="32"/>
      <c r="I144" s="32"/>
      <c r="J144" s="32"/>
      <c r="K144" s="32"/>
      <c r="L144" s="32"/>
      <c r="M144" s="32"/>
      <c r="N144" s="32"/>
      <c r="O144" s="32"/>
      <c r="P144" s="32"/>
      <c r="Q144" s="32"/>
      <c r="R144" s="32"/>
      <c r="S144" s="32"/>
      <c r="T144" s="32"/>
      <c r="U144" s="13"/>
    </row>
    <row r="145" spans="2:31" ht="20.100000000000001" customHeight="1" x14ac:dyDescent="0.25">
      <c r="B145" s="13"/>
      <c r="D145" s="4"/>
      <c r="E145" s="4"/>
      <c r="F145" s="4"/>
      <c r="G145" s="4"/>
      <c r="H145" s="4"/>
      <c r="I145" s="4"/>
      <c r="J145" s="4"/>
      <c r="U145" s="13"/>
    </row>
    <row r="146" spans="2:31" ht="30" customHeight="1" thickBot="1" x14ac:dyDescent="0.3">
      <c r="B146" s="13"/>
      <c r="C146" s="33"/>
      <c r="D146" s="536" t="s">
        <v>48</v>
      </c>
      <c r="E146" s="536"/>
      <c r="F146" s="536"/>
      <c r="G146" s="536"/>
      <c r="H146" s="536"/>
      <c r="I146" s="536"/>
      <c r="J146" s="536"/>
      <c r="K146" s="536"/>
      <c r="L146" s="536"/>
      <c r="M146" s="536"/>
      <c r="N146" s="536"/>
      <c r="O146" s="536"/>
      <c r="P146" s="536"/>
      <c r="Q146" s="536"/>
      <c r="R146" s="536"/>
      <c r="S146" s="536"/>
      <c r="T146" s="33"/>
      <c r="U146" s="13"/>
    </row>
    <row r="147" spans="2:31" ht="50.1" customHeight="1" thickBot="1" x14ac:dyDescent="0.3">
      <c r="B147" s="13"/>
      <c r="C147" s="33"/>
      <c r="D147" s="90" t="s">
        <v>10</v>
      </c>
      <c r="E147" s="93" t="s">
        <v>139</v>
      </c>
      <c r="F147" s="91" t="s">
        <v>15</v>
      </c>
      <c r="G147" s="42" t="s">
        <v>55</v>
      </c>
      <c r="H147" s="537" t="s">
        <v>56</v>
      </c>
      <c r="I147" s="538"/>
      <c r="J147" s="202" t="s">
        <v>66</v>
      </c>
      <c r="K147" s="92" t="s">
        <v>17</v>
      </c>
      <c r="L147" s="91" t="s">
        <v>18</v>
      </c>
      <c r="M147" s="92" t="s">
        <v>19</v>
      </c>
      <c r="N147" s="91" t="s">
        <v>20</v>
      </c>
      <c r="O147" s="130"/>
      <c r="P147" s="126"/>
      <c r="Q147" s="126"/>
      <c r="R147" s="126"/>
      <c r="S147" s="93" t="s">
        <v>38</v>
      </c>
      <c r="T147" s="33"/>
      <c r="U147" s="13"/>
    </row>
    <row r="148" spans="2:31" ht="20.100000000000001" customHeight="1" x14ac:dyDescent="0.25">
      <c r="B148" s="13"/>
      <c r="C148" s="33"/>
      <c r="D148" s="131" t="s">
        <v>4</v>
      </c>
      <c r="E148" s="221" t="s">
        <v>9</v>
      </c>
      <c r="F148" s="133">
        <f>K148*6+L148*3+M148*1+N148*0</f>
        <v>19</v>
      </c>
      <c r="G148" s="262">
        <v>0</v>
      </c>
      <c r="H148" s="539" t="s">
        <v>13</v>
      </c>
      <c r="I148" s="539"/>
      <c r="J148" s="133">
        <f>F148+G148</f>
        <v>19</v>
      </c>
      <c r="K148" s="133">
        <v>3</v>
      </c>
      <c r="L148" s="133">
        <v>0</v>
      </c>
      <c r="M148" s="133">
        <v>1</v>
      </c>
      <c r="N148" s="133">
        <v>0</v>
      </c>
      <c r="O148" s="152"/>
      <c r="P148" s="262"/>
      <c r="Q148" s="262"/>
      <c r="R148" s="262"/>
      <c r="S148" s="134">
        <f>(L112+L121+L130+L139)/4</f>
        <v>97.549019607843135</v>
      </c>
      <c r="T148" s="33"/>
      <c r="U148" s="13"/>
    </row>
    <row r="149" spans="2:31" ht="20.100000000000001" customHeight="1" x14ac:dyDescent="0.25">
      <c r="B149" s="13"/>
      <c r="C149" s="33"/>
      <c r="D149" s="155" t="s">
        <v>90</v>
      </c>
      <c r="E149" s="274" t="s">
        <v>92</v>
      </c>
      <c r="F149" s="52">
        <f>K149*6+L149*3+M149*1+N149*0</f>
        <v>9</v>
      </c>
      <c r="G149" s="263">
        <v>0</v>
      </c>
      <c r="H149" s="529" t="s">
        <v>13</v>
      </c>
      <c r="I149" s="529"/>
      <c r="J149" s="52">
        <f>F149+G149</f>
        <v>9</v>
      </c>
      <c r="K149" s="52">
        <v>1</v>
      </c>
      <c r="L149" s="52">
        <v>0</v>
      </c>
      <c r="M149" s="52">
        <v>3</v>
      </c>
      <c r="N149" s="52">
        <v>0</v>
      </c>
      <c r="O149" s="151"/>
      <c r="P149" s="263"/>
      <c r="Q149" s="263"/>
      <c r="R149" s="263"/>
      <c r="S149" s="104">
        <f>(L113+L122+L131+L140)/4</f>
        <v>74.445367677606981</v>
      </c>
      <c r="T149" s="33"/>
      <c r="U149" s="13"/>
      <c r="Y149" s="610"/>
      <c r="Z149" s="610"/>
      <c r="AA149" s="43"/>
      <c r="AB149" s="43"/>
      <c r="AC149" s="44"/>
      <c r="AD149" s="44"/>
      <c r="AE149" s="44"/>
    </row>
    <row r="150" spans="2:31" ht="20.100000000000001" customHeight="1" x14ac:dyDescent="0.25">
      <c r="B150" s="13"/>
      <c r="C150" s="33"/>
      <c r="D150" s="51" t="s">
        <v>1</v>
      </c>
      <c r="E150" s="278" t="s">
        <v>11</v>
      </c>
      <c r="F150" s="52">
        <f>K150*6+L150*3+M150*1+N150*0</f>
        <v>9</v>
      </c>
      <c r="G150" s="263">
        <v>0</v>
      </c>
      <c r="H150" s="529" t="s">
        <v>13</v>
      </c>
      <c r="I150" s="529"/>
      <c r="J150" s="52">
        <f>F150+G150</f>
        <v>9</v>
      </c>
      <c r="K150" s="52">
        <v>0</v>
      </c>
      <c r="L150" s="52">
        <v>3</v>
      </c>
      <c r="M150" s="52">
        <v>0</v>
      </c>
      <c r="N150" s="52">
        <v>1</v>
      </c>
      <c r="O150" s="151"/>
      <c r="P150" s="263"/>
      <c r="Q150" s="263"/>
      <c r="R150" s="263"/>
      <c r="S150" s="104">
        <f>(L114+L123+L132+L141)/4</f>
        <v>90.813558493609321</v>
      </c>
      <c r="T150" s="33"/>
      <c r="U150" s="13"/>
    </row>
    <row r="151" spans="2:31" ht="20.100000000000001" customHeight="1" thickBot="1" x14ac:dyDescent="0.3">
      <c r="B151" s="13"/>
      <c r="C151" s="33"/>
      <c r="D151" s="105" t="s">
        <v>88</v>
      </c>
      <c r="E151" s="275" t="s">
        <v>69</v>
      </c>
      <c r="F151" s="109">
        <f>K151*6+L151*3+M151*1+N151*0</f>
        <v>3</v>
      </c>
      <c r="G151" s="264">
        <v>0</v>
      </c>
      <c r="H151" s="530" t="s">
        <v>13</v>
      </c>
      <c r="I151" s="530"/>
      <c r="J151" s="109">
        <f>F151+G151</f>
        <v>3</v>
      </c>
      <c r="K151" s="109">
        <v>0</v>
      </c>
      <c r="L151" s="109">
        <v>1</v>
      </c>
      <c r="M151" s="109">
        <v>0</v>
      </c>
      <c r="N151" s="109">
        <v>3</v>
      </c>
      <c r="O151" s="153"/>
      <c r="P151" s="264"/>
      <c r="Q151" s="264"/>
      <c r="R151" s="264"/>
      <c r="S151" s="106">
        <f>(L115++L124+L133+L142)/4</f>
        <v>61.678947025424208</v>
      </c>
      <c r="T151" s="33"/>
      <c r="U151" s="13"/>
    </row>
    <row r="152" spans="2:31" ht="20.100000000000001" customHeight="1" x14ac:dyDescent="0.25">
      <c r="B152" s="13"/>
      <c r="C152" s="33"/>
      <c r="D152" s="33"/>
      <c r="E152" s="33"/>
      <c r="F152" s="16"/>
      <c r="G152" s="16"/>
      <c r="H152" s="16"/>
      <c r="I152" s="16"/>
      <c r="J152" s="16"/>
      <c r="K152" s="16"/>
      <c r="L152" s="16"/>
      <c r="M152" s="16"/>
      <c r="N152" s="16"/>
      <c r="O152" s="16"/>
      <c r="P152" s="16"/>
      <c r="Q152" s="16"/>
      <c r="R152" s="16"/>
      <c r="S152" s="16"/>
      <c r="T152" s="33"/>
      <c r="U152" s="13"/>
    </row>
    <row r="153" spans="2:31" ht="20.100000000000001" customHeight="1" x14ac:dyDescent="0.25">
      <c r="B153" s="13"/>
      <c r="C153" s="13"/>
      <c r="D153" s="15"/>
      <c r="E153" s="15"/>
      <c r="F153" s="14"/>
      <c r="G153" s="14"/>
      <c r="H153" s="15"/>
      <c r="I153" s="15"/>
      <c r="J153" s="15"/>
      <c r="K153" s="13"/>
      <c r="L153" s="13"/>
      <c r="M153" s="13"/>
      <c r="N153" s="13"/>
      <c r="O153" s="13"/>
      <c r="P153" s="13"/>
      <c r="Q153" s="13"/>
      <c r="R153" s="13"/>
      <c r="S153" s="13"/>
      <c r="T153" s="13"/>
      <c r="U153" s="13"/>
    </row>
    <row r="154" spans="2:31" ht="20.100000000000001" customHeight="1" x14ac:dyDescent="0.25"/>
    <row r="155" spans="2:31" ht="20.100000000000001" customHeight="1" x14ac:dyDescent="0.25"/>
    <row r="156" spans="2:31" ht="20.100000000000001" customHeight="1" x14ac:dyDescent="0.25">
      <c r="B156" s="13"/>
      <c r="C156" s="13"/>
      <c r="D156" s="25"/>
      <c r="E156" s="25"/>
      <c r="F156" s="25"/>
      <c r="G156" s="25"/>
      <c r="H156" s="13"/>
      <c r="I156" s="13"/>
      <c r="J156" s="13"/>
      <c r="K156" s="13"/>
      <c r="L156" s="13"/>
      <c r="M156" s="13"/>
      <c r="N156" s="13"/>
      <c r="O156" s="13"/>
      <c r="P156" s="13"/>
      <c r="Q156" s="13"/>
      <c r="R156" s="13"/>
      <c r="S156" s="13"/>
      <c r="T156" s="13"/>
      <c r="U156" s="13"/>
    </row>
    <row r="157" spans="2:31" ht="30" customHeight="1" x14ac:dyDescent="0.25">
      <c r="B157" s="13"/>
      <c r="C157" s="555" t="s">
        <v>222</v>
      </c>
      <c r="D157" s="555"/>
      <c r="E157" s="555"/>
      <c r="F157" s="555"/>
      <c r="G157" s="555"/>
      <c r="H157" s="555"/>
      <c r="I157" s="555"/>
      <c r="J157" s="555"/>
      <c r="K157" s="555"/>
      <c r="L157" s="555"/>
      <c r="M157" s="555"/>
      <c r="N157" s="555"/>
      <c r="O157" s="555"/>
      <c r="P157" s="555"/>
      <c r="Q157" s="555"/>
      <c r="R157" s="555"/>
      <c r="S157" s="555"/>
      <c r="T157" s="555"/>
      <c r="U157" s="13"/>
    </row>
    <row r="158" spans="2:31" ht="20.100000000000001" customHeight="1" thickBot="1" x14ac:dyDescent="0.3">
      <c r="B158" s="13"/>
      <c r="U158" s="13"/>
    </row>
    <row r="159" spans="2:31" ht="20.100000000000001" customHeight="1" thickBot="1" x14ac:dyDescent="0.3">
      <c r="B159" s="13"/>
      <c r="D159" s="556" t="s">
        <v>10</v>
      </c>
      <c r="E159" s="558" t="s">
        <v>67</v>
      </c>
      <c r="F159" s="560" t="s">
        <v>22</v>
      </c>
      <c r="G159" s="563" t="s">
        <v>42</v>
      </c>
      <c r="H159" s="561"/>
      <c r="I159" s="561"/>
      <c r="J159" s="562"/>
      <c r="K159" s="200" t="s">
        <v>36</v>
      </c>
      <c r="L159" s="563" t="s">
        <v>27</v>
      </c>
      <c r="M159" s="561"/>
      <c r="N159" s="561"/>
      <c r="O159" s="561"/>
      <c r="P159" s="561"/>
      <c r="Q159" s="561"/>
      <c r="R159" s="561"/>
      <c r="S159" s="562"/>
      <c r="U159" s="13"/>
    </row>
    <row r="160" spans="2:31" ht="20.100000000000001" customHeight="1" thickBot="1" x14ac:dyDescent="0.3">
      <c r="B160" s="13"/>
      <c r="D160" s="557"/>
      <c r="E160" s="559"/>
      <c r="F160" s="559"/>
      <c r="G160" s="86" t="s">
        <v>43</v>
      </c>
      <c r="H160" s="85" t="s">
        <v>24</v>
      </c>
      <c r="I160" s="556" t="s">
        <v>23</v>
      </c>
      <c r="J160" s="564"/>
      <c r="K160" s="85" t="s">
        <v>25</v>
      </c>
      <c r="L160" s="94" t="s">
        <v>43</v>
      </c>
      <c r="M160" s="87" t="s">
        <v>26</v>
      </c>
      <c r="N160" s="556" t="s">
        <v>23</v>
      </c>
      <c r="O160" s="588"/>
      <c r="P160" s="588"/>
      <c r="Q160" s="588"/>
      <c r="R160" s="588"/>
      <c r="S160" s="564"/>
      <c r="U160" s="13"/>
    </row>
    <row r="161" spans="2:21" ht="15" customHeight="1" x14ac:dyDescent="0.25">
      <c r="B161" s="13"/>
      <c r="D161" s="641" t="s">
        <v>47</v>
      </c>
      <c r="E161" s="754" t="s">
        <v>64</v>
      </c>
      <c r="F161" s="647">
        <v>1</v>
      </c>
      <c r="G161" s="735" t="s">
        <v>35</v>
      </c>
      <c r="H161" s="656" t="s">
        <v>70</v>
      </c>
      <c r="I161" s="656" t="s">
        <v>209</v>
      </c>
      <c r="J161" s="657"/>
      <c r="K161" s="738" t="s">
        <v>228</v>
      </c>
      <c r="L161" s="740" t="s">
        <v>13</v>
      </c>
      <c r="M161" s="627" t="s">
        <v>13</v>
      </c>
      <c r="N161" s="630" t="s">
        <v>13</v>
      </c>
      <c r="O161" s="631"/>
      <c r="P161" s="631"/>
      <c r="Q161" s="631"/>
      <c r="R161" s="631"/>
      <c r="S161" s="632"/>
      <c r="U161" s="13"/>
    </row>
    <row r="162" spans="2:21" ht="15" customHeight="1" x14ac:dyDescent="0.25">
      <c r="B162" s="13"/>
      <c r="D162" s="642"/>
      <c r="E162" s="665"/>
      <c r="F162" s="648"/>
      <c r="G162" s="755"/>
      <c r="H162" s="639"/>
      <c r="I162" s="639" t="s">
        <v>210</v>
      </c>
      <c r="J162" s="640"/>
      <c r="K162" s="662"/>
      <c r="L162" s="731"/>
      <c r="M162" s="628"/>
      <c r="N162" s="633"/>
      <c r="O162" s="634"/>
      <c r="P162" s="634"/>
      <c r="Q162" s="634"/>
      <c r="R162" s="634"/>
      <c r="S162" s="635"/>
      <c r="U162" s="13"/>
    </row>
    <row r="163" spans="2:21" ht="15" customHeight="1" x14ac:dyDescent="0.25">
      <c r="B163" s="13"/>
      <c r="D163" s="642"/>
      <c r="E163" s="665"/>
      <c r="F163" s="648"/>
      <c r="G163" s="755"/>
      <c r="H163" s="639"/>
      <c r="I163" s="639" t="s">
        <v>208</v>
      </c>
      <c r="J163" s="640"/>
      <c r="K163" s="662"/>
      <c r="L163" s="731"/>
      <c r="M163" s="628"/>
      <c r="N163" s="633"/>
      <c r="O163" s="634"/>
      <c r="P163" s="634"/>
      <c r="Q163" s="634"/>
      <c r="R163" s="634"/>
      <c r="S163" s="635"/>
      <c r="U163" s="13"/>
    </row>
    <row r="164" spans="2:21" ht="15" customHeight="1" x14ac:dyDescent="0.25">
      <c r="B164" s="13"/>
      <c r="D164" s="643"/>
      <c r="E164" s="666"/>
      <c r="F164" s="649"/>
      <c r="G164" s="736"/>
      <c r="H164" s="737"/>
      <c r="I164" s="737" t="s">
        <v>207</v>
      </c>
      <c r="J164" s="753"/>
      <c r="K164" s="752"/>
      <c r="L164" s="732"/>
      <c r="M164" s="629"/>
      <c r="N164" s="636"/>
      <c r="O164" s="637"/>
      <c r="P164" s="637"/>
      <c r="Q164" s="637"/>
      <c r="R164" s="637"/>
      <c r="S164" s="638"/>
      <c r="U164" s="13"/>
    </row>
    <row r="165" spans="2:21" ht="20.100000000000001" customHeight="1" x14ac:dyDescent="0.25">
      <c r="B165" s="13"/>
      <c r="D165" s="40" t="s">
        <v>2</v>
      </c>
      <c r="E165" s="140" t="s">
        <v>8</v>
      </c>
      <c r="F165" s="116">
        <v>2</v>
      </c>
      <c r="G165" s="120" t="s">
        <v>44</v>
      </c>
      <c r="H165" s="135" t="s">
        <v>228</v>
      </c>
      <c r="I165" s="672" t="s">
        <v>13</v>
      </c>
      <c r="J165" s="752"/>
      <c r="K165" s="181" t="s">
        <v>12</v>
      </c>
      <c r="L165" s="84" t="s">
        <v>13</v>
      </c>
      <c r="M165" s="54" t="s">
        <v>13</v>
      </c>
      <c r="N165" s="542" t="s">
        <v>13</v>
      </c>
      <c r="O165" s="543"/>
      <c r="P165" s="543"/>
      <c r="Q165" s="543"/>
      <c r="R165" s="543"/>
      <c r="S165" s="544"/>
      <c r="U165" s="13"/>
    </row>
    <row r="166" spans="2:21" ht="20.100000000000001" customHeight="1" thickBot="1" x14ac:dyDescent="0.3">
      <c r="B166" s="13"/>
      <c r="D166" s="144" t="s">
        <v>3</v>
      </c>
      <c r="E166" s="306" t="s">
        <v>63</v>
      </c>
      <c r="F166" s="118">
        <v>3</v>
      </c>
      <c r="G166" s="307" t="s">
        <v>44</v>
      </c>
      <c r="H166" s="308" t="s">
        <v>216</v>
      </c>
      <c r="I166" s="756" t="s">
        <v>217</v>
      </c>
      <c r="J166" s="757"/>
      <c r="K166" s="355" t="s">
        <v>12</v>
      </c>
      <c r="L166" s="309" t="s">
        <v>13</v>
      </c>
      <c r="M166" s="56" t="s">
        <v>13</v>
      </c>
      <c r="N166" s="613" t="s">
        <v>13</v>
      </c>
      <c r="O166" s="550"/>
      <c r="P166" s="550"/>
      <c r="Q166" s="550"/>
      <c r="R166" s="550"/>
      <c r="S166" s="551"/>
      <c r="U166" s="13"/>
    </row>
    <row r="167" spans="2:21" ht="20.100000000000001" customHeight="1" x14ac:dyDescent="0.25">
      <c r="B167" s="13"/>
      <c r="U167" s="13"/>
    </row>
    <row r="168" spans="2:21" ht="20.100000000000001" customHeight="1" thickBot="1" x14ac:dyDescent="0.3">
      <c r="B168" s="13"/>
      <c r="C168" s="26"/>
      <c r="D168" s="26"/>
      <c r="E168" s="552" t="str">
        <f>IF(OR(L161="-",L161= ""),H161,L161)</f>
        <v>Rajas of the Ganges</v>
      </c>
      <c r="F168" s="552"/>
      <c r="G168" s="552"/>
      <c r="H168" s="552"/>
      <c r="I168" s="552"/>
      <c r="J168" s="552"/>
      <c r="K168" s="552"/>
      <c r="L168" s="552"/>
      <c r="M168" s="552"/>
      <c r="N168" s="552"/>
      <c r="O168" s="199"/>
      <c r="P168" s="199"/>
      <c r="Q168" s="199"/>
      <c r="R168" s="199"/>
      <c r="S168" s="199"/>
      <c r="T168" s="26"/>
      <c r="U168" s="13"/>
    </row>
    <row r="169" spans="2:21" ht="50.1" customHeight="1" thickBot="1" x14ac:dyDescent="0.3">
      <c r="B169" s="13"/>
      <c r="C169" s="26"/>
      <c r="D169" s="199"/>
      <c r="E169" s="88" t="s">
        <v>10</v>
      </c>
      <c r="F169" s="125" t="s">
        <v>52</v>
      </c>
      <c r="G169" s="89" t="s">
        <v>14</v>
      </c>
      <c r="H169" s="200" t="s">
        <v>51</v>
      </c>
      <c r="I169" s="18" t="s">
        <v>54</v>
      </c>
      <c r="J169" s="200" t="s">
        <v>53</v>
      </c>
      <c r="K169" s="206" t="s">
        <v>28</v>
      </c>
      <c r="L169" s="200" t="s">
        <v>37</v>
      </c>
      <c r="M169" s="204" t="s">
        <v>16</v>
      </c>
      <c r="N169" s="89" t="s">
        <v>15</v>
      </c>
      <c r="O169" s="5" t="s">
        <v>30</v>
      </c>
      <c r="P169" s="7" t="s">
        <v>34</v>
      </c>
      <c r="Q169" s="7" t="s">
        <v>31</v>
      </c>
      <c r="R169" s="199"/>
      <c r="S169" s="199"/>
      <c r="T169" s="26"/>
      <c r="U169" s="13"/>
    </row>
    <row r="170" spans="2:21" ht="20.100000000000001" customHeight="1" x14ac:dyDescent="0.25">
      <c r="B170" s="13"/>
      <c r="C170" s="26"/>
      <c r="D170" s="68"/>
      <c r="E170" s="39" t="s">
        <v>47</v>
      </c>
      <c r="F170" s="305" t="s">
        <v>64</v>
      </c>
      <c r="G170" s="49">
        <v>1</v>
      </c>
      <c r="H170" s="49" t="s">
        <v>13</v>
      </c>
      <c r="I170" s="49">
        <v>-59</v>
      </c>
      <c r="J170" s="49">
        <v>-6</v>
      </c>
      <c r="K170" s="49" t="s">
        <v>13</v>
      </c>
      <c r="L170" s="50">
        <f>($I$172-J170)/($I$172-$J$172)*100</f>
        <v>85.245901639344254</v>
      </c>
      <c r="M170" s="49">
        <v>3</v>
      </c>
      <c r="N170" s="61">
        <v>0</v>
      </c>
      <c r="O170" s="57">
        <f>IF(M170=1,1,0)</f>
        <v>0</v>
      </c>
      <c r="P170" s="209">
        <f>IF(M170=2,1,0)</f>
        <v>0</v>
      </c>
      <c r="Q170" s="8">
        <f>IF(M170=3,1,0)</f>
        <v>1</v>
      </c>
      <c r="R170" s="198"/>
      <c r="S170" s="198"/>
      <c r="T170" s="26"/>
      <c r="U170" s="13"/>
    </row>
    <row r="171" spans="2:21" ht="20.100000000000001" customHeight="1" x14ac:dyDescent="0.25">
      <c r="B171" s="13"/>
      <c r="C171" s="26"/>
      <c r="D171" s="26"/>
      <c r="E171" s="40" t="s">
        <v>2</v>
      </c>
      <c r="F171" s="97" t="s">
        <v>8</v>
      </c>
      <c r="G171" s="47">
        <v>2</v>
      </c>
      <c r="H171" s="47" t="s">
        <v>13</v>
      </c>
      <c r="I171" s="47">
        <v>-59</v>
      </c>
      <c r="J171" s="47">
        <v>-5</v>
      </c>
      <c r="K171" s="100" t="s">
        <v>13</v>
      </c>
      <c r="L171" s="48">
        <f t="shared" ref="L171:L172" si="3">($I$172-J171)/($I$172-$J$172)*100</f>
        <v>86.885245901639337</v>
      </c>
      <c r="M171" s="47">
        <v>2</v>
      </c>
      <c r="N171" s="60">
        <v>3</v>
      </c>
      <c r="O171" s="205">
        <f>IF(M171=1,1,0)</f>
        <v>0</v>
      </c>
      <c r="P171" s="207">
        <f>IF(M171=2,1,0)</f>
        <v>1</v>
      </c>
      <c r="Q171" s="9">
        <f>IF(M171=3,1,0)</f>
        <v>0</v>
      </c>
      <c r="R171" s="198"/>
      <c r="S171" s="198"/>
      <c r="T171" s="26"/>
      <c r="U171" s="13"/>
    </row>
    <row r="172" spans="2:21" ht="20.100000000000001" customHeight="1" thickBot="1" x14ac:dyDescent="0.3">
      <c r="B172" s="13"/>
      <c r="C172" s="26"/>
      <c r="D172" s="26"/>
      <c r="E172" s="310" t="s">
        <v>3</v>
      </c>
      <c r="F172" s="311" t="s">
        <v>63</v>
      </c>
      <c r="G172" s="284">
        <v>3</v>
      </c>
      <c r="H172" s="284" t="s">
        <v>13</v>
      </c>
      <c r="I172" s="284">
        <v>-58</v>
      </c>
      <c r="J172" s="284">
        <v>3</v>
      </c>
      <c r="K172" s="284" t="s">
        <v>13</v>
      </c>
      <c r="L172" s="286">
        <f t="shared" si="3"/>
        <v>100</v>
      </c>
      <c r="M172" s="284">
        <v>1</v>
      </c>
      <c r="N172" s="287">
        <v>6</v>
      </c>
      <c r="O172" s="58">
        <f>IF(M172=1,1,0)</f>
        <v>1</v>
      </c>
      <c r="P172" s="208">
        <f>IF(M172=2,1,0)</f>
        <v>0</v>
      </c>
      <c r="Q172" s="10">
        <f>IF(M172=3,1,0)</f>
        <v>0</v>
      </c>
      <c r="R172" s="198"/>
      <c r="S172" s="198"/>
      <c r="T172" s="26"/>
      <c r="U172" s="13"/>
    </row>
    <row r="173" spans="2:21" ht="20.100000000000001" hidden="1" customHeight="1" outlineLevel="1" x14ac:dyDescent="0.25">
      <c r="B173" s="13"/>
      <c r="C173" s="26"/>
      <c r="D173" s="68"/>
      <c r="E173" s="68"/>
      <c r="F173" s="553"/>
      <c r="G173" s="553"/>
      <c r="H173" s="26"/>
      <c r="I173" s="64" t="s">
        <v>29</v>
      </c>
      <c r="J173" s="23">
        <f>MAX(J170:J172)</f>
        <v>3</v>
      </c>
      <c r="K173" s="70"/>
      <c r="L173" s="69"/>
      <c r="M173" s="26"/>
      <c r="N173" s="63" t="s">
        <v>33</v>
      </c>
      <c r="O173" s="20">
        <f>SUM(O170:O172)</f>
        <v>1</v>
      </c>
      <c r="P173" s="21">
        <f>SUM(P170:P172)</f>
        <v>1</v>
      </c>
      <c r="Q173" s="20">
        <f>SUM(Q170:Q172)</f>
        <v>1</v>
      </c>
      <c r="R173" s="22">
        <f>SUM(R170:R172)</f>
        <v>0</v>
      </c>
      <c r="S173" s="69"/>
      <c r="T173" s="26"/>
      <c r="U173" s="13"/>
    </row>
    <row r="174" spans="2:21" ht="20.100000000000001" customHeight="1" collapsed="1" x14ac:dyDescent="0.25">
      <c r="B174" s="13"/>
      <c r="C174" s="26"/>
      <c r="D174" s="26"/>
      <c r="E174" s="26"/>
      <c r="F174" s="26"/>
      <c r="G174" s="26"/>
      <c r="H174" s="26"/>
      <c r="I174" s="26"/>
      <c r="J174" s="26"/>
      <c r="K174" s="26"/>
      <c r="L174" s="26"/>
      <c r="M174" s="26"/>
      <c r="N174" s="26"/>
      <c r="O174" s="26"/>
      <c r="P174" s="26"/>
      <c r="Q174" s="26"/>
      <c r="R174" s="26"/>
      <c r="S174" s="26"/>
      <c r="T174" s="26"/>
      <c r="U174" s="13"/>
    </row>
    <row r="175" spans="2:21" ht="20.100000000000001" customHeight="1" x14ac:dyDescent="0.25">
      <c r="B175" s="13"/>
      <c r="U175" s="13"/>
    </row>
    <row r="176" spans="2:21" ht="20.100000000000001" customHeight="1" thickBot="1" x14ac:dyDescent="0.3">
      <c r="B176" s="13"/>
      <c r="C176" s="27"/>
      <c r="D176" s="27"/>
      <c r="E176" s="554" t="str">
        <f>IF(OR(L165="-",L165= ""),H165,L165)</f>
        <v>Yokohama</v>
      </c>
      <c r="F176" s="554"/>
      <c r="G176" s="554"/>
      <c r="H176" s="554"/>
      <c r="I176" s="554"/>
      <c r="J176" s="554"/>
      <c r="K176" s="554"/>
      <c r="L176" s="554"/>
      <c r="M176" s="554"/>
      <c r="N176" s="554"/>
      <c r="O176" s="197"/>
      <c r="P176" s="197"/>
      <c r="Q176" s="197"/>
      <c r="R176" s="197"/>
      <c r="S176" s="197"/>
      <c r="T176" s="27"/>
      <c r="U176" s="13"/>
    </row>
    <row r="177" spans="2:21" ht="50.1" customHeight="1" thickBot="1" x14ac:dyDescent="0.3">
      <c r="B177" s="13"/>
      <c r="C177" s="27"/>
      <c r="D177" s="197"/>
      <c r="E177" s="88" t="s">
        <v>10</v>
      </c>
      <c r="F177" s="125" t="s">
        <v>52</v>
      </c>
      <c r="G177" s="89" t="s">
        <v>14</v>
      </c>
      <c r="H177" s="200" t="s">
        <v>51</v>
      </c>
      <c r="I177" s="18" t="s">
        <v>54</v>
      </c>
      <c r="J177" s="200" t="s">
        <v>53</v>
      </c>
      <c r="K177" s="206" t="s">
        <v>28</v>
      </c>
      <c r="L177" s="200" t="s">
        <v>37</v>
      </c>
      <c r="M177" s="204" t="s">
        <v>16</v>
      </c>
      <c r="N177" s="89" t="s">
        <v>15</v>
      </c>
      <c r="O177" s="5" t="s">
        <v>30</v>
      </c>
      <c r="P177" s="7" t="s">
        <v>34</v>
      </c>
      <c r="Q177" s="7" t="s">
        <v>31</v>
      </c>
      <c r="R177" s="197"/>
      <c r="S177" s="197"/>
      <c r="T177" s="27"/>
      <c r="U177" s="13"/>
    </row>
    <row r="178" spans="2:21" ht="20.100000000000001" customHeight="1" x14ac:dyDescent="0.25">
      <c r="B178" s="13"/>
      <c r="C178" s="27"/>
      <c r="D178" s="67"/>
      <c r="E178" s="39" t="s">
        <v>47</v>
      </c>
      <c r="F178" s="305" t="s">
        <v>64</v>
      </c>
      <c r="G178" s="122">
        <v>3</v>
      </c>
      <c r="H178" s="49" t="s">
        <v>13</v>
      </c>
      <c r="I178" s="49">
        <v>0</v>
      </c>
      <c r="J178" s="49">
        <v>105</v>
      </c>
      <c r="K178" s="122" t="s">
        <v>13</v>
      </c>
      <c r="L178" s="50">
        <f>IF(J178="",0,(J178/J181)*100)</f>
        <v>84</v>
      </c>
      <c r="M178" s="49">
        <v>3</v>
      </c>
      <c r="N178" s="61">
        <v>0</v>
      </c>
      <c r="O178" s="57">
        <f>IF(M178=1,1,0)</f>
        <v>0</v>
      </c>
      <c r="P178" s="209">
        <f>IF(M178=2,1,0)</f>
        <v>0</v>
      </c>
      <c r="Q178" s="8">
        <f>IF(M178=3,1,0)</f>
        <v>1</v>
      </c>
      <c r="R178" s="203"/>
      <c r="S178" s="203"/>
      <c r="T178" s="27"/>
      <c r="U178" s="13"/>
    </row>
    <row r="179" spans="2:21" ht="20.100000000000001" customHeight="1" x14ac:dyDescent="0.25">
      <c r="B179" s="13"/>
      <c r="C179" s="27"/>
      <c r="D179" s="27"/>
      <c r="E179" s="40" t="s">
        <v>2</v>
      </c>
      <c r="F179" s="97" t="s">
        <v>8</v>
      </c>
      <c r="G179" s="47">
        <v>1</v>
      </c>
      <c r="H179" s="47" t="s">
        <v>13</v>
      </c>
      <c r="I179" s="47">
        <v>0</v>
      </c>
      <c r="J179" s="47">
        <v>109</v>
      </c>
      <c r="K179" s="100" t="s">
        <v>13</v>
      </c>
      <c r="L179" s="48">
        <f>IF(J179="",0,(J179/J181)*100)</f>
        <v>87.2</v>
      </c>
      <c r="M179" s="47">
        <v>2</v>
      </c>
      <c r="N179" s="60">
        <v>3</v>
      </c>
      <c r="O179" s="205">
        <f>IF(M179=1,1,0)</f>
        <v>0</v>
      </c>
      <c r="P179" s="207">
        <f>IF(M179=2,1,0)</f>
        <v>1</v>
      </c>
      <c r="Q179" s="9">
        <f>IF(M179=3,1,0)</f>
        <v>0</v>
      </c>
      <c r="R179" s="203"/>
      <c r="S179" s="203"/>
      <c r="T179" s="27"/>
      <c r="U179" s="13"/>
    </row>
    <row r="180" spans="2:21" ht="20.100000000000001" customHeight="1" thickBot="1" x14ac:dyDescent="0.3">
      <c r="B180" s="13"/>
      <c r="C180" s="27"/>
      <c r="D180" s="67"/>
      <c r="E180" s="310" t="s">
        <v>3</v>
      </c>
      <c r="F180" s="311" t="s">
        <v>63</v>
      </c>
      <c r="G180" s="284">
        <v>2</v>
      </c>
      <c r="H180" s="284" t="s">
        <v>13</v>
      </c>
      <c r="I180" s="284">
        <v>0</v>
      </c>
      <c r="J180" s="284">
        <v>125</v>
      </c>
      <c r="K180" s="285" t="s">
        <v>13</v>
      </c>
      <c r="L180" s="286">
        <f>IF(J180="",0,(J180/J181)*100)</f>
        <v>100</v>
      </c>
      <c r="M180" s="284">
        <v>1</v>
      </c>
      <c r="N180" s="287">
        <v>6</v>
      </c>
      <c r="O180" s="58">
        <f>IF(M180=1,1,0)</f>
        <v>1</v>
      </c>
      <c r="P180" s="208">
        <f>IF(M180=2,1,0)</f>
        <v>0</v>
      </c>
      <c r="Q180" s="10">
        <f>IF(M180=3,1,0)</f>
        <v>0</v>
      </c>
      <c r="R180" s="203"/>
      <c r="S180" s="203"/>
      <c r="T180" s="27"/>
      <c r="U180" s="13"/>
    </row>
    <row r="181" spans="2:21" ht="20.100000000000001" hidden="1" customHeight="1" outlineLevel="1" x14ac:dyDescent="0.25">
      <c r="B181" s="13"/>
      <c r="C181" s="27"/>
      <c r="D181" s="27"/>
      <c r="E181" s="27"/>
      <c r="F181" s="531"/>
      <c r="G181" s="531"/>
      <c r="H181" s="27"/>
      <c r="I181" s="64" t="s">
        <v>29</v>
      </c>
      <c r="J181" s="23">
        <f>MAX(J178:J180)</f>
        <v>125</v>
      </c>
      <c r="K181" s="75"/>
      <c r="L181" s="203"/>
      <c r="M181" s="27"/>
      <c r="N181" s="63" t="s">
        <v>33</v>
      </c>
      <c r="O181" s="20">
        <f>SUM(O178:O180)</f>
        <v>1</v>
      </c>
      <c r="P181" s="21">
        <f>SUM(P178:P180)</f>
        <v>1</v>
      </c>
      <c r="Q181" s="20">
        <f>SUM(Q178:Q180)</f>
        <v>1</v>
      </c>
      <c r="R181" s="22">
        <f>SUM(R178:R180)</f>
        <v>0</v>
      </c>
      <c r="S181" s="74"/>
      <c r="T181" s="27"/>
      <c r="U181" s="13"/>
    </row>
    <row r="182" spans="2:21" ht="20.100000000000001" customHeight="1" collapsed="1" x14ac:dyDescent="0.25">
      <c r="B182" s="13"/>
      <c r="C182" s="27"/>
      <c r="D182" s="27"/>
      <c r="E182" s="27"/>
      <c r="F182" s="27"/>
      <c r="G182" s="27"/>
      <c r="H182" s="27"/>
      <c r="I182" s="27"/>
      <c r="J182" s="27"/>
      <c r="K182" s="27"/>
      <c r="L182" s="27"/>
      <c r="M182" s="27"/>
      <c r="N182" s="27"/>
      <c r="O182" s="27"/>
      <c r="P182" s="27"/>
      <c r="Q182" s="27"/>
      <c r="R182" s="27"/>
      <c r="S182" s="27"/>
      <c r="T182" s="27"/>
      <c r="U182" s="13"/>
    </row>
    <row r="183" spans="2:21" ht="20.100000000000001" customHeight="1" x14ac:dyDescent="0.25">
      <c r="B183" s="13"/>
      <c r="D183" s="28"/>
      <c r="E183" s="28"/>
      <c r="F183" s="28"/>
      <c r="G183" s="28"/>
      <c r="H183" s="29"/>
      <c r="I183" s="28"/>
      <c r="J183" s="28"/>
      <c r="U183" s="13"/>
    </row>
    <row r="184" spans="2:21" ht="20.100000000000001" customHeight="1" thickBot="1" x14ac:dyDescent="0.3">
      <c r="B184" s="13"/>
      <c r="C184" s="30"/>
      <c r="D184" s="30"/>
      <c r="E184" s="532" t="str">
        <f>IF(OR(L166="-",L166= ""),H166,L166)</f>
        <v>La Granja</v>
      </c>
      <c r="F184" s="532"/>
      <c r="G184" s="532"/>
      <c r="H184" s="532"/>
      <c r="I184" s="532"/>
      <c r="J184" s="532"/>
      <c r="K184" s="532"/>
      <c r="L184" s="532"/>
      <c r="M184" s="532"/>
      <c r="N184" s="532"/>
      <c r="O184" s="196"/>
      <c r="P184" s="196"/>
      <c r="Q184" s="196"/>
      <c r="R184" s="196"/>
      <c r="S184" s="196"/>
      <c r="T184" s="30"/>
      <c r="U184" s="14"/>
    </row>
    <row r="185" spans="2:21" ht="50.1" customHeight="1" thickBot="1" x14ac:dyDescent="0.3">
      <c r="B185" s="13"/>
      <c r="C185" s="30"/>
      <c r="D185" s="196"/>
      <c r="E185" s="88" t="s">
        <v>10</v>
      </c>
      <c r="F185" s="125" t="s">
        <v>52</v>
      </c>
      <c r="G185" s="89" t="s">
        <v>14</v>
      </c>
      <c r="H185" s="200" t="s">
        <v>51</v>
      </c>
      <c r="I185" s="18" t="s">
        <v>54</v>
      </c>
      <c r="J185" s="200" t="s">
        <v>53</v>
      </c>
      <c r="K185" s="206" t="s">
        <v>28</v>
      </c>
      <c r="L185" s="200" t="s">
        <v>37</v>
      </c>
      <c r="M185" s="204" t="s">
        <v>16</v>
      </c>
      <c r="N185" s="89" t="s">
        <v>15</v>
      </c>
      <c r="O185" s="5" t="s">
        <v>30</v>
      </c>
      <c r="P185" s="7" t="s">
        <v>34</v>
      </c>
      <c r="Q185" s="7" t="s">
        <v>31</v>
      </c>
      <c r="R185" s="196"/>
      <c r="S185" s="196"/>
      <c r="T185" s="30"/>
      <c r="U185" s="14"/>
    </row>
    <row r="186" spans="2:21" ht="20.100000000000001" customHeight="1" x14ac:dyDescent="0.25">
      <c r="B186" s="13"/>
      <c r="C186" s="30"/>
      <c r="D186" s="66"/>
      <c r="E186" s="39" t="s">
        <v>47</v>
      </c>
      <c r="F186" s="305" t="s">
        <v>64</v>
      </c>
      <c r="G186" s="49">
        <v>2</v>
      </c>
      <c r="H186" s="49" t="s">
        <v>13</v>
      </c>
      <c r="I186" s="49">
        <v>1</v>
      </c>
      <c r="J186" s="49">
        <v>68</v>
      </c>
      <c r="K186" s="49" t="s">
        <v>13</v>
      </c>
      <c r="L186" s="50">
        <f>IF(J186="",0,(J186/J189)*100)</f>
        <v>76.404494382022463</v>
      </c>
      <c r="M186" s="49">
        <v>3</v>
      </c>
      <c r="N186" s="61">
        <v>0</v>
      </c>
      <c r="O186" s="209">
        <f>IF(M186=1,1,0)</f>
        <v>0</v>
      </c>
      <c r="P186" s="209">
        <f>IF(M186=2,1,0)</f>
        <v>0</v>
      </c>
      <c r="Q186" s="8">
        <f>IF(M186=3,1,0)</f>
        <v>1</v>
      </c>
      <c r="R186" s="194"/>
      <c r="S186" s="194"/>
      <c r="T186" s="30"/>
      <c r="U186" s="13"/>
    </row>
    <row r="187" spans="2:21" ht="20.100000000000001" customHeight="1" x14ac:dyDescent="0.25">
      <c r="B187" s="13"/>
      <c r="C187" s="30"/>
      <c r="D187" s="30"/>
      <c r="E187" s="40" t="s">
        <v>2</v>
      </c>
      <c r="F187" s="97" t="s">
        <v>8</v>
      </c>
      <c r="G187" s="47">
        <v>1</v>
      </c>
      <c r="H187" s="47" t="s">
        <v>13</v>
      </c>
      <c r="I187" s="47">
        <v>1</v>
      </c>
      <c r="J187" s="47">
        <v>74</v>
      </c>
      <c r="K187" s="100" t="s">
        <v>13</v>
      </c>
      <c r="L187" s="48">
        <f>IF(J187="",0,(J187/J189)*100)</f>
        <v>83.146067415730343</v>
      </c>
      <c r="M187" s="47">
        <v>2</v>
      </c>
      <c r="N187" s="60">
        <v>3</v>
      </c>
      <c r="O187" s="207">
        <f>IF(M187=1,1,0)</f>
        <v>0</v>
      </c>
      <c r="P187" s="207">
        <f>IF(M187=2,1,0)</f>
        <v>1</v>
      </c>
      <c r="Q187" s="9">
        <f>IF(M187=3,1,0)</f>
        <v>0</v>
      </c>
      <c r="R187" s="194"/>
      <c r="S187" s="194"/>
      <c r="T187" s="30"/>
      <c r="U187" s="31"/>
    </row>
    <row r="188" spans="2:21" ht="20.100000000000001" customHeight="1" thickBot="1" x14ac:dyDescent="0.3">
      <c r="B188" s="13"/>
      <c r="C188" s="30"/>
      <c r="D188" s="30"/>
      <c r="E188" s="310" t="s">
        <v>3</v>
      </c>
      <c r="F188" s="311" t="s">
        <v>63</v>
      </c>
      <c r="G188" s="284">
        <v>3</v>
      </c>
      <c r="H188" s="284" t="s">
        <v>13</v>
      </c>
      <c r="I188" s="284">
        <v>1</v>
      </c>
      <c r="J188" s="284">
        <v>89</v>
      </c>
      <c r="K188" s="284" t="s">
        <v>13</v>
      </c>
      <c r="L188" s="286">
        <f>IF(J188="",0,(J188/J189)*100)</f>
        <v>100</v>
      </c>
      <c r="M188" s="284">
        <v>1</v>
      </c>
      <c r="N188" s="287">
        <v>6</v>
      </c>
      <c r="O188" s="208">
        <f>IF(M188=1,1,0)</f>
        <v>1</v>
      </c>
      <c r="P188" s="208">
        <f>IF(M188=2,1,0)</f>
        <v>0</v>
      </c>
      <c r="Q188" s="10">
        <f>IF(M188=3,1,0)</f>
        <v>0</v>
      </c>
      <c r="R188" s="194"/>
      <c r="S188" s="194"/>
      <c r="T188" s="30"/>
      <c r="U188" s="31"/>
    </row>
    <row r="189" spans="2:21" ht="20.100000000000001" hidden="1" customHeight="1" outlineLevel="1" x14ac:dyDescent="0.25">
      <c r="B189" s="13"/>
      <c r="C189" s="30"/>
      <c r="D189" s="30"/>
      <c r="E189" s="30"/>
      <c r="F189" s="533"/>
      <c r="G189" s="533"/>
      <c r="H189" s="30"/>
      <c r="I189" s="64" t="s">
        <v>29</v>
      </c>
      <c r="J189" s="23">
        <f>MAX(J186:J188)</f>
        <v>89</v>
      </c>
      <c r="K189" s="76"/>
      <c r="L189" s="194"/>
      <c r="M189" s="30"/>
      <c r="N189" s="63" t="s">
        <v>33</v>
      </c>
      <c r="O189" s="20">
        <f>SUM(O186:O188)</f>
        <v>1</v>
      </c>
      <c r="P189" s="21">
        <f>SUM(P186:P188)</f>
        <v>1</v>
      </c>
      <c r="Q189" s="20">
        <f>SUM(Q186:Q188)</f>
        <v>1</v>
      </c>
      <c r="R189" s="22">
        <f>SUM(R186:R188)</f>
        <v>0</v>
      </c>
      <c r="S189" s="77"/>
      <c r="T189" s="30"/>
      <c r="U189" s="31"/>
    </row>
    <row r="190" spans="2:21" ht="20.100000000000001" customHeight="1" collapsed="1" x14ac:dyDescent="0.25">
      <c r="B190" s="13"/>
      <c r="C190" s="30"/>
      <c r="D190" s="30"/>
      <c r="E190" s="30"/>
      <c r="F190" s="30"/>
      <c r="G190" s="30"/>
      <c r="H190" s="30"/>
      <c r="I190" s="30"/>
      <c r="J190" s="30"/>
      <c r="K190" s="30"/>
      <c r="L190" s="30"/>
      <c r="M190" s="30"/>
      <c r="N190" s="30"/>
      <c r="O190" s="30"/>
      <c r="P190" s="30"/>
      <c r="Q190" s="30"/>
      <c r="R190" s="30"/>
      <c r="S190" s="30"/>
      <c r="T190" s="30"/>
      <c r="U190" s="31"/>
    </row>
    <row r="191" spans="2:21" ht="20.100000000000001" customHeight="1" x14ac:dyDescent="0.25">
      <c r="B191" s="13"/>
      <c r="D191" s="28"/>
      <c r="E191" s="28"/>
      <c r="F191" s="28"/>
      <c r="G191" s="28"/>
      <c r="H191" s="29"/>
      <c r="I191" s="28"/>
      <c r="J191" s="28"/>
      <c r="K191" s="28"/>
      <c r="U191" s="13"/>
    </row>
    <row r="192" spans="2:21" ht="30" customHeight="1" thickBot="1" x14ac:dyDescent="0.3">
      <c r="B192" s="13"/>
      <c r="C192" s="33"/>
      <c r="D192" s="536" t="s">
        <v>50</v>
      </c>
      <c r="E192" s="536"/>
      <c r="F192" s="536"/>
      <c r="G192" s="536"/>
      <c r="H192" s="536"/>
      <c r="I192" s="536"/>
      <c r="J192" s="536"/>
      <c r="K192" s="536"/>
      <c r="L192" s="536"/>
      <c r="M192" s="536"/>
      <c r="N192" s="536"/>
      <c r="O192" s="312"/>
      <c r="P192" s="312"/>
      <c r="Q192" s="312"/>
      <c r="R192" s="312"/>
      <c r="S192" s="312"/>
      <c r="T192" s="33"/>
      <c r="U192" s="13"/>
    </row>
    <row r="193" spans="2:21" ht="50.1" customHeight="1" thickBot="1" x14ac:dyDescent="0.3">
      <c r="B193" s="13"/>
      <c r="C193" s="33"/>
      <c r="D193" s="90" t="s">
        <v>10</v>
      </c>
      <c r="E193" s="93" t="s">
        <v>65</v>
      </c>
      <c r="F193" s="91" t="s">
        <v>15</v>
      </c>
      <c r="G193" s="42" t="s">
        <v>55</v>
      </c>
      <c r="H193" s="537" t="s">
        <v>56</v>
      </c>
      <c r="I193" s="538"/>
      <c r="J193" s="202" t="s">
        <v>66</v>
      </c>
      <c r="K193" s="92" t="s">
        <v>17</v>
      </c>
      <c r="L193" s="91" t="s">
        <v>18</v>
      </c>
      <c r="M193" s="92" t="s">
        <v>19</v>
      </c>
      <c r="N193" s="93" t="s">
        <v>38</v>
      </c>
      <c r="O193" s="313"/>
      <c r="P193" s="314"/>
      <c r="Q193" s="314"/>
      <c r="R193" s="314"/>
      <c r="S193" s="33"/>
      <c r="T193" s="33"/>
      <c r="U193" s="13"/>
    </row>
    <row r="194" spans="2:21" ht="50.1" customHeight="1" x14ac:dyDescent="0.25">
      <c r="B194" s="13"/>
      <c r="C194" s="33"/>
      <c r="D194" s="131" t="s">
        <v>3</v>
      </c>
      <c r="E194" s="315" t="s">
        <v>63</v>
      </c>
      <c r="F194" s="133">
        <f>K194*6+L194*3+M194*0</f>
        <v>18</v>
      </c>
      <c r="G194" s="262">
        <v>-1</v>
      </c>
      <c r="H194" s="758" t="s">
        <v>229</v>
      </c>
      <c r="I194" s="759"/>
      <c r="J194" s="133">
        <f>F194+G194</f>
        <v>17</v>
      </c>
      <c r="K194" s="133">
        <v>3</v>
      </c>
      <c r="L194" s="133">
        <v>0</v>
      </c>
      <c r="M194" s="133">
        <v>0</v>
      </c>
      <c r="N194" s="134">
        <f>(L172+L180+L188)/3</f>
        <v>100</v>
      </c>
      <c r="O194" s="316"/>
      <c r="P194" s="317"/>
      <c r="Q194" s="317"/>
      <c r="R194" s="317"/>
      <c r="S194" s="33"/>
      <c r="T194" s="33"/>
      <c r="U194" s="13"/>
    </row>
    <row r="195" spans="2:21" ht="20.100000000000001" customHeight="1" x14ac:dyDescent="0.25">
      <c r="B195" s="13"/>
      <c r="C195" s="33"/>
      <c r="D195" s="155" t="s">
        <v>2</v>
      </c>
      <c r="E195" s="318" t="s">
        <v>8</v>
      </c>
      <c r="F195" s="52">
        <f>K195*6+L195*3+M195*0</f>
        <v>9</v>
      </c>
      <c r="G195" s="263">
        <v>0</v>
      </c>
      <c r="H195" s="529" t="s">
        <v>13</v>
      </c>
      <c r="I195" s="529"/>
      <c r="J195" s="52">
        <f>F195+G195</f>
        <v>9</v>
      </c>
      <c r="K195" s="52">
        <v>0</v>
      </c>
      <c r="L195" s="52">
        <v>3</v>
      </c>
      <c r="M195" s="52">
        <v>0</v>
      </c>
      <c r="N195" s="104">
        <f>(L171+L179+L187)/3</f>
        <v>85.743771105789889</v>
      </c>
      <c r="O195" s="316"/>
      <c r="P195" s="317"/>
      <c r="Q195" s="317"/>
      <c r="R195" s="317"/>
      <c r="S195" s="33"/>
      <c r="T195" s="33"/>
      <c r="U195" s="13"/>
    </row>
    <row r="196" spans="2:21" ht="20.100000000000001" customHeight="1" thickBot="1" x14ac:dyDescent="0.3">
      <c r="B196" s="13"/>
      <c r="C196" s="33"/>
      <c r="D196" s="105" t="s">
        <v>47</v>
      </c>
      <c r="E196" s="319" t="s">
        <v>64</v>
      </c>
      <c r="F196" s="109">
        <f>K196*6+L196*3+M196*0</f>
        <v>0</v>
      </c>
      <c r="G196" s="264">
        <v>0</v>
      </c>
      <c r="H196" s="530" t="s">
        <v>13</v>
      </c>
      <c r="I196" s="530"/>
      <c r="J196" s="109">
        <f>F196+G196</f>
        <v>0</v>
      </c>
      <c r="K196" s="109">
        <v>0</v>
      </c>
      <c r="L196" s="109">
        <v>0</v>
      </c>
      <c r="M196" s="109">
        <v>3</v>
      </c>
      <c r="N196" s="106">
        <f>(L170+L178+L186)/3</f>
        <v>81.883465340455572</v>
      </c>
      <c r="O196" s="316"/>
      <c r="P196" s="317"/>
      <c r="Q196" s="317"/>
      <c r="R196" s="317"/>
      <c r="S196" s="33"/>
      <c r="T196" s="33"/>
      <c r="U196" s="13"/>
    </row>
    <row r="197" spans="2:21" ht="20.100000000000001" customHeight="1" x14ac:dyDescent="0.25">
      <c r="B197" s="13"/>
      <c r="C197" s="33"/>
      <c r="D197" s="33"/>
      <c r="E197" s="33"/>
      <c r="F197" s="33"/>
      <c r="G197" s="33"/>
      <c r="H197" s="33"/>
      <c r="I197" s="33"/>
      <c r="J197" s="33"/>
      <c r="K197" s="33"/>
      <c r="L197" s="33"/>
      <c r="M197" s="33"/>
      <c r="N197" s="33"/>
      <c r="O197" s="33"/>
      <c r="P197" s="33"/>
      <c r="Q197" s="33"/>
      <c r="R197" s="33"/>
      <c r="S197" s="33"/>
      <c r="T197" s="33"/>
      <c r="U197" s="13"/>
    </row>
    <row r="198" spans="2:21" ht="20.100000000000001" customHeight="1" x14ac:dyDescent="0.25">
      <c r="B198" s="13"/>
      <c r="C198" s="13"/>
      <c r="D198" s="15"/>
      <c r="E198" s="15"/>
      <c r="F198" s="14"/>
      <c r="G198" s="14"/>
      <c r="H198" s="15"/>
      <c r="I198" s="15"/>
      <c r="J198" s="15"/>
      <c r="K198" s="13"/>
      <c r="L198" s="13"/>
      <c r="M198" s="13"/>
      <c r="N198" s="13"/>
      <c r="O198" s="13"/>
      <c r="P198" s="13"/>
      <c r="Q198" s="13"/>
      <c r="R198" s="13"/>
      <c r="S198" s="13"/>
      <c r="T198" s="13"/>
      <c r="U198" s="13"/>
    </row>
    <row r="199" spans="2:21" ht="20.100000000000001" customHeight="1" x14ac:dyDescent="0.25"/>
    <row r="200" spans="2:21" ht="20.100000000000001" customHeight="1" x14ac:dyDescent="0.25"/>
    <row r="201" spans="2:21" ht="20.100000000000001" customHeight="1" x14ac:dyDescent="0.25">
      <c r="B201" s="13"/>
      <c r="C201" s="13"/>
      <c r="D201" s="25"/>
      <c r="E201" s="25"/>
      <c r="F201" s="25"/>
      <c r="G201" s="25"/>
      <c r="H201" s="13"/>
      <c r="I201" s="13"/>
      <c r="J201" s="13"/>
      <c r="K201" s="13"/>
      <c r="L201" s="13"/>
      <c r="M201" s="13"/>
      <c r="N201" s="13"/>
      <c r="O201" s="13"/>
      <c r="P201" s="13"/>
      <c r="Q201" s="13"/>
      <c r="R201" s="13"/>
      <c r="S201" s="13"/>
      <c r="T201" s="13"/>
      <c r="U201" s="13"/>
    </row>
    <row r="202" spans="2:21" ht="30" customHeight="1" x14ac:dyDescent="0.25">
      <c r="B202" s="13"/>
      <c r="C202" s="555" t="s">
        <v>226</v>
      </c>
      <c r="D202" s="555"/>
      <c r="E202" s="555"/>
      <c r="F202" s="555"/>
      <c r="G202" s="555"/>
      <c r="H202" s="555"/>
      <c r="I202" s="555"/>
      <c r="J202" s="555"/>
      <c r="K202" s="555"/>
      <c r="L202" s="555"/>
      <c r="M202" s="555"/>
      <c r="N202" s="555"/>
      <c r="O202" s="555"/>
      <c r="P202" s="555"/>
      <c r="Q202" s="555"/>
      <c r="R202" s="555"/>
      <c r="S202" s="555"/>
      <c r="T202" s="555"/>
      <c r="U202" s="13"/>
    </row>
    <row r="203" spans="2:21" ht="20.100000000000001" customHeight="1" thickBot="1" x14ac:dyDescent="0.3">
      <c r="B203" s="13"/>
      <c r="U203" s="13"/>
    </row>
    <row r="204" spans="2:21" ht="20.100000000000001" customHeight="1" thickBot="1" x14ac:dyDescent="0.3">
      <c r="B204" s="13"/>
      <c r="D204" s="556" t="s">
        <v>10</v>
      </c>
      <c r="E204" s="558" t="s">
        <v>67</v>
      </c>
      <c r="F204" s="560" t="s">
        <v>22</v>
      </c>
      <c r="G204" s="563" t="s">
        <v>42</v>
      </c>
      <c r="H204" s="561"/>
      <c r="I204" s="561"/>
      <c r="J204" s="562"/>
      <c r="K204" s="200" t="s">
        <v>36</v>
      </c>
      <c r="L204" s="563" t="s">
        <v>27</v>
      </c>
      <c r="M204" s="561"/>
      <c r="N204" s="561"/>
      <c r="O204" s="561"/>
      <c r="P204" s="561"/>
      <c r="Q204" s="561"/>
      <c r="R204" s="561"/>
      <c r="S204" s="562"/>
      <c r="U204" s="13"/>
    </row>
    <row r="205" spans="2:21" ht="20.100000000000001" customHeight="1" thickBot="1" x14ac:dyDescent="0.3">
      <c r="B205" s="13"/>
      <c r="D205" s="557"/>
      <c r="E205" s="559"/>
      <c r="F205" s="559"/>
      <c r="G205" s="86" t="s">
        <v>43</v>
      </c>
      <c r="H205" s="85" t="s">
        <v>24</v>
      </c>
      <c r="I205" s="565" t="s">
        <v>23</v>
      </c>
      <c r="J205" s="567"/>
      <c r="K205" s="85" t="s">
        <v>25</v>
      </c>
      <c r="L205" s="94" t="s">
        <v>43</v>
      </c>
      <c r="M205" s="87" t="s">
        <v>26</v>
      </c>
      <c r="N205" s="565" t="s">
        <v>23</v>
      </c>
      <c r="O205" s="566"/>
      <c r="P205" s="566"/>
      <c r="Q205" s="566"/>
      <c r="R205" s="566"/>
      <c r="S205" s="567"/>
      <c r="U205" s="13"/>
    </row>
    <row r="206" spans="2:21" ht="20.100000000000001" customHeight="1" x14ac:dyDescent="0.25">
      <c r="B206" s="13"/>
      <c r="D206" s="233" t="s">
        <v>125</v>
      </c>
      <c r="E206" s="320" t="s">
        <v>126</v>
      </c>
      <c r="F206" s="341">
        <v>1</v>
      </c>
      <c r="G206" s="141" t="s">
        <v>44</v>
      </c>
      <c r="H206" s="137" t="s">
        <v>227</v>
      </c>
      <c r="I206" s="589" t="s">
        <v>230</v>
      </c>
      <c r="J206" s="760"/>
      <c r="K206" s="237" t="s">
        <v>12</v>
      </c>
      <c r="L206" s="218" t="s">
        <v>13</v>
      </c>
      <c r="M206" s="55" t="s">
        <v>13</v>
      </c>
      <c r="N206" s="570" t="s">
        <v>13</v>
      </c>
      <c r="O206" s="571"/>
      <c r="P206" s="571"/>
      <c r="Q206" s="571"/>
      <c r="R206" s="571"/>
      <c r="S206" s="572"/>
      <c r="U206" s="13"/>
    </row>
    <row r="207" spans="2:21" ht="45" customHeight="1" x14ac:dyDescent="0.25">
      <c r="B207" s="13"/>
      <c r="D207" s="663" t="s">
        <v>130</v>
      </c>
      <c r="E207" s="761" t="s">
        <v>131</v>
      </c>
      <c r="F207" s="764">
        <v>2</v>
      </c>
      <c r="G207" s="727" t="s">
        <v>44</v>
      </c>
      <c r="H207" s="767" t="s">
        <v>71</v>
      </c>
      <c r="I207" s="671" t="s">
        <v>231</v>
      </c>
      <c r="J207" s="673"/>
      <c r="K207" s="703" t="s">
        <v>12</v>
      </c>
      <c r="L207" s="688" t="s">
        <v>13</v>
      </c>
      <c r="M207" s="689" t="s">
        <v>13</v>
      </c>
      <c r="N207" s="658" t="s">
        <v>13</v>
      </c>
      <c r="O207" s="659"/>
      <c r="P207" s="659"/>
      <c r="Q207" s="659"/>
      <c r="R207" s="659"/>
      <c r="S207" s="660"/>
      <c r="U207" s="13"/>
    </row>
    <row r="208" spans="2:21" ht="15" customHeight="1" x14ac:dyDescent="0.25">
      <c r="B208" s="13"/>
      <c r="D208" s="642"/>
      <c r="E208" s="762"/>
      <c r="F208" s="765"/>
      <c r="G208" s="728"/>
      <c r="H208" s="768"/>
      <c r="I208" s="661" t="s">
        <v>232</v>
      </c>
      <c r="J208" s="662"/>
      <c r="K208" s="622"/>
      <c r="L208" s="625"/>
      <c r="M208" s="628"/>
      <c r="N208" s="633"/>
      <c r="O208" s="634"/>
      <c r="P208" s="634"/>
      <c r="Q208" s="634"/>
      <c r="R208" s="634"/>
      <c r="S208" s="635"/>
      <c r="U208" s="13"/>
    </row>
    <row r="209" spans="2:21" ht="15" customHeight="1" x14ac:dyDescent="0.25">
      <c r="B209" s="13"/>
      <c r="D209" s="643"/>
      <c r="E209" s="763"/>
      <c r="F209" s="766"/>
      <c r="G209" s="729"/>
      <c r="H209" s="769"/>
      <c r="I209" s="661" t="s">
        <v>215</v>
      </c>
      <c r="J209" s="662"/>
      <c r="K209" s="623"/>
      <c r="L209" s="626"/>
      <c r="M209" s="629"/>
      <c r="N209" s="636"/>
      <c r="O209" s="637"/>
      <c r="P209" s="637"/>
      <c r="Q209" s="637"/>
      <c r="R209" s="637"/>
      <c r="S209" s="638"/>
      <c r="U209" s="13"/>
    </row>
    <row r="210" spans="2:21" ht="15" customHeight="1" x14ac:dyDescent="0.25">
      <c r="B210" s="13"/>
      <c r="D210" s="663" t="s">
        <v>130</v>
      </c>
      <c r="E210" s="761" t="s">
        <v>131</v>
      </c>
      <c r="F210" s="764">
        <v>3</v>
      </c>
      <c r="G210" s="743" t="s">
        <v>44</v>
      </c>
      <c r="H210" s="746" t="s">
        <v>223</v>
      </c>
      <c r="I210" s="681" t="s">
        <v>233</v>
      </c>
      <c r="J210" s="684"/>
      <c r="K210" s="321"/>
      <c r="L210" s="322"/>
      <c r="M210" s="323"/>
      <c r="N210" s="770"/>
      <c r="O210" s="771"/>
      <c r="P210" s="771"/>
      <c r="Q210" s="771"/>
      <c r="R210" s="771"/>
      <c r="S210" s="772"/>
      <c r="U210" s="13"/>
    </row>
    <row r="211" spans="2:21" ht="15" customHeight="1" x14ac:dyDescent="0.25">
      <c r="B211" s="13"/>
      <c r="D211" s="642"/>
      <c r="E211" s="762"/>
      <c r="F211" s="765"/>
      <c r="G211" s="744"/>
      <c r="H211" s="747"/>
      <c r="I211" s="682" t="s">
        <v>234</v>
      </c>
      <c r="J211" s="702"/>
      <c r="K211" s="333"/>
      <c r="L211" s="334"/>
      <c r="M211" s="335"/>
      <c r="N211" s="336"/>
      <c r="O211" s="337"/>
      <c r="P211" s="337"/>
      <c r="Q211" s="337"/>
      <c r="R211" s="337"/>
      <c r="S211" s="338"/>
      <c r="U211" s="13"/>
    </row>
    <row r="212" spans="2:21" ht="15" customHeight="1" x14ac:dyDescent="0.25">
      <c r="B212" s="13"/>
      <c r="D212" s="643"/>
      <c r="E212" s="763"/>
      <c r="F212" s="766"/>
      <c r="G212" s="745"/>
      <c r="H212" s="748"/>
      <c r="I212" s="682" t="s">
        <v>235</v>
      </c>
      <c r="J212" s="702"/>
      <c r="K212" s="333"/>
      <c r="L212" s="334"/>
      <c r="M212" s="335"/>
      <c r="N212" s="336"/>
      <c r="O212" s="337"/>
      <c r="P212" s="337"/>
      <c r="Q212" s="337"/>
      <c r="R212" s="337"/>
      <c r="S212" s="338"/>
      <c r="U212" s="13"/>
    </row>
    <row r="213" spans="2:21" ht="15" customHeight="1" x14ac:dyDescent="0.25">
      <c r="B213" s="13"/>
      <c r="D213" s="773" t="s">
        <v>125</v>
      </c>
      <c r="E213" s="761" t="s">
        <v>126</v>
      </c>
      <c r="F213" s="764">
        <v>4</v>
      </c>
      <c r="G213" s="777" t="s">
        <v>44</v>
      </c>
      <c r="H213" s="725" t="s">
        <v>224</v>
      </c>
      <c r="I213" s="725" t="s">
        <v>236</v>
      </c>
      <c r="J213" s="726"/>
      <c r="K213" s="342"/>
      <c r="L213" s="322"/>
      <c r="M213" s="323"/>
      <c r="N213" s="779"/>
      <c r="O213" s="779"/>
      <c r="P213" s="779"/>
      <c r="Q213" s="779"/>
      <c r="R213" s="779"/>
      <c r="S213" s="780"/>
      <c r="U213" s="13"/>
    </row>
    <row r="214" spans="2:21" ht="15" customHeight="1" thickBot="1" x14ac:dyDescent="0.3">
      <c r="B214" s="13"/>
      <c r="D214" s="774"/>
      <c r="E214" s="775"/>
      <c r="F214" s="776"/>
      <c r="G214" s="778"/>
      <c r="H214" s="711"/>
      <c r="I214" s="711" t="s">
        <v>237</v>
      </c>
      <c r="J214" s="712"/>
      <c r="K214" s="324"/>
      <c r="L214" s="325"/>
      <c r="M214" s="326"/>
      <c r="N214" s="339"/>
      <c r="O214" s="339"/>
      <c r="P214" s="339"/>
      <c r="Q214" s="339"/>
      <c r="R214" s="339"/>
      <c r="S214" s="340"/>
      <c r="U214" s="13"/>
    </row>
    <row r="215" spans="2:21" ht="20.100000000000001" customHeight="1" x14ac:dyDescent="0.25">
      <c r="B215" s="13"/>
      <c r="U215" s="13"/>
    </row>
    <row r="216" spans="2:21" ht="20.100000000000001" customHeight="1" thickBot="1" x14ac:dyDescent="0.3">
      <c r="B216" s="13"/>
      <c r="C216" s="26"/>
      <c r="D216" s="26"/>
      <c r="E216" s="552" t="str">
        <f>IF(OR(L206="-",L206= ""),H206,L206)</f>
        <v>Patchwork</v>
      </c>
      <c r="F216" s="552"/>
      <c r="G216" s="552"/>
      <c r="H216" s="552"/>
      <c r="I216" s="552"/>
      <c r="J216" s="552"/>
      <c r="K216" s="552"/>
      <c r="L216" s="552"/>
      <c r="M216" s="552"/>
      <c r="N216" s="552"/>
      <c r="O216" s="199"/>
      <c r="P216" s="199"/>
      <c r="Q216" s="199"/>
      <c r="R216" s="199"/>
      <c r="S216" s="199"/>
      <c r="T216" s="26"/>
      <c r="U216" s="13"/>
    </row>
    <row r="217" spans="2:21" ht="50.1" customHeight="1" thickBot="1" x14ac:dyDescent="0.3">
      <c r="B217" s="13"/>
      <c r="C217" s="26"/>
      <c r="D217" s="199"/>
      <c r="E217" s="88" t="s">
        <v>10</v>
      </c>
      <c r="F217" s="125" t="s">
        <v>52</v>
      </c>
      <c r="G217" s="89" t="s">
        <v>14</v>
      </c>
      <c r="H217" s="200" t="s">
        <v>51</v>
      </c>
      <c r="I217" s="18" t="s">
        <v>54</v>
      </c>
      <c r="J217" s="200" t="s">
        <v>53</v>
      </c>
      <c r="K217" s="206" t="s">
        <v>28</v>
      </c>
      <c r="L217" s="200" t="s">
        <v>37</v>
      </c>
      <c r="M217" s="204" t="s">
        <v>16</v>
      </c>
      <c r="N217" s="89" t="s">
        <v>15</v>
      </c>
      <c r="O217" s="5" t="s">
        <v>30</v>
      </c>
      <c r="P217" s="7" t="s">
        <v>34</v>
      </c>
      <c r="Q217" s="199"/>
      <c r="R217" s="199"/>
      <c r="S217" s="199"/>
      <c r="T217" s="26"/>
      <c r="U217" s="13"/>
    </row>
    <row r="218" spans="2:21" ht="20.100000000000001" customHeight="1" x14ac:dyDescent="0.25">
      <c r="B218" s="13"/>
      <c r="C218" s="26"/>
      <c r="D218" s="68"/>
      <c r="E218" s="327" t="s">
        <v>125</v>
      </c>
      <c r="F218" s="328" t="s">
        <v>126</v>
      </c>
      <c r="G218" s="157">
        <v>1</v>
      </c>
      <c r="H218" s="157" t="s">
        <v>13</v>
      </c>
      <c r="I218" s="157">
        <v>0</v>
      </c>
      <c r="J218" s="157">
        <v>18</v>
      </c>
      <c r="K218" s="157" t="s">
        <v>13</v>
      </c>
      <c r="L218" s="36">
        <f>IF(J218="",0,(J218/J220)*100)</f>
        <v>100</v>
      </c>
      <c r="M218" s="157">
        <v>1</v>
      </c>
      <c r="N218" s="99">
        <v>6</v>
      </c>
      <c r="O218" s="209">
        <f>IF(M218=1,1,0)</f>
        <v>1</v>
      </c>
      <c r="P218" s="8">
        <f>IF(M218=2,1,0)</f>
        <v>0</v>
      </c>
      <c r="Q218" s="198"/>
      <c r="R218" s="198"/>
      <c r="S218" s="198"/>
      <c r="T218" s="26"/>
      <c r="U218" s="13"/>
    </row>
    <row r="219" spans="2:21" ht="20.100000000000001" customHeight="1" thickBot="1" x14ac:dyDescent="0.3">
      <c r="B219" s="13"/>
      <c r="C219" s="26"/>
      <c r="D219" s="26"/>
      <c r="E219" s="41" t="s">
        <v>130</v>
      </c>
      <c r="F219" s="332" t="s">
        <v>131</v>
      </c>
      <c r="G219" s="150">
        <v>2</v>
      </c>
      <c r="H219" s="150" t="s">
        <v>13</v>
      </c>
      <c r="I219" s="150">
        <v>0</v>
      </c>
      <c r="J219" s="150">
        <v>17</v>
      </c>
      <c r="K219" s="107" t="s">
        <v>13</v>
      </c>
      <c r="L219" s="17">
        <f>IF(J219="",0,(J219/J220)*100)</f>
        <v>94.444444444444443</v>
      </c>
      <c r="M219" s="150">
        <v>2</v>
      </c>
      <c r="N219" s="59">
        <v>0</v>
      </c>
      <c r="O219" s="208">
        <f>IF(M219=1,1,0)</f>
        <v>0</v>
      </c>
      <c r="P219" s="10">
        <f>IF(M219=2,1,0)</f>
        <v>1</v>
      </c>
      <c r="Q219" s="198"/>
      <c r="R219" s="198"/>
      <c r="S219" s="198"/>
      <c r="T219" s="26"/>
      <c r="U219" s="13"/>
    </row>
    <row r="220" spans="2:21" ht="20.100000000000001" hidden="1" customHeight="1" outlineLevel="1" x14ac:dyDescent="0.25">
      <c r="B220" s="13"/>
      <c r="C220" s="26"/>
      <c r="D220" s="68"/>
      <c r="E220" s="68"/>
      <c r="F220" s="553"/>
      <c r="G220" s="553"/>
      <c r="H220" s="26"/>
      <c r="I220" s="64" t="s">
        <v>29</v>
      </c>
      <c r="J220" s="23">
        <f>MAX(J218:J219)</f>
        <v>18</v>
      </c>
      <c r="K220" s="70"/>
      <c r="L220" s="69"/>
      <c r="M220" s="26"/>
      <c r="N220" s="63" t="s">
        <v>33</v>
      </c>
      <c r="O220" s="20">
        <f>SUM(O218:O219)</f>
        <v>1</v>
      </c>
      <c r="P220" s="22">
        <f>SUM(P218:P219)</f>
        <v>1</v>
      </c>
      <c r="Q220" s="69"/>
      <c r="R220" s="69"/>
      <c r="S220" s="69"/>
      <c r="T220" s="26"/>
      <c r="U220" s="13"/>
    </row>
    <row r="221" spans="2:21" ht="20.100000000000001" customHeight="1" collapsed="1" x14ac:dyDescent="0.25">
      <c r="B221" s="13"/>
      <c r="C221" s="26"/>
      <c r="D221" s="26"/>
      <c r="E221" s="26"/>
      <c r="F221" s="26"/>
      <c r="G221" s="26"/>
      <c r="H221" s="26"/>
      <c r="I221" s="26"/>
      <c r="J221" s="26"/>
      <c r="K221" s="26"/>
      <c r="L221" s="26"/>
      <c r="M221" s="26"/>
      <c r="N221" s="26"/>
      <c r="O221" s="26"/>
      <c r="P221" s="26"/>
      <c r="Q221" s="26"/>
      <c r="R221" s="26"/>
      <c r="S221" s="26"/>
      <c r="T221" s="26"/>
      <c r="U221" s="13"/>
    </row>
    <row r="222" spans="2:21" ht="20.100000000000001" customHeight="1" x14ac:dyDescent="0.25">
      <c r="B222" s="13"/>
      <c r="U222" s="13"/>
    </row>
    <row r="223" spans="2:21" ht="20.100000000000001" customHeight="1" thickBot="1" x14ac:dyDescent="0.3">
      <c r="B223" s="13"/>
      <c r="C223" s="27"/>
      <c r="D223" s="27"/>
      <c r="E223" s="554" t="str">
        <f>IF(OR(L207="-",L207= ""),H207,L207)</f>
        <v>Die Burgen von Burgund</v>
      </c>
      <c r="F223" s="554"/>
      <c r="G223" s="554"/>
      <c r="H223" s="554"/>
      <c r="I223" s="554"/>
      <c r="J223" s="554"/>
      <c r="K223" s="554"/>
      <c r="L223" s="554"/>
      <c r="M223" s="554"/>
      <c r="N223" s="554"/>
      <c r="O223" s="197"/>
      <c r="P223" s="197"/>
      <c r="Q223" s="197"/>
      <c r="R223" s="197"/>
      <c r="S223" s="197"/>
      <c r="T223" s="27"/>
      <c r="U223" s="13"/>
    </row>
    <row r="224" spans="2:21" ht="50.1" customHeight="1" thickBot="1" x14ac:dyDescent="0.3">
      <c r="B224" s="13"/>
      <c r="C224" s="27"/>
      <c r="D224" s="197"/>
      <c r="E224" s="88" t="s">
        <v>10</v>
      </c>
      <c r="F224" s="125" t="s">
        <v>52</v>
      </c>
      <c r="G224" s="89" t="s">
        <v>14</v>
      </c>
      <c r="H224" s="200" t="s">
        <v>51</v>
      </c>
      <c r="I224" s="18" t="s">
        <v>54</v>
      </c>
      <c r="J224" s="200" t="s">
        <v>53</v>
      </c>
      <c r="K224" s="206" t="s">
        <v>28</v>
      </c>
      <c r="L224" s="200" t="s">
        <v>37</v>
      </c>
      <c r="M224" s="204" t="s">
        <v>16</v>
      </c>
      <c r="N224" s="89" t="s">
        <v>15</v>
      </c>
      <c r="O224" s="5" t="s">
        <v>30</v>
      </c>
      <c r="P224" s="7" t="s">
        <v>34</v>
      </c>
      <c r="Q224" s="197"/>
      <c r="R224" s="197"/>
      <c r="S224" s="197"/>
      <c r="T224" s="27"/>
      <c r="U224" s="13"/>
    </row>
    <row r="225" spans="2:21" ht="20.100000000000001" customHeight="1" x14ac:dyDescent="0.25">
      <c r="B225" s="13"/>
      <c r="C225" s="27"/>
      <c r="D225" s="67"/>
      <c r="E225" s="327" t="s">
        <v>125</v>
      </c>
      <c r="F225" s="328" t="s">
        <v>126</v>
      </c>
      <c r="G225" s="157">
        <v>1</v>
      </c>
      <c r="H225" s="103" t="s">
        <v>238</v>
      </c>
      <c r="I225" s="157">
        <v>0</v>
      </c>
      <c r="J225" s="103">
        <v>222</v>
      </c>
      <c r="K225" s="343" t="s">
        <v>13</v>
      </c>
      <c r="L225" s="36">
        <f>IF(J225="",0,(J225/J227)*100)</f>
        <v>100</v>
      </c>
      <c r="M225" s="157">
        <v>1</v>
      </c>
      <c r="N225" s="99">
        <v>6</v>
      </c>
      <c r="O225" s="209">
        <f>IF(M225=1,1,0)</f>
        <v>1</v>
      </c>
      <c r="P225" s="8">
        <f>IF(M225=2,1,0)</f>
        <v>0</v>
      </c>
      <c r="Q225" s="203"/>
      <c r="R225" s="203"/>
      <c r="S225" s="203"/>
      <c r="T225" s="27"/>
      <c r="U225" s="13"/>
    </row>
    <row r="226" spans="2:21" ht="20.100000000000001" customHeight="1" thickBot="1" x14ac:dyDescent="0.3">
      <c r="B226" s="13"/>
      <c r="C226" s="27"/>
      <c r="D226" s="27"/>
      <c r="E226" s="41" t="s">
        <v>130</v>
      </c>
      <c r="F226" s="332" t="s">
        <v>131</v>
      </c>
      <c r="G226" s="150">
        <v>2</v>
      </c>
      <c r="H226" s="107" t="s">
        <v>162</v>
      </c>
      <c r="I226" s="150">
        <v>0</v>
      </c>
      <c r="J226" s="107">
        <v>172</v>
      </c>
      <c r="K226" s="107" t="s">
        <v>13</v>
      </c>
      <c r="L226" s="17">
        <f>IF(J226="",0,(J226/J227)*100)</f>
        <v>77.477477477477478</v>
      </c>
      <c r="M226" s="150">
        <v>2</v>
      </c>
      <c r="N226" s="59">
        <v>0</v>
      </c>
      <c r="O226" s="208">
        <f>IF(M226=1,1,0)</f>
        <v>0</v>
      </c>
      <c r="P226" s="10">
        <f>IF(M226=2,1,0)</f>
        <v>1</v>
      </c>
      <c r="Q226" s="203"/>
      <c r="R226" s="203"/>
      <c r="S226" s="203"/>
      <c r="T226" s="27"/>
      <c r="U226" s="13"/>
    </row>
    <row r="227" spans="2:21" ht="20.100000000000001" hidden="1" customHeight="1" outlineLevel="1" x14ac:dyDescent="0.25">
      <c r="B227" s="13"/>
      <c r="C227" s="27"/>
      <c r="D227" s="27"/>
      <c r="E227" s="27"/>
      <c r="F227" s="531"/>
      <c r="G227" s="531"/>
      <c r="H227" s="27"/>
      <c r="I227" s="64" t="s">
        <v>29</v>
      </c>
      <c r="J227" s="23">
        <f>MAX(J225:J226)</f>
        <v>222</v>
      </c>
      <c r="K227" s="75"/>
      <c r="L227" s="203"/>
      <c r="M227" s="27"/>
      <c r="N227" s="63" t="s">
        <v>33</v>
      </c>
      <c r="O227" s="20">
        <f>SUM(O225:O226)</f>
        <v>1</v>
      </c>
      <c r="P227" s="22">
        <f>SUM(P225:P226)</f>
        <v>1</v>
      </c>
      <c r="Q227" s="74"/>
      <c r="R227" s="74"/>
      <c r="S227" s="74"/>
      <c r="T227" s="27"/>
      <c r="U227" s="13"/>
    </row>
    <row r="228" spans="2:21" ht="20.100000000000001" customHeight="1" collapsed="1" x14ac:dyDescent="0.25">
      <c r="B228" s="13"/>
      <c r="C228" s="27"/>
      <c r="D228" s="27"/>
      <c r="E228" s="27"/>
      <c r="F228" s="27"/>
      <c r="G228" s="27"/>
      <c r="H228" s="27"/>
      <c r="I228" s="27"/>
      <c r="J228" s="27"/>
      <c r="K228" s="27"/>
      <c r="L228" s="27"/>
      <c r="M228" s="27"/>
      <c r="N228" s="27"/>
      <c r="O228" s="27"/>
      <c r="P228" s="27"/>
      <c r="Q228" s="27"/>
      <c r="R228" s="27"/>
      <c r="S228" s="27"/>
      <c r="T228" s="27"/>
      <c r="U228" s="13"/>
    </row>
    <row r="229" spans="2:21" ht="20.100000000000001" customHeight="1" x14ac:dyDescent="0.25">
      <c r="B229" s="13"/>
      <c r="D229" s="28"/>
      <c r="E229" s="28"/>
      <c r="F229" s="28"/>
      <c r="G229" s="28"/>
      <c r="H229" s="29"/>
      <c r="I229" s="28"/>
      <c r="J229" s="28"/>
      <c r="U229" s="13"/>
    </row>
    <row r="230" spans="2:21" ht="20.100000000000001" customHeight="1" thickBot="1" x14ac:dyDescent="0.3">
      <c r="B230" s="13"/>
      <c r="C230" s="30"/>
      <c r="D230" s="30"/>
      <c r="E230" s="532" t="str">
        <f>IF(OR(L210="-",L210= ""),H210,L210)</f>
        <v>Azul</v>
      </c>
      <c r="F230" s="532"/>
      <c r="G230" s="532"/>
      <c r="H230" s="532"/>
      <c r="I230" s="532"/>
      <c r="J230" s="532"/>
      <c r="K230" s="532"/>
      <c r="L230" s="532"/>
      <c r="M230" s="532"/>
      <c r="N230" s="532"/>
      <c r="O230" s="196"/>
      <c r="P230" s="196"/>
      <c r="Q230" s="196"/>
      <c r="R230" s="196"/>
      <c r="S230" s="196"/>
      <c r="T230" s="30"/>
      <c r="U230" s="14"/>
    </row>
    <row r="231" spans="2:21" ht="50.1" customHeight="1" thickBot="1" x14ac:dyDescent="0.3">
      <c r="B231" s="13"/>
      <c r="C231" s="30"/>
      <c r="D231" s="196"/>
      <c r="E231" s="88" t="s">
        <v>10</v>
      </c>
      <c r="F231" s="125" t="s">
        <v>52</v>
      </c>
      <c r="G231" s="89" t="s">
        <v>14</v>
      </c>
      <c r="H231" s="200" t="s">
        <v>51</v>
      </c>
      <c r="I231" s="18" t="s">
        <v>54</v>
      </c>
      <c r="J231" s="200" t="s">
        <v>53</v>
      </c>
      <c r="K231" s="206" t="s">
        <v>28</v>
      </c>
      <c r="L231" s="200" t="s">
        <v>37</v>
      </c>
      <c r="M231" s="204" t="s">
        <v>16</v>
      </c>
      <c r="N231" s="89" t="s">
        <v>15</v>
      </c>
      <c r="O231" s="5" t="s">
        <v>30</v>
      </c>
      <c r="P231" s="7" t="s">
        <v>34</v>
      </c>
      <c r="Q231" s="196"/>
      <c r="R231" s="196"/>
      <c r="S231" s="196"/>
      <c r="T231" s="30"/>
      <c r="U231" s="14"/>
    </row>
    <row r="232" spans="2:21" ht="20.100000000000001" customHeight="1" x14ac:dyDescent="0.25">
      <c r="B232" s="13"/>
      <c r="C232" s="30"/>
      <c r="D232" s="66"/>
      <c r="E232" s="327" t="s">
        <v>125</v>
      </c>
      <c r="F232" s="328" t="s">
        <v>126</v>
      </c>
      <c r="G232" s="157">
        <v>1</v>
      </c>
      <c r="H232" s="103" t="s">
        <v>13</v>
      </c>
      <c r="I232" s="157">
        <v>0</v>
      </c>
      <c r="J232" s="103">
        <v>65</v>
      </c>
      <c r="K232" s="157" t="s">
        <v>13</v>
      </c>
      <c r="L232" s="36">
        <f>IF(J232="",0,(J232/J234)*100)</f>
        <v>100</v>
      </c>
      <c r="M232" s="157">
        <v>1</v>
      </c>
      <c r="N232" s="99">
        <v>6</v>
      </c>
      <c r="O232" s="209">
        <f>IF(M232=1,1,0)</f>
        <v>1</v>
      </c>
      <c r="P232" s="8">
        <f>IF(M232=2,1,0)</f>
        <v>0</v>
      </c>
      <c r="Q232" s="194"/>
      <c r="R232" s="194"/>
      <c r="S232" s="194"/>
      <c r="T232" s="30"/>
      <c r="U232" s="13"/>
    </row>
    <row r="233" spans="2:21" ht="20.100000000000001" customHeight="1" thickBot="1" x14ac:dyDescent="0.3">
      <c r="B233" s="13"/>
      <c r="C233" s="30"/>
      <c r="D233" s="30"/>
      <c r="E233" s="41" t="s">
        <v>130</v>
      </c>
      <c r="F233" s="332" t="s">
        <v>131</v>
      </c>
      <c r="G233" s="150">
        <v>2</v>
      </c>
      <c r="H233" s="107" t="s">
        <v>13</v>
      </c>
      <c r="I233" s="150">
        <v>0</v>
      </c>
      <c r="J233" s="107">
        <v>53</v>
      </c>
      <c r="K233" s="107" t="s">
        <v>13</v>
      </c>
      <c r="L233" s="17">
        <f>IF(J233="",0,(J233/J234)*100)</f>
        <v>81.538461538461533</v>
      </c>
      <c r="M233" s="150">
        <v>2</v>
      </c>
      <c r="N233" s="59">
        <v>0</v>
      </c>
      <c r="O233" s="208">
        <f>IF(M233=1,1,0)</f>
        <v>0</v>
      </c>
      <c r="P233" s="10">
        <f>IF(M233=2,1,0)</f>
        <v>1</v>
      </c>
      <c r="Q233" s="194"/>
      <c r="R233" s="194"/>
      <c r="S233" s="194"/>
      <c r="T233" s="30"/>
      <c r="U233" s="31"/>
    </row>
    <row r="234" spans="2:21" ht="20.100000000000001" hidden="1" customHeight="1" outlineLevel="1" x14ac:dyDescent="0.25">
      <c r="B234" s="13"/>
      <c r="C234" s="30"/>
      <c r="D234" s="30"/>
      <c r="E234" s="30"/>
      <c r="F234" s="533"/>
      <c r="G234" s="533"/>
      <c r="H234" s="30"/>
      <c r="I234" s="64" t="s">
        <v>29</v>
      </c>
      <c r="J234" s="23">
        <f>MAX(J232:J233)</f>
        <v>65</v>
      </c>
      <c r="K234" s="76"/>
      <c r="L234" s="194"/>
      <c r="M234" s="30"/>
      <c r="N234" s="63" t="s">
        <v>33</v>
      </c>
      <c r="O234" s="20">
        <f>SUM(O232:O233)</f>
        <v>1</v>
      </c>
      <c r="P234" s="22">
        <f>SUM(P232:P233)</f>
        <v>1</v>
      </c>
      <c r="Q234" s="77"/>
      <c r="R234" s="77"/>
      <c r="S234" s="77"/>
      <c r="T234" s="30"/>
      <c r="U234" s="31"/>
    </row>
    <row r="235" spans="2:21" ht="20.100000000000001" customHeight="1" collapsed="1" x14ac:dyDescent="0.25">
      <c r="B235" s="13"/>
      <c r="C235" s="30"/>
      <c r="D235" s="30"/>
      <c r="E235" s="30"/>
      <c r="F235" s="30"/>
      <c r="G235" s="30"/>
      <c r="H235" s="30"/>
      <c r="I235" s="30"/>
      <c r="J235" s="30"/>
      <c r="K235" s="30"/>
      <c r="L235" s="30"/>
      <c r="M235" s="30"/>
      <c r="N235" s="30"/>
      <c r="O235" s="30"/>
      <c r="P235" s="30"/>
      <c r="Q235" s="30"/>
      <c r="R235" s="30"/>
      <c r="S235" s="30"/>
      <c r="T235" s="30"/>
      <c r="U235" s="31"/>
    </row>
    <row r="236" spans="2:21" ht="20.100000000000001" customHeight="1" x14ac:dyDescent="0.25">
      <c r="B236" s="13"/>
      <c r="D236" s="28"/>
      <c r="E236" s="28"/>
      <c r="F236" s="28"/>
      <c r="G236" s="28"/>
      <c r="H236" s="29"/>
      <c r="I236" s="28"/>
      <c r="J236" s="28"/>
      <c r="K236" s="28"/>
      <c r="U236" s="13"/>
    </row>
    <row r="237" spans="2:21" ht="20.100000000000001" customHeight="1" thickBot="1" x14ac:dyDescent="0.3">
      <c r="B237" s="13"/>
      <c r="C237" s="32"/>
      <c r="D237" s="32"/>
      <c r="E237" s="534" t="str">
        <f>IF(OR(L213="-",L213= ""),H213,L213)</f>
        <v>Dice Hospital</v>
      </c>
      <c r="F237" s="534"/>
      <c r="G237" s="534"/>
      <c r="H237" s="534"/>
      <c r="I237" s="534"/>
      <c r="J237" s="534"/>
      <c r="K237" s="534"/>
      <c r="L237" s="534"/>
      <c r="M237" s="534"/>
      <c r="N237" s="534"/>
      <c r="O237" s="195"/>
      <c r="P237" s="195"/>
      <c r="Q237" s="195"/>
      <c r="R237" s="195"/>
      <c r="S237" s="195"/>
      <c r="T237" s="32"/>
      <c r="U237" s="13"/>
    </row>
    <row r="238" spans="2:21" ht="50.1" customHeight="1" thickBot="1" x14ac:dyDescent="0.3">
      <c r="B238" s="13"/>
      <c r="C238" s="32"/>
      <c r="D238" s="195"/>
      <c r="E238" s="88" t="s">
        <v>10</v>
      </c>
      <c r="F238" s="125" t="s">
        <v>52</v>
      </c>
      <c r="G238" s="89" t="s">
        <v>14</v>
      </c>
      <c r="H238" s="200" t="s">
        <v>51</v>
      </c>
      <c r="I238" s="18" t="s">
        <v>54</v>
      </c>
      <c r="J238" s="200" t="s">
        <v>53</v>
      </c>
      <c r="K238" s="206" t="s">
        <v>28</v>
      </c>
      <c r="L238" s="200" t="s">
        <v>37</v>
      </c>
      <c r="M238" s="204" t="s">
        <v>16</v>
      </c>
      <c r="N238" s="89" t="s">
        <v>15</v>
      </c>
      <c r="O238" s="5" t="s">
        <v>30</v>
      </c>
      <c r="P238" s="7" t="s">
        <v>34</v>
      </c>
      <c r="Q238" s="195"/>
      <c r="R238" s="195"/>
      <c r="S238" s="195"/>
      <c r="T238" s="32"/>
      <c r="U238" s="13"/>
    </row>
    <row r="239" spans="2:21" ht="20.100000000000001" customHeight="1" x14ac:dyDescent="0.25">
      <c r="B239" s="13"/>
      <c r="C239" s="32"/>
      <c r="D239" s="32"/>
      <c r="E239" s="327" t="s">
        <v>125</v>
      </c>
      <c r="F239" s="328" t="s">
        <v>126</v>
      </c>
      <c r="G239" s="157">
        <v>1</v>
      </c>
      <c r="H239" s="157" t="s">
        <v>225</v>
      </c>
      <c r="I239" s="157">
        <v>0</v>
      </c>
      <c r="J239" s="157">
        <v>47</v>
      </c>
      <c r="K239" s="157" t="s">
        <v>13</v>
      </c>
      <c r="L239" s="36">
        <f>IF(J239="",0,(J239/J241)*100)</f>
        <v>100</v>
      </c>
      <c r="M239" s="157">
        <v>1</v>
      </c>
      <c r="N239" s="99">
        <v>6</v>
      </c>
      <c r="O239" s="209">
        <f>IF(M239=1,1,0)</f>
        <v>1</v>
      </c>
      <c r="P239" s="8">
        <f>IF(M239=2,1,0)</f>
        <v>0</v>
      </c>
      <c r="Q239" s="201"/>
      <c r="R239" s="201"/>
      <c r="S239" s="201"/>
      <c r="T239" s="32"/>
      <c r="U239" s="13"/>
    </row>
    <row r="240" spans="2:21" ht="20.100000000000001" customHeight="1" thickBot="1" x14ac:dyDescent="0.3">
      <c r="B240" s="13"/>
      <c r="C240" s="32"/>
      <c r="D240" s="32"/>
      <c r="E240" s="41" t="s">
        <v>130</v>
      </c>
      <c r="F240" s="332" t="s">
        <v>131</v>
      </c>
      <c r="G240" s="150">
        <v>2</v>
      </c>
      <c r="H240" s="150" t="s">
        <v>239</v>
      </c>
      <c r="I240" s="150">
        <v>0</v>
      </c>
      <c r="J240" s="150">
        <v>38</v>
      </c>
      <c r="K240" s="107" t="s">
        <v>13</v>
      </c>
      <c r="L240" s="17">
        <f>IF(J240="",0,(J240/J241)*100)</f>
        <v>80.851063829787222</v>
      </c>
      <c r="M240" s="150">
        <v>2</v>
      </c>
      <c r="N240" s="59">
        <v>0</v>
      </c>
      <c r="O240" s="208">
        <f>IF(M240=1,1,0)</f>
        <v>0</v>
      </c>
      <c r="P240" s="10">
        <f>IF(M240=2,1,0)</f>
        <v>1</v>
      </c>
      <c r="Q240" s="201"/>
      <c r="R240" s="201"/>
      <c r="S240" s="201"/>
      <c r="T240" s="32"/>
      <c r="U240" s="13"/>
    </row>
    <row r="241" spans="2:21" ht="20.100000000000001" hidden="1" customHeight="1" outlineLevel="1" x14ac:dyDescent="0.25">
      <c r="B241" s="13"/>
      <c r="C241" s="32"/>
      <c r="D241" s="32"/>
      <c r="E241" s="32"/>
      <c r="F241" s="535"/>
      <c r="G241" s="535"/>
      <c r="H241" s="32"/>
      <c r="I241" s="64" t="s">
        <v>29</v>
      </c>
      <c r="J241" s="23">
        <f>MAX(J239:J240)</f>
        <v>47</v>
      </c>
      <c r="K241" s="78"/>
      <c r="L241" s="201"/>
      <c r="M241" s="32"/>
      <c r="N241" s="63" t="s">
        <v>33</v>
      </c>
      <c r="O241" s="20">
        <f>SUM(O239:O240)</f>
        <v>1</v>
      </c>
      <c r="P241" s="22">
        <f>SUM(P239:P240)</f>
        <v>1</v>
      </c>
      <c r="Q241" s="79"/>
      <c r="R241" s="79"/>
      <c r="S241" s="79"/>
      <c r="T241" s="32"/>
      <c r="U241" s="13"/>
    </row>
    <row r="242" spans="2:21" ht="20.100000000000001" customHeight="1" collapsed="1" x14ac:dyDescent="0.25">
      <c r="B242" s="13"/>
      <c r="C242" s="32"/>
      <c r="D242" s="32"/>
      <c r="E242" s="32"/>
      <c r="F242" s="32"/>
      <c r="G242" s="32"/>
      <c r="H242" s="32"/>
      <c r="I242" s="32"/>
      <c r="J242" s="32"/>
      <c r="K242" s="32"/>
      <c r="L242" s="32"/>
      <c r="M242" s="32"/>
      <c r="N242" s="32"/>
      <c r="O242" s="32"/>
      <c r="P242" s="32"/>
      <c r="Q242" s="32"/>
      <c r="R242" s="32"/>
      <c r="S242" s="32"/>
      <c r="T242" s="32"/>
      <c r="U242" s="13"/>
    </row>
    <row r="243" spans="2:21" ht="20.100000000000001" customHeight="1" x14ac:dyDescent="0.25">
      <c r="B243" s="13"/>
      <c r="D243" s="4"/>
      <c r="E243" s="4"/>
      <c r="F243" s="4"/>
      <c r="G243" s="4"/>
      <c r="H243" s="4"/>
      <c r="I243" s="4"/>
      <c r="J243" s="4"/>
      <c r="U243" s="13"/>
    </row>
    <row r="244" spans="2:21" ht="30" customHeight="1" thickBot="1" x14ac:dyDescent="0.3">
      <c r="B244" s="13"/>
      <c r="C244" s="33"/>
      <c r="D244" s="312"/>
      <c r="E244" s="536" t="s">
        <v>178</v>
      </c>
      <c r="F244" s="536"/>
      <c r="G244" s="536"/>
      <c r="H244" s="536"/>
      <c r="I244" s="536"/>
      <c r="J244" s="536"/>
      <c r="K244" s="536"/>
      <c r="L244" s="536"/>
      <c r="M244" s="536"/>
      <c r="N244" s="536"/>
      <c r="O244" s="312"/>
      <c r="P244" s="312"/>
      <c r="Q244" s="312"/>
      <c r="R244" s="312"/>
      <c r="S244" s="312"/>
      <c r="T244" s="33"/>
      <c r="U244" s="13"/>
    </row>
    <row r="245" spans="2:21" ht="50.1" customHeight="1" thickBot="1" x14ac:dyDescent="0.3">
      <c r="B245" s="13"/>
      <c r="C245" s="33"/>
      <c r="D245" s="33"/>
      <c r="E245" s="90" t="s">
        <v>10</v>
      </c>
      <c r="F245" s="93" t="s">
        <v>65</v>
      </c>
      <c r="G245" s="91" t="s">
        <v>15</v>
      </c>
      <c r="H245" s="42" t="s">
        <v>55</v>
      </c>
      <c r="I245" s="537" t="s">
        <v>56</v>
      </c>
      <c r="J245" s="538"/>
      <c r="K245" s="202" t="s">
        <v>66</v>
      </c>
      <c r="L245" s="92" t="s">
        <v>17</v>
      </c>
      <c r="M245" s="91" t="s">
        <v>18</v>
      </c>
      <c r="N245" s="93" t="s">
        <v>38</v>
      </c>
      <c r="O245" s="313"/>
      <c r="P245" s="314"/>
      <c r="Q245" s="314"/>
      <c r="R245" s="314"/>
      <c r="S245" s="313"/>
      <c r="T245" s="33"/>
      <c r="U245" s="13"/>
    </row>
    <row r="246" spans="2:21" ht="20.100000000000001" customHeight="1" x14ac:dyDescent="0.25">
      <c r="B246" s="13"/>
      <c r="C246" s="33"/>
      <c r="D246" s="33"/>
      <c r="E246" s="329" t="s">
        <v>125</v>
      </c>
      <c r="F246" s="315" t="s">
        <v>126</v>
      </c>
      <c r="G246" s="133">
        <f>L246*6+M246*0</f>
        <v>24</v>
      </c>
      <c r="H246" s="262">
        <v>0</v>
      </c>
      <c r="I246" s="539" t="s">
        <v>13</v>
      </c>
      <c r="J246" s="539"/>
      <c r="K246" s="133">
        <f>G246+H246</f>
        <v>24</v>
      </c>
      <c r="L246" s="133">
        <v>4</v>
      </c>
      <c r="M246" s="133">
        <v>0</v>
      </c>
      <c r="N246" s="134">
        <f>(L218+L225+L232+L239)/4</f>
        <v>100</v>
      </c>
      <c r="O246" s="316"/>
      <c r="P246" s="317"/>
      <c r="Q246" s="317"/>
      <c r="R246" s="317"/>
      <c r="S246" s="330"/>
      <c r="T246" s="33"/>
      <c r="U246" s="13"/>
    </row>
    <row r="247" spans="2:21" ht="20.100000000000001" customHeight="1" thickBot="1" x14ac:dyDescent="0.3">
      <c r="B247" s="13"/>
      <c r="C247" s="33"/>
      <c r="D247" s="33"/>
      <c r="E247" s="105" t="s">
        <v>130</v>
      </c>
      <c r="F247" s="331" t="s">
        <v>131</v>
      </c>
      <c r="G247" s="109">
        <f>L247*6+M247*0</f>
        <v>0</v>
      </c>
      <c r="H247" s="264">
        <v>0</v>
      </c>
      <c r="I247" s="530" t="s">
        <v>13</v>
      </c>
      <c r="J247" s="530"/>
      <c r="K247" s="109">
        <f>G247+H247</f>
        <v>0</v>
      </c>
      <c r="L247" s="109">
        <v>0</v>
      </c>
      <c r="M247" s="109">
        <v>4</v>
      </c>
      <c r="N247" s="106">
        <f>(L219+L226+L233+L240)/4</f>
        <v>83.577861822542673</v>
      </c>
      <c r="O247" s="316"/>
      <c r="P247" s="317"/>
      <c r="Q247" s="317"/>
      <c r="R247" s="317"/>
      <c r="S247" s="330"/>
      <c r="T247" s="33"/>
      <c r="U247" s="13"/>
    </row>
    <row r="248" spans="2:21" ht="20.100000000000001" customHeight="1" x14ac:dyDescent="0.25">
      <c r="B248" s="13"/>
      <c r="C248" s="33"/>
      <c r="D248" s="33"/>
      <c r="E248" s="33"/>
      <c r="F248" s="16"/>
      <c r="G248" s="16"/>
      <c r="H248" s="16"/>
      <c r="I248" s="16"/>
      <c r="J248" s="16"/>
      <c r="K248" s="16"/>
      <c r="L248" s="16"/>
      <c r="M248" s="16"/>
      <c r="N248" s="16"/>
      <c r="O248" s="16"/>
      <c r="P248" s="16"/>
      <c r="Q248" s="16"/>
      <c r="R248" s="16"/>
      <c r="S248" s="16"/>
      <c r="T248" s="33"/>
      <c r="U248" s="13"/>
    </row>
    <row r="249" spans="2:21" ht="20.100000000000001" customHeight="1" x14ac:dyDescent="0.25">
      <c r="B249" s="13"/>
      <c r="C249" s="13"/>
      <c r="D249" s="15"/>
      <c r="E249" s="15"/>
      <c r="F249" s="14"/>
      <c r="G249" s="14"/>
      <c r="H249" s="15"/>
      <c r="I249" s="15"/>
      <c r="J249" s="15"/>
      <c r="K249" s="13"/>
      <c r="L249" s="13"/>
      <c r="M249" s="13"/>
      <c r="N249" s="13"/>
      <c r="O249" s="13"/>
      <c r="P249" s="13"/>
      <c r="Q249" s="13"/>
      <c r="R249" s="13"/>
      <c r="S249" s="13"/>
      <c r="T249" s="13"/>
      <c r="U249" s="13"/>
    </row>
  </sheetData>
  <mergeCells count="250">
    <mergeCell ref="D213:D214"/>
    <mergeCell ref="E213:E214"/>
    <mergeCell ref="F213:F214"/>
    <mergeCell ref="G213:G214"/>
    <mergeCell ref="H213:H214"/>
    <mergeCell ref="I213:J213"/>
    <mergeCell ref="I246:J246"/>
    <mergeCell ref="I247:J247"/>
    <mergeCell ref="E230:N230"/>
    <mergeCell ref="F234:G234"/>
    <mergeCell ref="E237:N237"/>
    <mergeCell ref="F241:G241"/>
    <mergeCell ref="E244:N244"/>
    <mergeCell ref="I245:J245"/>
    <mergeCell ref="N213:S213"/>
    <mergeCell ref="I214:J214"/>
    <mergeCell ref="E216:N216"/>
    <mergeCell ref="F220:G220"/>
    <mergeCell ref="E223:N223"/>
    <mergeCell ref="F227:G227"/>
    <mergeCell ref="D210:D212"/>
    <mergeCell ref="E210:E212"/>
    <mergeCell ref="F210:F212"/>
    <mergeCell ref="G210:G212"/>
    <mergeCell ref="H210:H212"/>
    <mergeCell ref="I210:J210"/>
    <mergeCell ref="N210:S210"/>
    <mergeCell ref="I211:J211"/>
    <mergeCell ref="I212:J212"/>
    <mergeCell ref="I206:J206"/>
    <mergeCell ref="N206:S206"/>
    <mergeCell ref="D207:D209"/>
    <mergeCell ref="E207:E209"/>
    <mergeCell ref="F207:F209"/>
    <mergeCell ref="G207:G209"/>
    <mergeCell ref="H207:H209"/>
    <mergeCell ref="I207:J207"/>
    <mergeCell ref="K207:K209"/>
    <mergeCell ref="L207:L209"/>
    <mergeCell ref="M207:M209"/>
    <mergeCell ref="N207:S209"/>
    <mergeCell ref="I208:J208"/>
    <mergeCell ref="I209:J209"/>
    <mergeCell ref="H194:I194"/>
    <mergeCell ref="H195:I195"/>
    <mergeCell ref="H196:I196"/>
    <mergeCell ref="C202:T202"/>
    <mergeCell ref="D204:D205"/>
    <mergeCell ref="E204:E205"/>
    <mergeCell ref="F204:F205"/>
    <mergeCell ref="G204:J204"/>
    <mergeCell ref="L204:S204"/>
    <mergeCell ref="I205:J205"/>
    <mergeCell ref="N205:S205"/>
    <mergeCell ref="E176:N176"/>
    <mergeCell ref="F181:G181"/>
    <mergeCell ref="E184:N184"/>
    <mergeCell ref="F189:G189"/>
    <mergeCell ref="D192:N192"/>
    <mergeCell ref="H193:I193"/>
    <mergeCell ref="I165:J165"/>
    <mergeCell ref="N165:S165"/>
    <mergeCell ref="I166:J166"/>
    <mergeCell ref="N166:S166"/>
    <mergeCell ref="E168:N168"/>
    <mergeCell ref="F173:G173"/>
    <mergeCell ref="K161:K164"/>
    <mergeCell ref="L161:L164"/>
    <mergeCell ref="M161:M164"/>
    <mergeCell ref="N161:S164"/>
    <mergeCell ref="I162:J162"/>
    <mergeCell ref="I163:J163"/>
    <mergeCell ref="I164:J164"/>
    <mergeCell ref="D161:D164"/>
    <mergeCell ref="E161:E164"/>
    <mergeCell ref="F161:F164"/>
    <mergeCell ref="G161:G164"/>
    <mergeCell ref="H161:H164"/>
    <mergeCell ref="I161:J161"/>
    <mergeCell ref="D159:D160"/>
    <mergeCell ref="E159:E160"/>
    <mergeCell ref="F159:F160"/>
    <mergeCell ref="G159:J159"/>
    <mergeCell ref="L159:S159"/>
    <mergeCell ref="I160:J160"/>
    <mergeCell ref="N160:S160"/>
    <mergeCell ref="H148:I148"/>
    <mergeCell ref="H149:I149"/>
    <mergeCell ref="Y149:Z149"/>
    <mergeCell ref="H150:I150"/>
    <mergeCell ref="H151:I151"/>
    <mergeCell ref="C157:T157"/>
    <mergeCell ref="E128:N128"/>
    <mergeCell ref="F134:G134"/>
    <mergeCell ref="E137:N137"/>
    <mergeCell ref="F143:G143"/>
    <mergeCell ref="D146:S146"/>
    <mergeCell ref="H147:I147"/>
    <mergeCell ref="F116:G116"/>
    <mergeCell ref="E119:N119"/>
    <mergeCell ref="F125:G125"/>
    <mergeCell ref="K104:K107"/>
    <mergeCell ref="L104:L107"/>
    <mergeCell ref="M104:M107"/>
    <mergeCell ref="N104:S107"/>
    <mergeCell ref="I105:J105"/>
    <mergeCell ref="I106:J106"/>
    <mergeCell ref="I107:J107"/>
    <mergeCell ref="D104:D107"/>
    <mergeCell ref="E104:E107"/>
    <mergeCell ref="F104:F107"/>
    <mergeCell ref="G104:G107"/>
    <mergeCell ref="H104:H107"/>
    <mergeCell ref="I104:J104"/>
    <mergeCell ref="I108:J108"/>
    <mergeCell ref="N108:S108"/>
    <mergeCell ref="E110:N110"/>
    <mergeCell ref="N99:S100"/>
    <mergeCell ref="I100:J100"/>
    <mergeCell ref="D101:D103"/>
    <mergeCell ref="E101:E103"/>
    <mergeCell ref="F101:F103"/>
    <mergeCell ref="G101:G103"/>
    <mergeCell ref="H101:H103"/>
    <mergeCell ref="I101:J101"/>
    <mergeCell ref="K101:K103"/>
    <mergeCell ref="L101:L103"/>
    <mergeCell ref="M101:M103"/>
    <mergeCell ref="N101:S103"/>
    <mergeCell ref="I102:J102"/>
    <mergeCell ref="I103:J103"/>
    <mergeCell ref="D99:D100"/>
    <mergeCell ref="E99:E100"/>
    <mergeCell ref="F99:F100"/>
    <mergeCell ref="G99:G100"/>
    <mergeCell ref="H99:H100"/>
    <mergeCell ref="I99:J99"/>
    <mergeCell ref="K99:K100"/>
    <mergeCell ref="L99:L100"/>
    <mergeCell ref="M99:M100"/>
    <mergeCell ref="H87:I87"/>
    <mergeCell ref="H88:I88"/>
    <mergeCell ref="H89:I89"/>
    <mergeCell ref="C95:T95"/>
    <mergeCell ref="D97:D98"/>
    <mergeCell ref="E97:E98"/>
    <mergeCell ref="F97:F98"/>
    <mergeCell ref="G97:J97"/>
    <mergeCell ref="L97:S97"/>
    <mergeCell ref="I98:J98"/>
    <mergeCell ref="N98:S98"/>
    <mergeCell ref="D84:S84"/>
    <mergeCell ref="H85:I85"/>
    <mergeCell ref="H86:I86"/>
    <mergeCell ref="E48:N48"/>
    <mergeCell ref="F54:G54"/>
    <mergeCell ref="F55:G55"/>
    <mergeCell ref="E57:N57"/>
    <mergeCell ref="F63:G63"/>
    <mergeCell ref="E66:N66"/>
    <mergeCell ref="D43:D46"/>
    <mergeCell ref="E43:E46"/>
    <mergeCell ref="F43:F46"/>
    <mergeCell ref="G43:G46"/>
    <mergeCell ref="H43:H46"/>
    <mergeCell ref="I43:J43"/>
    <mergeCell ref="F72:G72"/>
    <mergeCell ref="E75:N75"/>
    <mergeCell ref="F81:G81"/>
    <mergeCell ref="N36:S42"/>
    <mergeCell ref="I37:J37"/>
    <mergeCell ref="I38:J38"/>
    <mergeCell ref="I39:J39"/>
    <mergeCell ref="I40:J40"/>
    <mergeCell ref="I41:J41"/>
    <mergeCell ref="I42:J42"/>
    <mergeCell ref="K43:K46"/>
    <mergeCell ref="L43:L46"/>
    <mergeCell ref="M43:M46"/>
    <mergeCell ref="N43:S46"/>
    <mergeCell ref="I44:J44"/>
    <mergeCell ref="I45:J45"/>
    <mergeCell ref="I46:J46"/>
    <mergeCell ref="D36:D42"/>
    <mergeCell ref="E36:E42"/>
    <mergeCell ref="F36:F42"/>
    <mergeCell ref="G36:G42"/>
    <mergeCell ref="H36:H42"/>
    <mergeCell ref="I36:J36"/>
    <mergeCell ref="K33:K35"/>
    <mergeCell ref="L33:L35"/>
    <mergeCell ref="M33:M35"/>
    <mergeCell ref="K36:K42"/>
    <mergeCell ref="L36:L42"/>
    <mergeCell ref="M36:M42"/>
    <mergeCell ref="N33:S35"/>
    <mergeCell ref="I34:J34"/>
    <mergeCell ref="I35:J35"/>
    <mergeCell ref="D33:D35"/>
    <mergeCell ref="E33:E35"/>
    <mergeCell ref="F33:F35"/>
    <mergeCell ref="G33:G35"/>
    <mergeCell ref="H33:H35"/>
    <mergeCell ref="I33:J33"/>
    <mergeCell ref="K29:K32"/>
    <mergeCell ref="L29:L32"/>
    <mergeCell ref="M29:M32"/>
    <mergeCell ref="N29:S32"/>
    <mergeCell ref="I30:J30"/>
    <mergeCell ref="I31:J31"/>
    <mergeCell ref="I32:J32"/>
    <mergeCell ref="D29:D32"/>
    <mergeCell ref="E29:E32"/>
    <mergeCell ref="F29:F32"/>
    <mergeCell ref="G29:G32"/>
    <mergeCell ref="H29:H32"/>
    <mergeCell ref="I29:J29"/>
    <mergeCell ref="B22:C22"/>
    <mergeCell ref="C25:T25"/>
    <mergeCell ref="D27:D28"/>
    <mergeCell ref="E27:E28"/>
    <mergeCell ref="F27:F28"/>
    <mergeCell ref="G27:J27"/>
    <mergeCell ref="L27:S27"/>
    <mergeCell ref="I28:J28"/>
    <mergeCell ref="N28:S28"/>
    <mergeCell ref="B17:C17"/>
    <mergeCell ref="L17:L18"/>
    <mergeCell ref="B18:C18"/>
    <mergeCell ref="K19:L19"/>
    <mergeCell ref="B20:H20"/>
    <mergeCell ref="B21:C21"/>
    <mergeCell ref="B10:C10"/>
    <mergeCell ref="L10:L13"/>
    <mergeCell ref="B11:C11"/>
    <mergeCell ref="B12:C12"/>
    <mergeCell ref="B13:C13"/>
    <mergeCell ref="B14:C14"/>
    <mergeCell ref="L14:L16"/>
    <mergeCell ref="B15:C15"/>
    <mergeCell ref="B16:C16"/>
    <mergeCell ref="A1:N2"/>
    <mergeCell ref="B4:I4"/>
    <mergeCell ref="K4:M4"/>
    <mergeCell ref="B5:C5"/>
    <mergeCell ref="B6:C6"/>
    <mergeCell ref="L6:L9"/>
    <mergeCell ref="B7:C7"/>
    <mergeCell ref="B8:C8"/>
    <mergeCell ref="B9:C9"/>
  </mergeCells>
  <conditionalFormatting sqref="B18:C18 I18 B6:I9 B10:C10 B11:I13 B14:C14 B15:I15 B17:I17 B16:C16">
    <cfRule type="expression" dxfId="1171" priority="49">
      <formula>$I6="Nein"</formula>
    </cfRule>
    <cfRule type="expression" dxfId="1170" priority="50">
      <formula>$I6="Ja"</formula>
    </cfRule>
  </conditionalFormatting>
  <conditionalFormatting sqref="D18:H18">
    <cfRule type="expression" dxfId="1169" priority="47">
      <formula>$I18="Nein"</formula>
    </cfRule>
    <cfRule type="expression" dxfId="1168" priority="48">
      <formula>$I18="Ja"</formula>
    </cfRule>
  </conditionalFormatting>
  <conditionalFormatting sqref="D10:I10">
    <cfRule type="expression" dxfId="1167" priority="45">
      <formula>$I10="Nein"</formula>
    </cfRule>
    <cfRule type="expression" dxfId="1166" priority="46">
      <formula>$I10="Ja"</formula>
    </cfRule>
  </conditionalFormatting>
  <conditionalFormatting sqref="D14:I14">
    <cfRule type="expression" dxfId="1165" priority="43">
      <formula>$I14="Nein"</formula>
    </cfRule>
    <cfRule type="expression" dxfId="1164" priority="44">
      <formula>$I14="Ja"</formula>
    </cfRule>
  </conditionalFormatting>
  <conditionalFormatting sqref="D19:I19">
    <cfRule type="expression" dxfId="1163" priority="41">
      <formula>$I19="Nein"</formula>
    </cfRule>
    <cfRule type="expression" dxfId="1162" priority="42">
      <formula>$I19="Ja"</formula>
    </cfRule>
  </conditionalFormatting>
  <conditionalFormatting sqref="D16:I16">
    <cfRule type="expression" dxfId="1161" priority="39">
      <formula>$I16="Nein"</formula>
    </cfRule>
    <cfRule type="expression" dxfId="1160" priority="40">
      <formula>$I16="Ja"</formula>
    </cfRule>
  </conditionalFormatting>
  <conditionalFormatting sqref="D22:H22">
    <cfRule type="expression" dxfId="1159" priority="37">
      <formula>$I22="Nein"</formula>
    </cfRule>
    <cfRule type="expression" dxfId="1158" priority="38">
      <formula>$I22="Ja"</formula>
    </cfRule>
  </conditionalFormatting>
  <conditionalFormatting sqref="E218:F219">
    <cfRule type="expression" dxfId="1157" priority="19">
      <formula>$J218="Ja"</formula>
    </cfRule>
    <cfRule type="expression" dxfId="1156" priority="20">
      <formula>$J218="Nein"</formula>
    </cfRule>
  </conditionalFormatting>
  <conditionalFormatting sqref="D165:E166">
    <cfRule type="expression" dxfId="1155" priority="35">
      <formula>$J165="Ja"</formula>
    </cfRule>
    <cfRule type="expression" dxfId="1154" priority="36">
      <formula>$J165="Nein"</formula>
    </cfRule>
  </conditionalFormatting>
  <conditionalFormatting sqref="D161:E161">
    <cfRule type="expression" dxfId="1153" priority="33">
      <formula>$J161="Ja"</formula>
    </cfRule>
    <cfRule type="expression" dxfId="1152" priority="34">
      <formula>$J161="Nein"</formula>
    </cfRule>
  </conditionalFormatting>
  <conditionalFormatting sqref="E171:F172">
    <cfRule type="expression" dxfId="1151" priority="31">
      <formula>$J171="Ja"</formula>
    </cfRule>
    <cfRule type="expression" dxfId="1150" priority="32">
      <formula>$J171="Nein"</formula>
    </cfRule>
  </conditionalFormatting>
  <conditionalFormatting sqref="E170:F170">
    <cfRule type="expression" dxfId="1149" priority="29">
      <formula>$J170="Ja"</formula>
    </cfRule>
    <cfRule type="expression" dxfId="1148" priority="30">
      <formula>$J170="Nein"</formula>
    </cfRule>
  </conditionalFormatting>
  <conditionalFormatting sqref="E246:F246">
    <cfRule type="expression" dxfId="1147" priority="17">
      <formula>$J246="Ja"</formula>
    </cfRule>
    <cfRule type="expression" dxfId="1146" priority="18">
      <formula>$J246="Nein"</formula>
    </cfRule>
  </conditionalFormatting>
  <conditionalFormatting sqref="E247:F247">
    <cfRule type="expression" dxfId="1145" priority="15">
      <formula>$J247="Ja"</formula>
    </cfRule>
    <cfRule type="expression" dxfId="1144" priority="16">
      <formula>$J247="Nein"</formula>
    </cfRule>
  </conditionalFormatting>
  <conditionalFormatting sqref="D194:E194">
    <cfRule type="expression" dxfId="1143" priority="27">
      <formula>$J194="Ja"</formula>
    </cfRule>
    <cfRule type="expression" dxfId="1142" priority="28">
      <formula>$J194="Nein"</formula>
    </cfRule>
  </conditionalFormatting>
  <conditionalFormatting sqref="D195:E195">
    <cfRule type="expression" dxfId="1141" priority="25">
      <formula>$J195="Ja"</formula>
    </cfRule>
    <cfRule type="expression" dxfId="1140" priority="26">
      <formula>$J195="Nein"</formula>
    </cfRule>
  </conditionalFormatting>
  <conditionalFormatting sqref="D196:E196">
    <cfRule type="expression" dxfId="1139" priority="23">
      <formula>$J196="Ja"</formula>
    </cfRule>
    <cfRule type="expression" dxfId="1138" priority="24">
      <formula>$J196="Nein"</formula>
    </cfRule>
  </conditionalFormatting>
  <conditionalFormatting sqref="D206:E207">
    <cfRule type="expression" dxfId="1137" priority="21">
      <formula>$J206="Ja"</formula>
    </cfRule>
    <cfRule type="expression" dxfId="1136" priority="22">
      <formula>$J206="Nein"</formula>
    </cfRule>
  </conditionalFormatting>
  <conditionalFormatting sqref="E179:F180">
    <cfRule type="expression" dxfId="1135" priority="13">
      <formula>$J179="Ja"</formula>
    </cfRule>
    <cfRule type="expression" dxfId="1134" priority="14">
      <formula>$J179="Nein"</formula>
    </cfRule>
  </conditionalFormatting>
  <conditionalFormatting sqref="E178:F178">
    <cfRule type="expression" dxfId="1133" priority="11">
      <formula>$J178="Ja"</formula>
    </cfRule>
    <cfRule type="expression" dxfId="1132" priority="12">
      <formula>$J178="Nein"</formula>
    </cfRule>
  </conditionalFormatting>
  <conditionalFormatting sqref="E187:F188">
    <cfRule type="expression" dxfId="1131" priority="9">
      <formula>$J187="Ja"</formula>
    </cfRule>
    <cfRule type="expression" dxfId="1130" priority="10">
      <formula>$J187="Nein"</formula>
    </cfRule>
  </conditionalFormatting>
  <conditionalFormatting sqref="E186:F186">
    <cfRule type="expression" dxfId="1129" priority="7">
      <formula>$J186="Ja"</formula>
    </cfRule>
    <cfRule type="expression" dxfId="1128" priority="8">
      <formula>$J186="Nein"</formula>
    </cfRule>
  </conditionalFormatting>
  <conditionalFormatting sqref="E225:F226">
    <cfRule type="expression" dxfId="1127" priority="5">
      <formula>$J225="Ja"</formula>
    </cfRule>
    <cfRule type="expression" dxfId="1126" priority="6">
      <formula>$J225="Nein"</formula>
    </cfRule>
  </conditionalFormatting>
  <conditionalFormatting sqref="E232:F233">
    <cfRule type="expression" dxfId="1125" priority="3">
      <formula>$J232="Ja"</formula>
    </cfRule>
    <cfRule type="expression" dxfId="1124" priority="4">
      <formula>$J232="Nein"</formula>
    </cfRule>
  </conditionalFormatting>
  <conditionalFormatting sqref="E239:F240">
    <cfRule type="expression" dxfId="1123" priority="1">
      <formula>$J239="Ja"</formula>
    </cfRule>
    <cfRule type="expression" dxfId="1122" priority="2">
      <formula>$J239="Nein"</formula>
    </cfRule>
  </conditionalFormatting>
  <dataValidations disablePrompts="1" count="1">
    <dataValidation type="list" allowBlank="1" showInputMessage="1" showErrorMessage="1" sqref="O22 I6:I19" xr:uid="{CD9DF7DD-B948-4899-9814-AE61534E8BEA}">
      <formula1>"Ja,Nein"</formula1>
    </dataValidation>
  </dataValidation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19C97-1F2A-40EF-B44A-0F6A016E6F23}">
  <dimension ref="A1:AE268"/>
  <sheetViews>
    <sheetView showGridLines="0" topLeftCell="A91" workbookViewId="0">
      <selection activeCell="I107" sqref="I107:J107"/>
    </sheetView>
  </sheetViews>
  <sheetFormatPr baseColWidth="10" defaultColWidth="11.42578125" defaultRowHeight="15" outlineLevelRow="1" outlineLevelCol="1" x14ac:dyDescent="0.25"/>
  <cols>
    <col min="1" max="3" width="3.7109375" style="2" customWidth="1"/>
    <col min="4" max="14" width="20.7109375" style="2" customWidth="1"/>
    <col min="15" max="18" width="20.7109375" style="2" hidden="1" customWidth="1" outlineLevel="1"/>
    <col min="19" max="19" width="20.7109375" style="2" customWidth="1" collapsed="1"/>
    <col min="20" max="21" width="3.7109375" style="2" customWidth="1"/>
    <col min="22" max="22" width="15.85546875" style="2" customWidth="1"/>
    <col min="23" max="24" width="20.7109375" style="2" customWidth="1"/>
    <col min="25" max="16384" width="11.42578125" style="2"/>
  </cols>
  <sheetData>
    <row r="1" spans="1:23" x14ac:dyDescent="0.25">
      <c r="A1" s="573" t="s">
        <v>242</v>
      </c>
      <c r="B1" s="573"/>
      <c r="C1" s="573"/>
      <c r="D1" s="573"/>
      <c r="E1" s="573"/>
      <c r="F1" s="573"/>
      <c r="G1" s="573"/>
      <c r="H1" s="573"/>
      <c r="I1" s="573"/>
      <c r="J1" s="573"/>
      <c r="K1" s="573"/>
      <c r="L1" s="573"/>
      <c r="M1" s="573"/>
      <c r="N1" s="573"/>
    </row>
    <row r="2" spans="1:23" x14ac:dyDescent="0.25">
      <c r="A2" s="573"/>
      <c r="B2" s="573"/>
      <c r="C2" s="573"/>
      <c r="D2" s="573"/>
      <c r="E2" s="573"/>
      <c r="F2" s="573"/>
      <c r="G2" s="573"/>
      <c r="H2" s="573"/>
      <c r="I2" s="573"/>
      <c r="J2" s="573"/>
      <c r="K2" s="573"/>
      <c r="L2" s="573"/>
      <c r="M2" s="573"/>
      <c r="N2" s="573"/>
    </row>
    <row r="3" spans="1:23" ht="20.100000000000001" customHeight="1" thickBot="1" x14ac:dyDescent="0.3"/>
    <row r="4" spans="1:23" ht="15.75" thickBot="1" x14ac:dyDescent="0.3">
      <c r="B4" s="614" t="s">
        <v>247</v>
      </c>
      <c r="C4" s="615"/>
      <c r="D4" s="615"/>
      <c r="E4" s="615"/>
      <c r="F4" s="615"/>
      <c r="G4" s="615"/>
      <c r="H4" s="615"/>
      <c r="I4" s="616"/>
      <c r="K4" s="614" t="s">
        <v>40</v>
      </c>
      <c r="L4" s="615"/>
      <c r="M4" s="616"/>
      <c r="P4" s="53"/>
      <c r="Q4" s="53"/>
      <c r="R4" s="53"/>
      <c r="S4" s="4"/>
      <c r="T4" s="53"/>
      <c r="U4" s="53"/>
      <c r="V4" s="53"/>
      <c r="W4" s="53"/>
    </row>
    <row r="5" spans="1:23" ht="50.1" customHeight="1" thickBot="1" x14ac:dyDescent="0.3">
      <c r="B5" s="586" t="s">
        <v>243</v>
      </c>
      <c r="C5" s="587"/>
      <c r="D5" s="296" t="s">
        <v>21</v>
      </c>
      <c r="E5" s="227" t="s">
        <v>57</v>
      </c>
      <c r="F5" s="227" t="s">
        <v>61</v>
      </c>
      <c r="G5" s="228" t="s">
        <v>62</v>
      </c>
      <c r="H5" s="228" t="s">
        <v>97</v>
      </c>
      <c r="I5" s="227" t="s">
        <v>244</v>
      </c>
      <c r="K5" s="12" t="s">
        <v>21</v>
      </c>
      <c r="L5" s="80" t="s">
        <v>41</v>
      </c>
      <c r="M5" s="19" t="s">
        <v>22</v>
      </c>
      <c r="P5" s="4"/>
      <c r="R5" s="53"/>
      <c r="S5" s="53"/>
      <c r="T5" s="53"/>
      <c r="U5" s="4"/>
      <c r="V5" s="4"/>
    </row>
    <row r="6" spans="1:23" ht="20.100000000000001" customHeight="1" x14ac:dyDescent="0.25">
      <c r="B6" s="576">
        <v>1</v>
      </c>
      <c r="C6" s="577"/>
      <c r="D6" s="254" t="s">
        <v>0</v>
      </c>
      <c r="E6" s="254" t="s">
        <v>5</v>
      </c>
      <c r="F6" s="254" t="s">
        <v>5</v>
      </c>
      <c r="G6" s="254" t="s">
        <v>5</v>
      </c>
      <c r="H6" s="254" t="s">
        <v>5</v>
      </c>
      <c r="I6" s="291" t="s">
        <v>179</v>
      </c>
      <c r="K6" s="24" t="str">
        <f>D6</f>
        <v>Devid Fulterer</v>
      </c>
      <c r="L6" s="578">
        <v>1</v>
      </c>
      <c r="M6" s="113">
        <v>1</v>
      </c>
      <c r="P6" s="6"/>
      <c r="U6" s="6"/>
      <c r="V6" s="6"/>
    </row>
    <row r="7" spans="1:23" ht="20.100000000000001" customHeight="1" x14ac:dyDescent="0.25">
      <c r="B7" s="581">
        <v>2</v>
      </c>
      <c r="C7" s="582"/>
      <c r="D7" s="246" t="s">
        <v>46</v>
      </c>
      <c r="E7" s="246" t="s">
        <v>6</v>
      </c>
      <c r="F7" s="246" t="s">
        <v>6</v>
      </c>
      <c r="G7" s="246" t="s">
        <v>6</v>
      </c>
      <c r="H7" s="246" t="s">
        <v>6</v>
      </c>
      <c r="I7" s="292" t="s">
        <v>39</v>
      </c>
      <c r="K7" s="3" t="str">
        <f t="shared" ref="K7:K19" si="0">D7</f>
        <v>Jérôme Schätzle</v>
      </c>
      <c r="L7" s="579"/>
      <c r="M7" s="116">
        <v>2</v>
      </c>
      <c r="P7" s="6"/>
      <c r="U7" s="6"/>
      <c r="V7" s="6"/>
    </row>
    <row r="8" spans="1:23" ht="20.100000000000001" customHeight="1" x14ac:dyDescent="0.25">
      <c r="B8" s="581">
        <v>3</v>
      </c>
      <c r="C8" s="582"/>
      <c r="D8" s="246" t="s">
        <v>127</v>
      </c>
      <c r="E8" s="246" t="s">
        <v>60</v>
      </c>
      <c r="F8" s="246" t="s">
        <v>7</v>
      </c>
      <c r="G8" s="246" t="s">
        <v>7</v>
      </c>
      <c r="H8" s="246" t="s">
        <v>7</v>
      </c>
      <c r="I8" s="292" t="s">
        <v>179</v>
      </c>
      <c r="K8" s="3" t="str">
        <f t="shared" si="0"/>
        <v>Judith Fulterer</v>
      </c>
      <c r="L8" s="579"/>
      <c r="M8" s="116">
        <v>3</v>
      </c>
      <c r="P8" s="6"/>
      <c r="U8" s="6"/>
      <c r="V8" s="6"/>
    </row>
    <row r="9" spans="1:23" ht="20.100000000000001" customHeight="1" thickBot="1" x14ac:dyDescent="0.3">
      <c r="B9" s="581">
        <v>4</v>
      </c>
      <c r="C9" s="582"/>
      <c r="D9" s="246" t="s">
        <v>4</v>
      </c>
      <c r="E9" s="246" t="s">
        <v>9</v>
      </c>
      <c r="F9" s="246" t="s">
        <v>9</v>
      </c>
      <c r="G9" s="246" t="s">
        <v>9</v>
      </c>
      <c r="H9" s="246" t="s">
        <v>9</v>
      </c>
      <c r="I9" s="292" t="s">
        <v>179</v>
      </c>
      <c r="K9" s="45" t="str">
        <f t="shared" si="0"/>
        <v>Andreas Micke</v>
      </c>
      <c r="L9" s="580"/>
      <c r="M9" s="46">
        <v>4</v>
      </c>
      <c r="P9" s="6"/>
      <c r="U9" s="6"/>
      <c r="V9" s="6"/>
    </row>
    <row r="10" spans="1:23" ht="20.100000000000001" customHeight="1" x14ac:dyDescent="0.25">
      <c r="B10" s="581">
        <v>5</v>
      </c>
      <c r="C10" s="582"/>
      <c r="D10" s="246" t="s">
        <v>114</v>
      </c>
      <c r="E10" s="246" t="s">
        <v>102</v>
      </c>
      <c r="F10" s="246" t="s">
        <v>102</v>
      </c>
      <c r="G10" s="246" t="s">
        <v>102</v>
      </c>
      <c r="H10" s="246" t="s">
        <v>102</v>
      </c>
      <c r="I10" s="292" t="s">
        <v>179</v>
      </c>
      <c r="K10" s="24" t="str">
        <f>D10</f>
        <v>Jonas Röhrig</v>
      </c>
      <c r="L10" s="578">
        <v>2</v>
      </c>
      <c r="M10" s="113">
        <v>1</v>
      </c>
      <c r="P10" s="6"/>
      <c r="U10" s="6"/>
      <c r="V10" s="6"/>
    </row>
    <row r="11" spans="1:23" ht="20.100000000000001" customHeight="1" x14ac:dyDescent="0.25">
      <c r="B11" s="581">
        <v>6</v>
      </c>
      <c r="C11" s="582"/>
      <c r="D11" s="246" t="s">
        <v>90</v>
      </c>
      <c r="E11" s="247" t="s">
        <v>92</v>
      </c>
      <c r="F11" s="148" t="s">
        <v>91</v>
      </c>
      <c r="G11" s="246" t="s">
        <v>91</v>
      </c>
      <c r="H11" s="246" t="s">
        <v>92</v>
      </c>
      <c r="I11" s="292" t="s">
        <v>39</v>
      </c>
      <c r="K11" s="3" t="str">
        <f t="shared" si="0"/>
        <v>Lisa Schätzle</v>
      </c>
      <c r="L11" s="579"/>
      <c r="M11" s="116">
        <v>2</v>
      </c>
      <c r="P11" s="6"/>
      <c r="U11" s="6"/>
      <c r="V11" s="6"/>
    </row>
    <row r="12" spans="1:23" ht="20.100000000000001" customHeight="1" x14ac:dyDescent="0.25">
      <c r="B12" s="581">
        <v>7</v>
      </c>
      <c r="C12" s="582"/>
      <c r="D12" s="247" t="s">
        <v>1</v>
      </c>
      <c r="E12" s="246" t="s">
        <v>11</v>
      </c>
      <c r="F12" s="293" t="s">
        <v>11</v>
      </c>
      <c r="G12" s="246" t="s">
        <v>11</v>
      </c>
      <c r="H12" s="246" t="s">
        <v>11</v>
      </c>
      <c r="I12" s="292" t="s">
        <v>179</v>
      </c>
      <c r="K12" s="3" t="str">
        <f t="shared" si="0"/>
        <v>Pauline Schätzle</v>
      </c>
      <c r="L12" s="579"/>
      <c r="M12" s="116">
        <v>3</v>
      </c>
      <c r="P12" s="6"/>
      <c r="U12" s="6"/>
      <c r="V12" s="6"/>
    </row>
    <row r="13" spans="1:23" ht="20.100000000000001" customHeight="1" thickBot="1" x14ac:dyDescent="0.3">
      <c r="B13" s="581">
        <v>8</v>
      </c>
      <c r="C13" s="582"/>
      <c r="D13" s="247" t="s">
        <v>3</v>
      </c>
      <c r="E13" s="247" t="s">
        <v>63</v>
      </c>
      <c r="F13" s="148" t="s">
        <v>63</v>
      </c>
      <c r="G13" s="246" t="s">
        <v>59</v>
      </c>
      <c r="H13" s="246" t="s">
        <v>63</v>
      </c>
      <c r="I13" s="292" t="s">
        <v>39</v>
      </c>
      <c r="K13" s="45" t="str">
        <f t="shared" si="0"/>
        <v>Alex Ulbricht</v>
      </c>
      <c r="L13" s="579"/>
      <c r="M13" s="46">
        <v>4</v>
      </c>
      <c r="P13" s="6"/>
      <c r="U13" s="6"/>
      <c r="V13" s="6"/>
    </row>
    <row r="14" spans="1:23" ht="20.100000000000001" customHeight="1" x14ac:dyDescent="0.25">
      <c r="B14" s="581">
        <v>9</v>
      </c>
      <c r="C14" s="582"/>
      <c r="D14" s="247" t="s">
        <v>88</v>
      </c>
      <c r="E14" s="247" t="s">
        <v>69</v>
      </c>
      <c r="F14" s="148" t="s">
        <v>69</v>
      </c>
      <c r="G14" s="246" t="s">
        <v>69</v>
      </c>
      <c r="H14" s="246" t="s">
        <v>69</v>
      </c>
      <c r="I14" s="292" t="s">
        <v>179</v>
      </c>
      <c r="K14" s="24" t="str">
        <f>D14</f>
        <v>Daniel Zimmermann</v>
      </c>
      <c r="L14" s="577">
        <v>3</v>
      </c>
      <c r="M14" s="113">
        <v>1</v>
      </c>
      <c r="P14" s="6"/>
      <c r="U14" s="6"/>
      <c r="V14" s="6"/>
    </row>
    <row r="15" spans="1:23" ht="20.100000000000001" customHeight="1" x14ac:dyDescent="0.25">
      <c r="B15" s="581">
        <v>10</v>
      </c>
      <c r="C15" s="582"/>
      <c r="D15" s="247" t="s">
        <v>2</v>
      </c>
      <c r="E15" s="247" t="s">
        <v>8</v>
      </c>
      <c r="F15" s="148" t="s">
        <v>8</v>
      </c>
      <c r="G15" s="246" t="s">
        <v>8</v>
      </c>
      <c r="H15" s="246" t="s">
        <v>8</v>
      </c>
      <c r="I15" s="292" t="s">
        <v>179</v>
      </c>
      <c r="K15" s="3" t="str">
        <f t="shared" si="0"/>
        <v>Markus Hagenauer</v>
      </c>
      <c r="L15" s="582"/>
      <c r="M15" s="116">
        <v>2</v>
      </c>
      <c r="P15" s="6"/>
      <c r="U15" s="6"/>
      <c r="V15" s="6"/>
    </row>
    <row r="16" spans="1:23" ht="20.100000000000001" customHeight="1" x14ac:dyDescent="0.25">
      <c r="B16" s="581">
        <v>11</v>
      </c>
      <c r="C16" s="582"/>
      <c r="D16" s="247" t="s">
        <v>125</v>
      </c>
      <c r="E16" s="247" t="s">
        <v>126</v>
      </c>
      <c r="F16" s="148" t="s">
        <v>59</v>
      </c>
      <c r="G16" s="246" t="s">
        <v>59</v>
      </c>
      <c r="H16" s="246" t="s">
        <v>59</v>
      </c>
      <c r="I16" s="292" t="s">
        <v>179</v>
      </c>
      <c r="K16" s="96" t="str">
        <f t="shared" si="0"/>
        <v>Bea Kittner</v>
      </c>
      <c r="L16" s="582"/>
      <c r="M16" s="116">
        <v>3</v>
      </c>
      <c r="P16" s="6"/>
      <c r="U16" s="6"/>
      <c r="V16" s="6"/>
    </row>
    <row r="17" spans="2:23" ht="20.100000000000001" customHeight="1" thickBot="1" x14ac:dyDescent="0.3">
      <c r="B17" s="581">
        <v>12</v>
      </c>
      <c r="C17" s="582"/>
      <c r="D17" s="247" t="s">
        <v>47</v>
      </c>
      <c r="E17" s="247" t="s">
        <v>64</v>
      </c>
      <c r="F17" s="148" t="s">
        <v>64</v>
      </c>
      <c r="G17" s="246" t="s">
        <v>64</v>
      </c>
      <c r="H17" s="246" t="s">
        <v>64</v>
      </c>
      <c r="I17" s="292" t="s">
        <v>179</v>
      </c>
      <c r="K17" s="144" t="str">
        <f t="shared" si="0"/>
        <v>Kai Maibaum</v>
      </c>
      <c r="L17" s="618"/>
      <c r="M17" s="118">
        <v>4</v>
      </c>
      <c r="P17" s="6"/>
      <c r="U17" s="6"/>
      <c r="V17" s="6"/>
    </row>
    <row r="18" spans="2:23" ht="20.100000000000001" customHeight="1" x14ac:dyDescent="0.25">
      <c r="B18" s="581">
        <v>13</v>
      </c>
      <c r="C18" s="582"/>
      <c r="D18" s="247" t="s">
        <v>130</v>
      </c>
      <c r="E18" s="247" t="s">
        <v>131</v>
      </c>
      <c r="F18" s="148" t="s">
        <v>131</v>
      </c>
      <c r="G18" s="246" t="s">
        <v>59</v>
      </c>
      <c r="H18" s="246" t="s">
        <v>59</v>
      </c>
      <c r="I18" s="292" t="s">
        <v>179</v>
      </c>
      <c r="K18" s="233" t="str">
        <f t="shared" si="0"/>
        <v>Florian Spiß</v>
      </c>
      <c r="L18" s="801">
        <v>4</v>
      </c>
      <c r="M18" s="113">
        <v>1</v>
      </c>
      <c r="P18" s="6"/>
      <c r="U18" s="6"/>
      <c r="V18" s="6"/>
    </row>
    <row r="19" spans="2:23" ht="20.100000000000001" customHeight="1" thickBot="1" x14ac:dyDescent="0.3">
      <c r="B19" s="799">
        <v>14</v>
      </c>
      <c r="C19" s="800"/>
      <c r="D19" s="250" t="s">
        <v>128</v>
      </c>
      <c r="E19" s="255" t="s">
        <v>129</v>
      </c>
      <c r="F19" s="154" t="s">
        <v>129</v>
      </c>
      <c r="G19" s="256" t="s">
        <v>129</v>
      </c>
      <c r="H19" s="251" t="s">
        <v>129</v>
      </c>
      <c r="I19" s="259" t="s">
        <v>179</v>
      </c>
      <c r="K19" s="144" t="str">
        <f t="shared" si="0"/>
        <v>Fabian Spaniol</v>
      </c>
      <c r="L19" s="776"/>
      <c r="M19" s="118">
        <v>2</v>
      </c>
      <c r="P19" s="6"/>
      <c r="U19" s="6"/>
      <c r="V19" s="6"/>
    </row>
    <row r="20" spans="2:23" ht="20.100000000000001" customHeight="1" thickBot="1" x14ac:dyDescent="0.3">
      <c r="D20" s="294"/>
      <c r="E20" s="294"/>
      <c r="F20" s="295"/>
      <c r="G20" s="28"/>
      <c r="H20" s="28"/>
      <c r="I20" s="294"/>
      <c r="K20" s="584" t="s">
        <v>245</v>
      </c>
      <c r="L20" s="585"/>
      <c r="M20" s="121">
        <f>ROWS(M6:M19)</f>
        <v>14</v>
      </c>
      <c r="O20" s="53"/>
      <c r="P20" s="53"/>
      <c r="R20" s="53"/>
      <c r="S20" s="53"/>
      <c r="T20" s="53"/>
      <c r="U20" s="53"/>
    </row>
    <row r="21" spans="2:23" ht="15.75" thickBot="1" x14ac:dyDescent="0.3">
      <c r="B21" s="614" t="s">
        <v>246</v>
      </c>
      <c r="C21" s="615"/>
      <c r="D21" s="615"/>
      <c r="E21" s="615"/>
      <c r="F21" s="615"/>
      <c r="G21" s="615"/>
      <c r="H21" s="616"/>
      <c r="L21" s="128"/>
      <c r="M21" s="128"/>
      <c r="N21" s="128"/>
      <c r="O21" s="4"/>
      <c r="P21" s="53"/>
      <c r="Q21" s="53"/>
      <c r="S21" s="53"/>
      <c r="T21" s="53"/>
      <c r="U21" s="53"/>
      <c r="V21" s="53"/>
    </row>
    <row r="22" spans="2:23" ht="30.75" thickBot="1" x14ac:dyDescent="0.3">
      <c r="B22" s="586" t="s">
        <v>58</v>
      </c>
      <c r="C22" s="587"/>
      <c r="D22" s="139" t="s">
        <v>21</v>
      </c>
      <c r="E22" s="227" t="s">
        <v>57</v>
      </c>
      <c r="F22" s="227" t="s">
        <v>61</v>
      </c>
      <c r="G22" s="228" t="s">
        <v>62</v>
      </c>
      <c r="H22" s="228" t="s">
        <v>97</v>
      </c>
      <c r="L22" s="128"/>
      <c r="M22" s="128"/>
      <c r="N22" s="128"/>
      <c r="O22" s="4"/>
      <c r="P22" s="53"/>
      <c r="Q22" s="53"/>
      <c r="S22" s="53"/>
      <c r="T22" s="53"/>
      <c r="U22" s="53"/>
      <c r="V22" s="53"/>
    </row>
    <row r="23" spans="2:23" ht="20.100000000000001" customHeight="1" thickBot="1" x14ac:dyDescent="0.3">
      <c r="B23" s="619">
        <v>1</v>
      </c>
      <c r="C23" s="620"/>
      <c r="D23" s="297"/>
      <c r="E23" s="298"/>
      <c r="F23" s="299"/>
      <c r="G23" s="300"/>
      <c r="H23" s="301"/>
      <c r="O23" s="257" t="s">
        <v>39</v>
      </c>
      <c r="P23" s="53"/>
      <c r="Q23" s="53"/>
      <c r="S23" s="53"/>
      <c r="T23" s="53"/>
      <c r="U23" s="53"/>
      <c r="V23" s="53"/>
    </row>
    <row r="24" spans="2:23" ht="20.100000000000001" customHeight="1" x14ac:dyDescent="0.25">
      <c r="M24" s="128"/>
      <c r="N24" s="128"/>
      <c r="O24" s="128"/>
      <c r="P24" s="4"/>
      <c r="Q24" s="53"/>
      <c r="R24" s="53"/>
      <c r="T24" s="53"/>
      <c r="U24" s="53"/>
      <c r="V24" s="53"/>
      <c r="W24" s="53"/>
    </row>
    <row r="25" spans="2:23" ht="20.100000000000001" customHeight="1" x14ac:dyDescent="0.25">
      <c r="B25" s="13"/>
      <c r="C25" s="13"/>
      <c r="D25" s="25"/>
      <c r="E25" s="25"/>
      <c r="F25" s="25"/>
      <c r="G25" s="25"/>
      <c r="H25" s="13"/>
      <c r="I25" s="13"/>
      <c r="J25" s="13"/>
      <c r="K25" s="13"/>
      <c r="L25" s="13"/>
      <c r="M25" s="13"/>
      <c r="N25" s="13"/>
      <c r="O25" s="13"/>
      <c r="P25" s="13"/>
      <c r="Q25" s="13"/>
      <c r="R25" s="13"/>
      <c r="S25" s="13"/>
      <c r="T25" s="13"/>
      <c r="U25" s="13"/>
    </row>
    <row r="26" spans="2:23" ht="30" customHeight="1" x14ac:dyDescent="0.25">
      <c r="B26" s="13"/>
      <c r="C26" s="555" t="s">
        <v>73</v>
      </c>
      <c r="D26" s="555"/>
      <c r="E26" s="555"/>
      <c r="F26" s="555"/>
      <c r="G26" s="555"/>
      <c r="H26" s="555"/>
      <c r="I26" s="555"/>
      <c r="J26" s="555"/>
      <c r="K26" s="555"/>
      <c r="L26" s="555"/>
      <c r="M26" s="555"/>
      <c r="N26" s="555"/>
      <c r="O26" s="555"/>
      <c r="P26" s="555"/>
      <c r="Q26" s="555"/>
      <c r="R26" s="555"/>
      <c r="S26" s="555"/>
      <c r="T26" s="555"/>
      <c r="U26" s="13"/>
    </row>
    <row r="27" spans="2:23" ht="20.100000000000001" customHeight="1" thickBot="1" x14ac:dyDescent="0.3">
      <c r="B27" s="13"/>
      <c r="U27" s="13"/>
    </row>
    <row r="28" spans="2:23" ht="20.100000000000001" customHeight="1" thickBot="1" x14ac:dyDescent="0.3">
      <c r="B28" s="13"/>
      <c r="D28" s="556" t="s">
        <v>10</v>
      </c>
      <c r="E28" s="558" t="s">
        <v>139</v>
      </c>
      <c r="F28" s="560" t="s">
        <v>22</v>
      </c>
      <c r="G28" s="595" t="s">
        <v>42</v>
      </c>
      <c r="H28" s="596"/>
      <c r="I28" s="596"/>
      <c r="J28" s="597"/>
      <c r="K28" s="200" t="s">
        <v>36</v>
      </c>
      <c r="L28" s="563" t="s">
        <v>27</v>
      </c>
      <c r="M28" s="561"/>
      <c r="N28" s="561"/>
      <c r="O28" s="561"/>
      <c r="P28" s="561"/>
      <c r="Q28" s="561"/>
      <c r="R28" s="561"/>
      <c r="S28" s="562"/>
      <c r="U28" s="13"/>
    </row>
    <row r="29" spans="2:23" ht="20.100000000000001" customHeight="1" thickBot="1" x14ac:dyDescent="0.3">
      <c r="B29" s="13"/>
      <c r="D29" s="557"/>
      <c r="E29" s="559"/>
      <c r="F29" s="559"/>
      <c r="G29" s="302" t="s">
        <v>43</v>
      </c>
      <c r="H29" s="302" t="s">
        <v>24</v>
      </c>
      <c r="I29" s="565" t="s">
        <v>23</v>
      </c>
      <c r="J29" s="567"/>
      <c r="K29" s="85" t="s">
        <v>25</v>
      </c>
      <c r="L29" s="85" t="s">
        <v>43</v>
      </c>
      <c r="M29" s="86" t="s">
        <v>26</v>
      </c>
      <c r="N29" s="556" t="s">
        <v>23</v>
      </c>
      <c r="O29" s="588"/>
      <c r="P29" s="588"/>
      <c r="Q29" s="588"/>
      <c r="R29" s="588"/>
      <c r="S29" s="564"/>
      <c r="U29" s="13"/>
    </row>
    <row r="30" spans="2:23" ht="15" customHeight="1" x14ac:dyDescent="0.25">
      <c r="B30" s="13"/>
      <c r="D30" s="641" t="s">
        <v>0</v>
      </c>
      <c r="E30" s="644" t="s">
        <v>5</v>
      </c>
      <c r="F30" s="647">
        <v>1</v>
      </c>
      <c r="G30" s="650" t="s">
        <v>248</v>
      </c>
      <c r="H30" s="653" t="s">
        <v>249</v>
      </c>
      <c r="I30" s="656" t="s">
        <v>250</v>
      </c>
      <c r="J30" s="657"/>
      <c r="K30" s="621" t="s">
        <v>12</v>
      </c>
      <c r="L30" s="624" t="s">
        <v>13</v>
      </c>
      <c r="M30" s="627" t="s">
        <v>13</v>
      </c>
      <c r="N30" s="630" t="s">
        <v>13</v>
      </c>
      <c r="O30" s="631"/>
      <c r="P30" s="631"/>
      <c r="Q30" s="631"/>
      <c r="R30" s="631"/>
      <c r="S30" s="632"/>
      <c r="U30" s="13"/>
    </row>
    <row r="31" spans="2:23" ht="15" customHeight="1" x14ac:dyDescent="0.25">
      <c r="B31" s="13"/>
      <c r="D31" s="642"/>
      <c r="E31" s="645"/>
      <c r="F31" s="648"/>
      <c r="G31" s="651"/>
      <c r="H31" s="654"/>
      <c r="I31" s="639" t="s">
        <v>251</v>
      </c>
      <c r="J31" s="640"/>
      <c r="K31" s="622"/>
      <c r="L31" s="625"/>
      <c r="M31" s="628"/>
      <c r="N31" s="633"/>
      <c r="O31" s="634"/>
      <c r="P31" s="634"/>
      <c r="Q31" s="634"/>
      <c r="R31" s="634"/>
      <c r="S31" s="635"/>
      <c r="U31" s="13"/>
    </row>
    <row r="32" spans="2:23" ht="15" customHeight="1" x14ac:dyDescent="0.25">
      <c r="B32" s="13"/>
      <c r="D32" s="642"/>
      <c r="E32" s="645"/>
      <c r="F32" s="648"/>
      <c r="G32" s="651"/>
      <c r="H32" s="654"/>
      <c r="I32" s="639" t="s">
        <v>252</v>
      </c>
      <c r="J32" s="640"/>
      <c r="K32" s="622"/>
      <c r="L32" s="625"/>
      <c r="M32" s="628"/>
      <c r="N32" s="633"/>
      <c r="O32" s="634"/>
      <c r="P32" s="634"/>
      <c r="Q32" s="634"/>
      <c r="R32" s="634"/>
      <c r="S32" s="635"/>
      <c r="U32" s="13"/>
    </row>
    <row r="33" spans="2:21" ht="27.95" customHeight="1" x14ac:dyDescent="0.25">
      <c r="B33" s="13"/>
      <c r="D33" s="642"/>
      <c r="E33" s="645"/>
      <c r="F33" s="648"/>
      <c r="G33" s="651"/>
      <c r="H33" s="654"/>
      <c r="I33" s="639" t="s">
        <v>253</v>
      </c>
      <c r="J33" s="640"/>
      <c r="K33" s="622"/>
      <c r="L33" s="625"/>
      <c r="M33" s="628"/>
      <c r="N33" s="633"/>
      <c r="O33" s="634"/>
      <c r="P33" s="634"/>
      <c r="Q33" s="634"/>
      <c r="R33" s="634"/>
      <c r="S33" s="635"/>
      <c r="U33" s="13"/>
    </row>
    <row r="34" spans="2:21" ht="15" customHeight="1" x14ac:dyDescent="0.25">
      <c r="B34" s="13"/>
      <c r="D34" s="642"/>
      <c r="E34" s="645"/>
      <c r="F34" s="648"/>
      <c r="G34" s="651"/>
      <c r="H34" s="654"/>
      <c r="I34" s="639" t="s">
        <v>254</v>
      </c>
      <c r="J34" s="640"/>
      <c r="K34" s="622"/>
      <c r="L34" s="625"/>
      <c r="M34" s="628"/>
      <c r="N34" s="633"/>
      <c r="O34" s="634"/>
      <c r="P34" s="634"/>
      <c r="Q34" s="634"/>
      <c r="R34" s="634"/>
      <c r="S34" s="635"/>
      <c r="U34" s="13"/>
    </row>
    <row r="35" spans="2:21" ht="27.95" customHeight="1" x14ac:dyDescent="0.25">
      <c r="B35" s="13"/>
      <c r="D35" s="642"/>
      <c r="E35" s="645"/>
      <c r="F35" s="648"/>
      <c r="G35" s="651"/>
      <c r="H35" s="654"/>
      <c r="I35" s="639" t="s">
        <v>255</v>
      </c>
      <c r="J35" s="640"/>
      <c r="K35" s="622"/>
      <c r="L35" s="625"/>
      <c r="M35" s="628"/>
      <c r="N35" s="633"/>
      <c r="O35" s="634"/>
      <c r="P35" s="634"/>
      <c r="Q35" s="634"/>
      <c r="R35" s="634"/>
      <c r="S35" s="635"/>
      <c r="U35" s="13"/>
    </row>
    <row r="36" spans="2:21" ht="15" customHeight="1" x14ac:dyDescent="0.25">
      <c r="B36" s="13"/>
      <c r="D36" s="642"/>
      <c r="E36" s="645"/>
      <c r="F36" s="648"/>
      <c r="G36" s="651"/>
      <c r="H36" s="654"/>
      <c r="I36" s="639" t="s">
        <v>256</v>
      </c>
      <c r="J36" s="640"/>
      <c r="K36" s="622"/>
      <c r="L36" s="625"/>
      <c r="M36" s="628"/>
      <c r="N36" s="633"/>
      <c r="O36" s="634"/>
      <c r="P36" s="634"/>
      <c r="Q36" s="634"/>
      <c r="R36" s="634"/>
      <c r="S36" s="635"/>
      <c r="U36" s="13"/>
    </row>
    <row r="37" spans="2:21" ht="15" customHeight="1" x14ac:dyDescent="0.25">
      <c r="B37" s="13"/>
      <c r="D37" s="642"/>
      <c r="E37" s="645"/>
      <c r="F37" s="648"/>
      <c r="G37" s="651"/>
      <c r="H37" s="654"/>
      <c r="I37" s="639" t="s">
        <v>257</v>
      </c>
      <c r="J37" s="640"/>
      <c r="K37" s="622"/>
      <c r="L37" s="625"/>
      <c r="M37" s="628"/>
      <c r="N37" s="633"/>
      <c r="O37" s="634"/>
      <c r="P37" s="634"/>
      <c r="Q37" s="634"/>
      <c r="R37" s="634"/>
      <c r="S37" s="635"/>
      <c r="U37" s="13"/>
    </row>
    <row r="38" spans="2:21" ht="15" customHeight="1" x14ac:dyDescent="0.25">
      <c r="B38" s="13"/>
      <c r="D38" s="642"/>
      <c r="E38" s="645"/>
      <c r="F38" s="648"/>
      <c r="G38" s="651"/>
      <c r="H38" s="654"/>
      <c r="I38" s="639" t="s">
        <v>258</v>
      </c>
      <c r="J38" s="640"/>
      <c r="K38" s="622"/>
      <c r="L38" s="625"/>
      <c r="M38" s="628"/>
      <c r="N38" s="633"/>
      <c r="O38" s="634"/>
      <c r="P38" s="634"/>
      <c r="Q38" s="634"/>
      <c r="R38" s="634"/>
      <c r="S38" s="635"/>
      <c r="U38" s="13"/>
    </row>
    <row r="39" spans="2:21" ht="15" customHeight="1" x14ac:dyDescent="0.25">
      <c r="B39" s="13"/>
      <c r="D39" s="643"/>
      <c r="E39" s="646"/>
      <c r="F39" s="649"/>
      <c r="G39" s="652"/>
      <c r="H39" s="655"/>
      <c r="I39" s="639" t="s">
        <v>259</v>
      </c>
      <c r="J39" s="640"/>
      <c r="K39" s="623"/>
      <c r="L39" s="626"/>
      <c r="M39" s="629"/>
      <c r="N39" s="636"/>
      <c r="O39" s="637"/>
      <c r="P39" s="637"/>
      <c r="Q39" s="637"/>
      <c r="R39" s="637"/>
      <c r="S39" s="638"/>
      <c r="U39" s="13"/>
    </row>
    <row r="40" spans="2:21" ht="27.95" customHeight="1" x14ac:dyDescent="0.25">
      <c r="B40" s="13"/>
      <c r="D40" s="663" t="s">
        <v>46</v>
      </c>
      <c r="E40" s="664" t="s">
        <v>6</v>
      </c>
      <c r="F40" s="667">
        <v>2</v>
      </c>
      <c r="G40" s="668" t="s">
        <v>35</v>
      </c>
      <c r="H40" s="671" t="s">
        <v>45</v>
      </c>
      <c r="I40" s="671" t="s">
        <v>260</v>
      </c>
      <c r="J40" s="673"/>
      <c r="K40" s="685" t="s">
        <v>116</v>
      </c>
      <c r="L40" s="688" t="s">
        <v>13</v>
      </c>
      <c r="M40" s="689" t="s">
        <v>13</v>
      </c>
      <c r="N40" s="658" t="s">
        <v>13</v>
      </c>
      <c r="O40" s="659"/>
      <c r="P40" s="659"/>
      <c r="Q40" s="659"/>
      <c r="R40" s="659"/>
      <c r="S40" s="660"/>
      <c r="U40" s="13"/>
    </row>
    <row r="41" spans="2:21" ht="15" customHeight="1" x14ac:dyDescent="0.25">
      <c r="B41" s="13"/>
      <c r="D41" s="642"/>
      <c r="E41" s="665"/>
      <c r="F41" s="648"/>
      <c r="G41" s="669"/>
      <c r="H41" s="661"/>
      <c r="I41" s="661" t="s">
        <v>261</v>
      </c>
      <c r="J41" s="662"/>
      <c r="K41" s="686"/>
      <c r="L41" s="625"/>
      <c r="M41" s="628"/>
      <c r="N41" s="633"/>
      <c r="O41" s="634"/>
      <c r="P41" s="634"/>
      <c r="Q41" s="634"/>
      <c r="R41" s="634"/>
      <c r="S41" s="635"/>
      <c r="U41" s="13"/>
    </row>
    <row r="42" spans="2:21" ht="15" customHeight="1" x14ac:dyDescent="0.25">
      <c r="B42" s="13"/>
      <c r="D42" s="642"/>
      <c r="E42" s="665"/>
      <c r="F42" s="648"/>
      <c r="G42" s="669"/>
      <c r="H42" s="661"/>
      <c r="I42" s="661" t="s">
        <v>262</v>
      </c>
      <c r="J42" s="662"/>
      <c r="K42" s="686"/>
      <c r="L42" s="625"/>
      <c r="M42" s="628"/>
      <c r="N42" s="633"/>
      <c r="O42" s="634"/>
      <c r="P42" s="634"/>
      <c r="Q42" s="634"/>
      <c r="R42" s="634"/>
      <c r="S42" s="635"/>
      <c r="U42" s="13"/>
    </row>
    <row r="43" spans="2:21" ht="15" customHeight="1" x14ac:dyDescent="0.25">
      <c r="B43" s="13"/>
      <c r="D43" s="643"/>
      <c r="E43" s="666"/>
      <c r="F43" s="649"/>
      <c r="G43" s="670"/>
      <c r="H43" s="672"/>
      <c r="I43" s="661" t="s">
        <v>263</v>
      </c>
      <c r="J43" s="662"/>
      <c r="K43" s="687"/>
      <c r="L43" s="626"/>
      <c r="M43" s="629"/>
      <c r="N43" s="636"/>
      <c r="O43" s="637"/>
      <c r="P43" s="637"/>
      <c r="Q43" s="637"/>
      <c r="R43" s="637"/>
      <c r="S43" s="638"/>
      <c r="U43" s="13"/>
    </row>
    <row r="44" spans="2:21" ht="15" customHeight="1" x14ac:dyDescent="0.25">
      <c r="B44" s="13"/>
      <c r="D44" s="674" t="s">
        <v>127</v>
      </c>
      <c r="E44" s="677" t="s">
        <v>60</v>
      </c>
      <c r="F44" s="667">
        <v>3</v>
      </c>
      <c r="G44" s="678" t="s">
        <v>44</v>
      </c>
      <c r="H44" s="681" t="s">
        <v>116</v>
      </c>
      <c r="I44" s="681" t="s">
        <v>264</v>
      </c>
      <c r="J44" s="684"/>
      <c r="K44" s="810" t="s">
        <v>266</v>
      </c>
      <c r="L44" s="812" t="s">
        <v>112</v>
      </c>
      <c r="M44" s="814" t="s">
        <v>267</v>
      </c>
      <c r="N44" s="681" t="s">
        <v>268</v>
      </c>
      <c r="O44" s="807"/>
      <c r="P44" s="807"/>
      <c r="Q44" s="807"/>
      <c r="R44" s="807"/>
      <c r="S44" s="684"/>
      <c r="U44" s="13"/>
    </row>
    <row r="45" spans="2:21" ht="15" customHeight="1" x14ac:dyDescent="0.25">
      <c r="B45" s="13"/>
      <c r="D45" s="676"/>
      <c r="E45" s="646"/>
      <c r="F45" s="649"/>
      <c r="G45" s="680"/>
      <c r="H45" s="683"/>
      <c r="I45" s="682" t="s">
        <v>265</v>
      </c>
      <c r="J45" s="702"/>
      <c r="K45" s="811"/>
      <c r="L45" s="813"/>
      <c r="M45" s="815"/>
      <c r="N45" s="683" t="s">
        <v>269</v>
      </c>
      <c r="O45" s="808"/>
      <c r="P45" s="808"/>
      <c r="Q45" s="808"/>
      <c r="R45" s="808"/>
      <c r="S45" s="751"/>
      <c r="U45" s="13"/>
    </row>
    <row r="46" spans="2:21" ht="15" customHeight="1" x14ac:dyDescent="0.25">
      <c r="B46" s="13"/>
      <c r="D46" s="674" t="s">
        <v>4</v>
      </c>
      <c r="E46" s="677" t="s">
        <v>9</v>
      </c>
      <c r="F46" s="717">
        <v>4</v>
      </c>
      <c r="G46" s="720" t="s">
        <v>44</v>
      </c>
      <c r="H46" s="722" t="s">
        <v>110</v>
      </c>
      <c r="I46" s="725" t="s">
        <v>270</v>
      </c>
      <c r="J46" s="726"/>
      <c r="K46" s="817" t="s">
        <v>116</v>
      </c>
      <c r="L46" s="659" t="s">
        <v>13</v>
      </c>
      <c r="M46" s="689" t="s">
        <v>13</v>
      </c>
      <c r="N46" s="694" t="s">
        <v>13</v>
      </c>
      <c r="O46" s="694"/>
      <c r="P46" s="694"/>
      <c r="Q46" s="694"/>
      <c r="R46" s="694"/>
      <c r="S46" s="695"/>
      <c r="U46" s="13"/>
    </row>
    <row r="47" spans="2:21" ht="15" customHeight="1" thickBot="1" x14ac:dyDescent="0.3">
      <c r="B47" s="13"/>
      <c r="D47" s="816"/>
      <c r="E47" s="716"/>
      <c r="F47" s="719"/>
      <c r="G47" s="721"/>
      <c r="H47" s="724"/>
      <c r="I47" s="711" t="s">
        <v>212</v>
      </c>
      <c r="J47" s="712"/>
      <c r="K47" s="818"/>
      <c r="L47" s="705"/>
      <c r="M47" s="706"/>
      <c r="N47" s="707"/>
      <c r="O47" s="707"/>
      <c r="P47" s="707"/>
      <c r="Q47" s="707"/>
      <c r="R47" s="707"/>
      <c r="S47" s="708"/>
      <c r="U47" s="13"/>
    </row>
    <row r="48" spans="2:21" ht="20.100000000000001" customHeight="1" x14ac:dyDescent="0.25">
      <c r="B48" s="13"/>
      <c r="U48" s="13"/>
    </row>
    <row r="49" spans="2:21" ht="20.100000000000001" customHeight="1" thickBot="1" x14ac:dyDescent="0.3">
      <c r="B49" s="13"/>
      <c r="C49" s="26"/>
      <c r="D49" s="26"/>
      <c r="E49" s="552" t="str">
        <f>IF(OR(M30="-",M30= ""),H30,M30)</f>
        <v>Gaia Project</v>
      </c>
      <c r="F49" s="552"/>
      <c r="G49" s="552"/>
      <c r="H49" s="552"/>
      <c r="I49" s="552"/>
      <c r="J49" s="552"/>
      <c r="K49" s="552"/>
      <c r="L49" s="552"/>
      <c r="M49" s="552"/>
      <c r="N49" s="552"/>
      <c r="O49" s="199"/>
      <c r="P49" s="199"/>
      <c r="Q49" s="199"/>
      <c r="R49" s="199"/>
      <c r="S49" s="199"/>
      <c r="T49" s="26"/>
      <c r="U49" s="13"/>
    </row>
    <row r="50" spans="2:21" ht="50.1" customHeight="1" thickBot="1" x14ac:dyDescent="0.3">
      <c r="B50" s="13"/>
      <c r="C50" s="26"/>
      <c r="D50" s="199"/>
      <c r="E50" s="88" t="s">
        <v>10</v>
      </c>
      <c r="F50" s="125" t="s">
        <v>52</v>
      </c>
      <c r="G50" s="89" t="s">
        <v>14</v>
      </c>
      <c r="H50" s="200" t="s">
        <v>51</v>
      </c>
      <c r="I50" s="18" t="s">
        <v>54</v>
      </c>
      <c r="J50" s="200" t="s">
        <v>53</v>
      </c>
      <c r="K50" s="206" t="s">
        <v>28</v>
      </c>
      <c r="L50" s="200" t="s">
        <v>37</v>
      </c>
      <c r="M50" s="204" t="s">
        <v>16</v>
      </c>
      <c r="N50" s="89" t="s">
        <v>15</v>
      </c>
      <c r="O50" s="5" t="s">
        <v>30</v>
      </c>
      <c r="P50" s="7" t="s">
        <v>34</v>
      </c>
      <c r="Q50" s="7" t="s">
        <v>31</v>
      </c>
      <c r="R50" s="7" t="s">
        <v>32</v>
      </c>
      <c r="S50" s="199"/>
      <c r="T50" s="26"/>
      <c r="U50" s="13"/>
    </row>
    <row r="51" spans="2:21" ht="20.100000000000001" customHeight="1" x14ac:dyDescent="0.25">
      <c r="B51" s="13"/>
      <c r="C51" s="26"/>
      <c r="D51" s="26"/>
      <c r="E51" s="233" t="s">
        <v>0</v>
      </c>
      <c r="F51" s="254" t="s">
        <v>5</v>
      </c>
      <c r="G51" s="49">
        <v>2</v>
      </c>
      <c r="H51" s="49" t="s">
        <v>311</v>
      </c>
      <c r="I51" s="49">
        <v>10</v>
      </c>
      <c r="J51" s="49">
        <v>136</v>
      </c>
      <c r="K51" s="49" t="s">
        <v>13</v>
      </c>
      <c r="L51" s="50">
        <f>IF(J51="",0,(J51/J55)*100)</f>
        <v>80.952380952380949</v>
      </c>
      <c r="M51" s="49">
        <v>3</v>
      </c>
      <c r="N51" s="61">
        <v>1</v>
      </c>
      <c r="O51" s="57">
        <f>IF(M51=1,1,0)</f>
        <v>0</v>
      </c>
      <c r="P51" s="209">
        <f>IF(M51=2,1,0)</f>
        <v>0</v>
      </c>
      <c r="Q51" s="209">
        <f>IF(M51=3,1,0)</f>
        <v>1</v>
      </c>
      <c r="R51" s="8">
        <f>IF(M51=4,1,0)</f>
        <v>0</v>
      </c>
      <c r="S51" s="198"/>
      <c r="T51" s="26"/>
      <c r="U51" s="13"/>
    </row>
    <row r="52" spans="2:21" ht="20.100000000000001" customHeight="1" x14ac:dyDescent="0.25">
      <c r="B52" s="13"/>
      <c r="C52" s="26"/>
      <c r="D52" s="26"/>
      <c r="E52" s="96" t="s">
        <v>46</v>
      </c>
      <c r="F52" s="246" t="s">
        <v>6</v>
      </c>
      <c r="G52" s="47">
        <v>1</v>
      </c>
      <c r="H52" s="47" t="s">
        <v>312</v>
      </c>
      <c r="I52" s="47">
        <v>-10</v>
      </c>
      <c r="J52" s="47">
        <v>125</v>
      </c>
      <c r="K52" s="47" t="s">
        <v>13</v>
      </c>
      <c r="L52" s="48">
        <f>IF(J52="",0,(J52/J55)*100)</f>
        <v>74.404761904761912</v>
      </c>
      <c r="M52" s="47">
        <v>4</v>
      </c>
      <c r="N52" s="60">
        <v>0</v>
      </c>
      <c r="O52" s="205">
        <f>IF(M52=1,1,0)</f>
        <v>0</v>
      </c>
      <c r="P52" s="207">
        <f>IF(M52=2,1,0)</f>
        <v>0</v>
      </c>
      <c r="Q52" s="207">
        <f>IF(M52=3,1,0)</f>
        <v>0</v>
      </c>
      <c r="R52" s="9">
        <f>IF(M52=4,1,0)</f>
        <v>1</v>
      </c>
      <c r="S52" s="198"/>
      <c r="T52" s="26"/>
      <c r="U52" s="13"/>
    </row>
    <row r="53" spans="2:21" ht="20.100000000000001" customHeight="1" x14ac:dyDescent="0.25">
      <c r="B53" s="13"/>
      <c r="C53" s="26"/>
      <c r="D53" s="26"/>
      <c r="E53" s="96" t="s">
        <v>127</v>
      </c>
      <c r="F53" s="246" t="s">
        <v>7</v>
      </c>
      <c r="G53" s="47">
        <v>4</v>
      </c>
      <c r="H53" s="47" t="s">
        <v>313</v>
      </c>
      <c r="I53" s="47">
        <v>-16</v>
      </c>
      <c r="J53" s="47">
        <v>138</v>
      </c>
      <c r="K53" s="47" t="s">
        <v>13</v>
      </c>
      <c r="L53" s="48">
        <f>IF(J53="",0,(J53/J55)*100)</f>
        <v>82.142857142857139</v>
      </c>
      <c r="M53" s="47">
        <v>2</v>
      </c>
      <c r="N53" s="60">
        <v>3</v>
      </c>
      <c r="O53" s="205">
        <f>IF(M53=1,1,0)</f>
        <v>0</v>
      </c>
      <c r="P53" s="207">
        <f>IF(M53=2,1,0)</f>
        <v>1</v>
      </c>
      <c r="Q53" s="207">
        <f>IF(M53=3,1,0)</f>
        <v>0</v>
      </c>
      <c r="R53" s="9">
        <f>IF(M53=4,1,0)</f>
        <v>0</v>
      </c>
      <c r="S53" s="198"/>
      <c r="T53" s="26"/>
      <c r="U53" s="13"/>
    </row>
    <row r="54" spans="2:21" ht="20.100000000000001" customHeight="1" thickBot="1" x14ac:dyDescent="0.3">
      <c r="B54" s="13"/>
      <c r="C54" s="26"/>
      <c r="D54" s="68"/>
      <c r="E54" s="310" t="s">
        <v>4</v>
      </c>
      <c r="F54" s="283" t="s">
        <v>9</v>
      </c>
      <c r="G54" s="284">
        <v>3</v>
      </c>
      <c r="H54" s="284" t="s">
        <v>314</v>
      </c>
      <c r="I54" s="284">
        <v>-1</v>
      </c>
      <c r="J54" s="284">
        <v>168</v>
      </c>
      <c r="K54" s="284" t="s">
        <v>13</v>
      </c>
      <c r="L54" s="286">
        <f>IF(J54="",0,(J54/J55)*100)</f>
        <v>100</v>
      </c>
      <c r="M54" s="284">
        <v>1</v>
      </c>
      <c r="N54" s="287">
        <v>6</v>
      </c>
      <c r="O54" s="58">
        <f>IF(M54=1,1,0)</f>
        <v>1</v>
      </c>
      <c r="P54" s="208">
        <f>IF(M54=2,1,0)</f>
        <v>0</v>
      </c>
      <c r="Q54" s="208">
        <f>IF(M54=3,1,0)</f>
        <v>0</v>
      </c>
      <c r="R54" s="10">
        <f>IF(M54=4,1,0)</f>
        <v>0</v>
      </c>
      <c r="S54" s="198"/>
      <c r="T54" s="26"/>
      <c r="U54" s="13"/>
    </row>
    <row r="55" spans="2:21" ht="20.100000000000001" hidden="1" customHeight="1" outlineLevel="1" x14ac:dyDescent="0.25">
      <c r="B55" s="13"/>
      <c r="C55" s="26"/>
      <c r="D55" s="71"/>
      <c r="E55" s="71"/>
      <c r="F55" s="553"/>
      <c r="G55" s="553"/>
      <c r="H55" s="26"/>
      <c r="I55" s="193" t="s">
        <v>29</v>
      </c>
      <c r="J55" s="23">
        <f>MAX(J51:J54)</f>
        <v>168</v>
      </c>
      <c r="K55" s="73"/>
      <c r="L55" s="72"/>
      <c r="M55" s="26"/>
      <c r="N55" s="63" t="s">
        <v>33</v>
      </c>
      <c r="O55" s="20">
        <f>SUM(O51:O54)</f>
        <v>1</v>
      </c>
      <c r="P55" s="21">
        <f>SUM(P51:P54)</f>
        <v>1</v>
      </c>
      <c r="Q55" s="20">
        <f>SUM(Q51:Q54)</f>
        <v>1</v>
      </c>
      <c r="R55" s="20">
        <f>SUM(R51:R54)</f>
        <v>1</v>
      </c>
      <c r="S55" s="69"/>
      <c r="T55" s="26"/>
      <c r="U55" s="13"/>
    </row>
    <row r="56" spans="2:21" ht="20.100000000000001" customHeight="1" collapsed="1" x14ac:dyDescent="0.25">
      <c r="B56" s="13"/>
      <c r="C56" s="26"/>
      <c r="D56" s="26"/>
      <c r="E56" s="26"/>
      <c r="F56" s="607"/>
      <c r="G56" s="607"/>
      <c r="H56" s="199"/>
      <c r="I56" s="26"/>
      <c r="J56" s="26"/>
      <c r="K56" s="26"/>
      <c r="L56" s="26"/>
      <c r="M56" s="26"/>
      <c r="N56" s="26"/>
      <c r="O56" s="26"/>
      <c r="P56" s="26"/>
      <c r="Q56" s="26"/>
      <c r="R56" s="26"/>
      <c r="S56" s="26"/>
      <c r="T56" s="26"/>
      <c r="U56" s="13"/>
    </row>
    <row r="57" spans="2:21" ht="20.100000000000001" customHeight="1" x14ac:dyDescent="0.25">
      <c r="B57" s="13"/>
      <c r="U57" s="13"/>
    </row>
    <row r="58" spans="2:21" ht="20.100000000000001" customHeight="1" thickBot="1" x14ac:dyDescent="0.3">
      <c r="B58" s="13"/>
      <c r="C58" s="27"/>
      <c r="D58" s="27"/>
      <c r="E58" s="554" t="str">
        <f>IF(OR(M40="-",M40= ""),H40,M40)</f>
        <v>Orakel von Delphi</v>
      </c>
      <c r="F58" s="554"/>
      <c r="G58" s="554"/>
      <c r="H58" s="554"/>
      <c r="I58" s="554"/>
      <c r="J58" s="554"/>
      <c r="K58" s="554"/>
      <c r="L58" s="554"/>
      <c r="M58" s="554"/>
      <c r="N58" s="554"/>
      <c r="O58" s="197"/>
      <c r="P58" s="197"/>
      <c r="Q58" s="197"/>
      <c r="R58" s="197"/>
      <c r="S58" s="197"/>
      <c r="T58" s="27"/>
      <c r="U58" s="13"/>
    </row>
    <row r="59" spans="2:21" ht="50.1" customHeight="1" thickBot="1" x14ac:dyDescent="0.3">
      <c r="B59" s="13"/>
      <c r="C59" s="27"/>
      <c r="D59" s="197"/>
      <c r="E59" s="88" t="s">
        <v>10</v>
      </c>
      <c r="F59" s="125" t="s">
        <v>52</v>
      </c>
      <c r="G59" s="89" t="s">
        <v>14</v>
      </c>
      <c r="H59" s="200" t="s">
        <v>51</v>
      </c>
      <c r="I59" s="18" t="s">
        <v>54</v>
      </c>
      <c r="J59" s="200" t="s">
        <v>53</v>
      </c>
      <c r="K59" s="206" t="s">
        <v>28</v>
      </c>
      <c r="L59" s="200" t="s">
        <v>37</v>
      </c>
      <c r="M59" s="204" t="s">
        <v>16</v>
      </c>
      <c r="N59" s="89" t="s">
        <v>15</v>
      </c>
      <c r="O59" s="5" t="s">
        <v>30</v>
      </c>
      <c r="P59" s="7" t="s">
        <v>34</v>
      </c>
      <c r="Q59" s="7" t="s">
        <v>31</v>
      </c>
      <c r="R59" s="7" t="s">
        <v>32</v>
      </c>
      <c r="S59" s="197"/>
      <c r="T59" s="27"/>
      <c r="U59" s="13"/>
    </row>
    <row r="60" spans="2:21" ht="30" customHeight="1" x14ac:dyDescent="0.25">
      <c r="B60" s="13"/>
      <c r="C60" s="27"/>
      <c r="D60" s="27"/>
      <c r="E60" s="233" t="s">
        <v>0</v>
      </c>
      <c r="F60" s="254" t="s">
        <v>5</v>
      </c>
      <c r="G60" s="49">
        <v>1</v>
      </c>
      <c r="H60" s="122" t="s">
        <v>275</v>
      </c>
      <c r="I60" s="49" t="s">
        <v>13</v>
      </c>
      <c r="J60" s="122" t="s">
        <v>121</v>
      </c>
      <c r="K60" s="122" t="s">
        <v>13</v>
      </c>
      <c r="L60" s="50">
        <f>(L52+L69+L78)/3</f>
        <v>53.690476190476197</v>
      </c>
      <c r="M60" s="49">
        <v>4</v>
      </c>
      <c r="N60" s="61">
        <v>0</v>
      </c>
      <c r="O60" s="57">
        <f>IF(M60=1,1,0)</f>
        <v>0</v>
      </c>
      <c r="P60" s="209">
        <f>IF(M60=2,1,0)</f>
        <v>0</v>
      </c>
      <c r="Q60" s="209">
        <f>IF(M60=3,1,0)</f>
        <v>0</v>
      </c>
      <c r="R60" s="8">
        <f>IF(M60=4,1,0)</f>
        <v>1</v>
      </c>
      <c r="S60" s="203"/>
      <c r="T60" s="27"/>
      <c r="U60" s="13"/>
    </row>
    <row r="61" spans="2:21" ht="42" customHeight="1" x14ac:dyDescent="0.25">
      <c r="B61" s="13"/>
      <c r="C61" s="27"/>
      <c r="D61" s="67"/>
      <c r="E61" s="96" t="s">
        <v>46</v>
      </c>
      <c r="F61" s="246" t="s">
        <v>6</v>
      </c>
      <c r="G61" s="47">
        <v>3</v>
      </c>
      <c r="H61" s="100" t="s">
        <v>279</v>
      </c>
      <c r="I61" s="47" t="s">
        <v>13</v>
      </c>
      <c r="J61" s="100" t="s">
        <v>122</v>
      </c>
      <c r="K61" s="100" t="s">
        <v>13</v>
      </c>
      <c r="L61" s="48">
        <f>(L53+L71+L80)/3</f>
        <v>81.158730158730165</v>
      </c>
      <c r="M61" s="47">
        <v>2</v>
      </c>
      <c r="N61" s="60">
        <v>3</v>
      </c>
      <c r="O61" s="205">
        <f>IF(M61=1,1,0)</f>
        <v>0</v>
      </c>
      <c r="P61" s="207">
        <f>IF(M61=2,1,0)</f>
        <v>1</v>
      </c>
      <c r="Q61" s="207">
        <f>IF(M61=3,1,0)</f>
        <v>0</v>
      </c>
      <c r="R61" s="9">
        <f>IF(M61=4,1,0)</f>
        <v>0</v>
      </c>
      <c r="S61" s="203"/>
      <c r="T61" s="27"/>
      <c r="U61" s="13"/>
    </row>
    <row r="62" spans="2:21" ht="42" customHeight="1" x14ac:dyDescent="0.25">
      <c r="B62" s="13"/>
      <c r="C62" s="27"/>
      <c r="D62" s="27"/>
      <c r="E62" s="110" t="s">
        <v>127</v>
      </c>
      <c r="F62" s="273" t="s">
        <v>7</v>
      </c>
      <c r="G62" s="149">
        <v>4</v>
      </c>
      <c r="H62" s="123" t="s">
        <v>278</v>
      </c>
      <c r="I62" s="149" t="s">
        <v>13</v>
      </c>
      <c r="J62" s="123" t="s">
        <v>120</v>
      </c>
      <c r="K62" s="123" t="s">
        <v>13</v>
      </c>
      <c r="L62" s="38">
        <v>100</v>
      </c>
      <c r="M62" s="149">
        <v>1</v>
      </c>
      <c r="N62" s="108">
        <v>6</v>
      </c>
      <c r="O62" s="205">
        <f>IF(M62=1,1,0)</f>
        <v>1</v>
      </c>
      <c r="P62" s="207">
        <f>IF(M62=2,1,0)</f>
        <v>0</v>
      </c>
      <c r="Q62" s="207">
        <f>IF(M62=3,1,0)</f>
        <v>0</v>
      </c>
      <c r="R62" s="9">
        <f>IF(M62=4,1,0)</f>
        <v>0</v>
      </c>
      <c r="S62" s="203"/>
      <c r="T62" s="27"/>
      <c r="U62" s="13"/>
    </row>
    <row r="63" spans="2:21" ht="42" customHeight="1" thickBot="1" x14ac:dyDescent="0.3">
      <c r="B63" s="13"/>
      <c r="C63" s="27"/>
      <c r="D63" s="27"/>
      <c r="E63" s="144" t="s">
        <v>4</v>
      </c>
      <c r="F63" s="256" t="s">
        <v>9</v>
      </c>
      <c r="G63" s="150">
        <v>2</v>
      </c>
      <c r="H63" s="107" t="s">
        <v>277</v>
      </c>
      <c r="I63" s="150" t="s">
        <v>13</v>
      </c>
      <c r="J63" s="107" t="s">
        <v>271</v>
      </c>
      <c r="K63" s="150" t="s">
        <v>13</v>
      </c>
      <c r="L63" s="17">
        <f>(L51+L72+L81)/3</f>
        <v>74.539682539682545</v>
      </c>
      <c r="M63" s="150">
        <v>3</v>
      </c>
      <c r="N63" s="59">
        <v>1</v>
      </c>
      <c r="O63" s="58">
        <f>IF(M63=1,1,0)</f>
        <v>0</v>
      </c>
      <c r="P63" s="208">
        <f>IF(M63=2,1,0)</f>
        <v>0</v>
      </c>
      <c r="Q63" s="208">
        <f>IF(M63=3,1,0)</f>
        <v>1</v>
      </c>
      <c r="R63" s="10">
        <f>IF(M63=4,1,0)</f>
        <v>0</v>
      </c>
      <c r="S63" s="203"/>
      <c r="T63" s="27"/>
      <c r="U63" s="13"/>
    </row>
    <row r="64" spans="2:21" ht="20.100000000000001" hidden="1" customHeight="1" outlineLevel="1" x14ac:dyDescent="0.25">
      <c r="B64" s="13"/>
      <c r="C64" s="27"/>
      <c r="D64" s="27"/>
      <c r="E64" s="27"/>
      <c r="F64" s="531"/>
      <c r="G64" s="531"/>
      <c r="H64" s="27"/>
      <c r="I64" s="62" t="s">
        <v>29</v>
      </c>
      <c r="J64" s="23">
        <f>MAX(J60:J63)</f>
        <v>0</v>
      </c>
      <c r="K64" s="75"/>
      <c r="L64" s="203"/>
      <c r="M64" s="27"/>
      <c r="N64" s="63" t="s">
        <v>33</v>
      </c>
      <c r="O64" s="20">
        <f>SUM(O60:O63)</f>
        <v>1</v>
      </c>
      <c r="P64" s="21">
        <f>SUM(P60:P63)</f>
        <v>1</v>
      </c>
      <c r="Q64" s="20">
        <f>SUM(Q60:Q63)</f>
        <v>1</v>
      </c>
      <c r="R64" s="22">
        <f>SUM(R60:R63)</f>
        <v>1</v>
      </c>
      <c r="S64" s="74"/>
      <c r="T64" s="27"/>
      <c r="U64" s="13"/>
    </row>
    <row r="65" spans="2:23" ht="20.100000000000001" customHeight="1" collapsed="1" x14ac:dyDescent="0.25">
      <c r="B65" s="13"/>
      <c r="C65" s="27"/>
      <c r="D65" s="27"/>
      <c r="E65" s="27"/>
      <c r="F65" s="27"/>
      <c r="G65" s="27"/>
      <c r="H65" s="27"/>
      <c r="I65" s="27"/>
      <c r="J65" s="27"/>
      <c r="K65" s="27"/>
      <c r="L65" s="27"/>
      <c r="M65" s="27"/>
      <c r="N65" s="27"/>
      <c r="O65" s="27"/>
      <c r="P65" s="27"/>
      <c r="Q65" s="27"/>
      <c r="R65" s="27"/>
      <c r="S65" s="27"/>
      <c r="T65" s="27"/>
      <c r="U65" s="13"/>
    </row>
    <row r="66" spans="2:23" ht="20.100000000000001" customHeight="1" x14ac:dyDescent="0.25">
      <c r="B66" s="13"/>
      <c r="D66" s="28"/>
      <c r="E66" s="28"/>
      <c r="F66" s="28"/>
      <c r="G66" s="28"/>
      <c r="H66" s="29"/>
      <c r="I66" s="28"/>
      <c r="J66" s="28"/>
      <c r="U66" s="13"/>
    </row>
    <row r="67" spans="2:23" ht="20.100000000000001" customHeight="1" thickBot="1" x14ac:dyDescent="0.3">
      <c r="B67" s="13"/>
      <c r="C67" s="30"/>
      <c r="D67" s="30"/>
      <c r="E67" s="532" t="str">
        <f>IF(OR(M44="-",M44= ""),H44,M44)</f>
        <v>Dungeon Lords</v>
      </c>
      <c r="F67" s="532"/>
      <c r="G67" s="532"/>
      <c r="H67" s="532"/>
      <c r="I67" s="532"/>
      <c r="J67" s="532"/>
      <c r="K67" s="532"/>
      <c r="L67" s="532"/>
      <c r="M67" s="532"/>
      <c r="N67" s="532"/>
      <c r="O67" s="196"/>
      <c r="P67" s="196"/>
      <c r="Q67" s="196"/>
      <c r="R67" s="196"/>
      <c r="S67" s="196"/>
      <c r="T67" s="30"/>
      <c r="U67" s="14"/>
      <c r="V67" s="1"/>
      <c r="W67" s="1"/>
    </row>
    <row r="68" spans="2:23" ht="50.1" customHeight="1" thickBot="1" x14ac:dyDescent="0.3">
      <c r="B68" s="13"/>
      <c r="C68" s="30"/>
      <c r="D68" s="196"/>
      <c r="E68" s="88" t="s">
        <v>10</v>
      </c>
      <c r="F68" s="125" t="s">
        <v>52</v>
      </c>
      <c r="G68" s="89" t="s">
        <v>14</v>
      </c>
      <c r="H68" s="200" t="s">
        <v>51</v>
      </c>
      <c r="I68" s="18" t="s">
        <v>54</v>
      </c>
      <c r="J68" s="200" t="s">
        <v>53</v>
      </c>
      <c r="K68" s="206" t="s">
        <v>28</v>
      </c>
      <c r="L68" s="200" t="s">
        <v>37</v>
      </c>
      <c r="M68" s="204" t="s">
        <v>16</v>
      </c>
      <c r="N68" s="89" t="s">
        <v>15</v>
      </c>
      <c r="O68" s="5" t="s">
        <v>30</v>
      </c>
      <c r="P68" s="7" t="s">
        <v>34</v>
      </c>
      <c r="Q68" s="7" t="s">
        <v>31</v>
      </c>
      <c r="R68" s="19" t="s">
        <v>32</v>
      </c>
      <c r="S68" s="196"/>
      <c r="T68" s="30"/>
      <c r="U68" s="14"/>
      <c r="V68" s="1"/>
      <c r="W68" s="1"/>
    </row>
    <row r="69" spans="2:23" ht="20.100000000000001" customHeight="1" x14ac:dyDescent="0.25">
      <c r="B69" s="13"/>
      <c r="C69" s="30"/>
      <c r="D69" s="30"/>
      <c r="E69" s="233" t="s">
        <v>0</v>
      </c>
      <c r="F69" s="254" t="s">
        <v>5</v>
      </c>
      <c r="G69" s="49">
        <v>1</v>
      </c>
      <c r="H69" s="122" t="s">
        <v>13</v>
      </c>
      <c r="I69" s="49">
        <v>0</v>
      </c>
      <c r="J69" s="180">
        <v>10</v>
      </c>
      <c r="K69" s="49" t="s">
        <v>13</v>
      </c>
      <c r="L69" s="50">
        <f>IF(J69="",0,(J69/J73)*100)</f>
        <v>40</v>
      </c>
      <c r="M69" s="49">
        <v>4</v>
      </c>
      <c r="N69" s="61">
        <v>0</v>
      </c>
      <c r="O69" s="57">
        <f>IF(M69=1,1,0)</f>
        <v>0</v>
      </c>
      <c r="P69" s="209">
        <f>IF(M69=2,1,0)</f>
        <v>0</v>
      </c>
      <c r="Q69" s="209">
        <f>IF(M69=3,1,0)</f>
        <v>0</v>
      </c>
      <c r="R69" s="8">
        <f>IF(M69=4,1,0)</f>
        <v>1</v>
      </c>
      <c r="S69" s="194"/>
      <c r="T69" s="30"/>
      <c r="U69" s="13"/>
    </row>
    <row r="70" spans="2:23" ht="20.100000000000001" customHeight="1" x14ac:dyDescent="0.25">
      <c r="B70" s="13"/>
      <c r="C70" s="30"/>
      <c r="D70" s="66"/>
      <c r="E70" s="110" t="s">
        <v>46</v>
      </c>
      <c r="F70" s="273" t="s">
        <v>6</v>
      </c>
      <c r="G70" s="149">
        <v>3</v>
      </c>
      <c r="H70" s="149" t="s">
        <v>13</v>
      </c>
      <c r="I70" s="149">
        <v>0</v>
      </c>
      <c r="J70" s="184">
        <v>25</v>
      </c>
      <c r="K70" s="149" t="s">
        <v>13</v>
      </c>
      <c r="L70" s="38">
        <f>IF(J70="",0,(J70/J73)*100)</f>
        <v>100</v>
      </c>
      <c r="M70" s="149">
        <v>1</v>
      </c>
      <c r="N70" s="108">
        <v>6</v>
      </c>
      <c r="O70" s="205">
        <f>IF(M70=1,1,0)</f>
        <v>1</v>
      </c>
      <c r="P70" s="207">
        <f>IF(M70=2,1,0)</f>
        <v>0</v>
      </c>
      <c r="Q70" s="207">
        <f>IF(M70=3,1,0)</f>
        <v>0</v>
      </c>
      <c r="R70" s="9">
        <f>IF(M70=4,1,0)</f>
        <v>0</v>
      </c>
      <c r="S70" s="194"/>
      <c r="T70" s="30"/>
      <c r="U70" s="31"/>
    </row>
    <row r="71" spans="2:23" ht="20.100000000000001" customHeight="1" x14ac:dyDescent="0.25">
      <c r="B71" s="13"/>
      <c r="C71" s="30"/>
      <c r="D71" s="30"/>
      <c r="E71" s="96" t="s">
        <v>127</v>
      </c>
      <c r="F71" s="246" t="s">
        <v>7</v>
      </c>
      <c r="G71" s="47">
        <v>2</v>
      </c>
      <c r="H71" s="100" t="s">
        <v>13</v>
      </c>
      <c r="I71" s="47">
        <v>0</v>
      </c>
      <c r="J71" s="158">
        <v>22</v>
      </c>
      <c r="K71" s="47" t="s">
        <v>13</v>
      </c>
      <c r="L71" s="48">
        <f>IF(J71="",0,(J71/J73)*100)</f>
        <v>88</v>
      </c>
      <c r="M71" s="47">
        <v>2</v>
      </c>
      <c r="N71" s="60">
        <v>3</v>
      </c>
      <c r="O71" s="205">
        <f>IF(M71=1,1,0)</f>
        <v>0</v>
      </c>
      <c r="P71" s="207">
        <f>IF(M71=2,1,0)</f>
        <v>1</v>
      </c>
      <c r="Q71" s="207">
        <f>IF(M71=3,1,0)</f>
        <v>0</v>
      </c>
      <c r="R71" s="9">
        <f>IF(M71=4,1,0)</f>
        <v>0</v>
      </c>
      <c r="S71" s="194"/>
      <c r="T71" s="30"/>
      <c r="U71" s="31"/>
    </row>
    <row r="72" spans="2:23" ht="20.100000000000001" customHeight="1" thickBot="1" x14ac:dyDescent="0.3">
      <c r="B72" s="13"/>
      <c r="C72" s="30"/>
      <c r="D72" s="30"/>
      <c r="E72" s="144" t="s">
        <v>4</v>
      </c>
      <c r="F72" s="256" t="s">
        <v>9</v>
      </c>
      <c r="G72" s="150">
        <v>4</v>
      </c>
      <c r="H72" s="107" t="s">
        <v>13</v>
      </c>
      <c r="I72" s="150">
        <v>0</v>
      </c>
      <c r="J72" s="356">
        <v>19</v>
      </c>
      <c r="K72" s="150" t="s">
        <v>13</v>
      </c>
      <c r="L72" s="17">
        <f>IF(J72="",0,(J72/J73)*100)</f>
        <v>76</v>
      </c>
      <c r="M72" s="150">
        <v>3</v>
      </c>
      <c r="N72" s="59">
        <v>1</v>
      </c>
      <c r="O72" s="58">
        <f>IF(M72=1,1,0)</f>
        <v>0</v>
      </c>
      <c r="P72" s="208">
        <f>IF(M72=2,1,0)</f>
        <v>0</v>
      </c>
      <c r="Q72" s="208">
        <f>IF(M72=3,1,0)</f>
        <v>1</v>
      </c>
      <c r="R72" s="10">
        <f>IF(M72=4,1,0)</f>
        <v>0</v>
      </c>
      <c r="S72" s="194"/>
      <c r="T72" s="30"/>
      <c r="U72" s="31"/>
    </row>
    <row r="73" spans="2:23" ht="20.100000000000001" hidden="1" customHeight="1" outlineLevel="1" x14ac:dyDescent="0.25">
      <c r="B73" s="13"/>
      <c r="C73" s="30"/>
      <c r="D73" s="30"/>
      <c r="E73" s="30"/>
      <c r="F73" s="533"/>
      <c r="G73" s="533"/>
      <c r="H73" s="30"/>
      <c r="I73" s="64" t="s">
        <v>29</v>
      </c>
      <c r="J73" s="23">
        <f>MAX(J69:J72)</f>
        <v>25</v>
      </c>
      <c r="K73" s="76"/>
      <c r="L73" s="194"/>
      <c r="M73" s="30"/>
      <c r="N73" s="63"/>
      <c r="O73" s="20">
        <f>SUM(O69:O72)</f>
        <v>1</v>
      </c>
      <c r="P73" s="21">
        <f>SUM(P69:P72)</f>
        <v>1</v>
      </c>
      <c r="Q73" s="20">
        <f>SUM(Q69:Q72)</f>
        <v>1</v>
      </c>
      <c r="R73" s="22">
        <f>SUM(R69:R72)</f>
        <v>1</v>
      </c>
      <c r="S73" s="77"/>
      <c r="T73" s="30"/>
      <c r="U73" s="31"/>
    </row>
    <row r="74" spans="2:23" ht="20.100000000000001" customHeight="1" collapsed="1" x14ac:dyDescent="0.25">
      <c r="B74" s="13"/>
      <c r="C74" s="30"/>
      <c r="D74" s="30"/>
      <c r="E74" s="30"/>
      <c r="F74" s="30"/>
      <c r="G74" s="30"/>
      <c r="H74" s="30"/>
      <c r="I74" s="30"/>
      <c r="J74" s="30"/>
      <c r="K74" s="30"/>
      <c r="L74" s="30"/>
      <c r="M74" s="30"/>
      <c r="N74" s="30"/>
      <c r="O74" s="30"/>
      <c r="P74" s="30"/>
      <c r="Q74" s="30"/>
      <c r="R74" s="30"/>
      <c r="S74" s="30"/>
      <c r="T74" s="30"/>
      <c r="U74" s="31"/>
    </row>
    <row r="75" spans="2:23" ht="20.100000000000001" customHeight="1" x14ac:dyDescent="0.25">
      <c r="B75" s="13"/>
      <c r="D75" s="28"/>
      <c r="E75" s="28"/>
      <c r="F75" s="28"/>
      <c r="G75" s="28"/>
      <c r="H75" s="29"/>
      <c r="I75" s="28"/>
      <c r="J75" s="28"/>
      <c r="K75" s="28"/>
      <c r="U75" s="13"/>
    </row>
    <row r="76" spans="2:23" ht="20.100000000000001" customHeight="1" thickBot="1" x14ac:dyDescent="0.3">
      <c r="B76" s="13"/>
      <c r="C76" s="32"/>
      <c r="D76" s="32"/>
      <c r="E76" s="534" t="str">
        <f>IF(OR(M46="-",M46= ""),H46,M46)</f>
        <v>Res Arcana</v>
      </c>
      <c r="F76" s="534"/>
      <c r="G76" s="534"/>
      <c r="H76" s="534"/>
      <c r="I76" s="534"/>
      <c r="J76" s="534"/>
      <c r="K76" s="534"/>
      <c r="L76" s="534"/>
      <c r="M76" s="534"/>
      <c r="N76" s="534"/>
      <c r="O76" s="195"/>
      <c r="P76" s="195"/>
      <c r="Q76" s="195"/>
      <c r="R76" s="195"/>
      <c r="S76" s="195"/>
      <c r="T76" s="32"/>
      <c r="U76" s="13"/>
    </row>
    <row r="77" spans="2:23" ht="50.1" customHeight="1" thickBot="1" x14ac:dyDescent="0.3">
      <c r="B77" s="13"/>
      <c r="C77" s="32"/>
      <c r="D77" s="195"/>
      <c r="E77" s="88" t="s">
        <v>10</v>
      </c>
      <c r="F77" s="125" t="s">
        <v>52</v>
      </c>
      <c r="G77" s="89" t="s">
        <v>14</v>
      </c>
      <c r="H77" s="200" t="s">
        <v>51</v>
      </c>
      <c r="I77" s="18" t="s">
        <v>54</v>
      </c>
      <c r="J77" s="200" t="s">
        <v>53</v>
      </c>
      <c r="K77" s="206" t="s">
        <v>28</v>
      </c>
      <c r="L77" s="200" t="s">
        <v>37</v>
      </c>
      <c r="M77" s="204" t="s">
        <v>16</v>
      </c>
      <c r="N77" s="89" t="s">
        <v>15</v>
      </c>
      <c r="O77" s="5" t="s">
        <v>30</v>
      </c>
      <c r="P77" s="7" t="s">
        <v>34</v>
      </c>
      <c r="Q77" s="7" t="s">
        <v>31</v>
      </c>
      <c r="R77" s="19" t="s">
        <v>32</v>
      </c>
      <c r="S77" s="195"/>
      <c r="T77" s="32"/>
      <c r="U77" s="13"/>
    </row>
    <row r="78" spans="2:23" ht="20.100000000000001" customHeight="1" x14ac:dyDescent="0.25">
      <c r="B78" s="13"/>
      <c r="C78" s="32"/>
      <c r="D78" s="32"/>
      <c r="E78" s="233" t="s">
        <v>0</v>
      </c>
      <c r="F78" s="254" t="s">
        <v>5</v>
      </c>
      <c r="G78" s="49">
        <v>2</v>
      </c>
      <c r="H78" s="122" t="s">
        <v>146</v>
      </c>
      <c r="I78" s="49">
        <v>0</v>
      </c>
      <c r="J78" s="49">
        <v>7</v>
      </c>
      <c r="K78" s="49" t="s">
        <v>13</v>
      </c>
      <c r="L78" s="50">
        <f>IF(J78="",0,(J78/J82)*100)</f>
        <v>46.666666666666664</v>
      </c>
      <c r="M78" s="49">
        <v>4</v>
      </c>
      <c r="N78" s="61">
        <v>0</v>
      </c>
      <c r="O78" s="57">
        <f>IF(M78=1,1,0)</f>
        <v>0</v>
      </c>
      <c r="P78" s="209">
        <f>IF(M78=2,1,0)</f>
        <v>0</v>
      </c>
      <c r="Q78" s="209">
        <f>IF(M78=3,1,0)</f>
        <v>0</v>
      </c>
      <c r="R78" s="8">
        <f>IF(M78=4,1,0)</f>
        <v>1</v>
      </c>
      <c r="S78" s="201"/>
      <c r="T78" s="32"/>
      <c r="U78" s="13"/>
    </row>
    <row r="79" spans="2:23" ht="20.100000000000001" customHeight="1" x14ac:dyDescent="0.25">
      <c r="B79" s="13"/>
      <c r="C79" s="32"/>
      <c r="D79" s="32"/>
      <c r="E79" s="110" t="s">
        <v>46</v>
      </c>
      <c r="F79" s="273" t="s">
        <v>6</v>
      </c>
      <c r="G79" s="149">
        <v>3</v>
      </c>
      <c r="H79" s="149" t="s">
        <v>309</v>
      </c>
      <c r="I79" s="149">
        <v>0</v>
      </c>
      <c r="J79" s="149">
        <v>15</v>
      </c>
      <c r="K79" s="149" t="s">
        <v>13</v>
      </c>
      <c r="L79" s="38">
        <f>IF(J79="",0,(J79/J82)*100)</f>
        <v>100</v>
      </c>
      <c r="M79" s="149">
        <v>1</v>
      </c>
      <c r="N79" s="108">
        <v>6</v>
      </c>
      <c r="O79" s="205">
        <f>IF(M79=1,1,0)</f>
        <v>1</v>
      </c>
      <c r="P79" s="207">
        <f>IF(M79=2,1,0)</f>
        <v>0</v>
      </c>
      <c r="Q79" s="207">
        <f>IF(M79=3,1,0)</f>
        <v>0</v>
      </c>
      <c r="R79" s="9">
        <f>IF(M79=4,1,0)</f>
        <v>0</v>
      </c>
      <c r="S79" s="201"/>
      <c r="T79" s="32"/>
      <c r="U79" s="13"/>
    </row>
    <row r="80" spans="2:23" ht="20.100000000000001" customHeight="1" x14ac:dyDescent="0.25">
      <c r="B80" s="13"/>
      <c r="C80" s="32"/>
      <c r="D80" s="32"/>
      <c r="E80" s="96" t="s">
        <v>127</v>
      </c>
      <c r="F80" s="246" t="s">
        <v>60</v>
      </c>
      <c r="G80" s="47">
        <v>1</v>
      </c>
      <c r="H80" s="47" t="s">
        <v>308</v>
      </c>
      <c r="I80" s="47">
        <v>0</v>
      </c>
      <c r="J80" s="47">
        <v>11</v>
      </c>
      <c r="K80" s="47" t="s">
        <v>13</v>
      </c>
      <c r="L80" s="48">
        <f>IF(J80="",0,(J80/J82)*100)</f>
        <v>73.333333333333329</v>
      </c>
      <c r="M80" s="47">
        <v>2</v>
      </c>
      <c r="N80" s="60">
        <v>3</v>
      </c>
      <c r="O80" s="205">
        <f>IF(M80=1,1,0)</f>
        <v>0</v>
      </c>
      <c r="P80" s="207">
        <f>IF(M80=2,1,0)</f>
        <v>1</v>
      </c>
      <c r="Q80" s="207">
        <f>IF(M80=3,1,0)</f>
        <v>0</v>
      </c>
      <c r="R80" s="9">
        <f>IF(M80=4,1,0)</f>
        <v>0</v>
      </c>
      <c r="S80" s="201"/>
      <c r="T80" s="32"/>
      <c r="U80" s="13"/>
    </row>
    <row r="81" spans="2:31" ht="20.100000000000001" customHeight="1" thickBot="1" x14ac:dyDescent="0.3">
      <c r="B81" s="13"/>
      <c r="C81" s="32"/>
      <c r="D81" s="65"/>
      <c r="E81" s="144" t="s">
        <v>4</v>
      </c>
      <c r="F81" s="256" t="s">
        <v>9</v>
      </c>
      <c r="G81" s="150">
        <v>4</v>
      </c>
      <c r="H81" s="150" t="s">
        <v>310</v>
      </c>
      <c r="I81" s="150">
        <v>0</v>
      </c>
      <c r="J81" s="150">
        <v>10</v>
      </c>
      <c r="K81" s="150" t="s">
        <v>13</v>
      </c>
      <c r="L81" s="17">
        <f>IF(J81="",0,(J81/J82)*100)</f>
        <v>66.666666666666657</v>
      </c>
      <c r="M81" s="150">
        <v>3</v>
      </c>
      <c r="N81" s="59">
        <v>1</v>
      </c>
      <c r="O81" s="58">
        <f>IF(M81=1,1,0)</f>
        <v>0</v>
      </c>
      <c r="P81" s="208">
        <f>IF(M81=2,1,0)</f>
        <v>0</v>
      </c>
      <c r="Q81" s="208">
        <f>IF(M81=3,1,0)</f>
        <v>1</v>
      </c>
      <c r="R81" s="10">
        <f>IF(M81=4,1,0)</f>
        <v>0</v>
      </c>
      <c r="S81" s="201"/>
      <c r="T81" s="32"/>
      <c r="U81" s="13"/>
    </row>
    <row r="82" spans="2:31" ht="20.100000000000001" hidden="1" customHeight="1" outlineLevel="1" x14ac:dyDescent="0.25">
      <c r="B82" s="13"/>
      <c r="C82" s="32"/>
      <c r="D82" s="32"/>
      <c r="E82" s="32"/>
      <c r="F82" s="535"/>
      <c r="G82" s="535"/>
      <c r="H82" s="32"/>
      <c r="I82" s="62" t="s">
        <v>29</v>
      </c>
      <c r="J82" s="23">
        <f>MAX(J78:J81)</f>
        <v>15</v>
      </c>
      <c r="K82" s="78"/>
      <c r="L82" s="201"/>
      <c r="M82" s="32"/>
      <c r="N82" s="63" t="s">
        <v>33</v>
      </c>
      <c r="O82" s="20">
        <f>SUM(O78:O81)</f>
        <v>1</v>
      </c>
      <c r="P82" s="21">
        <f>SUM(P78:P81)</f>
        <v>1</v>
      </c>
      <c r="Q82" s="20">
        <f>SUM(Q78:Q81)</f>
        <v>1</v>
      </c>
      <c r="R82" s="22">
        <f>SUM(R78:R81)</f>
        <v>1</v>
      </c>
      <c r="S82" s="79"/>
      <c r="T82" s="32"/>
      <c r="U82" s="13"/>
    </row>
    <row r="83" spans="2:31" ht="20.100000000000001" customHeight="1" collapsed="1" x14ac:dyDescent="0.25">
      <c r="B83" s="13"/>
      <c r="C83" s="32"/>
      <c r="D83" s="32"/>
      <c r="E83" s="32"/>
      <c r="F83" s="32"/>
      <c r="G83" s="32"/>
      <c r="H83" s="32"/>
      <c r="I83" s="32"/>
      <c r="J83" s="32"/>
      <c r="K83" s="32"/>
      <c r="L83" s="32"/>
      <c r="M83" s="32"/>
      <c r="N83" s="32"/>
      <c r="O83" s="32"/>
      <c r="P83" s="32"/>
      <c r="Q83" s="32"/>
      <c r="R83" s="32"/>
      <c r="S83" s="32"/>
      <c r="T83" s="32"/>
      <c r="U83" s="13"/>
    </row>
    <row r="84" spans="2:31" ht="20.100000000000001" customHeight="1" x14ac:dyDescent="0.25">
      <c r="B84" s="13"/>
      <c r="D84" s="4"/>
      <c r="E84" s="4"/>
      <c r="F84" s="4"/>
      <c r="G84" s="4"/>
      <c r="H84" s="4"/>
      <c r="I84" s="4"/>
      <c r="J84" s="4"/>
      <c r="U84" s="13"/>
    </row>
    <row r="85" spans="2:31" ht="30" customHeight="1" thickBot="1" x14ac:dyDescent="0.3">
      <c r="B85" s="13"/>
      <c r="C85" s="33"/>
      <c r="D85" s="536" t="s">
        <v>49</v>
      </c>
      <c r="E85" s="536"/>
      <c r="F85" s="536"/>
      <c r="G85" s="536"/>
      <c r="H85" s="536"/>
      <c r="I85" s="536"/>
      <c r="J85" s="536"/>
      <c r="K85" s="536"/>
      <c r="L85" s="536"/>
      <c r="M85" s="536"/>
      <c r="N85" s="536"/>
      <c r="O85" s="536"/>
      <c r="P85" s="536"/>
      <c r="Q85" s="536"/>
      <c r="R85" s="536"/>
      <c r="S85" s="536"/>
      <c r="T85" s="33"/>
      <c r="U85" s="13"/>
    </row>
    <row r="86" spans="2:31" ht="50.1" customHeight="1" thickBot="1" x14ac:dyDescent="0.3">
      <c r="B86" s="13"/>
      <c r="C86" s="33"/>
      <c r="D86" s="90" t="s">
        <v>10</v>
      </c>
      <c r="E86" s="93" t="s">
        <v>139</v>
      </c>
      <c r="F86" s="91" t="s">
        <v>15</v>
      </c>
      <c r="G86" s="42" t="s">
        <v>55</v>
      </c>
      <c r="H86" s="537" t="s">
        <v>56</v>
      </c>
      <c r="I86" s="538"/>
      <c r="J86" s="202" t="s">
        <v>66</v>
      </c>
      <c r="K86" s="92" t="s">
        <v>17</v>
      </c>
      <c r="L86" s="91" t="s">
        <v>18</v>
      </c>
      <c r="M86" s="92" t="s">
        <v>19</v>
      </c>
      <c r="N86" s="91" t="s">
        <v>20</v>
      </c>
      <c r="O86" s="130"/>
      <c r="P86" s="126"/>
      <c r="Q86" s="126"/>
      <c r="R86" s="126"/>
      <c r="S86" s="93" t="s">
        <v>38</v>
      </c>
      <c r="T86" s="33"/>
      <c r="U86" s="13"/>
    </row>
    <row r="87" spans="2:31" ht="20.100000000000001" customHeight="1" x14ac:dyDescent="0.25">
      <c r="B87" s="13"/>
      <c r="C87" s="33"/>
      <c r="D87" s="329" t="s">
        <v>46</v>
      </c>
      <c r="E87" s="375" t="s">
        <v>6</v>
      </c>
      <c r="F87" s="266">
        <f>(K87*6+L87*3+M87*1+N87*0)</f>
        <v>15</v>
      </c>
      <c r="G87" s="266">
        <v>0</v>
      </c>
      <c r="H87" s="802" t="s">
        <v>13</v>
      </c>
      <c r="I87" s="803"/>
      <c r="J87" s="266">
        <f>F87+G87</f>
        <v>15</v>
      </c>
      <c r="K87" s="266">
        <v>2</v>
      </c>
      <c r="L87" s="266">
        <v>1</v>
      </c>
      <c r="M87" s="266">
        <v>0</v>
      </c>
      <c r="N87" s="266">
        <v>1</v>
      </c>
      <c r="O87" s="266"/>
      <c r="P87" s="266"/>
      <c r="Q87" s="266"/>
      <c r="R87" s="266"/>
      <c r="S87" s="146">
        <f>(L52+L61+L70+L79)/4</f>
        <v>88.890873015873012</v>
      </c>
      <c r="T87" s="33"/>
      <c r="U87" s="13"/>
      <c r="W87" s="127"/>
      <c r="X87" s="127"/>
      <c r="Y87" s="127"/>
      <c r="Z87" s="127"/>
    </row>
    <row r="88" spans="2:31" ht="20.100000000000001" customHeight="1" x14ac:dyDescent="0.25">
      <c r="B88" s="13"/>
      <c r="C88" s="33"/>
      <c r="D88" s="155" t="s">
        <v>127</v>
      </c>
      <c r="E88" s="357" t="s">
        <v>60</v>
      </c>
      <c r="F88" s="265">
        <f>(K88*6+L88*3+M88*1+N88*0)</f>
        <v>15</v>
      </c>
      <c r="G88" s="265">
        <v>0</v>
      </c>
      <c r="H88" s="804" t="s">
        <v>13</v>
      </c>
      <c r="I88" s="805"/>
      <c r="J88" s="265">
        <f>F88+G88</f>
        <v>15</v>
      </c>
      <c r="K88" s="265">
        <v>1</v>
      </c>
      <c r="L88" s="265">
        <v>3</v>
      </c>
      <c r="M88" s="265">
        <v>0</v>
      </c>
      <c r="N88" s="265">
        <v>0</v>
      </c>
      <c r="O88" s="265"/>
      <c r="P88" s="265"/>
      <c r="Q88" s="265"/>
      <c r="R88" s="265"/>
      <c r="S88" s="145">
        <f>(L53+L62+L71+L80)/4</f>
        <v>85.869047619047606</v>
      </c>
      <c r="T88" s="33"/>
      <c r="U88" s="13"/>
      <c r="W88" s="192"/>
      <c r="X88" s="192"/>
      <c r="Y88" s="192"/>
      <c r="Z88" s="192"/>
    </row>
    <row r="89" spans="2:31" ht="20.100000000000001" customHeight="1" x14ac:dyDescent="0.25">
      <c r="B89" s="13"/>
      <c r="C89" s="33"/>
      <c r="D89" s="155" t="s">
        <v>4</v>
      </c>
      <c r="E89" s="357" t="s">
        <v>9</v>
      </c>
      <c r="F89" s="265">
        <f>(K89*6+L89*3+M89*1+N89*0)</f>
        <v>9</v>
      </c>
      <c r="G89" s="265">
        <v>0</v>
      </c>
      <c r="H89" s="605" t="s">
        <v>13</v>
      </c>
      <c r="I89" s="605"/>
      <c r="J89" s="265">
        <f>F89+G89</f>
        <v>9</v>
      </c>
      <c r="K89" s="265">
        <v>1</v>
      </c>
      <c r="L89" s="265">
        <v>0</v>
      </c>
      <c r="M89" s="265">
        <v>3</v>
      </c>
      <c r="N89" s="265">
        <v>0</v>
      </c>
      <c r="O89" s="265"/>
      <c r="P89" s="265"/>
      <c r="Q89" s="265"/>
      <c r="R89" s="265"/>
      <c r="S89" s="145">
        <f>(L54+L63+L72+L81)/4</f>
        <v>79.30158730158729</v>
      </c>
      <c r="T89" s="33"/>
      <c r="U89" s="13"/>
      <c r="W89" s="192"/>
      <c r="X89" s="192"/>
      <c r="Y89" s="192"/>
      <c r="Z89" s="192"/>
    </row>
    <row r="90" spans="2:31" ht="20.100000000000001" customHeight="1" thickBot="1" x14ac:dyDescent="0.3">
      <c r="B90" s="13"/>
      <c r="C90" s="33"/>
      <c r="D90" s="260" t="s">
        <v>0</v>
      </c>
      <c r="E90" s="376" t="s">
        <v>5</v>
      </c>
      <c r="F90" s="267">
        <f>(K90*6+L90*3+M90*1+N90*0)</f>
        <v>1</v>
      </c>
      <c r="G90" s="267">
        <v>0</v>
      </c>
      <c r="H90" s="583" t="s">
        <v>13</v>
      </c>
      <c r="I90" s="806"/>
      <c r="J90" s="267">
        <f>F90+G90</f>
        <v>1</v>
      </c>
      <c r="K90" s="267">
        <v>0</v>
      </c>
      <c r="L90" s="267">
        <v>0</v>
      </c>
      <c r="M90" s="267">
        <v>1</v>
      </c>
      <c r="N90" s="267">
        <v>3</v>
      </c>
      <c r="O90" s="267"/>
      <c r="P90" s="267"/>
      <c r="Q90" s="267"/>
      <c r="R90" s="267"/>
      <c r="S90" s="147">
        <f>(L51+L60+L69+L78)/4</f>
        <v>55.327380952380949</v>
      </c>
      <c r="T90" s="33"/>
      <c r="U90" s="13"/>
      <c r="W90" s="192"/>
      <c r="X90" s="192"/>
      <c r="Y90" s="192"/>
      <c r="Z90" s="192"/>
      <c r="AB90" s="192"/>
      <c r="AC90" s="192"/>
      <c r="AD90" s="192"/>
      <c r="AE90" s="192"/>
    </row>
    <row r="91" spans="2:31" ht="20.100000000000001" customHeight="1" x14ac:dyDescent="0.25">
      <c r="B91" s="13"/>
      <c r="C91" s="33"/>
      <c r="D91" s="373"/>
      <c r="E91" s="373"/>
      <c r="F91" s="16"/>
      <c r="G91" s="16"/>
      <c r="H91" s="782"/>
      <c r="I91" s="783"/>
      <c r="J91" s="16"/>
      <c r="K91" s="16"/>
      <c r="L91" s="16"/>
      <c r="M91" s="16"/>
      <c r="N91" s="16"/>
      <c r="O91" s="16"/>
      <c r="P91" s="16"/>
      <c r="Q91" s="16"/>
      <c r="R91" s="16"/>
      <c r="S91" s="374"/>
      <c r="T91" s="33"/>
      <c r="U91" s="13"/>
      <c r="W91" s="192"/>
      <c r="X91" s="192"/>
      <c r="Y91" s="192"/>
      <c r="Z91" s="192"/>
    </row>
    <row r="92" spans="2:31" ht="20.100000000000001" customHeight="1" x14ac:dyDescent="0.25">
      <c r="B92" s="13"/>
      <c r="C92" s="13"/>
      <c r="D92" s="15"/>
      <c r="E92" s="15"/>
      <c r="F92" s="14"/>
      <c r="G92" s="14"/>
      <c r="H92" s="15"/>
      <c r="I92" s="15"/>
      <c r="J92" s="15"/>
      <c r="K92" s="13"/>
      <c r="L92" s="13"/>
      <c r="M92" s="13"/>
      <c r="N92" s="13"/>
      <c r="O92" s="13"/>
      <c r="P92" s="13"/>
      <c r="Q92" s="13"/>
      <c r="R92" s="13"/>
      <c r="S92" s="13"/>
      <c r="T92" s="13"/>
      <c r="U92" s="13"/>
    </row>
    <row r="93" spans="2:31" ht="20.100000000000001" customHeight="1" x14ac:dyDescent="0.25">
      <c r="D93" s="11"/>
    </row>
    <row r="94" spans="2:31" ht="20.100000000000001" customHeight="1" x14ac:dyDescent="0.25">
      <c r="D94" s="34"/>
    </row>
    <row r="95" spans="2:31" ht="20.100000000000001" customHeight="1" x14ac:dyDescent="0.25">
      <c r="B95" s="13"/>
      <c r="C95" s="13"/>
      <c r="D95" s="25"/>
      <c r="E95" s="25"/>
      <c r="F95" s="25"/>
      <c r="G95" s="25"/>
      <c r="H95" s="13"/>
      <c r="I95" s="13"/>
      <c r="J95" s="13"/>
      <c r="K95" s="13"/>
      <c r="L95" s="13"/>
      <c r="M95" s="13"/>
      <c r="N95" s="13"/>
      <c r="O95" s="13"/>
      <c r="P95" s="13"/>
      <c r="Q95" s="13"/>
      <c r="R95" s="13"/>
      <c r="S95" s="13"/>
      <c r="T95" s="13"/>
      <c r="U95" s="13"/>
    </row>
    <row r="96" spans="2:31" ht="30" customHeight="1" x14ac:dyDescent="0.25">
      <c r="B96" s="13"/>
      <c r="C96" s="555" t="s">
        <v>74</v>
      </c>
      <c r="D96" s="555"/>
      <c r="E96" s="555"/>
      <c r="F96" s="555"/>
      <c r="G96" s="555"/>
      <c r="H96" s="555"/>
      <c r="I96" s="555"/>
      <c r="J96" s="555"/>
      <c r="K96" s="555"/>
      <c r="L96" s="555"/>
      <c r="M96" s="555"/>
      <c r="N96" s="555"/>
      <c r="O96" s="555"/>
      <c r="P96" s="555"/>
      <c r="Q96" s="555"/>
      <c r="R96" s="555"/>
      <c r="S96" s="555"/>
      <c r="T96" s="555"/>
      <c r="U96" s="13"/>
    </row>
    <row r="97" spans="2:21" ht="20.100000000000001" customHeight="1" thickBot="1" x14ac:dyDescent="0.3">
      <c r="B97" s="13"/>
      <c r="U97" s="13"/>
    </row>
    <row r="98" spans="2:21" ht="20.100000000000001" customHeight="1" thickBot="1" x14ac:dyDescent="0.3">
      <c r="B98" s="13"/>
      <c r="D98" s="556" t="s">
        <v>10</v>
      </c>
      <c r="E98" s="558" t="s">
        <v>139</v>
      </c>
      <c r="F98" s="560" t="s">
        <v>22</v>
      </c>
      <c r="G98" s="561" t="s">
        <v>42</v>
      </c>
      <c r="H98" s="561"/>
      <c r="I98" s="561"/>
      <c r="J98" s="562"/>
      <c r="K98" s="200" t="s">
        <v>36</v>
      </c>
      <c r="L98" s="563" t="s">
        <v>27</v>
      </c>
      <c r="M98" s="561"/>
      <c r="N98" s="561"/>
      <c r="O98" s="561"/>
      <c r="P98" s="561"/>
      <c r="Q98" s="561"/>
      <c r="R98" s="561"/>
      <c r="S98" s="562"/>
      <c r="U98" s="13"/>
    </row>
    <row r="99" spans="2:21" ht="20.100000000000001" customHeight="1" thickBot="1" x14ac:dyDescent="0.3">
      <c r="B99" s="13"/>
      <c r="D99" s="557"/>
      <c r="E99" s="559"/>
      <c r="F99" s="559"/>
      <c r="G99" s="86" t="s">
        <v>43</v>
      </c>
      <c r="H99" s="85" t="s">
        <v>24</v>
      </c>
      <c r="I99" s="556" t="s">
        <v>23</v>
      </c>
      <c r="J99" s="564"/>
      <c r="K99" s="85" t="s">
        <v>25</v>
      </c>
      <c r="L99" s="94" t="s">
        <v>43</v>
      </c>
      <c r="M99" s="87" t="s">
        <v>26</v>
      </c>
      <c r="N99" s="556" t="s">
        <v>23</v>
      </c>
      <c r="O99" s="588"/>
      <c r="P99" s="588"/>
      <c r="Q99" s="588"/>
      <c r="R99" s="588"/>
      <c r="S99" s="564"/>
      <c r="U99" s="13"/>
    </row>
    <row r="100" spans="2:21" ht="15" customHeight="1" x14ac:dyDescent="0.25">
      <c r="B100" s="13"/>
      <c r="D100" s="641" t="s">
        <v>114</v>
      </c>
      <c r="E100" s="733" t="s">
        <v>102</v>
      </c>
      <c r="F100" s="801">
        <v>1</v>
      </c>
      <c r="G100" s="784" t="s">
        <v>44</v>
      </c>
      <c r="H100" s="589" t="s">
        <v>288</v>
      </c>
      <c r="I100" s="656" t="s">
        <v>292</v>
      </c>
      <c r="J100" s="657"/>
      <c r="K100" s="738" t="s">
        <v>118</v>
      </c>
      <c r="L100" s="740" t="s">
        <v>13</v>
      </c>
      <c r="M100" s="627" t="s">
        <v>13</v>
      </c>
      <c r="N100" s="630" t="s">
        <v>13</v>
      </c>
      <c r="O100" s="631"/>
      <c r="P100" s="631"/>
      <c r="Q100" s="631"/>
      <c r="R100" s="631"/>
      <c r="S100" s="632"/>
      <c r="U100" s="13"/>
    </row>
    <row r="101" spans="2:21" ht="15" customHeight="1" x14ac:dyDescent="0.25">
      <c r="B101" s="13"/>
      <c r="D101" s="642"/>
      <c r="E101" s="742"/>
      <c r="F101" s="765"/>
      <c r="G101" s="785"/>
      <c r="H101" s="786"/>
      <c r="I101" s="639" t="s">
        <v>293</v>
      </c>
      <c r="J101" s="640"/>
      <c r="K101" s="662"/>
      <c r="L101" s="731"/>
      <c r="M101" s="628"/>
      <c r="N101" s="633"/>
      <c r="O101" s="634"/>
      <c r="P101" s="634"/>
      <c r="Q101" s="634"/>
      <c r="R101" s="634"/>
      <c r="S101" s="635"/>
      <c r="U101" s="13"/>
    </row>
    <row r="102" spans="2:21" ht="15" customHeight="1" x14ac:dyDescent="0.25">
      <c r="B102" s="13"/>
      <c r="D102" s="642"/>
      <c r="E102" s="742"/>
      <c r="F102" s="765"/>
      <c r="G102" s="785"/>
      <c r="H102" s="786"/>
      <c r="I102" s="639" t="s">
        <v>294</v>
      </c>
      <c r="J102" s="640"/>
      <c r="K102" s="662"/>
      <c r="L102" s="731"/>
      <c r="M102" s="628"/>
      <c r="N102" s="633"/>
      <c r="O102" s="634"/>
      <c r="P102" s="634"/>
      <c r="Q102" s="634"/>
      <c r="R102" s="634"/>
      <c r="S102" s="635"/>
      <c r="U102" s="13"/>
    </row>
    <row r="103" spans="2:21" ht="15" customHeight="1" x14ac:dyDescent="0.25">
      <c r="B103" s="13"/>
      <c r="D103" s="643"/>
      <c r="E103" s="734"/>
      <c r="F103" s="766"/>
      <c r="G103" s="785"/>
      <c r="H103" s="786"/>
      <c r="I103" s="639" t="s">
        <v>295</v>
      </c>
      <c r="J103" s="640"/>
      <c r="K103" s="739"/>
      <c r="L103" s="732"/>
      <c r="M103" s="629"/>
      <c r="N103" s="636"/>
      <c r="O103" s="637"/>
      <c r="P103" s="637"/>
      <c r="Q103" s="637"/>
      <c r="R103" s="637"/>
      <c r="S103" s="638"/>
      <c r="U103" s="13"/>
    </row>
    <row r="104" spans="2:21" ht="15" customHeight="1" x14ac:dyDescent="0.25">
      <c r="B104" s="13"/>
      <c r="D104" s="674" t="s">
        <v>90</v>
      </c>
      <c r="E104" s="677" t="s">
        <v>92</v>
      </c>
      <c r="F104" s="764">
        <v>2</v>
      </c>
      <c r="G104" s="788" t="s">
        <v>44</v>
      </c>
      <c r="H104" s="592" t="s">
        <v>118</v>
      </c>
      <c r="I104" s="671" t="s">
        <v>289</v>
      </c>
      <c r="J104" s="673"/>
      <c r="K104" s="660" t="s">
        <v>12</v>
      </c>
      <c r="L104" s="730" t="s">
        <v>13</v>
      </c>
      <c r="M104" s="689" t="s">
        <v>13</v>
      </c>
      <c r="N104" s="658" t="s">
        <v>13</v>
      </c>
      <c r="O104" s="659"/>
      <c r="P104" s="659"/>
      <c r="Q104" s="659"/>
      <c r="R104" s="659"/>
      <c r="S104" s="660"/>
      <c r="U104" s="13"/>
    </row>
    <row r="105" spans="2:21" ht="15" customHeight="1" x14ac:dyDescent="0.25">
      <c r="B105" s="13"/>
      <c r="D105" s="675"/>
      <c r="E105" s="645"/>
      <c r="F105" s="765"/>
      <c r="G105" s="788"/>
      <c r="H105" s="592"/>
      <c r="I105" s="661" t="s">
        <v>290</v>
      </c>
      <c r="J105" s="662"/>
      <c r="K105" s="635"/>
      <c r="L105" s="731"/>
      <c r="M105" s="628"/>
      <c r="N105" s="633"/>
      <c r="O105" s="634"/>
      <c r="P105" s="634"/>
      <c r="Q105" s="634"/>
      <c r="R105" s="634"/>
      <c r="S105" s="635"/>
      <c r="U105" s="13"/>
    </row>
    <row r="106" spans="2:21" ht="15" customHeight="1" x14ac:dyDescent="0.25">
      <c r="B106" s="13"/>
      <c r="D106" s="676"/>
      <c r="E106" s="646"/>
      <c r="F106" s="766"/>
      <c r="G106" s="788"/>
      <c r="H106" s="592"/>
      <c r="I106" s="661" t="s">
        <v>291</v>
      </c>
      <c r="J106" s="662"/>
      <c r="K106" s="638"/>
      <c r="L106" s="732"/>
      <c r="M106" s="629"/>
      <c r="N106" s="636"/>
      <c r="O106" s="637"/>
      <c r="P106" s="637"/>
      <c r="Q106" s="637"/>
      <c r="R106" s="637"/>
      <c r="S106" s="638"/>
      <c r="U106" s="13"/>
    </row>
    <row r="107" spans="2:21" ht="15" customHeight="1" x14ac:dyDescent="0.25">
      <c r="B107" s="13"/>
      <c r="D107" s="663" t="s">
        <v>1</v>
      </c>
      <c r="E107" s="741" t="s">
        <v>11</v>
      </c>
      <c r="F107" s="764">
        <v>3</v>
      </c>
      <c r="G107" s="819" t="s">
        <v>35</v>
      </c>
      <c r="H107" s="820" t="s">
        <v>70</v>
      </c>
      <c r="I107" s="681" t="s">
        <v>209</v>
      </c>
      <c r="J107" s="684"/>
      <c r="K107" s="695" t="s">
        <v>12</v>
      </c>
      <c r="L107" s="730" t="s">
        <v>13</v>
      </c>
      <c r="M107" s="689" t="s">
        <v>13</v>
      </c>
      <c r="N107" s="658" t="s">
        <v>13</v>
      </c>
      <c r="O107" s="659"/>
      <c r="P107" s="659"/>
      <c r="Q107" s="659"/>
      <c r="R107" s="659"/>
      <c r="S107" s="660"/>
      <c r="U107" s="13"/>
    </row>
    <row r="108" spans="2:21" ht="15" customHeight="1" x14ac:dyDescent="0.25">
      <c r="B108" s="13"/>
      <c r="D108" s="642"/>
      <c r="E108" s="742"/>
      <c r="F108" s="765"/>
      <c r="G108" s="819"/>
      <c r="H108" s="820"/>
      <c r="I108" s="682" t="s">
        <v>210</v>
      </c>
      <c r="J108" s="702"/>
      <c r="K108" s="698"/>
      <c r="L108" s="731"/>
      <c r="M108" s="628"/>
      <c r="N108" s="633"/>
      <c r="O108" s="634"/>
      <c r="P108" s="634"/>
      <c r="Q108" s="634"/>
      <c r="R108" s="634"/>
      <c r="S108" s="635"/>
      <c r="U108" s="13"/>
    </row>
    <row r="109" spans="2:21" ht="15" customHeight="1" x14ac:dyDescent="0.25">
      <c r="B109" s="13"/>
      <c r="D109" s="642"/>
      <c r="E109" s="742"/>
      <c r="F109" s="765"/>
      <c r="G109" s="819"/>
      <c r="H109" s="820"/>
      <c r="I109" s="682" t="s">
        <v>208</v>
      </c>
      <c r="J109" s="702"/>
      <c r="K109" s="698"/>
      <c r="L109" s="731"/>
      <c r="M109" s="628"/>
      <c r="N109" s="633"/>
      <c r="O109" s="634"/>
      <c r="P109" s="634"/>
      <c r="Q109" s="634"/>
      <c r="R109" s="634"/>
      <c r="S109" s="635"/>
      <c r="U109" s="13"/>
    </row>
    <row r="110" spans="2:21" ht="15" customHeight="1" x14ac:dyDescent="0.25">
      <c r="B110" s="13"/>
      <c r="D110" s="643"/>
      <c r="E110" s="734"/>
      <c r="F110" s="766"/>
      <c r="G110" s="819"/>
      <c r="H110" s="820"/>
      <c r="I110" s="683" t="s">
        <v>207</v>
      </c>
      <c r="J110" s="751"/>
      <c r="K110" s="701"/>
      <c r="L110" s="732"/>
      <c r="M110" s="629"/>
      <c r="N110" s="636"/>
      <c r="O110" s="637"/>
      <c r="P110" s="637"/>
      <c r="Q110" s="637"/>
      <c r="R110" s="637"/>
      <c r="S110" s="638"/>
      <c r="U110" s="13"/>
    </row>
    <row r="111" spans="2:21" ht="20.100000000000001" customHeight="1" thickBot="1" x14ac:dyDescent="0.3">
      <c r="B111" s="13"/>
      <c r="D111" s="41" t="s">
        <v>3</v>
      </c>
      <c r="E111" s="255" t="s">
        <v>63</v>
      </c>
      <c r="F111" s="363">
        <v>4</v>
      </c>
      <c r="G111" s="304" t="s">
        <v>44</v>
      </c>
      <c r="H111" s="138" t="s">
        <v>216</v>
      </c>
      <c r="I111" s="749" t="s">
        <v>217</v>
      </c>
      <c r="J111" s="750"/>
      <c r="K111" s="179" t="s">
        <v>12</v>
      </c>
      <c r="L111" s="219" t="s">
        <v>13</v>
      </c>
      <c r="M111" s="56" t="s">
        <v>13</v>
      </c>
      <c r="N111" s="613" t="s">
        <v>13</v>
      </c>
      <c r="O111" s="550"/>
      <c r="P111" s="550"/>
      <c r="Q111" s="550"/>
      <c r="R111" s="550"/>
      <c r="S111" s="551"/>
      <c r="U111" s="13"/>
    </row>
    <row r="112" spans="2:21" ht="20.100000000000001" customHeight="1" x14ac:dyDescent="0.25">
      <c r="B112" s="13"/>
      <c r="U112" s="13"/>
    </row>
    <row r="113" spans="2:21" ht="20.100000000000001" customHeight="1" thickBot="1" x14ac:dyDescent="0.3">
      <c r="B113" s="13"/>
      <c r="C113" s="26"/>
      <c r="D113" s="26"/>
      <c r="E113" s="552" t="str">
        <f>IF(OR(L100="-",L100= ""),H100,L100)</f>
        <v>Teotihuacan: Die Stadt der Götter</v>
      </c>
      <c r="F113" s="552"/>
      <c r="G113" s="552"/>
      <c r="H113" s="552"/>
      <c r="I113" s="552"/>
      <c r="J113" s="552"/>
      <c r="K113" s="552"/>
      <c r="L113" s="552"/>
      <c r="M113" s="552"/>
      <c r="N113" s="552"/>
      <c r="O113" s="199"/>
      <c r="P113" s="199"/>
      <c r="Q113" s="199"/>
      <c r="R113" s="199"/>
      <c r="S113" s="199"/>
      <c r="T113" s="26"/>
      <c r="U113" s="13"/>
    </row>
    <row r="114" spans="2:21" ht="50.1" customHeight="1" thickBot="1" x14ac:dyDescent="0.3">
      <c r="B114" s="13"/>
      <c r="C114" s="26"/>
      <c r="D114" s="199"/>
      <c r="E114" s="88" t="s">
        <v>10</v>
      </c>
      <c r="F114" s="125" t="s">
        <v>52</v>
      </c>
      <c r="G114" s="89" t="s">
        <v>14</v>
      </c>
      <c r="H114" s="200" t="s">
        <v>51</v>
      </c>
      <c r="I114" s="18" t="s">
        <v>54</v>
      </c>
      <c r="J114" s="200" t="s">
        <v>53</v>
      </c>
      <c r="K114" s="206" t="s">
        <v>28</v>
      </c>
      <c r="L114" s="200" t="s">
        <v>37</v>
      </c>
      <c r="M114" s="204" t="s">
        <v>16</v>
      </c>
      <c r="N114" s="89" t="s">
        <v>15</v>
      </c>
      <c r="O114" s="5" t="s">
        <v>30</v>
      </c>
      <c r="P114" s="7" t="s">
        <v>34</v>
      </c>
      <c r="Q114" s="7" t="s">
        <v>31</v>
      </c>
      <c r="R114" s="19" t="s">
        <v>32</v>
      </c>
      <c r="S114" s="199"/>
      <c r="T114" s="26"/>
      <c r="U114" s="13"/>
    </row>
    <row r="115" spans="2:21" ht="20.100000000000001" customHeight="1" x14ac:dyDescent="0.25">
      <c r="B115" s="13"/>
      <c r="C115" s="26"/>
      <c r="D115" s="68"/>
      <c r="E115" s="327" t="s">
        <v>114</v>
      </c>
      <c r="F115" s="272" t="s">
        <v>102</v>
      </c>
      <c r="G115" s="157">
        <v>4</v>
      </c>
      <c r="H115" s="157" t="s">
        <v>13</v>
      </c>
      <c r="I115" s="157">
        <v>0</v>
      </c>
      <c r="J115" s="157">
        <v>251</v>
      </c>
      <c r="K115" s="157" t="s">
        <v>13</v>
      </c>
      <c r="L115" s="36">
        <f>IF(J115="",0,(J115/J119)*100)</f>
        <v>100</v>
      </c>
      <c r="M115" s="157">
        <v>1</v>
      </c>
      <c r="N115" s="99">
        <v>6</v>
      </c>
      <c r="O115" s="57">
        <f>IF(M115=1,1,0)</f>
        <v>1</v>
      </c>
      <c r="P115" s="209">
        <f>IF(M115=2,1,0)</f>
        <v>0</v>
      </c>
      <c r="Q115" s="209">
        <f>IF(M115=3,1,0)</f>
        <v>0</v>
      </c>
      <c r="R115" s="8">
        <f>IF(M115=4,1,0)</f>
        <v>0</v>
      </c>
      <c r="S115" s="198"/>
      <c r="T115" s="26"/>
      <c r="U115" s="13"/>
    </row>
    <row r="116" spans="2:21" ht="20.100000000000001" customHeight="1" x14ac:dyDescent="0.25">
      <c r="B116" s="13"/>
      <c r="C116" s="26"/>
      <c r="D116" s="26"/>
      <c r="E116" s="96" t="s">
        <v>90</v>
      </c>
      <c r="F116" s="247" t="s">
        <v>92</v>
      </c>
      <c r="G116" s="47">
        <v>2</v>
      </c>
      <c r="H116" s="47" t="s">
        <v>13</v>
      </c>
      <c r="I116" s="47">
        <v>0</v>
      </c>
      <c r="J116" s="47">
        <v>134</v>
      </c>
      <c r="K116" s="100" t="s">
        <v>13</v>
      </c>
      <c r="L116" s="48">
        <f>IF(J116="",0,(J116/J119)*100)</f>
        <v>53.386454183266927</v>
      </c>
      <c r="M116" s="47">
        <v>3</v>
      </c>
      <c r="N116" s="60">
        <v>1</v>
      </c>
      <c r="O116" s="205">
        <f>IF(M116=1,1,0)</f>
        <v>0</v>
      </c>
      <c r="P116" s="207">
        <f>IF(M116=2,1,0)</f>
        <v>0</v>
      </c>
      <c r="Q116" s="207">
        <f>IF(M116=3,1,0)</f>
        <v>1</v>
      </c>
      <c r="R116" s="9">
        <f>IF(M116=4,1,0)</f>
        <v>0</v>
      </c>
      <c r="S116" s="198"/>
      <c r="T116" s="26"/>
      <c r="U116" s="13"/>
    </row>
    <row r="117" spans="2:21" ht="20.100000000000001" customHeight="1" x14ac:dyDescent="0.25">
      <c r="B117" s="13"/>
      <c r="C117" s="26"/>
      <c r="D117" s="26"/>
      <c r="E117" s="303" t="s">
        <v>1</v>
      </c>
      <c r="F117" s="246" t="s">
        <v>11</v>
      </c>
      <c r="G117" s="47">
        <v>1</v>
      </c>
      <c r="H117" s="47" t="s">
        <v>13</v>
      </c>
      <c r="I117" s="47">
        <v>0</v>
      </c>
      <c r="J117" s="47">
        <v>120</v>
      </c>
      <c r="K117" s="47" t="s">
        <v>13</v>
      </c>
      <c r="L117" s="48">
        <f>IF(J117="",0,(J117/J119)*100)</f>
        <v>47.808764940239044</v>
      </c>
      <c r="M117" s="47">
        <v>4</v>
      </c>
      <c r="N117" s="60">
        <v>0</v>
      </c>
      <c r="O117" s="205">
        <f>IF(M117=1,1,0)</f>
        <v>0</v>
      </c>
      <c r="P117" s="207">
        <f>IF(M117=2,1,0)</f>
        <v>0</v>
      </c>
      <c r="Q117" s="207">
        <f>IF(M117=3,1,0)</f>
        <v>0</v>
      </c>
      <c r="R117" s="9">
        <f>IF(M117=4,1,0)</f>
        <v>1</v>
      </c>
      <c r="S117" s="198"/>
      <c r="T117" s="26"/>
      <c r="U117" s="13"/>
    </row>
    <row r="118" spans="2:21" ht="20.100000000000001" customHeight="1" thickBot="1" x14ac:dyDescent="0.3">
      <c r="B118" s="13"/>
      <c r="C118" s="26"/>
      <c r="D118" s="26"/>
      <c r="E118" s="354" t="s">
        <v>3</v>
      </c>
      <c r="F118" s="255" t="s">
        <v>63</v>
      </c>
      <c r="G118" s="150">
        <v>3</v>
      </c>
      <c r="H118" s="107" t="s">
        <v>13</v>
      </c>
      <c r="I118" s="150">
        <v>0</v>
      </c>
      <c r="J118" s="150">
        <v>210</v>
      </c>
      <c r="K118" s="107" t="s">
        <v>13</v>
      </c>
      <c r="L118" s="17">
        <f>IF(J118="",0,(J118/J119)*100)</f>
        <v>83.665338645418331</v>
      </c>
      <c r="M118" s="150">
        <v>2</v>
      </c>
      <c r="N118" s="59">
        <v>3</v>
      </c>
      <c r="O118" s="58">
        <f>IF(M118=1,1,0)</f>
        <v>0</v>
      </c>
      <c r="P118" s="208">
        <f>IF(M118=2,1,0)</f>
        <v>1</v>
      </c>
      <c r="Q118" s="208">
        <f>IF(M118=3,1,0)</f>
        <v>0</v>
      </c>
      <c r="R118" s="10">
        <f>IF(M118=4,1,0)</f>
        <v>0</v>
      </c>
      <c r="S118" s="198"/>
      <c r="T118" s="26"/>
      <c r="U118" s="13"/>
    </row>
    <row r="119" spans="2:21" ht="20.100000000000001" hidden="1" customHeight="1" outlineLevel="1" x14ac:dyDescent="0.25">
      <c r="B119" s="13"/>
      <c r="C119" s="26"/>
      <c r="D119" s="68"/>
      <c r="E119" s="68"/>
      <c r="F119" s="553"/>
      <c r="G119" s="553"/>
      <c r="H119" s="26"/>
      <c r="I119" s="64" t="s">
        <v>29</v>
      </c>
      <c r="J119" s="23">
        <f>MAX(J115:J118)</f>
        <v>251</v>
      </c>
      <c r="K119" s="70"/>
      <c r="L119" s="69"/>
      <c r="M119" s="26"/>
      <c r="N119" s="63" t="s">
        <v>33</v>
      </c>
      <c r="O119" s="20">
        <f>SUM(O115:O118)</f>
        <v>1</v>
      </c>
      <c r="P119" s="21">
        <f>SUM(P115:P118)</f>
        <v>1</v>
      </c>
      <c r="Q119" s="20">
        <f>SUM(Q115:Q118)</f>
        <v>1</v>
      </c>
      <c r="R119" s="22">
        <f>SUM(R115:R118)</f>
        <v>1</v>
      </c>
      <c r="S119" s="69"/>
      <c r="T119" s="26"/>
      <c r="U119" s="13"/>
    </row>
    <row r="120" spans="2:21" ht="20.100000000000001" customHeight="1" collapsed="1" x14ac:dyDescent="0.25">
      <c r="B120" s="13"/>
      <c r="C120" s="26"/>
      <c r="D120" s="26"/>
      <c r="E120" s="26"/>
      <c r="F120" s="26"/>
      <c r="G120" s="26"/>
      <c r="H120" s="26"/>
      <c r="I120" s="26"/>
      <c r="J120" s="26"/>
      <c r="K120" s="26"/>
      <c r="L120" s="26"/>
      <c r="M120" s="26"/>
      <c r="N120" s="26"/>
      <c r="O120" s="26"/>
      <c r="P120" s="26"/>
      <c r="Q120" s="26"/>
      <c r="R120" s="26"/>
      <c r="S120" s="26"/>
      <c r="T120" s="26"/>
      <c r="U120" s="13"/>
    </row>
    <row r="121" spans="2:21" ht="20.100000000000001" customHeight="1" x14ac:dyDescent="0.25">
      <c r="B121" s="13"/>
      <c r="U121" s="13"/>
    </row>
    <row r="122" spans="2:21" ht="20.100000000000001" customHeight="1" thickBot="1" x14ac:dyDescent="0.3">
      <c r="B122" s="13"/>
      <c r="C122" s="27"/>
      <c r="D122" s="27"/>
      <c r="E122" s="554" t="str">
        <f>IF(OR(L104="-",L104= ""),H104,L104)</f>
        <v>Marco Polo II: Im Auftrag des Khan</v>
      </c>
      <c r="F122" s="554"/>
      <c r="G122" s="554"/>
      <c r="H122" s="554"/>
      <c r="I122" s="554"/>
      <c r="J122" s="554"/>
      <c r="K122" s="554"/>
      <c r="L122" s="554"/>
      <c r="M122" s="554"/>
      <c r="N122" s="554"/>
      <c r="O122" s="197"/>
      <c r="P122" s="197"/>
      <c r="Q122" s="197"/>
      <c r="R122" s="197"/>
      <c r="S122" s="197"/>
      <c r="T122" s="27"/>
      <c r="U122" s="13"/>
    </row>
    <row r="123" spans="2:21" ht="50.1" customHeight="1" thickBot="1" x14ac:dyDescent="0.3">
      <c r="B123" s="13"/>
      <c r="C123" s="27"/>
      <c r="D123" s="197"/>
      <c r="E123" s="88" t="s">
        <v>10</v>
      </c>
      <c r="F123" s="125" t="s">
        <v>52</v>
      </c>
      <c r="G123" s="89" t="s">
        <v>14</v>
      </c>
      <c r="H123" s="200" t="s">
        <v>51</v>
      </c>
      <c r="I123" s="18" t="s">
        <v>54</v>
      </c>
      <c r="J123" s="200" t="s">
        <v>53</v>
      </c>
      <c r="K123" s="206" t="s">
        <v>28</v>
      </c>
      <c r="L123" s="200" t="s">
        <v>37</v>
      </c>
      <c r="M123" s="204" t="s">
        <v>16</v>
      </c>
      <c r="N123" s="89" t="s">
        <v>15</v>
      </c>
      <c r="O123" s="5" t="s">
        <v>30</v>
      </c>
      <c r="P123" s="7" t="s">
        <v>34</v>
      </c>
      <c r="Q123" s="7" t="s">
        <v>31</v>
      </c>
      <c r="R123" s="19" t="s">
        <v>32</v>
      </c>
      <c r="S123" s="197"/>
      <c r="T123" s="27"/>
      <c r="U123" s="13"/>
    </row>
    <row r="124" spans="2:21" ht="20.100000000000001" customHeight="1" x14ac:dyDescent="0.25">
      <c r="B124" s="13"/>
      <c r="C124" s="27"/>
      <c r="D124" s="67"/>
      <c r="E124" s="233" t="s">
        <v>114</v>
      </c>
      <c r="F124" s="254" t="s">
        <v>102</v>
      </c>
      <c r="G124" s="49">
        <v>1</v>
      </c>
      <c r="H124" s="122" t="s">
        <v>180</v>
      </c>
      <c r="I124" s="49">
        <v>0</v>
      </c>
      <c r="J124" s="122">
        <v>108</v>
      </c>
      <c r="K124" s="238" t="s">
        <v>323</v>
      </c>
      <c r="L124" s="50">
        <f>IF(J124="",0,(J124/J128)*100)</f>
        <v>71.05263157894737</v>
      </c>
      <c r="M124" s="49">
        <v>3</v>
      </c>
      <c r="N124" s="61">
        <v>1</v>
      </c>
      <c r="O124" s="57">
        <f>IF(M124=1,1,0)</f>
        <v>0</v>
      </c>
      <c r="P124" s="209">
        <f>IF(M124=2,1,0)</f>
        <v>0</v>
      </c>
      <c r="Q124" s="209">
        <f>IF(M124=3,1,0)</f>
        <v>1</v>
      </c>
      <c r="R124" s="8">
        <f>IF(M124=4,1,0)</f>
        <v>0</v>
      </c>
      <c r="S124" s="203"/>
      <c r="T124" s="27"/>
      <c r="U124" s="13"/>
    </row>
    <row r="125" spans="2:21" ht="20.100000000000001" customHeight="1" x14ac:dyDescent="0.25">
      <c r="B125" s="13"/>
      <c r="C125" s="27"/>
      <c r="D125" s="27"/>
      <c r="E125" s="96" t="s">
        <v>90</v>
      </c>
      <c r="F125" s="247" t="s">
        <v>92</v>
      </c>
      <c r="G125" s="47">
        <v>3</v>
      </c>
      <c r="H125" s="100" t="s">
        <v>321</v>
      </c>
      <c r="I125" s="47">
        <v>0</v>
      </c>
      <c r="J125" s="100">
        <v>136</v>
      </c>
      <c r="K125" s="100" t="s">
        <v>13</v>
      </c>
      <c r="L125" s="48">
        <f>IF(J125="",0,(J125/J128)*100)</f>
        <v>89.473684210526315</v>
      </c>
      <c r="M125" s="47">
        <v>2</v>
      </c>
      <c r="N125" s="60">
        <v>3</v>
      </c>
      <c r="O125" s="205">
        <f>IF(M125=1,1,0)</f>
        <v>0</v>
      </c>
      <c r="P125" s="207">
        <f>IF(M125=2,1,0)</f>
        <v>1</v>
      </c>
      <c r="Q125" s="207">
        <f>IF(M125=3,1,0)</f>
        <v>0</v>
      </c>
      <c r="R125" s="9">
        <f>IF(M125=4,1,0)</f>
        <v>0</v>
      </c>
      <c r="S125" s="203"/>
      <c r="T125" s="27"/>
      <c r="U125" s="13"/>
    </row>
    <row r="126" spans="2:21" ht="20.100000000000001" customHeight="1" x14ac:dyDescent="0.25">
      <c r="B126" s="13"/>
      <c r="C126" s="27"/>
      <c r="D126" s="67"/>
      <c r="E126" s="303" t="s">
        <v>1</v>
      </c>
      <c r="F126" s="246" t="s">
        <v>11</v>
      </c>
      <c r="G126" s="47">
        <v>4</v>
      </c>
      <c r="H126" s="100" t="s">
        <v>322</v>
      </c>
      <c r="I126" s="47">
        <v>0</v>
      </c>
      <c r="J126" s="100">
        <v>108</v>
      </c>
      <c r="K126" s="239" t="s">
        <v>324</v>
      </c>
      <c r="L126" s="48">
        <f>IF(J126="",0,(J126/J128)*100)</f>
        <v>71.05263157894737</v>
      </c>
      <c r="M126" s="47">
        <v>4</v>
      </c>
      <c r="N126" s="60">
        <v>0</v>
      </c>
      <c r="O126" s="205">
        <f>IF(M126=1,1,0)</f>
        <v>0</v>
      </c>
      <c r="P126" s="207">
        <f>IF(M126=2,1,0)</f>
        <v>0</v>
      </c>
      <c r="Q126" s="207">
        <f>IF(M126=3,1,0)</f>
        <v>0</v>
      </c>
      <c r="R126" s="9">
        <f>IF(M126=4,1,0)</f>
        <v>1</v>
      </c>
      <c r="S126" s="203"/>
      <c r="T126" s="27"/>
      <c r="U126" s="13"/>
    </row>
    <row r="127" spans="2:21" ht="20.100000000000001" customHeight="1" thickBot="1" x14ac:dyDescent="0.3">
      <c r="B127" s="13"/>
      <c r="C127" s="27"/>
      <c r="D127" s="27"/>
      <c r="E127" s="310" t="s">
        <v>3</v>
      </c>
      <c r="F127" s="283" t="s">
        <v>63</v>
      </c>
      <c r="G127" s="284">
        <v>2</v>
      </c>
      <c r="H127" s="285" t="s">
        <v>182</v>
      </c>
      <c r="I127" s="284">
        <v>0</v>
      </c>
      <c r="J127" s="285">
        <v>152</v>
      </c>
      <c r="K127" s="285" t="s">
        <v>13</v>
      </c>
      <c r="L127" s="286">
        <f>IF(J127="",0,(J127/J128)*100)</f>
        <v>100</v>
      </c>
      <c r="M127" s="284">
        <v>1</v>
      </c>
      <c r="N127" s="287">
        <v>6</v>
      </c>
      <c r="O127" s="58">
        <f>IF(M127=1,1,0)</f>
        <v>1</v>
      </c>
      <c r="P127" s="208">
        <f>IF(M127=2,1,0)</f>
        <v>0</v>
      </c>
      <c r="Q127" s="208">
        <f>IF(M127=3,1,0)</f>
        <v>0</v>
      </c>
      <c r="R127" s="10">
        <f>IF(M127=4,1,0)</f>
        <v>0</v>
      </c>
      <c r="S127" s="203"/>
      <c r="T127" s="27"/>
      <c r="U127" s="13"/>
    </row>
    <row r="128" spans="2:21" ht="20.100000000000001" hidden="1" customHeight="1" outlineLevel="1" x14ac:dyDescent="0.25">
      <c r="B128" s="13"/>
      <c r="C128" s="27"/>
      <c r="D128" s="27"/>
      <c r="E128" s="27"/>
      <c r="F128" s="531"/>
      <c r="G128" s="531"/>
      <c r="H128" s="27"/>
      <c r="I128" s="64" t="s">
        <v>29</v>
      </c>
      <c r="J128" s="23">
        <f>MAX(J124:J127)</f>
        <v>152</v>
      </c>
      <c r="K128" s="75"/>
      <c r="L128" s="203"/>
      <c r="M128" s="27"/>
      <c r="N128" s="63" t="s">
        <v>33</v>
      </c>
      <c r="O128" s="20">
        <f>SUM(O124:O127)</f>
        <v>1</v>
      </c>
      <c r="P128" s="21">
        <f>SUM(P124:P127)</f>
        <v>1</v>
      </c>
      <c r="Q128" s="20">
        <f>SUM(Q124:Q127)</f>
        <v>1</v>
      </c>
      <c r="R128" s="22">
        <f>SUM(R124:R127)</f>
        <v>1</v>
      </c>
      <c r="S128" s="74"/>
      <c r="T128" s="27"/>
      <c r="U128" s="13"/>
    </row>
    <row r="129" spans="2:21" ht="20.100000000000001" customHeight="1" collapsed="1" x14ac:dyDescent="0.25">
      <c r="B129" s="13"/>
      <c r="C129" s="27"/>
      <c r="D129" s="27"/>
      <c r="E129" s="27"/>
      <c r="F129" s="27"/>
      <c r="G129" s="27"/>
      <c r="H129" s="27"/>
      <c r="I129" s="27"/>
      <c r="J129" s="27"/>
      <c r="K129" s="27"/>
      <c r="L129" s="27"/>
      <c r="M129" s="27"/>
      <c r="N129" s="27"/>
      <c r="O129" s="27"/>
      <c r="P129" s="27"/>
      <c r="Q129" s="27"/>
      <c r="R129" s="27"/>
      <c r="S129" s="27"/>
      <c r="T129" s="27"/>
      <c r="U129" s="13"/>
    </row>
    <row r="130" spans="2:21" ht="20.100000000000001" customHeight="1" x14ac:dyDescent="0.25">
      <c r="B130" s="13"/>
      <c r="D130" s="28"/>
      <c r="E130" s="28"/>
      <c r="F130" s="28"/>
      <c r="G130" s="28"/>
      <c r="H130" s="29"/>
      <c r="I130" s="28"/>
      <c r="J130" s="28"/>
      <c r="U130" s="13"/>
    </row>
    <row r="131" spans="2:21" ht="20.100000000000001" customHeight="1" thickBot="1" x14ac:dyDescent="0.3">
      <c r="B131" s="13"/>
      <c r="C131" s="30"/>
      <c r="D131" s="30"/>
      <c r="E131" s="532" t="str">
        <f>IF(OR(L107="-",L107= ""),H107,L107)</f>
        <v>Rajas of the Ganges</v>
      </c>
      <c r="F131" s="532"/>
      <c r="G131" s="532"/>
      <c r="H131" s="532"/>
      <c r="I131" s="532"/>
      <c r="J131" s="532"/>
      <c r="K131" s="532"/>
      <c r="L131" s="532"/>
      <c r="M131" s="532"/>
      <c r="N131" s="532"/>
      <c r="O131" s="196"/>
      <c r="P131" s="196"/>
      <c r="Q131" s="196"/>
      <c r="R131" s="196"/>
      <c r="S131" s="196"/>
      <c r="T131" s="30"/>
      <c r="U131" s="14"/>
    </row>
    <row r="132" spans="2:21" ht="50.1" customHeight="1" thickBot="1" x14ac:dyDescent="0.3">
      <c r="B132" s="13"/>
      <c r="C132" s="30"/>
      <c r="D132" s="196"/>
      <c r="E132" s="88" t="s">
        <v>10</v>
      </c>
      <c r="F132" s="125" t="s">
        <v>52</v>
      </c>
      <c r="G132" s="89" t="s">
        <v>14</v>
      </c>
      <c r="H132" s="200" t="s">
        <v>51</v>
      </c>
      <c r="I132" s="18" t="s">
        <v>54</v>
      </c>
      <c r="J132" s="200" t="s">
        <v>53</v>
      </c>
      <c r="K132" s="206" t="s">
        <v>28</v>
      </c>
      <c r="L132" s="200" t="s">
        <v>37</v>
      </c>
      <c r="M132" s="204" t="s">
        <v>16</v>
      </c>
      <c r="N132" s="89" t="s">
        <v>15</v>
      </c>
      <c r="O132" s="5" t="s">
        <v>30</v>
      </c>
      <c r="P132" s="7" t="s">
        <v>34</v>
      </c>
      <c r="Q132" s="7" t="s">
        <v>31</v>
      </c>
      <c r="R132" s="19" t="s">
        <v>32</v>
      </c>
      <c r="S132" s="196"/>
      <c r="T132" s="30"/>
      <c r="U132" s="14"/>
    </row>
    <row r="133" spans="2:21" ht="20.100000000000001" customHeight="1" x14ac:dyDescent="0.25">
      <c r="B133" s="13"/>
      <c r="C133" s="30"/>
      <c r="D133" s="66"/>
      <c r="E133" s="233" t="s">
        <v>114</v>
      </c>
      <c r="F133" s="254" t="s">
        <v>102</v>
      </c>
      <c r="G133" s="49">
        <v>2</v>
      </c>
      <c r="H133" s="122" t="s">
        <v>13</v>
      </c>
      <c r="I133" s="49">
        <v>-59</v>
      </c>
      <c r="J133" s="122">
        <v>-11</v>
      </c>
      <c r="K133" s="50" t="s">
        <v>13</v>
      </c>
      <c r="L133" s="50">
        <f>($I$135-J133)/($I$135-$J$136)*100</f>
        <v>74.603174603174608</v>
      </c>
      <c r="M133" s="49">
        <v>3</v>
      </c>
      <c r="N133" s="61">
        <v>1</v>
      </c>
      <c r="O133" s="57">
        <f>IF(M133=1,1,0)</f>
        <v>0</v>
      </c>
      <c r="P133" s="209">
        <f>IF(M133=2,1,0)</f>
        <v>0</v>
      </c>
      <c r="Q133" s="209">
        <f>IF(M133=3,1,0)</f>
        <v>1</v>
      </c>
      <c r="R133" s="8">
        <f>IF(M133=4,1,0)</f>
        <v>0</v>
      </c>
      <c r="S133" s="194"/>
      <c r="T133" s="30"/>
      <c r="U133" s="13"/>
    </row>
    <row r="134" spans="2:21" ht="20.100000000000001" customHeight="1" x14ac:dyDescent="0.25">
      <c r="B134" s="13"/>
      <c r="C134" s="30"/>
      <c r="D134" s="30"/>
      <c r="E134" s="96" t="s">
        <v>90</v>
      </c>
      <c r="F134" s="247" t="s">
        <v>91</v>
      </c>
      <c r="G134" s="47">
        <v>1</v>
      </c>
      <c r="H134" s="100" t="s">
        <v>13</v>
      </c>
      <c r="I134" s="47">
        <v>-59</v>
      </c>
      <c r="J134" s="100">
        <v>-21</v>
      </c>
      <c r="K134" s="276" t="s">
        <v>13</v>
      </c>
      <c r="L134" s="48">
        <f t="shared" ref="L134:L136" si="1">($I$135-J134)/($I$135-$J$136)*100</f>
        <v>58.730158730158735</v>
      </c>
      <c r="M134" s="47">
        <v>4</v>
      </c>
      <c r="N134" s="60">
        <v>0</v>
      </c>
      <c r="O134" s="205">
        <f>IF(M134=1,1,0)</f>
        <v>0</v>
      </c>
      <c r="P134" s="207">
        <f>IF(M134=2,1,0)</f>
        <v>0</v>
      </c>
      <c r="Q134" s="207">
        <f>IF(M134=3,1,0)</f>
        <v>0</v>
      </c>
      <c r="R134" s="9">
        <f>IF(M134=4,1,0)</f>
        <v>1</v>
      </c>
      <c r="S134" s="194"/>
      <c r="T134" s="30"/>
      <c r="U134" s="31"/>
    </row>
    <row r="135" spans="2:21" ht="20.100000000000001" customHeight="1" x14ac:dyDescent="0.25">
      <c r="B135" s="13"/>
      <c r="C135" s="30"/>
      <c r="D135" s="30"/>
      <c r="E135" s="303" t="s">
        <v>1</v>
      </c>
      <c r="F135" s="246" t="s">
        <v>11</v>
      </c>
      <c r="G135" s="47">
        <v>4</v>
      </c>
      <c r="H135" s="100" t="s">
        <v>13</v>
      </c>
      <c r="I135" s="47">
        <v>-58</v>
      </c>
      <c r="J135" s="100">
        <v>-7</v>
      </c>
      <c r="K135" s="276" t="s">
        <v>13</v>
      </c>
      <c r="L135" s="48">
        <f t="shared" si="1"/>
        <v>80.952380952380949</v>
      </c>
      <c r="M135" s="47">
        <v>2</v>
      </c>
      <c r="N135" s="60">
        <v>3</v>
      </c>
      <c r="O135" s="205">
        <f>IF(M135=1,1,0)</f>
        <v>0</v>
      </c>
      <c r="P135" s="207">
        <f>IF(M135=2,1,0)</f>
        <v>1</v>
      </c>
      <c r="Q135" s="207">
        <f>IF(M135=3,1,0)</f>
        <v>0</v>
      </c>
      <c r="R135" s="9">
        <f>IF(M135=4,1,0)</f>
        <v>0</v>
      </c>
      <c r="S135" s="194"/>
      <c r="T135" s="30"/>
      <c r="U135" s="31"/>
    </row>
    <row r="136" spans="2:21" ht="20.100000000000001" customHeight="1" thickBot="1" x14ac:dyDescent="0.3">
      <c r="B136" s="13"/>
      <c r="C136" s="30"/>
      <c r="D136" s="30"/>
      <c r="E136" s="310" t="s">
        <v>3</v>
      </c>
      <c r="F136" s="283" t="s">
        <v>63</v>
      </c>
      <c r="G136" s="284">
        <v>3</v>
      </c>
      <c r="H136" s="285" t="s">
        <v>13</v>
      </c>
      <c r="I136" s="284">
        <v>-58</v>
      </c>
      <c r="J136" s="285">
        <v>5</v>
      </c>
      <c r="K136" s="286" t="s">
        <v>13</v>
      </c>
      <c r="L136" s="286">
        <f t="shared" si="1"/>
        <v>100</v>
      </c>
      <c r="M136" s="284">
        <v>1</v>
      </c>
      <c r="N136" s="287">
        <v>6</v>
      </c>
      <c r="O136" s="58">
        <f>IF(M136=1,1,0)</f>
        <v>1</v>
      </c>
      <c r="P136" s="208">
        <f>IF(M136=2,1,0)</f>
        <v>0</v>
      </c>
      <c r="Q136" s="208">
        <f>IF(M136=3,1,0)</f>
        <v>0</v>
      </c>
      <c r="R136" s="10">
        <f>IF(M136=4,1,0)</f>
        <v>0</v>
      </c>
      <c r="S136" s="194"/>
      <c r="T136" s="30"/>
      <c r="U136" s="31"/>
    </row>
    <row r="137" spans="2:21" ht="20.100000000000001" hidden="1" customHeight="1" outlineLevel="1" x14ac:dyDescent="0.25">
      <c r="B137" s="13"/>
      <c r="C137" s="30"/>
      <c r="D137" s="30"/>
      <c r="E137" s="30"/>
      <c r="F137" s="533"/>
      <c r="G137" s="533"/>
      <c r="H137" s="30"/>
      <c r="I137" s="64" t="s">
        <v>29</v>
      </c>
      <c r="J137" s="23">
        <f>MAX(J133:J136)</f>
        <v>5</v>
      </c>
      <c r="K137" s="76"/>
      <c r="L137" s="194"/>
      <c r="M137" s="30"/>
      <c r="N137" s="63" t="s">
        <v>33</v>
      </c>
      <c r="O137" s="20">
        <f>SUM(O133:O136)</f>
        <v>1</v>
      </c>
      <c r="P137" s="21">
        <f>SUM(P133:P136)</f>
        <v>1</v>
      </c>
      <c r="Q137" s="20">
        <f>SUM(Q133:Q136)</f>
        <v>1</v>
      </c>
      <c r="R137" s="22">
        <f>SUM(R133:R136)</f>
        <v>1</v>
      </c>
      <c r="S137" s="77"/>
      <c r="T137" s="30"/>
      <c r="U137" s="31"/>
    </row>
    <row r="138" spans="2:21" ht="20.100000000000001" customHeight="1" collapsed="1" x14ac:dyDescent="0.25">
      <c r="B138" s="13"/>
      <c r="C138" s="30"/>
      <c r="D138" s="30"/>
      <c r="E138" s="30"/>
      <c r="F138" s="30"/>
      <c r="G138" s="30"/>
      <c r="H138" s="30"/>
      <c r="I138" s="30"/>
      <c r="J138" s="30"/>
      <c r="K138" s="30"/>
      <c r="L138" s="30"/>
      <c r="M138" s="30"/>
      <c r="N138" s="30"/>
      <c r="O138" s="30"/>
      <c r="P138" s="30"/>
      <c r="Q138" s="30"/>
      <c r="R138" s="30"/>
      <c r="S138" s="30"/>
      <c r="T138" s="30"/>
      <c r="U138" s="31"/>
    </row>
    <row r="139" spans="2:21" ht="20.100000000000001" customHeight="1" x14ac:dyDescent="0.25">
      <c r="B139" s="13"/>
      <c r="D139" s="28"/>
      <c r="E139" s="28"/>
      <c r="F139" s="28"/>
      <c r="G139" s="28"/>
      <c r="H139" s="29"/>
      <c r="I139" s="28"/>
      <c r="J139" s="28"/>
      <c r="K139" s="28"/>
      <c r="U139" s="13"/>
    </row>
    <row r="140" spans="2:21" ht="20.100000000000001" customHeight="1" thickBot="1" x14ac:dyDescent="0.3">
      <c r="B140" s="13"/>
      <c r="C140" s="32"/>
      <c r="D140" s="32"/>
      <c r="E140" s="534" t="str">
        <f>IF(OR(L111="-",L111= ""),H111,L111)</f>
        <v>La Granja</v>
      </c>
      <c r="F140" s="534"/>
      <c r="G140" s="534"/>
      <c r="H140" s="534"/>
      <c r="I140" s="534"/>
      <c r="J140" s="534"/>
      <c r="K140" s="534"/>
      <c r="L140" s="534"/>
      <c r="M140" s="534"/>
      <c r="N140" s="534"/>
      <c r="O140" s="195"/>
      <c r="P140" s="195"/>
      <c r="Q140" s="195"/>
      <c r="R140" s="195"/>
      <c r="S140" s="195"/>
      <c r="T140" s="32"/>
      <c r="U140" s="13"/>
    </row>
    <row r="141" spans="2:21" ht="50.1" customHeight="1" thickBot="1" x14ac:dyDescent="0.3">
      <c r="B141" s="13"/>
      <c r="C141" s="32"/>
      <c r="D141" s="195"/>
      <c r="E141" s="88" t="s">
        <v>10</v>
      </c>
      <c r="F141" s="125" t="s">
        <v>52</v>
      </c>
      <c r="G141" s="89" t="s">
        <v>14</v>
      </c>
      <c r="H141" s="200" t="s">
        <v>51</v>
      </c>
      <c r="I141" s="18" t="s">
        <v>54</v>
      </c>
      <c r="J141" s="200" t="s">
        <v>53</v>
      </c>
      <c r="K141" s="206" t="s">
        <v>28</v>
      </c>
      <c r="L141" s="200" t="s">
        <v>37</v>
      </c>
      <c r="M141" s="204" t="s">
        <v>16</v>
      </c>
      <c r="N141" s="89" t="s">
        <v>15</v>
      </c>
      <c r="O141" s="5" t="s">
        <v>30</v>
      </c>
      <c r="P141" s="7" t="s">
        <v>34</v>
      </c>
      <c r="Q141" s="7" t="s">
        <v>31</v>
      </c>
      <c r="R141" s="19" t="s">
        <v>32</v>
      </c>
      <c r="S141" s="195"/>
      <c r="T141" s="32"/>
      <c r="U141" s="13"/>
    </row>
    <row r="142" spans="2:21" ht="20.100000000000001" customHeight="1" x14ac:dyDescent="0.25">
      <c r="B142" s="13"/>
      <c r="C142" s="32"/>
      <c r="D142" s="32"/>
      <c r="E142" s="327" t="s">
        <v>114</v>
      </c>
      <c r="F142" s="272" t="s">
        <v>102</v>
      </c>
      <c r="G142" s="157">
        <v>4</v>
      </c>
      <c r="H142" s="157" t="s">
        <v>13</v>
      </c>
      <c r="I142" s="157">
        <v>0</v>
      </c>
      <c r="J142" s="157">
        <v>85</v>
      </c>
      <c r="K142" s="157" t="s">
        <v>13</v>
      </c>
      <c r="L142" s="36">
        <f>IF(J142="",0,(J142/J146)*100)</f>
        <v>100</v>
      </c>
      <c r="M142" s="157">
        <v>1</v>
      </c>
      <c r="N142" s="99">
        <v>6</v>
      </c>
      <c r="O142" s="57">
        <f>IF(M142=1,1,0)</f>
        <v>1</v>
      </c>
      <c r="P142" s="209">
        <f>IF(M142=2,1,0)</f>
        <v>0</v>
      </c>
      <c r="Q142" s="209">
        <f>IF(M142=3,1,0)</f>
        <v>0</v>
      </c>
      <c r="R142" s="8">
        <f>IF(M142=4,1,0)</f>
        <v>0</v>
      </c>
      <c r="S142" s="201"/>
      <c r="T142" s="32"/>
      <c r="U142" s="13"/>
    </row>
    <row r="143" spans="2:21" ht="20.100000000000001" customHeight="1" x14ac:dyDescent="0.25">
      <c r="B143" s="13"/>
      <c r="C143" s="32"/>
      <c r="D143" s="32"/>
      <c r="E143" s="96" t="s">
        <v>90</v>
      </c>
      <c r="F143" s="247" t="s">
        <v>92</v>
      </c>
      <c r="G143" s="47">
        <v>3</v>
      </c>
      <c r="H143" s="47" t="s">
        <v>13</v>
      </c>
      <c r="I143" s="47">
        <v>0</v>
      </c>
      <c r="J143" s="47">
        <v>76</v>
      </c>
      <c r="K143" s="100" t="s">
        <v>325</v>
      </c>
      <c r="L143" s="48">
        <f>IF(J143="",0,(J143/J146)*100)</f>
        <v>89.411764705882362</v>
      </c>
      <c r="M143" s="47">
        <v>3</v>
      </c>
      <c r="N143" s="60">
        <v>0.5</v>
      </c>
      <c r="O143" s="205">
        <f>IF(M143=1,1,0)</f>
        <v>0</v>
      </c>
      <c r="P143" s="207">
        <f>IF(M143=2,1,0)</f>
        <v>0</v>
      </c>
      <c r="Q143" s="207">
        <f>IF(M143=3,1,0)</f>
        <v>1</v>
      </c>
      <c r="R143" s="9">
        <f>IF(M143=4,1,0)</f>
        <v>0</v>
      </c>
      <c r="S143" s="201"/>
      <c r="T143" s="32"/>
      <c r="U143" s="13"/>
    </row>
    <row r="144" spans="2:21" ht="20.100000000000001" customHeight="1" x14ac:dyDescent="0.25">
      <c r="B144" s="13"/>
      <c r="C144" s="32"/>
      <c r="D144" s="32"/>
      <c r="E144" s="303" t="s">
        <v>1</v>
      </c>
      <c r="F144" s="246" t="s">
        <v>11</v>
      </c>
      <c r="G144" s="47">
        <v>2</v>
      </c>
      <c r="H144" s="47" t="s">
        <v>13</v>
      </c>
      <c r="I144" s="47">
        <v>0</v>
      </c>
      <c r="J144" s="47">
        <v>76</v>
      </c>
      <c r="K144" s="47" t="s">
        <v>325</v>
      </c>
      <c r="L144" s="48">
        <f>IF(J144="",0,(J144/J146)*100)</f>
        <v>89.411764705882362</v>
      </c>
      <c r="M144" s="47">
        <v>3</v>
      </c>
      <c r="N144" s="60">
        <v>0.5</v>
      </c>
      <c r="O144" s="205">
        <f>IF(M144=1,1,0)</f>
        <v>0</v>
      </c>
      <c r="P144" s="207">
        <f>IF(M144=2,1,0)</f>
        <v>0</v>
      </c>
      <c r="Q144" s="207">
        <f>IF(M144=3,1,0)</f>
        <v>1</v>
      </c>
      <c r="R144" s="9">
        <f>IF(M144=4,1,0)</f>
        <v>0</v>
      </c>
      <c r="S144" s="201"/>
      <c r="T144" s="32"/>
      <c r="U144" s="13"/>
    </row>
    <row r="145" spans="2:31" ht="20.100000000000001" customHeight="1" thickBot="1" x14ac:dyDescent="0.3">
      <c r="B145" s="13"/>
      <c r="C145" s="32"/>
      <c r="D145" s="65"/>
      <c r="E145" s="354" t="s">
        <v>3</v>
      </c>
      <c r="F145" s="255" t="s">
        <v>63</v>
      </c>
      <c r="G145" s="150">
        <v>1</v>
      </c>
      <c r="H145" s="150" t="s">
        <v>13</v>
      </c>
      <c r="I145" s="150">
        <v>0</v>
      </c>
      <c r="J145" s="150">
        <v>84</v>
      </c>
      <c r="K145" s="107" t="s">
        <v>13</v>
      </c>
      <c r="L145" s="17">
        <f>IF(J145="",0,(J145/J146)*100)</f>
        <v>98.82352941176471</v>
      </c>
      <c r="M145" s="150">
        <v>2</v>
      </c>
      <c r="N145" s="59">
        <v>3</v>
      </c>
      <c r="O145" s="58">
        <f>IF(M145=1,1,0)</f>
        <v>0</v>
      </c>
      <c r="P145" s="208">
        <f>IF(M145=2,1,0)</f>
        <v>1</v>
      </c>
      <c r="Q145" s="208">
        <f>IF(M145=3,1,0)</f>
        <v>0</v>
      </c>
      <c r="R145" s="10">
        <f>IF(M145=4,1,0)</f>
        <v>0</v>
      </c>
      <c r="S145" s="201"/>
      <c r="T145" s="32"/>
      <c r="U145" s="13"/>
    </row>
    <row r="146" spans="2:31" ht="20.100000000000001" hidden="1" customHeight="1" outlineLevel="1" x14ac:dyDescent="0.25">
      <c r="B146" s="13"/>
      <c r="C146" s="32"/>
      <c r="D146" s="32"/>
      <c r="E146" s="32"/>
      <c r="F146" s="535"/>
      <c r="G146" s="535"/>
      <c r="H146" s="32"/>
      <c r="I146" s="64" t="s">
        <v>29</v>
      </c>
      <c r="J146" s="23">
        <f>MAX(J142:J145)</f>
        <v>85</v>
      </c>
      <c r="K146" s="78"/>
      <c r="L146" s="201"/>
      <c r="M146" s="32"/>
      <c r="N146" s="63" t="s">
        <v>33</v>
      </c>
      <c r="O146" s="20">
        <f>SUM(O142:O145)</f>
        <v>1</v>
      </c>
      <c r="P146" s="21">
        <f>SUM(P142:P145)</f>
        <v>1</v>
      </c>
      <c r="Q146" s="20">
        <f>SUM(Q142:Q145)</f>
        <v>2</v>
      </c>
      <c r="R146" s="22">
        <f>SUM(R142:R145)</f>
        <v>0</v>
      </c>
      <c r="S146" s="79"/>
      <c r="T146" s="32"/>
      <c r="U146" s="13"/>
    </row>
    <row r="147" spans="2:31" ht="20.100000000000001" customHeight="1" collapsed="1" x14ac:dyDescent="0.25">
      <c r="B147" s="13"/>
      <c r="C147" s="32"/>
      <c r="D147" s="32"/>
      <c r="E147" s="32"/>
      <c r="F147" s="32"/>
      <c r="G147" s="32"/>
      <c r="H147" s="32"/>
      <c r="I147" s="32"/>
      <c r="J147" s="32"/>
      <c r="K147" s="32"/>
      <c r="L147" s="32"/>
      <c r="M147" s="32"/>
      <c r="N147" s="32"/>
      <c r="O147" s="32"/>
      <c r="P147" s="32"/>
      <c r="Q147" s="32"/>
      <c r="R147" s="32"/>
      <c r="S147" s="32"/>
      <c r="T147" s="32"/>
      <c r="U147" s="13"/>
    </row>
    <row r="148" spans="2:31" ht="20.100000000000001" customHeight="1" x14ac:dyDescent="0.25">
      <c r="B148" s="13"/>
      <c r="D148" s="4"/>
      <c r="E148" s="4"/>
      <c r="F148" s="4"/>
      <c r="G148" s="4"/>
      <c r="H148" s="4"/>
      <c r="I148" s="4"/>
      <c r="J148" s="4"/>
      <c r="U148" s="13"/>
    </row>
    <row r="149" spans="2:31" ht="30" customHeight="1" thickBot="1" x14ac:dyDescent="0.3">
      <c r="B149" s="13"/>
      <c r="C149" s="33"/>
      <c r="D149" s="536" t="s">
        <v>48</v>
      </c>
      <c r="E149" s="536"/>
      <c r="F149" s="536"/>
      <c r="G149" s="536"/>
      <c r="H149" s="536"/>
      <c r="I149" s="536"/>
      <c r="J149" s="536"/>
      <c r="K149" s="536"/>
      <c r="L149" s="536"/>
      <c r="M149" s="536"/>
      <c r="N149" s="536"/>
      <c r="O149" s="536"/>
      <c r="P149" s="536"/>
      <c r="Q149" s="536"/>
      <c r="R149" s="536"/>
      <c r="S149" s="536"/>
      <c r="T149" s="33"/>
      <c r="U149" s="13"/>
    </row>
    <row r="150" spans="2:31" ht="50.1" customHeight="1" thickBot="1" x14ac:dyDescent="0.3">
      <c r="B150" s="13"/>
      <c r="C150" s="33"/>
      <c r="D150" s="90" t="s">
        <v>10</v>
      </c>
      <c r="E150" s="93" t="s">
        <v>139</v>
      </c>
      <c r="F150" s="91" t="s">
        <v>15</v>
      </c>
      <c r="G150" s="42" t="s">
        <v>55</v>
      </c>
      <c r="H150" s="537" t="s">
        <v>56</v>
      </c>
      <c r="I150" s="538"/>
      <c r="J150" s="202" t="s">
        <v>66</v>
      </c>
      <c r="K150" s="92" t="s">
        <v>17</v>
      </c>
      <c r="L150" s="91" t="s">
        <v>18</v>
      </c>
      <c r="M150" s="92" t="s">
        <v>19</v>
      </c>
      <c r="N150" s="91" t="s">
        <v>20</v>
      </c>
      <c r="O150" s="130"/>
      <c r="P150" s="126"/>
      <c r="Q150" s="126"/>
      <c r="R150" s="126"/>
      <c r="S150" s="93" t="s">
        <v>38</v>
      </c>
      <c r="T150" s="33"/>
      <c r="U150" s="13"/>
    </row>
    <row r="151" spans="2:31" ht="20.100000000000001" customHeight="1" x14ac:dyDescent="0.25">
      <c r="B151" s="13"/>
      <c r="C151" s="33"/>
      <c r="D151" s="367" t="s">
        <v>3</v>
      </c>
      <c r="E151" s="288" t="s">
        <v>63</v>
      </c>
      <c r="F151" s="133">
        <f>K151*6+L151*3+M151*1+N151*0</f>
        <v>18</v>
      </c>
      <c r="G151" s="262">
        <v>0</v>
      </c>
      <c r="H151" s="539" t="s">
        <v>13</v>
      </c>
      <c r="I151" s="539"/>
      <c r="J151" s="133">
        <f>F151+G151</f>
        <v>18</v>
      </c>
      <c r="K151" s="133">
        <v>2</v>
      </c>
      <c r="L151" s="133">
        <v>2</v>
      </c>
      <c r="M151" s="133">
        <v>0</v>
      </c>
      <c r="N151" s="133">
        <v>0</v>
      </c>
      <c r="O151" s="152"/>
      <c r="P151" s="262"/>
      <c r="Q151" s="262"/>
      <c r="R151" s="262"/>
      <c r="S151" s="134">
        <f>(L118++L127+L136+L145)/4</f>
        <v>95.622217014295757</v>
      </c>
      <c r="T151" s="33"/>
      <c r="U151" s="13"/>
    </row>
    <row r="152" spans="2:31" ht="20.100000000000001" customHeight="1" x14ac:dyDescent="0.25">
      <c r="B152" s="13"/>
      <c r="C152" s="33"/>
      <c r="D152" s="155" t="s">
        <v>114</v>
      </c>
      <c r="E152" s="357" t="s">
        <v>102</v>
      </c>
      <c r="F152" s="52">
        <f>K152*6+L152*3+M152*1+N152*0</f>
        <v>14</v>
      </c>
      <c r="G152" s="263">
        <v>0</v>
      </c>
      <c r="H152" s="529" t="s">
        <v>13</v>
      </c>
      <c r="I152" s="529"/>
      <c r="J152" s="52">
        <f>F152+G152</f>
        <v>14</v>
      </c>
      <c r="K152" s="52">
        <v>2</v>
      </c>
      <c r="L152" s="52">
        <v>0</v>
      </c>
      <c r="M152" s="52">
        <v>2</v>
      </c>
      <c r="N152" s="52">
        <v>0</v>
      </c>
      <c r="O152" s="151"/>
      <c r="P152" s="263"/>
      <c r="Q152" s="263"/>
      <c r="R152" s="263"/>
      <c r="S152" s="104">
        <f>(L115+L124+L133+L142)/4</f>
        <v>86.413951545530495</v>
      </c>
      <c r="T152" s="33"/>
      <c r="U152" s="13"/>
      <c r="Y152" s="610"/>
      <c r="Z152" s="610"/>
      <c r="AA152" s="43"/>
      <c r="AB152" s="43"/>
      <c r="AC152" s="44"/>
      <c r="AD152" s="44"/>
      <c r="AE152" s="44"/>
    </row>
    <row r="153" spans="2:31" ht="20.100000000000001" customHeight="1" x14ac:dyDescent="0.25">
      <c r="B153" s="13"/>
      <c r="C153" s="33"/>
      <c r="D153" s="155" t="s">
        <v>90</v>
      </c>
      <c r="E153" s="274" t="s">
        <v>92</v>
      </c>
      <c r="F153" s="377">
        <f>K153*6+L153*3+M153*1+N153*0</f>
        <v>4.5</v>
      </c>
      <c r="G153" s="263">
        <v>0</v>
      </c>
      <c r="H153" s="529" t="s">
        <v>13</v>
      </c>
      <c r="I153" s="529"/>
      <c r="J153" s="377">
        <f>F153+G153</f>
        <v>4.5</v>
      </c>
      <c r="K153" s="52">
        <v>0</v>
      </c>
      <c r="L153" s="52">
        <v>1</v>
      </c>
      <c r="M153" s="377">
        <v>1.5</v>
      </c>
      <c r="N153" s="377">
        <v>1.5</v>
      </c>
      <c r="O153" s="151"/>
      <c r="P153" s="263"/>
      <c r="Q153" s="263"/>
      <c r="R153" s="263"/>
      <c r="S153" s="104">
        <f>(L116+L125+L134+L143)/4</f>
        <v>72.75051545745859</v>
      </c>
      <c r="T153" s="33"/>
      <c r="U153" s="13"/>
    </row>
    <row r="154" spans="2:31" ht="20.100000000000001" customHeight="1" thickBot="1" x14ac:dyDescent="0.3">
      <c r="B154" s="13"/>
      <c r="C154" s="33"/>
      <c r="D154" s="372" t="s">
        <v>1</v>
      </c>
      <c r="E154" s="376" t="s">
        <v>11</v>
      </c>
      <c r="F154" s="378">
        <f>K154*6+L154*3+M154*1+N154*0</f>
        <v>3.5</v>
      </c>
      <c r="G154" s="264">
        <v>0</v>
      </c>
      <c r="H154" s="530" t="s">
        <v>13</v>
      </c>
      <c r="I154" s="530"/>
      <c r="J154" s="378">
        <f>F154+G154</f>
        <v>3.5</v>
      </c>
      <c r="K154" s="109">
        <v>0</v>
      </c>
      <c r="L154" s="109">
        <v>1</v>
      </c>
      <c r="M154" s="378">
        <v>0.5</v>
      </c>
      <c r="N154" s="378">
        <v>2.5</v>
      </c>
      <c r="O154" s="153"/>
      <c r="P154" s="264"/>
      <c r="Q154" s="264"/>
      <c r="R154" s="264"/>
      <c r="S154" s="106">
        <f>(L117+L126+L135+L144)/4</f>
        <v>72.306385544362428</v>
      </c>
      <c r="T154" s="33"/>
      <c r="U154" s="13"/>
    </row>
    <row r="155" spans="2:31" ht="20.100000000000001" customHeight="1" x14ac:dyDescent="0.25">
      <c r="B155" s="13"/>
      <c r="C155" s="33"/>
      <c r="D155" s="373"/>
      <c r="E155" s="373"/>
      <c r="F155" s="371"/>
      <c r="G155" s="317"/>
      <c r="H155" s="781"/>
      <c r="I155" s="781"/>
      <c r="J155" s="371"/>
      <c r="K155" s="371"/>
      <c r="L155" s="371"/>
      <c r="M155" s="371"/>
      <c r="N155" s="371"/>
      <c r="O155" s="316"/>
      <c r="P155" s="317"/>
      <c r="Q155" s="317"/>
      <c r="R155" s="317"/>
      <c r="S155" s="330"/>
      <c r="T155" s="33"/>
      <c r="U155" s="13"/>
    </row>
    <row r="156" spans="2:31" ht="20.100000000000001" customHeight="1" x14ac:dyDescent="0.25">
      <c r="B156" s="13"/>
      <c r="C156" s="13"/>
      <c r="D156" s="15"/>
      <c r="E156" s="15"/>
      <c r="F156" s="14"/>
      <c r="G156" s="14"/>
      <c r="H156" s="15"/>
      <c r="I156" s="15"/>
      <c r="J156" s="15"/>
      <c r="K156" s="13"/>
      <c r="L156" s="13"/>
      <c r="M156" s="13"/>
      <c r="N156" s="13"/>
      <c r="O156" s="13"/>
      <c r="P156" s="13"/>
      <c r="Q156" s="13"/>
      <c r="R156" s="13"/>
      <c r="S156" s="13"/>
      <c r="T156" s="13"/>
      <c r="U156" s="13"/>
    </row>
    <row r="157" spans="2:31" ht="20.100000000000001" customHeight="1" x14ac:dyDescent="0.25"/>
    <row r="158" spans="2:31" ht="20.100000000000001" customHeight="1" x14ac:dyDescent="0.25"/>
    <row r="159" spans="2:31" ht="20.100000000000001" customHeight="1" x14ac:dyDescent="0.25">
      <c r="B159" s="13"/>
      <c r="C159" s="13"/>
      <c r="D159" s="25"/>
      <c r="E159" s="25"/>
      <c r="F159" s="25"/>
      <c r="G159" s="25"/>
      <c r="H159" s="13"/>
      <c r="I159" s="13"/>
      <c r="J159" s="13"/>
      <c r="K159" s="13"/>
      <c r="L159" s="13"/>
      <c r="M159" s="13"/>
      <c r="N159" s="13"/>
      <c r="O159" s="13"/>
      <c r="P159" s="13"/>
      <c r="Q159" s="13"/>
      <c r="R159" s="13"/>
      <c r="S159" s="13"/>
      <c r="T159" s="13"/>
      <c r="U159" s="13"/>
    </row>
    <row r="160" spans="2:31" ht="30" customHeight="1" x14ac:dyDescent="0.25">
      <c r="B160" s="13"/>
      <c r="C160" s="555" t="s">
        <v>72</v>
      </c>
      <c r="D160" s="555"/>
      <c r="E160" s="555"/>
      <c r="F160" s="555"/>
      <c r="G160" s="555"/>
      <c r="H160" s="555"/>
      <c r="I160" s="555"/>
      <c r="J160" s="555"/>
      <c r="K160" s="555"/>
      <c r="L160" s="555"/>
      <c r="M160" s="555"/>
      <c r="N160" s="555"/>
      <c r="O160" s="555"/>
      <c r="P160" s="555"/>
      <c r="Q160" s="555"/>
      <c r="R160" s="555"/>
      <c r="S160" s="555"/>
      <c r="T160" s="555"/>
      <c r="U160" s="13"/>
    </row>
    <row r="161" spans="2:21" ht="20.100000000000001" customHeight="1" thickBot="1" x14ac:dyDescent="0.3">
      <c r="B161" s="13"/>
      <c r="U161" s="13"/>
    </row>
    <row r="162" spans="2:21" ht="20.100000000000001" customHeight="1" thickBot="1" x14ac:dyDescent="0.3">
      <c r="B162" s="13"/>
      <c r="D162" s="556" t="s">
        <v>10</v>
      </c>
      <c r="E162" s="558" t="s">
        <v>139</v>
      </c>
      <c r="F162" s="560" t="s">
        <v>22</v>
      </c>
      <c r="G162" s="561" t="s">
        <v>42</v>
      </c>
      <c r="H162" s="561"/>
      <c r="I162" s="561"/>
      <c r="J162" s="562"/>
      <c r="K162" s="200" t="s">
        <v>36</v>
      </c>
      <c r="L162" s="563" t="s">
        <v>27</v>
      </c>
      <c r="M162" s="561"/>
      <c r="N162" s="561"/>
      <c r="O162" s="561"/>
      <c r="P162" s="561"/>
      <c r="Q162" s="561"/>
      <c r="R162" s="561"/>
      <c r="S162" s="562"/>
      <c r="U162" s="13"/>
    </row>
    <row r="163" spans="2:21" ht="20.100000000000001" customHeight="1" thickBot="1" x14ac:dyDescent="0.3">
      <c r="B163" s="13"/>
      <c r="D163" s="557"/>
      <c r="E163" s="559"/>
      <c r="F163" s="559"/>
      <c r="G163" s="86" t="s">
        <v>43</v>
      </c>
      <c r="H163" s="85" t="s">
        <v>24</v>
      </c>
      <c r="I163" s="556" t="s">
        <v>23</v>
      </c>
      <c r="J163" s="564"/>
      <c r="K163" s="85" t="s">
        <v>25</v>
      </c>
      <c r="L163" s="94" t="s">
        <v>43</v>
      </c>
      <c r="M163" s="87" t="s">
        <v>26</v>
      </c>
      <c r="N163" s="556" t="s">
        <v>23</v>
      </c>
      <c r="O163" s="588"/>
      <c r="P163" s="588"/>
      <c r="Q163" s="588"/>
      <c r="R163" s="588"/>
      <c r="S163" s="564"/>
      <c r="U163" s="13"/>
    </row>
    <row r="164" spans="2:21" ht="27.95" customHeight="1" x14ac:dyDescent="0.25">
      <c r="B164" s="13"/>
      <c r="D164" s="641" t="s">
        <v>88</v>
      </c>
      <c r="E164" s="733" t="s">
        <v>69</v>
      </c>
      <c r="F164" s="647">
        <v>1</v>
      </c>
      <c r="G164" s="784" t="s">
        <v>35</v>
      </c>
      <c r="H164" s="589" t="s">
        <v>45</v>
      </c>
      <c r="I164" s="656" t="s">
        <v>260</v>
      </c>
      <c r="J164" s="657"/>
      <c r="K164" s="787" t="s">
        <v>12</v>
      </c>
      <c r="L164" s="624" t="s">
        <v>13</v>
      </c>
      <c r="M164" s="627" t="s">
        <v>13</v>
      </c>
      <c r="N164" s="630" t="s">
        <v>13</v>
      </c>
      <c r="O164" s="631"/>
      <c r="P164" s="631"/>
      <c r="Q164" s="631"/>
      <c r="R164" s="631"/>
      <c r="S164" s="632"/>
      <c r="U164" s="13"/>
    </row>
    <row r="165" spans="2:21" ht="15" customHeight="1" x14ac:dyDescent="0.25">
      <c r="B165" s="13"/>
      <c r="D165" s="642"/>
      <c r="E165" s="742"/>
      <c r="F165" s="648"/>
      <c r="G165" s="785"/>
      <c r="H165" s="786"/>
      <c r="I165" s="639" t="s">
        <v>261</v>
      </c>
      <c r="J165" s="640"/>
      <c r="K165" s="698"/>
      <c r="L165" s="625"/>
      <c r="M165" s="628"/>
      <c r="N165" s="633"/>
      <c r="O165" s="634"/>
      <c r="P165" s="634"/>
      <c r="Q165" s="634"/>
      <c r="R165" s="634"/>
      <c r="S165" s="635"/>
      <c r="U165" s="13"/>
    </row>
    <row r="166" spans="2:21" ht="15" customHeight="1" x14ac:dyDescent="0.25">
      <c r="B166" s="13"/>
      <c r="D166" s="642"/>
      <c r="E166" s="742"/>
      <c r="F166" s="648"/>
      <c r="G166" s="785"/>
      <c r="H166" s="786"/>
      <c r="I166" s="639" t="s">
        <v>262</v>
      </c>
      <c r="J166" s="640"/>
      <c r="K166" s="698"/>
      <c r="L166" s="625"/>
      <c r="M166" s="628"/>
      <c r="N166" s="633"/>
      <c r="O166" s="634"/>
      <c r="P166" s="634"/>
      <c r="Q166" s="634"/>
      <c r="R166" s="634"/>
      <c r="S166" s="635"/>
      <c r="U166" s="13"/>
    </row>
    <row r="167" spans="2:21" ht="15" customHeight="1" x14ac:dyDescent="0.25">
      <c r="B167" s="13"/>
      <c r="D167" s="643"/>
      <c r="E167" s="734"/>
      <c r="F167" s="649"/>
      <c r="G167" s="785"/>
      <c r="H167" s="786"/>
      <c r="I167" s="639" t="s">
        <v>263</v>
      </c>
      <c r="J167" s="640"/>
      <c r="K167" s="638"/>
      <c r="L167" s="626"/>
      <c r="M167" s="629"/>
      <c r="N167" s="636"/>
      <c r="O167" s="637"/>
      <c r="P167" s="637"/>
      <c r="Q167" s="637"/>
      <c r="R167" s="637"/>
      <c r="S167" s="638"/>
      <c r="U167" s="13"/>
    </row>
    <row r="168" spans="2:21" ht="27.95" customHeight="1" x14ac:dyDescent="0.25">
      <c r="B168" s="13"/>
      <c r="D168" s="674" t="s">
        <v>2</v>
      </c>
      <c r="E168" s="677" t="s">
        <v>8</v>
      </c>
      <c r="F168" s="667">
        <v>2</v>
      </c>
      <c r="G168" s="788" t="s">
        <v>44</v>
      </c>
      <c r="H168" s="592" t="s">
        <v>296</v>
      </c>
      <c r="I168" s="671" t="s">
        <v>297</v>
      </c>
      <c r="J168" s="673"/>
      <c r="K168" s="660" t="s">
        <v>12</v>
      </c>
      <c r="L168" s="688" t="s">
        <v>13</v>
      </c>
      <c r="M168" s="689" t="s">
        <v>13</v>
      </c>
      <c r="N168" s="658" t="s">
        <v>13</v>
      </c>
      <c r="O168" s="659"/>
      <c r="P168" s="659"/>
      <c r="Q168" s="659"/>
      <c r="R168" s="659"/>
      <c r="S168" s="660"/>
      <c r="U168" s="13"/>
    </row>
    <row r="169" spans="2:21" ht="15" customHeight="1" x14ac:dyDescent="0.25">
      <c r="B169" s="13"/>
      <c r="D169" s="675"/>
      <c r="E169" s="645"/>
      <c r="F169" s="648"/>
      <c r="G169" s="788"/>
      <c r="H169" s="592"/>
      <c r="I169" s="661" t="s">
        <v>298</v>
      </c>
      <c r="J169" s="662"/>
      <c r="K169" s="635"/>
      <c r="L169" s="625"/>
      <c r="M169" s="628"/>
      <c r="N169" s="633"/>
      <c r="O169" s="634"/>
      <c r="P169" s="634"/>
      <c r="Q169" s="634"/>
      <c r="R169" s="634"/>
      <c r="S169" s="635"/>
      <c r="U169" s="13"/>
    </row>
    <row r="170" spans="2:21" ht="15" customHeight="1" x14ac:dyDescent="0.25">
      <c r="B170" s="13"/>
      <c r="D170" s="676"/>
      <c r="E170" s="646"/>
      <c r="F170" s="649"/>
      <c r="G170" s="788"/>
      <c r="H170" s="592"/>
      <c r="I170" s="661" t="s">
        <v>299</v>
      </c>
      <c r="J170" s="662"/>
      <c r="K170" s="638"/>
      <c r="L170" s="626"/>
      <c r="M170" s="629"/>
      <c r="N170" s="636"/>
      <c r="O170" s="637"/>
      <c r="P170" s="637"/>
      <c r="Q170" s="637"/>
      <c r="R170" s="637"/>
      <c r="S170" s="638"/>
      <c r="U170" s="13"/>
    </row>
    <row r="171" spans="2:21" ht="27.95" customHeight="1" x14ac:dyDescent="0.25">
      <c r="B171" s="13"/>
      <c r="D171" s="345" t="s">
        <v>125</v>
      </c>
      <c r="E171" s="348" t="s">
        <v>126</v>
      </c>
      <c r="F171" s="46">
        <v>3</v>
      </c>
      <c r="G171" s="349" t="s">
        <v>44</v>
      </c>
      <c r="H171" s="350" t="s">
        <v>300</v>
      </c>
      <c r="I171" s="545" t="s">
        <v>301</v>
      </c>
      <c r="J171" s="546"/>
      <c r="K171" s="366" t="s">
        <v>45</v>
      </c>
      <c r="L171" s="346" t="s">
        <v>13</v>
      </c>
      <c r="M171" s="347" t="s">
        <v>13</v>
      </c>
      <c r="N171" s="658" t="s">
        <v>13</v>
      </c>
      <c r="O171" s="659"/>
      <c r="P171" s="659"/>
      <c r="Q171" s="659"/>
      <c r="R171" s="659"/>
      <c r="S171" s="660"/>
      <c r="U171" s="13"/>
    </row>
    <row r="172" spans="2:21" ht="15" customHeight="1" x14ac:dyDescent="0.25">
      <c r="B172" s="13"/>
      <c r="D172" s="789" t="s">
        <v>47</v>
      </c>
      <c r="E172" s="791" t="s">
        <v>64</v>
      </c>
      <c r="F172" s="793">
        <v>4</v>
      </c>
      <c r="G172" s="795" t="s">
        <v>44</v>
      </c>
      <c r="H172" s="611" t="s">
        <v>223</v>
      </c>
      <c r="I172" s="725" t="s">
        <v>233</v>
      </c>
      <c r="J172" s="726"/>
      <c r="K172" s="544" t="s">
        <v>12</v>
      </c>
      <c r="L172" s="797" t="s">
        <v>13</v>
      </c>
      <c r="M172" s="593" t="s">
        <v>13</v>
      </c>
      <c r="N172" s="593" t="s">
        <v>13</v>
      </c>
      <c r="O172" s="593"/>
      <c r="P172" s="593"/>
      <c r="Q172" s="593"/>
      <c r="R172" s="593"/>
      <c r="S172" s="594"/>
      <c r="U172" s="13"/>
    </row>
    <row r="173" spans="2:21" ht="15" customHeight="1" x14ac:dyDescent="0.25">
      <c r="B173" s="13"/>
      <c r="D173" s="789"/>
      <c r="E173" s="791"/>
      <c r="F173" s="793"/>
      <c r="G173" s="795"/>
      <c r="H173" s="611"/>
      <c r="I173" s="709" t="s">
        <v>234</v>
      </c>
      <c r="J173" s="710"/>
      <c r="K173" s="544"/>
      <c r="L173" s="797"/>
      <c r="M173" s="593"/>
      <c r="N173" s="593"/>
      <c r="O173" s="593"/>
      <c r="P173" s="593"/>
      <c r="Q173" s="593"/>
      <c r="R173" s="593"/>
      <c r="S173" s="594"/>
      <c r="U173" s="13"/>
    </row>
    <row r="174" spans="2:21" ht="15" customHeight="1" thickBot="1" x14ac:dyDescent="0.3">
      <c r="B174" s="13"/>
      <c r="D174" s="790"/>
      <c r="E174" s="792"/>
      <c r="F174" s="794"/>
      <c r="G174" s="796"/>
      <c r="H174" s="547"/>
      <c r="I174" s="711" t="s">
        <v>235</v>
      </c>
      <c r="J174" s="712"/>
      <c r="K174" s="551"/>
      <c r="L174" s="798"/>
      <c r="M174" s="601"/>
      <c r="N174" s="601"/>
      <c r="O174" s="601"/>
      <c r="P174" s="601"/>
      <c r="Q174" s="601"/>
      <c r="R174" s="601"/>
      <c r="S174" s="602"/>
      <c r="U174" s="13"/>
    </row>
    <row r="175" spans="2:21" ht="20.100000000000001" customHeight="1" x14ac:dyDescent="0.25">
      <c r="B175" s="13"/>
      <c r="U175" s="13"/>
    </row>
    <row r="176" spans="2:21" ht="20.100000000000001" customHeight="1" thickBot="1" x14ac:dyDescent="0.3">
      <c r="B176" s="13"/>
      <c r="C176" s="26"/>
      <c r="D176" s="26"/>
      <c r="E176" s="552" t="str">
        <f>IF(OR(L164="-",L164= ""),H164,L164)</f>
        <v>Orakel von Delphi</v>
      </c>
      <c r="F176" s="552"/>
      <c r="G176" s="552"/>
      <c r="H176" s="552"/>
      <c r="I176" s="552"/>
      <c r="J176" s="552"/>
      <c r="K176" s="552"/>
      <c r="L176" s="552"/>
      <c r="M176" s="552"/>
      <c r="N176" s="552"/>
      <c r="O176" s="199"/>
      <c r="P176" s="199"/>
      <c r="Q176" s="199"/>
      <c r="R176" s="199"/>
      <c r="S176" s="199"/>
      <c r="T176" s="26"/>
      <c r="U176" s="13"/>
    </row>
    <row r="177" spans="2:21" ht="50.1" customHeight="1" thickBot="1" x14ac:dyDescent="0.3">
      <c r="B177" s="13"/>
      <c r="C177" s="26"/>
      <c r="D177" s="199"/>
      <c r="E177" s="88" t="s">
        <v>10</v>
      </c>
      <c r="F177" s="125" t="s">
        <v>52</v>
      </c>
      <c r="G177" s="89" t="s">
        <v>14</v>
      </c>
      <c r="H177" s="200" t="s">
        <v>51</v>
      </c>
      <c r="I177" s="18" t="s">
        <v>54</v>
      </c>
      <c r="J177" s="200" t="s">
        <v>53</v>
      </c>
      <c r="K177" s="206" t="s">
        <v>28</v>
      </c>
      <c r="L177" s="200" t="s">
        <v>37</v>
      </c>
      <c r="M177" s="204" t="s">
        <v>16</v>
      </c>
      <c r="N177" s="89" t="s">
        <v>15</v>
      </c>
      <c r="O177" s="5" t="s">
        <v>30</v>
      </c>
      <c r="P177" s="7" t="s">
        <v>34</v>
      </c>
      <c r="Q177" s="7" t="s">
        <v>31</v>
      </c>
      <c r="R177" s="19" t="s">
        <v>32</v>
      </c>
      <c r="S177" s="199"/>
      <c r="T177" s="26"/>
      <c r="U177" s="13"/>
    </row>
    <row r="178" spans="2:21" ht="30" customHeight="1" x14ac:dyDescent="0.25">
      <c r="B178" s="13"/>
      <c r="C178" s="26"/>
      <c r="D178" s="68"/>
      <c r="E178" s="365" t="s">
        <v>88</v>
      </c>
      <c r="F178" s="253" t="s">
        <v>69</v>
      </c>
      <c r="G178" s="49">
        <v>4</v>
      </c>
      <c r="H178" s="49" t="s">
        <v>275</v>
      </c>
      <c r="I178" s="49" t="s">
        <v>13</v>
      </c>
      <c r="J178" s="122" t="s">
        <v>121</v>
      </c>
      <c r="K178" s="49" t="s">
        <v>13</v>
      </c>
      <c r="L178" s="50">
        <f>(L190+L199+L205)/3</f>
        <v>58.098905924992884</v>
      </c>
      <c r="M178" s="49">
        <v>4</v>
      </c>
      <c r="N178" s="61">
        <v>0</v>
      </c>
      <c r="O178" s="57">
        <f>IF(M178=1,1,0)</f>
        <v>0</v>
      </c>
      <c r="P178" s="209">
        <f>IF(M178=2,1,0)</f>
        <v>0</v>
      </c>
      <c r="Q178" s="209">
        <f>IF(M178=3,1,0)</f>
        <v>0</v>
      </c>
      <c r="R178" s="8">
        <f>IF(M178=4,1,0)</f>
        <v>1</v>
      </c>
      <c r="S178" s="198"/>
      <c r="T178" s="26"/>
      <c r="U178" s="13"/>
    </row>
    <row r="179" spans="2:21" ht="42" customHeight="1" x14ac:dyDescent="0.25">
      <c r="B179" s="13"/>
      <c r="C179" s="26"/>
      <c r="D179" s="26"/>
      <c r="E179" s="303" t="s">
        <v>2</v>
      </c>
      <c r="F179" s="247" t="s">
        <v>8</v>
      </c>
      <c r="G179" s="47">
        <v>1</v>
      </c>
      <c r="H179" s="47" t="s">
        <v>273</v>
      </c>
      <c r="I179" s="47" t="s">
        <v>13</v>
      </c>
      <c r="J179" s="100" t="s">
        <v>120</v>
      </c>
      <c r="K179" s="100" t="s">
        <v>304</v>
      </c>
      <c r="L179" s="48">
        <f>(L189+L196+L208)/3</f>
        <v>80.609607783520829</v>
      </c>
      <c r="M179" s="47">
        <v>2</v>
      </c>
      <c r="N179" s="60">
        <v>3</v>
      </c>
      <c r="O179" s="205">
        <f>IF(M179=1,1,0)</f>
        <v>0</v>
      </c>
      <c r="P179" s="207">
        <f>IF(M179=2,1,0)</f>
        <v>1</v>
      </c>
      <c r="Q179" s="207">
        <f>IF(M179=3,1,0)</f>
        <v>0</v>
      </c>
      <c r="R179" s="9">
        <f>IF(M179=4,1,0)</f>
        <v>0</v>
      </c>
      <c r="S179" s="198"/>
      <c r="T179" s="26"/>
      <c r="U179" s="13"/>
    </row>
    <row r="180" spans="2:21" ht="42" customHeight="1" x14ac:dyDescent="0.25">
      <c r="B180" s="13"/>
      <c r="C180" s="26"/>
      <c r="D180" s="26"/>
      <c r="E180" s="110" t="s">
        <v>125</v>
      </c>
      <c r="F180" s="273" t="s">
        <v>126</v>
      </c>
      <c r="G180" s="149">
        <v>3</v>
      </c>
      <c r="H180" s="149" t="s">
        <v>278</v>
      </c>
      <c r="I180" s="149" t="s">
        <v>13</v>
      </c>
      <c r="J180" s="123" t="s">
        <v>120</v>
      </c>
      <c r="K180" s="123" t="s">
        <v>303</v>
      </c>
      <c r="L180" s="38">
        <v>100</v>
      </c>
      <c r="M180" s="149">
        <v>1</v>
      </c>
      <c r="N180" s="108">
        <v>6</v>
      </c>
      <c r="O180" s="205">
        <f>IF(M180=1,1,0)</f>
        <v>1</v>
      </c>
      <c r="P180" s="207">
        <f>IF(M180=2,1,0)</f>
        <v>0</v>
      </c>
      <c r="Q180" s="207">
        <f>IF(M180=3,1,0)</f>
        <v>0</v>
      </c>
      <c r="R180" s="9">
        <f>IF(M180=4,1,0)</f>
        <v>0</v>
      </c>
      <c r="S180" s="198"/>
      <c r="T180" s="26"/>
      <c r="U180" s="13"/>
    </row>
    <row r="181" spans="2:21" ht="42" customHeight="1" thickBot="1" x14ac:dyDescent="0.3">
      <c r="B181" s="13"/>
      <c r="C181" s="26"/>
      <c r="D181" s="26"/>
      <c r="E181" s="354" t="s">
        <v>47</v>
      </c>
      <c r="F181" s="255" t="s">
        <v>64</v>
      </c>
      <c r="G181" s="150">
        <v>2</v>
      </c>
      <c r="H181" s="107" t="s">
        <v>277</v>
      </c>
      <c r="I181" s="150" t="s">
        <v>13</v>
      </c>
      <c r="J181" s="107" t="s">
        <v>120</v>
      </c>
      <c r="K181" s="107" t="s">
        <v>302</v>
      </c>
      <c r="L181" s="17">
        <f>(L187+L197+L206)/3</f>
        <v>69.332358462793252</v>
      </c>
      <c r="M181" s="150">
        <v>3</v>
      </c>
      <c r="N181" s="59">
        <v>1</v>
      </c>
      <c r="O181" s="58">
        <f>IF(M181=1,1,0)</f>
        <v>0</v>
      </c>
      <c r="P181" s="208">
        <f>IF(M181=2,1,0)</f>
        <v>0</v>
      </c>
      <c r="Q181" s="208">
        <f>IF(M181=3,1,0)</f>
        <v>1</v>
      </c>
      <c r="R181" s="10">
        <f>IF(M181=4,1,0)</f>
        <v>0</v>
      </c>
      <c r="S181" s="198"/>
      <c r="T181" s="26"/>
      <c r="U181" s="13"/>
    </row>
    <row r="182" spans="2:21" ht="20.100000000000001" hidden="1" customHeight="1" outlineLevel="1" x14ac:dyDescent="0.3">
      <c r="B182" s="13"/>
      <c r="C182" s="26"/>
      <c r="D182" s="68"/>
      <c r="E182" s="68"/>
      <c r="F182" s="553"/>
      <c r="G182" s="553"/>
      <c r="H182" s="26"/>
      <c r="I182" s="64" t="s">
        <v>29</v>
      </c>
      <c r="J182" s="23">
        <f>MAX(J178:J181)</f>
        <v>0</v>
      </c>
      <c r="K182" s="70"/>
      <c r="L182" s="69"/>
      <c r="M182" s="26"/>
      <c r="N182" s="63" t="s">
        <v>33</v>
      </c>
      <c r="O182" s="20">
        <f>SUM(O178:O181)</f>
        <v>1</v>
      </c>
      <c r="P182" s="21">
        <f>SUM(P178:P181)</f>
        <v>1</v>
      </c>
      <c r="Q182" s="20">
        <f>SUM(Q178:Q181)</f>
        <v>1</v>
      </c>
      <c r="R182" s="22">
        <f>SUM(R178:R181)</f>
        <v>1</v>
      </c>
      <c r="S182" s="69"/>
      <c r="T182" s="26"/>
      <c r="U182" s="13"/>
    </row>
    <row r="183" spans="2:21" ht="20.100000000000001" customHeight="1" collapsed="1" x14ac:dyDescent="0.25">
      <c r="B183" s="13"/>
      <c r="C183" s="26"/>
      <c r="D183" s="26"/>
      <c r="E183" s="26"/>
      <c r="F183" s="26"/>
      <c r="G183" s="26"/>
      <c r="H183" s="26"/>
      <c r="I183" s="26"/>
      <c r="J183" s="26"/>
      <c r="K183" s="26"/>
      <c r="L183" s="26"/>
      <c r="M183" s="26"/>
      <c r="N183" s="26"/>
      <c r="O183" s="26"/>
      <c r="P183" s="26"/>
      <c r="Q183" s="26"/>
      <c r="R183" s="26"/>
      <c r="S183" s="26"/>
      <c r="T183" s="26"/>
      <c r="U183" s="13"/>
    </row>
    <row r="184" spans="2:21" ht="20.100000000000001" customHeight="1" x14ac:dyDescent="0.25">
      <c r="B184" s="13"/>
      <c r="U184" s="13"/>
    </row>
    <row r="185" spans="2:21" ht="20.100000000000001" customHeight="1" thickBot="1" x14ac:dyDescent="0.3">
      <c r="B185" s="13"/>
      <c r="C185" s="27"/>
      <c r="D185" s="27"/>
      <c r="E185" s="554" t="str">
        <f>IF(OR(L168="-",L168= ""),H168,L168)</f>
        <v>Parks</v>
      </c>
      <c r="F185" s="554"/>
      <c r="G185" s="554"/>
      <c r="H185" s="554"/>
      <c r="I185" s="554"/>
      <c r="J185" s="554"/>
      <c r="K185" s="554"/>
      <c r="L185" s="554"/>
      <c r="M185" s="554"/>
      <c r="N185" s="554"/>
      <c r="O185" s="197"/>
      <c r="P185" s="197"/>
      <c r="Q185" s="197"/>
      <c r="R185" s="197"/>
      <c r="S185" s="197"/>
      <c r="T185" s="27"/>
      <c r="U185" s="13"/>
    </row>
    <row r="186" spans="2:21" ht="50.1" customHeight="1" thickBot="1" x14ac:dyDescent="0.3">
      <c r="B186" s="13"/>
      <c r="C186" s="27"/>
      <c r="D186" s="197"/>
      <c r="E186" s="88" t="s">
        <v>10</v>
      </c>
      <c r="F186" s="125" t="s">
        <v>52</v>
      </c>
      <c r="G186" s="89" t="s">
        <v>14</v>
      </c>
      <c r="H186" s="200" t="s">
        <v>51</v>
      </c>
      <c r="I186" s="18" t="s">
        <v>54</v>
      </c>
      <c r="J186" s="200" t="s">
        <v>53</v>
      </c>
      <c r="K186" s="206" t="s">
        <v>28</v>
      </c>
      <c r="L186" s="200" t="s">
        <v>37</v>
      </c>
      <c r="M186" s="204" t="s">
        <v>16</v>
      </c>
      <c r="N186" s="89" t="s">
        <v>15</v>
      </c>
      <c r="O186" s="5" t="s">
        <v>30</v>
      </c>
      <c r="P186" s="7" t="s">
        <v>34</v>
      </c>
      <c r="Q186" s="7" t="s">
        <v>31</v>
      </c>
      <c r="R186" s="19" t="s">
        <v>32</v>
      </c>
      <c r="S186" s="197"/>
      <c r="T186" s="27"/>
      <c r="U186" s="13"/>
    </row>
    <row r="187" spans="2:21" ht="20.100000000000001" customHeight="1" x14ac:dyDescent="0.25">
      <c r="B187" s="13"/>
      <c r="C187" s="27"/>
      <c r="D187" s="67"/>
      <c r="E187" s="365" t="s">
        <v>88</v>
      </c>
      <c r="F187" s="253" t="s">
        <v>69</v>
      </c>
      <c r="G187" s="49">
        <v>4</v>
      </c>
      <c r="H187" s="122" t="s">
        <v>13</v>
      </c>
      <c r="I187" s="49">
        <v>0</v>
      </c>
      <c r="J187" s="122">
        <v>32</v>
      </c>
      <c r="K187" s="238" t="s">
        <v>315</v>
      </c>
      <c r="L187" s="50">
        <f>IF(J187="",0,(J187/J191)*100)</f>
        <v>82.051282051282044</v>
      </c>
      <c r="M187" s="49">
        <v>3</v>
      </c>
      <c r="N187" s="61">
        <v>1</v>
      </c>
      <c r="O187" s="57">
        <f>IF(M187=1,1,0)</f>
        <v>0</v>
      </c>
      <c r="P187" s="209">
        <f>IF(M187=2,1,0)</f>
        <v>0</v>
      </c>
      <c r="Q187" s="209">
        <f>IF(M187=3,1,0)</f>
        <v>1</v>
      </c>
      <c r="R187" s="8">
        <f>IF(M187=4,1,0)</f>
        <v>0</v>
      </c>
      <c r="S187" s="203"/>
      <c r="T187" s="27"/>
      <c r="U187" s="13"/>
    </row>
    <row r="188" spans="2:21" ht="20.100000000000001" customHeight="1" x14ac:dyDescent="0.25">
      <c r="B188" s="13"/>
      <c r="C188" s="27"/>
      <c r="D188" s="27"/>
      <c r="E188" s="110" t="s">
        <v>2</v>
      </c>
      <c r="F188" s="273" t="s">
        <v>8</v>
      </c>
      <c r="G188" s="149">
        <v>1</v>
      </c>
      <c r="H188" s="123" t="s">
        <v>13</v>
      </c>
      <c r="I188" s="149">
        <v>0</v>
      </c>
      <c r="J188" s="123">
        <v>39</v>
      </c>
      <c r="K188" s="123" t="s">
        <v>13</v>
      </c>
      <c r="L188" s="38">
        <f>IF(J188="",0,(J188/J191)*100)</f>
        <v>100</v>
      </c>
      <c r="M188" s="149">
        <v>1</v>
      </c>
      <c r="N188" s="108">
        <v>6</v>
      </c>
      <c r="O188" s="205">
        <f>IF(M188=1,1,0)</f>
        <v>1</v>
      </c>
      <c r="P188" s="207">
        <f>IF(M188=2,1,0)</f>
        <v>0</v>
      </c>
      <c r="Q188" s="207">
        <f>IF(M188=3,1,0)</f>
        <v>0</v>
      </c>
      <c r="R188" s="9">
        <f>IF(M188=4,1,0)</f>
        <v>0</v>
      </c>
      <c r="S188" s="203"/>
      <c r="T188" s="27"/>
      <c r="U188" s="13"/>
    </row>
    <row r="189" spans="2:21" ht="20.100000000000001" customHeight="1" x14ac:dyDescent="0.25">
      <c r="B189" s="13"/>
      <c r="C189" s="27"/>
      <c r="D189" s="67"/>
      <c r="E189" s="303" t="s">
        <v>125</v>
      </c>
      <c r="F189" s="247" t="s">
        <v>126</v>
      </c>
      <c r="G189" s="47">
        <v>2</v>
      </c>
      <c r="H189" s="100" t="s">
        <v>13</v>
      </c>
      <c r="I189" s="47">
        <v>0</v>
      </c>
      <c r="J189" s="100">
        <v>33</v>
      </c>
      <c r="K189" s="239" t="s">
        <v>13</v>
      </c>
      <c r="L189" s="48">
        <f>IF(J189="",0,(J189/J191)*100)</f>
        <v>84.615384615384613</v>
      </c>
      <c r="M189" s="47">
        <v>2</v>
      </c>
      <c r="N189" s="60">
        <v>3</v>
      </c>
      <c r="O189" s="205">
        <f>IF(M189=1,1,0)</f>
        <v>0</v>
      </c>
      <c r="P189" s="207">
        <f>IF(M189=2,1,0)</f>
        <v>1</v>
      </c>
      <c r="Q189" s="207">
        <f>IF(M189=3,1,0)</f>
        <v>0</v>
      </c>
      <c r="R189" s="9">
        <f>IF(M189=4,1,0)</f>
        <v>0</v>
      </c>
      <c r="S189" s="203"/>
      <c r="T189" s="27"/>
      <c r="U189" s="13"/>
    </row>
    <row r="190" spans="2:21" ht="20.100000000000001" customHeight="1" thickBot="1" x14ac:dyDescent="0.3">
      <c r="B190" s="13"/>
      <c r="C190" s="27"/>
      <c r="D190" s="27"/>
      <c r="E190" s="354" t="s">
        <v>47</v>
      </c>
      <c r="F190" s="255" t="s">
        <v>64</v>
      </c>
      <c r="G190" s="150">
        <v>3</v>
      </c>
      <c r="H190" s="107" t="s">
        <v>13</v>
      </c>
      <c r="I190" s="150">
        <v>0</v>
      </c>
      <c r="J190" s="107">
        <v>32</v>
      </c>
      <c r="K190" s="107" t="s">
        <v>316</v>
      </c>
      <c r="L190" s="17">
        <f>IF(J190="",0,(J190/J191)*100)</f>
        <v>82.051282051282044</v>
      </c>
      <c r="M190" s="150">
        <v>4</v>
      </c>
      <c r="N190" s="59">
        <v>0</v>
      </c>
      <c r="O190" s="58">
        <f>IF(M190=1,1,0)</f>
        <v>0</v>
      </c>
      <c r="P190" s="208">
        <f>IF(M190=2,1,0)</f>
        <v>0</v>
      </c>
      <c r="Q190" s="208">
        <f>IF(M190=3,1,0)</f>
        <v>0</v>
      </c>
      <c r="R190" s="10">
        <f>IF(M190=4,1,0)</f>
        <v>1</v>
      </c>
      <c r="S190" s="203"/>
      <c r="T190" s="27"/>
      <c r="U190" s="13"/>
    </row>
    <row r="191" spans="2:21" ht="20.100000000000001" hidden="1" customHeight="1" outlineLevel="1" x14ac:dyDescent="0.3">
      <c r="B191" s="13"/>
      <c r="C191" s="27"/>
      <c r="D191" s="27"/>
      <c r="E191" s="27"/>
      <c r="F191" s="531"/>
      <c r="G191" s="531"/>
      <c r="H191" s="27"/>
      <c r="I191" s="64" t="s">
        <v>29</v>
      </c>
      <c r="J191" s="23">
        <f>MAX(J187:J190)</f>
        <v>39</v>
      </c>
      <c r="K191" s="75"/>
      <c r="L191" s="203"/>
      <c r="M191" s="27"/>
      <c r="N191" s="63" t="s">
        <v>33</v>
      </c>
      <c r="O191" s="20">
        <f>SUM(O187:O190)</f>
        <v>1</v>
      </c>
      <c r="P191" s="21">
        <f>SUM(P187:P190)</f>
        <v>1</v>
      </c>
      <c r="Q191" s="20">
        <f>SUM(Q187:Q190)</f>
        <v>1</v>
      </c>
      <c r="R191" s="22">
        <f>SUM(R187:R190)</f>
        <v>1</v>
      </c>
      <c r="S191" s="74"/>
      <c r="T191" s="27"/>
      <c r="U191" s="13"/>
    </row>
    <row r="192" spans="2:21" ht="20.100000000000001" customHeight="1" collapsed="1" x14ac:dyDescent="0.25">
      <c r="B192" s="13"/>
      <c r="C192" s="27"/>
      <c r="D192" s="27"/>
      <c r="E192" s="27"/>
      <c r="F192" s="27"/>
      <c r="G192" s="27"/>
      <c r="H192" s="27"/>
      <c r="I192" s="27"/>
      <c r="J192" s="27"/>
      <c r="K192" s="27"/>
      <c r="L192" s="27"/>
      <c r="M192" s="27"/>
      <c r="N192" s="27"/>
      <c r="O192" s="27"/>
      <c r="P192" s="27"/>
      <c r="Q192" s="27"/>
      <c r="R192" s="27"/>
      <c r="S192" s="27"/>
      <c r="T192" s="27"/>
      <c r="U192" s="13"/>
    </row>
    <row r="193" spans="2:21" ht="20.100000000000001" customHeight="1" x14ac:dyDescent="0.25">
      <c r="B193" s="13"/>
      <c r="D193" s="28"/>
      <c r="E193" s="28"/>
      <c r="F193" s="28"/>
      <c r="G193" s="28"/>
      <c r="H193" s="29"/>
      <c r="I193" s="28"/>
      <c r="J193" s="28"/>
      <c r="U193" s="13"/>
    </row>
    <row r="194" spans="2:21" ht="20.100000000000001" customHeight="1" thickBot="1" x14ac:dyDescent="0.3">
      <c r="B194" s="13"/>
      <c r="C194" s="30"/>
      <c r="D194" s="30"/>
      <c r="E194" s="532" t="str">
        <f>IF(OR(L171="-",L171= ""),H171,L171)</f>
        <v>Tapestry</v>
      </c>
      <c r="F194" s="532"/>
      <c r="G194" s="532"/>
      <c r="H194" s="532"/>
      <c r="I194" s="532"/>
      <c r="J194" s="532"/>
      <c r="K194" s="532"/>
      <c r="L194" s="532"/>
      <c r="M194" s="532"/>
      <c r="N194" s="532"/>
      <c r="O194" s="196"/>
      <c r="P194" s="196"/>
      <c r="Q194" s="196"/>
      <c r="R194" s="196"/>
      <c r="S194" s="196"/>
      <c r="T194" s="30"/>
      <c r="U194" s="14"/>
    </row>
    <row r="195" spans="2:21" ht="50.1" customHeight="1" thickBot="1" x14ac:dyDescent="0.3">
      <c r="B195" s="13"/>
      <c r="C195" s="30"/>
      <c r="D195" s="196"/>
      <c r="E195" s="88" t="s">
        <v>10</v>
      </c>
      <c r="F195" s="125" t="s">
        <v>52</v>
      </c>
      <c r="G195" s="89" t="s">
        <v>14</v>
      </c>
      <c r="H195" s="200" t="s">
        <v>51</v>
      </c>
      <c r="I195" s="18" t="s">
        <v>54</v>
      </c>
      <c r="J195" s="200" t="s">
        <v>53</v>
      </c>
      <c r="K195" s="206" t="s">
        <v>28</v>
      </c>
      <c r="L195" s="200" t="s">
        <v>37</v>
      </c>
      <c r="M195" s="204" t="s">
        <v>16</v>
      </c>
      <c r="N195" s="89" t="s">
        <v>15</v>
      </c>
      <c r="O195" s="5" t="s">
        <v>30</v>
      </c>
      <c r="P195" s="7" t="s">
        <v>34</v>
      </c>
      <c r="Q195" s="7" t="s">
        <v>31</v>
      </c>
      <c r="R195" s="19" t="s">
        <v>32</v>
      </c>
      <c r="S195" s="196"/>
      <c r="T195" s="30"/>
      <c r="U195" s="14"/>
    </row>
    <row r="196" spans="2:21" ht="20.100000000000001" customHeight="1" x14ac:dyDescent="0.25">
      <c r="B196" s="13"/>
      <c r="C196" s="30"/>
      <c r="D196" s="66"/>
      <c r="E196" s="365" t="s">
        <v>88</v>
      </c>
      <c r="F196" s="253" t="s">
        <v>69</v>
      </c>
      <c r="G196" s="49">
        <v>4</v>
      </c>
      <c r="H196" s="122" t="s">
        <v>320</v>
      </c>
      <c r="I196" s="49">
        <v>0</v>
      </c>
      <c r="J196" s="122">
        <v>208</v>
      </c>
      <c r="K196" s="50" t="s">
        <v>13</v>
      </c>
      <c r="L196" s="50">
        <f>IF(J196="",0,(J196/J200)*100)</f>
        <v>82.213438735177874</v>
      </c>
      <c r="M196" s="49">
        <v>2</v>
      </c>
      <c r="N196" s="61">
        <v>3</v>
      </c>
      <c r="O196" s="57">
        <f>IF(M196=1,1,0)</f>
        <v>0</v>
      </c>
      <c r="P196" s="209">
        <f>IF(M196=2,1,0)</f>
        <v>1</v>
      </c>
      <c r="Q196" s="209">
        <f>IF(M196=3,1,0)</f>
        <v>0</v>
      </c>
      <c r="R196" s="8">
        <f>IF(M196=4,1,0)</f>
        <v>0</v>
      </c>
      <c r="S196" s="194"/>
      <c r="T196" s="30"/>
      <c r="U196" s="13"/>
    </row>
    <row r="197" spans="2:21" ht="20.100000000000001" customHeight="1" x14ac:dyDescent="0.25">
      <c r="B197" s="13"/>
      <c r="C197" s="30"/>
      <c r="D197" s="30"/>
      <c r="E197" s="303" t="s">
        <v>2</v>
      </c>
      <c r="F197" s="247" t="s">
        <v>8</v>
      </c>
      <c r="G197" s="47">
        <v>3</v>
      </c>
      <c r="H197" s="100" t="s">
        <v>319</v>
      </c>
      <c r="I197" s="47">
        <v>0</v>
      </c>
      <c r="J197" s="100">
        <v>156</v>
      </c>
      <c r="K197" s="276" t="s">
        <v>13</v>
      </c>
      <c r="L197" s="48">
        <f>IF(J197="",0,(J197/J200)*100)</f>
        <v>61.660079051383399</v>
      </c>
      <c r="M197" s="47">
        <v>3</v>
      </c>
      <c r="N197" s="60">
        <v>1</v>
      </c>
      <c r="O197" s="205">
        <f>IF(M197=1,1,0)</f>
        <v>0</v>
      </c>
      <c r="P197" s="207">
        <f>IF(M197=2,1,0)</f>
        <v>0</v>
      </c>
      <c r="Q197" s="207">
        <f>IF(M197=3,1,0)</f>
        <v>1</v>
      </c>
      <c r="R197" s="9">
        <f>IF(M197=4,1,0)</f>
        <v>0</v>
      </c>
      <c r="S197" s="194"/>
      <c r="T197" s="30"/>
      <c r="U197" s="31"/>
    </row>
    <row r="198" spans="2:21" ht="20.100000000000001" customHeight="1" x14ac:dyDescent="0.25">
      <c r="B198" s="13"/>
      <c r="C198" s="30"/>
      <c r="D198" s="30"/>
      <c r="E198" s="110" t="s">
        <v>125</v>
      </c>
      <c r="F198" s="273" t="s">
        <v>126</v>
      </c>
      <c r="G198" s="149">
        <v>2</v>
      </c>
      <c r="H198" s="123" t="s">
        <v>318</v>
      </c>
      <c r="I198" s="149">
        <v>0</v>
      </c>
      <c r="J198" s="123">
        <v>253</v>
      </c>
      <c r="K198" s="369" t="s">
        <v>13</v>
      </c>
      <c r="L198" s="38">
        <f>IF(J198="",0,(J198/J200)*100)</f>
        <v>100</v>
      </c>
      <c r="M198" s="149">
        <v>1</v>
      </c>
      <c r="N198" s="108">
        <v>6</v>
      </c>
      <c r="O198" s="205">
        <f>IF(M198=1,1,0)</f>
        <v>1</v>
      </c>
      <c r="P198" s="207">
        <f>IF(M198=2,1,0)</f>
        <v>0</v>
      </c>
      <c r="Q198" s="207">
        <f>IF(M198=3,1,0)</f>
        <v>0</v>
      </c>
      <c r="R198" s="9">
        <f>IF(M198=4,1,0)</f>
        <v>0</v>
      </c>
      <c r="S198" s="194"/>
      <c r="T198" s="30"/>
      <c r="U198" s="31"/>
    </row>
    <row r="199" spans="2:21" ht="20.100000000000001" customHeight="1" thickBot="1" x14ac:dyDescent="0.3">
      <c r="B199" s="13"/>
      <c r="C199" s="30"/>
      <c r="D199" s="30"/>
      <c r="E199" s="354" t="s">
        <v>47</v>
      </c>
      <c r="F199" s="255" t="s">
        <v>64</v>
      </c>
      <c r="G199" s="150">
        <v>1</v>
      </c>
      <c r="H199" s="107" t="s">
        <v>317</v>
      </c>
      <c r="I199" s="150">
        <v>0</v>
      </c>
      <c r="J199" s="107">
        <v>137</v>
      </c>
      <c r="K199" s="17" t="s">
        <v>13</v>
      </c>
      <c r="L199" s="17">
        <f>IF(J199="",0,(J199/J200)*100)</f>
        <v>54.1501976284585</v>
      </c>
      <c r="M199" s="150">
        <v>4</v>
      </c>
      <c r="N199" s="59">
        <v>0</v>
      </c>
      <c r="O199" s="58">
        <f>IF(M199=1,1,0)</f>
        <v>0</v>
      </c>
      <c r="P199" s="208">
        <f>IF(M199=2,1,0)</f>
        <v>0</v>
      </c>
      <c r="Q199" s="208">
        <f>IF(M199=3,1,0)</f>
        <v>0</v>
      </c>
      <c r="R199" s="10">
        <f>IF(M199=4,1,0)</f>
        <v>1</v>
      </c>
      <c r="S199" s="194"/>
      <c r="T199" s="30"/>
      <c r="U199" s="31"/>
    </row>
    <row r="200" spans="2:21" ht="20.100000000000001" hidden="1" customHeight="1" outlineLevel="1" x14ac:dyDescent="0.3">
      <c r="B200" s="13"/>
      <c r="C200" s="30"/>
      <c r="D200" s="30"/>
      <c r="E200" s="30"/>
      <c r="F200" s="533"/>
      <c r="G200" s="533"/>
      <c r="H200" s="30"/>
      <c r="I200" s="64" t="s">
        <v>29</v>
      </c>
      <c r="J200" s="23">
        <f>MAX(J196:J199)</f>
        <v>253</v>
      </c>
      <c r="K200" s="76"/>
      <c r="L200" s="194"/>
      <c r="M200" s="30"/>
      <c r="N200" s="63" t="s">
        <v>33</v>
      </c>
      <c r="O200" s="20">
        <f>SUM(O196:O199)</f>
        <v>1</v>
      </c>
      <c r="P200" s="21">
        <f>SUM(P196:P199)</f>
        <v>1</v>
      </c>
      <c r="Q200" s="20">
        <f>SUM(Q196:Q199)</f>
        <v>1</v>
      </c>
      <c r="R200" s="22">
        <f>SUM(R196:R199)</f>
        <v>1</v>
      </c>
      <c r="S200" s="77"/>
      <c r="T200" s="30"/>
      <c r="U200" s="31"/>
    </row>
    <row r="201" spans="2:21" ht="20.100000000000001" customHeight="1" collapsed="1" x14ac:dyDescent="0.25">
      <c r="B201" s="13"/>
      <c r="C201" s="30"/>
      <c r="D201" s="30"/>
      <c r="E201" s="30"/>
      <c r="F201" s="30"/>
      <c r="G201" s="30"/>
      <c r="H201" s="30"/>
      <c r="I201" s="30"/>
      <c r="J201" s="30"/>
      <c r="K201" s="30"/>
      <c r="L201" s="30"/>
      <c r="M201" s="30"/>
      <c r="N201" s="30"/>
      <c r="O201" s="30"/>
      <c r="P201" s="30"/>
      <c r="Q201" s="30"/>
      <c r="R201" s="30"/>
      <c r="S201" s="30"/>
      <c r="T201" s="30"/>
      <c r="U201" s="31"/>
    </row>
    <row r="202" spans="2:21" ht="20.100000000000001" customHeight="1" x14ac:dyDescent="0.25">
      <c r="B202" s="13"/>
      <c r="D202" s="28"/>
      <c r="E202" s="28"/>
      <c r="F202" s="28"/>
      <c r="G202" s="28"/>
      <c r="H202" s="29"/>
      <c r="I202" s="28"/>
      <c r="J202" s="28"/>
      <c r="K202" s="28"/>
      <c r="U202" s="13"/>
    </row>
    <row r="203" spans="2:21" ht="20.100000000000001" customHeight="1" thickBot="1" x14ac:dyDescent="0.3">
      <c r="B203" s="13"/>
      <c r="C203" s="32"/>
      <c r="D203" s="32"/>
      <c r="E203" s="534" t="str">
        <f>IF(OR(L172="-",L172= ""),H172,L172)</f>
        <v>Azul</v>
      </c>
      <c r="F203" s="534"/>
      <c r="G203" s="534"/>
      <c r="H203" s="534"/>
      <c r="I203" s="534"/>
      <c r="J203" s="534"/>
      <c r="K203" s="534"/>
      <c r="L203" s="534"/>
      <c r="M203" s="534"/>
      <c r="N203" s="534"/>
      <c r="O203" s="195"/>
      <c r="P203" s="195"/>
      <c r="Q203" s="195"/>
      <c r="R203" s="195"/>
      <c r="S203" s="195"/>
      <c r="T203" s="32"/>
      <c r="U203" s="13"/>
    </row>
    <row r="204" spans="2:21" ht="50.1" customHeight="1" thickBot="1" x14ac:dyDescent="0.3">
      <c r="B204" s="13"/>
      <c r="C204" s="32"/>
      <c r="D204" s="195"/>
      <c r="E204" s="88" t="s">
        <v>10</v>
      </c>
      <c r="F204" s="125" t="s">
        <v>52</v>
      </c>
      <c r="G204" s="89" t="s">
        <v>14</v>
      </c>
      <c r="H204" s="200" t="s">
        <v>51</v>
      </c>
      <c r="I204" s="18" t="s">
        <v>54</v>
      </c>
      <c r="J204" s="200" t="s">
        <v>53</v>
      </c>
      <c r="K204" s="206" t="s">
        <v>28</v>
      </c>
      <c r="L204" s="200" t="s">
        <v>37</v>
      </c>
      <c r="M204" s="204" t="s">
        <v>16</v>
      </c>
      <c r="N204" s="89" t="s">
        <v>15</v>
      </c>
      <c r="O204" s="5" t="s">
        <v>30</v>
      </c>
      <c r="P204" s="7" t="s">
        <v>34</v>
      </c>
      <c r="Q204" s="7" t="s">
        <v>31</v>
      </c>
      <c r="R204" s="19" t="s">
        <v>32</v>
      </c>
      <c r="S204" s="195"/>
      <c r="T204" s="32"/>
      <c r="U204" s="13"/>
    </row>
    <row r="205" spans="2:21" ht="20.100000000000001" customHeight="1" x14ac:dyDescent="0.25">
      <c r="B205" s="13"/>
      <c r="C205" s="32"/>
      <c r="D205" s="32"/>
      <c r="E205" s="365" t="s">
        <v>88</v>
      </c>
      <c r="F205" s="253" t="s">
        <v>69</v>
      </c>
      <c r="G205" s="49">
        <v>3</v>
      </c>
      <c r="H205" s="49" t="s">
        <v>13</v>
      </c>
      <c r="I205" s="49">
        <v>0</v>
      </c>
      <c r="J205" s="49">
        <v>32</v>
      </c>
      <c r="K205" s="49" t="s">
        <v>13</v>
      </c>
      <c r="L205" s="50">
        <f>IF(J205="",0,(J205/J209)*100)</f>
        <v>38.095238095238095</v>
      </c>
      <c r="M205" s="49">
        <v>4</v>
      </c>
      <c r="N205" s="61">
        <v>0</v>
      </c>
      <c r="O205" s="57">
        <f>IF(M205=1,1,0)</f>
        <v>0</v>
      </c>
      <c r="P205" s="209">
        <f>IF(M205=2,1,0)</f>
        <v>0</v>
      </c>
      <c r="Q205" s="209">
        <f>IF(M205=3,1,0)</f>
        <v>0</v>
      </c>
      <c r="R205" s="8">
        <f>IF(M205=4,1,0)</f>
        <v>1</v>
      </c>
      <c r="S205" s="201"/>
      <c r="T205" s="32"/>
      <c r="U205" s="13"/>
    </row>
    <row r="206" spans="2:21" ht="20.100000000000001" customHeight="1" x14ac:dyDescent="0.25">
      <c r="B206" s="13"/>
      <c r="C206" s="32"/>
      <c r="D206" s="32"/>
      <c r="E206" s="303" t="s">
        <v>2</v>
      </c>
      <c r="F206" s="247" t="s">
        <v>8</v>
      </c>
      <c r="G206" s="47">
        <v>2</v>
      </c>
      <c r="H206" s="47" t="s">
        <v>13</v>
      </c>
      <c r="I206" s="47">
        <v>0</v>
      </c>
      <c r="J206" s="47">
        <v>54</v>
      </c>
      <c r="K206" s="100" t="s">
        <v>13</v>
      </c>
      <c r="L206" s="48">
        <f>IF(J206="",0,(J206/J209)*100)</f>
        <v>64.285714285714292</v>
      </c>
      <c r="M206" s="47">
        <v>3</v>
      </c>
      <c r="N206" s="60">
        <v>1</v>
      </c>
      <c r="O206" s="205">
        <f>IF(M206=1,1,0)</f>
        <v>0</v>
      </c>
      <c r="P206" s="207">
        <f>IF(M206=2,1,0)</f>
        <v>0</v>
      </c>
      <c r="Q206" s="207">
        <f>IF(M206=3,1,0)</f>
        <v>1</v>
      </c>
      <c r="R206" s="9">
        <f>IF(M206=4,1,0)</f>
        <v>0</v>
      </c>
      <c r="S206" s="201"/>
      <c r="T206" s="32"/>
      <c r="U206" s="13"/>
    </row>
    <row r="207" spans="2:21" ht="20.100000000000001" customHeight="1" x14ac:dyDescent="0.25">
      <c r="B207" s="13"/>
      <c r="C207" s="32"/>
      <c r="D207" s="32"/>
      <c r="E207" s="110" t="s">
        <v>125</v>
      </c>
      <c r="F207" s="273" t="s">
        <v>126</v>
      </c>
      <c r="G207" s="149">
        <v>4</v>
      </c>
      <c r="H207" s="149" t="s">
        <v>13</v>
      </c>
      <c r="I207" s="149">
        <v>0</v>
      </c>
      <c r="J207" s="149">
        <v>84</v>
      </c>
      <c r="K207" s="149" t="s">
        <v>13</v>
      </c>
      <c r="L207" s="38">
        <f>IF(J207="",0,(J207/J209)*100)</f>
        <v>100</v>
      </c>
      <c r="M207" s="149">
        <v>1</v>
      </c>
      <c r="N207" s="108">
        <v>6</v>
      </c>
      <c r="O207" s="205">
        <f>IF(M207=1,1,0)</f>
        <v>1</v>
      </c>
      <c r="P207" s="207">
        <f>IF(M207=2,1,0)</f>
        <v>0</v>
      </c>
      <c r="Q207" s="207">
        <f>IF(M207=3,1,0)</f>
        <v>0</v>
      </c>
      <c r="R207" s="9">
        <f>IF(M207=4,1,0)</f>
        <v>0</v>
      </c>
      <c r="S207" s="201"/>
      <c r="T207" s="32"/>
      <c r="U207" s="13"/>
    </row>
    <row r="208" spans="2:21" ht="20.100000000000001" customHeight="1" thickBot="1" x14ac:dyDescent="0.3">
      <c r="B208" s="13"/>
      <c r="C208" s="32"/>
      <c r="D208" s="65"/>
      <c r="E208" s="354" t="s">
        <v>47</v>
      </c>
      <c r="F208" s="255" t="s">
        <v>64</v>
      </c>
      <c r="G208" s="150">
        <v>1</v>
      </c>
      <c r="H208" s="150" t="s">
        <v>13</v>
      </c>
      <c r="I208" s="150">
        <v>0</v>
      </c>
      <c r="J208" s="150">
        <v>63</v>
      </c>
      <c r="K208" s="107" t="s">
        <v>13</v>
      </c>
      <c r="L208" s="17">
        <f>IF(J208="",0,(J208/J209)*100)</f>
        <v>75</v>
      </c>
      <c r="M208" s="150">
        <v>2</v>
      </c>
      <c r="N208" s="59">
        <v>3</v>
      </c>
      <c r="O208" s="58">
        <f>IF(M208=1,1,0)</f>
        <v>0</v>
      </c>
      <c r="P208" s="208">
        <f>IF(M208=2,1,0)</f>
        <v>1</v>
      </c>
      <c r="Q208" s="208">
        <f>IF(M208=3,1,0)</f>
        <v>0</v>
      </c>
      <c r="R208" s="10">
        <f>IF(M208=4,1,0)</f>
        <v>0</v>
      </c>
      <c r="S208" s="201"/>
      <c r="T208" s="32"/>
      <c r="U208" s="13"/>
    </row>
    <row r="209" spans="2:31" ht="20.100000000000001" hidden="1" customHeight="1" outlineLevel="1" x14ac:dyDescent="0.3">
      <c r="B209" s="13"/>
      <c r="C209" s="32"/>
      <c r="D209" s="32"/>
      <c r="E209" s="32"/>
      <c r="F209" s="535"/>
      <c r="G209" s="535"/>
      <c r="H209" s="32"/>
      <c r="I209" s="64" t="s">
        <v>29</v>
      </c>
      <c r="J209" s="23">
        <f>MAX(J205:J208)</f>
        <v>84</v>
      </c>
      <c r="K209" s="78"/>
      <c r="L209" s="201"/>
      <c r="M209" s="32"/>
      <c r="N209" s="63" t="s">
        <v>33</v>
      </c>
      <c r="O209" s="20">
        <f>SUM(O205:O208)</f>
        <v>1</v>
      </c>
      <c r="P209" s="21">
        <f>SUM(P205:P208)</f>
        <v>1</v>
      </c>
      <c r="Q209" s="20">
        <f>SUM(Q205:Q208)</f>
        <v>1</v>
      </c>
      <c r="R209" s="22">
        <f>SUM(R205:R208)</f>
        <v>1</v>
      </c>
      <c r="S209" s="79"/>
      <c r="T209" s="32"/>
      <c r="U209" s="13"/>
    </row>
    <row r="210" spans="2:31" ht="20.100000000000001" customHeight="1" collapsed="1" x14ac:dyDescent="0.25">
      <c r="B210" s="13"/>
      <c r="C210" s="32"/>
      <c r="D210" s="32"/>
      <c r="E210" s="32"/>
      <c r="F210" s="32"/>
      <c r="G210" s="32"/>
      <c r="H210" s="32"/>
      <c r="I210" s="32"/>
      <c r="J210" s="32"/>
      <c r="K210" s="32"/>
      <c r="L210" s="32"/>
      <c r="M210" s="32"/>
      <c r="N210" s="32"/>
      <c r="O210" s="32"/>
      <c r="P210" s="32"/>
      <c r="Q210" s="32"/>
      <c r="R210" s="32"/>
      <c r="S210" s="32"/>
      <c r="T210" s="32"/>
      <c r="U210" s="13"/>
    </row>
    <row r="211" spans="2:31" ht="20.100000000000001" customHeight="1" x14ac:dyDescent="0.25">
      <c r="B211" s="13"/>
      <c r="D211" s="4"/>
      <c r="E211" s="4"/>
      <c r="F211" s="4"/>
      <c r="G211" s="4"/>
      <c r="H211" s="4"/>
      <c r="I211" s="4"/>
      <c r="J211" s="4"/>
      <c r="U211" s="13"/>
    </row>
    <row r="212" spans="2:31" ht="30" customHeight="1" thickBot="1" x14ac:dyDescent="0.3">
      <c r="B212" s="13"/>
      <c r="C212" s="33"/>
      <c r="D212" s="536" t="s">
        <v>50</v>
      </c>
      <c r="E212" s="536"/>
      <c r="F212" s="536"/>
      <c r="G212" s="536"/>
      <c r="H212" s="536"/>
      <c r="I212" s="536"/>
      <c r="J212" s="536"/>
      <c r="K212" s="536"/>
      <c r="L212" s="536"/>
      <c r="M212" s="536"/>
      <c r="N212" s="536"/>
      <c r="O212" s="536"/>
      <c r="P212" s="536"/>
      <c r="Q212" s="536"/>
      <c r="R212" s="536"/>
      <c r="S212" s="536"/>
      <c r="T212" s="33"/>
      <c r="U212" s="13"/>
    </row>
    <row r="213" spans="2:31" ht="50.1" customHeight="1" thickBot="1" x14ac:dyDescent="0.3">
      <c r="B213" s="13"/>
      <c r="C213" s="33"/>
      <c r="D213" s="90" t="s">
        <v>10</v>
      </c>
      <c r="E213" s="93" t="s">
        <v>139</v>
      </c>
      <c r="F213" s="91" t="s">
        <v>15</v>
      </c>
      <c r="G213" s="42" t="s">
        <v>55</v>
      </c>
      <c r="H213" s="537" t="s">
        <v>56</v>
      </c>
      <c r="I213" s="538"/>
      <c r="J213" s="202" t="s">
        <v>66</v>
      </c>
      <c r="K213" s="92" t="s">
        <v>17</v>
      </c>
      <c r="L213" s="91" t="s">
        <v>18</v>
      </c>
      <c r="M213" s="92" t="s">
        <v>19</v>
      </c>
      <c r="N213" s="91" t="s">
        <v>20</v>
      </c>
      <c r="O213" s="130"/>
      <c r="P213" s="126"/>
      <c r="Q213" s="126"/>
      <c r="R213" s="126"/>
      <c r="S213" s="93" t="s">
        <v>38</v>
      </c>
      <c r="T213" s="33"/>
      <c r="U213" s="13"/>
    </row>
    <row r="214" spans="2:31" ht="20.100000000000001" customHeight="1" x14ac:dyDescent="0.25">
      <c r="B214" s="13"/>
      <c r="C214" s="33"/>
      <c r="D214" s="367" t="s">
        <v>125</v>
      </c>
      <c r="E214" s="288" t="s">
        <v>126</v>
      </c>
      <c r="F214" s="133">
        <f>K214*6+L214*3+M214*1+N214*0</f>
        <v>21</v>
      </c>
      <c r="G214" s="262">
        <v>0</v>
      </c>
      <c r="H214" s="539" t="s">
        <v>13</v>
      </c>
      <c r="I214" s="539"/>
      <c r="J214" s="133">
        <f>F214+G214</f>
        <v>21</v>
      </c>
      <c r="K214" s="133">
        <v>3</v>
      </c>
      <c r="L214" s="133">
        <v>1</v>
      </c>
      <c r="M214" s="133">
        <v>0</v>
      </c>
      <c r="N214" s="133">
        <v>0</v>
      </c>
      <c r="O214" s="152"/>
      <c r="P214" s="262"/>
      <c r="Q214" s="262"/>
      <c r="R214" s="262"/>
      <c r="S214" s="134">
        <f>(L180+L189+L198+L207)/4</f>
        <v>96.15384615384616</v>
      </c>
      <c r="T214" s="33"/>
      <c r="U214" s="13"/>
    </row>
    <row r="215" spans="2:31" ht="20.100000000000001" customHeight="1" x14ac:dyDescent="0.25">
      <c r="B215" s="13"/>
      <c r="C215" s="33"/>
      <c r="D215" s="364" t="s">
        <v>2</v>
      </c>
      <c r="E215" s="274" t="s">
        <v>8</v>
      </c>
      <c r="F215" s="52">
        <f>K215*6+L215*3+M215*1+N215*0</f>
        <v>11</v>
      </c>
      <c r="G215" s="263">
        <v>0</v>
      </c>
      <c r="H215" s="529" t="s">
        <v>13</v>
      </c>
      <c r="I215" s="529"/>
      <c r="J215" s="52">
        <f>F215+G215</f>
        <v>11</v>
      </c>
      <c r="K215" s="52">
        <v>1</v>
      </c>
      <c r="L215" s="52">
        <v>1</v>
      </c>
      <c r="M215" s="52">
        <v>2</v>
      </c>
      <c r="N215" s="52">
        <v>0</v>
      </c>
      <c r="O215" s="151"/>
      <c r="P215" s="263"/>
      <c r="Q215" s="263"/>
      <c r="R215" s="263"/>
      <c r="S215" s="104">
        <f>(L179+L188+L197+L206)/4</f>
        <v>76.638850280154628</v>
      </c>
      <c r="T215" s="33"/>
      <c r="U215" s="13"/>
      <c r="Y215" s="610"/>
      <c r="Z215" s="610"/>
      <c r="AA215" s="43"/>
      <c r="AB215" s="43"/>
      <c r="AC215" s="44"/>
      <c r="AD215" s="44"/>
      <c r="AE215" s="44"/>
    </row>
    <row r="216" spans="2:31" ht="20.100000000000001" customHeight="1" x14ac:dyDescent="0.25">
      <c r="B216" s="13"/>
      <c r="C216" s="33"/>
      <c r="D216" s="364" t="s">
        <v>47</v>
      </c>
      <c r="E216" s="274" t="s">
        <v>64</v>
      </c>
      <c r="F216" s="52">
        <f>K216*6+L216*3+M216*1+N216*0</f>
        <v>4</v>
      </c>
      <c r="G216" s="263">
        <v>0</v>
      </c>
      <c r="H216" s="529" t="s">
        <v>13</v>
      </c>
      <c r="I216" s="529"/>
      <c r="J216" s="52">
        <f>F216+G216</f>
        <v>4</v>
      </c>
      <c r="K216" s="52">
        <v>0</v>
      </c>
      <c r="L216" s="52">
        <v>1</v>
      </c>
      <c r="M216" s="52">
        <v>1</v>
      </c>
      <c r="N216" s="52">
        <v>2</v>
      </c>
      <c r="O216" s="151"/>
      <c r="P216" s="263"/>
      <c r="Q216" s="263"/>
      <c r="R216" s="263"/>
      <c r="S216" s="104">
        <f>(L181++L190+L199+L208)/4</f>
        <v>70.133459535633449</v>
      </c>
      <c r="T216" s="33"/>
      <c r="U216" s="13"/>
    </row>
    <row r="217" spans="2:31" ht="20.100000000000001" customHeight="1" thickBot="1" x14ac:dyDescent="0.3">
      <c r="B217" s="13"/>
      <c r="C217" s="33"/>
      <c r="D217" s="372" t="s">
        <v>88</v>
      </c>
      <c r="E217" s="275" t="s">
        <v>69</v>
      </c>
      <c r="F217" s="109">
        <f>K217*6+L217*3+M217*1+N217*0</f>
        <v>4</v>
      </c>
      <c r="G217" s="264">
        <v>0</v>
      </c>
      <c r="H217" s="530" t="s">
        <v>13</v>
      </c>
      <c r="I217" s="530"/>
      <c r="J217" s="109">
        <f>F217+G217</f>
        <v>4</v>
      </c>
      <c r="K217" s="109">
        <v>0</v>
      </c>
      <c r="L217" s="109">
        <v>1</v>
      </c>
      <c r="M217" s="109">
        <v>1</v>
      </c>
      <c r="N217" s="109">
        <v>2</v>
      </c>
      <c r="O217" s="153"/>
      <c r="P217" s="264"/>
      <c r="Q217" s="264"/>
      <c r="R217" s="264"/>
      <c r="S217" s="106">
        <f>(L178+L187+L196+L205)/4</f>
        <v>65.114716201672721</v>
      </c>
      <c r="T217" s="33"/>
      <c r="U217" s="13"/>
    </row>
    <row r="218" spans="2:31" ht="20.100000000000001" customHeight="1" x14ac:dyDescent="0.25">
      <c r="B218" s="13"/>
      <c r="C218" s="33"/>
      <c r="D218" s="370"/>
      <c r="E218" s="370"/>
      <c r="F218" s="371"/>
      <c r="G218" s="317"/>
      <c r="H218" s="781"/>
      <c r="I218" s="781"/>
      <c r="J218" s="371"/>
      <c r="K218" s="371"/>
      <c r="L218" s="371"/>
      <c r="M218" s="371"/>
      <c r="N218" s="371"/>
      <c r="O218" s="316"/>
      <c r="P218" s="317"/>
      <c r="Q218" s="317"/>
      <c r="R218" s="317"/>
      <c r="S218" s="330"/>
      <c r="T218" s="33"/>
      <c r="U218" s="13"/>
    </row>
    <row r="219" spans="2:31" ht="20.100000000000001" customHeight="1" x14ac:dyDescent="0.25">
      <c r="B219" s="13"/>
      <c r="C219" s="13"/>
      <c r="D219" s="15"/>
      <c r="E219" s="15"/>
      <c r="F219" s="14"/>
      <c r="G219" s="14"/>
      <c r="H219" s="15"/>
      <c r="I219" s="15"/>
      <c r="J219" s="15"/>
      <c r="K219" s="13"/>
      <c r="L219" s="13"/>
      <c r="M219" s="13"/>
      <c r="N219" s="13"/>
      <c r="O219" s="13"/>
      <c r="P219" s="13"/>
      <c r="Q219" s="13"/>
      <c r="R219" s="13"/>
      <c r="S219" s="13"/>
      <c r="T219" s="13"/>
      <c r="U219" s="13"/>
    </row>
    <row r="220" spans="2:31" ht="20.100000000000001" customHeight="1" x14ac:dyDescent="0.25"/>
    <row r="221" spans="2:31" ht="20.100000000000001" customHeight="1" x14ac:dyDescent="0.25"/>
    <row r="222" spans="2:31" ht="20.100000000000001" customHeight="1" x14ac:dyDescent="0.25">
      <c r="B222" s="13"/>
      <c r="C222" s="13"/>
      <c r="D222" s="25"/>
      <c r="E222" s="25"/>
      <c r="F222" s="25"/>
      <c r="G222" s="25"/>
      <c r="H222" s="13"/>
      <c r="I222" s="13"/>
      <c r="J222" s="13"/>
      <c r="K222" s="13"/>
      <c r="L222" s="13"/>
      <c r="M222" s="13"/>
      <c r="N222" s="13"/>
      <c r="O222" s="13"/>
      <c r="P222" s="13"/>
      <c r="Q222" s="13"/>
      <c r="R222" s="13"/>
      <c r="S222" s="13"/>
      <c r="T222" s="13"/>
      <c r="U222" s="13"/>
    </row>
    <row r="223" spans="2:31" ht="30" customHeight="1" x14ac:dyDescent="0.25">
      <c r="B223" s="13"/>
      <c r="C223" s="555" t="s">
        <v>226</v>
      </c>
      <c r="D223" s="555"/>
      <c r="E223" s="555"/>
      <c r="F223" s="555"/>
      <c r="G223" s="555"/>
      <c r="H223" s="555"/>
      <c r="I223" s="555"/>
      <c r="J223" s="555"/>
      <c r="K223" s="555"/>
      <c r="L223" s="555"/>
      <c r="M223" s="555"/>
      <c r="N223" s="555"/>
      <c r="O223" s="555"/>
      <c r="P223" s="555"/>
      <c r="Q223" s="555"/>
      <c r="R223" s="555"/>
      <c r="S223" s="555"/>
      <c r="T223" s="555"/>
      <c r="U223" s="13"/>
    </row>
    <row r="224" spans="2:31" ht="20.100000000000001" customHeight="1" thickBot="1" x14ac:dyDescent="0.3">
      <c r="B224" s="13"/>
      <c r="U224" s="13"/>
    </row>
    <row r="225" spans="2:21" ht="20.100000000000001" customHeight="1" thickBot="1" x14ac:dyDescent="0.3">
      <c r="B225" s="13"/>
      <c r="D225" s="560" t="s">
        <v>10</v>
      </c>
      <c r="E225" s="558" t="s">
        <v>67</v>
      </c>
      <c r="F225" s="560" t="s">
        <v>22</v>
      </c>
      <c r="G225" s="563" t="s">
        <v>42</v>
      </c>
      <c r="H225" s="561"/>
      <c r="I225" s="561"/>
      <c r="J225" s="562"/>
      <c r="K225" s="200" t="s">
        <v>36</v>
      </c>
      <c r="L225" s="563" t="s">
        <v>27</v>
      </c>
      <c r="M225" s="561"/>
      <c r="N225" s="561"/>
      <c r="O225" s="561"/>
      <c r="P225" s="561"/>
      <c r="Q225" s="561"/>
      <c r="R225" s="561"/>
      <c r="S225" s="562"/>
      <c r="U225" s="13"/>
    </row>
    <row r="226" spans="2:21" ht="20.100000000000001" customHeight="1" thickBot="1" x14ac:dyDescent="0.3">
      <c r="B226" s="13"/>
      <c r="D226" s="609"/>
      <c r="E226" s="809"/>
      <c r="F226" s="609"/>
      <c r="G226" s="86" t="s">
        <v>43</v>
      </c>
      <c r="H226" s="85" t="s">
        <v>24</v>
      </c>
      <c r="I226" s="565" t="s">
        <v>23</v>
      </c>
      <c r="J226" s="567"/>
      <c r="K226" s="85" t="s">
        <v>25</v>
      </c>
      <c r="L226" s="94" t="s">
        <v>43</v>
      </c>
      <c r="M226" s="87" t="s">
        <v>26</v>
      </c>
      <c r="N226" s="565" t="s">
        <v>23</v>
      </c>
      <c r="O226" s="566"/>
      <c r="P226" s="566"/>
      <c r="Q226" s="566"/>
      <c r="R226" s="566"/>
      <c r="S226" s="567"/>
      <c r="U226" s="13"/>
    </row>
    <row r="227" spans="2:21" ht="20.100000000000001" customHeight="1" x14ac:dyDescent="0.25">
      <c r="B227" s="13"/>
      <c r="D227" s="233" t="s">
        <v>130</v>
      </c>
      <c r="E227" s="320" t="s">
        <v>131</v>
      </c>
      <c r="F227" s="341">
        <v>1</v>
      </c>
      <c r="G227" s="141" t="s">
        <v>44</v>
      </c>
      <c r="H227" s="137" t="s">
        <v>227</v>
      </c>
      <c r="I227" s="589" t="s">
        <v>305</v>
      </c>
      <c r="J227" s="760"/>
      <c r="K227" s="237" t="s">
        <v>12</v>
      </c>
      <c r="L227" s="218" t="s">
        <v>13</v>
      </c>
      <c r="M227" s="55" t="s">
        <v>13</v>
      </c>
      <c r="N227" s="570" t="s">
        <v>13</v>
      </c>
      <c r="O227" s="571"/>
      <c r="P227" s="571"/>
      <c r="Q227" s="571"/>
      <c r="R227" s="571"/>
      <c r="S227" s="572"/>
      <c r="U227" s="13"/>
    </row>
    <row r="228" spans="2:21" ht="30" customHeight="1" x14ac:dyDescent="0.25">
      <c r="B228" s="13"/>
      <c r="D228" s="663" t="s">
        <v>128</v>
      </c>
      <c r="E228" s="761" t="s">
        <v>129</v>
      </c>
      <c r="F228" s="667">
        <v>2</v>
      </c>
      <c r="G228" s="727" t="s">
        <v>44</v>
      </c>
      <c r="H228" s="767" t="s">
        <v>71</v>
      </c>
      <c r="I228" s="671" t="s">
        <v>213</v>
      </c>
      <c r="J228" s="673"/>
      <c r="K228" s="703" t="s">
        <v>12</v>
      </c>
      <c r="L228" s="730" t="s">
        <v>13</v>
      </c>
      <c r="M228" s="689" t="s">
        <v>13</v>
      </c>
      <c r="N228" s="658" t="s">
        <v>13</v>
      </c>
      <c r="O228" s="659"/>
      <c r="P228" s="659"/>
      <c r="Q228" s="659"/>
      <c r="R228" s="659"/>
      <c r="S228" s="660"/>
      <c r="U228" s="13"/>
    </row>
    <row r="229" spans="2:21" ht="15" customHeight="1" x14ac:dyDescent="0.25">
      <c r="B229" s="13"/>
      <c r="D229" s="642"/>
      <c r="E229" s="762"/>
      <c r="F229" s="648"/>
      <c r="G229" s="728"/>
      <c r="H229" s="768"/>
      <c r="I229" s="661" t="s">
        <v>232</v>
      </c>
      <c r="J229" s="662"/>
      <c r="K229" s="622"/>
      <c r="L229" s="731"/>
      <c r="M229" s="628"/>
      <c r="N229" s="633"/>
      <c r="O229" s="634"/>
      <c r="P229" s="634"/>
      <c r="Q229" s="634"/>
      <c r="R229" s="634"/>
      <c r="S229" s="635"/>
      <c r="U229" s="13"/>
    </row>
    <row r="230" spans="2:21" ht="15" customHeight="1" x14ac:dyDescent="0.25">
      <c r="B230" s="13"/>
      <c r="D230" s="643"/>
      <c r="E230" s="763"/>
      <c r="F230" s="649"/>
      <c r="G230" s="729"/>
      <c r="H230" s="769"/>
      <c r="I230" s="672" t="s">
        <v>215</v>
      </c>
      <c r="J230" s="752"/>
      <c r="K230" s="623"/>
      <c r="L230" s="732"/>
      <c r="M230" s="629"/>
      <c r="N230" s="636"/>
      <c r="O230" s="637"/>
      <c r="P230" s="637"/>
      <c r="Q230" s="637"/>
      <c r="R230" s="637"/>
      <c r="S230" s="638"/>
      <c r="U230" s="13"/>
    </row>
    <row r="231" spans="2:21" ht="30" customHeight="1" x14ac:dyDescent="0.25">
      <c r="B231" s="13"/>
      <c r="D231" s="345" t="s">
        <v>128</v>
      </c>
      <c r="E231" s="351" t="s">
        <v>129</v>
      </c>
      <c r="F231" s="46">
        <v>3</v>
      </c>
      <c r="G231" s="349" t="s">
        <v>44</v>
      </c>
      <c r="H231" s="368" t="s">
        <v>93</v>
      </c>
      <c r="I231" s="681" t="s">
        <v>306</v>
      </c>
      <c r="J231" s="684"/>
      <c r="K231" s="321"/>
      <c r="L231" s="322"/>
      <c r="M231" s="323"/>
      <c r="N231" s="770"/>
      <c r="O231" s="771"/>
      <c r="P231" s="771"/>
      <c r="Q231" s="771"/>
      <c r="R231" s="771"/>
      <c r="S231" s="772"/>
      <c r="U231" s="13"/>
    </row>
    <row r="232" spans="2:21" ht="15" customHeight="1" x14ac:dyDescent="0.25">
      <c r="B232" s="13"/>
      <c r="D232" s="674" t="s">
        <v>130</v>
      </c>
      <c r="E232" s="761" t="s">
        <v>131</v>
      </c>
      <c r="F232" s="667">
        <v>4</v>
      </c>
      <c r="G232" s="777" t="s">
        <v>44</v>
      </c>
      <c r="H232" s="832" t="s">
        <v>224</v>
      </c>
      <c r="I232" s="725" t="s">
        <v>236</v>
      </c>
      <c r="J232" s="726"/>
      <c r="K232" s="342"/>
      <c r="L232" s="322"/>
      <c r="M232" s="323"/>
      <c r="N232" s="770"/>
      <c r="O232" s="771"/>
      <c r="P232" s="771"/>
      <c r="Q232" s="771"/>
      <c r="R232" s="771"/>
      <c r="S232" s="772"/>
      <c r="U232" s="13"/>
    </row>
    <row r="233" spans="2:21" ht="15" customHeight="1" thickBot="1" x14ac:dyDescent="0.3">
      <c r="B233" s="13"/>
      <c r="D233" s="816"/>
      <c r="E233" s="775"/>
      <c r="F233" s="831"/>
      <c r="G233" s="778"/>
      <c r="H233" s="749"/>
      <c r="I233" s="711" t="s">
        <v>237</v>
      </c>
      <c r="J233" s="712"/>
      <c r="K233" s="324"/>
      <c r="L233" s="325"/>
      <c r="M233" s="326"/>
      <c r="N233" s="339"/>
      <c r="O233" s="339"/>
      <c r="P233" s="339"/>
      <c r="Q233" s="339"/>
      <c r="R233" s="339"/>
      <c r="S233" s="340"/>
      <c r="U233" s="13"/>
    </row>
    <row r="234" spans="2:21" ht="20.100000000000001" customHeight="1" x14ac:dyDescent="0.25">
      <c r="B234" s="13"/>
      <c r="U234" s="13"/>
    </row>
    <row r="235" spans="2:21" ht="20.100000000000001" customHeight="1" thickBot="1" x14ac:dyDescent="0.3">
      <c r="B235" s="13"/>
      <c r="C235" s="26"/>
      <c r="D235" s="26"/>
      <c r="E235" s="552" t="str">
        <f>IF(OR(L227="-",L227= ""),H227,L227)</f>
        <v>Patchwork</v>
      </c>
      <c r="F235" s="552"/>
      <c r="G235" s="552"/>
      <c r="H235" s="552"/>
      <c r="I235" s="552"/>
      <c r="J235" s="552"/>
      <c r="K235" s="552"/>
      <c r="L235" s="552"/>
      <c r="M235" s="552"/>
      <c r="N235" s="552"/>
      <c r="O235" s="199"/>
      <c r="P235" s="199"/>
      <c r="Q235" s="199"/>
      <c r="R235" s="199"/>
      <c r="S235" s="199"/>
      <c r="T235" s="26"/>
      <c r="U235" s="13"/>
    </row>
    <row r="236" spans="2:21" ht="50.1" customHeight="1" thickBot="1" x14ac:dyDescent="0.3">
      <c r="B236" s="13"/>
      <c r="C236" s="26"/>
      <c r="D236" s="199"/>
      <c r="E236" s="88" t="s">
        <v>10</v>
      </c>
      <c r="F236" s="125" t="s">
        <v>52</v>
      </c>
      <c r="G236" s="89" t="s">
        <v>14</v>
      </c>
      <c r="H236" s="200" t="s">
        <v>51</v>
      </c>
      <c r="I236" s="18" t="s">
        <v>54</v>
      </c>
      <c r="J236" s="200" t="s">
        <v>53</v>
      </c>
      <c r="K236" s="206" t="s">
        <v>28</v>
      </c>
      <c r="L236" s="200" t="s">
        <v>37</v>
      </c>
      <c r="M236" s="204" t="s">
        <v>16</v>
      </c>
      <c r="N236" s="89" t="s">
        <v>15</v>
      </c>
      <c r="O236" s="5" t="s">
        <v>30</v>
      </c>
      <c r="P236" s="7" t="s">
        <v>34</v>
      </c>
      <c r="Q236" s="199"/>
      <c r="R236" s="199"/>
      <c r="S236" s="199"/>
      <c r="T236" s="26"/>
      <c r="U236" s="13"/>
    </row>
    <row r="237" spans="2:21" ht="20.100000000000001" customHeight="1" x14ac:dyDescent="0.25">
      <c r="B237" s="13"/>
      <c r="C237" s="26"/>
      <c r="D237" s="68"/>
      <c r="E237" s="365" t="s">
        <v>130</v>
      </c>
      <c r="F237" s="253" t="s">
        <v>131</v>
      </c>
      <c r="G237" s="49">
        <v>2</v>
      </c>
      <c r="H237" s="49" t="s">
        <v>13</v>
      </c>
      <c r="I237" s="49">
        <v>0</v>
      </c>
      <c r="J237" s="49">
        <v>6</v>
      </c>
      <c r="K237" s="49" t="s">
        <v>13</v>
      </c>
      <c r="L237" s="50">
        <f>IF(J237="",0,(J237/J239)*100)</f>
        <v>75</v>
      </c>
      <c r="M237" s="49">
        <v>2</v>
      </c>
      <c r="N237" s="61">
        <v>0</v>
      </c>
      <c r="O237" s="209">
        <f>IF(M237=1,1,0)</f>
        <v>0</v>
      </c>
      <c r="P237" s="8">
        <f>IF(M237=2,1,0)</f>
        <v>1</v>
      </c>
      <c r="Q237" s="198"/>
      <c r="R237" s="198"/>
      <c r="S237" s="198"/>
      <c r="T237" s="26"/>
      <c r="U237" s="13"/>
    </row>
    <row r="238" spans="2:21" ht="20.100000000000001" customHeight="1" thickBot="1" x14ac:dyDescent="0.3">
      <c r="B238" s="13"/>
      <c r="C238" s="26"/>
      <c r="D238" s="26"/>
      <c r="E238" s="282" t="s">
        <v>128</v>
      </c>
      <c r="F238" s="283" t="s">
        <v>129</v>
      </c>
      <c r="G238" s="284">
        <v>1</v>
      </c>
      <c r="H238" s="284" t="s">
        <v>13</v>
      </c>
      <c r="I238" s="284">
        <v>0</v>
      </c>
      <c r="J238" s="284">
        <v>8</v>
      </c>
      <c r="K238" s="285" t="s">
        <v>13</v>
      </c>
      <c r="L238" s="286">
        <f>IF(J238="",0,(J238/J239)*100)</f>
        <v>100</v>
      </c>
      <c r="M238" s="284">
        <v>1</v>
      </c>
      <c r="N238" s="287">
        <v>6</v>
      </c>
      <c r="O238" s="208">
        <f>IF(M238=1,1,0)</f>
        <v>1</v>
      </c>
      <c r="P238" s="10">
        <f>IF(M238=2,1,0)</f>
        <v>0</v>
      </c>
      <c r="Q238" s="198"/>
      <c r="R238" s="198"/>
      <c r="S238" s="198"/>
      <c r="T238" s="26"/>
      <c r="U238" s="13"/>
    </row>
    <row r="239" spans="2:21" ht="20.100000000000001" hidden="1" customHeight="1" outlineLevel="1" x14ac:dyDescent="0.25">
      <c r="B239" s="13"/>
      <c r="C239" s="26"/>
      <c r="D239" s="68"/>
      <c r="E239" s="68"/>
      <c r="F239" s="828"/>
      <c r="G239" s="828"/>
      <c r="H239" s="26"/>
      <c r="I239" s="64" t="s">
        <v>29</v>
      </c>
      <c r="J239" s="23">
        <f>MAX(J237:J238)</f>
        <v>8</v>
      </c>
      <c r="K239" s="70"/>
      <c r="L239" s="69"/>
      <c r="M239" s="26"/>
      <c r="N239" s="63" t="s">
        <v>33</v>
      </c>
      <c r="O239" s="20">
        <f>SUM(O237:O238)</f>
        <v>1</v>
      </c>
      <c r="P239" s="22">
        <f>SUM(P237:P238)</f>
        <v>1</v>
      </c>
      <c r="Q239" s="69"/>
      <c r="R239" s="69"/>
      <c r="S239" s="69"/>
      <c r="T239" s="26"/>
      <c r="U239" s="13"/>
    </row>
    <row r="240" spans="2:21" ht="20.100000000000001" customHeight="1" collapsed="1" x14ac:dyDescent="0.25">
      <c r="B240" s="13"/>
      <c r="C240" s="26"/>
      <c r="D240" s="26"/>
      <c r="E240" s="26"/>
      <c r="F240" s="26"/>
      <c r="G240" s="26"/>
      <c r="H240" s="26"/>
      <c r="I240" s="26"/>
      <c r="J240" s="26"/>
      <c r="K240" s="26"/>
      <c r="L240" s="26"/>
      <c r="M240" s="26"/>
      <c r="N240" s="26"/>
      <c r="O240" s="26"/>
      <c r="P240" s="26"/>
      <c r="Q240" s="26"/>
      <c r="R240" s="26"/>
      <c r="S240" s="26"/>
      <c r="T240" s="26"/>
      <c r="U240" s="13"/>
    </row>
    <row r="241" spans="2:21" ht="20.100000000000001" customHeight="1" x14ac:dyDescent="0.25">
      <c r="B241" s="13"/>
      <c r="U241" s="13"/>
    </row>
    <row r="242" spans="2:21" ht="20.100000000000001" customHeight="1" thickBot="1" x14ac:dyDescent="0.3">
      <c r="B242" s="13"/>
      <c r="C242" s="27"/>
      <c r="D242" s="27"/>
      <c r="E242" s="554" t="str">
        <f>IF(OR(L228="-",L228= ""),H228,L228)</f>
        <v>Die Burgen von Burgund</v>
      </c>
      <c r="F242" s="554"/>
      <c r="G242" s="554"/>
      <c r="H242" s="554"/>
      <c r="I242" s="554"/>
      <c r="J242" s="554"/>
      <c r="K242" s="554"/>
      <c r="L242" s="554"/>
      <c r="M242" s="554"/>
      <c r="N242" s="554"/>
      <c r="O242" s="197"/>
      <c r="P242" s="197"/>
      <c r="Q242" s="197"/>
      <c r="R242" s="197"/>
      <c r="S242" s="197"/>
      <c r="T242" s="27"/>
      <c r="U242" s="13"/>
    </row>
    <row r="243" spans="2:21" ht="50.1" customHeight="1" thickBot="1" x14ac:dyDescent="0.3">
      <c r="B243" s="13"/>
      <c r="C243" s="27"/>
      <c r="D243" s="197"/>
      <c r="E243" s="88" t="s">
        <v>10</v>
      </c>
      <c r="F243" s="125" t="s">
        <v>52</v>
      </c>
      <c r="G243" s="89" t="s">
        <v>14</v>
      </c>
      <c r="H243" s="200" t="s">
        <v>51</v>
      </c>
      <c r="I243" s="18" t="s">
        <v>54</v>
      </c>
      <c r="J243" s="200" t="s">
        <v>53</v>
      </c>
      <c r="K243" s="206" t="s">
        <v>28</v>
      </c>
      <c r="L243" s="200" t="s">
        <v>37</v>
      </c>
      <c r="M243" s="204" t="s">
        <v>16</v>
      </c>
      <c r="N243" s="89" t="s">
        <v>15</v>
      </c>
      <c r="O243" s="5" t="s">
        <v>30</v>
      </c>
      <c r="P243" s="7" t="s">
        <v>34</v>
      </c>
      <c r="Q243" s="197"/>
      <c r="R243" s="197"/>
      <c r="S243" s="197"/>
      <c r="T243" s="27"/>
      <c r="U243" s="13"/>
    </row>
    <row r="244" spans="2:21" ht="20.100000000000001" customHeight="1" x14ac:dyDescent="0.25">
      <c r="B244" s="13"/>
      <c r="C244" s="27"/>
      <c r="D244" s="67"/>
      <c r="E244" s="365" t="s">
        <v>130</v>
      </c>
      <c r="F244" s="253" t="s">
        <v>131</v>
      </c>
      <c r="G244" s="49">
        <v>1</v>
      </c>
      <c r="H244" s="122" t="s">
        <v>153</v>
      </c>
      <c r="I244" s="49">
        <v>0</v>
      </c>
      <c r="J244" s="122">
        <v>180</v>
      </c>
      <c r="K244" s="238" t="s">
        <v>13</v>
      </c>
      <c r="L244" s="50">
        <f>IF(J244="",0,(J244/J246)*100)</f>
        <v>87.804878048780495</v>
      </c>
      <c r="M244" s="49">
        <v>2</v>
      </c>
      <c r="N244" s="61">
        <v>0</v>
      </c>
      <c r="O244" s="209">
        <f>IF(M244=1,1,0)</f>
        <v>0</v>
      </c>
      <c r="P244" s="8">
        <f>IF(M244=2,1,0)</f>
        <v>1</v>
      </c>
      <c r="Q244" s="203"/>
      <c r="R244" s="203"/>
      <c r="S244" s="203"/>
      <c r="T244" s="27"/>
      <c r="U244" s="13"/>
    </row>
    <row r="245" spans="2:21" ht="20.100000000000001" customHeight="1" thickBot="1" x14ac:dyDescent="0.3">
      <c r="B245" s="13"/>
      <c r="C245" s="27"/>
      <c r="D245" s="27"/>
      <c r="E245" s="282" t="s">
        <v>128</v>
      </c>
      <c r="F245" s="283" t="s">
        <v>129</v>
      </c>
      <c r="G245" s="284">
        <v>2</v>
      </c>
      <c r="H245" s="285" t="s">
        <v>219</v>
      </c>
      <c r="I245" s="284">
        <v>0</v>
      </c>
      <c r="J245" s="285">
        <v>205</v>
      </c>
      <c r="K245" s="285" t="s">
        <v>13</v>
      </c>
      <c r="L245" s="286">
        <f>IF(J245="",0,(J245/J246)*100)</f>
        <v>100</v>
      </c>
      <c r="M245" s="284">
        <v>1</v>
      </c>
      <c r="N245" s="287">
        <v>6</v>
      </c>
      <c r="O245" s="208">
        <f>IF(M245=1,1,0)</f>
        <v>1</v>
      </c>
      <c r="P245" s="10">
        <f>IF(M245=2,1,0)</f>
        <v>0</v>
      </c>
      <c r="Q245" s="203"/>
      <c r="R245" s="203"/>
      <c r="S245" s="203"/>
      <c r="T245" s="27"/>
      <c r="U245" s="13"/>
    </row>
    <row r="246" spans="2:21" ht="20.100000000000001" hidden="1" customHeight="1" outlineLevel="1" x14ac:dyDescent="0.25">
      <c r="B246" s="13"/>
      <c r="C246" s="27"/>
      <c r="D246" s="27"/>
      <c r="E246" s="27"/>
      <c r="F246" s="829"/>
      <c r="G246" s="829"/>
      <c r="H246" s="27"/>
      <c r="I246" s="64" t="s">
        <v>29</v>
      </c>
      <c r="J246" s="23">
        <f>MAX(J244:J245)</f>
        <v>205</v>
      </c>
      <c r="K246" s="75"/>
      <c r="L246" s="203"/>
      <c r="M246" s="27"/>
      <c r="N246" s="63" t="s">
        <v>33</v>
      </c>
      <c r="O246" s="20">
        <f>SUM(O244:O245)</f>
        <v>1</v>
      </c>
      <c r="P246" s="22">
        <f>SUM(P244:P245)</f>
        <v>1</v>
      </c>
      <c r="Q246" s="74"/>
      <c r="R246" s="74"/>
      <c r="S246" s="74"/>
      <c r="T246" s="27"/>
      <c r="U246" s="13"/>
    </row>
    <row r="247" spans="2:21" ht="20.100000000000001" customHeight="1" collapsed="1" x14ac:dyDescent="0.25">
      <c r="B247" s="13"/>
      <c r="C247" s="27"/>
      <c r="D247" s="27"/>
      <c r="E247" s="27"/>
      <c r="F247" s="27"/>
      <c r="G247" s="27"/>
      <c r="H247" s="27"/>
      <c r="I247" s="27"/>
      <c r="J247" s="27"/>
      <c r="K247" s="27"/>
      <c r="L247" s="27"/>
      <c r="M247" s="27"/>
      <c r="N247" s="27"/>
      <c r="O247" s="27"/>
      <c r="P247" s="27"/>
      <c r="Q247" s="27"/>
      <c r="R247" s="27"/>
      <c r="S247" s="27"/>
      <c r="T247" s="27"/>
      <c r="U247" s="13"/>
    </row>
    <row r="248" spans="2:21" ht="20.100000000000001" customHeight="1" x14ac:dyDescent="0.25">
      <c r="B248" s="13"/>
      <c r="D248" s="28"/>
      <c r="E248" s="28"/>
      <c r="F248" s="28"/>
      <c r="G248" s="28"/>
      <c r="H248" s="29"/>
      <c r="I248" s="28"/>
      <c r="J248" s="28"/>
      <c r="U248" s="13"/>
    </row>
    <row r="249" spans="2:21" ht="20.100000000000001" customHeight="1" thickBot="1" x14ac:dyDescent="0.3">
      <c r="B249" s="13"/>
      <c r="C249" s="30"/>
      <c r="D249" s="30"/>
      <c r="E249" s="532" t="str">
        <f>IF(OR(L231="-",L231= ""),H231,L231)</f>
        <v>Auf den Spuren von Marco Polo</v>
      </c>
      <c r="F249" s="532"/>
      <c r="G249" s="532"/>
      <c r="H249" s="532"/>
      <c r="I249" s="532"/>
      <c r="J249" s="532"/>
      <c r="K249" s="532"/>
      <c r="L249" s="532"/>
      <c r="M249" s="532"/>
      <c r="N249" s="532"/>
      <c r="O249" s="196"/>
      <c r="P249" s="196"/>
      <c r="Q249" s="196"/>
      <c r="R249" s="196"/>
      <c r="S249" s="196"/>
      <c r="T249" s="30"/>
      <c r="U249" s="14"/>
    </row>
    <row r="250" spans="2:21" ht="50.1" customHeight="1" thickBot="1" x14ac:dyDescent="0.3">
      <c r="B250" s="13"/>
      <c r="C250" s="30"/>
      <c r="D250" s="196"/>
      <c r="E250" s="88" t="s">
        <v>10</v>
      </c>
      <c r="F250" s="125" t="s">
        <v>52</v>
      </c>
      <c r="G250" s="89" t="s">
        <v>14</v>
      </c>
      <c r="H250" s="200" t="s">
        <v>51</v>
      </c>
      <c r="I250" s="18" t="s">
        <v>54</v>
      </c>
      <c r="J250" s="200" t="s">
        <v>53</v>
      </c>
      <c r="K250" s="206" t="s">
        <v>28</v>
      </c>
      <c r="L250" s="200" t="s">
        <v>37</v>
      </c>
      <c r="M250" s="204" t="s">
        <v>16</v>
      </c>
      <c r="N250" s="89" t="s">
        <v>15</v>
      </c>
      <c r="O250" s="5" t="s">
        <v>30</v>
      </c>
      <c r="P250" s="7" t="s">
        <v>34</v>
      </c>
      <c r="Q250" s="196"/>
      <c r="R250" s="196"/>
      <c r="S250" s="196"/>
      <c r="T250" s="30"/>
      <c r="U250" s="14"/>
    </row>
    <row r="251" spans="2:21" ht="20.100000000000001" customHeight="1" x14ac:dyDescent="0.25">
      <c r="B251" s="13"/>
      <c r="C251" s="30"/>
      <c r="D251" s="66"/>
      <c r="E251" s="365" t="s">
        <v>130</v>
      </c>
      <c r="F251" s="253" t="s">
        <v>131</v>
      </c>
      <c r="G251" s="49">
        <v>1</v>
      </c>
      <c r="H251" s="122" t="s">
        <v>94</v>
      </c>
      <c r="I251" s="49">
        <v>0</v>
      </c>
      <c r="J251" s="122">
        <v>72</v>
      </c>
      <c r="K251" s="49" t="s">
        <v>13</v>
      </c>
      <c r="L251" s="50">
        <f>IF(J251="",0,(J251/J253)*100)</f>
        <v>88.888888888888886</v>
      </c>
      <c r="M251" s="49">
        <v>2</v>
      </c>
      <c r="N251" s="61">
        <v>0</v>
      </c>
      <c r="O251" s="209">
        <f>IF(M251=1,1,0)</f>
        <v>0</v>
      </c>
      <c r="P251" s="8">
        <f>IF(M251=2,1,0)</f>
        <v>1</v>
      </c>
      <c r="Q251" s="194"/>
      <c r="R251" s="194"/>
      <c r="S251" s="194"/>
      <c r="T251" s="30"/>
      <c r="U251" s="13"/>
    </row>
    <row r="252" spans="2:21" ht="20.100000000000001" customHeight="1" thickBot="1" x14ac:dyDescent="0.3">
      <c r="B252" s="13"/>
      <c r="C252" s="30"/>
      <c r="D252" s="30"/>
      <c r="E252" s="282" t="s">
        <v>128</v>
      </c>
      <c r="F252" s="283" t="s">
        <v>129</v>
      </c>
      <c r="G252" s="284">
        <v>2</v>
      </c>
      <c r="H252" s="285" t="s">
        <v>174</v>
      </c>
      <c r="I252" s="284">
        <v>0</v>
      </c>
      <c r="J252" s="285">
        <v>81</v>
      </c>
      <c r="K252" s="285" t="s">
        <v>13</v>
      </c>
      <c r="L252" s="286">
        <f>IF(J252="",0,(J252/J253)*100)</f>
        <v>100</v>
      </c>
      <c r="M252" s="284">
        <v>1</v>
      </c>
      <c r="N252" s="287">
        <v>6</v>
      </c>
      <c r="O252" s="208">
        <f>IF(M252=1,1,0)</f>
        <v>1</v>
      </c>
      <c r="P252" s="10">
        <f>IF(M252=2,1,0)</f>
        <v>0</v>
      </c>
      <c r="Q252" s="194"/>
      <c r="R252" s="194"/>
      <c r="S252" s="194"/>
      <c r="T252" s="30"/>
      <c r="U252" s="31"/>
    </row>
    <row r="253" spans="2:21" ht="20.100000000000001" hidden="1" customHeight="1" outlineLevel="1" x14ac:dyDescent="0.25">
      <c r="B253" s="13"/>
      <c r="C253" s="30"/>
      <c r="D253" s="30"/>
      <c r="E253" s="30"/>
      <c r="F253" s="830"/>
      <c r="G253" s="830"/>
      <c r="H253" s="30"/>
      <c r="I253" s="64" t="s">
        <v>29</v>
      </c>
      <c r="J253" s="23">
        <f>MAX(J251:J252)</f>
        <v>81</v>
      </c>
      <c r="K253" s="76"/>
      <c r="L253" s="194"/>
      <c r="M253" s="30"/>
      <c r="N253" s="63" t="s">
        <v>33</v>
      </c>
      <c r="O253" s="20">
        <f>SUM(O251:O252)</f>
        <v>1</v>
      </c>
      <c r="P253" s="22">
        <f>SUM(P251:P252)</f>
        <v>1</v>
      </c>
      <c r="Q253" s="77"/>
      <c r="R253" s="77"/>
      <c r="S253" s="77"/>
      <c r="T253" s="30"/>
      <c r="U253" s="31"/>
    </row>
    <row r="254" spans="2:21" ht="20.100000000000001" customHeight="1" collapsed="1" x14ac:dyDescent="0.25">
      <c r="B254" s="13"/>
      <c r="C254" s="30"/>
      <c r="D254" s="30"/>
      <c r="E254" s="30"/>
      <c r="F254" s="30"/>
      <c r="G254" s="30"/>
      <c r="H254" s="30"/>
      <c r="I254" s="30"/>
      <c r="J254" s="30"/>
      <c r="K254" s="30"/>
      <c r="L254" s="30"/>
      <c r="M254" s="30"/>
      <c r="N254" s="30"/>
      <c r="O254" s="30"/>
      <c r="P254" s="30"/>
      <c r="Q254" s="30"/>
      <c r="R254" s="30"/>
      <c r="S254" s="30"/>
      <c r="T254" s="30"/>
      <c r="U254" s="31"/>
    </row>
    <row r="255" spans="2:21" ht="20.100000000000001" customHeight="1" x14ac:dyDescent="0.25">
      <c r="B255" s="13"/>
      <c r="D255" s="28"/>
      <c r="E255" s="28"/>
      <c r="F255" s="28"/>
      <c r="G255" s="28"/>
      <c r="H255" s="29"/>
      <c r="I255" s="28"/>
      <c r="J255" s="28"/>
      <c r="K255" s="28"/>
      <c r="U255" s="13"/>
    </row>
    <row r="256" spans="2:21" ht="20.100000000000001" customHeight="1" thickBot="1" x14ac:dyDescent="0.3">
      <c r="B256" s="13"/>
      <c r="C256" s="32"/>
      <c r="D256" s="32"/>
      <c r="E256" s="534" t="str">
        <f>IF(OR(L232="-",L232= ""),H232,L232)</f>
        <v>Dice Hospital</v>
      </c>
      <c r="F256" s="534"/>
      <c r="G256" s="534"/>
      <c r="H256" s="534"/>
      <c r="I256" s="534"/>
      <c r="J256" s="534"/>
      <c r="K256" s="534"/>
      <c r="L256" s="534"/>
      <c r="M256" s="534"/>
      <c r="N256" s="534"/>
      <c r="O256" s="195"/>
      <c r="P256" s="195"/>
      <c r="Q256" s="195"/>
      <c r="R256" s="195"/>
      <c r="S256" s="195"/>
      <c r="T256" s="32"/>
      <c r="U256" s="13"/>
    </row>
    <row r="257" spans="2:21" ht="50.1" customHeight="1" thickBot="1" x14ac:dyDescent="0.3">
      <c r="B257" s="13"/>
      <c r="C257" s="32"/>
      <c r="D257" s="195"/>
      <c r="E257" s="88" t="s">
        <v>10</v>
      </c>
      <c r="F257" s="125" t="s">
        <v>52</v>
      </c>
      <c r="G257" s="89" t="s">
        <v>14</v>
      </c>
      <c r="H257" s="200" t="s">
        <v>51</v>
      </c>
      <c r="I257" s="18" t="s">
        <v>54</v>
      </c>
      <c r="J257" s="200" t="s">
        <v>53</v>
      </c>
      <c r="K257" s="206" t="s">
        <v>28</v>
      </c>
      <c r="L257" s="200" t="s">
        <v>37</v>
      </c>
      <c r="M257" s="204" t="s">
        <v>16</v>
      </c>
      <c r="N257" s="89" t="s">
        <v>15</v>
      </c>
      <c r="O257" s="5" t="s">
        <v>30</v>
      </c>
      <c r="P257" s="7" t="s">
        <v>34</v>
      </c>
      <c r="Q257" s="195"/>
      <c r="R257" s="195"/>
      <c r="S257" s="195"/>
      <c r="T257" s="32"/>
      <c r="U257" s="13"/>
    </row>
    <row r="258" spans="2:21" ht="20.100000000000001" customHeight="1" x14ac:dyDescent="0.25">
      <c r="B258" s="13"/>
      <c r="C258" s="32"/>
      <c r="D258" s="32"/>
      <c r="E258" s="365" t="s">
        <v>130</v>
      </c>
      <c r="F258" s="253" t="s">
        <v>131</v>
      </c>
      <c r="G258" s="49">
        <v>2</v>
      </c>
      <c r="H258" s="49" t="s">
        <v>225</v>
      </c>
      <c r="I258" s="49">
        <v>0</v>
      </c>
      <c r="J258" s="49">
        <v>37</v>
      </c>
      <c r="K258" s="49" t="s">
        <v>13</v>
      </c>
      <c r="L258" s="50">
        <f>IF(J258="",0,(J258/J260)*100)</f>
        <v>75.510204081632651</v>
      </c>
      <c r="M258" s="49">
        <v>2</v>
      </c>
      <c r="N258" s="61">
        <v>0</v>
      </c>
      <c r="O258" s="209">
        <f>IF(M258=1,1,0)</f>
        <v>0</v>
      </c>
      <c r="P258" s="8">
        <f>IF(M258=2,1,0)</f>
        <v>1</v>
      </c>
      <c r="Q258" s="201"/>
      <c r="R258" s="201"/>
      <c r="S258" s="201"/>
      <c r="T258" s="32"/>
      <c r="U258" s="13"/>
    </row>
    <row r="259" spans="2:21" ht="20.100000000000001" customHeight="1" thickBot="1" x14ac:dyDescent="0.3">
      <c r="B259" s="13"/>
      <c r="C259" s="32"/>
      <c r="D259" s="32"/>
      <c r="E259" s="282" t="s">
        <v>128</v>
      </c>
      <c r="F259" s="283" t="s">
        <v>129</v>
      </c>
      <c r="G259" s="284">
        <v>1</v>
      </c>
      <c r="H259" s="284" t="s">
        <v>307</v>
      </c>
      <c r="I259" s="284">
        <v>0</v>
      </c>
      <c r="J259" s="284">
        <v>49</v>
      </c>
      <c r="K259" s="285" t="s">
        <v>13</v>
      </c>
      <c r="L259" s="286">
        <f>IF(J259="",0,(J259/J260)*100)</f>
        <v>100</v>
      </c>
      <c r="M259" s="284">
        <v>1</v>
      </c>
      <c r="N259" s="287">
        <v>6</v>
      </c>
      <c r="O259" s="208">
        <f>IF(M259=1,1,0)</f>
        <v>1</v>
      </c>
      <c r="P259" s="10">
        <f>IF(M259=2,1,0)</f>
        <v>0</v>
      </c>
      <c r="Q259" s="201"/>
      <c r="R259" s="201"/>
      <c r="S259" s="201"/>
      <c r="T259" s="32"/>
      <c r="U259" s="13"/>
    </row>
    <row r="260" spans="2:21" ht="20.100000000000001" hidden="1" customHeight="1" outlineLevel="1" x14ac:dyDescent="0.25">
      <c r="B260" s="13"/>
      <c r="C260" s="32"/>
      <c r="D260" s="32"/>
      <c r="E260" s="32"/>
      <c r="F260" s="821"/>
      <c r="G260" s="821"/>
      <c r="H260" s="32"/>
      <c r="I260" s="64" t="s">
        <v>29</v>
      </c>
      <c r="J260" s="23">
        <f>MAX(J258:J259)</f>
        <v>49</v>
      </c>
      <c r="K260" s="78"/>
      <c r="L260" s="201"/>
      <c r="M260" s="32"/>
      <c r="N260" s="63" t="s">
        <v>33</v>
      </c>
      <c r="O260" s="20">
        <f>SUM(O258:O259)</f>
        <v>1</v>
      </c>
      <c r="P260" s="22">
        <f>SUM(P258:P259)</f>
        <v>1</v>
      </c>
      <c r="Q260" s="79"/>
      <c r="R260" s="79"/>
      <c r="S260" s="79"/>
      <c r="T260" s="32"/>
      <c r="U260" s="13"/>
    </row>
    <row r="261" spans="2:21" ht="20.100000000000001" customHeight="1" collapsed="1" x14ac:dyDescent="0.25">
      <c r="B261" s="13"/>
      <c r="C261" s="32"/>
      <c r="D261" s="32"/>
      <c r="E261" s="32"/>
      <c r="F261" s="32"/>
      <c r="G261" s="32"/>
      <c r="H261" s="32"/>
      <c r="I261" s="32"/>
      <c r="J261" s="32"/>
      <c r="K261" s="32"/>
      <c r="L261" s="32"/>
      <c r="M261" s="32"/>
      <c r="N261" s="32"/>
      <c r="O261" s="32"/>
      <c r="P261" s="32"/>
      <c r="Q261" s="32"/>
      <c r="R261" s="32"/>
      <c r="S261" s="32"/>
      <c r="T261" s="32"/>
      <c r="U261" s="13"/>
    </row>
    <row r="262" spans="2:21" ht="20.100000000000001" customHeight="1" x14ac:dyDescent="0.25">
      <c r="B262" s="13"/>
      <c r="D262" s="4"/>
      <c r="E262" s="4"/>
      <c r="F262" s="4"/>
      <c r="G262" s="4"/>
      <c r="H262" s="4"/>
      <c r="I262" s="4"/>
      <c r="J262" s="4"/>
      <c r="U262" s="13"/>
    </row>
    <row r="263" spans="2:21" ht="30" customHeight="1" thickBot="1" x14ac:dyDescent="0.3">
      <c r="B263" s="13"/>
      <c r="C263" s="33"/>
      <c r="D263" s="312"/>
      <c r="E263" s="536" t="s">
        <v>178</v>
      </c>
      <c r="F263" s="536"/>
      <c r="G263" s="536"/>
      <c r="H263" s="536"/>
      <c r="I263" s="536"/>
      <c r="J263" s="536"/>
      <c r="K263" s="536"/>
      <c r="L263" s="536"/>
      <c r="M263" s="536"/>
      <c r="N263" s="536"/>
      <c r="O263" s="312"/>
      <c r="P263" s="312"/>
      <c r="Q263" s="312"/>
      <c r="R263" s="312"/>
      <c r="S263" s="312"/>
      <c r="T263" s="33"/>
      <c r="U263" s="13"/>
    </row>
    <row r="264" spans="2:21" ht="50.1" customHeight="1" thickBot="1" x14ac:dyDescent="0.3">
      <c r="B264" s="13"/>
      <c r="C264" s="33"/>
      <c r="D264" s="33"/>
      <c r="E264" s="90" t="s">
        <v>10</v>
      </c>
      <c r="F264" s="93" t="s">
        <v>65</v>
      </c>
      <c r="G264" s="91" t="s">
        <v>15</v>
      </c>
      <c r="H264" s="42" t="s">
        <v>55</v>
      </c>
      <c r="I264" s="822" t="s">
        <v>56</v>
      </c>
      <c r="J264" s="823"/>
      <c r="K264" s="202" t="s">
        <v>66</v>
      </c>
      <c r="L264" s="92" t="s">
        <v>17</v>
      </c>
      <c r="M264" s="91" t="s">
        <v>18</v>
      </c>
      <c r="N264" s="93" t="s">
        <v>38</v>
      </c>
      <c r="O264" s="313"/>
      <c r="P264" s="314"/>
      <c r="Q264" s="314"/>
      <c r="R264" s="314"/>
      <c r="S264" s="313"/>
      <c r="T264" s="33"/>
      <c r="U264" s="13"/>
    </row>
    <row r="265" spans="2:21" ht="20.100000000000001" customHeight="1" x14ac:dyDescent="0.25">
      <c r="B265" s="13"/>
      <c r="C265" s="33"/>
      <c r="D265" s="33"/>
      <c r="E265" s="367" t="s">
        <v>128</v>
      </c>
      <c r="F265" s="288" t="s">
        <v>129</v>
      </c>
      <c r="G265" s="133">
        <f>L265*6+M265*0</f>
        <v>24</v>
      </c>
      <c r="H265" s="262">
        <v>0</v>
      </c>
      <c r="I265" s="824" t="s">
        <v>13</v>
      </c>
      <c r="J265" s="825"/>
      <c r="K265" s="133">
        <f>G265+H265</f>
        <v>24</v>
      </c>
      <c r="L265" s="133">
        <v>4</v>
      </c>
      <c r="M265" s="133">
        <v>0</v>
      </c>
      <c r="N265" s="134">
        <f>(L237+L244+L251+L258)/4</f>
        <v>81.800992754825501</v>
      </c>
      <c r="O265" s="316"/>
      <c r="P265" s="317"/>
      <c r="Q265" s="317"/>
      <c r="R265" s="317"/>
      <c r="S265" s="330"/>
      <c r="T265" s="33"/>
      <c r="U265" s="13"/>
    </row>
    <row r="266" spans="2:21" ht="20.100000000000001" customHeight="1" thickBot="1" x14ac:dyDescent="0.3">
      <c r="B266" s="13"/>
      <c r="C266" s="33"/>
      <c r="D266" s="33"/>
      <c r="E266" s="105" t="s">
        <v>130</v>
      </c>
      <c r="F266" s="275" t="s">
        <v>131</v>
      </c>
      <c r="G266" s="109">
        <f>L266*6+M266*0</f>
        <v>0</v>
      </c>
      <c r="H266" s="264">
        <v>0</v>
      </c>
      <c r="I266" s="826" t="s">
        <v>13</v>
      </c>
      <c r="J266" s="827"/>
      <c r="K266" s="109">
        <f>G266+H266</f>
        <v>0</v>
      </c>
      <c r="L266" s="109">
        <v>0</v>
      </c>
      <c r="M266" s="109">
        <v>4</v>
      </c>
      <c r="N266" s="106">
        <f>(L238+L245+L252+L259)/4</f>
        <v>100</v>
      </c>
      <c r="O266" s="316"/>
      <c r="P266" s="317"/>
      <c r="Q266" s="317"/>
      <c r="R266" s="317"/>
      <c r="S266" s="330"/>
      <c r="T266" s="33"/>
      <c r="U266" s="13"/>
    </row>
    <row r="267" spans="2:21" ht="20.100000000000001" customHeight="1" x14ac:dyDescent="0.25">
      <c r="B267" s="13"/>
      <c r="C267" s="33"/>
      <c r="D267" s="33"/>
      <c r="E267" s="33"/>
      <c r="F267" s="16"/>
      <c r="G267" s="16"/>
      <c r="H267" s="16"/>
      <c r="I267" s="16"/>
      <c r="J267" s="16"/>
      <c r="K267" s="16"/>
      <c r="L267" s="16"/>
      <c r="M267" s="16"/>
      <c r="N267" s="16"/>
      <c r="O267" s="16"/>
      <c r="P267" s="16"/>
      <c r="Q267" s="16"/>
      <c r="R267" s="16"/>
      <c r="S267" s="16"/>
      <c r="T267" s="33"/>
      <c r="U267" s="13"/>
    </row>
    <row r="268" spans="2:21" ht="20.100000000000001" customHeight="1" x14ac:dyDescent="0.25">
      <c r="B268" s="13"/>
      <c r="C268" s="13"/>
      <c r="D268" s="15"/>
      <c r="E268" s="15"/>
      <c r="F268" s="14"/>
      <c r="G268" s="14"/>
      <c r="H268" s="15"/>
      <c r="I268" s="15"/>
      <c r="J268" s="15"/>
      <c r="K268" s="13"/>
      <c r="L268" s="13"/>
      <c r="M268" s="13"/>
      <c r="N268" s="13"/>
      <c r="O268" s="13"/>
      <c r="P268" s="13"/>
      <c r="Q268" s="13"/>
      <c r="R268" s="13"/>
      <c r="S268" s="13"/>
      <c r="T268" s="13"/>
      <c r="U268" s="13"/>
    </row>
  </sheetData>
  <mergeCells count="276">
    <mergeCell ref="N226:S226"/>
    <mergeCell ref="I170:J170"/>
    <mergeCell ref="D232:D233"/>
    <mergeCell ref="E232:E233"/>
    <mergeCell ref="F232:F233"/>
    <mergeCell ref="G232:G233"/>
    <mergeCell ref="H232:H233"/>
    <mergeCell ref="I233:J233"/>
    <mergeCell ref="I232:J232"/>
    <mergeCell ref="N232:S232"/>
    <mergeCell ref="F182:G182"/>
    <mergeCell ref="E185:N185"/>
    <mergeCell ref="F191:G191"/>
    <mergeCell ref="E194:N194"/>
    <mergeCell ref="F200:G200"/>
    <mergeCell ref="E203:N203"/>
    <mergeCell ref="F209:G209"/>
    <mergeCell ref="D212:S212"/>
    <mergeCell ref="H213:I213"/>
    <mergeCell ref="H214:I214"/>
    <mergeCell ref="H215:I215"/>
    <mergeCell ref="M168:M170"/>
    <mergeCell ref="N168:S170"/>
    <mergeCell ref="D168:D170"/>
    <mergeCell ref="F260:G260"/>
    <mergeCell ref="E263:N263"/>
    <mergeCell ref="I264:J264"/>
    <mergeCell ref="I265:J265"/>
    <mergeCell ref="I266:J266"/>
    <mergeCell ref="F239:G239"/>
    <mergeCell ref="E242:N242"/>
    <mergeCell ref="F246:G246"/>
    <mergeCell ref="E249:N249"/>
    <mergeCell ref="F253:G253"/>
    <mergeCell ref="E256:N256"/>
    <mergeCell ref="D107:D110"/>
    <mergeCell ref="E107:E110"/>
    <mergeCell ref="F107:F110"/>
    <mergeCell ref="G107:G110"/>
    <mergeCell ref="H107:H110"/>
    <mergeCell ref="I108:J108"/>
    <mergeCell ref="I109:J109"/>
    <mergeCell ref="I110:J110"/>
    <mergeCell ref="D104:D106"/>
    <mergeCell ref="E104:E106"/>
    <mergeCell ref="F104:F106"/>
    <mergeCell ref="G104:G106"/>
    <mergeCell ref="H104:H106"/>
    <mergeCell ref="I105:J105"/>
    <mergeCell ref="I106:J106"/>
    <mergeCell ref="F55:G55"/>
    <mergeCell ref="F56:G56"/>
    <mergeCell ref="E58:N58"/>
    <mergeCell ref="N46:S47"/>
    <mergeCell ref="K107:K110"/>
    <mergeCell ref="K104:K106"/>
    <mergeCell ref="L104:L106"/>
    <mergeCell ref="M104:M106"/>
    <mergeCell ref="N104:S106"/>
    <mergeCell ref="L107:L110"/>
    <mergeCell ref="M107:M110"/>
    <mergeCell ref="N107:S110"/>
    <mergeCell ref="I46:J46"/>
    <mergeCell ref="K46:K47"/>
    <mergeCell ref="L46:L47"/>
    <mergeCell ref="M46:M47"/>
    <mergeCell ref="I47:J47"/>
    <mergeCell ref="F64:G64"/>
    <mergeCell ref="E67:N67"/>
    <mergeCell ref="F73:G73"/>
    <mergeCell ref="E76:N76"/>
    <mergeCell ref="F82:G82"/>
    <mergeCell ref="D85:S85"/>
    <mergeCell ref="E49:N49"/>
    <mergeCell ref="D100:D103"/>
    <mergeCell ref="E100:E103"/>
    <mergeCell ref="F100:F103"/>
    <mergeCell ref="G100:G103"/>
    <mergeCell ref="H100:H103"/>
    <mergeCell ref="I103:J103"/>
    <mergeCell ref="D98:D99"/>
    <mergeCell ref="E98:E99"/>
    <mergeCell ref="F98:F99"/>
    <mergeCell ref="G98:J98"/>
    <mergeCell ref="D46:D47"/>
    <mergeCell ref="E46:E47"/>
    <mergeCell ref="F46:F47"/>
    <mergeCell ref="G46:G47"/>
    <mergeCell ref="H46:H47"/>
    <mergeCell ref="D44:D45"/>
    <mergeCell ref="E44:E45"/>
    <mergeCell ref="F44:F45"/>
    <mergeCell ref="G44:G45"/>
    <mergeCell ref="H44:H45"/>
    <mergeCell ref="H30:H39"/>
    <mergeCell ref="G30:G39"/>
    <mergeCell ref="F30:F39"/>
    <mergeCell ref="K44:K45"/>
    <mergeCell ref="L44:L45"/>
    <mergeCell ref="M44:M45"/>
    <mergeCell ref="I45:J45"/>
    <mergeCell ref="I33:J33"/>
    <mergeCell ref="I34:J34"/>
    <mergeCell ref="I35:J35"/>
    <mergeCell ref="I36:J36"/>
    <mergeCell ref="I37:J37"/>
    <mergeCell ref="I38:J38"/>
    <mergeCell ref="I42:J42"/>
    <mergeCell ref="F40:F43"/>
    <mergeCell ref="E235:N235"/>
    <mergeCell ref="F228:F230"/>
    <mergeCell ref="I229:J229"/>
    <mergeCell ref="I230:J230"/>
    <mergeCell ref="C223:T223"/>
    <mergeCell ref="D225:D226"/>
    <mergeCell ref="E228:E230"/>
    <mergeCell ref="D228:D230"/>
    <mergeCell ref="K228:K230"/>
    <mergeCell ref="L228:L230"/>
    <mergeCell ref="M228:M230"/>
    <mergeCell ref="N228:S230"/>
    <mergeCell ref="G228:G230"/>
    <mergeCell ref="H228:H230"/>
    <mergeCell ref="I226:J226"/>
    <mergeCell ref="I228:J228"/>
    <mergeCell ref="I227:J227"/>
    <mergeCell ref="N227:S227"/>
    <mergeCell ref="I231:J231"/>
    <mergeCell ref="N231:S231"/>
    <mergeCell ref="E225:E226"/>
    <mergeCell ref="F225:F226"/>
    <mergeCell ref="G225:J225"/>
    <mergeCell ref="L225:S225"/>
    <mergeCell ref="H151:I151"/>
    <mergeCell ref="H152:I152"/>
    <mergeCell ref="Y152:Z152"/>
    <mergeCell ref="H153:I153"/>
    <mergeCell ref="H154:I154"/>
    <mergeCell ref="E131:N131"/>
    <mergeCell ref="F137:G137"/>
    <mergeCell ref="E140:N140"/>
    <mergeCell ref="F146:G146"/>
    <mergeCell ref="D149:S149"/>
    <mergeCell ref="H150:I150"/>
    <mergeCell ref="I111:J111"/>
    <mergeCell ref="N111:S111"/>
    <mergeCell ref="E113:N113"/>
    <mergeCell ref="F119:G119"/>
    <mergeCell ref="E122:N122"/>
    <mergeCell ref="F128:G128"/>
    <mergeCell ref="I100:J100"/>
    <mergeCell ref="I104:J104"/>
    <mergeCell ref="I107:J107"/>
    <mergeCell ref="K100:K103"/>
    <mergeCell ref="L100:L103"/>
    <mergeCell ref="M100:M103"/>
    <mergeCell ref="N100:S103"/>
    <mergeCell ref="I101:J101"/>
    <mergeCell ref="I102:J102"/>
    <mergeCell ref="E40:E43"/>
    <mergeCell ref="D40:D43"/>
    <mergeCell ref="I31:J31"/>
    <mergeCell ref="L98:S98"/>
    <mergeCell ref="I99:J99"/>
    <mergeCell ref="N99:S99"/>
    <mergeCell ref="H86:I86"/>
    <mergeCell ref="H87:I87"/>
    <mergeCell ref="H88:I88"/>
    <mergeCell ref="H89:I89"/>
    <mergeCell ref="H90:I90"/>
    <mergeCell ref="C96:T96"/>
    <mergeCell ref="N44:S44"/>
    <mergeCell ref="N45:S45"/>
    <mergeCell ref="I32:J32"/>
    <mergeCell ref="I39:J39"/>
    <mergeCell ref="K30:K39"/>
    <mergeCell ref="L30:L39"/>
    <mergeCell ref="L40:L43"/>
    <mergeCell ref="M40:M43"/>
    <mergeCell ref="N40:S43"/>
    <mergeCell ref="I41:J41"/>
    <mergeCell ref="I43:J43"/>
    <mergeCell ref="H40:H43"/>
    <mergeCell ref="B17:C17"/>
    <mergeCell ref="B19:C19"/>
    <mergeCell ref="L18:L19"/>
    <mergeCell ref="L14:L17"/>
    <mergeCell ref="N29:S29"/>
    <mergeCell ref="I30:J30"/>
    <mergeCell ref="I40:J40"/>
    <mergeCell ref="I44:J44"/>
    <mergeCell ref="M30:M39"/>
    <mergeCell ref="N30:S39"/>
    <mergeCell ref="B21:H21"/>
    <mergeCell ref="B22:C22"/>
    <mergeCell ref="B23:C23"/>
    <mergeCell ref="C26:T26"/>
    <mergeCell ref="D28:D29"/>
    <mergeCell ref="E28:E29"/>
    <mergeCell ref="F28:F29"/>
    <mergeCell ref="G28:J28"/>
    <mergeCell ref="L28:S28"/>
    <mergeCell ref="I29:J29"/>
    <mergeCell ref="E30:E39"/>
    <mergeCell ref="D30:D39"/>
    <mergeCell ref="K40:K43"/>
    <mergeCell ref="G40:G43"/>
    <mergeCell ref="L164:L167"/>
    <mergeCell ref="M164:M167"/>
    <mergeCell ref="N164:S167"/>
    <mergeCell ref="I165:J165"/>
    <mergeCell ref="I164:J164"/>
    <mergeCell ref="A1:N2"/>
    <mergeCell ref="B4:I4"/>
    <mergeCell ref="K4:M4"/>
    <mergeCell ref="B5:C5"/>
    <mergeCell ref="B6:C6"/>
    <mergeCell ref="L6:L9"/>
    <mergeCell ref="B7:C7"/>
    <mergeCell ref="B8:C8"/>
    <mergeCell ref="B9:C9"/>
    <mergeCell ref="B18:C18"/>
    <mergeCell ref="K20:L20"/>
    <mergeCell ref="B10:C10"/>
    <mergeCell ref="L10:L13"/>
    <mergeCell ref="B11:C11"/>
    <mergeCell ref="B12:C12"/>
    <mergeCell ref="B13:C13"/>
    <mergeCell ref="B14:C14"/>
    <mergeCell ref="B15:C15"/>
    <mergeCell ref="B16:C16"/>
    <mergeCell ref="G168:G170"/>
    <mergeCell ref="H168:H170"/>
    <mergeCell ref="I168:J168"/>
    <mergeCell ref="I172:J172"/>
    <mergeCell ref="E176:N176"/>
    <mergeCell ref="D172:D174"/>
    <mergeCell ref="E172:E174"/>
    <mergeCell ref="F172:F174"/>
    <mergeCell ref="G172:G174"/>
    <mergeCell ref="H172:H174"/>
    <mergeCell ref="K172:K174"/>
    <mergeCell ref="L172:L174"/>
    <mergeCell ref="M172:M174"/>
    <mergeCell ref="N172:S174"/>
    <mergeCell ref="I173:J173"/>
    <mergeCell ref="I174:J174"/>
    <mergeCell ref="N171:S171"/>
    <mergeCell ref="K168:K170"/>
    <mergeCell ref="L168:L170"/>
    <mergeCell ref="I169:J169"/>
    <mergeCell ref="I171:J171"/>
    <mergeCell ref="H217:I217"/>
    <mergeCell ref="I166:J166"/>
    <mergeCell ref="I167:J167"/>
    <mergeCell ref="H218:I218"/>
    <mergeCell ref="H91:I91"/>
    <mergeCell ref="H155:I155"/>
    <mergeCell ref="Y215:Z215"/>
    <mergeCell ref="H216:I216"/>
    <mergeCell ref="C160:T160"/>
    <mergeCell ref="D162:D163"/>
    <mergeCell ref="E162:E163"/>
    <mergeCell ref="F162:F163"/>
    <mergeCell ref="G162:J162"/>
    <mergeCell ref="L162:S162"/>
    <mergeCell ref="I163:J163"/>
    <mergeCell ref="N163:S163"/>
    <mergeCell ref="D164:D167"/>
    <mergeCell ref="E164:E167"/>
    <mergeCell ref="F164:F167"/>
    <mergeCell ref="G164:G167"/>
    <mergeCell ref="H164:H167"/>
    <mergeCell ref="K164:K167"/>
    <mergeCell ref="E168:E170"/>
    <mergeCell ref="F168:F170"/>
  </mergeCells>
  <conditionalFormatting sqref="I18 B11:I12 B6:I7 B8:C10 B13:C14 B15:I16 B17:C18 B19">
    <cfRule type="expression" dxfId="1121" priority="253">
      <formula>$I6="Nein"</formula>
    </cfRule>
    <cfRule type="expression" dxfId="1120" priority="254">
      <formula>$I6="Ja"</formula>
    </cfRule>
  </conditionalFormatting>
  <conditionalFormatting sqref="D18:H18">
    <cfRule type="expression" dxfId="1119" priority="251">
      <formula>$I18="Nein"</formula>
    </cfRule>
    <cfRule type="expression" dxfId="1118" priority="252">
      <formula>$I18="Ja"</formula>
    </cfRule>
  </conditionalFormatting>
  <conditionalFormatting sqref="D23:H23">
    <cfRule type="expression" dxfId="1117" priority="237">
      <formula>$I23="Nein"</formula>
    </cfRule>
    <cfRule type="expression" dxfId="1116" priority="238">
      <formula>$I23="Ja"</formula>
    </cfRule>
  </conditionalFormatting>
  <conditionalFormatting sqref="D227:E228">
    <cfRule type="expression" dxfId="1115" priority="213">
      <formula>$J227="Ja"</formula>
    </cfRule>
    <cfRule type="expression" dxfId="1114" priority="214">
      <formula>$J227="Nein"</formula>
    </cfRule>
  </conditionalFormatting>
  <conditionalFormatting sqref="D9:I9">
    <cfRule type="expression" dxfId="1113" priority="183">
      <formula>$I9="Nein"</formula>
    </cfRule>
    <cfRule type="expression" dxfId="1112" priority="184">
      <formula>$I9="Ja"</formula>
    </cfRule>
  </conditionalFormatting>
  <conditionalFormatting sqref="D10:I10">
    <cfRule type="expression" dxfId="1111" priority="181">
      <formula>$I10="Nein"</formula>
    </cfRule>
    <cfRule type="expression" dxfId="1110" priority="182">
      <formula>$I10="Ja"</formula>
    </cfRule>
  </conditionalFormatting>
  <conditionalFormatting sqref="D8:I8">
    <cfRule type="expression" dxfId="1109" priority="179">
      <formula>$I8="Nein"</formula>
    </cfRule>
    <cfRule type="expression" dxfId="1108" priority="180">
      <formula>$I8="Ja"</formula>
    </cfRule>
  </conditionalFormatting>
  <conditionalFormatting sqref="D20:I20">
    <cfRule type="expression" dxfId="1107" priority="177">
      <formula>$I20="Nein"</formula>
    </cfRule>
    <cfRule type="expression" dxfId="1106" priority="178">
      <formula>$I20="Ja"</formula>
    </cfRule>
  </conditionalFormatting>
  <conditionalFormatting sqref="D13:I13">
    <cfRule type="expression" dxfId="1105" priority="175">
      <formula>$I13="Nein"</formula>
    </cfRule>
    <cfRule type="expression" dxfId="1104" priority="176">
      <formula>$I13="Ja"</formula>
    </cfRule>
  </conditionalFormatting>
  <conditionalFormatting sqref="D17:I17">
    <cfRule type="expression" dxfId="1103" priority="173">
      <formula>$I17="Nein"</formula>
    </cfRule>
    <cfRule type="expression" dxfId="1102" priority="174">
      <formula>$I17="Ja"</formula>
    </cfRule>
  </conditionalFormatting>
  <conditionalFormatting sqref="D14:I14">
    <cfRule type="expression" dxfId="1101" priority="171">
      <formula>$I14="Nein"</formula>
    </cfRule>
    <cfRule type="expression" dxfId="1100" priority="172">
      <formula>$I14="Ja"</formula>
    </cfRule>
  </conditionalFormatting>
  <conditionalFormatting sqref="D19:I19">
    <cfRule type="expression" dxfId="1099" priority="169">
      <formula>$I19="Nein"</formula>
    </cfRule>
    <cfRule type="expression" dxfId="1098" priority="170">
      <formula>$I19="Ja"</formula>
    </cfRule>
  </conditionalFormatting>
  <conditionalFormatting sqref="E51:F52">
    <cfRule type="expression" dxfId="1097" priority="167">
      <formula>$I51="Nein"</formula>
    </cfRule>
    <cfRule type="expression" dxfId="1096" priority="168">
      <formula>$I51="Ja"</formula>
    </cfRule>
  </conditionalFormatting>
  <conditionalFormatting sqref="E54:F54">
    <cfRule type="expression" dxfId="1095" priority="165">
      <formula>$I54="Nein"</formula>
    </cfRule>
    <cfRule type="expression" dxfId="1094" priority="166">
      <formula>$I54="Ja"</formula>
    </cfRule>
  </conditionalFormatting>
  <conditionalFormatting sqref="E53:F53">
    <cfRule type="expression" dxfId="1093" priority="163">
      <formula>$I53="Nein"</formula>
    </cfRule>
    <cfRule type="expression" dxfId="1092" priority="164">
      <formula>$I53="Ja"</formula>
    </cfRule>
  </conditionalFormatting>
  <conditionalFormatting sqref="E60:F61">
    <cfRule type="expression" dxfId="1091" priority="161">
      <formula>$I60="Nein"</formula>
    </cfRule>
    <cfRule type="expression" dxfId="1090" priority="162">
      <formula>$I60="Ja"</formula>
    </cfRule>
  </conditionalFormatting>
  <conditionalFormatting sqref="E63:F63">
    <cfRule type="expression" dxfId="1089" priority="159">
      <formula>$I63="Nein"</formula>
    </cfRule>
    <cfRule type="expression" dxfId="1088" priority="160">
      <formula>$I63="Ja"</formula>
    </cfRule>
  </conditionalFormatting>
  <conditionalFormatting sqref="E62:F62">
    <cfRule type="expression" dxfId="1087" priority="157">
      <formula>$I62="Nein"</formula>
    </cfRule>
    <cfRule type="expression" dxfId="1086" priority="158">
      <formula>$I62="Ja"</formula>
    </cfRule>
  </conditionalFormatting>
  <conditionalFormatting sqref="E69:F70">
    <cfRule type="expression" dxfId="1085" priority="155">
      <formula>$I69="Nein"</formula>
    </cfRule>
    <cfRule type="expression" dxfId="1084" priority="156">
      <formula>$I69="Ja"</formula>
    </cfRule>
  </conditionalFormatting>
  <conditionalFormatting sqref="E72:F72">
    <cfRule type="expression" dxfId="1083" priority="153">
      <formula>$I72="Nein"</formula>
    </cfRule>
    <cfRule type="expression" dxfId="1082" priority="154">
      <formula>$I72="Ja"</formula>
    </cfRule>
  </conditionalFormatting>
  <conditionalFormatting sqref="E71:F71">
    <cfRule type="expression" dxfId="1081" priority="151">
      <formula>$I71="Nein"</formula>
    </cfRule>
    <cfRule type="expression" dxfId="1080" priority="152">
      <formula>$I71="Ja"</formula>
    </cfRule>
  </conditionalFormatting>
  <conditionalFormatting sqref="E78:F79">
    <cfRule type="expression" dxfId="1079" priority="149">
      <formula>$I78="Nein"</formula>
    </cfRule>
    <cfRule type="expression" dxfId="1078" priority="150">
      <formula>$I78="Ja"</formula>
    </cfRule>
  </conditionalFormatting>
  <conditionalFormatting sqref="E81:F81">
    <cfRule type="expression" dxfId="1077" priority="147">
      <formula>$I81="Nein"</formula>
    </cfRule>
    <cfRule type="expression" dxfId="1076" priority="148">
      <formula>$I81="Ja"</formula>
    </cfRule>
  </conditionalFormatting>
  <conditionalFormatting sqref="E80:F80">
    <cfRule type="expression" dxfId="1075" priority="145">
      <formula>$I80="Nein"</formula>
    </cfRule>
    <cfRule type="expression" dxfId="1074" priority="146">
      <formula>$I80="Ja"</formula>
    </cfRule>
  </conditionalFormatting>
  <conditionalFormatting sqref="D87:E88">
    <cfRule type="expression" dxfId="1073" priority="143">
      <formula>$I87="Nein"</formula>
    </cfRule>
    <cfRule type="expression" dxfId="1072" priority="144">
      <formula>$I87="Ja"</formula>
    </cfRule>
  </conditionalFormatting>
  <conditionalFormatting sqref="D89:E89">
    <cfRule type="expression" dxfId="1071" priority="139">
      <formula>$I89="Nein"</formula>
    </cfRule>
    <cfRule type="expression" dxfId="1070" priority="140">
      <formula>$I89="Ja"</formula>
    </cfRule>
  </conditionalFormatting>
  <conditionalFormatting sqref="E116:F117">
    <cfRule type="expression" dxfId="1069" priority="137">
      <formula>$I116="Nein"</formula>
    </cfRule>
    <cfRule type="expression" dxfId="1068" priority="138">
      <formula>$I116="Ja"</formula>
    </cfRule>
  </conditionalFormatting>
  <conditionalFormatting sqref="E115:F115">
    <cfRule type="expression" dxfId="1067" priority="135">
      <formula>$I115="Nein"</formula>
    </cfRule>
    <cfRule type="expression" dxfId="1066" priority="136">
      <formula>$I115="Ja"</formula>
    </cfRule>
  </conditionalFormatting>
  <conditionalFormatting sqref="E118:F118">
    <cfRule type="expression" dxfId="1065" priority="133">
      <formula>$I118="Nein"</formula>
    </cfRule>
    <cfRule type="expression" dxfId="1064" priority="134">
      <formula>$I118="Ja"</formula>
    </cfRule>
  </conditionalFormatting>
  <conditionalFormatting sqref="E125:F126">
    <cfRule type="expression" dxfId="1063" priority="131">
      <formula>$I125="Nein"</formula>
    </cfRule>
    <cfRule type="expression" dxfId="1062" priority="132">
      <formula>$I125="Ja"</formula>
    </cfRule>
  </conditionalFormatting>
  <conditionalFormatting sqref="E124:F124">
    <cfRule type="expression" dxfId="1061" priority="129">
      <formula>$I124="Nein"</formula>
    </cfRule>
    <cfRule type="expression" dxfId="1060" priority="130">
      <formula>$I124="Ja"</formula>
    </cfRule>
  </conditionalFormatting>
  <conditionalFormatting sqref="E127:F127">
    <cfRule type="expression" dxfId="1059" priority="127">
      <formula>$I127="Nein"</formula>
    </cfRule>
    <cfRule type="expression" dxfId="1058" priority="128">
      <formula>$I127="Ja"</formula>
    </cfRule>
  </conditionalFormatting>
  <conditionalFormatting sqref="E134:F135">
    <cfRule type="expression" dxfId="1057" priority="125">
      <formula>$I134="Nein"</formula>
    </cfRule>
    <cfRule type="expression" dxfId="1056" priority="126">
      <formula>$I134="Ja"</formula>
    </cfRule>
  </conditionalFormatting>
  <conditionalFormatting sqref="E133:F133">
    <cfRule type="expression" dxfId="1055" priority="123">
      <formula>$I133="Nein"</formula>
    </cfRule>
    <cfRule type="expression" dxfId="1054" priority="124">
      <formula>$I133="Ja"</formula>
    </cfRule>
  </conditionalFormatting>
  <conditionalFormatting sqref="E136:F136">
    <cfRule type="expression" dxfId="1053" priority="121">
      <formula>$I136="Nein"</formula>
    </cfRule>
    <cfRule type="expression" dxfId="1052" priority="122">
      <formula>$I136="Ja"</formula>
    </cfRule>
  </conditionalFormatting>
  <conditionalFormatting sqref="E143:F144">
    <cfRule type="expression" dxfId="1051" priority="119">
      <formula>$I143="Nein"</formula>
    </cfRule>
    <cfRule type="expression" dxfId="1050" priority="120">
      <formula>$I143="Ja"</formula>
    </cfRule>
  </conditionalFormatting>
  <conditionalFormatting sqref="E142:F142">
    <cfRule type="expression" dxfId="1049" priority="117">
      <formula>$I142="Nein"</formula>
    </cfRule>
    <cfRule type="expression" dxfId="1048" priority="118">
      <formula>$I142="Ja"</formula>
    </cfRule>
  </conditionalFormatting>
  <conditionalFormatting sqref="E145:F145">
    <cfRule type="expression" dxfId="1047" priority="115">
      <formula>$I145="Nein"</formula>
    </cfRule>
    <cfRule type="expression" dxfId="1046" priority="116">
      <formula>$I145="Ja"</formula>
    </cfRule>
  </conditionalFormatting>
  <conditionalFormatting sqref="D153:E153">
    <cfRule type="expression" dxfId="1045" priority="113">
      <formula>$I153="Nein"</formula>
    </cfRule>
    <cfRule type="expression" dxfId="1044" priority="114">
      <formula>$I153="Ja"</formula>
    </cfRule>
  </conditionalFormatting>
  <conditionalFormatting sqref="E179:F180">
    <cfRule type="expression" dxfId="1043" priority="77">
      <formula>$I179="Nein"</formula>
    </cfRule>
    <cfRule type="expression" dxfId="1042" priority="78">
      <formula>$I179="Ja"</formula>
    </cfRule>
  </conditionalFormatting>
  <conditionalFormatting sqref="E181:F181">
    <cfRule type="expression" dxfId="1041" priority="75">
      <formula>$I181="Nein"</formula>
    </cfRule>
    <cfRule type="expression" dxfId="1040" priority="76">
      <formula>$I181="Ja"</formula>
    </cfRule>
  </conditionalFormatting>
  <conditionalFormatting sqref="E178:F178">
    <cfRule type="expression" dxfId="1039" priority="73">
      <formula>$I178="Nein"</formula>
    </cfRule>
    <cfRule type="expression" dxfId="1038" priority="74">
      <formula>$I178="Ja"</formula>
    </cfRule>
  </conditionalFormatting>
  <conditionalFormatting sqref="E188:F189">
    <cfRule type="expression" dxfId="1037" priority="71">
      <formula>$I188="Nein"</formula>
    </cfRule>
    <cfRule type="expression" dxfId="1036" priority="72">
      <formula>$I188="Ja"</formula>
    </cfRule>
  </conditionalFormatting>
  <conditionalFormatting sqref="E190:F190">
    <cfRule type="expression" dxfId="1035" priority="69">
      <formula>$I190="Nein"</formula>
    </cfRule>
    <cfRule type="expression" dxfId="1034" priority="70">
      <formula>$I190="Ja"</formula>
    </cfRule>
  </conditionalFormatting>
  <conditionalFormatting sqref="E187:F187">
    <cfRule type="expression" dxfId="1033" priority="67">
      <formula>$I187="Nein"</formula>
    </cfRule>
    <cfRule type="expression" dxfId="1032" priority="68">
      <formula>$I187="Ja"</formula>
    </cfRule>
  </conditionalFormatting>
  <conditionalFormatting sqref="E197:F198">
    <cfRule type="expression" dxfId="1031" priority="65">
      <formula>$I197="Nein"</formula>
    </cfRule>
    <cfRule type="expression" dxfId="1030" priority="66">
      <formula>$I197="Ja"</formula>
    </cfRule>
  </conditionalFormatting>
  <conditionalFormatting sqref="E199:F199">
    <cfRule type="expression" dxfId="1029" priority="63">
      <formula>$I199="Nein"</formula>
    </cfRule>
    <cfRule type="expression" dxfId="1028" priority="64">
      <formula>$I199="Ja"</formula>
    </cfRule>
  </conditionalFormatting>
  <conditionalFormatting sqref="E196:F196">
    <cfRule type="expression" dxfId="1027" priority="61">
      <formula>$I196="Nein"</formula>
    </cfRule>
    <cfRule type="expression" dxfId="1026" priority="62">
      <formula>$I196="Ja"</formula>
    </cfRule>
  </conditionalFormatting>
  <conditionalFormatting sqref="E206:F207">
    <cfRule type="expression" dxfId="1025" priority="59">
      <formula>$I206="Nein"</formula>
    </cfRule>
    <cfRule type="expression" dxfId="1024" priority="60">
      <formula>$I206="Ja"</formula>
    </cfRule>
  </conditionalFormatting>
  <conditionalFormatting sqref="E208:F208">
    <cfRule type="expression" dxfId="1023" priority="57">
      <formula>$I208="Nein"</formula>
    </cfRule>
    <cfRule type="expression" dxfId="1022" priority="58">
      <formula>$I208="Ja"</formula>
    </cfRule>
  </conditionalFormatting>
  <conditionalFormatting sqref="E205:F205">
    <cfRule type="expression" dxfId="1021" priority="55">
      <formula>$I205="Nein"</formula>
    </cfRule>
    <cfRule type="expression" dxfId="1020" priority="56">
      <formula>$I205="Ja"</formula>
    </cfRule>
  </conditionalFormatting>
  <conditionalFormatting sqref="D215:E215">
    <cfRule type="expression" dxfId="1019" priority="53">
      <formula>$I215="Nein"</formula>
    </cfRule>
    <cfRule type="expression" dxfId="1018" priority="54">
      <formula>$I215="Ja"</formula>
    </cfRule>
  </conditionalFormatting>
  <conditionalFormatting sqref="E237:F237">
    <cfRule type="expression" dxfId="1017" priority="47">
      <formula>$I237="Nein"</formula>
    </cfRule>
    <cfRule type="expression" dxfId="1016" priority="48">
      <formula>$I237="Ja"</formula>
    </cfRule>
  </conditionalFormatting>
  <conditionalFormatting sqref="E238:F238">
    <cfRule type="expression" dxfId="1015" priority="45">
      <formula>$I238="Nein"</formula>
    </cfRule>
    <cfRule type="expression" dxfId="1014" priority="46">
      <formula>$I238="Ja"</formula>
    </cfRule>
  </conditionalFormatting>
  <conditionalFormatting sqref="E244:F244">
    <cfRule type="expression" dxfId="1013" priority="43">
      <formula>$I244="Nein"</formula>
    </cfRule>
    <cfRule type="expression" dxfId="1012" priority="44">
      <formula>$I244="Ja"</formula>
    </cfRule>
  </conditionalFormatting>
  <conditionalFormatting sqref="E245:F245">
    <cfRule type="expression" dxfId="1011" priority="41">
      <formula>$I245="Nein"</formula>
    </cfRule>
    <cfRule type="expression" dxfId="1010" priority="42">
      <formula>$I245="Ja"</formula>
    </cfRule>
  </conditionalFormatting>
  <conditionalFormatting sqref="E251:F251">
    <cfRule type="expression" dxfId="1009" priority="39">
      <formula>$I251="Nein"</formula>
    </cfRule>
    <cfRule type="expression" dxfId="1008" priority="40">
      <formula>$I251="Ja"</formula>
    </cfRule>
  </conditionalFormatting>
  <conditionalFormatting sqref="E252:F252">
    <cfRule type="expression" dxfId="1007" priority="37">
      <formula>$I252="Nein"</formula>
    </cfRule>
    <cfRule type="expression" dxfId="1006" priority="38">
      <formula>$I252="Ja"</formula>
    </cfRule>
  </conditionalFormatting>
  <conditionalFormatting sqref="E258:F258">
    <cfRule type="expression" dxfId="1005" priority="35">
      <formula>$I258="Nein"</formula>
    </cfRule>
    <cfRule type="expression" dxfId="1004" priority="36">
      <formula>$I258="Ja"</formula>
    </cfRule>
  </conditionalFormatting>
  <conditionalFormatting sqref="E259:F259">
    <cfRule type="expression" dxfId="1003" priority="33">
      <formula>$I259="Nein"</formula>
    </cfRule>
    <cfRule type="expression" dxfId="1002" priority="34">
      <formula>$I259="Ja"</formula>
    </cfRule>
  </conditionalFormatting>
  <conditionalFormatting sqref="E265:F265">
    <cfRule type="expression" dxfId="1001" priority="31">
      <formula>$I265="Nein"</formula>
    </cfRule>
    <cfRule type="expression" dxfId="1000" priority="32">
      <formula>$I265="Ja"</formula>
    </cfRule>
  </conditionalFormatting>
  <conditionalFormatting sqref="E266:F266">
    <cfRule type="expression" dxfId="999" priority="29">
      <formula>$I266="Nein"</formula>
    </cfRule>
    <cfRule type="expression" dxfId="998" priority="30">
      <formula>$I266="Ja"</formula>
    </cfRule>
  </conditionalFormatting>
  <conditionalFormatting sqref="D214:E214">
    <cfRule type="expression" dxfId="997" priority="25">
      <formula>$I214="Nein"</formula>
    </cfRule>
    <cfRule type="expression" dxfId="996" priority="26">
      <formula>$I214="Ja"</formula>
    </cfRule>
  </conditionalFormatting>
  <conditionalFormatting sqref="D218:E218">
    <cfRule type="expression" dxfId="995" priority="21">
      <formula>$I218="Nein"</formula>
    </cfRule>
    <cfRule type="expression" dxfId="994" priority="22">
      <formula>$I218="Ja"</formula>
    </cfRule>
  </conditionalFormatting>
  <conditionalFormatting sqref="D217:E217">
    <cfRule type="expression" dxfId="993" priority="19">
      <formula>$I217="Nein"</formula>
    </cfRule>
    <cfRule type="expression" dxfId="992" priority="20">
      <formula>$I217="Ja"</formula>
    </cfRule>
  </conditionalFormatting>
  <conditionalFormatting sqref="D216:E216">
    <cfRule type="expression" dxfId="991" priority="17">
      <formula>$I216="Nein"</formula>
    </cfRule>
    <cfRule type="expression" dxfId="990" priority="18">
      <formula>$I216="Ja"</formula>
    </cfRule>
  </conditionalFormatting>
  <conditionalFormatting sqref="D91:E91">
    <cfRule type="expression" dxfId="989" priority="15">
      <formula>$I91="Nein"</formula>
    </cfRule>
    <cfRule type="expression" dxfId="988" priority="16">
      <formula>$I91="Ja"</formula>
    </cfRule>
  </conditionalFormatting>
  <conditionalFormatting sqref="D89:E89">
    <cfRule type="expression" dxfId="987" priority="13">
      <formula>$I89="Nein"</formula>
    </cfRule>
    <cfRule type="expression" dxfId="986" priority="14">
      <formula>$I89="Ja"</formula>
    </cfRule>
  </conditionalFormatting>
  <conditionalFormatting sqref="D88:E88">
    <cfRule type="expression" dxfId="985" priority="11">
      <formula>$I88="Nein"</formula>
    </cfRule>
    <cfRule type="expression" dxfId="984" priority="12">
      <formula>$I88="Ja"</formula>
    </cfRule>
  </conditionalFormatting>
  <conditionalFormatting sqref="D90:E90">
    <cfRule type="expression" dxfId="983" priority="9">
      <formula>$I90="Nein"</formula>
    </cfRule>
    <cfRule type="expression" dxfId="982" priority="10">
      <formula>$I90="Ja"</formula>
    </cfRule>
  </conditionalFormatting>
  <conditionalFormatting sqref="D155:E155">
    <cfRule type="expression" dxfId="981" priority="7">
      <formula>$I155="Nein"</formula>
    </cfRule>
    <cfRule type="expression" dxfId="980" priority="8">
      <formula>$I155="Ja"</formula>
    </cfRule>
  </conditionalFormatting>
  <conditionalFormatting sqref="D151:E151">
    <cfRule type="expression" dxfId="979" priority="5">
      <formula>$I151="Nein"</formula>
    </cfRule>
    <cfRule type="expression" dxfId="978" priority="6">
      <formula>$I151="Ja"</formula>
    </cfRule>
  </conditionalFormatting>
  <conditionalFormatting sqref="D154:E154">
    <cfRule type="expression" dxfId="977" priority="3">
      <formula>$I154="Nein"</formula>
    </cfRule>
    <cfRule type="expression" dxfId="976" priority="4">
      <formula>$I154="Ja"</formula>
    </cfRule>
  </conditionalFormatting>
  <conditionalFormatting sqref="D152:E152">
    <cfRule type="expression" dxfId="975" priority="1">
      <formula>$I152="Nein"</formula>
    </cfRule>
    <cfRule type="expression" dxfId="974" priority="2">
      <formula>$I152="Ja"</formula>
    </cfRule>
  </conditionalFormatting>
  <dataValidations disablePrompts="1" count="1">
    <dataValidation type="list" allowBlank="1" showInputMessage="1" showErrorMessage="1" sqref="O23 I6:I20" xr:uid="{C590EAFC-6932-4A09-8E08-39E80C430F43}">
      <formula1>"Ja,Nein"</formula1>
    </dataValidation>
  </dataValidations>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15676-F538-42D2-9805-E444BE6A040A}">
  <dimension ref="A1:AE202"/>
  <sheetViews>
    <sheetView showGridLines="0" topLeftCell="A77" workbookViewId="0">
      <selection activeCell="I33" sqref="I28:J33"/>
    </sheetView>
  </sheetViews>
  <sheetFormatPr baseColWidth="10" defaultColWidth="11.42578125" defaultRowHeight="15" outlineLevelRow="1" outlineLevelCol="1" x14ac:dyDescent="0.25"/>
  <cols>
    <col min="1" max="3" width="3.7109375" style="2" customWidth="1"/>
    <col min="4" max="14" width="20.7109375" style="2" customWidth="1"/>
    <col min="15" max="18" width="20.7109375" style="2" hidden="1" customWidth="1" outlineLevel="1"/>
    <col min="19" max="19" width="20.7109375" style="2" customWidth="1" collapsed="1"/>
    <col min="20" max="21" width="3.7109375" style="2" customWidth="1"/>
    <col min="22" max="22" width="15.85546875" style="2" customWidth="1"/>
    <col min="23" max="24" width="20.7109375" style="2" customWidth="1"/>
    <col min="25" max="16384" width="11.42578125" style="2"/>
  </cols>
  <sheetData>
    <row r="1" spans="1:23" x14ac:dyDescent="0.25">
      <c r="A1" s="573" t="s">
        <v>328</v>
      </c>
      <c r="B1" s="573"/>
      <c r="C1" s="573"/>
      <c r="D1" s="573"/>
      <c r="E1" s="573"/>
      <c r="F1" s="573"/>
      <c r="G1" s="573"/>
      <c r="H1" s="573"/>
      <c r="I1" s="573"/>
      <c r="J1" s="573"/>
      <c r="K1" s="573"/>
      <c r="L1" s="573"/>
      <c r="M1" s="573"/>
      <c r="N1" s="573"/>
    </row>
    <row r="2" spans="1:23" x14ac:dyDescent="0.25">
      <c r="A2" s="573"/>
      <c r="B2" s="573"/>
      <c r="C2" s="573"/>
      <c r="D2" s="573"/>
      <c r="E2" s="573"/>
      <c r="F2" s="573"/>
      <c r="G2" s="573"/>
      <c r="H2" s="573"/>
      <c r="I2" s="573"/>
      <c r="J2" s="573"/>
      <c r="K2" s="573"/>
      <c r="L2" s="573"/>
      <c r="M2" s="573"/>
      <c r="N2" s="573"/>
    </row>
    <row r="3" spans="1:23" ht="20.100000000000001" customHeight="1" thickBot="1" x14ac:dyDescent="0.3"/>
    <row r="4" spans="1:23" ht="15.75" thickBot="1" x14ac:dyDescent="0.3">
      <c r="B4" s="614" t="s">
        <v>374</v>
      </c>
      <c r="C4" s="615"/>
      <c r="D4" s="615"/>
      <c r="E4" s="615"/>
      <c r="F4" s="615"/>
      <c r="G4" s="615"/>
      <c r="H4" s="615"/>
      <c r="I4" s="616"/>
      <c r="K4" s="614" t="s">
        <v>40</v>
      </c>
      <c r="L4" s="615"/>
      <c r="M4" s="616"/>
      <c r="P4" s="53"/>
      <c r="Q4" s="53"/>
      <c r="R4" s="53"/>
      <c r="S4" s="4"/>
      <c r="T4" s="53"/>
      <c r="U4" s="53"/>
      <c r="V4" s="53"/>
      <c r="W4" s="53"/>
    </row>
    <row r="5" spans="1:23" ht="50.1" customHeight="1" thickBot="1" x14ac:dyDescent="0.3">
      <c r="B5" s="586" t="s">
        <v>329</v>
      </c>
      <c r="C5" s="587"/>
      <c r="D5" s="296" t="s">
        <v>21</v>
      </c>
      <c r="E5" s="227" t="s">
        <v>57</v>
      </c>
      <c r="F5" s="227" t="s">
        <v>61</v>
      </c>
      <c r="G5" s="228" t="s">
        <v>62</v>
      </c>
      <c r="H5" s="228" t="s">
        <v>97</v>
      </c>
      <c r="I5" s="227" t="s">
        <v>330</v>
      </c>
      <c r="K5" s="12" t="s">
        <v>21</v>
      </c>
      <c r="L5" s="80" t="s">
        <v>41</v>
      </c>
      <c r="M5" s="19" t="s">
        <v>22</v>
      </c>
      <c r="P5" s="4"/>
      <c r="R5" s="53"/>
      <c r="S5" s="53"/>
      <c r="T5" s="53"/>
      <c r="U5" s="4"/>
      <c r="V5" s="4"/>
    </row>
    <row r="6" spans="1:23" ht="20.100000000000001" customHeight="1" x14ac:dyDescent="0.25">
      <c r="B6" s="576">
        <v>1</v>
      </c>
      <c r="C6" s="577"/>
      <c r="D6" s="254" t="s">
        <v>127</v>
      </c>
      <c r="E6" s="254" t="s">
        <v>60</v>
      </c>
      <c r="F6" s="254" t="s">
        <v>7</v>
      </c>
      <c r="G6" s="254" t="s">
        <v>7</v>
      </c>
      <c r="H6" s="254" t="s">
        <v>7</v>
      </c>
      <c r="I6" s="291" t="s">
        <v>179</v>
      </c>
      <c r="K6" s="24" t="str">
        <f>D6</f>
        <v>Judith Fulterer</v>
      </c>
      <c r="L6" s="578">
        <v>1</v>
      </c>
      <c r="M6" s="113">
        <v>1</v>
      </c>
      <c r="P6" s="6"/>
      <c r="U6" s="6"/>
      <c r="V6" s="6"/>
    </row>
    <row r="7" spans="1:23" ht="20.100000000000001" customHeight="1" x14ac:dyDescent="0.25">
      <c r="B7" s="581">
        <v>2</v>
      </c>
      <c r="C7" s="582"/>
      <c r="D7" s="246" t="s">
        <v>4</v>
      </c>
      <c r="E7" s="246" t="s">
        <v>9</v>
      </c>
      <c r="F7" s="246" t="s">
        <v>9</v>
      </c>
      <c r="G7" s="246" t="s">
        <v>9</v>
      </c>
      <c r="H7" s="246" t="s">
        <v>9</v>
      </c>
      <c r="I7" s="292" t="s">
        <v>39</v>
      </c>
      <c r="K7" s="3" t="str">
        <f t="shared" ref="K7:K16" si="0">D7</f>
        <v>Andreas Micke</v>
      </c>
      <c r="L7" s="579"/>
      <c r="M7" s="116">
        <v>2</v>
      </c>
      <c r="P7" s="6"/>
      <c r="U7" s="6"/>
      <c r="V7" s="6"/>
    </row>
    <row r="8" spans="1:23" ht="20.100000000000001" customHeight="1" x14ac:dyDescent="0.25">
      <c r="B8" s="581">
        <v>3</v>
      </c>
      <c r="C8" s="582"/>
      <c r="D8" s="246" t="s">
        <v>114</v>
      </c>
      <c r="E8" s="246" t="s">
        <v>102</v>
      </c>
      <c r="F8" s="246" t="s">
        <v>102</v>
      </c>
      <c r="G8" s="246" t="s">
        <v>102</v>
      </c>
      <c r="H8" s="246" t="s">
        <v>102</v>
      </c>
      <c r="I8" s="292" t="s">
        <v>179</v>
      </c>
      <c r="K8" s="3" t="str">
        <f t="shared" si="0"/>
        <v>Jonas Röhrig</v>
      </c>
      <c r="L8" s="579"/>
      <c r="M8" s="116">
        <v>3</v>
      </c>
      <c r="P8" s="6"/>
      <c r="U8" s="6"/>
      <c r="V8" s="6"/>
    </row>
    <row r="9" spans="1:23" ht="20.100000000000001" customHeight="1" thickBot="1" x14ac:dyDescent="0.3">
      <c r="B9" s="581">
        <v>4</v>
      </c>
      <c r="C9" s="582"/>
      <c r="D9" s="246" t="s">
        <v>0</v>
      </c>
      <c r="E9" s="246" t="s">
        <v>5</v>
      </c>
      <c r="F9" s="246" t="s">
        <v>5</v>
      </c>
      <c r="G9" s="246" t="s">
        <v>5</v>
      </c>
      <c r="H9" s="246" t="s">
        <v>5</v>
      </c>
      <c r="I9" s="292" t="s">
        <v>179</v>
      </c>
      <c r="K9" s="45" t="str">
        <f t="shared" si="0"/>
        <v>Devid Fulterer</v>
      </c>
      <c r="L9" s="580"/>
      <c r="M9" s="46">
        <v>4</v>
      </c>
      <c r="P9" s="6"/>
      <c r="U9" s="6"/>
      <c r="V9" s="6"/>
    </row>
    <row r="10" spans="1:23" ht="20.100000000000001" customHeight="1" x14ac:dyDescent="0.25">
      <c r="B10" s="581">
        <v>5</v>
      </c>
      <c r="C10" s="582"/>
      <c r="D10" s="247" t="s">
        <v>125</v>
      </c>
      <c r="E10" s="247" t="s">
        <v>126</v>
      </c>
      <c r="F10" s="148" t="s">
        <v>59</v>
      </c>
      <c r="G10" s="246" t="s">
        <v>59</v>
      </c>
      <c r="H10" s="246" t="s">
        <v>59</v>
      </c>
      <c r="I10" s="292" t="s">
        <v>39</v>
      </c>
      <c r="K10" s="24" t="str">
        <f>D10</f>
        <v>Bea Kittner</v>
      </c>
      <c r="L10" s="578">
        <v>2</v>
      </c>
      <c r="M10" s="113">
        <v>1</v>
      </c>
      <c r="P10" s="6"/>
      <c r="U10" s="6"/>
      <c r="V10" s="6"/>
    </row>
    <row r="11" spans="1:23" ht="20.100000000000001" customHeight="1" x14ac:dyDescent="0.25">
      <c r="B11" s="581">
        <v>6</v>
      </c>
      <c r="C11" s="582"/>
      <c r="D11" s="247" t="s">
        <v>2</v>
      </c>
      <c r="E11" s="247" t="s">
        <v>8</v>
      </c>
      <c r="F11" s="148" t="s">
        <v>8</v>
      </c>
      <c r="G11" s="246" t="s">
        <v>8</v>
      </c>
      <c r="H11" s="246" t="s">
        <v>8</v>
      </c>
      <c r="I11" s="292" t="s">
        <v>179</v>
      </c>
      <c r="K11" s="3" t="str">
        <f t="shared" si="0"/>
        <v>Markus Hagenauer</v>
      </c>
      <c r="L11" s="579"/>
      <c r="M11" s="116">
        <v>2</v>
      </c>
      <c r="P11" s="6"/>
      <c r="U11" s="6"/>
      <c r="V11" s="6"/>
    </row>
    <row r="12" spans="1:23" ht="20.100000000000001" customHeight="1" x14ac:dyDescent="0.25">
      <c r="B12" s="581">
        <v>7</v>
      </c>
      <c r="C12" s="582"/>
      <c r="D12" s="247" t="s">
        <v>47</v>
      </c>
      <c r="E12" s="247" t="s">
        <v>64</v>
      </c>
      <c r="F12" s="148" t="s">
        <v>64</v>
      </c>
      <c r="G12" s="246" t="s">
        <v>64</v>
      </c>
      <c r="H12" s="246" t="s">
        <v>64</v>
      </c>
      <c r="I12" s="292" t="s">
        <v>179</v>
      </c>
      <c r="K12" s="3" t="str">
        <f t="shared" si="0"/>
        <v>Kai Maibaum</v>
      </c>
      <c r="L12" s="579"/>
      <c r="M12" s="116">
        <v>3</v>
      </c>
      <c r="P12" s="6"/>
      <c r="U12" s="6"/>
      <c r="V12" s="6"/>
    </row>
    <row r="13" spans="1:23" ht="20.100000000000001" customHeight="1" thickBot="1" x14ac:dyDescent="0.3">
      <c r="B13" s="581">
        <v>8</v>
      </c>
      <c r="C13" s="582"/>
      <c r="D13" s="247" t="s">
        <v>1</v>
      </c>
      <c r="E13" s="246" t="s">
        <v>11</v>
      </c>
      <c r="F13" s="293" t="s">
        <v>11</v>
      </c>
      <c r="G13" s="246" t="s">
        <v>11</v>
      </c>
      <c r="H13" s="246" t="s">
        <v>11</v>
      </c>
      <c r="I13" s="292" t="s">
        <v>39</v>
      </c>
      <c r="K13" s="45" t="str">
        <f t="shared" si="0"/>
        <v>Pauline Schätzle</v>
      </c>
      <c r="L13" s="579"/>
      <c r="M13" s="46">
        <v>4</v>
      </c>
      <c r="P13" s="6"/>
      <c r="U13" s="6"/>
      <c r="V13" s="6"/>
    </row>
    <row r="14" spans="1:23" ht="20.100000000000001" customHeight="1" x14ac:dyDescent="0.25">
      <c r="B14" s="581">
        <v>9</v>
      </c>
      <c r="C14" s="582"/>
      <c r="D14" s="247" t="s">
        <v>88</v>
      </c>
      <c r="E14" s="247" t="s">
        <v>69</v>
      </c>
      <c r="F14" s="148" t="s">
        <v>69</v>
      </c>
      <c r="G14" s="246" t="s">
        <v>69</v>
      </c>
      <c r="H14" s="246" t="s">
        <v>69</v>
      </c>
      <c r="I14" s="292" t="s">
        <v>39</v>
      </c>
      <c r="K14" s="24" t="str">
        <f>D14</f>
        <v>Daniel Zimmermann</v>
      </c>
      <c r="L14" s="577">
        <v>3</v>
      </c>
      <c r="M14" s="113">
        <v>1</v>
      </c>
      <c r="P14" s="6"/>
      <c r="U14" s="6"/>
      <c r="V14" s="6"/>
    </row>
    <row r="15" spans="1:23" ht="20.100000000000001" customHeight="1" x14ac:dyDescent="0.25">
      <c r="B15" s="581">
        <v>10</v>
      </c>
      <c r="C15" s="582"/>
      <c r="D15" s="249" t="s">
        <v>128</v>
      </c>
      <c r="E15" s="247" t="s">
        <v>129</v>
      </c>
      <c r="F15" s="148" t="s">
        <v>129</v>
      </c>
      <c r="G15" s="246" t="s">
        <v>129</v>
      </c>
      <c r="H15" s="248" t="s">
        <v>129</v>
      </c>
      <c r="I15" s="257" t="s">
        <v>179</v>
      </c>
      <c r="K15" s="3" t="str">
        <f t="shared" si="0"/>
        <v>Fabian Spaniol</v>
      </c>
      <c r="L15" s="582"/>
      <c r="M15" s="116">
        <v>2</v>
      </c>
      <c r="P15" s="6"/>
      <c r="U15" s="6"/>
      <c r="V15" s="6"/>
    </row>
    <row r="16" spans="1:23" ht="20.100000000000001" customHeight="1" thickBot="1" x14ac:dyDescent="0.3">
      <c r="B16" s="617">
        <v>11</v>
      </c>
      <c r="C16" s="618"/>
      <c r="D16" s="255" t="s">
        <v>130</v>
      </c>
      <c r="E16" s="255" t="s">
        <v>131</v>
      </c>
      <c r="F16" s="154" t="s">
        <v>131</v>
      </c>
      <c r="G16" s="256" t="s">
        <v>59</v>
      </c>
      <c r="H16" s="256" t="s">
        <v>59</v>
      </c>
      <c r="I16" s="353" t="s">
        <v>39</v>
      </c>
      <c r="K16" s="144" t="str">
        <f t="shared" si="0"/>
        <v>Florian Spiß</v>
      </c>
      <c r="L16" s="618"/>
      <c r="M16" s="118">
        <v>3</v>
      </c>
      <c r="P16" s="6"/>
      <c r="U16" s="6"/>
      <c r="V16" s="6"/>
    </row>
    <row r="17" spans="2:23" ht="20.100000000000001" customHeight="1" thickBot="1" x14ac:dyDescent="0.3">
      <c r="D17" s="294"/>
      <c r="E17" s="294"/>
      <c r="F17" s="295"/>
      <c r="G17" s="28"/>
      <c r="H17" s="28"/>
      <c r="I17" s="294"/>
      <c r="K17" s="584" t="s">
        <v>381</v>
      </c>
      <c r="L17" s="585"/>
      <c r="M17" s="121">
        <f>ROWS(M6:M16)</f>
        <v>11</v>
      </c>
      <c r="O17" s="53"/>
      <c r="P17" s="53"/>
      <c r="R17" s="53"/>
      <c r="S17" s="53"/>
      <c r="T17" s="53"/>
      <c r="U17" s="53"/>
    </row>
    <row r="18" spans="2:23" ht="15.75" thickBot="1" x14ac:dyDescent="0.3">
      <c r="B18" s="614" t="s">
        <v>373</v>
      </c>
      <c r="C18" s="615"/>
      <c r="D18" s="615"/>
      <c r="E18" s="615"/>
      <c r="F18" s="615"/>
      <c r="G18" s="615"/>
      <c r="H18" s="616"/>
      <c r="L18" s="128"/>
      <c r="M18" s="128"/>
      <c r="N18" s="128"/>
      <c r="O18" s="4"/>
      <c r="P18" s="53"/>
      <c r="Q18" s="53"/>
      <c r="S18" s="53"/>
      <c r="T18" s="53"/>
      <c r="U18" s="53"/>
      <c r="V18" s="53"/>
    </row>
    <row r="19" spans="2:23" ht="30.75" thickBot="1" x14ac:dyDescent="0.3">
      <c r="B19" s="586" t="s">
        <v>58</v>
      </c>
      <c r="C19" s="587"/>
      <c r="D19" s="139" t="s">
        <v>21</v>
      </c>
      <c r="E19" s="227" t="s">
        <v>57</v>
      </c>
      <c r="F19" s="227" t="s">
        <v>61</v>
      </c>
      <c r="G19" s="228" t="s">
        <v>62</v>
      </c>
      <c r="H19" s="228" t="s">
        <v>97</v>
      </c>
      <c r="L19" s="128"/>
      <c r="M19" s="128"/>
      <c r="N19" s="128"/>
      <c r="O19" s="4"/>
      <c r="P19" s="53"/>
      <c r="Q19" s="53"/>
      <c r="S19" s="53"/>
      <c r="T19" s="53"/>
      <c r="U19" s="53"/>
      <c r="V19" s="53"/>
    </row>
    <row r="20" spans="2:23" ht="20.100000000000001" customHeight="1" thickBot="1" x14ac:dyDescent="0.3">
      <c r="B20" s="619">
        <v>1</v>
      </c>
      <c r="C20" s="620"/>
      <c r="D20" s="400" t="s">
        <v>123</v>
      </c>
      <c r="E20" s="401" t="s">
        <v>124</v>
      </c>
      <c r="F20" s="230" t="s">
        <v>59</v>
      </c>
      <c r="G20" s="401" t="s">
        <v>59</v>
      </c>
      <c r="H20" s="301" t="s">
        <v>59</v>
      </c>
      <c r="O20" s="257" t="s">
        <v>39</v>
      </c>
      <c r="P20" s="53"/>
      <c r="Q20" s="53"/>
      <c r="S20" s="53"/>
      <c r="T20" s="53"/>
      <c r="U20" s="53"/>
      <c r="V20" s="53"/>
    </row>
    <row r="21" spans="2:23" ht="20.100000000000001" customHeight="1" x14ac:dyDescent="0.25">
      <c r="M21" s="128"/>
      <c r="N21" s="128"/>
      <c r="O21" s="128"/>
      <c r="P21" s="4"/>
      <c r="Q21" s="53"/>
      <c r="R21" s="53"/>
      <c r="T21" s="53"/>
      <c r="U21" s="53"/>
      <c r="V21" s="53"/>
      <c r="W21" s="53"/>
    </row>
    <row r="22" spans="2:23" ht="20.100000000000001" customHeight="1" x14ac:dyDescent="0.25">
      <c r="B22" s="13"/>
      <c r="C22" s="13"/>
      <c r="D22" s="25"/>
      <c r="E22" s="25"/>
      <c r="F22" s="25"/>
      <c r="G22" s="25"/>
      <c r="H22" s="13"/>
      <c r="I22" s="13"/>
      <c r="J22" s="13"/>
      <c r="K22" s="13"/>
      <c r="L22" s="13"/>
      <c r="M22" s="13"/>
      <c r="N22" s="13"/>
      <c r="O22" s="13"/>
      <c r="P22" s="13"/>
      <c r="Q22" s="13"/>
      <c r="R22" s="13"/>
      <c r="S22" s="13"/>
      <c r="T22" s="13"/>
      <c r="U22" s="13"/>
    </row>
    <row r="23" spans="2:23" ht="30" customHeight="1" x14ac:dyDescent="0.25">
      <c r="B23" s="13"/>
      <c r="C23" s="555" t="s">
        <v>73</v>
      </c>
      <c r="D23" s="555"/>
      <c r="E23" s="555"/>
      <c r="F23" s="555"/>
      <c r="G23" s="555"/>
      <c r="H23" s="555"/>
      <c r="I23" s="555"/>
      <c r="J23" s="555"/>
      <c r="K23" s="555"/>
      <c r="L23" s="555"/>
      <c r="M23" s="555"/>
      <c r="N23" s="555"/>
      <c r="O23" s="555"/>
      <c r="P23" s="555"/>
      <c r="Q23" s="555"/>
      <c r="R23" s="555"/>
      <c r="S23" s="555"/>
      <c r="T23" s="555"/>
      <c r="U23" s="13"/>
    </row>
    <row r="24" spans="2:23" ht="20.100000000000001" customHeight="1" thickBot="1" x14ac:dyDescent="0.3">
      <c r="B24" s="13"/>
      <c r="U24" s="13"/>
    </row>
    <row r="25" spans="2:23" ht="20.100000000000001" customHeight="1" thickBot="1" x14ac:dyDescent="0.3">
      <c r="B25" s="13"/>
      <c r="D25" s="556" t="s">
        <v>10</v>
      </c>
      <c r="E25" s="558" t="s">
        <v>139</v>
      </c>
      <c r="F25" s="560" t="s">
        <v>22</v>
      </c>
      <c r="G25" s="595" t="s">
        <v>42</v>
      </c>
      <c r="H25" s="596"/>
      <c r="I25" s="596"/>
      <c r="J25" s="597"/>
      <c r="K25" s="200" t="s">
        <v>36</v>
      </c>
      <c r="L25" s="563" t="s">
        <v>27</v>
      </c>
      <c r="M25" s="561"/>
      <c r="N25" s="561"/>
      <c r="O25" s="561"/>
      <c r="P25" s="561"/>
      <c r="Q25" s="561"/>
      <c r="R25" s="561"/>
      <c r="S25" s="562"/>
      <c r="U25" s="13"/>
    </row>
    <row r="26" spans="2:23" ht="20.100000000000001" customHeight="1" thickBot="1" x14ac:dyDescent="0.3">
      <c r="B26" s="13"/>
      <c r="D26" s="557"/>
      <c r="E26" s="559"/>
      <c r="F26" s="559"/>
      <c r="G26" s="302" t="s">
        <v>43</v>
      </c>
      <c r="H26" s="302" t="s">
        <v>24</v>
      </c>
      <c r="I26" s="565" t="s">
        <v>23</v>
      </c>
      <c r="J26" s="567"/>
      <c r="K26" s="85" t="s">
        <v>25</v>
      </c>
      <c r="L26" s="85" t="s">
        <v>43</v>
      </c>
      <c r="M26" s="86" t="s">
        <v>26</v>
      </c>
      <c r="N26" s="556" t="s">
        <v>23</v>
      </c>
      <c r="O26" s="588"/>
      <c r="P26" s="588"/>
      <c r="Q26" s="588"/>
      <c r="R26" s="588"/>
      <c r="S26" s="564"/>
      <c r="U26" s="13"/>
    </row>
    <row r="27" spans="2:23" ht="20.100000000000001" customHeight="1" x14ac:dyDescent="0.25">
      <c r="B27" s="13"/>
      <c r="D27" s="396" t="s">
        <v>127</v>
      </c>
      <c r="E27" s="397" t="s">
        <v>60</v>
      </c>
      <c r="F27" s="344">
        <v>1</v>
      </c>
      <c r="G27" s="399" t="s">
        <v>44</v>
      </c>
      <c r="H27" s="398" t="s">
        <v>331</v>
      </c>
      <c r="I27" s="656" t="s">
        <v>13</v>
      </c>
      <c r="J27" s="657"/>
      <c r="K27" s="405" t="s">
        <v>341</v>
      </c>
      <c r="L27" s="390" t="s">
        <v>13</v>
      </c>
      <c r="M27" s="391" t="s">
        <v>13</v>
      </c>
      <c r="N27" s="630" t="s">
        <v>13</v>
      </c>
      <c r="O27" s="631"/>
      <c r="P27" s="631"/>
      <c r="Q27" s="631"/>
      <c r="R27" s="631"/>
      <c r="S27" s="632"/>
      <c r="U27" s="13"/>
    </row>
    <row r="28" spans="2:23" ht="27.95" customHeight="1" x14ac:dyDescent="0.25">
      <c r="B28" s="13"/>
      <c r="D28" s="663" t="s">
        <v>4</v>
      </c>
      <c r="E28" s="664" t="s">
        <v>9</v>
      </c>
      <c r="F28" s="667">
        <v>2</v>
      </c>
      <c r="G28" s="668" t="s">
        <v>44</v>
      </c>
      <c r="H28" s="671" t="s">
        <v>332</v>
      </c>
      <c r="I28" s="671" t="s">
        <v>333</v>
      </c>
      <c r="J28" s="673"/>
      <c r="K28" s="865" t="s">
        <v>12</v>
      </c>
      <c r="L28" s="688" t="s">
        <v>13</v>
      </c>
      <c r="M28" s="689" t="s">
        <v>13</v>
      </c>
      <c r="N28" s="658" t="s">
        <v>13</v>
      </c>
      <c r="O28" s="659"/>
      <c r="P28" s="659"/>
      <c r="Q28" s="659"/>
      <c r="R28" s="659"/>
      <c r="S28" s="660"/>
      <c r="U28" s="13"/>
    </row>
    <row r="29" spans="2:23" ht="15" customHeight="1" x14ac:dyDescent="0.25">
      <c r="B29" s="13"/>
      <c r="D29" s="642"/>
      <c r="E29" s="665"/>
      <c r="F29" s="648"/>
      <c r="G29" s="669"/>
      <c r="H29" s="661"/>
      <c r="I29" s="661" t="s">
        <v>334</v>
      </c>
      <c r="J29" s="662"/>
      <c r="K29" s="866"/>
      <c r="L29" s="625"/>
      <c r="M29" s="628"/>
      <c r="N29" s="633"/>
      <c r="O29" s="634"/>
      <c r="P29" s="634"/>
      <c r="Q29" s="634"/>
      <c r="R29" s="634"/>
      <c r="S29" s="635"/>
      <c r="U29" s="13"/>
    </row>
    <row r="30" spans="2:23" ht="15" customHeight="1" x14ac:dyDescent="0.25">
      <c r="B30" s="13"/>
      <c r="D30" s="642"/>
      <c r="E30" s="665"/>
      <c r="F30" s="648"/>
      <c r="G30" s="669"/>
      <c r="H30" s="661"/>
      <c r="I30" s="661" t="s">
        <v>335</v>
      </c>
      <c r="J30" s="662"/>
      <c r="K30" s="866"/>
      <c r="L30" s="625"/>
      <c r="M30" s="628"/>
      <c r="N30" s="633"/>
      <c r="O30" s="634"/>
      <c r="P30" s="634"/>
      <c r="Q30" s="634"/>
      <c r="R30" s="634"/>
      <c r="S30" s="635"/>
      <c r="U30" s="13"/>
    </row>
    <row r="31" spans="2:23" ht="15" customHeight="1" x14ac:dyDescent="0.25">
      <c r="B31" s="13"/>
      <c r="D31" s="642"/>
      <c r="E31" s="665"/>
      <c r="F31" s="648"/>
      <c r="G31" s="669"/>
      <c r="H31" s="661"/>
      <c r="I31" s="661" t="s">
        <v>336</v>
      </c>
      <c r="J31" s="662"/>
      <c r="K31" s="866"/>
      <c r="L31" s="625"/>
      <c r="M31" s="628"/>
      <c r="N31" s="633"/>
      <c r="O31" s="634"/>
      <c r="P31" s="634"/>
      <c r="Q31" s="634"/>
      <c r="R31" s="634"/>
      <c r="S31" s="635"/>
      <c r="U31" s="13"/>
    </row>
    <row r="32" spans="2:23" ht="15" customHeight="1" x14ac:dyDescent="0.25">
      <c r="B32" s="13"/>
      <c r="D32" s="642"/>
      <c r="E32" s="665"/>
      <c r="F32" s="648"/>
      <c r="G32" s="669"/>
      <c r="H32" s="661"/>
      <c r="I32" s="661" t="s">
        <v>337</v>
      </c>
      <c r="J32" s="662"/>
      <c r="K32" s="866"/>
      <c r="L32" s="625"/>
      <c r="M32" s="628"/>
      <c r="N32" s="633"/>
      <c r="O32" s="634"/>
      <c r="P32" s="634"/>
      <c r="Q32" s="634"/>
      <c r="R32" s="634"/>
      <c r="S32" s="635"/>
      <c r="U32" s="13"/>
    </row>
    <row r="33" spans="2:21" ht="60" customHeight="1" x14ac:dyDescent="0.25">
      <c r="B33" s="13"/>
      <c r="D33" s="643"/>
      <c r="E33" s="666"/>
      <c r="F33" s="649"/>
      <c r="G33" s="670"/>
      <c r="H33" s="672"/>
      <c r="I33" s="661" t="s">
        <v>338</v>
      </c>
      <c r="J33" s="662"/>
      <c r="K33" s="867"/>
      <c r="L33" s="626"/>
      <c r="M33" s="629"/>
      <c r="N33" s="636"/>
      <c r="O33" s="637"/>
      <c r="P33" s="637"/>
      <c r="Q33" s="637"/>
      <c r="R33" s="637"/>
      <c r="S33" s="638"/>
      <c r="U33" s="13"/>
    </row>
    <row r="34" spans="2:21" ht="30" customHeight="1" x14ac:dyDescent="0.25">
      <c r="B34" s="13"/>
      <c r="D34" s="232" t="s">
        <v>114</v>
      </c>
      <c r="E34" s="395" t="s">
        <v>102</v>
      </c>
      <c r="F34" s="46">
        <v>3</v>
      </c>
      <c r="G34" s="392" t="s">
        <v>44</v>
      </c>
      <c r="H34" s="393" t="s">
        <v>339</v>
      </c>
      <c r="I34" s="681" t="s">
        <v>340</v>
      </c>
      <c r="J34" s="684"/>
      <c r="K34" s="402" t="s">
        <v>12</v>
      </c>
      <c r="L34" s="346"/>
      <c r="M34" s="347"/>
      <c r="N34" s="693"/>
      <c r="O34" s="694"/>
      <c r="P34" s="694"/>
      <c r="Q34" s="694"/>
      <c r="R34" s="694"/>
      <c r="S34" s="695"/>
      <c r="U34" s="13"/>
    </row>
    <row r="35" spans="2:21" ht="20.100000000000001" customHeight="1" thickBot="1" x14ac:dyDescent="0.3">
      <c r="B35" s="13"/>
      <c r="D35" s="144" t="s">
        <v>0</v>
      </c>
      <c r="E35" s="255" t="s">
        <v>5</v>
      </c>
      <c r="F35" s="403">
        <v>4</v>
      </c>
      <c r="G35" s="394" t="s">
        <v>44</v>
      </c>
      <c r="H35" s="394" t="s">
        <v>341</v>
      </c>
      <c r="I35" s="599" t="s">
        <v>13</v>
      </c>
      <c r="J35" s="864"/>
      <c r="K35" s="404" t="s">
        <v>12</v>
      </c>
      <c r="L35" s="387" t="s">
        <v>13</v>
      </c>
      <c r="M35" s="389" t="s">
        <v>13</v>
      </c>
      <c r="N35" s="862" t="s">
        <v>13</v>
      </c>
      <c r="O35" s="862"/>
      <c r="P35" s="862"/>
      <c r="Q35" s="862"/>
      <c r="R35" s="862"/>
      <c r="S35" s="863"/>
      <c r="U35" s="13"/>
    </row>
    <row r="36" spans="2:21" ht="20.100000000000001" customHeight="1" x14ac:dyDescent="0.25">
      <c r="B36" s="13"/>
      <c r="U36" s="13"/>
    </row>
    <row r="37" spans="2:21" ht="20.100000000000001" customHeight="1" thickBot="1" x14ac:dyDescent="0.3">
      <c r="B37" s="13"/>
      <c r="C37" s="26"/>
      <c r="D37" s="26"/>
      <c r="E37" s="552" t="str">
        <f>IF(OR(M27="-",M27= ""),H27,M27)</f>
        <v>Madeira</v>
      </c>
      <c r="F37" s="552"/>
      <c r="G37" s="552"/>
      <c r="H37" s="552"/>
      <c r="I37" s="552"/>
      <c r="J37" s="552"/>
      <c r="K37" s="552"/>
      <c r="L37" s="552"/>
      <c r="M37" s="552"/>
      <c r="N37" s="552"/>
      <c r="O37" s="199"/>
      <c r="P37" s="199"/>
      <c r="Q37" s="199"/>
      <c r="R37" s="199"/>
      <c r="S37" s="199"/>
      <c r="T37" s="26"/>
      <c r="U37" s="13"/>
    </row>
    <row r="38" spans="2:21" ht="50.1" customHeight="1" thickBot="1" x14ac:dyDescent="0.3">
      <c r="B38" s="13"/>
      <c r="C38" s="26"/>
      <c r="D38" s="199"/>
      <c r="E38" s="88" t="s">
        <v>10</v>
      </c>
      <c r="F38" s="125" t="s">
        <v>52</v>
      </c>
      <c r="G38" s="89" t="s">
        <v>14</v>
      </c>
      <c r="H38" s="200" t="s">
        <v>51</v>
      </c>
      <c r="I38" s="18" t="s">
        <v>54</v>
      </c>
      <c r="J38" s="200" t="s">
        <v>53</v>
      </c>
      <c r="K38" s="206" t="s">
        <v>28</v>
      </c>
      <c r="L38" s="200" t="s">
        <v>37</v>
      </c>
      <c r="M38" s="204" t="s">
        <v>16</v>
      </c>
      <c r="N38" s="89" t="s">
        <v>15</v>
      </c>
      <c r="O38" s="5" t="s">
        <v>30</v>
      </c>
      <c r="P38" s="7" t="s">
        <v>34</v>
      </c>
      <c r="Q38" s="7" t="s">
        <v>31</v>
      </c>
      <c r="R38" s="7" t="s">
        <v>32</v>
      </c>
      <c r="S38" s="199"/>
      <c r="T38" s="26"/>
      <c r="U38" s="13"/>
    </row>
    <row r="39" spans="2:21" ht="20.100000000000001" customHeight="1" x14ac:dyDescent="0.25">
      <c r="B39" s="13"/>
      <c r="C39" s="26"/>
      <c r="D39" s="26"/>
      <c r="E39" s="327" t="s">
        <v>127</v>
      </c>
      <c r="F39" s="272" t="s">
        <v>60</v>
      </c>
      <c r="G39" s="157">
        <v>2</v>
      </c>
      <c r="H39" s="157" t="s">
        <v>13</v>
      </c>
      <c r="I39" s="157">
        <v>0</v>
      </c>
      <c r="J39" s="157">
        <v>99</v>
      </c>
      <c r="K39" s="157" t="s">
        <v>13</v>
      </c>
      <c r="L39" s="36">
        <f>IF(J39="",0,(J39/J43)*100)</f>
        <v>100</v>
      </c>
      <c r="M39" s="157">
        <v>1</v>
      </c>
      <c r="N39" s="99">
        <v>6</v>
      </c>
      <c r="O39" s="57">
        <f>IF(M39=1,1,0)</f>
        <v>1</v>
      </c>
      <c r="P39" s="209">
        <f>IF(M39=2,1,0)</f>
        <v>0</v>
      </c>
      <c r="Q39" s="209">
        <f>IF(M39=3,1,0)</f>
        <v>0</v>
      </c>
      <c r="R39" s="8">
        <f>IF(M39=4,1,0)</f>
        <v>0</v>
      </c>
      <c r="S39" s="198"/>
      <c r="T39" s="26"/>
      <c r="U39" s="13"/>
    </row>
    <row r="40" spans="2:21" ht="20.100000000000001" customHeight="1" x14ac:dyDescent="0.25">
      <c r="B40" s="13"/>
      <c r="C40" s="26"/>
      <c r="D40" s="26"/>
      <c r="E40" s="303" t="s">
        <v>4</v>
      </c>
      <c r="F40" s="247" t="s">
        <v>9</v>
      </c>
      <c r="G40" s="47">
        <v>3</v>
      </c>
      <c r="H40" s="47" t="s">
        <v>13</v>
      </c>
      <c r="I40" s="47">
        <v>0</v>
      </c>
      <c r="J40" s="47">
        <v>24</v>
      </c>
      <c r="K40" s="47" t="s">
        <v>13</v>
      </c>
      <c r="L40" s="48">
        <f>IF(J40="",0,(J40/J43)*100)</f>
        <v>24.242424242424242</v>
      </c>
      <c r="M40" s="47">
        <v>4</v>
      </c>
      <c r="N40" s="60">
        <v>0</v>
      </c>
      <c r="O40" s="205">
        <f>IF(M40=1,1,0)</f>
        <v>0</v>
      </c>
      <c r="P40" s="207">
        <f>IF(M40=2,1,0)</f>
        <v>0</v>
      </c>
      <c r="Q40" s="207">
        <f>IF(M40=3,1,0)</f>
        <v>0</v>
      </c>
      <c r="R40" s="9">
        <f>IF(M40=4,1,0)</f>
        <v>1</v>
      </c>
      <c r="S40" s="198"/>
      <c r="T40" s="26"/>
      <c r="U40" s="13"/>
    </row>
    <row r="41" spans="2:21" ht="20.100000000000001" customHeight="1" x14ac:dyDescent="0.25">
      <c r="B41" s="13"/>
      <c r="C41" s="26"/>
      <c r="D41" s="26"/>
      <c r="E41" s="303" t="s">
        <v>114</v>
      </c>
      <c r="F41" s="247" t="s">
        <v>102</v>
      </c>
      <c r="G41" s="47">
        <v>1</v>
      </c>
      <c r="H41" s="47" t="s">
        <v>13</v>
      </c>
      <c r="I41" s="47">
        <v>0</v>
      </c>
      <c r="J41" s="47">
        <v>72</v>
      </c>
      <c r="K41" s="47" t="s">
        <v>13</v>
      </c>
      <c r="L41" s="48">
        <f>IF(J41="",0,(J41/J43)*100)</f>
        <v>72.727272727272734</v>
      </c>
      <c r="M41" s="47">
        <v>3</v>
      </c>
      <c r="N41" s="60">
        <v>1</v>
      </c>
      <c r="O41" s="205">
        <f>IF(M41=1,1,0)</f>
        <v>0</v>
      </c>
      <c r="P41" s="207">
        <f>IF(M41=2,1,0)</f>
        <v>0</v>
      </c>
      <c r="Q41" s="207">
        <f>IF(M41=3,1,0)</f>
        <v>1</v>
      </c>
      <c r="R41" s="9">
        <f>IF(M41=4,1,0)</f>
        <v>0</v>
      </c>
      <c r="S41" s="198"/>
      <c r="T41" s="26"/>
      <c r="U41" s="13"/>
    </row>
    <row r="42" spans="2:21" ht="20.100000000000001" customHeight="1" thickBot="1" x14ac:dyDescent="0.3">
      <c r="B42" s="13"/>
      <c r="C42" s="26"/>
      <c r="D42" s="68"/>
      <c r="E42" s="354" t="s">
        <v>0</v>
      </c>
      <c r="F42" s="255" t="s">
        <v>5</v>
      </c>
      <c r="G42" s="150">
        <v>4</v>
      </c>
      <c r="H42" s="150" t="s">
        <v>13</v>
      </c>
      <c r="I42" s="150">
        <v>0</v>
      </c>
      <c r="J42" s="150">
        <v>88</v>
      </c>
      <c r="K42" s="150" t="s">
        <v>13</v>
      </c>
      <c r="L42" s="17">
        <f>IF(J42="",0,(J42/J43)*100)</f>
        <v>88.888888888888886</v>
      </c>
      <c r="M42" s="150">
        <v>2</v>
      </c>
      <c r="N42" s="59">
        <v>3</v>
      </c>
      <c r="O42" s="58">
        <f>IF(M42=1,1,0)</f>
        <v>0</v>
      </c>
      <c r="P42" s="208">
        <f>IF(M42=2,1,0)</f>
        <v>1</v>
      </c>
      <c r="Q42" s="208">
        <f>IF(M42=3,1,0)</f>
        <v>0</v>
      </c>
      <c r="R42" s="10">
        <f>IF(M42=4,1,0)</f>
        <v>0</v>
      </c>
      <c r="S42" s="198"/>
      <c r="T42" s="26"/>
      <c r="U42" s="13"/>
    </row>
    <row r="43" spans="2:21" ht="20.100000000000001" hidden="1" customHeight="1" outlineLevel="1" x14ac:dyDescent="0.25">
      <c r="B43" s="13"/>
      <c r="C43" s="26"/>
      <c r="D43" s="71"/>
      <c r="E43" s="71"/>
      <c r="F43" s="553"/>
      <c r="G43" s="553"/>
      <c r="H43" s="26"/>
      <c r="I43" s="193" t="s">
        <v>29</v>
      </c>
      <c r="J43" s="23">
        <f>MAX(J39:J42)</f>
        <v>99</v>
      </c>
      <c r="K43" s="73"/>
      <c r="L43" s="72"/>
      <c r="M43" s="26"/>
      <c r="N43" s="63" t="s">
        <v>33</v>
      </c>
      <c r="O43" s="20">
        <f>SUM(O39:O42)</f>
        <v>1</v>
      </c>
      <c r="P43" s="21">
        <f>SUM(P39:P42)</f>
        <v>1</v>
      </c>
      <c r="Q43" s="20">
        <f>SUM(Q39:Q42)</f>
        <v>1</v>
      </c>
      <c r="R43" s="20">
        <f>SUM(R39:R42)</f>
        <v>1</v>
      </c>
      <c r="S43" s="69"/>
      <c r="T43" s="26"/>
      <c r="U43" s="13"/>
    </row>
    <row r="44" spans="2:21" ht="20.100000000000001" customHeight="1" collapsed="1" x14ac:dyDescent="0.25">
      <c r="B44" s="13"/>
      <c r="C44" s="26"/>
      <c r="D44" s="26"/>
      <c r="E44" s="26"/>
      <c r="F44" s="607"/>
      <c r="G44" s="607"/>
      <c r="H44" s="199"/>
      <c r="I44" s="26"/>
      <c r="J44" s="26"/>
      <c r="K44" s="26"/>
      <c r="L44" s="26"/>
      <c r="M44" s="26"/>
      <c r="N44" s="26"/>
      <c r="O44" s="26"/>
      <c r="P44" s="26"/>
      <c r="Q44" s="26"/>
      <c r="R44" s="26"/>
      <c r="S44" s="26"/>
      <c r="T44" s="26"/>
      <c r="U44" s="13"/>
    </row>
    <row r="45" spans="2:21" ht="20.100000000000001" customHeight="1" x14ac:dyDescent="0.25">
      <c r="B45" s="13"/>
      <c r="U45" s="13"/>
    </row>
    <row r="46" spans="2:21" ht="20.100000000000001" customHeight="1" thickBot="1" x14ac:dyDescent="0.3">
      <c r="B46" s="13"/>
      <c r="C46" s="27"/>
      <c r="D46" s="27"/>
      <c r="E46" s="554" t="str">
        <f>IF(OR(M28="-",M28= ""),H28,M28)</f>
        <v>Clans of Caledonia</v>
      </c>
      <c r="F46" s="554"/>
      <c r="G46" s="554"/>
      <c r="H46" s="554"/>
      <c r="I46" s="554"/>
      <c r="J46" s="554"/>
      <c r="K46" s="554"/>
      <c r="L46" s="554"/>
      <c r="M46" s="554"/>
      <c r="N46" s="554"/>
      <c r="O46" s="197"/>
      <c r="P46" s="197"/>
      <c r="Q46" s="197"/>
      <c r="R46" s="197"/>
      <c r="S46" s="197"/>
      <c r="T46" s="27"/>
      <c r="U46" s="13"/>
    </row>
    <row r="47" spans="2:21" ht="50.1" customHeight="1" thickBot="1" x14ac:dyDescent="0.3">
      <c r="B47" s="13"/>
      <c r="C47" s="27"/>
      <c r="D47" s="197"/>
      <c r="E47" s="88" t="s">
        <v>10</v>
      </c>
      <c r="F47" s="125" t="s">
        <v>52</v>
      </c>
      <c r="G47" s="89" t="s">
        <v>14</v>
      </c>
      <c r="H47" s="200" t="s">
        <v>51</v>
      </c>
      <c r="I47" s="18" t="s">
        <v>54</v>
      </c>
      <c r="J47" s="200" t="s">
        <v>53</v>
      </c>
      <c r="K47" s="206" t="s">
        <v>28</v>
      </c>
      <c r="L47" s="200" t="s">
        <v>37</v>
      </c>
      <c r="M47" s="204" t="s">
        <v>16</v>
      </c>
      <c r="N47" s="89" t="s">
        <v>15</v>
      </c>
      <c r="O47" s="5" t="s">
        <v>30</v>
      </c>
      <c r="P47" s="7" t="s">
        <v>34</v>
      </c>
      <c r="Q47" s="7" t="s">
        <v>31</v>
      </c>
      <c r="R47" s="7" t="s">
        <v>32</v>
      </c>
      <c r="S47" s="197"/>
      <c r="T47" s="27"/>
      <c r="U47" s="13"/>
    </row>
    <row r="48" spans="2:21" ht="20.100000000000001" customHeight="1" x14ac:dyDescent="0.25">
      <c r="B48" s="13"/>
      <c r="C48" s="27"/>
      <c r="D48" s="27"/>
      <c r="E48" s="365" t="s">
        <v>127</v>
      </c>
      <c r="F48" s="253" t="s">
        <v>60</v>
      </c>
      <c r="G48" s="49">
        <v>2</v>
      </c>
      <c r="H48" s="122" t="s">
        <v>343</v>
      </c>
      <c r="I48" s="49">
        <v>-12</v>
      </c>
      <c r="J48" s="122">
        <v>116</v>
      </c>
      <c r="K48" s="122" t="s">
        <v>13</v>
      </c>
      <c r="L48" s="50">
        <f>IF(J48="",0,(J48/J52)*100)</f>
        <v>83.453237410071949</v>
      </c>
      <c r="M48" s="49">
        <v>4</v>
      </c>
      <c r="N48" s="61">
        <v>0</v>
      </c>
      <c r="O48" s="57">
        <f>IF(M48=1,1,0)</f>
        <v>0</v>
      </c>
      <c r="P48" s="209">
        <f>IF(M48=2,1,0)</f>
        <v>0</v>
      </c>
      <c r="Q48" s="209">
        <f>IF(M48=3,1,0)</f>
        <v>0</v>
      </c>
      <c r="R48" s="8">
        <f>IF(M48=4,1,0)</f>
        <v>1</v>
      </c>
      <c r="S48" s="203"/>
      <c r="T48" s="27"/>
      <c r="U48" s="13"/>
    </row>
    <row r="49" spans="2:23" ht="20.100000000000001" customHeight="1" x14ac:dyDescent="0.25">
      <c r="B49" s="13"/>
      <c r="C49" s="27"/>
      <c r="D49" s="67"/>
      <c r="E49" s="303" t="s">
        <v>4</v>
      </c>
      <c r="F49" s="247" t="s">
        <v>9</v>
      </c>
      <c r="G49" s="47">
        <v>1</v>
      </c>
      <c r="H49" s="100" t="s">
        <v>342</v>
      </c>
      <c r="I49" s="47">
        <v>-14</v>
      </c>
      <c r="J49" s="100">
        <v>131</v>
      </c>
      <c r="K49" s="100" t="s">
        <v>13</v>
      </c>
      <c r="L49" s="48">
        <f>IF(J49="",0,(J49/J52)*100)</f>
        <v>94.24460431654677</v>
      </c>
      <c r="M49" s="47">
        <v>3</v>
      </c>
      <c r="N49" s="60">
        <v>1</v>
      </c>
      <c r="O49" s="205">
        <f>IF(M49=1,1,0)</f>
        <v>0</v>
      </c>
      <c r="P49" s="207">
        <f>IF(M49=2,1,0)</f>
        <v>0</v>
      </c>
      <c r="Q49" s="207">
        <f>IF(M49=3,1,0)</f>
        <v>1</v>
      </c>
      <c r="R49" s="9">
        <f>IF(M49=4,1,0)</f>
        <v>0</v>
      </c>
      <c r="S49" s="203"/>
      <c r="T49" s="27"/>
      <c r="U49" s="13"/>
    </row>
    <row r="50" spans="2:23" ht="20.100000000000001" customHeight="1" x14ac:dyDescent="0.25">
      <c r="B50" s="13"/>
      <c r="C50" s="27"/>
      <c r="D50" s="27"/>
      <c r="E50" s="303" t="s">
        <v>114</v>
      </c>
      <c r="F50" s="247" t="s">
        <v>102</v>
      </c>
      <c r="G50" s="47">
        <v>3</v>
      </c>
      <c r="H50" s="100" t="s">
        <v>344</v>
      </c>
      <c r="I50" s="47">
        <v>0</v>
      </c>
      <c r="J50" s="100">
        <v>135</v>
      </c>
      <c r="K50" s="100" t="s">
        <v>13</v>
      </c>
      <c r="L50" s="48">
        <f>IF(J50="",0,(J50/J52)*100)</f>
        <v>97.122302158273371</v>
      </c>
      <c r="M50" s="47">
        <v>2</v>
      </c>
      <c r="N50" s="60">
        <v>3</v>
      </c>
      <c r="O50" s="205">
        <f>IF(M50=1,1,0)</f>
        <v>0</v>
      </c>
      <c r="P50" s="207">
        <f>IF(M50=2,1,0)</f>
        <v>1</v>
      </c>
      <c r="Q50" s="207">
        <f>IF(M50=3,1,0)</f>
        <v>0</v>
      </c>
      <c r="R50" s="9">
        <f>IF(M50=4,1,0)</f>
        <v>0</v>
      </c>
      <c r="S50" s="203"/>
      <c r="T50" s="27"/>
      <c r="U50" s="13"/>
    </row>
    <row r="51" spans="2:23" ht="20.100000000000001" customHeight="1" thickBot="1" x14ac:dyDescent="0.3">
      <c r="B51" s="13"/>
      <c r="C51" s="27"/>
      <c r="D51" s="27"/>
      <c r="E51" s="310" t="s">
        <v>0</v>
      </c>
      <c r="F51" s="283" t="s">
        <v>5</v>
      </c>
      <c r="G51" s="284">
        <v>4</v>
      </c>
      <c r="H51" s="285" t="s">
        <v>345</v>
      </c>
      <c r="I51" s="284">
        <v>-6</v>
      </c>
      <c r="J51" s="285">
        <v>139</v>
      </c>
      <c r="K51" s="284" t="s">
        <v>13</v>
      </c>
      <c r="L51" s="286">
        <f>IF(J51="",0,(J51/J52)*100)</f>
        <v>100</v>
      </c>
      <c r="M51" s="284">
        <v>1</v>
      </c>
      <c r="N51" s="287">
        <v>6</v>
      </c>
      <c r="O51" s="58">
        <f>IF(M51=1,1,0)</f>
        <v>1</v>
      </c>
      <c r="P51" s="208">
        <f>IF(M51=2,1,0)</f>
        <v>0</v>
      </c>
      <c r="Q51" s="208">
        <f>IF(M51=3,1,0)</f>
        <v>0</v>
      </c>
      <c r="R51" s="10">
        <f>IF(M51=4,1,0)</f>
        <v>0</v>
      </c>
      <c r="S51" s="203"/>
      <c r="T51" s="27"/>
      <c r="U51" s="13"/>
    </row>
    <row r="52" spans="2:23" ht="20.100000000000001" hidden="1" customHeight="1" outlineLevel="1" x14ac:dyDescent="0.25">
      <c r="B52" s="13"/>
      <c r="C52" s="27"/>
      <c r="D52" s="27"/>
      <c r="E52" s="27"/>
      <c r="F52" s="531"/>
      <c r="G52" s="531"/>
      <c r="H52" s="27"/>
      <c r="I52" s="62" t="s">
        <v>29</v>
      </c>
      <c r="J52" s="23">
        <f>MAX(J48:J51)</f>
        <v>139</v>
      </c>
      <c r="K52" s="75"/>
      <c r="L52" s="203"/>
      <c r="M52" s="27"/>
      <c r="N52" s="63" t="s">
        <v>33</v>
      </c>
      <c r="O52" s="20">
        <f>SUM(O48:O51)</f>
        <v>1</v>
      </c>
      <c r="P52" s="21">
        <f>SUM(P48:P51)</f>
        <v>1</v>
      </c>
      <c r="Q52" s="20">
        <f>SUM(Q48:Q51)</f>
        <v>1</v>
      </c>
      <c r="R52" s="22">
        <f>SUM(R48:R51)</f>
        <v>1</v>
      </c>
      <c r="S52" s="74"/>
      <c r="T52" s="27"/>
      <c r="U52" s="13"/>
    </row>
    <row r="53" spans="2:23" ht="20.100000000000001" customHeight="1" collapsed="1" x14ac:dyDescent="0.25">
      <c r="B53" s="13"/>
      <c r="C53" s="27"/>
      <c r="D53" s="27"/>
      <c r="E53" s="27"/>
      <c r="F53" s="27"/>
      <c r="G53" s="27"/>
      <c r="H53" s="27"/>
      <c r="I53" s="27"/>
      <c r="J53" s="27"/>
      <c r="K53" s="27"/>
      <c r="L53" s="27"/>
      <c r="M53" s="27"/>
      <c r="N53" s="27"/>
      <c r="O53" s="27"/>
      <c r="P53" s="27"/>
      <c r="Q53" s="27"/>
      <c r="R53" s="27"/>
      <c r="S53" s="27"/>
      <c r="T53" s="27"/>
      <c r="U53" s="13"/>
    </row>
    <row r="54" spans="2:23" ht="20.100000000000001" customHeight="1" x14ac:dyDescent="0.25">
      <c r="B54" s="13"/>
      <c r="D54" s="28"/>
      <c r="E54" s="28"/>
      <c r="F54" s="28"/>
      <c r="G54" s="28"/>
      <c r="H54" s="29"/>
      <c r="I54" s="28"/>
      <c r="J54" s="28"/>
      <c r="U54" s="13"/>
    </row>
    <row r="55" spans="2:23" ht="20.100000000000001" customHeight="1" thickBot="1" x14ac:dyDescent="0.3">
      <c r="B55" s="13"/>
      <c r="C55" s="30"/>
      <c r="D55" s="30"/>
      <c r="E55" s="532" t="str">
        <f>IF(OR(M34="-",M34= ""),H34,M34)</f>
        <v>Tzolk'in</v>
      </c>
      <c r="F55" s="532"/>
      <c r="G55" s="532"/>
      <c r="H55" s="532"/>
      <c r="I55" s="532"/>
      <c r="J55" s="532"/>
      <c r="K55" s="532"/>
      <c r="L55" s="532"/>
      <c r="M55" s="532"/>
      <c r="N55" s="532"/>
      <c r="O55" s="196"/>
      <c r="P55" s="196"/>
      <c r="Q55" s="196"/>
      <c r="R55" s="196"/>
      <c r="S55" s="196"/>
      <c r="T55" s="30"/>
      <c r="U55" s="14"/>
      <c r="V55" s="1"/>
      <c r="W55" s="1"/>
    </row>
    <row r="56" spans="2:23" ht="50.1" customHeight="1" thickBot="1" x14ac:dyDescent="0.3">
      <c r="B56" s="13"/>
      <c r="C56" s="30"/>
      <c r="D56" s="196"/>
      <c r="E56" s="88" t="s">
        <v>10</v>
      </c>
      <c r="F56" s="125" t="s">
        <v>52</v>
      </c>
      <c r="G56" s="89" t="s">
        <v>14</v>
      </c>
      <c r="H56" s="200" t="s">
        <v>51</v>
      </c>
      <c r="I56" s="18" t="s">
        <v>54</v>
      </c>
      <c r="J56" s="200" t="s">
        <v>53</v>
      </c>
      <c r="K56" s="206" t="s">
        <v>28</v>
      </c>
      <c r="L56" s="200" t="s">
        <v>37</v>
      </c>
      <c r="M56" s="204" t="s">
        <v>16</v>
      </c>
      <c r="N56" s="89" t="s">
        <v>15</v>
      </c>
      <c r="O56" s="5" t="s">
        <v>30</v>
      </c>
      <c r="P56" s="7" t="s">
        <v>34</v>
      </c>
      <c r="Q56" s="7" t="s">
        <v>31</v>
      </c>
      <c r="R56" s="19" t="s">
        <v>32</v>
      </c>
      <c r="S56" s="196"/>
      <c r="T56" s="30"/>
      <c r="U56" s="14"/>
      <c r="V56" s="1"/>
      <c r="W56" s="1"/>
    </row>
    <row r="57" spans="2:23" ht="20.100000000000001" customHeight="1" x14ac:dyDescent="0.25">
      <c r="B57" s="13"/>
      <c r="C57" s="30"/>
      <c r="D57" s="30"/>
      <c r="E57" s="365" t="s">
        <v>127</v>
      </c>
      <c r="F57" s="253" t="s">
        <v>60</v>
      </c>
      <c r="G57" s="49">
        <v>1</v>
      </c>
      <c r="H57" s="122" t="s">
        <v>13</v>
      </c>
      <c r="I57" s="49">
        <v>0</v>
      </c>
      <c r="J57" s="180">
        <v>72</v>
      </c>
      <c r="K57" s="49" t="s">
        <v>13</v>
      </c>
      <c r="L57" s="50">
        <f>IF(J57="",0,(J57/J61)*100)</f>
        <v>62.608695652173921</v>
      </c>
      <c r="M57" s="49">
        <v>2</v>
      </c>
      <c r="N57" s="61">
        <v>3</v>
      </c>
      <c r="O57" s="57">
        <f>IF(M57=1,1,0)</f>
        <v>0</v>
      </c>
      <c r="P57" s="209">
        <f>IF(M57=2,1,0)</f>
        <v>1</v>
      </c>
      <c r="Q57" s="209">
        <f>IF(M57=3,1,0)</f>
        <v>0</v>
      </c>
      <c r="R57" s="8">
        <f>IF(M57=4,1,0)</f>
        <v>0</v>
      </c>
      <c r="S57" s="194"/>
      <c r="T57" s="30"/>
      <c r="U57" s="13"/>
    </row>
    <row r="58" spans="2:23" ht="20.100000000000001" customHeight="1" x14ac:dyDescent="0.25">
      <c r="B58" s="13"/>
      <c r="C58" s="30"/>
      <c r="D58" s="66"/>
      <c r="E58" s="303" t="s">
        <v>4</v>
      </c>
      <c r="F58" s="247" t="s">
        <v>9</v>
      </c>
      <c r="G58" s="47">
        <v>3</v>
      </c>
      <c r="H58" s="47" t="s">
        <v>13</v>
      </c>
      <c r="I58" s="47">
        <v>0</v>
      </c>
      <c r="J58" s="158">
        <v>49</v>
      </c>
      <c r="K58" s="47" t="s">
        <v>13</v>
      </c>
      <c r="L58" s="48">
        <f>IF(J58="",0,(J58/J61)*100)</f>
        <v>42.608695652173914</v>
      </c>
      <c r="M58" s="47">
        <v>4</v>
      </c>
      <c r="N58" s="60">
        <v>0</v>
      </c>
      <c r="O58" s="205">
        <f>IF(M58=1,1,0)</f>
        <v>0</v>
      </c>
      <c r="P58" s="207">
        <f>IF(M58=2,1,0)</f>
        <v>0</v>
      </c>
      <c r="Q58" s="207">
        <f>IF(M58=3,1,0)</f>
        <v>0</v>
      </c>
      <c r="R58" s="9">
        <f>IF(M58=4,1,0)</f>
        <v>1</v>
      </c>
      <c r="S58" s="194"/>
      <c r="T58" s="30"/>
      <c r="U58" s="31"/>
    </row>
    <row r="59" spans="2:23" ht="20.100000000000001" customHeight="1" x14ac:dyDescent="0.25">
      <c r="B59" s="13"/>
      <c r="C59" s="30"/>
      <c r="D59" s="30"/>
      <c r="E59" s="110" t="s">
        <v>114</v>
      </c>
      <c r="F59" s="273" t="s">
        <v>102</v>
      </c>
      <c r="G59" s="149">
        <v>2</v>
      </c>
      <c r="H59" s="123" t="s">
        <v>13</v>
      </c>
      <c r="I59" s="149">
        <v>0</v>
      </c>
      <c r="J59" s="184">
        <v>115</v>
      </c>
      <c r="K59" s="149" t="s">
        <v>13</v>
      </c>
      <c r="L59" s="38">
        <f>IF(J59="",0,(J59/J61)*100)</f>
        <v>100</v>
      </c>
      <c r="M59" s="149">
        <v>1</v>
      </c>
      <c r="N59" s="108">
        <v>6</v>
      </c>
      <c r="O59" s="205">
        <f>IF(M59=1,1,0)</f>
        <v>1</v>
      </c>
      <c r="P59" s="207">
        <f>IF(M59=2,1,0)</f>
        <v>0</v>
      </c>
      <c r="Q59" s="207">
        <f>IF(M59=3,1,0)</f>
        <v>0</v>
      </c>
      <c r="R59" s="9">
        <f>IF(M59=4,1,0)</f>
        <v>0</v>
      </c>
      <c r="S59" s="194"/>
      <c r="T59" s="30"/>
      <c r="U59" s="31"/>
    </row>
    <row r="60" spans="2:23" ht="20.100000000000001" customHeight="1" thickBot="1" x14ac:dyDescent="0.3">
      <c r="B60" s="13"/>
      <c r="C60" s="30"/>
      <c r="D60" s="30"/>
      <c r="E60" s="354" t="s">
        <v>0</v>
      </c>
      <c r="F60" s="255" t="s">
        <v>5</v>
      </c>
      <c r="G60" s="150">
        <v>4</v>
      </c>
      <c r="H60" s="107" t="s">
        <v>13</v>
      </c>
      <c r="I60" s="150">
        <v>0</v>
      </c>
      <c r="J60" s="356">
        <v>56</v>
      </c>
      <c r="K60" s="150" t="s">
        <v>13</v>
      </c>
      <c r="L60" s="17">
        <f>IF(J60="",0,(J60/J61)*100)</f>
        <v>48.695652173913047</v>
      </c>
      <c r="M60" s="150">
        <v>3</v>
      </c>
      <c r="N60" s="59">
        <v>1</v>
      </c>
      <c r="O60" s="58">
        <f>IF(M60=1,1,0)</f>
        <v>0</v>
      </c>
      <c r="P60" s="208">
        <f>IF(M60=2,1,0)</f>
        <v>0</v>
      </c>
      <c r="Q60" s="208">
        <f>IF(M60=3,1,0)</f>
        <v>1</v>
      </c>
      <c r="R60" s="10">
        <f>IF(M60=4,1,0)</f>
        <v>0</v>
      </c>
      <c r="S60" s="194"/>
      <c r="T60" s="30"/>
      <c r="U60" s="31"/>
    </row>
    <row r="61" spans="2:23" ht="20.100000000000001" hidden="1" customHeight="1" outlineLevel="1" x14ac:dyDescent="0.25">
      <c r="B61" s="13"/>
      <c r="C61" s="30"/>
      <c r="D61" s="30"/>
      <c r="E61" s="30"/>
      <c r="F61" s="533"/>
      <c r="G61" s="533"/>
      <c r="H61" s="30"/>
      <c r="I61" s="64" t="s">
        <v>29</v>
      </c>
      <c r="J61" s="23">
        <f>MAX(J57:J60)</f>
        <v>115</v>
      </c>
      <c r="K61" s="76"/>
      <c r="L61" s="194"/>
      <c r="M61" s="30"/>
      <c r="N61" s="63"/>
      <c r="O61" s="20">
        <f>SUM(O57:O60)</f>
        <v>1</v>
      </c>
      <c r="P61" s="21">
        <f>SUM(P57:P60)</f>
        <v>1</v>
      </c>
      <c r="Q61" s="20">
        <f>SUM(Q57:Q60)</f>
        <v>1</v>
      </c>
      <c r="R61" s="22">
        <f>SUM(R57:R60)</f>
        <v>1</v>
      </c>
      <c r="S61" s="77"/>
      <c r="T61" s="30"/>
      <c r="U61" s="31"/>
    </row>
    <row r="62" spans="2:23" ht="20.100000000000001" customHeight="1" collapsed="1" x14ac:dyDescent="0.25">
      <c r="B62" s="13"/>
      <c r="C62" s="30"/>
      <c r="D62" s="30"/>
      <c r="E62" s="30"/>
      <c r="F62" s="30"/>
      <c r="G62" s="30"/>
      <c r="H62" s="30"/>
      <c r="I62" s="30"/>
      <c r="J62" s="30"/>
      <c r="K62" s="30"/>
      <c r="L62" s="30"/>
      <c r="M62" s="30"/>
      <c r="N62" s="30"/>
      <c r="O62" s="30"/>
      <c r="P62" s="30"/>
      <c r="Q62" s="30"/>
      <c r="R62" s="30"/>
      <c r="S62" s="30"/>
      <c r="T62" s="30"/>
      <c r="U62" s="31"/>
    </row>
    <row r="63" spans="2:23" ht="20.100000000000001" customHeight="1" x14ac:dyDescent="0.25">
      <c r="B63" s="13"/>
      <c r="D63" s="28"/>
      <c r="E63" s="28"/>
      <c r="F63" s="28"/>
      <c r="G63" s="28"/>
      <c r="H63" s="29"/>
      <c r="I63" s="28"/>
      <c r="J63" s="28"/>
      <c r="K63" s="28"/>
      <c r="U63" s="13"/>
    </row>
    <row r="64" spans="2:23" ht="20.100000000000001" customHeight="1" thickBot="1" x14ac:dyDescent="0.3">
      <c r="B64" s="13"/>
      <c r="C64" s="32"/>
      <c r="D64" s="32"/>
      <c r="E64" s="534" t="str">
        <f>IF(OR(M35="-",M35= ""),H35,M35)</f>
        <v>Can't Stop</v>
      </c>
      <c r="F64" s="534"/>
      <c r="G64" s="534"/>
      <c r="H64" s="534"/>
      <c r="I64" s="534"/>
      <c r="J64" s="534"/>
      <c r="K64" s="534"/>
      <c r="L64" s="534"/>
      <c r="M64" s="534"/>
      <c r="N64" s="534"/>
      <c r="O64" s="195"/>
      <c r="P64" s="195"/>
      <c r="Q64" s="195"/>
      <c r="R64" s="195"/>
      <c r="S64" s="195"/>
      <c r="T64" s="32"/>
      <c r="U64" s="13"/>
    </row>
    <row r="65" spans="2:31" ht="50.1" customHeight="1" thickBot="1" x14ac:dyDescent="0.3">
      <c r="B65" s="13"/>
      <c r="C65" s="32"/>
      <c r="D65" s="195"/>
      <c r="E65" s="88" t="s">
        <v>10</v>
      </c>
      <c r="F65" s="125" t="s">
        <v>52</v>
      </c>
      <c r="G65" s="89" t="s">
        <v>14</v>
      </c>
      <c r="H65" s="200" t="s">
        <v>51</v>
      </c>
      <c r="I65" s="18" t="s">
        <v>54</v>
      </c>
      <c r="J65" s="200" t="s">
        <v>53</v>
      </c>
      <c r="K65" s="206" t="s">
        <v>28</v>
      </c>
      <c r="L65" s="200" t="s">
        <v>37</v>
      </c>
      <c r="M65" s="204" t="s">
        <v>16</v>
      </c>
      <c r="N65" s="89" t="s">
        <v>15</v>
      </c>
      <c r="O65" s="5" t="s">
        <v>30</v>
      </c>
      <c r="P65" s="7" t="s">
        <v>34</v>
      </c>
      <c r="Q65" s="7" t="s">
        <v>31</v>
      </c>
      <c r="R65" s="19" t="s">
        <v>32</v>
      </c>
      <c r="S65" s="195"/>
      <c r="T65" s="32"/>
      <c r="U65" s="13"/>
    </row>
    <row r="66" spans="2:31" ht="20.100000000000001" customHeight="1" x14ac:dyDescent="0.25">
      <c r="B66" s="13"/>
      <c r="C66" s="32"/>
      <c r="D66" s="32"/>
      <c r="E66" s="327" t="s">
        <v>127</v>
      </c>
      <c r="F66" s="272" t="s">
        <v>60</v>
      </c>
      <c r="G66" s="157">
        <v>4</v>
      </c>
      <c r="H66" s="157" t="s">
        <v>13</v>
      </c>
      <c r="I66" s="157">
        <v>0</v>
      </c>
      <c r="J66" s="157">
        <v>3</v>
      </c>
      <c r="K66" s="157" t="s">
        <v>13</v>
      </c>
      <c r="L66" s="36">
        <f>IF(J66="",0,(J66/J70)*100)</f>
        <v>100</v>
      </c>
      <c r="M66" s="157">
        <v>1</v>
      </c>
      <c r="N66" s="99">
        <v>6</v>
      </c>
      <c r="O66" s="57">
        <f>IF(M66=1,1,0)</f>
        <v>1</v>
      </c>
      <c r="P66" s="209">
        <f>IF(M66=2,1,0)</f>
        <v>0</v>
      </c>
      <c r="Q66" s="209">
        <f>IF(M66=3,1,0)</f>
        <v>0</v>
      </c>
      <c r="R66" s="8">
        <f>IF(M66=4,1,0)</f>
        <v>0</v>
      </c>
      <c r="S66" s="201"/>
      <c r="T66" s="32"/>
      <c r="U66" s="13"/>
    </row>
    <row r="67" spans="2:31" ht="20.100000000000001" customHeight="1" x14ac:dyDescent="0.25">
      <c r="B67" s="13"/>
      <c r="C67" s="32"/>
      <c r="D67" s="32"/>
      <c r="E67" s="303" t="s">
        <v>4</v>
      </c>
      <c r="F67" s="247" t="s">
        <v>9</v>
      </c>
      <c r="G67" s="47">
        <v>2</v>
      </c>
      <c r="H67" s="47" t="s">
        <v>13</v>
      </c>
      <c r="I67" s="47">
        <v>0</v>
      </c>
      <c r="J67" s="47">
        <v>1</v>
      </c>
      <c r="K67" s="47" t="s">
        <v>13</v>
      </c>
      <c r="L67" s="48">
        <f>IF(J67="",0,(J67/J70)*100)</f>
        <v>33.333333333333329</v>
      </c>
      <c r="M67" s="47">
        <v>2</v>
      </c>
      <c r="N67" s="60">
        <v>2</v>
      </c>
      <c r="O67" s="205">
        <f>IF(M67=1,1,0)</f>
        <v>0</v>
      </c>
      <c r="P67" s="207">
        <f>IF(M67=2,1,0)</f>
        <v>1</v>
      </c>
      <c r="Q67" s="207">
        <f>IF(M67=3,1,0)</f>
        <v>0</v>
      </c>
      <c r="R67" s="9">
        <f>IF(M67=4,1,0)</f>
        <v>0</v>
      </c>
      <c r="S67" s="201"/>
      <c r="T67" s="32"/>
      <c r="U67" s="13"/>
    </row>
    <row r="68" spans="2:31" ht="20.100000000000001" customHeight="1" x14ac:dyDescent="0.25">
      <c r="B68" s="13"/>
      <c r="C68" s="32"/>
      <c r="D68" s="32"/>
      <c r="E68" s="303" t="s">
        <v>114</v>
      </c>
      <c r="F68" s="247" t="s">
        <v>102</v>
      </c>
      <c r="G68" s="47">
        <v>3</v>
      </c>
      <c r="H68" s="47" t="s">
        <v>13</v>
      </c>
      <c r="I68" s="47">
        <v>0</v>
      </c>
      <c r="J68" s="47">
        <v>1</v>
      </c>
      <c r="K68" s="47" t="s">
        <v>13</v>
      </c>
      <c r="L68" s="48">
        <f>IF(J68="",0,(J68/J70)*100)</f>
        <v>33.333333333333329</v>
      </c>
      <c r="M68" s="47">
        <v>2</v>
      </c>
      <c r="N68" s="60">
        <v>2</v>
      </c>
      <c r="O68" s="205">
        <f>IF(M68=1,1,0)</f>
        <v>0</v>
      </c>
      <c r="P68" s="207">
        <f>IF(M68=2,1,0)</f>
        <v>1</v>
      </c>
      <c r="Q68" s="207">
        <f>IF(M68=3,1,0)</f>
        <v>0</v>
      </c>
      <c r="R68" s="9">
        <f>IF(M68=4,1,0)</f>
        <v>0</v>
      </c>
      <c r="S68" s="201"/>
      <c r="T68" s="32"/>
      <c r="U68" s="13"/>
    </row>
    <row r="69" spans="2:31" ht="20.100000000000001" customHeight="1" thickBot="1" x14ac:dyDescent="0.3">
      <c r="B69" s="13"/>
      <c r="C69" s="32"/>
      <c r="D69" s="65"/>
      <c r="E69" s="354" t="s">
        <v>0</v>
      </c>
      <c r="F69" s="255" t="s">
        <v>5</v>
      </c>
      <c r="G69" s="150">
        <v>1</v>
      </c>
      <c r="H69" s="150" t="s">
        <v>13</v>
      </c>
      <c r="I69" s="150">
        <v>0</v>
      </c>
      <c r="J69" s="150">
        <v>0</v>
      </c>
      <c r="K69" s="150" t="s">
        <v>13</v>
      </c>
      <c r="L69" s="17">
        <f>IF(J69="",0,(J69/J70)*100)</f>
        <v>0</v>
      </c>
      <c r="M69" s="150">
        <v>4</v>
      </c>
      <c r="N69" s="59">
        <v>0</v>
      </c>
      <c r="O69" s="58">
        <f>IF(M69=1,1,0)</f>
        <v>0</v>
      </c>
      <c r="P69" s="208">
        <f>IF(M69=2,1,0)</f>
        <v>0</v>
      </c>
      <c r="Q69" s="208">
        <f>IF(M69=3,1,0)</f>
        <v>0</v>
      </c>
      <c r="R69" s="10">
        <f>IF(M69=4,1,0)</f>
        <v>1</v>
      </c>
      <c r="S69" s="201"/>
      <c r="T69" s="32"/>
      <c r="U69" s="13"/>
    </row>
    <row r="70" spans="2:31" ht="20.100000000000001" hidden="1" customHeight="1" outlineLevel="1" x14ac:dyDescent="0.25">
      <c r="B70" s="13"/>
      <c r="C70" s="32"/>
      <c r="D70" s="32"/>
      <c r="E70" s="32"/>
      <c r="F70" s="535"/>
      <c r="G70" s="535"/>
      <c r="H70" s="32"/>
      <c r="I70" s="62" t="s">
        <v>29</v>
      </c>
      <c r="J70" s="23">
        <f>MAX(J66:J69)</f>
        <v>3</v>
      </c>
      <c r="K70" s="78"/>
      <c r="L70" s="201"/>
      <c r="M70" s="32"/>
      <c r="N70" s="63" t="s">
        <v>33</v>
      </c>
      <c r="O70" s="20">
        <f>SUM(O66:O69)</f>
        <v>1</v>
      </c>
      <c r="P70" s="21">
        <f>SUM(P66:P69)</f>
        <v>2</v>
      </c>
      <c r="Q70" s="20">
        <f>SUM(Q66:Q69)</f>
        <v>0</v>
      </c>
      <c r="R70" s="22">
        <f>SUM(R66:R69)</f>
        <v>1</v>
      </c>
      <c r="S70" s="79"/>
      <c r="T70" s="32"/>
      <c r="U70" s="13"/>
    </row>
    <row r="71" spans="2:31" ht="20.100000000000001" customHeight="1" collapsed="1" x14ac:dyDescent="0.25">
      <c r="B71" s="13"/>
      <c r="C71" s="32"/>
      <c r="D71" s="32"/>
      <c r="E71" s="32"/>
      <c r="F71" s="32"/>
      <c r="G71" s="32"/>
      <c r="H71" s="32"/>
      <c r="I71" s="32"/>
      <c r="J71" s="32"/>
      <c r="K71" s="32"/>
      <c r="L71" s="32"/>
      <c r="M71" s="32"/>
      <c r="N71" s="32"/>
      <c r="O71" s="32"/>
      <c r="P71" s="32"/>
      <c r="Q71" s="32"/>
      <c r="R71" s="32"/>
      <c r="S71" s="32"/>
      <c r="T71" s="32"/>
      <c r="U71" s="13"/>
    </row>
    <row r="72" spans="2:31" ht="20.100000000000001" customHeight="1" x14ac:dyDescent="0.25">
      <c r="B72" s="13"/>
      <c r="D72" s="4"/>
      <c r="E72" s="4"/>
      <c r="F72" s="4"/>
      <c r="G72" s="4"/>
      <c r="H72" s="4"/>
      <c r="I72" s="4"/>
      <c r="J72" s="4"/>
      <c r="U72" s="13"/>
    </row>
    <row r="73" spans="2:31" ht="30" customHeight="1" thickBot="1" x14ac:dyDescent="0.3">
      <c r="B73" s="13"/>
      <c r="C73" s="33"/>
      <c r="D73" s="536" t="s">
        <v>49</v>
      </c>
      <c r="E73" s="536"/>
      <c r="F73" s="536"/>
      <c r="G73" s="536"/>
      <c r="H73" s="536"/>
      <c r="I73" s="536"/>
      <c r="J73" s="536"/>
      <c r="K73" s="536"/>
      <c r="L73" s="536"/>
      <c r="M73" s="536"/>
      <c r="N73" s="536"/>
      <c r="O73" s="536"/>
      <c r="P73" s="536"/>
      <c r="Q73" s="536"/>
      <c r="R73" s="536"/>
      <c r="S73" s="536"/>
      <c r="T73" s="33"/>
      <c r="U73" s="13"/>
    </row>
    <row r="74" spans="2:31" ht="50.1" customHeight="1" thickBot="1" x14ac:dyDescent="0.3">
      <c r="B74" s="13"/>
      <c r="C74" s="33"/>
      <c r="D74" s="90" t="s">
        <v>10</v>
      </c>
      <c r="E74" s="93" t="s">
        <v>139</v>
      </c>
      <c r="F74" s="91" t="s">
        <v>15</v>
      </c>
      <c r="G74" s="42" t="s">
        <v>55</v>
      </c>
      <c r="H74" s="537" t="s">
        <v>56</v>
      </c>
      <c r="I74" s="538"/>
      <c r="J74" s="202" t="s">
        <v>66</v>
      </c>
      <c r="K74" s="92" t="s">
        <v>17</v>
      </c>
      <c r="L74" s="91" t="s">
        <v>18</v>
      </c>
      <c r="M74" s="92" t="s">
        <v>19</v>
      </c>
      <c r="N74" s="91" t="s">
        <v>20</v>
      </c>
      <c r="O74" s="130"/>
      <c r="P74" s="126"/>
      <c r="Q74" s="126"/>
      <c r="R74" s="126"/>
      <c r="S74" s="93" t="s">
        <v>38</v>
      </c>
      <c r="T74" s="33"/>
      <c r="U74" s="13"/>
    </row>
    <row r="75" spans="2:31" ht="20.100000000000001" customHeight="1" x14ac:dyDescent="0.25">
      <c r="B75" s="13"/>
      <c r="C75" s="33"/>
      <c r="D75" s="367" t="s">
        <v>127</v>
      </c>
      <c r="E75" s="288" t="s">
        <v>60</v>
      </c>
      <c r="F75" s="266">
        <f>(K75*6+L75*3+M75*1+N75*0)</f>
        <v>15</v>
      </c>
      <c r="G75" s="266">
        <v>0</v>
      </c>
      <c r="H75" s="603" t="s">
        <v>13</v>
      </c>
      <c r="I75" s="603"/>
      <c r="J75" s="266">
        <f>F75+G75</f>
        <v>15</v>
      </c>
      <c r="K75" s="266">
        <v>2</v>
      </c>
      <c r="L75" s="266">
        <v>1</v>
      </c>
      <c r="M75" s="266">
        <v>0</v>
      </c>
      <c r="N75" s="266">
        <v>1</v>
      </c>
      <c r="O75" s="266"/>
      <c r="P75" s="266"/>
      <c r="Q75" s="266"/>
      <c r="R75" s="266"/>
      <c r="S75" s="146">
        <f>(L39+L48+L57+L66)/4</f>
        <v>86.515483265561471</v>
      </c>
      <c r="T75" s="33"/>
      <c r="U75" s="13"/>
      <c r="W75" s="127"/>
      <c r="X75" s="127"/>
      <c r="Y75" s="127"/>
      <c r="Z75" s="127"/>
    </row>
    <row r="76" spans="2:31" ht="20.100000000000001" customHeight="1" x14ac:dyDescent="0.25">
      <c r="B76" s="13"/>
      <c r="C76" s="33"/>
      <c r="D76" s="364" t="s">
        <v>114</v>
      </c>
      <c r="E76" s="274" t="s">
        <v>102</v>
      </c>
      <c r="F76" s="265">
        <f>(K76*6+L76*3+M76*1+N76*0)</f>
        <v>12</v>
      </c>
      <c r="G76" s="265">
        <v>0</v>
      </c>
      <c r="H76" s="605" t="s">
        <v>13</v>
      </c>
      <c r="I76" s="605"/>
      <c r="J76" s="265">
        <f>F76+G76</f>
        <v>12</v>
      </c>
      <c r="K76" s="265">
        <v>1</v>
      </c>
      <c r="L76" s="265">
        <v>1.5</v>
      </c>
      <c r="M76" s="265">
        <v>1.5</v>
      </c>
      <c r="N76" s="265">
        <v>0</v>
      </c>
      <c r="O76" s="265"/>
      <c r="P76" s="265"/>
      <c r="Q76" s="265"/>
      <c r="R76" s="265"/>
      <c r="S76" s="145">
        <f>(L41+L50+L59+L68)/4</f>
        <v>75.795727054719848</v>
      </c>
      <c r="T76" s="33"/>
      <c r="U76" s="13"/>
      <c r="W76" s="192"/>
      <c r="X76" s="192"/>
      <c r="Y76" s="192"/>
      <c r="Z76" s="192"/>
    </row>
    <row r="77" spans="2:31" ht="20.100000000000001" customHeight="1" x14ac:dyDescent="0.25">
      <c r="B77" s="13"/>
      <c r="C77" s="33"/>
      <c r="D77" s="364" t="s">
        <v>0</v>
      </c>
      <c r="E77" s="274" t="s">
        <v>5</v>
      </c>
      <c r="F77" s="265">
        <f>(K77*6+L77*3+M77*1+N77*0)</f>
        <v>10</v>
      </c>
      <c r="G77" s="265">
        <v>0</v>
      </c>
      <c r="H77" s="605" t="s">
        <v>13</v>
      </c>
      <c r="I77" s="605"/>
      <c r="J77" s="265">
        <f>F77+G77</f>
        <v>10</v>
      </c>
      <c r="K77" s="265">
        <v>1</v>
      </c>
      <c r="L77" s="265">
        <v>1</v>
      </c>
      <c r="M77" s="265">
        <v>1</v>
      </c>
      <c r="N77" s="265">
        <v>1</v>
      </c>
      <c r="O77" s="265"/>
      <c r="P77" s="265"/>
      <c r="Q77" s="265"/>
      <c r="R77" s="265"/>
      <c r="S77" s="145">
        <f>(L42+L51+L60+L69)/4</f>
        <v>59.39613526570048</v>
      </c>
      <c r="T77" s="33"/>
      <c r="U77" s="13"/>
      <c r="W77" s="192"/>
      <c r="X77" s="192"/>
      <c r="Y77" s="192"/>
      <c r="Z77" s="192"/>
    </row>
    <row r="78" spans="2:31" ht="20.100000000000001" customHeight="1" thickBot="1" x14ac:dyDescent="0.3">
      <c r="B78" s="13"/>
      <c r="C78" s="33"/>
      <c r="D78" s="372" t="s">
        <v>4</v>
      </c>
      <c r="E78" s="275" t="s">
        <v>9</v>
      </c>
      <c r="F78" s="267">
        <f>(K78*6+L78*3+M78*1+N78*0)</f>
        <v>3</v>
      </c>
      <c r="G78" s="267">
        <v>0</v>
      </c>
      <c r="H78" s="583" t="s">
        <v>13</v>
      </c>
      <c r="I78" s="806"/>
      <c r="J78" s="267">
        <f>F78+G78</f>
        <v>3</v>
      </c>
      <c r="K78" s="267">
        <v>0</v>
      </c>
      <c r="L78" s="267">
        <v>0.5</v>
      </c>
      <c r="M78" s="267">
        <v>1.5</v>
      </c>
      <c r="N78" s="267">
        <v>2</v>
      </c>
      <c r="O78" s="267"/>
      <c r="P78" s="267"/>
      <c r="Q78" s="267"/>
      <c r="R78" s="267"/>
      <c r="S78" s="147">
        <f>(L40+L49+L58+L67)/4</f>
        <v>48.607264386119567</v>
      </c>
      <c r="T78" s="33"/>
      <c r="U78" s="13"/>
      <c r="W78" s="192"/>
      <c r="X78" s="192"/>
      <c r="Y78" s="192"/>
      <c r="Z78" s="192"/>
      <c r="AB78" s="192"/>
      <c r="AC78" s="192"/>
      <c r="AD78" s="192"/>
      <c r="AE78" s="192"/>
    </row>
    <row r="79" spans="2:31" ht="20.100000000000001" customHeight="1" x14ac:dyDescent="0.25">
      <c r="B79" s="13"/>
      <c r="C79" s="33"/>
      <c r="D79" s="373"/>
      <c r="E79" s="373"/>
      <c r="F79" s="16"/>
      <c r="G79" s="16"/>
      <c r="H79" s="782"/>
      <c r="I79" s="783"/>
      <c r="J79" s="16"/>
      <c r="K79" s="16"/>
      <c r="L79" s="16"/>
      <c r="M79" s="16"/>
      <c r="N79" s="16"/>
      <c r="O79" s="16"/>
      <c r="P79" s="16"/>
      <c r="Q79" s="16"/>
      <c r="R79" s="16"/>
      <c r="S79" s="374"/>
      <c r="T79" s="33"/>
      <c r="U79" s="13"/>
      <c r="W79" s="192"/>
      <c r="X79" s="192"/>
      <c r="Y79" s="192"/>
      <c r="Z79" s="192"/>
    </row>
    <row r="80" spans="2:31" ht="20.100000000000001" customHeight="1" x14ac:dyDescent="0.25">
      <c r="B80" s="13"/>
      <c r="C80" s="13"/>
      <c r="D80" s="15"/>
      <c r="E80" s="15"/>
      <c r="F80" s="14"/>
      <c r="G80" s="14"/>
      <c r="H80" s="15"/>
      <c r="I80" s="15"/>
      <c r="J80" s="15"/>
      <c r="K80" s="13"/>
      <c r="L80" s="13"/>
      <c r="M80" s="13"/>
      <c r="N80" s="13"/>
      <c r="O80" s="13"/>
      <c r="P80" s="13"/>
      <c r="Q80" s="13"/>
      <c r="R80" s="13"/>
      <c r="S80" s="13"/>
      <c r="T80" s="13"/>
      <c r="U80" s="13"/>
    </row>
    <row r="81" spans="2:21" ht="20.100000000000001" customHeight="1" x14ac:dyDescent="0.25">
      <c r="D81" s="11"/>
    </row>
    <row r="82" spans="2:21" ht="20.100000000000001" customHeight="1" x14ac:dyDescent="0.25">
      <c r="D82" s="34"/>
    </row>
    <row r="83" spans="2:21" ht="20.100000000000001" customHeight="1" x14ac:dyDescent="0.25">
      <c r="B83" s="13"/>
      <c r="C83" s="13"/>
      <c r="D83" s="25"/>
      <c r="E83" s="25"/>
      <c r="F83" s="25"/>
      <c r="G83" s="25"/>
      <c r="H83" s="13"/>
      <c r="I83" s="13"/>
      <c r="J83" s="13"/>
      <c r="K83" s="13"/>
      <c r="L83" s="13"/>
      <c r="M83" s="13"/>
      <c r="N83" s="13"/>
      <c r="O83" s="13"/>
      <c r="P83" s="13"/>
      <c r="Q83" s="13"/>
      <c r="R83" s="13"/>
      <c r="S83" s="13"/>
      <c r="T83" s="13"/>
      <c r="U83" s="13"/>
    </row>
    <row r="84" spans="2:21" ht="30" customHeight="1" x14ac:dyDescent="0.25">
      <c r="B84" s="13"/>
      <c r="C84" s="555" t="s">
        <v>74</v>
      </c>
      <c r="D84" s="555"/>
      <c r="E84" s="555"/>
      <c r="F84" s="555"/>
      <c r="G84" s="555"/>
      <c r="H84" s="555"/>
      <c r="I84" s="555"/>
      <c r="J84" s="555"/>
      <c r="K84" s="555"/>
      <c r="L84" s="555"/>
      <c r="M84" s="555"/>
      <c r="N84" s="555"/>
      <c r="O84" s="555"/>
      <c r="P84" s="555"/>
      <c r="Q84" s="555"/>
      <c r="R84" s="555"/>
      <c r="S84" s="555"/>
      <c r="T84" s="555"/>
      <c r="U84" s="13"/>
    </row>
    <row r="85" spans="2:21" ht="20.100000000000001" customHeight="1" thickBot="1" x14ac:dyDescent="0.3">
      <c r="B85" s="13"/>
      <c r="U85" s="13"/>
    </row>
    <row r="86" spans="2:21" ht="20.100000000000001" customHeight="1" thickBot="1" x14ac:dyDescent="0.3">
      <c r="B86" s="13"/>
      <c r="D86" s="556" t="s">
        <v>10</v>
      </c>
      <c r="E86" s="558" t="s">
        <v>139</v>
      </c>
      <c r="F86" s="560" t="s">
        <v>22</v>
      </c>
      <c r="G86" s="561" t="s">
        <v>42</v>
      </c>
      <c r="H86" s="561"/>
      <c r="I86" s="561"/>
      <c r="J86" s="562"/>
      <c r="K86" s="200" t="s">
        <v>36</v>
      </c>
      <c r="L86" s="563" t="s">
        <v>27</v>
      </c>
      <c r="M86" s="561"/>
      <c r="N86" s="561"/>
      <c r="O86" s="561"/>
      <c r="P86" s="561"/>
      <c r="Q86" s="561"/>
      <c r="R86" s="561"/>
      <c r="S86" s="562"/>
      <c r="U86" s="13"/>
    </row>
    <row r="87" spans="2:21" ht="20.100000000000001" customHeight="1" thickBot="1" x14ac:dyDescent="0.3">
      <c r="B87" s="13"/>
      <c r="D87" s="557"/>
      <c r="E87" s="559"/>
      <c r="F87" s="559"/>
      <c r="G87" s="86" t="s">
        <v>43</v>
      </c>
      <c r="H87" s="85" t="s">
        <v>24</v>
      </c>
      <c r="I87" s="556" t="s">
        <v>23</v>
      </c>
      <c r="J87" s="564"/>
      <c r="K87" s="85" t="s">
        <v>25</v>
      </c>
      <c r="L87" s="94" t="s">
        <v>43</v>
      </c>
      <c r="M87" s="87" t="s">
        <v>26</v>
      </c>
      <c r="N87" s="556" t="s">
        <v>23</v>
      </c>
      <c r="O87" s="588"/>
      <c r="P87" s="588"/>
      <c r="Q87" s="588"/>
      <c r="R87" s="588"/>
      <c r="S87" s="564"/>
      <c r="U87" s="13"/>
    </row>
    <row r="88" spans="2:21" ht="27.95" customHeight="1" x14ac:dyDescent="0.25">
      <c r="B88" s="13"/>
      <c r="D88" s="641" t="s">
        <v>125</v>
      </c>
      <c r="E88" s="733" t="s">
        <v>126</v>
      </c>
      <c r="F88" s="801">
        <v>1</v>
      </c>
      <c r="G88" s="735" t="s">
        <v>35</v>
      </c>
      <c r="H88" s="656" t="s">
        <v>45</v>
      </c>
      <c r="I88" s="656" t="s">
        <v>260</v>
      </c>
      <c r="J88" s="657"/>
      <c r="K88" s="787" t="s">
        <v>12</v>
      </c>
      <c r="L88" s="624" t="s">
        <v>13</v>
      </c>
      <c r="M88" s="627" t="s">
        <v>13</v>
      </c>
      <c r="N88" s="630" t="s">
        <v>13</v>
      </c>
      <c r="O88" s="631"/>
      <c r="P88" s="631"/>
      <c r="Q88" s="631"/>
      <c r="R88" s="631"/>
      <c r="S88" s="632"/>
      <c r="U88" s="13"/>
    </row>
    <row r="89" spans="2:21" ht="15" customHeight="1" x14ac:dyDescent="0.25">
      <c r="B89" s="13"/>
      <c r="D89" s="642"/>
      <c r="E89" s="742"/>
      <c r="F89" s="765"/>
      <c r="G89" s="755"/>
      <c r="H89" s="639"/>
      <c r="I89" s="639" t="s">
        <v>261</v>
      </c>
      <c r="J89" s="640"/>
      <c r="K89" s="698"/>
      <c r="L89" s="625"/>
      <c r="M89" s="628"/>
      <c r="N89" s="633"/>
      <c r="O89" s="634"/>
      <c r="P89" s="634"/>
      <c r="Q89" s="634"/>
      <c r="R89" s="634"/>
      <c r="S89" s="635"/>
      <c r="U89" s="13"/>
    </row>
    <row r="90" spans="2:21" ht="15" customHeight="1" x14ac:dyDescent="0.25">
      <c r="B90" s="13"/>
      <c r="D90" s="642"/>
      <c r="E90" s="742"/>
      <c r="F90" s="765"/>
      <c r="G90" s="755"/>
      <c r="H90" s="639"/>
      <c r="I90" s="639" t="s">
        <v>262</v>
      </c>
      <c r="J90" s="640"/>
      <c r="K90" s="698"/>
      <c r="L90" s="625"/>
      <c r="M90" s="628"/>
      <c r="N90" s="633"/>
      <c r="O90" s="634"/>
      <c r="P90" s="634"/>
      <c r="Q90" s="634"/>
      <c r="R90" s="634"/>
      <c r="S90" s="635"/>
      <c r="U90" s="13"/>
    </row>
    <row r="91" spans="2:21" ht="15" customHeight="1" x14ac:dyDescent="0.25">
      <c r="B91" s="13"/>
      <c r="D91" s="643"/>
      <c r="E91" s="734"/>
      <c r="F91" s="766"/>
      <c r="G91" s="736"/>
      <c r="H91" s="737"/>
      <c r="I91" s="639" t="s">
        <v>263</v>
      </c>
      <c r="J91" s="640"/>
      <c r="K91" s="638"/>
      <c r="L91" s="626"/>
      <c r="M91" s="629"/>
      <c r="N91" s="636"/>
      <c r="O91" s="637"/>
      <c r="P91" s="637"/>
      <c r="Q91" s="637"/>
      <c r="R91" s="637"/>
      <c r="S91" s="638"/>
      <c r="U91" s="13"/>
    </row>
    <row r="92" spans="2:21" ht="27.95" customHeight="1" x14ac:dyDescent="0.25">
      <c r="B92" s="13"/>
      <c r="D92" s="674" t="s">
        <v>2</v>
      </c>
      <c r="E92" s="677" t="s">
        <v>8</v>
      </c>
      <c r="F92" s="764">
        <v>2</v>
      </c>
      <c r="G92" s="788" t="s">
        <v>44</v>
      </c>
      <c r="H92" s="592" t="s">
        <v>296</v>
      </c>
      <c r="I92" s="671" t="s">
        <v>297</v>
      </c>
      <c r="J92" s="673"/>
      <c r="K92" s="660" t="s">
        <v>12</v>
      </c>
      <c r="L92" s="688" t="s">
        <v>13</v>
      </c>
      <c r="M92" s="689" t="s">
        <v>13</v>
      </c>
      <c r="N92" s="658" t="s">
        <v>13</v>
      </c>
      <c r="O92" s="659"/>
      <c r="P92" s="659"/>
      <c r="Q92" s="659"/>
      <c r="R92" s="659"/>
      <c r="S92" s="660"/>
      <c r="U92" s="13"/>
    </row>
    <row r="93" spans="2:21" ht="15" customHeight="1" x14ac:dyDescent="0.25">
      <c r="B93" s="13"/>
      <c r="D93" s="675"/>
      <c r="E93" s="645"/>
      <c r="F93" s="765"/>
      <c r="G93" s="788"/>
      <c r="H93" s="592"/>
      <c r="I93" s="661" t="s">
        <v>298</v>
      </c>
      <c r="J93" s="662"/>
      <c r="K93" s="635"/>
      <c r="L93" s="625"/>
      <c r="M93" s="628"/>
      <c r="N93" s="633"/>
      <c r="O93" s="634"/>
      <c r="P93" s="634"/>
      <c r="Q93" s="634"/>
      <c r="R93" s="634"/>
      <c r="S93" s="635"/>
      <c r="U93" s="13"/>
    </row>
    <row r="94" spans="2:21" ht="15" customHeight="1" x14ac:dyDescent="0.25">
      <c r="B94" s="13"/>
      <c r="D94" s="676"/>
      <c r="E94" s="646"/>
      <c r="F94" s="766"/>
      <c r="G94" s="788"/>
      <c r="H94" s="592"/>
      <c r="I94" s="661" t="s">
        <v>299</v>
      </c>
      <c r="J94" s="662"/>
      <c r="K94" s="638"/>
      <c r="L94" s="626"/>
      <c r="M94" s="629"/>
      <c r="N94" s="636"/>
      <c r="O94" s="637"/>
      <c r="P94" s="637"/>
      <c r="Q94" s="637"/>
      <c r="R94" s="637"/>
      <c r="S94" s="638"/>
      <c r="U94" s="13"/>
    </row>
    <row r="95" spans="2:21" ht="15" customHeight="1" x14ac:dyDescent="0.25">
      <c r="B95" s="13"/>
      <c r="D95" s="663" t="s">
        <v>47</v>
      </c>
      <c r="E95" s="741" t="s">
        <v>64</v>
      </c>
      <c r="F95" s="764">
        <v>3</v>
      </c>
      <c r="G95" s="819" t="s">
        <v>44</v>
      </c>
      <c r="H95" s="820" t="s">
        <v>103</v>
      </c>
      <c r="I95" s="681" t="s">
        <v>350</v>
      </c>
      <c r="J95" s="684"/>
      <c r="K95" s="695" t="s">
        <v>12</v>
      </c>
      <c r="L95" s="688" t="s">
        <v>13</v>
      </c>
      <c r="M95" s="689" t="s">
        <v>13</v>
      </c>
      <c r="N95" s="658" t="s">
        <v>13</v>
      </c>
      <c r="O95" s="659"/>
      <c r="P95" s="659"/>
      <c r="Q95" s="659"/>
      <c r="R95" s="659"/>
      <c r="S95" s="660"/>
      <c r="U95" s="13"/>
    </row>
    <row r="96" spans="2:21" ht="27.95" customHeight="1" x14ac:dyDescent="0.25">
      <c r="B96" s="13"/>
      <c r="D96" s="642"/>
      <c r="E96" s="742"/>
      <c r="F96" s="765"/>
      <c r="G96" s="819"/>
      <c r="H96" s="820"/>
      <c r="I96" s="682" t="s">
        <v>346</v>
      </c>
      <c r="J96" s="702"/>
      <c r="K96" s="698"/>
      <c r="L96" s="625"/>
      <c r="M96" s="628"/>
      <c r="N96" s="633"/>
      <c r="O96" s="634"/>
      <c r="P96" s="634"/>
      <c r="Q96" s="634"/>
      <c r="R96" s="634"/>
      <c r="S96" s="635"/>
      <c r="U96" s="13"/>
    </row>
    <row r="97" spans="2:21" ht="15" customHeight="1" x14ac:dyDescent="0.25">
      <c r="B97" s="13"/>
      <c r="D97" s="642"/>
      <c r="E97" s="742"/>
      <c r="F97" s="765"/>
      <c r="G97" s="819"/>
      <c r="H97" s="820"/>
      <c r="I97" s="682" t="s">
        <v>347</v>
      </c>
      <c r="J97" s="702"/>
      <c r="K97" s="698"/>
      <c r="L97" s="625"/>
      <c r="M97" s="628"/>
      <c r="N97" s="633"/>
      <c r="O97" s="634"/>
      <c r="P97" s="634"/>
      <c r="Q97" s="634"/>
      <c r="R97" s="634"/>
      <c r="S97" s="635"/>
      <c r="U97" s="13"/>
    </row>
    <row r="98" spans="2:21" ht="15" customHeight="1" x14ac:dyDescent="0.25">
      <c r="B98" s="13"/>
      <c r="D98" s="642"/>
      <c r="E98" s="742"/>
      <c r="F98" s="765"/>
      <c r="G98" s="819"/>
      <c r="H98" s="820"/>
      <c r="I98" s="682" t="s">
        <v>351</v>
      </c>
      <c r="J98" s="702"/>
      <c r="K98" s="698"/>
      <c r="L98" s="625"/>
      <c r="M98" s="628"/>
      <c r="N98" s="633"/>
      <c r="O98" s="634"/>
      <c r="P98" s="634"/>
      <c r="Q98" s="634"/>
      <c r="R98" s="634"/>
      <c r="S98" s="635"/>
      <c r="U98" s="13"/>
    </row>
    <row r="99" spans="2:21" ht="15" customHeight="1" x14ac:dyDescent="0.25">
      <c r="B99" s="13"/>
      <c r="D99" s="642"/>
      <c r="E99" s="742"/>
      <c r="F99" s="765"/>
      <c r="G99" s="819"/>
      <c r="H99" s="820"/>
      <c r="I99" s="682" t="s">
        <v>352</v>
      </c>
      <c r="J99" s="702"/>
      <c r="K99" s="698"/>
      <c r="L99" s="625"/>
      <c r="M99" s="628"/>
      <c r="N99" s="633"/>
      <c r="O99" s="634"/>
      <c r="P99" s="634"/>
      <c r="Q99" s="634"/>
      <c r="R99" s="634"/>
      <c r="S99" s="635"/>
      <c r="U99" s="13"/>
    </row>
    <row r="100" spans="2:21" ht="15" customHeight="1" x14ac:dyDescent="0.25">
      <c r="B100" s="13"/>
      <c r="D100" s="642"/>
      <c r="E100" s="742"/>
      <c r="F100" s="765"/>
      <c r="G100" s="819"/>
      <c r="H100" s="820"/>
      <c r="I100" s="682" t="s">
        <v>353</v>
      </c>
      <c r="J100" s="702"/>
      <c r="K100" s="698"/>
      <c r="L100" s="625"/>
      <c r="M100" s="628"/>
      <c r="N100" s="633"/>
      <c r="O100" s="634"/>
      <c r="P100" s="634"/>
      <c r="Q100" s="634"/>
      <c r="R100" s="634"/>
      <c r="S100" s="635"/>
      <c r="U100" s="13"/>
    </row>
    <row r="101" spans="2:21" ht="15" customHeight="1" x14ac:dyDescent="0.25">
      <c r="B101" s="13"/>
      <c r="D101" s="642"/>
      <c r="E101" s="742"/>
      <c r="F101" s="765"/>
      <c r="G101" s="819"/>
      <c r="H101" s="820"/>
      <c r="I101" s="682" t="s">
        <v>349</v>
      </c>
      <c r="J101" s="702"/>
      <c r="K101" s="698"/>
      <c r="L101" s="625"/>
      <c r="M101" s="628"/>
      <c r="N101" s="633"/>
      <c r="O101" s="634"/>
      <c r="P101" s="634"/>
      <c r="Q101" s="634"/>
      <c r="R101" s="634"/>
      <c r="S101" s="635"/>
      <c r="U101" s="13"/>
    </row>
    <row r="102" spans="2:21" ht="15" customHeight="1" x14ac:dyDescent="0.25">
      <c r="B102" s="13"/>
      <c r="D102" s="643"/>
      <c r="E102" s="734"/>
      <c r="F102" s="766"/>
      <c r="G102" s="819"/>
      <c r="H102" s="820"/>
      <c r="I102" s="682" t="s">
        <v>348</v>
      </c>
      <c r="J102" s="702"/>
      <c r="K102" s="701"/>
      <c r="L102" s="626"/>
      <c r="M102" s="629"/>
      <c r="N102" s="636"/>
      <c r="O102" s="637"/>
      <c r="P102" s="637"/>
      <c r="Q102" s="637"/>
      <c r="R102" s="637"/>
      <c r="S102" s="638"/>
      <c r="U102" s="13"/>
    </row>
    <row r="103" spans="2:21" ht="15" customHeight="1" x14ac:dyDescent="0.25">
      <c r="B103" s="13"/>
      <c r="D103" s="789" t="s">
        <v>1</v>
      </c>
      <c r="E103" s="791" t="s">
        <v>11</v>
      </c>
      <c r="F103" s="846">
        <v>4</v>
      </c>
      <c r="G103" s="795" t="s">
        <v>35</v>
      </c>
      <c r="H103" s="612" t="s">
        <v>70</v>
      </c>
      <c r="I103" s="725" t="s">
        <v>209</v>
      </c>
      <c r="J103" s="726"/>
      <c r="K103" s="544" t="s">
        <v>12</v>
      </c>
      <c r="L103" s="797" t="s">
        <v>13</v>
      </c>
      <c r="M103" s="593" t="s">
        <v>13</v>
      </c>
      <c r="N103" s="593" t="s">
        <v>13</v>
      </c>
      <c r="O103" s="593"/>
      <c r="P103" s="593"/>
      <c r="Q103" s="593"/>
      <c r="R103" s="593"/>
      <c r="S103" s="594"/>
      <c r="U103" s="13"/>
    </row>
    <row r="104" spans="2:21" ht="15" customHeight="1" x14ac:dyDescent="0.25">
      <c r="B104" s="13"/>
      <c r="D104" s="789"/>
      <c r="E104" s="791"/>
      <c r="F104" s="846"/>
      <c r="G104" s="795"/>
      <c r="H104" s="612"/>
      <c r="I104" s="709" t="s">
        <v>210</v>
      </c>
      <c r="J104" s="710"/>
      <c r="K104" s="544"/>
      <c r="L104" s="797"/>
      <c r="M104" s="593"/>
      <c r="N104" s="593"/>
      <c r="O104" s="593"/>
      <c r="P104" s="593"/>
      <c r="Q104" s="593"/>
      <c r="R104" s="593"/>
      <c r="S104" s="594"/>
      <c r="U104" s="13"/>
    </row>
    <row r="105" spans="2:21" ht="15" customHeight="1" x14ac:dyDescent="0.25">
      <c r="B105" s="13"/>
      <c r="D105" s="789"/>
      <c r="E105" s="791"/>
      <c r="F105" s="846"/>
      <c r="G105" s="795"/>
      <c r="H105" s="612"/>
      <c r="I105" s="709" t="s">
        <v>208</v>
      </c>
      <c r="J105" s="710"/>
      <c r="K105" s="544"/>
      <c r="L105" s="797"/>
      <c r="M105" s="593"/>
      <c r="N105" s="593"/>
      <c r="O105" s="593"/>
      <c r="P105" s="593"/>
      <c r="Q105" s="593"/>
      <c r="R105" s="593"/>
      <c r="S105" s="594"/>
      <c r="U105" s="13"/>
    </row>
    <row r="106" spans="2:21" ht="15" customHeight="1" thickBot="1" x14ac:dyDescent="0.3">
      <c r="B106" s="13"/>
      <c r="D106" s="790"/>
      <c r="E106" s="792"/>
      <c r="F106" s="847"/>
      <c r="G106" s="796"/>
      <c r="H106" s="599"/>
      <c r="I106" s="711" t="s">
        <v>207</v>
      </c>
      <c r="J106" s="712"/>
      <c r="K106" s="551"/>
      <c r="L106" s="798"/>
      <c r="M106" s="601"/>
      <c r="N106" s="601"/>
      <c r="O106" s="601"/>
      <c r="P106" s="601"/>
      <c r="Q106" s="601"/>
      <c r="R106" s="601"/>
      <c r="S106" s="602"/>
      <c r="U106" s="13"/>
    </row>
    <row r="107" spans="2:21" ht="20.100000000000001" customHeight="1" x14ac:dyDescent="0.25">
      <c r="B107" s="13"/>
      <c r="U107" s="13"/>
    </row>
    <row r="108" spans="2:21" ht="20.100000000000001" customHeight="1" thickBot="1" x14ac:dyDescent="0.3">
      <c r="B108" s="13"/>
      <c r="C108" s="26"/>
      <c r="D108" s="26"/>
      <c r="E108" s="552" t="str">
        <f>IF(OR(L88="-",L88= ""),H88,L88)</f>
        <v>Orakel von Delphi</v>
      </c>
      <c r="F108" s="552"/>
      <c r="G108" s="552"/>
      <c r="H108" s="552"/>
      <c r="I108" s="552"/>
      <c r="J108" s="552"/>
      <c r="K108" s="552"/>
      <c r="L108" s="552"/>
      <c r="M108" s="552"/>
      <c r="N108" s="552"/>
      <c r="O108" s="199"/>
      <c r="P108" s="199"/>
      <c r="Q108" s="199"/>
      <c r="R108" s="199"/>
      <c r="S108" s="199"/>
      <c r="T108" s="26"/>
      <c r="U108" s="13"/>
    </row>
    <row r="109" spans="2:21" ht="50.1" customHeight="1" thickBot="1" x14ac:dyDescent="0.3">
      <c r="B109" s="13"/>
      <c r="C109" s="26"/>
      <c r="D109" s="199"/>
      <c r="E109" s="88" t="s">
        <v>10</v>
      </c>
      <c r="F109" s="125" t="s">
        <v>52</v>
      </c>
      <c r="G109" s="89" t="s">
        <v>14</v>
      </c>
      <c r="H109" s="200" t="s">
        <v>51</v>
      </c>
      <c r="I109" s="18" t="s">
        <v>54</v>
      </c>
      <c r="J109" s="200" t="s">
        <v>53</v>
      </c>
      <c r="K109" s="206" t="s">
        <v>28</v>
      </c>
      <c r="L109" s="200" t="s">
        <v>37</v>
      </c>
      <c r="M109" s="204" t="s">
        <v>16</v>
      </c>
      <c r="N109" s="89" t="s">
        <v>15</v>
      </c>
      <c r="O109" s="5" t="s">
        <v>30</v>
      </c>
      <c r="P109" s="7" t="s">
        <v>34</v>
      </c>
      <c r="Q109" s="7" t="s">
        <v>31</v>
      </c>
      <c r="R109" s="19" t="s">
        <v>32</v>
      </c>
      <c r="S109" s="199"/>
      <c r="T109" s="26"/>
      <c r="U109" s="13"/>
    </row>
    <row r="110" spans="2:21" ht="45" x14ac:dyDescent="0.25">
      <c r="B110" s="13"/>
      <c r="C110" s="26"/>
      <c r="D110" s="68"/>
      <c r="E110" s="365" t="s">
        <v>125</v>
      </c>
      <c r="F110" s="253" t="s">
        <v>126</v>
      </c>
      <c r="G110" s="49">
        <v>4</v>
      </c>
      <c r="H110" s="49" t="s">
        <v>273</v>
      </c>
      <c r="I110" s="49" t="s">
        <v>13</v>
      </c>
      <c r="J110" s="122" t="s">
        <v>356</v>
      </c>
      <c r="K110" s="49" t="s">
        <v>13</v>
      </c>
      <c r="L110" s="50">
        <f>(L121+L130+L138)/3</f>
        <v>79.109848484848484</v>
      </c>
      <c r="M110" s="49">
        <v>3</v>
      </c>
      <c r="N110" s="61">
        <v>1</v>
      </c>
      <c r="O110" s="57">
        <f>IF(M110=1,1,0)</f>
        <v>0</v>
      </c>
      <c r="P110" s="209">
        <f>IF(M110=2,1,0)</f>
        <v>0</v>
      </c>
      <c r="Q110" s="209">
        <f>IF(M110=3,1,0)</f>
        <v>1</v>
      </c>
      <c r="R110" s="8">
        <f>IF(M110=4,1,0)</f>
        <v>0</v>
      </c>
      <c r="S110" s="198"/>
      <c r="T110" s="26"/>
      <c r="U110" s="13"/>
    </row>
    <row r="111" spans="2:21" ht="30" x14ac:dyDescent="0.25">
      <c r="B111" s="13"/>
      <c r="C111" s="26"/>
      <c r="D111" s="26"/>
      <c r="E111" s="303" t="s">
        <v>2</v>
      </c>
      <c r="F111" s="247" t="s">
        <v>8</v>
      </c>
      <c r="G111" s="47">
        <v>3</v>
      </c>
      <c r="H111" s="47" t="s">
        <v>272</v>
      </c>
      <c r="I111" s="47" t="s">
        <v>13</v>
      </c>
      <c r="J111" s="100" t="s">
        <v>357</v>
      </c>
      <c r="K111" s="100" t="s">
        <v>13</v>
      </c>
      <c r="L111" s="48">
        <f>(L120+L129+L139)/3</f>
        <v>66.393849206349202</v>
      </c>
      <c r="M111" s="47">
        <v>4</v>
      </c>
      <c r="N111" s="60">
        <v>0</v>
      </c>
      <c r="O111" s="205">
        <f>IF(M111=1,1,0)</f>
        <v>0</v>
      </c>
      <c r="P111" s="207">
        <f>IF(M111=2,1,0)</f>
        <v>0</v>
      </c>
      <c r="Q111" s="207">
        <f>IF(M111=3,1,0)</f>
        <v>0</v>
      </c>
      <c r="R111" s="9">
        <f>IF(M111=4,1,0)</f>
        <v>1</v>
      </c>
      <c r="S111" s="198"/>
      <c r="T111" s="26"/>
      <c r="U111" s="13"/>
    </row>
    <row r="112" spans="2:21" ht="45" x14ac:dyDescent="0.25">
      <c r="B112" s="13"/>
      <c r="C112" s="26"/>
      <c r="D112" s="26"/>
      <c r="E112" s="303" t="s">
        <v>47</v>
      </c>
      <c r="F112" s="247" t="s">
        <v>64</v>
      </c>
      <c r="G112" s="47">
        <v>1</v>
      </c>
      <c r="H112" s="47" t="s">
        <v>277</v>
      </c>
      <c r="I112" s="47" t="s">
        <v>13</v>
      </c>
      <c r="J112" s="100" t="s">
        <v>355</v>
      </c>
      <c r="K112" s="47" t="s">
        <v>303</v>
      </c>
      <c r="L112" s="48">
        <v>100</v>
      </c>
      <c r="M112" s="47">
        <v>2</v>
      </c>
      <c r="N112" s="60">
        <v>3</v>
      </c>
      <c r="O112" s="205">
        <f>IF(M112=1,1,0)</f>
        <v>0</v>
      </c>
      <c r="P112" s="207">
        <f>IF(M112=2,1,0)</f>
        <v>1</v>
      </c>
      <c r="Q112" s="207">
        <f>IF(M112=3,1,0)</f>
        <v>0</v>
      </c>
      <c r="R112" s="9">
        <f>IF(M112=4,1,0)</f>
        <v>0</v>
      </c>
      <c r="S112" s="198"/>
      <c r="T112" s="26"/>
      <c r="U112" s="13"/>
    </row>
    <row r="113" spans="2:21" ht="45.75" thickBot="1" x14ac:dyDescent="0.3">
      <c r="B113" s="13"/>
      <c r="C113" s="26"/>
      <c r="D113" s="26"/>
      <c r="E113" s="310" t="s">
        <v>1</v>
      </c>
      <c r="F113" s="283" t="s">
        <v>11</v>
      </c>
      <c r="G113" s="284">
        <v>2</v>
      </c>
      <c r="H113" s="285" t="s">
        <v>279</v>
      </c>
      <c r="I113" s="284" t="s">
        <v>13</v>
      </c>
      <c r="J113" s="285" t="s">
        <v>355</v>
      </c>
      <c r="K113" s="285" t="s">
        <v>358</v>
      </c>
      <c r="L113" s="286">
        <v>100</v>
      </c>
      <c r="M113" s="284">
        <v>1</v>
      </c>
      <c r="N113" s="287">
        <v>6</v>
      </c>
      <c r="O113" s="58">
        <f>IF(M113=1,1,0)</f>
        <v>1</v>
      </c>
      <c r="P113" s="208">
        <f>IF(M113=2,1,0)</f>
        <v>0</v>
      </c>
      <c r="Q113" s="208">
        <f>IF(M113=3,1,0)</f>
        <v>0</v>
      </c>
      <c r="R113" s="10">
        <f>IF(M113=4,1,0)</f>
        <v>0</v>
      </c>
      <c r="S113" s="198"/>
      <c r="T113" s="26"/>
      <c r="U113" s="13"/>
    </row>
    <row r="114" spans="2:21" ht="20.100000000000001" hidden="1" customHeight="1" outlineLevel="1" x14ac:dyDescent="0.25">
      <c r="B114" s="13"/>
      <c r="C114" s="26"/>
      <c r="D114" s="68"/>
      <c r="E114" s="68"/>
      <c r="F114" s="553"/>
      <c r="G114" s="553"/>
      <c r="H114" s="26"/>
      <c r="I114" s="64" t="s">
        <v>29</v>
      </c>
      <c r="J114" s="23">
        <f>MAX(J110:J113)</f>
        <v>0</v>
      </c>
      <c r="K114" s="70"/>
      <c r="L114" s="69"/>
      <c r="M114" s="26"/>
      <c r="N114" s="63" t="s">
        <v>33</v>
      </c>
      <c r="O114" s="20">
        <f>SUM(O110:O113)</f>
        <v>1</v>
      </c>
      <c r="P114" s="21">
        <f>SUM(P110:P113)</f>
        <v>1</v>
      </c>
      <c r="Q114" s="20">
        <f>SUM(Q110:Q113)</f>
        <v>1</v>
      </c>
      <c r="R114" s="22">
        <f>SUM(R110:R113)</f>
        <v>1</v>
      </c>
      <c r="S114" s="69"/>
      <c r="T114" s="26"/>
      <c r="U114" s="13"/>
    </row>
    <row r="115" spans="2:21" ht="20.100000000000001" customHeight="1" collapsed="1" x14ac:dyDescent="0.25">
      <c r="B115" s="13"/>
      <c r="C115" s="26"/>
      <c r="D115" s="26"/>
      <c r="E115" s="26"/>
      <c r="F115" s="26"/>
      <c r="G115" s="26"/>
      <c r="H115" s="26"/>
      <c r="I115" s="26"/>
      <c r="J115" s="26"/>
      <c r="K115" s="26"/>
      <c r="L115" s="26"/>
      <c r="M115" s="26"/>
      <c r="N115" s="26"/>
      <c r="O115" s="26"/>
      <c r="P115" s="26"/>
      <c r="Q115" s="26"/>
      <c r="R115" s="26"/>
      <c r="S115" s="26"/>
      <c r="T115" s="26"/>
      <c r="U115" s="13"/>
    </row>
    <row r="116" spans="2:21" ht="20.100000000000001" customHeight="1" x14ac:dyDescent="0.25">
      <c r="B116" s="13"/>
      <c r="U116" s="13"/>
    </row>
    <row r="117" spans="2:21" ht="20.100000000000001" customHeight="1" thickBot="1" x14ac:dyDescent="0.3">
      <c r="B117" s="13"/>
      <c r="C117" s="27"/>
      <c r="D117" s="27"/>
      <c r="E117" s="554" t="str">
        <f>IF(OR(L92="-",L92= ""),H92,L92)</f>
        <v>Parks</v>
      </c>
      <c r="F117" s="554"/>
      <c r="G117" s="554"/>
      <c r="H117" s="554"/>
      <c r="I117" s="554"/>
      <c r="J117" s="554"/>
      <c r="K117" s="554"/>
      <c r="L117" s="554"/>
      <c r="M117" s="554"/>
      <c r="N117" s="554"/>
      <c r="O117" s="197"/>
      <c r="P117" s="197"/>
      <c r="Q117" s="197"/>
      <c r="R117" s="197"/>
      <c r="S117" s="197"/>
      <c r="T117" s="27"/>
      <c r="U117" s="13"/>
    </row>
    <row r="118" spans="2:21" ht="50.1" customHeight="1" thickBot="1" x14ac:dyDescent="0.3">
      <c r="B118" s="13"/>
      <c r="C118" s="27"/>
      <c r="D118" s="197"/>
      <c r="E118" s="88" t="s">
        <v>10</v>
      </c>
      <c r="F118" s="125" t="s">
        <v>52</v>
      </c>
      <c r="G118" s="89" t="s">
        <v>14</v>
      </c>
      <c r="H118" s="200" t="s">
        <v>51</v>
      </c>
      <c r="I118" s="18" t="s">
        <v>54</v>
      </c>
      <c r="J118" s="200" t="s">
        <v>53</v>
      </c>
      <c r="K118" s="206" t="s">
        <v>28</v>
      </c>
      <c r="L118" s="200" t="s">
        <v>37</v>
      </c>
      <c r="M118" s="204" t="s">
        <v>16</v>
      </c>
      <c r="N118" s="89" t="s">
        <v>15</v>
      </c>
      <c r="O118" s="5" t="s">
        <v>30</v>
      </c>
      <c r="P118" s="7" t="s">
        <v>34</v>
      </c>
      <c r="Q118" s="7" t="s">
        <v>31</v>
      </c>
      <c r="R118" s="19" t="s">
        <v>32</v>
      </c>
      <c r="S118" s="197"/>
      <c r="T118" s="27"/>
      <c r="U118" s="13"/>
    </row>
    <row r="119" spans="2:21" ht="20.100000000000001" customHeight="1" x14ac:dyDescent="0.25">
      <c r="B119" s="13"/>
      <c r="C119" s="27"/>
      <c r="D119" s="67"/>
      <c r="E119" s="327" t="s">
        <v>125</v>
      </c>
      <c r="F119" s="272" t="s">
        <v>126</v>
      </c>
      <c r="G119" s="157">
        <v>2</v>
      </c>
      <c r="H119" s="103" t="s">
        <v>13</v>
      </c>
      <c r="I119" s="157">
        <v>0</v>
      </c>
      <c r="J119" s="103">
        <v>35</v>
      </c>
      <c r="K119" s="343" t="s">
        <v>360</v>
      </c>
      <c r="L119" s="36">
        <f>IF(J119="",0,(J119/J123)*100)</f>
        <v>100</v>
      </c>
      <c r="M119" s="157">
        <v>1</v>
      </c>
      <c r="N119" s="99">
        <v>6</v>
      </c>
      <c r="O119" s="57">
        <f>IF(M119=1,1,0)</f>
        <v>1</v>
      </c>
      <c r="P119" s="209">
        <f>IF(M119=2,1,0)</f>
        <v>0</v>
      </c>
      <c r="Q119" s="209">
        <f>IF(M119=3,1,0)</f>
        <v>0</v>
      </c>
      <c r="R119" s="8">
        <f>IF(M119=4,1,0)</f>
        <v>0</v>
      </c>
      <c r="S119" s="203"/>
      <c r="T119" s="27"/>
      <c r="U119" s="13"/>
    </row>
    <row r="120" spans="2:21" ht="20.100000000000001" customHeight="1" x14ac:dyDescent="0.25">
      <c r="B120" s="13"/>
      <c r="C120" s="27"/>
      <c r="D120" s="27"/>
      <c r="E120" s="303" t="s">
        <v>2</v>
      </c>
      <c r="F120" s="247" t="s">
        <v>8</v>
      </c>
      <c r="G120" s="47">
        <v>3</v>
      </c>
      <c r="H120" s="100" t="s">
        <v>13</v>
      </c>
      <c r="I120" s="47">
        <v>0</v>
      </c>
      <c r="J120" s="100">
        <v>33</v>
      </c>
      <c r="K120" s="100" t="s">
        <v>13</v>
      </c>
      <c r="L120" s="48">
        <f>IF(J120="",0,(J120/J123)*100)</f>
        <v>94.285714285714278</v>
      </c>
      <c r="M120" s="47">
        <v>4</v>
      </c>
      <c r="N120" s="60">
        <v>0</v>
      </c>
      <c r="O120" s="205">
        <f>IF(M120=1,1,0)</f>
        <v>0</v>
      </c>
      <c r="P120" s="207">
        <f>IF(M120=2,1,0)</f>
        <v>0</v>
      </c>
      <c r="Q120" s="207">
        <f>IF(M120=3,1,0)</f>
        <v>0</v>
      </c>
      <c r="R120" s="9">
        <f>IF(M120=4,1,0)</f>
        <v>1</v>
      </c>
      <c r="S120" s="203"/>
      <c r="T120" s="27"/>
      <c r="U120" s="13"/>
    </row>
    <row r="121" spans="2:21" ht="20.100000000000001" customHeight="1" x14ac:dyDescent="0.25">
      <c r="B121" s="13"/>
      <c r="C121" s="27"/>
      <c r="D121" s="67"/>
      <c r="E121" s="303" t="s">
        <v>47</v>
      </c>
      <c r="F121" s="247" t="s">
        <v>64</v>
      </c>
      <c r="G121" s="47">
        <v>4</v>
      </c>
      <c r="H121" s="100" t="s">
        <v>13</v>
      </c>
      <c r="I121" s="47">
        <v>0</v>
      </c>
      <c r="J121" s="100">
        <v>35</v>
      </c>
      <c r="K121" s="239" t="s">
        <v>316</v>
      </c>
      <c r="L121" s="48">
        <f>IF(J121="",0,(J121/J123)*100)</f>
        <v>100</v>
      </c>
      <c r="M121" s="47">
        <v>3</v>
      </c>
      <c r="N121" s="60">
        <v>1</v>
      </c>
      <c r="O121" s="205">
        <f>IF(M121=1,1,0)</f>
        <v>0</v>
      </c>
      <c r="P121" s="207">
        <f>IF(M121=2,1,0)</f>
        <v>0</v>
      </c>
      <c r="Q121" s="207">
        <f>IF(M121=3,1,0)</f>
        <v>1</v>
      </c>
      <c r="R121" s="9">
        <f>IF(M121=4,1,0)</f>
        <v>0</v>
      </c>
      <c r="S121" s="203"/>
      <c r="T121" s="27"/>
      <c r="U121" s="13"/>
    </row>
    <row r="122" spans="2:21" ht="20.100000000000001" customHeight="1" thickBot="1" x14ac:dyDescent="0.3">
      <c r="B122" s="13"/>
      <c r="C122" s="27"/>
      <c r="D122" s="27"/>
      <c r="E122" s="354" t="s">
        <v>1</v>
      </c>
      <c r="F122" s="255" t="s">
        <v>11</v>
      </c>
      <c r="G122" s="150">
        <v>1</v>
      </c>
      <c r="H122" s="107" t="s">
        <v>13</v>
      </c>
      <c r="I122" s="150">
        <v>0</v>
      </c>
      <c r="J122" s="107">
        <v>35</v>
      </c>
      <c r="K122" s="107" t="s">
        <v>361</v>
      </c>
      <c r="L122" s="17">
        <f>IF(J122="",0,(J122/J123)*100)</f>
        <v>100</v>
      </c>
      <c r="M122" s="150">
        <v>2</v>
      </c>
      <c r="N122" s="59">
        <v>3</v>
      </c>
      <c r="O122" s="58">
        <f>IF(M122=1,1,0)</f>
        <v>0</v>
      </c>
      <c r="P122" s="208">
        <f>IF(M122=2,1,0)</f>
        <v>1</v>
      </c>
      <c r="Q122" s="208">
        <f>IF(M122=3,1,0)</f>
        <v>0</v>
      </c>
      <c r="R122" s="10">
        <f>IF(M122=4,1,0)</f>
        <v>0</v>
      </c>
      <c r="S122" s="203"/>
      <c r="T122" s="27"/>
      <c r="U122" s="13"/>
    </row>
    <row r="123" spans="2:21" ht="20.100000000000001" hidden="1" customHeight="1" outlineLevel="1" x14ac:dyDescent="0.25">
      <c r="B123" s="13"/>
      <c r="C123" s="27"/>
      <c r="D123" s="27"/>
      <c r="E123" s="27"/>
      <c r="F123" s="531"/>
      <c r="G123" s="531"/>
      <c r="H123" s="27"/>
      <c r="I123" s="64" t="s">
        <v>29</v>
      </c>
      <c r="J123" s="23">
        <f>MAX(J119:J122)</f>
        <v>35</v>
      </c>
      <c r="K123" s="75"/>
      <c r="L123" s="203"/>
      <c r="M123" s="27"/>
      <c r="N123" s="63" t="s">
        <v>33</v>
      </c>
      <c r="O123" s="20">
        <f>SUM(O119:O122)</f>
        <v>1</v>
      </c>
      <c r="P123" s="21">
        <f>SUM(P119:P122)</f>
        <v>1</v>
      </c>
      <c r="Q123" s="20">
        <f>SUM(Q119:Q122)</f>
        <v>1</v>
      </c>
      <c r="R123" s="22">
        <f>SUM(R119:R122)</f>
        <v>1</v>
      </c>
      <c r="S123" s="74"/>
      <c r="T123" s="27"/>
      <c r="U123" s="13"/>
    </row>
    <row r="124" spans="2:21" ht="20.100000000000001" customHeight="1" collapsed="1" x14ac:dyDescent="0.25">
      <c r="B124" s="13"/>
      <c r="C124" s="27"/>
      <c r="D124" s="27"/>
      <c r="E124" s="27"/>
      <c r="F124" s="27"/>
      <c r="G124" s="27"/>
      <c r="H124" s="27"/>
      <c r="I124" s="27"/>
      <c r="J124" s="27"/>
      <c r="K124" s="27"/>
      <c r="L124" s="27"/>
      <c r="M124" s="27"/>
      <c r="N124" s="27"/>
      <c r="O124" s="27"/>
      <c r="P124" s="27"/>
      <c r="Q124" s="27"/>
      <c r="R124" s="27"/>
      <c r="S124" s="27"/>
      <c r="T124" s="27"/>
      <c r="U124" s="13"/>
    </row>
    <row r="125" spans="2:21" ht="20.100000000000001" customHeight="1" x14ac:dyDescent="0.25">
      <c r="B125" s="13"/>
      <c r="D125" s="28"/>
      <c r="E125" s="28"/>
      <c r="F125" s="28"/>
      <c r="G125" s="28"/>
      <c r="H125" s="29"/>
      <c r="I125" s="28"/>
      <c r="J125" s="28"/>
      <c r="U125" s="13"/>
    </row>
    <row r="126" spans="2:21" ht="20.100000000000001" customHeight="1" thickBot="1" x14ac:dyDescent="0.3">
      <c r="B126" s="13"/>
      <c r="C126" s="30"/>
      <c r="D126" s="30"/>
      <c r="E126" s="532" t="str">
        <f>IF(OR(L95="-",L95= ""),H95,L95)</f>
        <v>Terra Mystica</v>
      </c>
      <c r="F126" s="532"/>
      <c r="G126" s="532"/>
      <c r="H126" s="532"/>
      <c r="I126" s="532"/>
      <c r="J126" s="532"/>
      <c r="K126" s="532"/>
      <c r="L126" s="532"/>
      <c r="M126" s="532"/>
      <c r="N126" s="532"/>
      <c r="O126" s="196"/>
      <c r="P126" s="196"/>
      <c r="Q126" s="196"/>
      <c r="R126" s="196"/>
      <c r="S126" s="196"/>
      <c r="T126" s="30"/>
      <c r="U126" s="14"/>
    </row>
    <row r="127" spans="2:21" ht="50.1" customHeight="1" thickBot="1" x14ac:dyDescent="0.3">
      <c r="B127" s="13"/>
      <c r="C127" s="30"/>
      <c r="D127" s="196"/>
      <c r="E127" s="88" t="s">
        <v>10</v>
      </c>
      <c r="F127" s="125" t="s">
        <v>52</v>
      </c>
      <c r="G127" s="89" t="s">
        <v>14</v>
      </c>
      <c r="H127" s="200" t="s">
        <v>51</v>
      </c>
      <c r="I127" s="18" t="s">
        <v>54</v>
      </c>
      <c r="J127" s="200" t="s">
        <v>53</v>
      </c>
      <c r="K127" s="206" t="s">
        <v>28</v>
      </c>
      <c r="L127" s="200" t="s">
        <v>37</v>
      </c>
      <c r="M127" s="204" t="s">
        <v>16</v>
      </c>
      <c r="N127" s="89" t="s">
        <v>15</v>
      </c>
      <c r="O127" s="5" t="s">
        <v>30</v>
      </c>
      <c r="P127" s="7" t="s">
        <v>34</v>
      </c>
      <c r="Q127" s="7" t="s">
        <v>31</v>
      </c>
      <c r="R127" s="19" t="s">
        <v>32</v>
      </c>
      <c r="S127" s="196"/>
      <c r="T127" s="30"/>
      <c r="U127" s="14"/>
    </row>
    <row r="128" spans="2:21" ht="20.100000000000001" customHeight="1" x14ac:dyDescent="0.25">
      <c r="B128" s="13"/>
      <c r="C128" s="30"/>
      <c r="D128" s="66"/>
      <c r="E128" s="327" t="s">
        <v>125</v>
      </c>
      <c r="F128" s="272" t="s">
        <v>126</v>
      </c>
      <c r="G128" s="157">
        <v>1</v>
      </c>
      <c r="H128" s="103" t="s">
        <v>170</v>
      </c>
      <c r="I128" s="157">
        <v>23</v>
      </c>
      <c r="J128" s="103">
        <v>165</v>
      </c>
      <c r="K128" s="36" t="s">
        <v>13</v>
      </c>
      <c r="L128" s="36">
        <f>IF(J128="",0,(J128/J132)*100)</f>
        <v>100</v>
      </c>
      <c r="M128" s="157">
        <v>1</v>
      </c>
      <c r="N128" s="99">
        <v>6</v>
      </c>
      <c r="O128" s="57">
        <f>IF(M128=1,1,0)</f>
        <v>1</v>
      </c>
      <c r="P128" s="209">
        <f>IF(M128=2,1,0)</f>
        <v>0</v>
      </c>
      <c r="Q128" s="209">
        <f>IF(M128=3,1,0)</f>
        <v>0</v>
      </c>
      <c r="R128" s="8">
        <f>IF(M128=4,1,0)</f>
        <v>0</v>
      </c>
      <c r="S128" s="194"/>
      <c r="T128" s="30"/>
      <c r="U128" s="13"/>
    </row>
    <row r="129" spans="2:21" ht="20.100000000000001" customHeight="1" x14ac:dyDescent="0.25">
      <c r="B129" s="13"/>
      <c r="C129" s="30"/>
      <c r="D129" s="30"/>
      <c r="E129" s="303" t="s">
        <v>2</v>
      </c>
      <c r="F129" s="247" t="s">
        <v>8</v>
      </c>
      <c r="G129" s="47">
        <v>4</v>
      </c>
      <c r="H129" s="100" t="s">
        <v>359</v>
      </c>
      <c r="I129" s="47">
        <v>40</v>
      </c>
      <c r="J129" s="100">
        <v>88</v>
      </c>
      <c r="K129" s="276" t="s">
        <v>13</v>
      </c>
      <c r="L129" s="48">
        <f>IF(J129="",0,(J129/J132)*100)</f>
        <v>53.333333333333336</v>
      </c>
      <c r="M129" s="47">
        <v>4</v>
      </c>
      <c r="N129" s="60">
        <v>0</v>
      </c>
      <c r="O129" s="205">
        <f>IF(M129=1,1,0)</f>
        <v>0</v>
      </c>
      <c r="P129" s="207">
        <f>IF(M129=2,1,0)</f>
        <v>0</v>
      </c>
      <c r="Q129" s="207">
        <f>IF(M129=3,1,0)</f>
        <v>0</v>
      </c>
      <c r="R129" s="9">
        <f>IF(M129=4,1,0)</f>
        <v>1</v>
      </c>
      <c r="S129" s="194"/>
      <c r="T129" s="30"/>
      <c r="U129" s="31"/>
    </row>
    <row r="130" spans="2:21" ht="20.100000000000001" customHeight="1" x14ac:dyDescent="0.25">
      <c r="B130" s="13"/>
      <c r="C130" s="30"/>
      <c r="D130" s="30"/>
      <c r="E130" s="303" t="s">
        <v>47</v>
      </c>
      <c r="F130" s="247" t="s">
        <v>64</v>
      </c>
      <c r="G130" s="47">
        <v>3</v>
      </c>
      <c r="H130" s="100" t="s">
        <v>169</v>
      </c>
      <c r="I130" s="47">
        <v>38</v>
      </c>
      <c r="J130" s="100">
        <v>108</v>
      </c>
      <c r="K130" s="276" t="s">
        <v>13</v>
      </c>
      <c r="L130" s="48">
        <f>IF(J130="",0,(J130/J132)*100)</f>
        <v>65.454545454545453</v>
      </c>
      <c r="M130" s="47">
        <v>3</v>
      </c>
      <c r="N130" s="60">
        <v>1</v>
      </c>
      <c r="O130" s="205">
        <f>IF(M130=1,1,0)</f>
        <v>0</v>
      </c>
      <c r="P130" s="207">
        <f>IF(M130=2,1,0)</f>
        <v>0</v>
      </c>
      <c r="Q130" s="207">
        <f>IF(M130=3,1,0)</f>
        <v>1</v>
      </c>
      <c r="R130" s="9">
        <f>IF(M130=4,1,0)</f>
        <v>0</v>
      </c>
      <c r="S130" s="194"/>
      <c r="T130" s="30"/>
      <c r="U130" s="31"/>
    </row>
    <row r="131" spans="2:21" ht="20.100000000000001" customHeight="1" thickBot="1" x14ac:dyDescent="0.3">
      <c r="B131" s="13"/>
      <c r="C131" s="30"/>
      <c r="D131" s="30"/>
      <c r="E131" s="354" t="s">
        <v>1</v>
      </c>
      <c r="F131" s="255" t="s">
        <v>11</v>
      </c>
      <c r="G131" s="150">
        <v>2</v>
      </c>
      <c r="H131" s="107" t="s">
        <v>105</v>
      </c>
      <c r="I131" s="150">
        <v>33</v>
      </c>
      <c r="J131" s="107">
        <v>150</v>
      </c>
      <c r="K131" s="17" t="s">
        <v>13</v>
      </c>
      <c r="L131" s="17">
        <f>IF(J131="",0,(J131/J132)*100)</f>
        <v>90.909090909090907</v>
      </c>
      <c r="M131" s="150">
        <v>2</v>
      </c>
      <c r="N131" s="59">
        <v>3</v>
      </c>
      <c r="O131" s="58">
        <f>IF(M131=1,1,0)</f>
        <v>0</v>
      </c>
      <c r="P131" s="208">
        <f>IF(M131=2,1,0)</f>
        <v>1</v>
      </c>
      <c r="Q131" s="208">
        <f>IF(M131=3,1,0)</f>
        <v>0</v>
      </c>
      <c r="R131" s="10">
        <f>IF(M131=4,1,0)</f>
        <v>0</v>
      </c>
      <c r="S131" s="194"/>
      <c r="T131" s="30"/>
      <c r="U131" s="31"/>
    </row>
    <row r="132" spans="2:21" ht="20.100000000000001" hidden="1" customHeight="1" outlineLevel="1" x14ac:dyDescent="0.25">
      <c r="B132" s="13"/>
      <c r="C132" s="30"/>
      <c r="D132" s="30"/>
      <c r="E132" s="30"/>
      <c r="F132" s="533"/>
      <c r="G132" s="533"/>
      <c r="H132" s="30"/>
      <c r="I132" s="64" t="s">
        <v>29</v>
      </c>
      <c r="J132" s="23">
        <f>MAX(J128:J131)</f>
        <v>165</v>
      </c>
      <c r="K132" s="76"/>
      <c r="L132" s="194"/>
      <c r="M132" s="30"/>
      <c r="N132" s="63" t="s">
        <v>33</v>
      </c>
      <c r="O132" s="20">
        <f>SUM(O128:O131)</f>
        <v>1</v>
      </c>
      <c r="P132" s="21">
        <f>SUM(P128:P131)</f>
        <v>1</v>
      </c>
      <c r="Q132" s="20">
        <f>SUM(Q128:Q131)</f>
        <v>1</v>
      </c>
      <c r="R132" s="22">
        <f>SUM(R128:R131)</f>
        <v>1</v>
      </c>
      <c r="S132" s="77"/>
      <c r="T132" s="30"/>
      <c r="U132" s="31"/>
    </row>
    <row r="133" spans="2:21" ht="20.100000000000001" customHeight="1" collapsed="1" x14ac:dyDescent="0.25">
      <c r="B133" s="13"/>
      <c r="C133" s="30"/>
      <c r="D133" s="30"/>
      <c r="E133" s="30"/>
      <c r="F133" s="30"/>
      <c r="G133" s="30"/>
      <c r="H133" s="30"/>
      <c r="I133" s="30"/>
      <c r="J133" s="30"/>
      <c r="K133" s="30"/>
      <c r="L133" s="30"/>
      <c r="M133" s="30"/>
      <c r="N133" s="30"/>
      <c r="O133" s="30"/>
      <c r="P133" s="30"/>
      <c r="Q133" s="30"/>
      <c r="R133" s="30"/>
      <c r="S133" s="30"/>
      <c r="T133" s="30"/>
      <c r="U133" s="31"/>
    </row>
    <row r="134" spans="2:21" ht="20.100000000000001" customHeight="1" x14ac:dyDescent="0.25">
      <c r="B134" s="13"/>
      <c r="D134" s="28"/>
      <c r="E134" s="28"/>
      <c r="F134" s="28"/>
      <c r="G134" s="28"/>
      <c r="H134" s="29"/>
      <c r="I134" s="28"/>
      <c r="J134" s="28"/>
      <c r="K134" s="28"/>
      <c r="U134" s="13"/>
    </row>
    <row r="135" spans="2:21" ht="20.100000000000001" customHeight="1" thickBot="1" x14ac:dyDescent="0.3">
      <c r="B135" s="13"/>
      <c r="C135" s="32"/>
      <c r="D135" s="32"/>
      <c r="E135" s="534" t="str">
        <f>IF(OR(L103="-",L103= ""),H103,L103)</f>
        <v>Rajas of the Ganges</v>
      </c>
      <c r="F135" s="534"/>
      <c r="G135" s="534"/>
      <c r="H135" s="534"/>
      <c r="I135" s="534"/>
      <c r="J135" s="534"/>
      <c r="K135" s="534"/>
      <c r="L135" s="534"/>
      <c r="M135" s="534"/>
      <c r="N135" s="534"/>
      <c r="O135" s="195"/>
      <c r="P135" s="195"/>
      <c r="Q135" s="195"/>
      <c r="R135" s="195"/>
      <c r="S135" s="195"/>
      <c r="T135" s="32"/>
      <c r="U135" s="13"/>
    </row>
    <row r="136" spans="2:21" ht="50.1" customHeight="1" thickBot="1" x14ac:dyDescent="0.3">
      <c r="B136" s="13"/>
      <c r="C136" s="32"/>
      <c r="D136" s="195"/>
      <c r="E136" s="88" t="s">
        <v>10</v>
      </c>
      <c r="F136" s="125" t="s">
        <v>52</v>
      </c>
      <c r="G136" s="89" t="s">
        <v>14</v>
      </c>
      <c r="H136" s="200" t="s">
        <v>51</v>
      </c>
      <c r="I136" s="18" t="s">
        <v>54</v>
      </c>
      <c r="J136" s="200" t="s">
        <v>53</v>
      </c>
      <c r="K136" s="206" t="s">
        <v>28</v>
      </c>
      <c r="L136" s="200" t="s">
        <v>37</v>
      </c>
      <c r="M136" s="204" t="s">
        <v>16</v>
      </c>
      <c r="N136" s="89" t="s">
        <v>15</v>
      </c>
      <c r="O136" s="5" t="s">
        <v>30</v>
      </c>
      <c r="P136" s="7" t="s">
        <v>34</v>
      </c>
      <c r="Q136" s="7" t="s">
        <v>31</v>
      </c>
      <c r="R136" s="19" t="s">
        <v>32</v>
      </c>
      <c r="S136" s="195"/>
      <c r="T136" s="32"/>
      <c r="U136" s="13"/>
    </row>
    <row r="137" spans="2:21" ht="20.100000000000001" customHeight="1" x14ac:dyDescent="0.25">
      <c r="B137" s="13"/>
      <c r="C137" s="32"/>
      <c r="D137" s="32"/>
      <c r="E137" s="327" t="s">
        <v>125</v>
      </c>
      <c r="F137" s="272" t="s">
        <v>126</v>
      </c>
      <c r="G137" s="157">
        <v>4</v>
      </c>
      <c r="H137" s="157" t="s">
        <v>13</v>
      </c>
      <c r="I137" s="157">
        <v>-58</v>
      </c>
      <c r="J137" s="157">
        <v>6</v>
      </c>
      <c r="K137" s="157" t="s">
        <v>13</v>
      </c>
      <c r="L137" s="36">
        <f>($I$137-J137)/($I$137-$J$137)*100</f>
        <v>100</v>
      </c>
      <c r="M137" s="157">
        <v>1</v>
      </c>
      <c r="N137" s="99">
        <v>6</v>
      </c>
      <c r="O137" s="57">
        <f>IF(M137=1,1,0)</f>
        <v>1</v>
      </c>
      <c r="P137" s="209">
        <f>IF(M137=2,1,0)</f>
        <v>0</v>
      </c>
      <c r="Q137" s="209">
        <f>IF(M137=3,1,0)</f>
        <v>0</v>
      </c>
      <c r="R137" s="8">
        <f>IF(M137=4,1,0)</f>
        <v>0</v>
      </c>
      <c r="S137" s="201"/>
      <c r="T137" s="32"/>
      <c r="U137" s="13"/>
    </row>
    <row r="138" spans="2:21" ht="20.100000000000001" customHeight="1" x14ac:dyDescent="0.25">
      <c r="B138" s="13"/>
      <c r="C138" s="32"/>
      <c r="D138" s="32"/>
      <c r="E138" s="303" t="s">
        <v>2</v>
      </c>
      <c r="F138" s="247" t="s">
        <v>8</v>
      </c>
      <c r="G138" s="47">
        <v>2</v>
      </c>
      <c r="H138" s="47" t="s">
        <v>13</v>
      </c>
      <c r="I138" s="47">
        <v>-59</v>
      </c>
      <c r="J138" s="47">
        <v>-12</v>
      </c>
      <c r="K138" s="100" t="s">
        <v>13</v>
      </c>
      <c r="L138" s="48">
        <f t="shared" ref="L138:L140" si="1">($I$137-J138)/($I$137-$J$137)*100</f>
        <v>71.875</v>
      </c>
      <c r="M138" s="47">
        <v>3</v>
      </c>
      <c r="N138" s="60">
        <v>1</v>
      </c>
      <c r="O138" s="205">
        <f>IF(M138=1,1,0)</f>
        <v>0</v>
      </c>
      <c r="P138" s="207">
        <f>IF(M138=2,1,0)</f>
        <v>0</v>
      </c>
      <c r="Q138" s="207">
        <f>IF(M138=3,1,0)</f>
        <v>1</v>
      </c>
      <c r="R138" s="9">
        <f>IF(M138=4,1,0)</f>
        <v>0</v>
      </c>
      <c r="S138" s="201"/>
      <c r="T138" s="32"/>
      <c r="U138" s="13"/>
    </row>
    <row r="139" spans="2:21" ht="20.100000000000001" customHeight="1" x14ac:dyDescent="0.25">
      <c r="B139" s="13"/>
      <c r="C139" s="32"/>
      <c r="D139" s="32"/>
      <c r="E139" s="303" t="s">
        <v>47</v>
      </c>
      <c r="F139" s="247" t="s">
        <v>64</v>
      </c>
      <c r="G139" s="47">
        <v>3</v>
      </c>
      <c r="H139" s="47" t="s">
        <v>13</v>
      </c>
      <c r="I139" s="47">
        <v>-58</v>
      </c>
      <c r="J139" s="47">
        <v>-25</v>
      </c>
      <c r="K139" s="47" t="s">
        <v>13</v>
      </c>
      <c r="L139" s="48">
        <f t="shared" si="1"/>
        <v>51.5625</v>
      </c>
      <c r="M139" s="47">
        <v>4</v>
      </c>
      <c r="N139" s="60">
        <v>0</v>
      </c>
      <c r="O139" s="205">
        <f>IF(M139=1,1,0)</f>
        <v>0</v>
      </c>
      <c r="P139" s="207">
        <f>IF(M139=2,1,0)</f>
        <v>0</v>
      </c>
      <c r="Q139" s="207">
        <f>IF(M139=3,1,0)</f>
        <v>0</v>
      </c>
      <c r="R139" s="9">
        <f>IF(M139=4,1,0)</f>
        <v>1</v>
      </c>
      <c r="S139" s="201"/>
      <c r="T139" s="32"/>
      <c r="U139" s="13"/>
    </row>
    <row r="140" spans="2:21" ht="20.100000000000001" customHeight="1" thickBot="1" x14ac:dyDescent="0.3">
      <c r="B140" s="13"/>
      <c r="C140" s="32"/>
      <c r="D140" s="65"/>
      <c r="E140" s="354" t="s">
        <v>1</v>
      </c>
      <c r="F140" s="255" t="s">
        <v>11</v>
      </c>
      <c r="G140" s="150">
        <v>1</v>
      </c>
      <c r="H140" s="150" t="s">
        <v>13</v>
      </c>
      <c r="I140" s="150">
        <v>-59</v>
      </c>
      <c r="J140" s="150">
        <v>2</v>
      </c>
      <c r="K140" s="107" t="s">
        <v>13</v>
      </c>
      <c r="L140" s="17">
        <f t="shared" si="1"/>
        <v>93.75</v>
      </c>
      <c r="M140" s="150">
        <v>2</v>
      </c>
      <c r="N140" s="59">
        <v>3</v>
      </c>
      <c r="O140" s="58">
        <f>IF(M140=1,1,0)</f>
        <v>0</v>
      </c>
      <c r="P140" s="208">
        <f>IF(M140=2,1,0)</f>
        <v>1</v>
      </c>
      <c r="Q140" s="208">
        <f>IF(M140=3,1,0)</f>
        <v>0</v>
      </c>
      <c r="R140" s="10">
        <f>IF(M140=4,1,0)</f>
        <v>0</v>
      </c>
      <c r="S140" s="201"/>
      <c r="T140" s="32"/>
      <c r="U140" s="13"/>
    </row>
    <row r="141" spans="2:21" ht="20.100000000000001" hidden="1" customHeight="1" outlineLevel="1" x14ac:dyDescent="0.25">
      <c r="B141" s="13"/>
      <c r="C141" s="32"/>
      <c r="D141" s="32"/>
      <c r="E141" s="32"/>
      <c r="F141" s="535"/>
      <c r="G141" s="535"/>
      <c r="H141" s="32"/>
      <c r="I141" s="64" t="s">
        <v>29</v>
      </c>
      <c r="J141" s="23">
        <f>MAX(J137:J140)</f>
        <v>6</v>
      </c>
      <c r="K141" s="78"/>
      <c r="L141" s="201"/>
      <c r="M141" s="32"/>
      <c r="N141" s="63" t="s">
        <v>33</v>
      </c>
      <c r="O141" s="20">
        <f>SUM(O137:O140)</f>
        <v>1</v>
      </c>
      <c r="P141" s="21">
        <f>SUM(P137:P140)</f>
        <v>1</v>
      </c>
      <c r="Q141" s="20">
        <f>SUM(Q137:Q140)</f>
        <v>1</v>
      </c>
      <c r="R141" s="22">
        <f>SUM(R137:R140)</f>
        <v>1</v>
      </c>
      <c r="S141" s="79"/>
      <c r="T141" s="32"/>
      <c r="U141" s="13"/>
    </row>
    <row r="142" spans="2:21" ht="20.100000000000001" customHeight="1" collapsed="1" x14ac:dyDescent="0.25">
      <c r="B142" s="13"/>
      <c r="C142" s="32"/>
      <c r="D142" s="32"/>
      <c r="E142" s="32"/>
      <c r="F142" s="32"/>
      <c r="G142" s="32"/>
      <c r="H142" s="32"/>
      <c r="I142" s="32"/>
      <c r="J142" s="32"/>
      <c r="K142" s="32"/>
      <c r="L142" s="32"/>
      <c r="M142" s="32"/>
      <c r="N142" s="32"/>
      <c r="O142" s="32"/>
      <c r="P142" s="32"/>
      <c r="Q142" s="32"/>
      <c r="R142" s="32"/>
      <c r="S142" s="32"/>
      <c r="T142" s="32"/>
      <c r="U142" s="13"/>
    </row>
    <row r="143" spans="2:21" ht="20.100000000000001" customHeight="1" x14ac:dyDescent="0.25">
      <c r="B143" s="13"/>
      <c r="D143" s="4"/>
      <c r="E143" s="4"/>
      <c r="F143" s="4"/>
      <c r="G143" s="4"/>
      <c r="H143" s="4"/>
      <c r="I143" s="4"/>
      <c r="J143" s="4"/>
      <c r="U143" s="13"/>
    </row>
    <row r="144" spans="2:21" ht="30" customHeight="1" thickBot="1" x14ac:dyDescent="0.3">
      <c r="B144" s="13"/>
      <c r="C144" s="33"/>
      <c r="D144" s="536" t="s">
        <v>48</v>
      </c>
      <c r="E144" s="536"/>
      <c r="F144" s="536"/>
      <c r="G144" s="536"/>
      <c r="H144" s="536"/>
      <c r="I144" s="536"/>
      <c r="J144" s="536"/>
      <c r="K144" s="536"/>
      <c r="L144" s="536"/>
      <c r="M144" s="536"/>
      <c r="N144" s="536"/>
      <c r="O144" s="536"/>
      <c r="P144" s="536"/>
      <c r="Q144" s="536"/>
      <c r="R144" s="536"/>
      <c r="S144" s="536"/>
      <c r="T144" s="33"/>
      <c r="U144" s="13"/>
    </row>
    <row r="145" spans="2:31" ht="50.1" customHeight="1" thickBot="1" x14ac:dyDescent="0.3">
      <c r="B145" s="13"/>
      <c r="C145" s="33"/>
      <c r="D145" s="90" t="s">
        <v>10</v>
      </c>
      <c r="E145" s="93" t="s">
        <v>139</v>
      </c>
      <c r="F145" s="91" t="s">
        <v>15</v>
      </c>
      <c r="G145" s="42" t="s">
        <v>55</v>
      </c>
      <c r="H145" s="537" t="s">
        <v>56</v>
      </c>
      <c r="I145" s="538"/>
      <c r="J145" s="202" t="s">
        <v>66</v>
      </c>
      <c r="K145" s="92" t="s">
        <v>17</v>
      </c>
      <c r="L145" s="91" t="s">
        <v>18</v>
      </c>
      <c r="M145" s="92" t="s">
        <v>19</v>
      </c>
      <c r="N145" s="91" t="s">
        <v>20</v>
      </c>
      <c r="O145" s="130"/>
      <c r="P145" s="126"/>
      <c r="Q145" s="126"/>
      <c r="R145" s="126"/>
      <c r="S145" s="93" t="s">
        <v>38</v>
      </c>
      <c r="T145" s="33"/>
      <c r="U145" s="13"/>
    </row>
    <row r="146" spans="2:31" ht="20.100000000000001" customHeight="1" x14ac:dyDescent="0.25">
      <c r="B146" s="13"/>
      <c r="C146" s="33"/>
      <c r="D146" s="367" t="s">
        <v>125</v>
      </c>
      <c r="E146" s="288" t="s">
        <v>126</v>
      </c>
      <c r="F146" s="133">
        <f>K146*6+L146*3+M146*1+N146*0</f>
        <v>19</v>
      </c>
      <c r="G146" s="262">
        <v>0</v>
      </c>
      <c r="H146" s="539" t="s">
        <v>13</v>
      </c>
      <c r="I146" s="539"/>
      <c r="J146" s="133">
        <f>F146+G146</f>
        <v>19</v>
      </c>
      <c r="K146" s="133">
        <v>3</v>
      </c>
      <c r="L146" s="133">
        <v>0</v>
      </c>
      <c r="M146" s="133">
        <v>1</v>
      </c>
      <c r="N146" s="133">
        <v>0</v>
      </c>
      <c r="O146" s="152"/>
      <c r="P146" s="262"/>
      <c r="Q146" s="262"/>
      <c r="R146" s="262"/>
      <c r="S146" s="134">
        <f>(L110++L119+L128+L137)/4</f>
        <v>94.777462121212125</v>
      </c>
      <c r="T146" s="33"/>
      <c r="U146" s="13"/>
    </row>
    <row r="147" spans="2:31" ht="20.100000000000001" customHeight="1" x14ac:dyDescent="0.25">
      <c r="B147" s="13"/>
      <c r="C147" s="33"/>
      <c r="D147" s="364" t="s">
        <v>1</v>
      </c>
      <c r="E147" s="274" t="s">
        <v>11</v>
      </c>
      <c r="F147" s="52">
        <f>K147*6+L147*3+M147*1+N147*0</f>
        <v>15</v>
      </c>
      <c r="G147" s="263">
        <v>0</v>
      </c>
      <c r="H147" s="529" t="s">
        <v>13</v>
      </c>
      <c r="I147" s="529"/>
      <c r="J147" s="52">
        <f>F147+G147</f>
        <v>15</v>
      </c>
      <c r="K147" s="52">
        <v>1</v>
      </c>
      <c r="L147" s="52">
        <v>3</v>
      </c>
      <c r="M147" s="52">
        <v>0</v>
      </c>
      <c r="N147" s="52">
        <v>0</v>
      </c>
      <c r="O147" s="151"/>
      <c r="P147" s="263"/>
      <c r="Q147" s="263"/>
      <c r="R147" s="263"/>
      <c r="S147" s="104">
        <f>(L113+L122+L131+L140)/4</f>
        <v>96.16477272727272</v>
      </c>
      <c r="T147" s="33"/>
      <c r="U147" s="13"/>
      <c r="Y147" s="610"/>
      <c r="Z147" s="610"/>
      <c r="AA147" s="43"/>
      <c r="AB147" s="43"/>
      <c r="AC147" s="44"/>
      <c r="AD147" s="44"/>
      <c r="AE147" s="44"/>
    </row>
    <row r="148" spans="2:31" ht="20.100000000000001" customHeight="1" x14ac:dyDescent="0.25">
      <c r="B148" s="13"/>
      <c r="C148" s="33"/>
      <c r="D148" s="364" t="s">
        <v>47</v>
      </c>
      <c r="E148" s="274" t="s">
        <v>64</v>
      </c>
      <c r="F148" s="52">
        <f>K148*6+L148*3+M148*1+N148*0</f>
        <v>5</v>
      </c>
      <c r="G148" s="263">
        <v>0</v>
      </c>
      <c r="H148" s="529" t="s">
        <v>13</v>
      </c>
      <c r="I148" s="529"/>
      <c r="J148" s="52">
        <f>F148+G148</f>
        <v>5</v>
      </c>
      <c r="K148" s="52">
        <v>0</v>
      </c>
      <c r="L148" s="52">
        <v>1</v>
      </c>
      <c r="M148" s="52">
        <v>2</v>
      </c>
      <c r="N148" s="52">
        <v>1</v>
      </c>
      <c r="O148" s="151"/>
      <c r="P148" s="263"/>
      <c r="Q148" s="263"/>
      <c r="R148" s="263"/>
      <c r="S148" s="104">
        <f>(L112+L121+L130+L139)/4</f>
        <v>79.25426136363636</v>
      </c>
      <c r="T148" s="33"/>
      <c r="U148" s="13"/>
    </row>
    <row r="149" spans="2:31" ht="20.100000000000001" customHeight="1" thickBot="1" x14ac:dyDescent="0.3">
      <c r="B149" s="13"/>
      <c r="C149" s="33"/>
      <c r="D149" s="372" t="s">
        <v>2</v>
      </c>
      <c r="E149" s="275" t="s">
        <v>8</v>
      </c>
      <c r="F149" s="109">
        <f>K149*6+L149*3+M149*1+N149*0</f>
        <v>1</v>
      </c>
      <c r="G149" s="264">
        <v>0</v>
      </c>
      <c r="H149" s="530" t="s">
        <v>13</v>
      </c>
      <c r="I149" s="530"/>
      <c r="J149" s="109">
        <f>F149+G149</f>
        <v>1</v>
      </c>
      <c r="K149" s="109">
        <v>0</v>
      </c>
      <c r="L149" s="109">
        <v>0</v>
      </c>
      <c r="M149" s="109">
        <v>1</v>
      </c>
      <c r="N149" s="109">
        <v>3</v>
      </c>
      <c r="O149" s="153"/>
      <c r="P149" s="264"/>
      <c r="Q149" s="264"/>
      <c r="R149" s="264"/>
      <c r="S149" s="106">
        <f>(L111+L120+L129+L138)/4</f>
        <v>71.471974206349216</v>
      </c>
      <c r="T149" s="33"/>
      <c r="U149" s="13"/>
    </row>
    <row r="150" spans="2:31" ht="20.100000000000001" customHeight="1" x14ac:dyDescent="0.25">
      <c r="B150" s="13"/>
      <c r="C150" s="33"/>
      <c r="D150" s="373"/>
      <c r="E150" s="373"/>
      <c r="F150" s="371"/>
      <c r="G150" s="317"/>
      <c r="H150" s="781"/>
      <c r="I150" s="781"/>
      <c r="J150" s="371"/>
      <c r="K150" s="371"/>
      <c r="L150" s="371"/>
      <c r="M150" s="371"/>
      <c r="N150" s="371"/>
      <c r="O150" s="316"/>
      <c r="P150" s="317"/>
      <c r="Q150" s="317"/>
      <c r="R150" s="317"/>
      <c r="S150" s="330"/>
      <c r="T150" s="33"/>
      <c r="U150" s="13"/>
    </row>
    <row r="151" spans="2:31" ht="20.100000000000001" customHeight="1" x14ac:dyDescent="0.25">
      <c r="B151" s="13"/>
      <c r="C151" s="13"/>
      <c r="D151" s="15"/>
      <c r="E151" s="15"/>
      <c r="F151" s="14"/>
      <c r="G151" s="14"/>
      <c r="H151" s="15"/>
      <c r="I151" s="15"/>
      <c r="J151" s="15"/>
      <c r="K151" s="13"/>
      <c r="L151" s="13"/>
      <c r="M151" s="13"/>
      <c r="N151" s="13"/>
      <c r="O151" s="13"/>
      <c r="P151" s="13"/>
      <c r="Q151" s="13"/>
      <c r="R151" s="13"/>
      <c r="S151" s="13"/>
      <c r="T151" s="13"/>
      <c r="U151" s="13"/>
    </row>
    <row r="152" spans="2:31" ht="20.100000000000001" customHeight="1" x14ac:dyDescent="0.25"/>
    <row r="153" spans="2:31" ht="20.100000000000001" customHeight="1" x14ac:dyDescent="0.25"/>
    <row r="154" spans="2:31" ht="20.100000000000001" customHeight="1" x14ac:dyDescent="0.25">
      <c r="B154" s="13"/>
      <c r="C154" s="13"/>
      <c r="D154" s="25"/>
      <c r="E154" s="25"/>
      <c r="F154" s="25"/>
      <c r="G154" s="25"/>
      <c r="H154" s="13"/>
      <c r="I154" s="13"/>
      <c r="J154" s="13"/>
      <c r="K154" s="13"/>
      <c r="L154" s="13"/>
      <c r="M154" s="13"/>
      <c r="N154" s="13"/>
      <c r="O154" s="13"/>
      <c r="P154" s="13"/>
      <c r="Q154" s="13"/>
      <c r="R154" s="13"/>
      <c r="S154" s="13"/>
      <c r="T154" s="13"/>
      <c r="U154" s="13"/>
    </row>
    <row r="155" spans="2:31" ht="30" customHeight="1" x14ac:dyDescent="0.25">
      <c r="B155" s="13"/>
      <c r="C155" s="555" t="s">
        <v>222</v>
      </c>
      <c r="D155" s="555"/>
      <c r="E155" s="555"/>
      <c r="F155" s="555"/>
      <c r="G155" s="555"/>
      <c r="H155" s="555"/>
      <c r="I155" s="555"/>
      <c r="J155" s="555"/>
      <c r="K155" s="555"/>
      <c r="L155" s="555"/>
      <c r="M155" s="555"/>
      <c r="N155" s="555"/>
      <c r="O155" s="555"/>
      <c r="P155" s="555"/>
      <c r="Q155" s="555"/>
      <c r="R155" s="555"/>
      <c r="S155" s="555"/>
      <c r="T155" s="555"/>
      <c r="U155" s="13"/>
    </row>
    <row r="156" spans="2:31" ht="20.100000000000001" customHeight="1" thickBot="1" x14ac:dyDescent="0.3">
      <c r="B156" s="13"/>
      <c r="U156" s="13"/>
    </row>
    <row r="157" spans="2:31" ht="20.100000000000001" customHeight="1" thickBot="1" x14ac:dyDescent="0.3">
      <c r="B157" s="13"/>
      <c r="D157" s="556" t="s">
        <v>10</v>
      </c>
      <c r="E157" s="558" t="s">
        <v>67</v>
      </c>
      <c r="F157" s="560" t="s">
        <v>22</v>
      </c>
      <c r="G157" s="563" t="s">
        <v>42</v>
      </c>
      <c r="H157" s="561"/>
      <c r="I157" s="561"/>
      <c r="J157" s="562"/>
      <c r="K157" s="200" t="s">
        <v>36</v>
      </c>
      <c r="L157" s="563" t="s">
        <v>27</v>
      </c>
      <c r="M157" s="561"/>
      <c r="N157" s="561"/>
      <c r="O157" s="561"/>
      <c r="P157" s="561"/>
      <c r="Q157" s="561"/>
      <c r="R157" s="561"/>
      <c r="S157" s="562"/>
      <c r="U157" s="13"/>
    </row>
    <row r="158" spans="2:31" ht="20.100000000000001" customHeight="1" thickBot="1" x14ac:dyDescent="0.3">
      <c r="B158" s="13"/>
      <c r="D158" s="557"/>
      <c r="E158" s="559"/>
      <c r="F158" s="559"/>
      <c r="G158" s="86" t="s">
        <v>43</v>
      </c>
      <c r="H158" s="85" t="s">
        <v>24</v>
      </c>
      <c r="I158" s="556" t="s">
        <v>23</v>
      </c>
      <c r="J158" s="564"/>
      <c r="K158" s="85" t="s">
        <v>25</v>
      </c>
      <c r="L158" s="94" t="s">
        <v>43</v>
      </c>
      <c r="M158" s="87" t="s">
        <v>26</v>
      </c>
      <c r="N158" s="556" t="s">
        <v>23</v>
      </c>
      <c r="O158" s="588"/>
      <c r="P158" s="588"/>
      <c r="Q158" s="588"/>
      <c r="R158" s="588"/>
      <c r="S158" s="564"/>
      <c r="U158" s="13"/>
    </row>
    <row r="159" spans="2:31" ht="30" x14ac:dyDescent="0.25">
      <c r="B159" s="13"/>
      <c r="D159" s="365" t="s">
        <v>88</v>
      </c>
      <c r="E159" s="406" t="s">
        <v>69</v>
      </c>
      <c r="F159" s="113">
        <v>1</v>
      </c>
      <c r="G159" s="213" t="s">
        <v>44</v>
      </c>
      <c r="H159" s="407" t="s">
        <v>362</v>
      </c>
      <c r="I159" s="833" t="s">
        <v>13</v>
      </c>
      <c r="J159" s="834"/>
      <c r="K159" s="410" t="s">
        <v>12</v>
      </c>
      <c r="L159" s="388" t="s">
        <v>13</v>
      </c>
      <c r="M159" s="388" t="s">
        <v>13</v>
      </c>
      <c r="N159" s="590" t="s">
        <v>13</v>
      </c>
      <c r="O159" s="590"/>
      <c r="P159" s="590"/>
      <c r="Q159" s="590"/>
      <c r="R159" s="590"/>
      <c r="S159" s="591"/>
      <c r="U159" s="13"/>
    </row>
    <row r="160" spans="2:31" s="408" customFormat="1" ht="15" customHeight="1" x14ac:dyDescent="0.25">
      <c r="B160" s="409"/>
      <c r="D160" s="836" t="s">
        <v>128</v>
      </c>
      <c r="E160" s="761" t="s">
        <v>129</v>
      </c>
      <c r="F160" s="850">
        <v>2</v>
      </c>
      <c r="G160" s="853" t="s">
        <v>44</v>
      </c>
      <c r="H160" s="671" t="s">
        <v>103</v>
      </c>
      <c r="I160" s="671" t="s">
        <v>350</v>
      </c>
      <c r="J160" s="673"/>
      <c r="K160" s="843" t="s">
        <v>12</v>
      </c>
      <c r="L160" s="856" t="s">
        <v>13</v>
      </c>
      <c r="M160" s="856" t="s">
        <v>13</v>
      </c>
      <c r="N160" s="693" t="s">
        <v>13</v>
      </c>
      <c r="O160" s="694"/>
      <c r="P160" s="694"/>
      <c r="Q160" s="694"/>
      <c r="R160" s="694"/>
      <c r="S160" s="695"/>
      <c r="U160" s="409"/>
    </row>
    <row r="161" spans="2:21" s="408" customFormat="1" ht="27.95" customHeight="1" x14ac:dyDescent="0.25">
      <c r="B161" s="409"/>
      <c r="D161" s="837"/>
      <c r="E161" s="762"/>
      <c r="F161" s="851"/>
      <c r="G161" s="854"/>
      <c r="H161" s="661"/>
      <c r="I161" s="661" t="s">
        <v>366</v>
      </c>
      <c r="J161" s="662"/>
      <c r="K161" s="844"/>
      <c r="L161" s="857"/>
      <c r="M161" s="857"/>
      <c r="N161" s="696"/>
      <c r="O161" s="697"/>
      <c r="P161" s="697"/>
      <c r="Q161" s="697"/>
      <c r="R161" s="697"/>
      <c r="S161" s="698"/>
      <c r="U161" s="409"/>
    </row>
    <row r="162" spans="2:21" s="408" customFormat="1" ht="15" customHeight="1" x14ac:dyDescent="0.25">
      <c r="B162" s="409"/>
      <c r="D162" s="837"/>
      <c r="E162" s="762"/>
      <c r="F162" s="851"/>
      <c r="G162" s="854"/>
      <c r="H162" s="661"/>
      <c r="I162" s="661" t="s">
        <v>370</v>
      </c>
      <c r="J162" s="662"/>
      <c r="K162" s="844"/>
      <c r="L162" s="857"/>
      <c r="M162" s="857"/>
      <c r="N162" s="696"/>
      <c r="O162" s="697"/>
      <c r="P162" s="697"/>
      <c r="Q162" s="697"/>
      <c r="R162" s="697"/>
      <c r="S162" s="698"/>
      <c r="U162" s="409"/>
    </row>
    <row r="163" spans="2:21" s="408" customFormat="1" ht="15" customHeight="1" x14ac:dyDescent="0.25">
      <c r="B163" s="409"/>
      <c r="D163" s="837"/>
      <c r="E163" s="762"/>
      <c r="F163" s="851"/>
      <c r="G163" s="854"/>
      <c r="H163" s="661"/>
      <c r="I163" s="661" t="s">
        <v>347</v>
      </c>
      <c r="J163" s="662"/>
      <c r="K163" s="844"/>
      <c r="L163" s="857"/>
      <c r="M163" s="857"/>
      <c r="N163" s="696"/>
      <c r="O163" s="697"/>
      <c r="P163" s="697"/>
      <c r="Q163" s="697"/>
      <c r="R163" s="697"/>
      <c r="S163" s="698"/>
      <c r="U163" s="409"/>
    </row>
    <row r="164" spans="2:21" s="408" customFormat="1" ht="15" customHeight="1" x14ac:dyDescent="0.25">
      <c r="B164" s="409"/>
      <c r="D164" s="837"/>
      <c r="E164" s="762"/>
      <c r="F164" s="851"/>
      <c r="G164" s="854"/>
      <c r="H164" s="661"/>
      <c r="I164" s="661" t="s">
        <v>351</v>
      </c>
      <c r="J164" s="662"/>
      <c r="K164" s="844"/>
      <c r="L164" s="857"/>
      <c r="M164" s="857"/>
      <c r="N164" s="696"/>
      <c r="O164" s="697"/>
      <c r="P164" s="697"/>
      <c r="Q164" s="697"/>
      <c r="R164" s="697"/>
      <c r="S164" s="698"/>
      <c r="U164" s="409"/>
    </row>
    <row r="165" spans="2:21" s="408" customFormat="1" ht="15" customHeight="1" x14ac:dyDescent="0.25">
      <c r="B165" s="409"/>
      <c r="D165" s="837"/>
      <c r="E165" s="762"/>
      <c r="F165" s="851"/>
      <c r="G165" s="854"/>
      <c r="H165" s="661"/>
      <c r="I165" s="661" t="s">
        <v>352</v>
      </c>
      <c r="J165" s="662"/>
      <c r="K165" s="844"/>
      <c r="L165" s="857"/>
      <c r="M165" s="857"/>
      <c r="N165" s="696"/>
      <c r="O165" s="697"/>
      <c r="P165" s="697"/>
      <c r="Q165" s="697"/>
      <c r="R165" s="697"/>
      <c r="S165" s="698"/>
      <c r="U165" s="409"/>
    </row>
    <row r="166" spans="2:21" s="408" customFormat="1" ht="15" customHeight="1" x14ac:dyDescent="0.25">
      <c r="B166" s="409"/>
      <c r="D166" s="837"/>
      <c r="E166" s="762"/>
      <c r="F166" s="851"/>
      <c r="G166" s="854"/>
      <c r="H166" s="661"/>
      <c r="I166" s="661" t="s">
        <v>353</v>
      </c>
      <c r="J166" s="662"/>
      <c r="K166" s="844"/>
      <c r="L166" s="857"/>
      <c r="M166" s="857"/>
      <c r="N166" s="696"/>
      <c r="O166" s="697"/>
      <c r="P166" s="697"/>
      <c r="Q166" s="697"/>
      <c r="R166" s="697"/>
      <c r="S166" s="698"/>
      <c r="U166" s="409"/>
    </row>
    <row r="167" spans="2:21" s="408" customFormat="1" x14ac:dyDescent="0.25">
      <c r="B167" s="409"/>
      <c r="D167" s="837"/>
      <c r="E167" s="762"/>
      <c r="F167" s="851"/>
      <c r="G167" s="854"/>
      <c r="H167" s="661"/>
      <c r="I167" s="661" t="s">
        <v>349</v>
      </c>
      <c r="J167" s="662"/>
      <c r="K167" s="844"/>
      <c r="L167" s="857"/>
      <c r="M167" s="857"/>
      <c r="N167" s="696"/>
      <c r="O167" s="697"/>
      <c r="P167" s="697"/>
      <c r="Q167" s="697"/>
      <c r="R167" s="697"/>
      <c r="S167" s="698"/>
      <c r="U167" s="409"/>
    </row>
    <row r="168" spans="2:21" s="408" customFormat="1" x14ac:dyDescent="0.25">
      <c r="B168" s="409"/>
      <c r="D168" s="838"/>
      <c r="E168" s="763"/>
      <c r="F168" s="852"/>
      <c r="G168" s="855"/>
      <c r="H168" s="672"/>
      <c r="I168" s="661" t="s">
        <v>348</v>
      </c>
      <c r="J168" s="662"/>
      <c r="K168" s="845"/>
      <c r="L168" s="858"/>
      <c r="M168" s="858"/>
      <c r="N168" s="699"/>
      <c r="O168" s="700"/>
      <c r="P168" s="700"/>
      <c r="Q168" s="700"/>
      <c r="R168" s="700"/>
      <c r="S168" s="701"/>
      <c r="U168" s="409"/>
    </row>
    <row r="169" spans="2:21" ht="15" customHeight="1" x14ac:dyDescent="0.25">
      <c r="B169" s="13"/>
      <c r="D169" s="773" t="s">
        <v>130</v>
      </c>
      <c r="E169" s="839" t="s">
        <v>131</v>
      </c>
      <c r="F169" s="793">
        <v>3</v>
      </c>
      <c r="G169" s="841" t="s">
        <v>44</v>
      </c>
      <c r="H169" s="598" t="s">
        <v>363</v>
      </c>
      <c r="I169" s="681" t="s">
        <v>364</v>
      </c>
      <c r="J169" s="684"/>
      <c r="K169" s="860" t="s">
        <v>12</v>
      </c>
      <c r="L169" s="593" t="s">
        <v>13</v>
      </c>
      <c r="M169" s="593" t="s">
        <v>13</v>
      </c>
      <c r="N169" s="593" t="s">
        <v>13</v>
      </c>
      <c r="O169" s="593"/>
      <c r="P169" s="593"/>
      <c r="Q169" s="593"/>
      <c r="R169" s="593"/>
      <c r="S169" s="594"/>
      <c r="U169" s="13"/>
    </row>
    <row r="170" spans="2:21" ht="27.95" customHeight="1" thickBot="1" x14ac:dyDescent="0.3">
      <c r="B170" s="13"/>
      <c r="D170" s="774"/>
      <c r="E170" s="840"/>
      <c r="F170" s="794"/>
      <c r="G170" s="842"/>
      <c r="H170" s="859"/>
      <c r="I170" s="848" t="s">
        <v>365</v>
      </c>
      <c r="J170" s="849"/>
      <c r="K170" s="861"/>
      <c r="L170" s="601"/>
      <c r="M170" s="601"/>
      <c r="N170" s="601"/>
      <c r="O170" s="601"/>
      <c r="P170" s="601"/>
      <c r="Q170" s="601"/>
      <c r="R170" s="601"/>
      <c r="S170" s="602"/>
      <c r="U170" s="13"/>
    </row>
    <row r="171" spans="2:21" ht="20.100000000000001" customHeight="1" x14ac:dyDescent="0.25">
      <c r="B171" s="13"/>
      <c r="U171" s="13"/>
    </row>
    <row r="172" spans="2:21" ht="20.100000000000001" customHeight="1" thickBot="1" x14ac:dyDescent="0.3">
      <c r="B172" s="13"/>
      <c r="C172" s="26"/>
      <c r="D172" s="26"/>
      <c r="E172" s="552" t="str">
        <f>IF(OR(L159="-",L159= ""),H159,L159)</f>
        <v>The Ruhr: A Story of Coal Trade</v>
      </c>
      <c r="F172" s="552"/>
      <c r="G172" s="552"/>
      <c r="H172" s="552"/>
      <c r="I172" s="552"/>
      <c r="J172" s="552"/>
      <c r="K172" s="552"/>
      <c r="L172" s="552"/>
      <c r="M172" s="552"/>
      <c r="N172" s="552"/>
      <c r="O172" s="199"/>
      <c r="P172" s="199"/>
      <c r="Q172" s="199"/>
      <c r="R172" s="199"/>
      <c r="S172" s="199"/>
      <c r="T172" s="26"/>
      <c r="U172" s="13"/>
    </row>
    <row r="173" spans="2:21" ht="50.1" customHeight="1" thickBot="1" x14ac:dyDescent="0.3">
      <c r="B173" s="13"/>
      <c r="C173" s="26"/>
      <c r="D173" s="199"/>
      <c r="E173" s="88" t="s">
        <v>10</v>
      </c>
      <c r="F173" s="125" t="s">
        <v>52</v>
      </c>
      <c r="G173" s="89" t="s">
        <v>14</v>
      </c>
      <c r="H173" s="200" t="s">
        <v>51</v>
      </c>
      <c r="I173" s="18" t="s">
        <v>54</v>
      </c>
      <c r="J173" s="200" t="s">
        <v>53</v>
      </c>
      <c r="K173" s="206" t="s">
        <v>28</v>
      </c>
      <c r="L173" s="200" t="s">
        <v>37</v>
      </c>
      <c r="M173" s="204" t="s">
        <v>16</v>
      </c>
      <c r="N173" s="89" t="s">
        <v>15</v>
      </c>
      <c r="O173" s="5" t="s">
        <v>30</v>
      </c>
      <c r="P173" s="7" t="s">
        <v>34</v>
      </c>
      <c r="Q173" s="7" t="s">
        <v>31</v>
      </c>
      <c r="R173" s="199"/>
      <c r="S173" s="199"/>
      <c r="T173" s="26"/>
      <c r="U173" s="13"/>
    </row>
    <row r="174" spans="2:21" ht="20.100000000000001" customHeight="1" x14ac:dyDescent="0.25">
      <c r="B174" s="13"/>
      <c r="C174" s="26"/>
      <c r="D174" s="68"/>
      <c r="E174" s="327" t="s">
        <v>88</v>
      </c>
      <c r="F174" s="272" t="s">
        <v>69</v>
      </c>
      <c r="G174" s="157">
        <v>2</v>
      </c>
      <c r="H174" s="157" t="s">
        <v>13</v>
      </c>
      <c r="I174" s="157">
        <v>0</v>
      </c>
      <c r="J174" s="157">
        <v>33</v>
      </c>
      <c r="K174" s="157" t="s">
        <v>13</v>
      </c>
      <c r="L174" s="36">
        <f>IF(J174="",0,(J174/J177)*100)</f>
        <v>100</v>
      </c>
      <c r="M174" s="157">
        <v>1</v>
      </c>
      <c r="N174" s="99">
        <v>6</v>
      </c>
      <c r="O174" s="57">
        <f>IF(M174=1,1,0)</f>
        <v>1</v>
      </c>
      <c r="P174" s="209">
        <f>IF(M174=2,1,0)</f>
        <v>0</v>
      </c>
      <c r="Q174" s="8">
        <f>IF(M174=3,1,0)</f>
        <v>0</v>
      </c>
      <c r="R174" s="198"/>
      <c r="S174" s="198"/>
      <c r="T174" s="26"/>
      <c r="U174" s="13"/>
    </row>
    <row r="175" spans="2:21" ht="20.100000000000001" customHeight="1" x14ac:dyDescent="0.25">
      <c r="B175" s="13"/>
      <c r="C175" s="26"/>
      <c r="D175" s="26"/>
      <c r="E175" s="40" t="s">
        <v>128</v>
      </c>
      <c r="F175" s="247" t="s">
        <v>129</v>
      </c>
      <c r="G175" s="47">
        <v>3</v>
      </c>
      <c r="H175" s="47" t="s">
        <v>13</v>
      </c>
      <c r="I175" s="47">
        <v>0</v>
      </c>
      <c r="J175" s="47">
        <v>22</v>
      </c>
      <c r="K175" s="100" t="s">
        <v>13</v>
      </c>
      <c r="L175" s="48">
        <f>IF(J175="",0,(J175/J177)*100)</f>
        <v>66.666666666666657</v>
      </c>
      <c r="M175" s="47">
        <v>2</v>
      </c>
      <c r="N175" s="60">
        <v>3</v>
      </c>
      <c r="O175" s="205">
        <f>IF(M175=1,1,0)</f>
        <v>0</v>
      </c>
      <c r="P175" s="207">
        <f>IF(M175=2,1,0)</f>
        <v>1</v>
      </c>
      <c r="Q175" s="9">
        <f>IF(M175=3,1,0)</f>
        <v>0</v>
      </c>
      <c r="R175" s="198"/>
      <c r="S175" s="198"/>
      <c r="T175" s="26"/>
      <c r="U175" s="13"/>
    </row>
    <row r="176" spans="2:21" ht="20.100000000000001" customHeight="1" thickBot="1" x14ac:dyDescent="0.3">
      <c r="B176" s="13"/>
      <c r="C176" s="26"/>
      <c r="D176" s="26"/>
      <c r="E176" s="354" t="s">
        <v>130</v>
      </c>
      <c r="F176" s="255" t="s">
        <v>131</v>
      </c>
      <c r="G176" s="150">
        <v>1</v>
      </c>
      <c r="H176" s="150" t="s">
        <v>13</v>
      </c>
      <c r="I176" s="150">
        <v>0</v>
      </c>
      <c r="J176" s="150">
        <v>17</v>
      </c>
      <c r="K176" s="150" t="s">
        <v>13</v>
      </c>
      <c r="L176" s="17">
        <f>IF(J176="",0,(J176/J177)*100)</f>
        <v>51.515151515151516</v>
      </c>
      <c r="M176" s="150">
        <v>3</v>
      </c>
      <c r="N176" s="59">
        <v>0</v>
      </c>
      <c r="O176" s="58">
        <f>IF(M176=1,1,0)</f>
        <v>0</v>
      </c>
      <c r="P176" s="208">
        <f>IF(M176=2,1,0)</f>
        <v>0</v>
      </c>
      <c r="Q176" s="10">
        <f>IF(M176=3,1,0)</f>
        <v>1</v>
      </c>
      <c r="R176" s="198"/>
      <c r="S176" s="198"/>
      <c r="T176" s="26"/>
      <c r="U176" s="13"/>
    </row>
    <row r="177" spans="2:21" ht="20.100000000000001" hidden="1" customHeight="1" outlineLevel="1" x14ac:dyDescent="0.25">
      <c r="B177" s="13"/>
      <c r="C177" s="26"/>
      <c r="D177" s="68"/>
      <c r="E177" s="68"/>
      <c r="F177" s="553"/>
      <c r="G177" s="553"/>
      <c r="H177" s="26"/>
      <c r="I177" s="64" t="s">
        <v>29</v>
      </c>
      <c r="J177" s="23">
        <f>MAX(J174:J176)</f>
        <v>33</v>
      </c>
      <c r="K177" s="70"/>
      <c r="L177" s="69"/>
      <c r="M177" s="26"/>
      <c r="N177" s="63" t="s">
        <v>33</v>
      </c>
      <c r="O177" s="20">
        <f>SUM(O174:O176)</f>
        <v>1</v>
      </c>
      <c r="P177" s="21">
        <f>SUM(P174:P176)</f>
        <v>1</v>
      </c>
      <c r="Q177" s="20">
        <f>SUM(Q174:Q176)</f>
        <v>1</v>
      </c>
      <c r="R177" s="22">
        <f>SUM(R174:R176)</f>
        <v>0</v>
      </c>
      <c r="S177" s="69"/>
      <c r="T177" s="26"/>
      <c r="U177" s="13"/>
    </row>
    <row r="178" spans="2:21" ht="20.100000000000001" customHeight="1" collapsed="1" x14ac:dyDescent="0.25">
      <c r="B178" s="13"/>
      <c r="C178" s="26"/>
      <c r="D178" s="26"/>
      <c r="E178" s="26"/>
      <c r="F178" s="26"/>
      <c r="G178" s="26"/>
      <c r="H178" s="26"/>
      <c r="I178" s="26"/>
      <c r="J178" s="26"/>
      <c r="K178" s="26"/>
      <c r="L178" s="26"/>
      <c r="M178" s="26"/>
      <c r="N178" s="26"/>
      <c r="O178" s="26"/>
      <c r="P178" s="26"/>
      <c r="Q178" s="26"/>
      <c r="R178" s="26"/>
      <c r="S178" s="26"/>
      <c r="T178" s="26"/>
      <c r="U178" s="13"/>
    </row>
    <row r="179" spans="2:21" ht="20.100000000000001" customHeight="1" x14ac:dyDescent="0.25">
      <c r="B179" s="13"/>
      <c r="U179" s="13"/>
    </row>
    <row r="180" spans="2:21" ht="20.100000000000001" customHeight="1" thickBot="1" x14ac:dyDescent="0.3">
      <c r="B180" s="13"/>
      <c r="C180" s="27"/>
      <c r="D180" s="27"/>
      <c r="E180" s="554" t="str">
        <f>IF(OR(L160="-",L160= ""),H160,L160)</f>
        <v>Terra Mystica</v>
      </c>
      <c r="F180" s="554"/>
      <c r="G180" s="554"/>
      <c r="H180" s="554"/>
      <c r="I180" s="554"/>
      <c r="J180" s="554"/>
      <c r="K180" s="554"/>
      <c r="L180" s="554"/>
      <c r="M180" s="554"/>
      <c r="N180" s="554"/>
      <c r="O180" s="197"/>
      <c r="P180" s="197"/>
      <c r="Q180" s="197"/>
      <c r="R180" s="197"/>
      <c r="S180" s="197"/>
      <c r="T180" s="27"/>
      <c r="U180" s="13"/>
    </row>
    <row r="181" spans="2:21" ht="50.1" customHeight="1" thickBot="1" x14ac:dyDescent="0.3">
      <c r="B181" s="13"/>
      <c r="C181" s="27"/>
      <c r="D181" s="197"/>
      <c r="E181" s="88" t="s">
        <v>10</v>
      </c>
      <c r="F181" s="125" t="s">
        <v>52</v>
      </c>
      <c r="G181" s="89" t="s">
        <v>14</v>
      </c>
      <c r="H181" s="200" t="s">
        <v>51</v>
      </c>
      <c r="I181" s="18" t="s">
        <v>54</v>
      </c>
      <c r="J181" s="200" t="s">
        <v>53</v>
      </c>
      <c r="K181" s="206" t="s">
        <v>28</v>
      </c>
      <c r="L181" s="200" t="s">
        <v>37</v>
      </c>
      <c r="M181" s="204" t="s">
        <v>16</v>
      </c>
      <c r="N181" s="89" t="s">
        <v>15</v>
      </c>
      <c r="O181" s="5" t="s">
        <v>30</v>
      </c>
      <c r="P181" s="7" t="s">
        <v>34</v>
      </c>
      <c r="Q181" s="7" t="s">
        <v>31</v>
      </c>
      <c r="R181" s="197"/>
      <c r="S181" s="197"/>
      <c r="T181" s="27"/>
      <c r="U181" s="13"/>
    </row>
    <row r="182" spans="2:21" ht="20.100000000000001" customHeight="1" x14ac:dyDescent="0.25">
      <c r="B182" s="13"/>
      <c r="C182" s="27"/>
      <c r="D182" s="67"/>
      <c r="E182" s="365" t="s">
        <v>88</v>
      </c>
      <c r="F182" s="253" t="s">
        <v>69</v>
      </c>
      <c r="G182" s="122">
        <v>1</v>
      </c>
      <c r="H182" s="49" t="s">
        <v>171</v>
      </c>
      <c r="I182" s="49">
        <v>20</v>
      </c>
      <c r="J182" s="49">
        <v>117</v>
      </c>
      <c r="K182" s="122" t="s">
        <v>13</v>
      </c>
      <c r="L182" s="50">
        <f>IF(J182="",0,(J182/J185)*100)</f>
        <v>78</v>
      </c>
      <c r="M182" s="49">
        <v>3</v>
      </c>
      <c r="N182" s="61">
        <v>0</v>
      </c>
      <c r="O182" s="57">
        <f>IF(M182=1,1,0)</f>
        <v>0</v>
      </c>
      <c r="P182" s="209">
        <f>IF(M182=2,1,0)</f>
        <v>0</v>
      </c>
      <c r="Q182" s="8">
        <f>IF(M182=3,1,0)</f>
        <v>1</v>
      </c>
      <c r="R182" s="203"/>
      <c r="S182" s="203"/>
      <c r="T182" s="27"/>
      <c r="U182" s="13"/>
    </row>
    <row r="183" spans="2:21" ht="20.100000000000001" customHeight="1" x14ac:dyDescent="0.25">
      <c r="B183" s="13"/>
      <c r="C183" s="27"/>
      <c r="D183" s="27"/>
      <c r="E183" s="37" t="s">
        <v>128</v>
      </c>
      <c r="F183" s="273" t="s">
        <v>129</v>
      </c>
      <c r="G183" s="149">
        <v>3</v>
      </c>
      <c r="H183" s="149" t="s">
        <v>169</v>
      </c>
      <c r="I183" s="149">
        <v>20</v>
      </c>
      <c r="J183" s="149">
        <v>150</v>
      </c>
      <c r="K183" s="123" t="s">
        <v>13</v>
      </c>
      <c r="L183" s="38">
        <f>IF(J183="",0,(J183/J185)*100)</f>
        <v>100</v>
      </c>
      <c r="M183" s="149">
        <v>1</v>
      </c>
      <c r="N183" s="108">
        <v>6</v>
      </c>
      <c r="O183" s="205">
        <f>IF(M183=1,1,0)</f>
        <v>1</v>
      </c>
      <c r="P183" s="207">
        <f>IF(M183=2,1,0)</f>
        <v>0</v>
      </c>
      <c r="Q183" s="9">
        <f>IF(M183=3,1,0)</f>
        <v>0</v>
      </c>
      <c r="R183" s="203"/>
      <c r="S183" s="203"/>
      <c r="T183" s="27"/>
      <c r="U183" s="13"/>
    </row>
    <row r="184" spans="2:21" ht="20.100000000000001" customHeight="1" thickBot="1" x14ac:dyDescent="0.3">
      <c r="B184" s="13"/>
      <c r="C184" s="27"/>
      <c r="D184" s="67"/>
      <c r="E184" s="354" t="s">
        <v>130</v>
      </c>
      <c r="F184" s="255" t="s">
        <v>131</v>
      </c>
      <c r="G184" s="150">
        <v>2</v>
      </c>
      <c r="H184" s="150" t="s">
        <v>170</v>
      </c>
      <c r="I184" s="150">
        <v>15</v>
      </c>
      <c r="J184" s="150">
        <v>122</v>
      </c>
      <c r="K184" s="107" t="s">
        <v>13</v>
      </c>
      <c r="L184" s="17">
        <f>IF(J184="",0,(J184/J185)*100)</f>
        <v>81.333333333333329</v>
      </c>
      <c r="M184" s="150">
        <v>2</v>
      </c>
      <c r="N184" s="59">
        <v>3</v>
      </c>
      <c r="O184" s="58">
        <f>IF(M184=1,1,0)</f>
        <v>0</v>
      </c>
      <c r="P184" s="208">
        <f>IF(M184=2,1,0)</f>
        <v>1</v>
      </c>
      <c r="Q184" s="10">
        <f>IF(M184=3,1,0)</f>
        <v>0</v>
      </c>
      <c r="R184" s="203"/>
      <c r="S184" s="203"/>
      <c r="T184" s="27"/>
      <c r="U184" s="13"/>
    </row>
    <row r="185" spans="2:21" ht="20.100000000000001" hidden="1" customHeight="1" outlineLevel="1" x14ac:dyDescent="0.25">
      <c r="B185" s="13"/>
      <c r="C185" s="27"/>
      <c r="D185" s="27"/>
      <c r="E185" s="27"/>
      <c r="F185" s="531"/>
      <c r="G185" s="531"/>
      <c r="H185" s="27"/>
      <c r="I185" s="64" t="s">
        <v>29</v>
      </c>
      <c r="J185" s="23">
        <f>MAX(J182:J184)</f>
        <v>150</v>
      </c>
      <c r="K185" s="75"/>
      <c r="L185" s="203"/>
      <c r="M185" s="27"/>
      <c r="N185" s="63" t="s">
        <v>33</v>
      </c>
      <c r="O185" s="20">
        <f>SUM(O182:O184)</f>
        <v>1</v>
      </c>
      <c r="P185" s="21">
        <f>SUM(P182:P184)</f>
        <v>1</v>
      </c>
      <c r="Q185" s="20">
        <f>SUM(Q182:Q184)</f>
        <v>1</v>
      </c>
      <c r="R185" s="22">
        <f>SUM(R182:R184)</f>
        <v>0</v>
      </c>
      <c r="S185" s="74"/>
      <c r="T185" s="27"/>
      <c r="U185" s="13"/>
    </row>
    <row r="186" spans="2:21" ht="20.100000000000001" customHeight="1" collapsed="1" x14ac:dyDescent="0.25">
      <c r="B186" s="13"/>
      <c r="C186" s="27"/>
      <c r="D186" s="27"/>
      <c r="E186" s="27"/>
      <c r="F186" s="27"/>
      <c r="G186" s="27"/>
      <c r="H186" s="27"/>
      <c r="I186" s="27"/>
      <c r="J186" s="27"/>
      <c r="K186" s="27"/>
      <c r="L186" s="27"/>
      <c r="M186" s="27"/>
      <c r="N186" s="27"/>
      <c r="O186" s="27"/>
      <c r="P186" s="27"/>
      <c r="Q186" s="27"/>
      <c r="R186" s="27"/>
      <c r="S186" s="27"/>
      <c r="T186" s="27"/>
      <c r="U186" s="13"/>
    </row>
    <row r="187" spans="2:21" ht="20.100000000000001" customHeight="1" x14ac:dyDescent="0.25">
      <c r="B187" s="13"/>
      <c r="D187" s="28"/>
      <c r="E187" s="28"/>
      <c r="F187" s="28"/>
      <c r="G187" s="28"/>
      <c r="H187" s="29"/>
      <c r="I187" s="28"/>
      <c r="J187" s="28"/>
      <c r="U187" s="13"/>
    </row>
    <row r="188" spans="2:21" ht="20.100000000000001" customHeight="1" thickBot="1" x14ac:dyDescent="0.3">
      <c r="B188" s="13"/>
      <c r="C188" s="30"/>
      <c r="D188" s="30"/>
      <c r="E188" s="532" t="str">
        <f>IF(OR(L169="-",L169= ""),H169,L169)</f>
        <v>7 Wonders</v>
      </c>
      <c r="F188" s="532"/>
      <c r="G188" s="532"/>
      <c r="H188" s="532"/>
      <c r="I188" s="532"/>
      <c r="J188" s="532"/>
      <c r="K188" s="532"/>
      <c r="L188" s="532"/>
      <c r="M188" s="532"/>
      <c r="N188" s="532"/>
      <c r="O188" s="196"/>
      <c r="P188" s="196"/>
      <c r="Q188" s="196"/>
      <c r="R188" s="196"/>
      <c r="S188" s="196"/>
      <c r="T188" s="30"/>
      <c r="U188" s="14"/>
    </row>
    <row r="189" spans="2:21" ht="50.1" customHeight="1" thickBot="1" x14ac:dyDescent="0.3">
      <c r="B189" s="13"/>
      <c r="C189" s="30"/>
      <c r="D189" s="196"/>
      <c r="E189" s="88" t="s">
        <v>10</v>
      </c>
      <c r="F189" s="125" t="s">
        <v>52</v>
      </c>
      <c r="G189" s="89" t="s">
        <v>14</v>
      </c>
      <c r="H189" s="200" t="s">
        <v>51</v>
      </c>
      <c r="I189" s="18" t="s">
        <v>54</v>
      </c>
      <c r="J189" s="200" t="s">
        <v>53</v>
      </c>
      <c r="K189" s="206" t="s">
        <v>28</v>
      </c>
      <c r="L189" s="200" t="s">
        <v>37</v>
      </c>
      <c r="M189" s="204" t="s">
        <v>16</v>
      </c>
      <c r="N189" s="89" t="s">
        <v>15</v>
      </c>
      <c r="O189" s="5" t="s">
        <v>30</v>
      </c>
      <c r="P189" s="7" t="s">
        <v>34</v>
      </c>
      <c r="Q189" s="7" t="s">
        <v>31</v>
      </c>
      <c r="R189" s="196"/>
      <c r="S189" s="196"/>
      <c r="T189" s="30"/>
      <c r="U189" s="14"/>
    </row>
    <row r="190" spans="2:21" ht="20.100000000000001" customHeight="1" x14ac:dyDescent="0.25">
      <c r="B190" s="13"/>
      <c r="C190" s="30"/>
      <c r="D190" s="66"/>
      <c r="E190" s="365" t="s">
        <v>88</v>
      </c>
      <c r="F190" s="253" t="s">
        <v>69</v>
      </c>
      <c r="G190" s="49" t="s">
        <v>13</v>
      </c>
      <c r="H190" s="49" t="s">
        <v>368</v>
      </c>
      <c r="I190" s="49">
        <v>1</v>
      </c>
      <c r="J190" s="49">
        <v>48</v>
      </c>
      <c r="K190" s="49" t="s">
        <v>13</v>
      </c>
      <c r="L190" s="50">
        <f>IF(J190="",0,(J190/J193)*100)</f>
        <v>90.566037735849065</v>
      </c>
      <c r="M190" s="49">
        <v>3</v>
      </c>
      <c r="N190" s="61">
        <v>0</v>
      </c>
      <c r="O190" s="209">
        <f>IF(M190=1,1,0)</f>
        <v>0</v>
      </c>
      <c r="P190" s="209">
        <f>IF(M190=2,1,0)</f>
        <v>0</v>
      </c>
      <c r="Q190" s="8">
        <f>IF(M190=3,1,0)</f>
        <v>1</v>
      </c>
      <c r="R190" s="194"/>
      <c r="S190" s="194"/>
      <c r="T190" s="30"/>
      <c r="U190" s="13"/>
    </row>
    <row r="191" spans="2:21" ht="20.100000000000001" customHeight="1" x14ac:dyDescent="0.25">
      <c r="B191" s="13"/>
      <c r="C191" s="30"/>
      <c r="D191" s="30"/>
      <c r="E191" s="37" t="s">
        <v>128</v>
      </c>
      <c r="F191" s="273" t="s">
        <v>129</v>
      </c>
      <c r="G191" s="149" t="s">
        <v>13</v>
      </c>
      <c r="H191" s="149" t="s">
        <v>367</v>
      </c>
      <c r="I191" s="149">
        <v>1</v>
      </c>
      <c r="J191" s="149">
        <v>53</v>
      </c>
      <c r="K191" s="123" t="s">
        <v>13</v>
      </c>
      <c r="L191" s="38">
        <f>IF(J191="",0,(J191/J193)*100)</f>
        <v>100</v>
      </c>
      <c r="M191" s="149">
        <v>1</v>
      </c>
      <c r="N191" s="108">
        <v>6</v>
      </c>
      <c r="O191" s="207">
        <f>IF(M191=1,1,0)</f>
        <v>1</v>
      </c>
      <c r="P191" s="207">
        <f>IF(M191=2,1,0)</f>
        <v>0</v>
      </c>
      <c r="Q191" s="9">
        <f>IF(M191=3,1,0)</f>
        <v>0</v>
      </c>
      <c r="R191" s="194"/>
      <c r="S191" s="194"/>
      <c r="T191" s="30"/>
      <c r="U191" s="31"/>
    </row>
    <row r="192" spans="2:21" ht="20.100000000000001" customHeight="1" thickBot="1" x14ac:dyDescent="0.3">
      <c r="B192" s="13"/>
      <c r="C192" s="30"/>
      <c r="D192" s="30"/>
      <c r="E192" s="354" t="s">
        <v>130</v>
      </c>
      <c r="F192" s="255" t="s">
        <v>131</v>
      </c>
      <c r="G192" s="150" t="s">
        <v>13</v>
      </c>
      <c r="H192" s="150" t="s">
        <v>369</v>
      </c>
      <c r="I192" s="150">
        <v>1</v>
      </c>
      <c r="J192" s="150">
        <v>51</v>
      </c>
      <c r="K192" s="150" t="s">
        <v>13</v>
      </c>
      <c r="L192" s="17">
        <f>IF(J192="",0,(J192/J193)*100)</f>
        <v>96.226415094339629</v>
      </c>
      <c r="M192" s="150">
        <v>2</v>
      </c>
      <c r="N192" s="59">
        <v>3</v>
      </c>
      <c r="O192" s="208">
        <f>IF(M192=1,1,0)</f>
        <v>0</v>
      </c>
      <c r="P192" s="208">
        <f>IF(M192=2,1,0)</f>
        <v>1</v>
      </c>
      <c r="Q192" s="10">
        <f>IF(M192=3,1,0)</f>
        <v>0</v>
      </c>
      <c r="R192" s="194"/>
      <c r="S192" s="194"/>
      <c r="T192" s="30"/>
      <c r="U192" s="31"/>
    </row>
    <row r="193" spans="2:21" ht="20.100000000000001" hidden="1" customHeight="1" outlineLevel="1" x14ac:dyDescent="0.3">
      <c r="B193" s="13"/>
      <c r="C193" s="30"/>
      <c r="D193" s="30"/>
      <c r="E193" s="30"/>
      <c r="F193" s="533"/>
      <c r="G193" s="533"/>
      <c r="H193" s="30"/>
      <c r="I193" s="64" t="s">
        <v>29</v>
      </c>
      <c r="J193" s="23">
        <f>MAX(J190:J192)</f>
        <v>53</v>
      </c>
      <c r="K193" s="76"/>
      <c r="L193" s="194"/>
      <c r="M193" s="30"/>
      <c r="N193" s="63" t="s">
        <v>33</v>
      </c>
      <c r="O193" s="20">
        <f>SUM(O190:O192)</f>
        <v>1</v>
      </c>
      <c r="P193" s="21">
        <f>SUM(P190:P192)</f>
        <v>1</v>
      </c>
      <c r="Q193" s="20">
        <f>SUM(Q190:Q192)</f>
        <v>1</v>
      </c>
      <c r="R193" s="22">
        <f>SUM(R190:R192)</f>
        <v>0</v>
      </c>
      <c r="S193" s="77"/>
      <c r="T193" s="30"/>
      <c r="U193" s="31"/>
    </row>
    <row r="194" spans="2:21" ht="20.100000000000001" customHeight="1" collapsed="1" x14ac:dyDescent="0.25">
      <c r="B194" s="13"/>
      <c r="C194" s="30"/>
      <c r="D194" s="30"/>
      <c r="E194" s="30"/>
      <c r="F194" s="30"/>
      <c r="G194" s="30"/>
      <c r="H194" s="30"/>
      <c r="I194" s="30"/>
      <c r="J194" s="30"/>
      <c r="K194" s="30"/>
      <c r="L194" s="30"/>
      <c r="M194" s="30"/>
      <c r="N194" s="30"/>
      <c r="O194" s="30"/>
      <c r="P194" s="30"/>
      <c r="Q194" s="30"/>
      <c r="R194" s="30"/>
      <c r="S194" s="30"/>
      <c r="T194" s="30"/>
      <c r="U194" s="31"/>
    </row>
    <row r="195" spans="2:21" ht="20.100000000000001" customHeight="1" x14ac:dyDescent="0.25">
      <c r="B195" s="13"/>
      <c r="D195" s="28"/>
      <c r="E195" s="28"/>
      <c r="F195" s="28"/>
      <c r="G195" s="28"/>
      <c r="H195" s="29"/>
      <c r="I195" s="28"/>
      <c r="J195" s="28"/>
      <c r="K195" s="28"/>
      <c r="U195" s="13"/>
    </row>
    <row r="196" spans="2:21" ht="30" customHeight="1" thickBot="1" x14ac:dyDescent="0.3">
      <c r="B196" s="13"/>
      <c r="C196" s="33"/>
      <c r="D196" s="536" t="s">
        <v>50</v>
      </c>
      <c r="E196" s="536"/>
      <c r="F196" s="536"/>
      <c r="G196" s="536"/>
      <c r="H196" s="536"/>
      <c r="I196" s="536"/>
      <c r="J196" s="536"/>
      <c r="K196" s="536"/>
      <c r="L196" s="536"/>
      <c r="M196" s="536"/>
      <c r="N196" s="536"/>
      <c r="O196" s="312"/>
      <c r="P196" s="312"/>
      <c r="Q196" s="312"/>
      <c r="R196" s="312"/>
      <c r="S196" s="312"/>
      <c r="T196" s="33"/>
      <c r="U196" s="13"/>
    </row>
    <row r="197" spans="2:21" ht="50.1" customHeight="1" thickBot="1" x14ac:dyDescent="0.3">
      <c r="B197" s="13"/>
      <c r="C197" s="33"/>
      <c r="D197" s="90" t="s">
        <v>10</v>
      </c>
      <c r="E197" s="93" t="s">
        <v>65</v>
      </c>
      <c r="F197" s="91" t="s">
        <v>15</v>
      </c>
      <c r="G197" s="42" t="s">
        <v>55</v>
      </c>
      <c r="H197" s="537" t="s">
        <v>56</v>
      </c>
      <c r="I197" s="538"/>
      <c r="J197" s="202" t="s">
        <v>66</v>
      </c>
      <c r="K197" s="92" t="s">
        <v>17</v>
      </c>
      <c r="L197" s="91" t="s">
        <v>18</v>
      </c>
      <c r="M197" s="92" t="s">
        <v>19</v>
      </c>
      <c r="N197" s="93" t="s">
        <v>38</v>
      </c>
      <c r="O197" s="313"/>
      <c r="P197" s="314"/>
      <c r="Q197" s="314"/>
      <c r="R197" s="314"/>
      <c r="S197" s="33"/>
      <c r="T197" s="33"/>
      <c r="U197" s="13"/>
    </row>
    <row r="198" spans="2:21" ht="20.100000000000001" customHeight="1" x14ac:dyDescent="0.25">
      <c r="B198" s="13"/>
      <c r="C198" s="33"/>
      <c r="D198" s="131" t="s">
        <v>128</v>
      </c>
      <c r="E198" s="288" t="s">
        <v>129</v>
      </c>
      <c r="F198" s="133">
        <f>K198*6+L198*3+M198*0</f>
        <v>15</v>
      </c>
      <c r="G198" s="262">
        <v>0</v>
      </c>
      <c r="H198" s="835" t="s">
        <v>13</v>
      </c>
      <c r="I198" s="539"/>
      <c r="J198" s="133">
        <f>F198+G198</f>
        <v>15</v>
      </c>
      <c r="K198" s="133">
        <v>2</v>
      </c>
      <c r="L198" s="133">
        <v>1</v>
      </c>
      <c r="M198" s="133">
        <v>0</v>
      </c>
      <c r="N198" s="134">
        <f>(L175+L183+L191)/3</f>
        <v>88.888888888888872</v>
      </c>
      <c r="O198" s="316"/>
      <c r="P198" s="317"/>
      <c r="Q198" s="317"/>
      <c r="R198" s="317"/>
      <c r="S198" s="33"/>
      <c r="T198" s="33"/>
      <c r="U198" s="13"/>
    </row>
    <row r="199" spans="2:21" ht="20.100000000000001" customHeight="1" x14ac:dyDescent="0.25">
      <c r="B199" s="13"/>
      <c r="C199" s="33"/>
      <c r="D199" s="364" t="s">
        <v>88</v>
      </c>
      <c r="E199" s="274" t="s">
        <v>69</v>
      </c>
      <c r="F199" s="52">
        <f>K199*6+L199*3+M199*0</f>
        <v>6</v>
      </c>
      <c r="G199" s="263">
        <v>0</v>
      </c>
      <c r="H199" s="529" t="s">
        <v>13</v>
      </c>
      <c r="I199" s="529"/>
      <c r="J199" s="52">
        <f>F199+G199</f>
        <v>6</v>
      </c>
      <c r="K199" s="52">
        <v>1</v>
      </c>
      <c r="L199" s="52">
        <v>0</v>
      </c>
      <c r="M199" s="52">
        <v>2</v>
      </c>
      <c r="N199" s="104">
        <f>(L174+L182+L190)/3</f>
        <v>89.522012578616355</v>
      </c>
      <c r="O199" s="316"/>
      <c r="P199" s="317"/>
      <c r="Q199" s="317"/>
      <c r="R199" s="317"/>
      <c r="S199" s="33"/>
      <c r="T199" s="33"/>
      <c r="U199" s="13"/>
    </row>
    <row r="200" spans="2:21" ht="20.100000000000001" customHeight="1" thickBot="1" x14ac:dyDescent="0.3">
      <c r="B200" s="13"/>
      <c r="C200" s="33"/>
      <c r="D200" s="372" t="s">
        <v>130</v>
      </c>
      <c r="E200" s="275" t="s">
        <v>131</v>
      </c>
      <c r="F200" s="109">
        <f>K200*6+L200*3+M200*0</f>
        <v>6</v>
      </c>
      <c r="G200" s="264">
        <v>0</v>
      </c>
      <c r="H200" s="530" t="s">
        <v>13</v>
      </c>
      <c r="I200" s="530"/>
      <c r="J200" s="109">
        <f>F200+G200</f>
        <v>6</v>
      </c>
      <c r="K200" s="109">
        <v>0</v>
      </c>
      <c r="L200" s="109">
        <v>2</v>
      </c>
      <c r="M200" s="109">
        <v>1</v>
      </c>
      <c r="N200" s="106">
        <f>(L176+L184+L192)/3</f>
        <v>76.358299980941482</v>
      </c>
      <c r="O200" s="316"/>
      <c r="P200" s="317"/>
      <c r="Q200" s="317"/>
      <c r="R200" s="317"/>
      <c r="S200" s="33"/>
      <c r="T200" s="33"/>
      <c r="U200" s="13"/>
    </row>
    <row r="201" spans="2:21" ht="20.100000000000001" customHeight="1" x14ac:dyDescent="0.25">
      <c r="B201" s="13"/>
      <c r="C201" s="33"/>
      <c r="D201" s="33"/>
      <c r="E201" s="33"/>
      <c r="F201" s="33"/>
      <c r="G201" s="33"/>
      <c r="H201" s="33"/>
      <c r="I201" s="33"/>
      <c r="J201" s="33"/>
      <c r="K201" s="33"/>
      <c r="L201" s="33"/>
      <c r="M201" s="33"/>
      <c r="N201" s="33"/>
      <c r="O201" s="33"/>
      <c r="P201" s="33"/>
      <c r="Q201" s="33"/>
      <c r="R201" s="33"/>
      <c r="S201" s="33"/>
      <c r="T201" s="33"/>
      <c r="U201" s="13"/>
    </row>
    <row r="202" spans="2:21" ht="20.100000000000001" customHeight="1" x14ac:dyDescent="0.25">
      <c r="B202" s="13"/>
      <c r="C202" s="13"/>
      <c r="D202" s="15"/>
      <c r="E202" s="15"/>
      <c r="F202" s="14"/>
      <c r="G202" s="14"/>
      <c r="H202" s="15"/>
      <c r="I202" s="15"/>
      <c r="J202" s="15"/>
      <c r="K202" s="13"/>
      <c r="L202" s="13"/>
      <c r="M202" s="13"/>
      <c r="N202" s="13"/>
      <c r="O202" s="13"/>
      <c r="P202" s="13"/>
      <c r="Q202" s="13"/>
      <c r="R202" s="13"/>
      <c r="S202" s="13"/>
      <c r="T202" s="13"/>
      <c r="U202" s="13"/>
    </row>
  </sheetData>
  <mergeCells count="196">
    <mergeCell ref="A1:N2"/>
    <mergeCell ref="B4:I4"/>
    <mergeCell ref="K4:M4"/>
    <mergeCell ref="B5:C5"/>
    <mergeCell ref="B6:C6"/>
    <mergeCell ref="L6:L9"/>
    <mergeCell ref="B7:C7"/>
    <mergeCell ref="B8:C8"/>
    <mergeCell ref="B9:C9"/>
    <mergeCell ref="K17:L17"/>
    <mergeCell ref="B18:H18"/>
    <mergeCell ref="B19:C19"/>
    <mergeCell ref="B10:C10"/>
    <mergeCell ref="L10:L13"/>
    <mergeCell ref="B11:C11"/>
    <mergeCell ref="B12:C12"/>
    <mergeCell ref="B13:C13"/>
    <mergeCell ref="B14:C14"/>
    <mergeCell ref="L14:L16"/>
    <mergeCell ref="B15:C15"/>
    <mergeCell ref="B16:C16"/>
    <mergeCell ref="B20:C20"/>
    <mergeCell ref="C23:T23"/>
    <mergeCell ref="D25:D26"/>
    <mergeCell ref="E25:E26"/>
    <mergeCell ref="F25:F26"/>
    <mergeCell ref="G25:J25"/>
    <mergeCell ref="L25:S25"/>
    <mergeCell ref="I26:J26"/>
    <mergeCell ref="N26:S26"/>
    <mergeCell ref="D28:D33"/>
    <mergeCell ref="E28:E33"/>
    <mergeCell ref="F28:F33"/>
    <mergeCell ref="G28:G33"/>
    <mergeCell ref="H28:H33"/>
    <mergeCell ref="I28:J28"/>
    <mergeCell ref="N27:S27"/>
    <mergeCell ref="I31:J31"/>
    <mergeCell ref="I32:J32"/>
    <mergeCell ref="I27:J27"/>
    <mergeCell ref="N35:S35"/>
    <mergeCell ref="E37:N37"/>
    <mergeCell ref="I35:J35"/>
    <mergeCell ref="N34:S34"/>
    <mergeCell ref="I34:J34"/>
    <mergeCell ref="K28:K33"/>
    <mergeCell ref="L28:L33"/>
    <mergeCell ref="M28:M33"/>
    <mergeCell ref="N28:S33"/>
    <mergeCell ref="I29:J29"/>
    <mergeCell ref="I30:J30"/>
    <mergeCell ref="I33:J33"/>
    <mergeCell ref="E64:N64"/>
    <mergeCell ref="F70:G70"/>
    <mergeCell ref="D73:S73"/>
    <mergeCell ref="H74:I74"/>
    <mergeCell ref="H75:I75"/>
    <mergeCell ref="H76:I76"/>
    <mergeCell ref="F43:G43"/>
    <mergeCell ref="F44:G44"/>
    <mergeCell ref="E46:N46"/>
    <mergeCell ref="F52:G52"/>
    <mergeCell ref="E55:N55"/>
    <mergeCell ref="F61:G61"/>
    <mergeCell ref="H77:I77"/>
    <mergeCell ref="H78:I78"/>
    <mergeCell ref="H79:I79"/>
    <mergeCell ref="C84:T84"/>
    <mergeCell ref="D86:D87"/>
    <mergeCell ref="E86:E87"/>
    <mergeCell ref="F86:F87"/>
    <mergeCell ref="G86:J86"/>
    <mergeCell ref="L86:S86"/>
    <mergeCell ref="I87:J87"/>
    <mergeCell ref="D92:D94"/>
    <mergeCell ref="E92:E94"/>
    <mergeCell ref="F92:F94"/>
    <mergeCell ref="G92:G94"/>
    <mergeCell ref="H92:H94"/>
    <mergeCell ref="I92:J92"/>
    <mergeCell ref="N87:S87"/>
    <mergeCell ref="D88:D91"/>
    <mergeCell ref="E88:E91"/>
    <mergeCell ref="F88:F91"/>
    <mergeCell ref="G88:G91"/>
    <mergeCell ref="H88:H91"/>
    <mergeCell ref="I88:J88"/>
    <mergeCell ref="K88:K91"/>
    <mergeCell ref="L88:L91"/>
    <mergeCell ref="M88:M91"/>
    <mergeCell ref="K92:K94"/>
    <mergeCell ref="L92:L94"/>
    <mergeCell ref="M92:M94"/>
    <mergeCell ref="N92:S94"/>
    <mergeCell ref="I93:J93"/>
    <mergeCell ref="I94:J94"/>
    <mergeCell ref="N88:S91"/>
    <mergeCell ref="I89:J89"/>
    <mergeCell ref="I90:J90"/>
    <mergeCell ref="I91:J91"/>
    <mergeCell ref="K95:K102"/>
    <mergeCell ref="L95:L102"/>
    <mergeCell ref="M95:M102"/>
    <mergeCell ref="N95:S102"/>
    <mergeCell ref="I96:J96"/>
    <mergeCell ref="I100:J100"/>
    <mergeCell ref="I102:J102"/>
    <mergeCell ref="D95:D102"/>
    <mergeCell ref="E95:E102"/>
    <mergeCell ref="F95:F102"/>
    <mergeCell ref="G95:G102"/>
    <mergeCell ref="H95:H102"/>
    <mergeCell ref="I95:J95"/>
    <mergeCell ref="Y147:Z147"/>
    <mergeCell ref="H148:I148"/>
    <mergeCell ref="H149:I149"/>
    <mergeCell ref="D103:D106"/>
    <mergeCell ref="M103:M106"/>
    <mergeCell ref="N103:S106"/>
    <mergeCell ref="I97:J97"/>
    <mergeCell ref="I98:J98"/>
    <mergeCell ref="I99:J99"/>
    <mergeCell ref="I101:J101"/>
    <mergeCell ref="I104:J104"/>
    <mergeCell ref="I105:J105"/>
    <mergeCell ref="I106:J106"/>
    <mergeCell ref="H146:I146"/>
    <mergeCell ref="H147:I147"/>
    <mergeCell ref="I103:J103"/>
    <mergeCell ref="E108:N108"/>
    <mergeCell ref="F114:G114"/>
    <mergeCell ref="H200:I200"/>
    <mergeCell ref="I170:J170"/>
    <mergeCell ref="F177:G177"/>
    <mergeCell ref="E180:N180"/>
    <mergeCell ref="E160:E168"/>
    <mergeCell ref="F160:F168"/>
    <mergeCell ref="I167:J167"/>
    <mergeCell ref="I168:J168"/>
    <mergeCell ref="I169:J169"/>
    <mergeCell ref="I166:J166"/>
    <mergeCell ref="I164:J164"/>
    <mergeCell ref="I165:J165"/>
    <mergeCell ref="I160:J160"/>
    <mergeCell ref="G160:G168"/>
    <mergeCell ref="H160:H168"/>
    <mergeCell ref="I162:J162"/>
    <mergeCell ref="I161:J161"/>
    <mergeCell ref="L160:L168"/>
    <mergeCell ref="M160:M168"/>
    <mergeCell ref="H169:H170"/>
    <mergeCell ref="K169:K170"/>
    <mergeCell ref="L169:L170"/>
    <mergeCell ref="M169:M170"/>
    <mergeCell ref="N169:S170"/>
    <mergeCell ref="E172:N172"/>
    <mergeCell ref="F103:F106"/>
    <mergeCell ref="E103:E106"/>
    <mergeCell ref="G103:G106"/>
    <mergeCell ref="H103:H106"/>
    <mergeCell ref="E117:N117"/>
    <mergeCell ref="F123:G123"/>
    <mergeCell ref="K103:K106"/>
    <mergeCell ref="L103:L106"/>
    <mergeCell ref="C155:T155"/>
    <mergeCell ref="H150:I150"/>
    <mergeCell ref="E126:N126"/>
    <mergeCell ref="F132:G132"/>
    <mergeCell ref="E135:N135"/>
    <mergeCell ref="F141:G141"/>
    <mergeCell ref="D144:S144"/>
    <mergeCell ref="H145:I145"/>
    <mergeCell ref="H199:I199"/>
    <mergeCell ref="N159:S159"/>
    <mergeCell ref="I159:J159"/>
    <mergeCell ref="E188:N188"/>
    <mergeCell ref="F193:G193"/>
    <mergeCell ref="D196:N196"/>
    <mergeCell ref="H197:I197"/>
    <mergeCell ref="H198:I198"/>
    <mergeCell ref="D157:D158"/>
    <mergeCell ref="E157:E158"/>
    <mergeCell ref="F157:F158"/>
    <mergeCell ref="G157:J157"/>
    <mergeCell ref="L157:S157"/>
    <mergeCell ref="I158:J158"/>
    <mergeCell ref="N158:S158"/>
    <mergeCell ref="F185:G185"/>
    <mergeCell ref="D160:D168"/>
    <mergeCell ref="N160:S168"/>
    <mergeCell ref="D169:D170"/>
    <mergeCell ref="E169:E170"/>
    <mergeCell ref="F169:F170"/>
    <mergeCell ref="G169:G170"/>
    <mergeCell ref="I163:J163"/>
    <mergeCell ref="K160:K168"/>
  </mergeCells>
  <conditionalFormatting sqref="B6:C10 B11:I11 B12:C16">
    <cfRule type="expression" dxfId="973" priority="303">
      <formula>$I6="Nein"</formula>
    </cfRule>
    <cfRule type="expression" dxfId="972" priority="304">
      <formula>$I6="Ja"</formula>
    </cfRule>
  </conditionalFormatting>
  <conditionalFormatting sqref="D17:I17">
    <cfRule type="expression" dxfId="971" priority="289">
      <formula>$I17="Nein"</formula>
    </cfRule>
    <cfRule type="expression" dxfId="970" priority="290">
      <formula>$I17="Ja"</formula>
    </cfRule>
  </conditionalFormatting>
  <conditionalFormatting sqref="D14:I14">
    <cfRule type="expression" dxfId="969" priority="283">
      <formula>$I14="Nein"</formula>
    </cfRule>
    <cfRule type="expression" dxfId="968" priority="284">
      <formula>$I14="Ja"</formula>
    </cfRule>
  </conditionalFormatting>
  <conditionalFormatting sqref="D79:E79">
    <cfRule type="expression" dxfId="967" priority="171">
      <formula>$I79="Nein"</formula>
    </cfRule>
    <cfRule type="expression" dxfId="966" priority="172">
      <formula>$I79="Ja"</formula>
    </cfRule>
  </conditionalFormatting>
  <conditionalFormatting sqref="D150:E150">
    <cfRule type="expression" dxfId="965" priority="163">
      <formula>$I150="Nein"</formula>
    </cfRule>
    <cfRule type="expression" dxfId="964" priority="164">
      <formula>$I150="Ja"</formula>
    </cfRule>
  </conditionalFormatting>
  <conditionalFormatting sqref="D7:I7">
    <cfRule type="expression" dxfId="963" priority="155">
      <formula>$I7="Nein"</formula>
    </cfRule>
    <cfRule type="expression" dxfId="962" priority="156">
      <formula>$I7="Ja"</formula>
    </cfRule>
  </conditionalFormatting>
  <conditionalFormatting sqref="D9:I9">
    <cfRule type="expression" dxfId="961" priority="153">
      <formula>$I9="Nein"</formula>
    </cfRule>
    <cfRule type="expression" dxfId="960" priority="154">
      <formula>$I9="Ja"</formula>
    </cfRule>
  </conditionalFormatting>
  <conditionalFormatting sqref="D6:I6">
    <cfRule type="expression" dxfId="959" priority="151">
      <formula>$I6="Nein"</formula>
    </cfRule>
    <cfRule type="expression" dxfId="958" priority="152">
      <formula>$I6="Ja"</formula>
    </cfRule>
  </conditionalFormatting>
  <conditionalFormatting sqref="D8:I8">
    <cfRule type="expression" dxfId="957" priority="149">
      <formula>$I8="Nein"</formula>
    </cfRule>
    <cfRule type="expression" dxfId="956" priority="150">
      <formula>$I8="Ja"</formula>
    </cfRule>
  </conditionalFormatting>
  <conditionalFormatting sqref="D10:I10">
    <cfRule type="expression" dxfId="955" priority="147">
      <formula>$I10="Nein"</formula>
    </cfRule>
    <cfRule type="expression" dxfId="954" priority="148">
      <formula>$I10="Ja"</formula>
    </cfRule>
  </conditionalFormatting>
  <conditionalFormatting sqref="D13:I13">
    <cfRule type="expression" dxfId="953" priority="145">
      <formula>$I13="Nein"</formula>
    </cfRule>
    <cfRule type="expression" dxfId="952" priority="146">
      <formula>$I13="Ja"</formula>
    </cfRule>
  </conditionalFormatting>
  <conditionalFormatting sqref="D12:I12">
    <cfRule type="expression" dxfId="951" priority="143">
      <formula>$I12="Nein"</formula>
    </cfRule>
    <cfRule type="expression" dxfId="950" priority="144">
      <formula>$I12="Ja"</formula>
    </cfRule>
  </conditionalFormatting>
  <conditionalFormatting sqref="D15:I15">
    <cfRule type="expression" dxfId="949" priority="141">
      <formula>$I15="Nein"</formula>
    </cfRule>
    <cfRule type="expression" dxfId="948" priority="142">
      <formula>$I15="Ja"</formula>
    </cfRule>
  </conditionalFormatting>
  <conditionalFormatting sqref="I16">
    <cfRule type="expression" dxfId="947" priority="139">
      <formula>$I16="Nein"</formula>
    </cfRule>
    <cfRule type="expression" dxfId="946" priority="140">
      <formula>$I16="Ja"</formula>
    </cfRule>
  </conditionalFormatting>
  <conditionalFormatting sqref="D16:H16">
    <cfRule type="expression" dxfId="945" priority="137">
      <formula>$I16="Nein"</formula>
    </cfRule>
    <cfRule type="expression" dxfId="944" priority="138">
      <formula>$I16="Ja"</formula>
    </cfRule>
  </conditionalFormatting>
  <conditionalFormatting sqref="D20:H20">
    <cfRule type="expression" dxfId="943" priority="135">
      <formula>$I20="Nein"</formula>
    </cfRule>
    <cfRule type="expression" dxfId="942" priority="136">
      <formula>$I20="Ja"</formula>
    </cfRule>
  </conditionalFormatting>
  <conditionalFormatting sqref="E40:F40">
    <cfRule type="expression" dxfId="941" priority="133">
      <formula>$I40="Nein"</formula>
    </cfRule>
    <cfRule type="expression" dxfId="940" priority="134">
      <formula>$I40="Ja"</formula>
    </cfRule>
  </conditionalFormatting>
  <conditionalFormatting sqref="E42:F42">
    <cfRule type="expression" dxfId="939" priority="131">
      <formula>$I42="Nein"</formula>
    </cfRule>
    <cfRule type="expression" dxfId="938" priority="132">
      <formula>$I42="Ja"</formula>
    </cfRule>
  </conditionalFormatting>
  <conditionalFormatting sqref="E39:F39">
    <cfRule type="expression" dxfId="937" priority="129">
      <formula>$I39="Nein"</formula>
    </cfRule>
    <cfRule type="expression" dxfId="936" priority="130">
      <formula>$I39="Ja"</formula>
    </cfRule>
  </conditionalFormatting>
  <conditionalFormatting sqref="E41:F41">
    <cfRule type="expression" dxfId="935" priority="127">
      <formula>$I41="Nein"</formula>
    </cfRule>
    <cfRule type="expression" dxfId="934" priority="128">
      <formula>$I41="Ja"</formula>
    </cfRule>
  </conditionalFormatting>
  <conditionalFormatting sqref="E49:F49">
    <cfRule type="expression" dxfId="933" priority="125">
      <formula>$I49="Nein"</formula>
    </cfRule>
    <cfRule type="expression" dxfId="932" priority="126">
      <formula>$I49="Ja"</formula>
    </cfRule>
  </conditionalFormatting>
  <conditionalFormatting sqref="E51:F51">
    <cfRule type="expression" dxfId="931" priority="123">
      <formula>$I51="Nein"</formula>
    </cfRule>
    <cfRule type="expression" dxfId="930" priority="124">
      <formula>$I51="Ja"</formula>
    </cfRule>
  </conditionalFormatting>
  <conditionalFormatting sqref="E48:F48">
    <cfRule type="expression" dxfId="929" priority="121">
      <formula>$I48="Nein"</formula>
    </cfRule>
    <cfRule type="expression" dxfId="928" priority="122">
      <formula>$I48="Ja"</formula>
    </cfRule>
  </conditionalFormatting>
  <conditionalFormatting sqref="E50:F50">
    <cfRule type="expression" dxfId="927" priority="119">
      <formula>$I50="Nein"</formula>
    </cfRule>
    <cfRule type="expression" dxfId="926" priority="120">
      <formula>$I50="Ja"</formula>
    </cfRule>
  </conditionalFormatting>
  <conditionalFormatting sqref="E58:F58">
    <cfRule type="expression" dxfId="925" priority="117">
      <formula>$I58="Nein"</formula>
    </cfRule>
    <cfRule type="expression" dxfId="924" priority="118">
      <formula>$I58="Ja"</formula>
    </cfRule>
  </conditionalFormatting>
  <conditionalFormatting sqref="E60:F60">
    <cfRule type="expression" dxfId="923" priority="115">
      <formula>$I60="Nein"</formula>
    </cfRule>
    <cfRule type="expression" dxfId="922" priority="116">
      <formula>$I60="Ja"</formula>
    </cfRule>
  </conditionalFormatting>
  <conditionalFormatting sqref="E57:F57">
    <cfRule type="expression" dxfId="921" priority="113">
      <formula>$I57="Nein"</formula>
    </cfRule>
    <cfRule type="expression" dxfId="920" priority="114">
      <formula>$I57="Ja"</formula>
    </cfRule>
  </conditionalFormatting>
  <conditionalFormatting sqref="E59:F59">
    <cfRule type="expression" dxfId="919" priority="111">
      <formula>$I59="Nein"</formula>
    </cfRule>
    <cfRule type="expression" dxfId="918" priority="112">
      <formula>$I59="Ja"</formula>
    </cfRule>
  </conditionalFormatting>
  <conditionalFormatting sqref="E67:F67">
    <cfRule type="expression" dxfId="917" priority="101">
      <formula>$I67="Nein"</formula>
    </cfRule>
    <cfRule type="expression" dxfId="916" priority="102">
      <formula>$I67="Ja"</formula>
    </cfRule>
  </conditionalFormatting>
  <conditionalFormatting sqref="E69:F69">
    <cfRule type="expression" dxfId="915" priority="99">
      <formula>$I69="Nein"</formula>
    </cfRule>
    <cfRule type="expression" dxfId="914" priority="100">
      <formula>$I69="Ja"</formula>
    </cfRule>
  </conditionalFormatting>
  <conditionalFormatting sqref="E66:F66">
    <cfRule type="expression" dxfId="913" priority="97">
      <formula>$I66="Nein"</formula>
    </cfRule>
    <cfRule type="expression" dxfId="912" priority="98">
      <formula>$I66="Ja"</formula>
    </cfRule>
  </conditionalFormatting>
  <conditionalFormatting sqref="E68:F68">
    <cfRule type="expression" dxfId="911" priority="95">
      <formula>$I68="Nein"</formula>
    </cfRule>
    <cfRule type="expression" dxfId="910" priority="96">
      <formula>$I68="Ja"</formula>
    </cfRule>
  </conditionalFormatting>
  <conditionalFormatting sqref="D75:E75">
    <cfRule type="expression" dxfId="909" priority="93">
      <formula>$I75="Nein"</formula>
    </cfRule>
    <cfRule type="expression" dxfId="908" priority="94">
      <formula>$I75="Ja"</formula>
    </cfRule>
  </conditionalFormatting>
  <conditionalFormatting sqref="D76:E76">
    <cfRule type="expression" dxfId="907" priority="91">
      <formula>$I76="Nein"</formula>
    </cfRule>
    <cfRule type="expression" dxfId="906" priority="92">
      <formula>$I76="Ja"</formula>
    </cfRule>
  </conditionalFormatting>
  <conditionalFormatting sqref="D77:E77">
    <cfRule type="expression" dxfId="905" priority="89">
      <formula>$I77="Nein"</formula>
    </cfRule>
    <cfRule type="expression" dxfId="904" priority="90">
      <formula>$I77="Ja"</formula>
    </cfRule>
  </conditionalFormatting>
  <conditionalFormatting sqref="D78:E78">
    <cfRule type="expression" dxfId="903" priority="87">
      <formula>$I78="Nein"</formula>
    </cfRule>
    <cfRule type="expression" dxfId="902" priority="88">
      <formula>$I78="Ja"</formula>
    </cfRule>
  </conditionalFormatting>
  <conditionalFormatting sqref="E111:F111">
    <cfRule type="expression" dxfId="901" priority="85">
      <formula>$I111="Nein"</formula>
    </cfRule>
    <cfRule type="expression" dxfId="900" priority="86">
      <formula>$I111="Ja"</formula>
    </cfRule>
  </conditionalFormatting>
  <conditionalFormatting sqref="E110:F110">
    <cfRule type="expression" dxfId="899" priority="83">
      <formula>$I110="Nein"</formula>
    </cfRule>
    <cfRule type="expression" dxfId="898" priority="84">
      <formula>$I110="Ja"</formula>
    </cfRule>
  </conditionalFormatting>
  <conditionalFormatting sqref="E113:F113">
    <cfRule type="expression" dxfId="897" priority="81">
      <formula>$I113="Nein"</formula>
    </cfRule>
    <cfRule type="expression" dxfId="896" priority="82">
      <formula>$I113="Ja"</formula>
    </cfRule>
  </conditionalFormatting>
  <conditionalFormatting sqref="E112:F112">
    <cfRule type="expression" dxfId="895" priority="79">
      <formula>$I112="Nein"</formula>
    </cfRule>
    <cfRule type="expression" dxfId="894" priority="80">
      <formula>$I112="Ja"</formula>
    </cfRule>
  </conditionalFormatting>
  <conditionalFormatting sqref="E120:F120">
    <cfRule type="expression" dxfId="893" priority="77">
      <formula>$I120="Nein"</formula>
    </cfRule>
    <cfRule type="expression" dxfId="892" priority="78">
      <formula>$I120="Ja"</formula>
    </cfRule>
  </conditionalFormatting>
  <conditionalFormatting sqref="E119:F119">
    <cfRule type="expression" dxfId="891" priority="75">
      <formula>$I119="Nein"</formula>
    </cfRule>
    <cfRule type="expression" dxfId="890" priority="76">
      <formula>$I119="Ja"</formula>
    </cfRule>
  </conditionalFormatting>
  <conditionalFormatting sqref="E122:F122">
    <cfRule type="expression" dxfId="889" priority="73">
      <formula>$I122="Nein"</formula>
    </cfRule>
    <cfRule type="expression" dxfId="888" priority="74">
      <formula>$I122="Ja"</formula>
    </cfRule>
  </conditionalFormatting>
  <conditionalFormatting sqref="E121:F121">
    <cfRule type="expression" dxfId="887" priority="71">
      <formula>$I121="Nein"</formula>
    </cfRule>
    <cfRule type="expression" dxfId="886" priority="72">
      <formula>$I121="Ja"</formula>
    </cfRule>
  </conditionalFormatting>
  <conditionalFormatting sqref="E129:F129">
    <cfRule type="expression" dxfId="885" priority="69">
      <formula>$I129="Nein"</formula>
    </cfRule>
    <cfRule type="expression" dxfId="884" priority="70">
      <formula>$I129="Ja"</formula>
    </cfRule>
  </conditionalFormatting>
  <conditionalFormatting sqref="E128:F128">
    <cfRule type="expression" dxfId="883" priority="67">
      <formula>$I128="Nein"</formula>
    </cfRule>
    <cfRule type="expression" dxfId="882" priority="68">
      <formula>$I128="Ja"</formula>
    </cfRule>
  </conditionalFormatting>
  <conditionalFormatting sqref="E131:F131">
    <cfRule type="expression" dxfId="881" priority="65">
      <formula>$I131="Nein"</formula>
    </cfRule>
    <cfRule type="expression" dxfId="880" priority="66">
      <formula>$I131="Ja"</formula>
    </cfRule>
  </conditionalFormatting>
  <conditionalFormatting sqref="E130:F130">
    <cfRule type="expression" dxfId="879" priority="63">
      <formula>$I130="Nein"</formula>
    </cfRule>
    <cfRule type="expression" dxfId="878" priority="64">
      <formula>$I130="Ja"</formula>
    </cfRule>
  </conditionalFormatting>
  <conditionalFormatting sqref="E138:F138">
    <cfRule type="expression" dxfId="877" priority="61">
      <formula>$I138="Nein"</formula>
    </cfRule>
    <cfRule type="expression" dxfId="876" priority="62">
      <formula>$I138="Ja"</formula>
    </cfRule>
  </conditionalFormatting>
  <conditionalFormatting sqref="E137:F137">
    <cfRule type="expression" dxfId="875" priority="59">
      <formula>$I137="Nein"</formula>
    </cfRule>
    <cfRule type="expression" dxfId="874" priority="60">
      <formula>$I137="Ja"</formula>
    </cfRule>
  </conditionalFormatting>
  <conditionalFormatting sqref="E140:F140">
    <cfRule type="expression" dxfId="873" priority="57">
      <formula>$I140="Nein"</formula>
    </cfRule>
    <cfRule type="expression" dxfId="872" priority="58">
      <formula>$I140="Ja"</formula>
    </cfRule>
  </conditionalFormatting>
  <conditionalFormatting sqref="E139:F139">
    <cfRule type="expression" dxfId="871" priority="55">
      <formula>$I139="Nein"</formula>
    </cfRule>
    <cfRule type="expression" dxfId="870" priority="56">
      <formula>$I139="Ja"</formula>
    </cfRule>
  </conditionalFormatting>
  <conditionalFormatting sqref="D146:E146">
    <cfRule type="expression" dxfId="869" priority="53">
      <formula>$I146="Nein"</formula>
    </cfRule>
    <cfRule type="expression" dxfId="868" priority="54">
      <formula>$I146="Ja"</formula>
    </cfRule>
  </conditionalFormatting>
  <conditionalFormatting sqref="D147:E147">
    <cfRule type="expression" dxfId="867" priority="51">
      <formula>$I147="Nein"</formula>
    </cfRule>
    <cfRule type="expression" dxfId="866" priority="52">
      <formula>$I147="Ja"</formula>
    </cfRule>
  </conditionalFormatting>
  <conditionalFormatting sqref="D148:E148">
    <cfRule type="expression" dxfId="865" priority="49">
      <formula>$I148="Nein"</formula>
    </cfRule>
    <cfRule type="expression" dxfId="864" priority="50">
      <formula>$I148="Ja"</formula>
    </cfRule>
  </conditionalFormatting>
  <conditionalFormatting sqref="D149:E149">
    <cfRule type="expression" dxfId="863" priority="47">
      <formula>$I149="Nein"</formula>
    </cfRule>
    <cfRule type="expression" dxfId="862" priority="48">
      <formula>$I149="Ja"</formula>
    </cfRule>
  </conditionalFormatting>
  <conditionalFormatting sqref="D160:E160 D169:E169">
    <cfRule type="expression" dxfId="861" priority="45">
      <formula>$J160="Ja"</formula>
    </cfRule>
    <cfRule type="expression" dxfId="860" priority="46">
      <formula>$J160="Nein"</formula>
    </cfRule>
  </conditionalFormatting>
  <conditionalFormatting sqref="D159:E159">
    <cfRule type="expression" dxfId="859" priority="43">
      <formula>$J159="Ja"</formula>
    </cfRule>
    <cfRule type="expression" dxfId="858" priority="44">
      <formula>$J159="Nein"</formula>
    </cfRule>
  </conditionalFormatting>
  <conditionalFormatting sqref="E174:F174">
    <cfRule type="expression" dxfId="857" priority="23">
      <formula>$I174="Nein"</formula>
    </cfRule>
    <cfRule type="expression" dxfId="856" priority="24">
      <formula>$I174="Ja"</formula>
    </cfRule>
  </conditionalFormatting>
  <conditionalFormatting sqref="E175:F175">
    <cfRule type="expression" dxfId="855" priority="21">
      <formula>$I175="Nein"</formula>
    </cfRule>
    <cfRule type="expression" dxfId="854" priority="22">
      <formula>$I175="Ja"</formula>
    </cfRule>
  </conditionalFormatting>
  <conditionalFormatting sqref="E176:F176">
    <cfRule type="expression" dxfId="853" priority="19">
      <formula>$I176="Nein"</formula>
    </cfRule>
    <cfRule type="expression" dxfId="852" priority="20">
      <formula>$I176="Ja"</formula>
    </cfRule>
  </conditionalFormatting>
  <conditionalFormatting sqref="E182:F182">
    <cfRule type="expression" dxfId="851" priority="17">
      <formula>$I182="Nein"</formula>
    </cfRule>
    <cfRule type="expression" dxfId="850" priority="18">
      <formula>$I182="Ja"</formula>
    </cfRule>
  </conditionalFormatting>
  <conditionalFormatting sqref="E183:F183">
    <cfRule type="expression" dxfId="849" priority="15">
      <formula>$I183="Nein"</formula>
    </cfRule>
    <cfRule type="expression" dxfId="848" priority="16">
      <formula>$I183="Ja"</formula>
    </cfRule>
  </conditionalFormatting>
  <conditionalFormatting sqref="E184:F184">
    <cfRule type="expression" dxfId="847" priority="13">
      <formula>$I184="Nein"</formula>
    </cfRule>
    <cfRule type="expression" dxfId="846" priority="14">
      <formula>$I184="Ja"</formula>
    </cfRule>
  </conditionalFormatting>
  <conditionalFormatting sqref="E190:F190">
    <cfRule type="expression" dxfId="845" priority="11">
      <formula>$I190="Nein"</formula>
    </cfRule>
    <cfRule type="expression" dxfId="844" priority="12">
      <formula>$I190="Ja"</formula>
    </cfRule>
  </conditionalFormatting>
  <conditionalFormatting sqref="E191:F191">
    <cfRule type="expression" dxfId="843" priority="9">
      <formula>$I191="Nein"</formula>
    </cfRule>
    <cfRule type="expression" dxfId="842" priority="10">
      <formula>$I191="Ja"</formula>
    </cfRule>
  </conditionalFormatting>
  <conditionalFormatting sqref="E192:F192">
    <cfRule type="expression" dxfId="841" priority="7">
      <formula>$I192="Nein"</formula>
    </cfRule>
    <cfRule type="expression" dxfId="840" priority="8">
      <formula>$I192="Ja"</formula>
    </cfRule>
  </conditionalFormatting>
  <conditionalFormatting sqref="D198:E198">
    <cfRule type="expression" dxfId="839" priority="5">
      <formula>$I198="Nein"</formula>
    </cfRule>
    <cfRule type="expression" dxfId="838" priority="6">
      <formula>$I198="Ja"</formula>
    </cfRule>
  </conditionalFormatting>
  <conditionalFormatting sqref="D199:E199">
    <cfRule type="expression" dxfId="837" priority="3">
      <formula>$I199="Nein"</formula>
    </cfRule>
    <cfRule type="expression" dxfId="836" priority="4">
      <formula>$I199="Ja"</formula>
    </cfRule>
  </conditionalFormatting>
  <conditionalFormatting sqref="D200:E200">
    <cfRule type="expression" dxfId="835" priority="1">
      <formula>$I200="Nein"</formula>
    </cfRule>
    <cfRule type="expression" dxfId="834" priority="2">
      <formula>$I200="Ja"</formula>
    </cfRule>
  </conditionalFormatting>
  <dataValidations count="1">
    <dataValidation type="list" allowBlank="1" showInputMessage="1" showErrorMessage="1" sqref="O20 I6:I17" xr:uid="{29DCAF3D-F92A-48DB-8D99-46D6E9C776FD}">
      <formula1>"Ja,Nein"</formula1>
    </dataValidation>
  </dataValidation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8E4811-5064-4FB6-A326-B7E869C3EA93}">
  <dimension ref="A1:AE142"/>
  <sheetViews>
    <sheetView showGridLines="0" topLeftCell="A70" workbookViewId="0">
      <selection activeCell="D11" sqref="D11:H11"/>
    </sheetView>
  </sheetViews>
  <sheetFormatPr baseColWidth="10" defaultColWidth="11.42578125" defaultRowHeight="15" outlineLevelRow="1" outlineLevelCol="1" x14ac:dyDescent="0.25"/>
  <cols>
    <col min="1" max="3" width="3.7109375" style="2" customWidth="1"/>
    <col min="4" max="14" width="20.7109375" style="2" customWidth="1"/>
    <col min="15" max="18" width="20.7109375" style="2" hidden="1" customWidth="1" outlineLevel="1"/>
    <col min="19" max="19" width="20.7109375" style="2" customWidth="1" collapsed="1"/>
    <col min="20" max="21" width="3.7109375" style="2" customWidth="1"/>
    <col min="22" max="22" width="15.85546875" style="2" customWidth="1"/>
    <col min="23" max="24" width="20.7109375" style="2" customWidth="1"/>
    <col min="25" max="16384" width="11.42578125" style="2"/>
  </cols>
  <sheetData>
    <row r="1" spans="1:23" x14ac:dyDescent="0.25">
      <c r="A1" s="573" t="s">
        <v>375</v>
      </c>
      <c r="B1" s="573"/>
      <c r="C1" s="573"/>
      <c r="D1" s="573"/>
      <c r="E1" s="573"/>
      <c r="F1" s="573"/>
      <c r="G1" s="573"/>
      <c r="H1" s="573"/>
      <c r="I1" s="573"/>
      <c r="J1" s="573"/>
      <c r="K1" s="573"/>
      <c r="L1" s="573"/>
      <c r="M1" s="573"/>
      <c r="N1" s="573"/>
    </row>
    <row r="2" spans="1:23" x14ac:dyDescent="0.25">
      <c r="A2" s="573"/>
      <c r="B2" s="573"/>
      <c r="C2" s="573"/>
      <c r="D2" s="573"/>
      <c r="E2" s="573"/>
      <c r="F2" s="573"/>
      <c r="G2" s="573"/>
      <c r="H2" s="573"/>
      <c r="I2" s="573"/>
      <c r="J2" s="573"/>
      <c r="K2" s="573"/>
      <c r="L2" s="573"/>
      <c r="M2" s="573"/>
      <c r="N2" s="573"/>
    </row>
    <row r="3" spans="1:23" ht="20.100000000000001" customHeight="1" thickBot="1" x14ac:dyDescent="0.3"/>
    <row r="4" spans="1:23" ht="15.75" thickBot="1" x14ac:dyDescent="0.3">
      <c r="B4" s="614" t="s">
        <v>376</v>
      </c>
      <c r="C4" s="615"/>
      <c r="D4" s="615"/>
      <c r="E4" s="615"/>
      <c r="F4" s="615"/>
      <c r="G4" s="615"/>
      <c r="H4" s="615"/>
      <c r="I4" s="616"/>
      <c r="K4" s="614" t="s">
        <v>40</v>
      </c>
      <c r="L4" s="615"/>
      <c r="M4" s="616"/>
      <c r="P4" s="53"/>
      <c r="Q4" s="53"/>
      <c r="R4" s="53"/>
      <c r="S4" s="4"/>
      <c r="T4" s="53"/>
      <c r="U4" s="53"/>
      <c r="V4" s="53"/>
      <c r="W4" s="53"/>
    </row>
    <row r="5" spans="1:23" ht="50.1" customHeight="1" thickBot="1" x14ac:dyDescent="0.3">
      <c r="B5" s="586" t="s">
        <v>378</v>
      </c>
      <c r="C5" s="587"/>
      <c r="D5" s="296" t="s">
        <v>21</v>
      </c>
      <c r="E5" s="227" t="s">
        <v>57</v>
      </c>
      <c r="F5" s="227" t="s">
        <v>61</v>
      </c>
      <c r="G5" s="228" t="s">
        <v>62</v>
      </c>
      <c r="H5" s="228" t="s">
        <v>97</v>
      </c>
      <c r="I5" s="227" t="s">
        <v>377</v>
      </c>
      <c r="K5" s="12" t="s">
        <v>21</v>
      </c>
      <c r="L5" s="80" t="s">
        <v>41</v>
      </c>
      <c r="M5" s="19" t="s">
        <v>22</v>
      </c>
      <c r="P5" s="4"/>
      <c r="R5" s="53"/>
      <c r="S5" s="53"/>
      <c r="T5" s="53"/>
      <c r="U5" s="4"/>
      <c r="V5" s="4"/>
    </row>
    <row r="6" spans="1:23" ht="20.100000000000001" customHeight="1" x14ac:dyDescent="0.25">
      <c r="B6" s="576">
        <v>1</v>
      </c>
      <c r="C6" s="577"/>
      <c r="D6" s="254" t="s">
        <v>127</v>
      </c>
      <c r="E6" s="254" t="s">
        <v>60</v>
      </c>
      <c r="F6" s="254" t="s">
        <v>7</v>
      </c>
      <c r="G6" s="254" t="s">
        <v>7</v>
      </c>
      <c r="H6" s="254" t="s">
        <v>7</v>
      </c>
      <c r="I6" s="291" t="s">
        <v>179</v>
      </c>
      <c r="K6" s="24" t="str">
        <f>D6</f>
        <v>Judith Fulterer</v>
      </c>
      <c r="L6" s="578">
        <v>1</v>
      </c>
      <c r="M6" s="113">
        <v>1</v>
      </c>
      <c r="P6" s="6"/>
      <c r="U6" s="6"/>
      <c r="V6" s="6"/>
    </row>
    <row r="7" spans="1:23" ht="20.100000000000001" customHeight="1" x14ac:dyDescent="0.25">
      <c r="B7" s="581">
        <v>2</v>
      </c>
      <c r="C7" s="582"/>
      <c r="D7" s="246" t="s">
        <v>114</v>
      </c>
      <c r="E7" s="246" t="s">
        <v>102</v>
      </c>
      <c r="F7" s="246" t="s">
        <v>102</v>
      </c>
      <c r="G7" s="246" t="s">
        <v>102</v>
      </c>
      <c r="H7" s="246" t="s">
        <v>102</v>
      </c>
      <c r="I7" s="292" t="s">
        <v>179</v>
      </c>
      <c r="K7" s="3" t="str">
        <f t="shared" ref="K7:K13" si="0">D7</f>
        <v>Jonas Röhrig</v>
      </c>
      <c r="L7" s="579"/>
      <c r="M7" s="116">
        <v>2</v>
      </c>
      <c r="P7" s="6"/>
      <c r="U7" s="6"/>
      <c r="V7" s="6"/>
    </row>
    <row r="8" spans="1:23" ht="20.100000000000001" customHeight="1" x14ac:dyDescent="0.25">
      <c r="B8" s="581">
        <v>3</v>
      </c>
      <c r="C8" s="582"/>
      <c r="D8" s="246" t="s">
        <v>0</v>
      </c>
      <c r="E8" s="246" t="s">
        <v>5</v>
      </c>
      <c r="F8" s="246" t="s">
        <v>5</v>
      </c>
      <c r="G8" s="246" t="s">
        <v>5</v>
      </c>
      <c r="H8" s="246" t="s">
        <v>5</v>
      </c>
      <c r="I8" s="292" t="s">
        <v>179</v>
      </c>
      <c r="K8" s="3" t="str">
        <f t="shared" si="0"/>
        <v>Devid Fulterer</v>
      </c>
      <c r="L8" s="579"/>
      <c r="M8" s="116">
        <v>3</v>
      </c>
      <c r="P8" s="6"/>
      <c r="U8" s="6"/>
      <c r="V8" s="6"/>
    </row>
    <row r="9" spans="1:23" ht="20.100000000000001" customHeight="1" thickBot="1" x14ac:dyDescent="0.3">
      <c r="B9" s="581">
        <v>4</v>
      </c>
      <c r="C9" s="582"/>
      <c r="D9" s="247" t="s">
        <v>125</v>
      </c>
      <c r="E9" s="247" t="s">
        <v>126</v>
      </c>
      <c r="F9" s="148" t="s">
        <v>59</v>
      </c>
      <c r="G9" s="246" t="s">
        <v>59</v>
      </c>
      <c r="H9" s="246" t="s">
        <v>59</v>
      </c>
      <c r="I9" s="292" t="s">
        <v>179</v>
      </c>
      <c r="K9" s="45" t="str">
        <f t="shared" si="0"/>
        <v>Bea Kittner</v>
      </c>
      <c r="L9" s="580"/>
      <c r="M9" s="46">
        <v>4</v>
      </c>
      <c r="P9" s="6"/>
      <c r="U9" s="6"/>
      <c r="V9" s="6"/>
    </row>
    <row r="10" spans="1:23" ht="20.100000000000001" customHeight="1" x14ac:dyDescent="0.25">
      <c r="B10" s="581">
        <v>5</v>
      </c>
      <c r="C10" s="582"/>
      <c r="D10" s="247" t="s">
        <v>47</v>
      </c>
      <c r="E10" s="247" t="s">
        <v>64</v>
      </c>
      <c r="F10" s="148" t="s">
        <v>64</v>
      </c>
      <c r="G10" s="246" t="s">
        <v>64</v>
      </c>
      <c r="H10" s="246" t="s">
        <v>64</v>
      </c>
      <c r="I10" s="292" t="s">
        <v>179</v>
      </c>
      <c r="K10" s="24" t="str">
        <f>D10</f>
        <v>Kai Maibaum</v>
      </c>
      <c r="L10" s="578">
        <v>2</v>
      </c>
      <c r="M10" s="113">
        <v>1</v>
      </c>
      <c r="P10" s="6"/>
      <c r="U10" s="6"/>
      <c r="V10" s="6"/>
    </row>
    <row r="11" spans="1:23" ht="20.100000000000001" customHeight="1" x14ac:dyDescent="0.25">
      <c r="B11" s="581">
        <v>6</v>
      </c>
      <c r="C11" s="582"/>
      <c r="D11" s="249" t="s">
        <v>128</v>
      </c>
      <c r="E11" s="247" t="s">
        <v>129</v>
      </c>
      <c r="F11" s="148" t="s">
        <v>129</v>
      </c>
      <c r="G11" s="246" t="s">
        <v>129</v>
      </c>
      <c r="H11" s="248" t="s">
        <v>129</v>
      </c>
      <c r="I11" s="257" t="s">
        <v>179</v>
      </c>
      <c r="K11" s="3" t="str">
        <f t="shared" si="0"/>
        <v>Fabian Spaniol</v>
      </c>
      <c r="L11" s="579"/>
      <c r="M11" s="116">
        <v>2</v>
      </c>
      <c r="P11" s="6"/>
      <c r="U11" s="6"/>
      <c r="V11" s="6"/>
    </row>
    <row r="12" spans="1:23" ht="20.100000000000001" customHeight="1" x14ac:dyDescent="0.25">
      <c r="B12" s="581">
        <v>7</v>
      </c>
      <c r="C12" s="582"/>
      <c r="D12" s="247" t="s">
        <v>2</v>
      </c>
      <c r="E12" s="247" t="s">
        <v>8</v>
      </c>
      <c r="F12" s="148" t="s">
        <v>8</v>
      </c>
      <c r="G12" s="246" t="s">
        <v>8</v>
      </c>
      <c r="H12" s="246" t="s">
        <v>8</v>
      </c>
      <c r="I12" s="292" t="s">
        <v>179</v>
      </c>
      <c r="K12" s="3" t="str">
        <f t="shared" si="0"/>
        <v>Markus Hagenauer</v>
      </c>
      <c r="L12" s="579"/>
      <c r="M12" s="116">
        <v>3</v>
      </c>
      <c r="P12" s="6"/>
      <c r="U12" s="6"/>
      <c r="V12" s="6"/>
    </row>
    <row r="13" spans="1:23" ht="20.100000000000001" customHeight="1" thickBot="1" x14ac:dyDescent="0.3">
      <c r="B13" s="617">
        <v>8</v>
      </c>
      <c r="C13" s="618"/>
      <c r="D13" s="250" t="s">
        <v>123</v>
      </c>
      <c r="E13" s="251" t="s">
        <v>124</v>
      </c>
      <c r="F13" s="306" t="s">
        <v>59</v>
      </c>
      <c r="G13" s="251" t="s">
        <v>59</v>
      </c>
      <c r="H13" s="251" t="s">
        <v>59</v>
      </c>
      <c r="I13" s="353" t="s">
        <v>179</v>
      </c>
      <c r="K13" s="361" t="str">
        <f t="shared" si="0"/>
        <v>Marc Lambrecht</v>
      </c>
      <c r="L13" s="580"/>
      <c r="M13" s="118">
        <v>4</v>
      </c>
      <c r="P13" s="6"/>
      <c r="U13" s="6"/>
      <c r="V13" s="6"/>
    </row>
    <row r="14" spans="1:23" ht="20.100000000000001" customHeight="1" thickBot="1" x14ac:dyDescent="0.3">
      <c r="D14" s="294"/>
      <c r="E14" s="294"/>
      <c r="F14" s="295"/>
      <c r="G14" s="28"/>
      <c r="H14" s="28"/>
      <c r="I14" s="294"/>
      <c r="K14" s="584" t="s">
        <v>380</v>
      </c>
      <c r="L14" s="585"/>
      <c r="M14" s="121">
        <f>ROWS(M6:M13)</f>
        <v>8</v>
      </c>
      <c r="O14" s="53"/>
      <c r="P14" s="53"/>
      <c r="R14" s="53"/>
      <c r="S14" s="53"/>
      <c r="T14" s="53"/>
      <c r="U14" s="53"/>
    </row>
    <row r="15" spans="1:23" ht="15.75" thickBot="1" x14ac:dyDescent="0.3">
      <c r="B15" s="614" t="s">
        <v>379</v>
      </c>
      <c r="C15" s="615"/>
      <c r="D15" s="615"/>
      <c r="E15" s="615"/>
      <c r="F15" s="615"/>
      <c r="G15" s="615"/>
      <c r="H15" s="616"/>
      <c r="L15" s="128"/>
      <c r="M15" s="128"/>
      <c r="N15" s="128"/>
      <c r="O15" s="4"/>
      <c r="P15" s="53"/>
      <c r="Q15" s="53"/>
      <c r="S15" s="53"/>
      <c r="T15" s="53"/>
      <c r="U15" s="53"/>
      <c r="V15" s="53"/>
    </row>
    <row r="16" spans="1:23" ht="30.75" thickBot="1" x14ac:dyDescent="0.3">
      <c r="B16" s="586" t="s">
        <v>58</v>
      </c>
      <c r="C16" s="587"/>
      <c r="D16" s="139" t="s">
        <v>21</v>
      </c>
      <c r="E16" s="227" t="s">
        <v>57</v>
      </c>
      <c r="F16" s="227" t="s">
        <v>61</v>
      </c>
      <c r="G16" s="228" t="s">
        <v>62</v>
      </c>
      <c r="H16" s="228" t="s">
        <v>97</v>
      </c>
      <c r="L16" s="128"/>
      <c r="M16" s="128"/>
      <c r="N16" s="128"/>
      <c r="O16" s="4"/>
      <c r="P16" s="53"/>
      <c r="Q16" s="53"/>
      <c r="S16" s="53"/>
      <c r="T16" s="53"/>
      <c r="U16" s="53"/>
      <c r="V16" s="53"/>
    </row>
    <row r="17" spans="2:23" ht="20.100000000000001" customHeight="1" x14ac:dyDescent="0.25">
      <c r="B17" s="891">
        <v>1</v>
      </c>
      <c r="C17" s="892"/>
      <c r="D17" s="254" t="s">
        <v>90</v>
      </c>
      <c r="E17" s="253" t="s">
        <v>92</v>
      </c>
      <c r="F17" s="234" t="s">
        <v>91</v>
      </c>
      <c r="G17" s="254" t="s">
        <v>91</v>
      </c>
      <c r="H17" s="419" t="s">
        <v>92</v>
      </c>
      <c r="O17" s="257" t="s">
        <v>39</v>
      </c>
      <c r="P17" s="53"/>
      <c r="Q17" s="53"/>
      <c r="S17" s="53"/>
      <c r="T17" s="53"/>
      <c r="U17" s="53"/>
      <c r="V17" s="53"/>
    </row>
    <row r="18" spans="2:23" ht="20.100000000000001" customHeight="1" thickBot="1" x14ac:dyDescent="0.3">
      <c r="B18" s="884">
        <v>2</v>
      </c>
      <c r="C18" s="885"/>
      <c r="D18" s="256" t="s">
        <v>46</v>
      </c>
      <c r="E18" s="256" t="s">
        <v>6</v>
      </c>
      <c r="F18" s="256" t="s">
        <v>6</v>
      </c>
      <c r="G18" s="256" t="s">
        <v>6</v>
      </c>
      <c r="H18" s="420" t="s">
        <v>6</v>
      </c>
      <c r="O18" s="418"/>
      <c r="P18" s="53"/>
      <c r="Q18" s="53"/>
      <c r="S18" s="53"/>
      <c r="T18" s="53"/>
      <c r="U18" s="53"/>
      <c r="V18" s="53"/>
    </row>
    <row r="19" spans="2:23" ht="20.100000000000001" customHeight="1" x14ac:dyDescent="0.25">
      <c r="M19" s="128"/>
      <c r="N19" s="128"/>
      <c r="O19" s="128"/>
      <c r="P19" s="4"/>
      <c r="Q19" s="53"/>
      <c r="R19" s="53"/>
      <c r="T19" s="53"/>
      <c r="U19" s="53"/>
      <c r="V19" s="53"/>
      <c r="W19" s="53"/>
    </row>
    <row r="20" spans="2:23" ht="20.100000000000001" customHeight="1" x14ac:dyDescent="0.25">
      <c r="B20" s="13"/>
      <c r="C20" s="13"/>
      <c r="D20" s="25"/>
      <c r="E20" s="25"/>
      <c r="F20" s="25"/>
      <c r="G20" s="25"/>
      <c r="H20" s="13"/>
      <c r="I20" s="13"/>
      <c r="J20" s="13"/>
      <c r="K20" s="13"/>
      <c r="L20" s="13"/>
      <c r="M20" s="13"/>
      <c r="N20" s="13"/>
      <c r="O20" s="13"/>
      <c r="P20" s="13"/>
      <c r="Q20" s="13"/>
      <c r="R20" s="13"/>
      <c r="S20" s="13"/>
      <c r="T20" s="13"/>
      <c r="U20" s="13"/>
    </row>
    <row r="21" spans="2:23" ht="30" customHeight="1" x14ac:dyDescent="0.25">
      <c r="B21" s="13"/>
      <c r="C21" s="555" t="s">
        <v>73</v>
      </c>
      <c r="D21" s="555"/>
      <c r="E21" s="555"/>
      <c r="F21" s="555"/>
      <c r="G21" s="555"/>
      <c r="H21" s="555"/>
      <c r="I21" s="555"/>
      <c r="J21" s="555"/>
      <c r="K21" s="555"/>
      <c r="L21" s="555"/>
      <c r="M21" s="555"/>
      <c r="N21" s="555"/>
      <c r="O21" s="555"/>
      <c r="P21" s="555"/>
      <c r="Q21" s="555"/>
      <c r="R21" s="555"/>
      <c r="S21" s="555"/>
      <c r="T21" s="555"/>
      <c r="U21" s="13"/>
    </row>
    <row r="22" spans="2:23" ht="20.100000000000001" customHeight="1" thickBot="1" x14ac:dyDescent="0.3">
      <c r="B22" s="13"/>
      <c r="U22" s="13"/>
    </row>
    <row r="23" spans="2:23" ht="20.100000000000001" customHeight="1" thickBot="1" x14ac:dyDescent="0.3">
      <c r="B23" s="13"/>
      <c r="D23" s="556" t="s">
        <v>10</v>
      </c>
      <c r="E23" s="558" t="s">
        <v>139</v>
      </c>
      <c r="F23" s="560" t="s">
        <v>22</v>
      </c>
      <c r="G23" s="595" t="s">
        <v>42</v>
      </c>
      <c r="H23" s="596"/>
      <c r="I23" s="596"/>
      <c r="J23" s="597"/>
      <c r="K23" s="200" t="s">
        <v>36</v>
      </c>
      <c r="L23" s="563" t="s">
        <v>27</v>
      </c>
      <c r="M23" s="561"/>
      <c r="N23" s="561"/>
      <c r="O23" s="561"/>
      <c r="P23" s="561"/>
      <c r="Q23" s="561"/>
      <c r="R23" s="561"/>
      <c r="S23" s="562"/>
      <c r="U23" s="13"/>
    </row>
    <row r="24" spans="2:23" ht="20.100000000000001" customHeight="1" thickBot="1" x14ac:dyDescent="0.3">
      <c r="B24" s="13"/>
      <c r="D24" s="557"/>
      <c r="E24" s="559"/>
      <c r="F24" s="559"/>
      <c r="G24" s="85" t="s">
        <v>43</v>
      </c>
      <c r="H24" s="85" t="s">
        <v>24</v>
      </c>
      <c r="I24" s="556" t="s">
        <v>23</v>
      </c>
      <c r="J24" s="564"/>
      <c r="K24" s="85" t="s">
        <v>25</v>
      </c>
      <c r="L24" s="85" t="s">
        <v>43</v>
      </c>
      <c r="M24" s="86" t="s">
        <v>26</v>
      </c>
      <c r="N24" s="556" t="s">
        <v>23</v>
      </c>
      <c r="O24" s="588"/>
      <c r="P24" s="588"/>
      <c r="Q24" s="588"/>
      <c r="R24" s="588"/>
      <c r="S24" s="564"/>
      <c r="U24" s="13"/>
    </row>
    <row r="25" spans="2:23" ht="15" customHeight="1" x14ac:dyDescent="0.25">
      <c r="B25" s="13"/>
      <c r="D25" s="879" t="s">
        <v>127</v>
      </c>
      <c r="E25" s="878" t="s">
        <v>60</v>
      </c>
      <c r="F25" s="874">
        <v>1</v>
      </c>
      <c r="G25" s="784" t="s">
        <v>44</v>
      </c>
      <c r="H25" s="880" t="s">
        <v>191</v>
      </c>
      <c r="I25" s="656" t="s">
        <v>382</v>
      </c>
      <c r="J25" s="657"/>
      <c r="K25" s="869" t="s">
        <v>392</v>
      </c>
      <c r="L25" s="624" t="s">
        <v>13</v>
      </c>
      <c r="M25" s="627" t="s">
        <v>13</v>
      </c>
      <c r="N25" s="630" t="s">
        <v>13</v>
      </c>
      <c r="O25" s="631"/>
      <c r="P25" s="631"/>
      <c r="Q25" s="631"/>
      <c r="R25" s="631"/>
      <c r="S25" s="632"/>
      <c r="U25" s="13"/>
    </row>
    <row r="26" spans="2:23" ht="15" customHeight="1" x14ac:dyDescent="0.25">
      <c r="B26" s="13"/>
      <c r="D26" s="789"/>
      <c r="E26" s="791"/>
      <c r="F26" s="846"/>
      <c r="G26" s="785"/>
      <c r="H26" s="881"/>
      <c r="I26" s="639" t="s">
        <v>383</v>
      </c>
      <c r="J26" s="640"/>
      <c r="K26" s="870"/>
      <c r="L26" s="625"/>
      <c r="M26" s="628"/>
      <c r="N26" s="633"/>
      <c r="O26" s="634"/>
      <c r="P26" s="634"/>
      <c r="Q26" s="634"/>
      <c r="R26" s="634"/>
      <c r="S26" s="635"/>
      <c r="U26" s="13"/>
    </row>
    <row r="27" spans="2:23" ht="15" customHeight="1" x14ac:dyDescent="0.25">
      <c r="B27" s="13"/>
      <c r="D27" s="789"/>
      <c r="E27" s="791"/>
      <c r="F27" s="846"/>
      <c r="G27" s="785"/>
      <c r="H27" s="881"/>
      <c r="I27" s="737" t="s">
        <v>384</v>
      </c>
      <c r="J27" s="753"/>
      <c r="K27" s="871"/>
      <c r="L27" s="626"/>
      <c r="M27" s="629"/>
      <c r="N27" s="636"/>
      <c r="O27" s="637"/>
      <c r="P27" s="637"/>
      <c r="Q27" s="637"/>
      <c r="R27" s="637"/>
      <c r="S27" s="638"/>
      <c r="U27" s="13"/>
    </row>
    <row r="28" spans="2:23" ht="15" customHeight="1" x14ac:dyDescent="0.25">
      <c r="B28" s="13"/>
      <c r="D28" s="789" t="s">
        <v>114</v>
      </c>
      <c r="E28" s="888" t="s">
        <v>102</v>
      </c>
      <c r="F28" s="846">
        <v>2</v>
      </c>
      <c r="G28" s="727" t="s">
        <v>112</v>
      </c>
      <c r="H28" s="767" t="s">
        <v>267</v>
      </c>
      <c r="I28" s="671" t="s">
        <v>268</v>
      </c>
      <c r="J28" s="673"/>
      <c r="K28" s="886" t="s">
        <v>12</v>
      </c>
      <c r="L28" s="887" t="s">
        <v>44</v>
      </c>
      <c r="M28" s="592" t="s">
        <v>385</v>
      </c>
      <c r="N28" s="671" t="s">
        <v>386</v>
      </c>
      <c r="O28" s="890"/>
      <c r="P28" s="890"/>
      <c r="Q28" s="890"/>
      <c r="R28" s="890"/>
      <c r="S28" s="673"/>
      <c r="U28" s="13"/>
    </row>
    <row r="29" spans="2:23" ht="15" customHeight="1" x14ac:dyDescent="0.25">
      <c r="B29" s="13"/>
      <c r="D29" s="789"/>
      <c r="E29" s="888"/>
      <c r="F29" s="846"/>
      <c r="G29" s="729"/>
      <c r="H29" s="769"/>
      <c r="I29" s="672" t="s">
        <v>269</v>
      </c>
      <c r="J29" s="752"/>
      <c r="K29" s="886"/>
      <c r="L29" s="887"/>
      <c r="M29" s="592"/>
      <c r="N29" s="672" t="s">
        <v>387</v>
      </c>
      <c r="O29" s="868"/>
      <c r="P29" s="868"/>
      <c r="Q29" s="868"/>
      <c r="R29" s="868"/>
      <c r="S29" s="752"/>
      <c r="U29" s="13"/>
    </row>
    <row r="30" spans="2:23" ht="15" customHeight="1" x14ac:dyDescent="0.25">
      <c r="B30" s="13"/>
      <c r="D30" s="773" t="s">
        <v>0</v>
      </c>
      <c r="E30" s="791" t="s">
        <v>5</v>
      </c>
      <c r="F30" s="846">
        <v>3</v>
      </c>
      <c r="G30" s="841" t="s">
        <v>44</v>
      </c>
      <c r="H30" s="598" t="s">
        <v>118</v>
      </c>
      <c r="I30" s="681" t="s">
        <v>289</v>
      </c>
      <c r="J30" s="684"/>
      <c r="K30" s="690" t="s">
        <v>267</v>
      </c>
      <c r="L30" s="688" t="s">
        <v>13</v>
      </c>
      <c r="M30" s="689" t="s">
        <v>13</v>
      </c>
      <c r="N30" s="693" t="s">
        <v>13</v>
      </c>
      <c r="O30" s="694"/>
      <c r="P30" s="694"/>
      <c r="Q30" s="694"/>
      <c r="R30" s="694"/>
      <c r="S30" s="695"/>
      <c r="U30" s="13"/>
    </row>
    <row r="31" spans="2:23" ht="15" customHeight="1" x14ac:dyDescent="0.25">
      <c r="B31" s="13"/>
      <c r="D31" s="773"/>
      <c r="E31" s="791"/>
      <c r="F31" s="846"/>
      <c r="G31" s="841"/>
      <c r="H31" s="598"/>
      <c r="I31" s="682" t="s">
        <v>290</v>
      </c>
      <c r="J31" s="702"/>
      <c r="K31" s="691"/>
      <c r="L31" s="625"/>
      <c r="M31" s="628"/>
      <c r="N31" s="696"/>
      <c r="O31" s="697"/>
      <c r="P31" s="697"/>
      <c r="Q31" s="697"/>
      <c r="R31" s="697"/>
      <c r="S31" s="698"/>
      <c r="U31" s="13"/>
    </row>
    <row r="32" spans="2:23" ht="15" customHeight="1" x14ac:dyDescent="0.25">
      <c r="B32" s="13"/>
      <c r="D32" s="773"/>
      <c r="E32" s="791"/>
      <c r="F32" s="846"/>
      <c r="G32" s="841"/>
      <c r="H32" s="598"/>
      <c r="I32" s="683" t="s">
        <v>388</v>
      </c>
      <c r="J32" s="751"/>
      <c r="K32" s="692"/>
      <c r="L32" s="626"/>
      <c r="M32" s="629"/>
      <c r="N32" s="699"/>
      <c r="O32" s="700"/>
      <c r="P32" s="700"/>
      <c r="Q32" s="700"/>
      <c r="R32" s="700"/>
      <c r="S32" s="701"/>
      <c r="U32" s="13"/>
    </row>
    <row r="33" spans="2:21" ht="27.95" customHeight="1" x14ac:dyDescent="0.25">
      <c r="B33" s="13"/>
      <c r="D33" s="674" t="s">
        <v>125</v>
      </c>
      <c r="E33" s="677" t="s">
        <v>126</v>
      </c>
      <c r="F33" s="764">
        <v>4</v>
      </c>
      <c r="G33" s="875" t="s">
        <v>44</v>
      </c>
      <c r="H33" s="725" t="s">
        <v>300</v>
      </c>
      <c r="I33" s="725" t="s">
        <v>301</v>
      </c>
      <c r="J33" s="726"/>
      <c r="K33" s="690" t="s">
        <v>267</v>
      </c>
      <c r="L33" s="688" t="s">
        <v>13</v>
      </c>
      <c r="M33" s="689" t="s">
        <v>13</v>
      </c>
      <c r="N33" s="693" t="s">
        <v>13</v>
      </c>
      <c r="O33" s="694"/>
      <c r="P33" s="694"/>
      <c r="Q33" s="694"/>
      <c r="R33" s="694"/>
      <c r="S33" s="695"/>
      <c r="U33" s="13"/>
    </row>
    <row r="34" spans="2:21" ht="15" customHeight="1" x14ac:dyDescent="0.25">
      <c r="B34" s="13"/>
      <c r="D34" s="675"/>
      <c r="E34" s="645"/>
      <c r="F34" s="765"/>
      <c r="G34" s="876"/>
      <c r="H34" s="709"/>
      <c r="I34" s="709" t="s">
        <v>389</v>
      </c>
      <c r="J34" s="710"/>
      <c r="K34" s="691"/>
      <c r="L34" s="625"/>
      <c r="M34" s="628"/>
      <c r="N34" s="696"/>
      <c r="O34" s="697"/>
      <c r="P34" s="697"/>
      <c r="Q34" s="697"/>
      <c r="R34" s="697"/>
      <c r="S34" s="698"/>
      <c r="U34" s="13"/>
    </row>
    <row r="35" spans="2:21" ht="15" customHeight="1" x14ac:dyDescent="0.25">
      <c r="B35" s="13"/>
      <c r="D35" s="675"/>
      <c r="E35" s="645"/>
      <c r="F35" s="765"/>
      <c r="G35" s="876"/>
      <c r="H35" s="709"/>
      <c r="I35" s="709" t="s">
        <v>390</v>
      </c>
      <c r="J35" s="710"/>
      <c r="K35" s="691"/>
      <c r="L35" s="625"/>
      <c r="M35" s="628"/>
      <c r="N35" s="696"/>
      <c r="O35" s="697"/>
      <c r="P35" s="697"/>
      <c r="Q35" s="697"/>
      <c r="R35" s="697"/>
      <c r="S35" s="698"/>
      <c r="U35" s="13"/>
    </row>
    <row r="36" spans="2:21" ht="15" customHeight="1" thickBot="1" x14ac:dyDescent="0.3">
      <c r="B36" s="13"/>
      <c r="D36" s="816"/>
      <c r="E36" s="716"/>
      <c r="F36" s="776"/>
      <c r="G36" s="877"/>
      <c r="H36" s="711"/>
      <c r="I36" s="711" t="s">
        <v>391</v>
      </c>
      <c r="J36" s="712"/>
      <c r="K36" s="872"/>
      <c r="L36" s="873"/>
      <c r="M36" s="706"/>
      <c r="N36" s="889"/>
      <c r="O36" s="707"/>
      <c r="P36" s="707"/>
      <c r="Q36" s="707"/>
      <c r="R36" s="707"/>
      <c r="S36" s="708"/>
      <c r="U36" s="13"/>
    </row>
    <row r="37" spans="2:21" ht="20.100000000000001" customHeight="1" x14ac:dyDescent="0.25">
      <c r="B37" s="13"/>
      <c r="U37" s="13"/>
    </row>
    <row r="38" spans="2:21" ht="20.100000000000001" customHeight="1" thickBot="1" x14ac:dyDescent="0.3">
      <c r="B38" s="13"/>
      <c r="C38" s="26"/>
      <c r="D38" s="26"/>
      <c r="E38" s="552" t="str">
        <f>IF(OR(M25="-",M25= ""),H25,M25)</f>
        <v>Ein Fest für Odin</v>
      </c>
      <c r="F38" s="552"/>
      <c r="G38" s="552"/>
      <c r="H38" s="552"/>
      <c r="I38" s="552"/>
      <c r="J38" s="552"/>
      <c r="K38" s="552"/>
      <c r="L38" s="552"/>
      <c r="M38" s="552"/>
      <c r="N38" s="552"/>
      <c r="O38" s="199"/>
      <c r="P38" s="199"/>
      <c r="Q38" s="199"/>
      <c r="R38" s="199"/>
      <c r="S38" s="199"/>
      <c r="T38" s="26"/>
      <c r="U38" s="13"/>
    </row>
    <row r="39" spans="2:21" ht="50.1" customHeight="1" thickBot="1" x14ac:dyDescent="0.3">
      <c r="B39" s="13"/>
      <c r="C39" s="26"/>
      <c r="D39" s="199"/>
      <c r="E39" s="88" t="s">
        <v>10</v>
      </c>
      <c r="F39" s="125" t="s">
        <v>52</v>
      </c>
      <c r="G39" s="89" t="s">
        <v>14</v>
      </c>
      <c r="H39" s="200" t="s">
        <v>51</v>
      </c>
      <c r="I39" s="18" t="s">
        <v>54</v>
      </c>
      <c r="J39" s="200" t="s">
        <v>53</v>
      </c>
      <c r="K39" s="206" t="s">
        <v>28</v>
      </c>
      <c r="L39" s="200" t="s">
        <v>37</v>
      </c>
      <c r="M39" s="204" t="s">
        <v>16</v>
      </c>
      <c r="N39" s="89" t="s">
        <v>15</v>
      </c>
      <c r="O39" s="5" t="s">
        <v>30</v>
      </c>
      <c r="P39" s="7" t="s">
        <v>34</v>
      </c>
      <c r="Q39" s="7" t="s">
        <v>31</v>
      </c>
      <c r="R39" s="7" t="s">
        <v>32</v>
      </c>
      <c r="S39" s="199"/>
      <c r="T39" s="26"/>
      <c r="U39" s="13"/>
    </row>
    <row r="40" spans="2:21" ht="20.100000000000001" customHeight="1" x14ac:dyDescent="0.25">
      <c r="B40" s="13"/>
      <c r="C40" s="26"/>
      <c r="D40" s="26"/>
      <c r="E40" s="233" t="s">
        <v>127</v>
      </c>
      <c r="F40" s="254" t="s">
        <v>60</v>
      </c>
      <c r="G40" s="49">
        <v>1</v>
      </c>
      <c r="H40" s="49" t="s">
        <v>13</v>
      </c>
      <c r="I40" s="49">
        <v>-86</v>
      </c>
      <c r="J40" s="49">
        <v>74</v>
      </c>
      <c r="K40" s="49" t="s">
        <v>13</v>
      </c>
      <c r="L40" s="50">
        <f>IF(J40="",0,(J40/J44)*100)</f>
        <v>97.368421052631575</v>
      </c>
      <c r="M40" s="49">
        <v>2</v>
      </c>
      <c r="N40" s="61">
        <v>2</v>
      </c>
      <c r="O40" s="57">
        <f>IF(M40=1,1,0)</f>
        <v>0</v>
      </c>
      <c r="P40" s="209">
        <f>IF(M40=2,1,0)</f>
        <v>1</v>
      </c>
      <c r="Q40" s="209">
        <f>IF(M40=3,1,0)</f>
        <v>0</v>
      </c>
      <c r="R40" s="8">
        <f>IF(M40=4,1,0)</f>
        <v>0</v>
      </c>
      <c r="S40" s="198"/>
      <c r="T40" s="26"/>
      <c r="U40" s="13"/>
    </row>
    <row r="41" spans="2:21" ht="20.100000000000001" customHeight="1" x14ac:dyDescent="0.25">
      <c r="B41" s="13"/>
      <c r="C41" s="26"/>
      <c r="D41" s="26"/>
      <c r="E41" s="96" t="s">
        <v>114</v>
      </c>
      <c r="F41" s="246" t="s">
        <v>102</v>
      </c>
      <c r="G41" s="47">
        <v>2</v>
      </c>
      <c r="H41" s="47" t="s">
        <v>13</v>
      </c>
      <c r="I41" s="47">
        <v>-86</v>
      </c>
      <c r="J41" s="47">
        <v>74</v>
      </c>
      <c r="K41" s="47" t="s">
        <v>13</v>
      </c>
      <c r="L41" s="48">
        <f>IF(J41="",0,(J41/J44)*100)</f>
        <v>97.368421052631575</v>
      </c>
      <c r="M41" s="47">
        <v>2</v>
      </c>
      <c r="N41" s="60">
        <v>2</v>
      </c>
      <c r="O41" s="205">
        <f>IF(M41=1,1,0)</f>
        <v>0</v>
      </c>
      <c r="P41" s="207">
        <f>IF(M41=2,1,0)</f>
        <v>1</v>
      </c>
      <c r="Q41" s="207">
        <f>IF(M41=3,1,0)</f>
        <v>0</v>
      </c>
      <c r="R41" s="9">
        <f>IF(M41=4,1,0)</f>
        <v>0</v>
      </c>
      <c r="S41" s="198"/>
      <c r="T41" s="26"/>
      <c r="U41" s="13"/>
    </row>
    <row r="42" spans="2:21" ht="20.100000000000001" customHeight="1" x14ac:dyDescent="0.25">
      <c r="B42" s="13"/>
      <c r="C42" s="26"/>
      <c r="D42" s="26"/>
      <c r="E42" s="110" t="s">
        <v>0</v>
      </c>
      <c r="F42" s="273" t="s">
        <v>5</v>
      </c>
      <c r="G42" s="149">
        <v>4</v>
      </c>
      <c r="H42" s="149" t="s">
        <v>13</v>
      </c>
      <c r="I42" s="149">
        <v>-86</v>
      </c>
      <c r="J42" s="149">
        <v>76</v>
      </c>
      <c r="K42" s="149" t="s">
        <v>13</v>
      </c>
      <c r="L42" s="38">
        <f>IF(J42="",0,(J42/J44)*100)</f>
        <v>100</v>
      </c>
      <c r="M42" s="149">
        <v>1</v>
      </c>
      <c r="N42" s="108">
        <v>6</v>
      </c>
      <c r="O42" s="205">
        <f>IF(M42=1,1,0)</f>
        <v>1</v>
      </c>
      <c r="P42" s="207">
        <f>IF(M42=2,1,0)</f>
        <v>0</v>
      </c>
      <c r="Q42" s="207">
        <f>IF(M42=3,1,0)</f>
        <v>0</v>
      </c>
      <c r="R42" s="9">
        <f>IF(M42=4,1,0)</f>
        <v>0</v>
      </c>
      <c r="S42" s="198"/>
      <c r="T42" s="26"/>
      <c r="U42" s="13"/>
    </row>
    <row r="43" spans="2:21" ht="20.100000000000001" customHeight="1" thickBot="1" x14ac:dyDescent="0.3">
      <c r="B43" s="13"/>
      <c r="C43" s="26"/>
      <c r="D43" s="68"/>
      <c r="E43" s="354" t="s">
        <v>125</v>
      </c>
      <c r="F43" s="255" t="s">
        <v>126</v>
      </c>
      <c r="G43" s="150">
        <v>3</v>
      </c>
      <c r="H43" s="150" t="s">
        <v>13</v>
      </c>
      <c r="I43" s="150">
        <v>-86</v>
      </c>
      <c r="J43" s="150">
        <v>10</v>
      </c>
      <c r="K43" s="150" t="s">
        <v>13</v>
      </c>
      <c r="L43" s="17">
        <f>IF(J43="",0,(J43/J44)*100)</f>
        <v>13.157894736842104</v>
      </c>
      <c r="M43" s="150">
        <v>4</v>
      </c>
      <c r="N43" s="59">
        <v>0</v>
      </c>
      <c r="O43" s="58">
        <f>IF(M43=1,1,0)</f>
        <v>0</v>
      </c>
      <c r="P43" s="208">
        <f>IF(M43=2,1,0)</f>
        <v>0</v>
      </c>
      <c r="Q43" s="208">
        <f>IF(M43=3,1,0)</f>
        <v>0</v>
      </c>
      <c r="R43" s="10">
        <f>IF(M43=4,1,0)</f>
        <v>1</v>
      </c>
      <c r="S43" s="198"/>
      <c r="T43" s="26"/>
      <c r="U43" s="13"/>
    </row>
    <row r="44" spans="2:21" ht="20.100000000000001" hidden="1" customHeight="1" outlineLevel="1" x14ac:dyDescent="0.25">
      <c r="B44" s="13"/>
      <c r="C44" s="26"/>
      <c r="D44" s="71"/>
      <c r="E44" s="71"/>
      <c r="F44" s="553"/>
      <c r="G44" s="553"/>
      <c r="H44" s="26"/>
      <c r="I44" s="193" t="s">
        <v>29</v>
      </c>
      <c r="J44" s="23">
        <f>MAX(J40:J43)</f>
        <v>76</v>
      </c>
      <c r="K44" s="73"/>
      <c r="L44" s="72"/>
      <c r="M44" s="26"/>
      <c r="N44" s="63" t="s">
        <v>33</v>
      </c>
      <c r="O44" s="20">
        <f>SUM(O40:O43)</f>
        <v>1</v>
      </c>
      <c r="P44" s="21">
        <f>SUM(P40:P43)</f>
        <v>2</v>
      </c>
      <c r="Q44" s="20">
        <f>SUM(Q40:Q43)</f>
        <v>0</v>
      </c>
      <c r="R44" s="20">
        <f>SUM(R40:R43)</f>
        <v>1</v>
      </c>
      <c r="S44" s="69"/>
      <c r="T44" s="26"/>
      <c r="U44" s="13"/>
    </row>
    <row r="45" spans="2:21" ht="20.100000000000001" customHeight="1" collapsed="1" x14ac:dyDescent="0.25">
      <c r="B45" s="13"/>
      <c r="C45" s="26"/>
      <c r="D45" s="26"/>
      <c r="E45" s="26"/>
      <c r="F45" s="607"/>
      <c r="G45" s="607"/>
      <c r="H45" s="199"/>
      <c r="I45" s="26"/>
      <c r="J45" s="26"/>
      <c r="K45" s="26"/>
      <c r="L45" s="26"/>
      <c r="M45" s="26"/>
      <c r="N45" s="26"/>
      <c r="O45" s="26"/>
      <c r="P45" s="26"/>
      <c r="Q45" s="26"/>
      <c r="R45" s="26"/>
      <c r="S45" s="26"/>
      <c r="T45" s="26"/>
      <c r="U45" s="13"/>
    </row>
    <row r="46" spans="2:21" ht="20.100000000000001" customHeight="1" x14ac:dyDescent="0.25">
      <c r="B46" s="13"/>
      <c r="U46" s="13"/>
    </row>
    <row r="47" spans="2:21" ht="20.100000000000001" customHeight="1" thickBot="1" x14ac:dyDescent="0.3">
      <c r="B47" s="13"/>
      <c r="C47" s="27"/>
      <c r="D47" s="27"/>
      <c r="E47" s="554" t="str">
        <f>IF(OR(M28="-",M28= ""),H28,M28)</f>
        <v>Viticulture</v>
      </c>
      <c r="F47" s="554"/>
      <c r="G47" s="554"/>
      <c r="H47" s="554"/>
      <c r="I47" s="554"/>
      <c r="J47" s="554"/>
      <c r="K47" s="554"/>
      <c r="L47" s="554"/>
      <c r="M47" s="554"/>
      <c r="N47" s="554"/>
      <c r="O47" s="197"/>
      <c r="P47" s="197"/>
      <c r="Q47" s="197"/>
      <c r="R47" s="197"/>
      <c r="S47" s="197"/>
      <c r="T47" s="27"/>
      <c r="U47" s="13"/>
    </row>
    <row r="48" spans="2:21" ht="50.1" customHeight="1" thickBot="1" x14ac:dyDescent="0.3">
      <c r="B48" s="13"/>
      <c r="C48" s="27"/>
      <c r="D48" s="197"/>
      <c r="E48" s="88" t="s">
        <v>10</v>
      </c>
      <c r="F48" s="125" t="s">
        <v>52</v>
      </c>
      <c r="G48" s="89" t="s">
        <v>14</v>
      </c>
      <c r="H48" s="200" t="s">
        <v>51</v>
      </c>
      <c r="I48" s="18" t="s">
        <v>54</v>
      </c>
      <c r="J48" s="200" t="s">
        <v>53</v>
      </c>
      <c r="K48" s="206" t="s">
        <v>28</v>
      </c>
      <c r="L48" s="200" t="s">
        <v>37</v>
      </c>
      <c r="M48" s="204" t="s">
        <v>16</v>
      </c>
      <c r="N48" s="89" t="s">
        <v>15</v>
      </c>
      <c r="O48" s="5" t="s">
        <v>30</v>
      </c>
      <c r="P48" s="7" t="s">
        <v>34</v>
      </c>
      <c r="Q48" s="7" t="s">
        <v>31</v>
      </c>
      <c r="R48" s="7" t="s">
        <v>32</v>
      </c>
      <c r="S48" s="197"/>
      <c r="T48" s="27"/>
      <c r="U48" s="13"/>
    </row>
    <row r="49" spans="2:23" ht="27.95" customHeight="1" x14ac:dyDescent="0.25">
      <c r="B49" s="13"/>
      <c r="C49" s="27"/>
      <c r="D49" s="27"/>
      <c r="E49" s="233" t="s">
        <v>127</v>
      </c>
      <c r="F49" s="254" t="s">
        <v>60</v>
      </c>
      <c r="G49" s="49">
        <v>1</v>
      </c>
      <c r="H49" s="122" t="s">
        <v>393</v>
      </c>
      <c r="I49" s="49">
        <v>0</v>
      </c>
      <c r="J49" s="122">
        <v>8</v>
      </c>
      <c r="K49" s="122" t="s">
        <v>13</v>
      </c>
      <c r="L49" s="50">
        <f>IF(J49="",0,(J49/J53)*100)</f>
        <v>40</v>
      </c>
      <c r="M49" s="49">
        <v>4</v>
      </c>
      <c r="N49" s="61">
        <v>0</v>
      </c>
      <c r="O49" s="57">
        <f>IF(M49=1,1,0)</f>
        <v>0</v>
      </c>
      <c r="P49" s="209">
        <f>IF(M49=2,1,0)</f>
        <v>0</v>
      </c>
      <c r="Q49" s="209">
        <f>IF(M49=3,1,0)</f>
        <v>0</v>
      </c>
      <c r="R49" s="8">
        <f>IF(M49=4,1,0)</f>
        <v>1</v>
      </c>
      <c r="S49" s="203"/>
      <c r="T49" s="27"/>
      <c r="U49" s="13"/>
    </row>
    <row r="50" spans="2:23" ht="27.95" customHeight="1" x14ac:dyDescent="0.25">
      <c r="B50" s="13"/>
      <c r="C50" s="27"/>
      <c r="D50" s="67"/>
      <c r="E50" s="110" t="s">
        <v>114</v>
      </c>
      <c r="F50" s="273" t="s">
        <v>102</v>
      </c>
      <c r="G50" s="149">
        <v>2</v>
      </c>
      <c r="H50" s="123" t="s">
        <v>394</v>
      </c>
      <c r="I50" s="149">
        <v>0</v>
      </c>
      <c r="J50" s="123">
        <v>20</v>
      </c>
      <c r="K50" s="123" t="s">
        <v>13</v>
      </c>
      <c r="L50" s="38">
        <f>IF(J50="",0,(J50/J53)*100)</f>
        <v>100</v>
      </c>
      <c r="M50" s="149">
        <v>1</v>
      </c>
      <c r="N50" s="108">
        <v>6</v>
      </c>
      <c r="O50" s="205">
        <f>IF(M50=1,1,0)</f>
        <v>1</v>
      </c>
      <c r="P50" s="207">
        <f>IF(M50=2,1,0)</f>
        <v>0</v>
      </c>
      <c r="Q50" s="207">
        <f>IF(M50=3,1,0)</f>
        <v>0</v>
      </c>
      <c r="R50" s="9">
        <f>IF(M50=4,1,0)</f>
        <v>0</v>
      </c>
      <c r="S50" s="203"/>
      <c r="T50" s="27"/>
      <c r="U50" s="13"/>
    </row>
    <row r="51" spans="2:23" ht="27.95" customHeight="1" x14ac:dyDescent="0.25">
      <c r="B51" s="13"/>
      <c r="C51" s="27"/>
      <c r="D51" s="27"/>
      <c r="E51" s="96" t="s">
        <v>0</v>
      </c>
      <c r="F51" s="246" t="s">
        <v>5</v>
      </c>
      <c r="G51" s="47">
        <v>4</v>
      </c>
      <c r="H51" s="100" t="s">
        <v>396</v>
      </c>
      <c r="I51" s="47">
        <v>0</v>
      </c>
      <c r="J51" s="100">
        <v>10</v>
      </c>
      <c r="K51" s="100" t="s">
        <v>398</v>
      </c>
      <c r="L51" s="48">
        <f>IF(J51="",0,(J51/J53)*100)</f>
        <v>50</v>
      </c>
      <c r="M51" s="47">
        <v>3</v>
      </c>
      <c r="N51" s="60">
        <v>1</v>
      </c>
      <c r="O51" s="205">
        <f>IF(M51=1,1,0)</f>
        <v>0</v>
      </c>
      <c r="P51" s="207">
        <f>IF(M51=2,1,0)</f>
        <v>0</v>
      </c>
      <c r="Q51" s="207">
        <f>IF(M51=3,1,0)</f>
        <v>1</v>
      </c>
      <c r="R51" s="9">
        <f>IF(M51=4,1,0)</f>
        <v>0</v>
      </c>
      <c r="S51" s="203"/>
      <c r="T51" s="27"/>
      <c r="U51" s="13"/>
    </row>
    <row r="52" spans="2:23" ht="27.95" customHeight="1" thickBot="1" x14ac:dyDescent="0.3">
      <c r="B52" s="13"/>
      <c r="C52" s="27"/>
      <c r="D52" s="27"/>
      <c r="E52" s="354" t="s">
        <v>125</v>
      </c>
      <c r="F52" s="255" t="s">
        <v>126</v>
      </c>
      <c r="G52" s="150">
        <v>3</v>
      </c>
      <c r="H52" s="107" t="s">
        <v>395</v>
      </c>
      <c r="I52" s="150">
        <v>0</v>
      </c>
      <c r="J52" s="107">
        <v>10</v>
      </c>
      <c r="K52" s="150" t="s">
        <v>397</v>
      </c>
      <c r="L52" s="17">
        <f>IF(J52="",0,(J52/J53)*100)</f>
        <v>50</v>
      </c>
      <c r="M52" s="150">
        <v>2</v>
      </c>
      <c r="N52" s="59">
        <v>3</v>
      </c>
      <c r="O52" s="58">
        <f>IF(M52=1,1,0)</f>
        <v>0</v>
      </c>
      <c r="P52" s="208">
        <f>IF(M52=2,1,0)</f>
        <v>1</v>
      </c>
      <c r="Q52" s="208">
        <f>IF(M52=3,1,0)</f>
        <v>0</v>
      </c>
      <c r="R52" s="10">
        <f>IF(M52=4,1,0)</f>
        <v>0</v>
      </c>
      <c r="S52" s="203"/>
      <c r="T52" s="27"/>
      <c r="U52" s="13"/>
    </row>
    <row r="53" spans="2:23" ht="20.100000000000001" hidden="1" customHeight="1" outlineLevel="1" x14ac:dyDescent="0.25">
      <c r="B53" s="13"/>
      <c r="C53" s="27"/>
      <c r="D53" s="27"/>
      <c r="E53" s="27"/>
      <c r="F53" s="531"/>
      <c r="G53" s="531"/>
      <c r="H53" s="27"/>
      <c r="I53" s="62" t="s">
        <v>29</v>
      </c>
      <c r="J53" s="23">
        <f>MAX(J49:J52)</f>
        <v>20</v>
      </c>
      <c r="K53" s="75"/>
      <c r="L53" s="203"/>
      <c r="M53" s="27"/>
      <c r="N53" s="63" t="s">
        <v>33</v>
      </c>
      <c r="O53" s="20">
        <f>SUM(O49:O52)</f>
        <v>1</v>
      </c>
      <c r="P53" s="21">
        <f>SUM(P49:P52)</f>
        <v>1</v>
      </c>
      <c r="Q53" s="20">
        <f>SUM(Q49:Q52)</f>
        <v>1</v>
      </c>
      <c r="R53" s="22">
        <f>SUM(R49:R52)</f>
        <v>1</v>
      </c>
      <c r="S53" s="74"/>
      <c r="T53" s="27"/>
      <c r="U53" s="13"/>
    </row>
    <row r="54" spans="2:23" ht="20.100000000000001" customHeight="1" collapsed="1" x14ac:dyDescent="0.25">
      <c r="B54" s="13"/>
      <c r="C54" s="27"/>
      <c r="D54" s="27"/>
      <c r="E54" s="27"/>
      <c r="F54" s="27"/>
      <c r="G54" s="27"/>
      <c r="H54" s="27"/>
      <c r="I54" s="27"/>
      <c r="J54" s="27"/>
      <c r="K54" s="27"/>
      <c r="L54" s="27"/>
      <c r="M54" s="27"/>
      <c r="N54" s="27"/>
      <c r="O54" s="27"/>
      <c r="P54" s="27"/>
      <c r="Q54" s="27"/>
      <c r="R54" s="27"/>
      <c r="S54" s="27"/>
      <c r="T54" s="27"/>
      <c r="U54" s="13"/>
    </row>
    <row r="55" spans="2:23" ht="20.100000000000001" customHeight="1" x14ac:dyDescent="0.25">
      <c r="B55" s="13"/>
      <c r="D55" s="28"/>
      <c r="E55" s="28"/>
      <c r="F55" s="28"/>
      <c r="G55" s="28"/>
      <c r="H55" s="29"/>
      <c r="I55" s="28"/>
      <c r="J55" s="28"/>
      <c r="U55" s="13"/>
    </row>
    <row r="56" spans="2:23" ht="20.100000000000001" customHeight="1" thickBot="1" x14ac:dyDescent="0.3">
      <c r="B56" s="13"/>
      <c r="C56" s="30"/>
      <c r="D56" s="30"/>
      <c r="E56" s="532" t="str">
        <f>IF(OR(M30="-",M30= ""),H30,M30)</f>
        <v>Marco Polo II: Im Auftrag des Khan</v>
      </c>
      <c r="F56" s="532"/>
      <c r="G56" s="532"/>
      <c r="H56" s="532"/>
      <c r="I56" s="532"/>
      <c r="J56" s="532"/>
      <c r="K56" s="532"/>
      <c r="L56" s="532"/>
      <c r="M56" s="532"/>
      <c r="N56" s="532"/>
      <c r="O56" s="196"/>
      <c r="P56" s="196"/>
      <c r="Q56" s="196"/>
      <c r="R56" s="196"/>
      <c r="S56" s="196"/>
      <c r="T56" s="30"/>
      <c r="U56" s="14"/>
      <c r="V56" s="1"/>
      <c r="W56" s="1"/>
    </row>
    <row r="57" spans="2:23" ht="50.1" customHeight="1" thickBot="1" x14ac:dyDescent="0.3">
      <c r="B57" s="13"/>
      <c r="C57" s="30"/>
      <c r="D57" s="196"/>
      <c r="E57" s="88" t="s">
        <v>10</v>
      </c>
      <c r="F57" s="125" t="s">
        <v>52</v>
      </c>
      <c r="G57" s="89" t="s">
        <v>14</v>
      </c>
      <c r="H57" s="200" t="s">
        <v>51</v>
      </c>
      <c r="I57" s="18" t="s">
        <v>54</v>
      </c>
      <c r="J57" s="200" t="s">
        <v>53</v>
      </c>
      <c r="K57" s="206" t="s">
        <v>28</v>
      </c>
      <c r="L57" s="200" t="s">
        <v>37</v>
      </c>
      <c r="M57" s="204" t="s">
        <v>16</v>
      </c>
      <c r="N57" s="89" t="s">
        <v>15</v>
      </c>
      <c r="O57" s="5" t="s">
        <v>30</v>
      </c>
      <c r="P57" s="7" t="s">
        <v>34</v>
      </c>
      <c r="Q57" s="7" t="s">
        <v>31</v>
      </c>
      <c r="R57" s="19" t="s">
        <v>32</v>
      </c>
      <c r="S57" s="196"/>
      <c r="T57" s="30"/>
      <c r="U57" s="14"/>
      <c r="V57" s="1"/>
      <c r="W57" s="1"/>
    </row>
    <row r="58" spans="2:23" ht="20.100000000000001" customHeight="1" x14ac:dyDescent="0.25">
      <c r="B58" s="13"/>
      <c r="C58" s="30"/>
      <c r="D58" s="30"/>
      <c r="E58" s="327" t="s">
        <v>127</v>
      </c>
      <c r="F58" s="272" t="s">
        <v>60</v>
      </c>
      <c r="G58" s="157">
        <v>1</v>
      </c>
      <c r="H58" s="103" t="s">
        <v>399</v>
      </c>
      <c r="I58" s="157">
        <v>0</v>
      </c>
      <c r="J58" s="414">
        <v>160</v>
      </c>
      <c r="K58" s="157" t="s">
        <v>13</v>
      </c>
      <c r="L58" s="36">
        <f>IF(J58="",0,(J58/J62)*100)</f>
        <v>100</v>
      </c>
      <c r="M58" s="157">
        <v>1</v>
      </c>
      <c r="N58" s="99">
        <v>6</v>
      </c>
      <c r="O58" s="57">
        <f>IF(M58=1,1,0)</f>
        <v>1</v>
      </c>
      <c r="P58" s="209">
        <f>IF(M58=2,1,0)</f>
        <v>0</v>
      </c>
      <c r="Q58" s="209">
        <f>IF(M58=3,1,0)</f>
        <v>0</v>
      </c>
      <c r="R58" s="8">
        <f>IF(M58=4,1,0)</f>
        <v>0</v>
      </c>
      <c r="S58" s="194"/>
      <c r="T58" s="30"/>
      <c r="U58" s="13"/>
    </row>
    <row r="59" spans="2:23" ht="20.100000000000001" customHeight="1" x14ac:dyDescent="0.25">
      <c r="B59" s="13"/>
      <c r="C59" s="30"/>
      <c r="D59" s="66"/>
      <c r="E59" s="96" t="s">
        <v>114</v>
      </c>
      <c r="F59" s="246" t="s">
        <v>102</v>
      </c>
      <c r="G59" s="47">
        <v>2</v>
      </c>
      <c r="H59" s="47" t="s">
        <v>180</v>
      </c>
      <c r="I59" s="47">
        <v>0</v>
      </c>
      <c r="J59" s="158">
        <v>95</v>
      </c>
      <c r="K59" s="47" t="s">
        <v>13</v>
      </c>
      <c r="L59" s="48">
        <f>IF(J59="",0,(J59/J62)*100)</f>
        <v>59.375</v>
      </c>
      <c r="M59" s="47">
        <v>4</v>
      </c>
      <c r="N59" s="60">
        <v>0</v>
      </c>
      <c r="O59" s="205">
        <f>IF(M59=1,1,0)</f>
        <v>0</v>
      </c>
      <c r="P59" s="207">
        <f>IF(M59=2,1,0)</f>
        <v>0</v>
      </c>
      <c r="Q59" s="207">
        <f>IF(M59=3,1,0)</f>
        <v>0</v>
      </c>
      <c r="R59" s="9">
        <f>IF(M59=4,1,0)</f>
        <v>1</v>
      </c>
      <c r="S59" s="194"/>
      <c r="T59" s="30"/>
      <c r="U59" s="31"/>
    </row>
    <row r="60" spans="2:23" ht="20.100000000000001" customHeight="1" x14ac:dyDescent="0.25">
      <c r="B60" s="13"/>
      <c r="C60" s="30"/>
      <c r="D60" s="30"/>
      <c r="E60" s="96" t="s">
        <v>0</v>
      </c>
      <c r="F60" s="246" t="s">
        <v>5</v>
      </c>
      <c r="G60" s="47">
        <v>4</v>
      </c>
      <c r="H60" s="100" t="s">
        <v>183</v>
      </c>
      <c r="I60" s="47">
        <v>0</v>
      </c>
      <c r="J60" s="158">
        <v>134</v>
      </c>
      <c r="K60" s="47" t="s">
        <v>13</v>
      </c>
      <c r="L60" s="48">
        <f>IF(J60="",0,(J60/J62)*100)</f>
        <v>83.75</v>
      </c>
      <c r="M60" s="47">
        <v>2</v>
      </c>
      <c r="N60" s="60">
        <v>3</v>
      </c>
      <c r="O60" s="205">
        <f>IF(M60=1,1,0)</f>
        <v>0</v>
      </c>
      <c r="P60" s="207">
        <f>IF(M60=2,1,0)</f>
        <v>1</v>
      </c>
      <c r="Q60" s="207">
        <f>IF(M60=3,1,0)</f>
        <v>0</v>
      </c>
      <c r="R60" s="9">
        <f>IF(M60=4,1,0)</f>
        <v>0</v>
      </c>
      <c r="S60" s="194"/>
      <c r="T60" s="30"/>
      <c r="U60" s="31"/>
    </row>
    <row r="61" spans="2:23" ht="20.100000000000001" customHeight="1" thickBot="1" x14ac:dyDescent="0.3">
      <c r="B61" s="13"/>
      <c r="C61" s="30"/>
      <c r="D61" s="30"/>
      <c r="E61" s="354" t="s">
        <v>125</v>
      </c>
      <c r="F61" s="255" t="s">
        <v>126</v>
      </c>
      <c r="G61" s="150">
        <v>3</v>
      </c>
      <c r="H61" s="107" t="s">
        <v>322</v>
      </c>
      <c r="I61" s="150">
        <v>0</v>
      </c>
      <c r="J61" s="356">
        <v>118</v>
      </c>
      <c r="K61" s="150" t="s">
        <v>13</v>
      </c>
      <c r="L61" s="17">
        <f>IF(J61="",0,(J61/J62)*100)</f>
        <v>73.75</v>
      </c>
      <c r="M61" s="150">
        <v>3</v>
      </c>
      <c r="N61" s="59">
        <v>1</v>
      </c>
      <c r="O61" s="58">
        <f>IF(M61=1,1,0)</f>
        <v>0</v>
      </c>
      <c r="P61" s="208">
        <f>IF(M61=2,1,0)</f>
        <v>0</v>
      </c>
      <c r="Q61" s="208">
        <f>IF(M61=3,1,0)</f>
        <v>1</v>
      </c>
      <c r="R61" s="10">
        <f>IF(M61=4,1,0)</f>
        <v>0</v>
      </c>
      <c r="S61" s="194"/>
      <c r="T61" s="30"/>
      <c r="U61" s="31"/>
    </row>
    <row r="62" spans="2:23" ht="20.100000000000001" hidden="1" customHeight="1" outlineLevel="1" x14ac:dyDescent="0.25">
      <c r="B62" s="13"/>
      <c r="C62" s="30"/>
      <c r="D62" s="30"/>
      <c r="E62" s="30"/>
      <c r="F62" s="533"/>
      <c r="G62" s="533"/>
      <c r="H62" s="30"/>
      <c r="I62" s="64" t="s">
        <v>29</v>
      </c>
      <c r="J62" s="23">
        <f>MAX(J58:J61)</f>
        <v>160</v>
      </c>
      <c r="K62" s="76"/>
      <c r="L62" s="194"/>
      <c r="M62" s="30"/>
      <c r="N62" s="63"/>
      <c r="O62" s="20">
        <f>SUM(O58:O61)</f>
        <v>1</v>
      </c>
      <c r="P62" s="21">
        <f>SUM(P58:P61)</f>
        <v>1</v>
      </c>
      <c r="Q62" s="20">
        <f>SUM(Q58:Q61)</f>
        <v>1</v>
      </c>
      <c r="R62" s="22">
        <f>SUM(R58:R61)</f>
        <v>1</v>
      </c>
      <c r="S62" s="77"/>
      <c r="T62" s="30"/>
      <c r="U62" s="31"/>
    </row>
    <row r="63" spans="2:23" ht="20.100000000000001" customHeight="1" collapsed="1" x14ac:dyDescent="0.25">
      <c r="B63" s="13"/>
      <c r="C63" s="30"/>
      <c r="D63" s="30"/>
      <c r="E63" s="30"/>
      <c r="F63" s="30"/>
      <c r="G63" s="30"/>
      <c r="H63" s="30"/>
      <c r="I63" s="30"/>
      <c r="J63" s="30"/>
      <c r="K63" s="30"/>
      <c r="L63" s="30"/>
      <c r="M63" s="30"/>
      <c r="N63" s="30"/>
      <c r="O63" s="30"/>
      <c r="P63" s="30"/>
      <c r="Q63" s="30"/>
      <c r="R63" s="30"/>
      <c r="S63" s="30"/>
      <c r="T63" s="30"/>
      <c r="U63" s="31"/>
    </row>
    <row r="64" spans="2:23" ht="20.100000000000001" customHeight="1" x14ac:dyDescent="0.25">
      <c r="B64" s="13"/>
      <c r="D64" s="28"/>
      <c r="E64" s="28"/>
      <c r="F64" s="28"/>
      <c r="G64" s="28"/>
      <c r="H64" s="29"/>
      <c r="I64" s="28"/>
      <c r="J64" s="28"/>
      <c r="K64" s="28"/>
      <c r="U64" s="13"/>
    </row>
    <row r="65" spans="2:31" ht="20.100000000000001" customHeight="1" thickBot="1" x14ac:dyDescent="0.3">
      <c r="B65" s="13"/>
      <c r="C65" s="32"/>
      <c r="D65" s="32"/>
      <c r="E65" s="534" t="str">
        <f>IF(OR(M33="-",M33= ""),H33,M33)</f>
        <v>Tapestry</v>
      </c>
      <c r="F65" s="534"/>
      <c r="G65" s="534"/>
      <c r="H65" s="534"/>
      <c r="I65" s="534"/>
      <c r="J65" s="534"/>
      <c r="K65" s="534"/>
      <c r="L65" s="534"/>
      <c r="M65" s="534"/>
      <c r="N65" s="534"/>
      <c r="O65" s="195"/>
      <c r="P65" s="195"/>
      <c r="Q65" s="195"/>
      <c r="R65" s="195"/>
      <c r="S65" s="195"/>
      <c r="T65" s="32"/>
      <c r="U65" s="13"/>
    </row>
    <row r="66" spans="2:31" ht="50.1" customHeight="1" thickBot="1" x14ac:dyDescent="0.3">
      <c r="B66" s="13"/>
      <c r="C66" s="32"/>
      <c r="D66" s="195"/>
      <c r="E66" s="88" t="s">
        <v>10</v>
      </c>
      <c r="F66" s="125" t="s">
        <v>52</v>
      </c>
      <c r="G66" s="89" t="s">
        <v>14</v>
      </c>
      <c r="H66" s="200" t="s">
        <v>51</v>
      </c>
      <c r="I66" s="18" t="s">
        <v>54</v>
      </c>
      <c r="J66" s="200" t="s">
        <v>53</v>
      </c>
      <c r="K66" s="206" t="s">
        <v>28</v>
      </c>
      <c r="L66" s="200" t="s">
        <v>37</v>
      </c>
      <c r="M66" s="204" t="s">
        <v>16</v>
      </c>
      <c r="N66" s="89" t="s">
        <v>15</v>
      </c>
      <c r="O66" s="5" t="s">
        <v>30</v>
      </c>
      <c r="P66" s="7" t="s">
        <v>34</v>
      </c>
      <c r="Q66" s="7" t="s">
        <v>31</v>
      </c>
      <c r="R66" s="19" t="s">
        <v>32</v>
      </c>
      <c r="S66" s="195"/>
      <c r="T66" s="32"/>
      <c r="U66" s="13"/>
    </row>
    <row r="67" spans="2:31" ht="20.100000000000001" customHeight="1" x14ac:dyDescent="0.25">
      <c r="B67" s="13"/>
      <c r="C67" s="32"/>
      <c r="D67" s="32"/>
      <c r="E67" s="233" t="s">
        <v>127</v>
      </c>
      <c r="F67" s="254" t="s">
        <v>60</v>
      </c>
      <c r="G67" s="49">
        <v>1</v>
      </c>
      <c r="H67" s="49" t="s">
        <v>319</v>
      </c>
      <c r="I67" s="49">
        <v>0</v>
      </c>
      <c r="J67" s="49">
        <v>202</v>
      </c>
      <c r="K67" s="49" t="s">
        <v>13</v>
      </c>
      <c r="L67" s="50">
        <f>IF(J67="",0,(J67/J71)*100)</f>
        <v>84.166666666666671</v>
      </c>
      <c r="M67" s="49">
        <v>2</v>
      </c>
      <c r="N67" s="61">
        <v>3</v>
      </c>
      <c r="O67" s="57">
        <f>IF(M67=1,1,0)</f>
        <v>0</v>
      </c>
      <c r="P67" s="209">
        <f>IF(M67=2,1,0)</f>
        <v>1</v>
      </c>
      <c r="Q67" s="209">
        <f>IF(M67=3,1,0)</f>
        <v>0</v>
      </c>
      <c r="R67" s="8">
        <f>IF(M67=4,1,0)</f>
        <v>0</v>
      </c>
      <c r="S67" s="201"/>
      <c r="T67" s="32"/>
      <c r="U67" s="13"/>
    </row>
    <row r="68" spans="2:31" ht="20.100000000000001" customHeight="1" x14ac:dyDescent="0.25">
      <c r="B68" s="13"/>
      <c r="C68" s="32"/>
      <c r="D68" s="32"/>
      <c r="E68" s="110" t="s">
        <v>114</v>
      </c>
      <c r="F68" s="273" t="s">
        <v>102</v>
      </c>
      <c r="G68" s="149">
        <v>3</v>
      </c>
      <c r="H68" s="149" t="s">
        <v>401</v>
      </c>
      <c r="I68" s="149">
        <v>30</v>
      </c>
      <c r="J68" s="149">
        <v>240</v>
      </c>
      <c r="K68" s="149" t="s">
        <v>13</v>
      </c>
      <c r="L68" s="38">
        <f>IF(J68="",0,(J68/J71)*100)</f>
        <v>100</v>
      </c>
      <c r="M68" s="149">
        <v>1</v>
      </c>
      <c r="N68" s="108">
        <v>6</v>
      </c>
      <c r="O68" s="205">
        <f>IF(M68=1,1,0)</f>
        <v>1</v>
      </c>
      <c r="P68" s="207">
        <f>IF(M68=2,1,0)</f>
        <v>0</v>
      </c>
      <c r="Q68" s="207">
        <f>IF(M68=3,1,0)</f>
        <v>0</v>
      </c>
      <c r="R68" s="9">
        <f>IF(M68=4,1,0)</f>
        <v>0</v>
      </c>
      <c r="S68" s="201"/>
      <c r="T68" s="32"/>
      <c r="U68" s="13"/>
    </row>
    <row r="69" spans="2:31" ht="20.100000000000001" customHeight="1" x14ac:dyDescent="0.25">
      <c r="B69" s="13"/>
      <c r="C69" s="32"/>
      <c r="D69" s="32"/>
      <c r="E69" s="96" t="s">
        <v>0</v>
      </c>
      <c r="F69" s="246" t="s">
        <v>5</v>
      </c>
      <c r="G69" s="47">
        <v>4</v>
      </c>
      <c r="H69" s="47" t="s">
        <v>169</v>
      </c>
      <c r="I69" s="47">
        <v>0</v>
      </c>
      <c r="J69" s="47">
        <v>181</v>
      </c>
      <c r="K69" s="47" t="s">
        <v>13</v>
      </c>
      <c r="L69" s="48">
        <f>IF(J69="",0,(J69/J71)*100)</f>
        <v>75.416666666666671</v>
      </c>
      <c r="M69" s="47">
        <v>3</v>
      </c>
      <c r="N69" s="60">
        <v>1</v>
      </c>
      <c r="O69" s="205">
        <f>IF(M69=1,1,0)</f>
        <v>0</v>
      </c>
      <c r="P69" s="207">
        <f>IF(M69=2,1,0)</f>
        <v>0</v>
      </c>
      <c r="Q69" s="207">
        <f>IF(M69=3,1,0)</f>
        <v>1</v>
      </c>
      <c r="R69" s="9">
        <f>IF(M69=4,1,0)</f>
        <v>0</v>
      </c>
      <c r="S69" s="201"/>
      <c r="T69" s="32"/>
      <c r="U69" s="13"/>
    </row>
    <row r="70" spans="2:31" ht="20.100000000000001" customHeight="1" thickBot="1" x14ac:dyDescent="0.3">
      <c r="B70" s="13"/>
      <c r="C70" s="32"/>
      <c r="D70" s="65"/>
      <c r="E70" s="354" t="s">
        <v>125</v>
      </c>
      <c r="F70" s="255" t="s">
        <v>126</v>
      </c>
      <c r="G70" s="150">
        <v>2</v>
      </c>
      <c r="H70" s="150" t="s">
        <v>400</v>
      </c>
      <c r="I70" s="150">
        <v>0</v>
      </c>
      <c r="J70" s="150">
        <v>166</v>
      </c>
      <c r="K70" s="150" t="s">
        <v>13</v>
      </c>
      <c r="L70" s="17">
        <f>IF(J70="",0,(J70/J71)*100)</f>
        <v>69.166666666666671</v>
      </c>
      <c r="M70" s="150">
        <v>4</v>
      </c>
      <c r="N70" s="59">
        <v>0</v>
      </c>
      <c r="O70" s="58">
        <f>IF(M70=1,1,0)</f>
        <v>0</v>
      </c>
      <c r="P70" s="208">
        <f>IF(M70=2,1,0)</f>
        <v>0</v>
      </c>
      <c r="Q70" s="208">
        <f>IF(M70=3,1,0)</f>
        <v>0</v>
      </c>
      <c r="R70" s="10">
        <f>IF(M70=4,1,0)</f>
        <v>1</v>
      </c>
      <c r="S70" s="201"/>
      <c r="T70" s="32"/>
      <c r="U70" s="13"/>
    </row>
    <row r="71" spans="2:31" ht="20.100000000000001" hidden="1" customHeight="1" outlineLevel="1" x14ac:dyDescent="0.25">
      <c r="B71" s="13"/>
      <c r="C71" s="32"/>
      <c r="D71" s="32"/>
      <c r="E71" s="32"/>
      <c r="F71" s="535"/>
      <c r="G71" s="535"/>
      <c r="H71" s="32"/>
      <c r="I71" s="62" t="s">
        <v>29</v>
      </c>
      <c r="J71" s="23">
        <f>MAX(J67:J70)</f>
        <v>240</v>
      </c>
      <c r="K71" s="78"/>
      <c r="L71" s="201"/>
      <c r="M71" s="32"/>
      <c r="N71" s="63" t="s">
        <v>33</v>
      </c>
      <c r="O71" s="20">
        <f>SUM(O67:O70)</f>
        <v>1</v>
      </c>
      <c r="P71" s="21">
        <f>SUM(P67:P70)</f>
        <v>1</v>
      </c>
      <c r="Q71" s="20">
        <f>SUM(Q67:Q70)</f>
        <v>1</v>
      </c>
      <c r="R71" s="22">
        <f>SUM(R67:R70)</f>
        <v>1</v>
      </c>
      <c r="S71" s="79"/>
      <c r="T71" s="32"/>
      <c r="U71" s="13"/>
    </row>
    <row r="72" spans="2:31" ht="20.100000000000001" customHeight="1" collapsed="1" x14ac:dyDescent="0.25">
      <c r="B72" s="13"/>
      <c r="C72" s="32"/>
      <c r="D72" s="32"/>
      <c r="E72" s="32"/>
      <c r="F72" s="32"/>
      <c r="G72" s="32"/>
      <c r="H72" s="32"/>
      <c r="I72" s="32"/>
      <c r="J72" s="32"/>
      <c r="K72" s="32"/>
      <c r="L72" s="32"/>
      <c r="M72" s="32"/>
      <c r="N72" s="32"/>
      <c r="O72" s="32"/>
      <c r="P72" s="32"/>
      <c r="Q72" s="32"/>
      <c r="R72" s="32"/>
      <c r="S72" s="32"/>
      <c r="T72" s="32"/>
      <c r="U72" s="13"/>
    </row>
    <row r="73" spans="2:31" ht="20.100000000000001" customHeight="1" x14ac:dyDescent="0.25">
      <c r="B73" s="13"/>
      <c r="D73" s="4"/>
      <c r="E73" s="4"/>
      <c r="F73" s="4"/>
      <c r="G73" s="4"/>
      <c r="H73" s="4"/>
      <c r="I73" s="4"/>
      <c r="J73" s="4"/>
      <c r="U73" s="13"/>
    </row>
    <row r="74" spans="2:31" ht="30" customHeight="1" thickBot="1" x14ac:dyDescent="0.3">
      <c r="B74" s="13"/>
      <c r="C74" s="33"/>
      <c r="D74" s="536" t="s">
        <v>49</v>
      </c>
      <c r="E74" s="536"/>
      <c r="F74" s="536"/>
      <c r="G74" s="536"/>
      <c r="H74" s="536"/>
      <c r="I74" s="536"/>
      <c r="J74" s="536"/>
      <c r="K74" s="536"/>
      <c r="L74" s="536"/>
      <c r="M74" s="536"/>
      <c r="N74" s="536"/>
      <c r="O74" s="536"/>
      <c r="P74" s="536"/>
      <c r="Q74" s="536"/>
      <c r="R74" s="536"/>
      <c r="S74" s="536"/>
      <c r="T74" s="33"/>
      <c r="U74" s="13"/>
    </row>
    <row r="75" spans="2:31" ht="50.1" customHeight="1" thickBot="1" x14ac:dyDescent="0.3">
      <c r="B75" s="13"/>
      <c r="C75" s="33"/>
      <c r="D75" s="90" t="s">
        <v>10</v>
      </c>
      <c r="E75" s="93" t="s">
        <v>139</v>
      </c>
      <c r="F75" s="91" t="s">
        <v>15</v>
      </c>
      <c r="G75" s="42" t="s">
        <v>55</v>
      </c>
      <c r="H75" s="537" t="s">
        <v>56</v>
      </c>
      <c r="I75" s="538"/>
      <c r="J75" s="202" t="s">
        <v>66</v>
      </c>
      <c r="K75" s="92" t="s">
        <v>17</v>
      </c>
      <c r="L75" s="91" t="s">
        <v>18</v>
      </c>
      <c r="M75" s="92" t="s">
        <v>19</v>
      </c>
      <c r="N75" s="91" t="s">
        <v>20</v>
      </c>
      <c r="O75" s="130"/>
      <c r="P75" s="126"/>
      <c r="Q75" s="126"/>
      <c r="R75" s="126"/>
      <c r="S75" s="93" t="s">
        <v>38</v>
      </c>
      <c r="T75" s="33"/>
      <c r="U75" s="13"/>
    </row>
    <row r="76" spans="2:31" ht="20.100000000000001" customHeight="1" x14ac:dyDescent="0.25">
      <c r="B76" s="13"/>
      <c r="C76" s="33"/>
      <c r="D76" s="329" t="s">
        <v>114</v>
      </c>
      <c r="E76" s="375" t="s">
        <v>102</v>
      </c>
      <c r="F76" s="266">
        <f>(K76*6+L76*3+M76*1+N76*0)</f>
        <v>14</v>
      </c>
      <c r="G76" s="266">
        <v>0</v>
      </c>
      <c r="H76" s="603" t="s">
        <v>13</v>
      </c>
      <c r="I76" s="603"/>
      <c r="J76" s="266">
        <f>F76+G76</f>
        <v>14</v>
      </c>
      <c r="K76" s="266">
        <v>2</v>
      </c>
      <c r="L76" s="266">
        <v>0.5</v>
      </c>
      <c r="M76" s="266">
        <v>0.5</v>
      </c>
      <c r="N76" s="266">
        <v>1</v>
      </c>
      <c r="O76" s="266"/>
      <c r="P76" s="266"/>
      <c r="Q76" s="266"/>
      <c r="R76" s="266"/>
      <c r="S76" s="146">
        <f>(L41+L50+L59+L68)/4</f>
        <v>89.18585526315789</v>
      </c>
      <c r="T76" s="33"/>
      <c r="U76" s="13"/>
      <c r="W76" s="127"/>
      <c r="X76" s="127"/>
      <c r="Y76" s="127"/>
      <c r="Z76" s="127"/>
    </row>
    <row r="77" spans="2:31" ht="20.100000000000001" customHeight="1" x14ac:dyDescent="0.25">
      <c r="B77" s="13"/>
      <c r="C77" s="33"/>
      <c r="D77" s="155" t="s">
        <v>127</v>
      </c>
      <c r="E77" s="357" t="s">
        <v>60</v>
      </c>
      <c r="F77" s="265">
        <f>(K77*6+L77*3+M77*1+N77*0)</f>
        <v>11</v>
      </c>
      <c r="G77" s="265">
        <v>0</v>
      </c>
      <c r="H77" s="605" t="s">
        <v>13</v>
      </c>
      <c r="I77" s="605"/>
      <c r="J77" s="265">
        <f>F77+G77</f>
        <v>11</v>
      </c>
      <c r="K77" s="265">
        <v>1</v>
      </c>
      <c r="L77" s="265">
        <v>1.5</v>
      </c>
      <c r="M77" s="265">
        <v>0.5</v>
      </c>
      <c r="N77" s="265">
        <v>1</v>
      </c>
      <c r="O77" s="265"/>
      <c r="P77" s="265"/>
      <c r="Q77" s="265"/>
      <c r="R77" s="265"/>
      <c r="S77" s="145">
        <f>(L40+L49+L58+L67)/4</f>
        <v>80.383771929824562</v>
      </c>
      <c r="T77" s="33"/>
      <c r="U77" s="13"/>
      <c r="W77" s="192"/>
      <c r="X77" s="192"/>
      <c r="Y77" s="192"/>
      <c r="Z77" s="192"/>
    </row>
    <row r="78" spans="2:31" ht="20.100000000000001" customHeight="1" x14ac:dyDescent="0.25">
      <c r="B78" s="13"/>
      <c r="C78" s="33"/>
      <c r="D78" s="155" t="s">
        <v>0</v>
      </c>
      <c r="E78" s="357" t="s">
        <v>5</v>
      </c>
      <c r="F78" s="265">
        <f>(K78*6+L78*3+M78*1+N78*0)</f>
        <v>11</v>
      </c>
      <c r="G78" s="265">
        <v>0</v>
      </c>
      <c r="H78" s="605" t="s">
        <v>13</v>
      </c>
      <c r="I78" s="605"/>
      <c r="J78" s="265">
        <f>F78+G78</f>
        <v>11</v>
      </c>
      <c r="K78" s="265">
        <v>1</v>
      </c>
      <c r="L78" s="265">
        <v>1</v>
      </c>
      <c r="M78" s="265">
        <v>2</v>
      </c>
      <c r="N78" s="265">
        <v>0</v>
      </c>
      <c r="O78" s="265"/>
      <c r="P78" s="265"/>
      <c r="Q78" s="265"/>
      <c r="R78" s="265"/>
      <c r="S78" s="145">
        <f>(L42+L51+L60+L69)/4</f>
        <v>77.291666666666671</v>
      </c>
      <c r="T78" s="33"/>
      <c r="U78" s="13"/>
      <c r="W78" s="192"/>
      <c r="X78" s="192"/>
      <c r="Y78" s="192"/>
      <c r="Z78" s="192"/>
    </row>
    <row r="79" spans="2:31" ht="20.100000000000001" customHeight="1" thickBot="1" x14ac:dyDescent="0.3">
      <c r="B79" s="13"/>
      <c r="C79" s="33"/>
      <c r="D79" s="372" t="s">
        <v>125</v>
      </c>
      <c r="E79" s="275" t="s">
        <v>126</v>
      </c>
      <c r="F79" s="267">
        <f>(K79*6+L79*3+M79*1+N79*0)</f>
        <v>4</v>
      </c>
      <c r="G79" s="267">
        <v>0</v>
      </c>
      <c r="H79" s="583" t="s">
        <v>13</v>
      </c>
      <c r="I79" s="806"/>
      <c r="J79" s="267">
        <f>F79+G79</f>
        <v>4</v>
      </c>
      <c r="K79" s="267">
        <v>0</v>
      </c>
      <c r="L79" s="267">
        <v>1</v>
      </c>
      <c r="M79" s="267">
        <v>1</v>
      </c>
      <c r="N79" s="267">
        <v>2</v>
      </c>
      <c r="O79" s="267"/>
      <c r="P79" s="267"/>
      <c r="Q79" s="267"/>
      <c r="R79" s="267"/>
      <c r="S79" s="147">
        <f>(L43+L52+L61+L70)/4</f>
        <v>51.518640350877192</v>
      </c>
      <c r="T79" s="33"/>
      <c r="U79" s="13"/>
      <c r="W79" s="192"/>
      <c r="X79" s="192"/>
      <c r="Y79" s="192"/>
      <c r="Z79" s="192"/>
      <c r="AB79" s="192"/>
      <c r="AC79" s="192"/>
      <c r="AD79" s="192"/>
      <c r="AE79" s="192"/>
    </row>
    <row r="80" spans="2:31" ht="20.100000000000001" customHeight="1" x14ac:dyDescent="0.25">
      <c r="B80" s="13"/>
      <c r="C80" s="33"/>
      <c r="D80" s="373"/>
      <c r="E80" s="373"/>
      <c r="F80" s="16"/>
      <c r="G80" s="16"/>
      <c r="H80" s="782"/>
      <c r="I80" s="783"/>
      <c r="J80" s="16"/>
      <c r="K80" s="16"/>
      <c r="L80" s="16"/>
      <c r="M80" s="16"/>
      <c r="N80" s="16"/>
      <c r="O80" s="16"/>
      <c r="P80" s="16"/>
      <c r="Q80" s="16"/>
      <c r="R80" s="16"/>
      <c r="S80" s="374"/>
      <c r="T80" s="33"/>
      <c r="U80" s="13"/>
      <c r="W80" s="192"/>
      <c r="X80" s="192"/>
      <c r="Y80" s="192"/>
      <c r="Z80" s="192"/>
    </row>
    <row r="81" spans="2:21" ht="20.100000000000001" customHeight="1" x14ac:dyDescent="0.25">
      <c r="B81" s="13"/>
      <c r="C81" s="13"/>
      <c r="D81" s="15"/>
      <c r="E81" s="15"/>
      <c r="F81" s="14"/>
      <c r="G81" s="14"/>
      <c r="H81" s="15"/>
      <c r="I81" s="15"/>
      <c r="J81" s="15"/>
      <c r="K81" s="13"/>
      <c r="L81" s="13"/>
      <c r="M81" s="13"/>
      <c r="N81" s="13"/>
      <c r="O81" s="13"/>
      <c r="P81" s="13"/>
      <c r="Q81" s="13"/>
      <c r="R81" s="13"/>
      <c r="S81" s="13"/>
      <c r="T81" s="13"/>
      <c r="U81" s="13"/>
    </row>
    <row r="82" spans="2:21" ht="20.100000000000001" customHeight="1" x14ac:dyDescent="0.25">
      <c r="D82" s="11"/>
    </row>
    <row r="83" spans="2:21" ht="20.100000000000001" customHeight="1" x14ac:dyDescent="0.25">
      <c r="D83" s="34"/>
    </row>
    <row r="84" spans="2:21" ht="20.100000000000001" customHeight="1" x14ac:dyDescent="0.25">
      <c r="B84" s="13"/>
      <c r="C84" s="13"/>
      <c r="D84" s="25"/>
      <c r="E84" s="25"/>
      <c r="F84" s="25"/>
      <c r="G84" s="25"/>
      <c r="H84" s="13"/>
      <c r="I84" s="13"/>
      <c r="J84" s="13"/>
      <c r="K84" s="13"/>
      <c r="L84" s="13"/>
      <c r="M84" s="13"/>
      <c r="N84" s="13"/>
      <c r="O84" s="13"/>
      <c r="P84" s="13"/>
      <c r="Q84" s="13"/>
      <c r="R84" s="13"/>
      <c r="S84" s="13"/>
      <c r="T84" s="13"/>
      <c r="U84" s="13"/>
    </row>
    <row r="85" spans="2:21" ht="30" customHeight="1" x14ac:dyDescent="0.25">
      <c r="B85" s="13"/>
      <c r="C85" s="555" t="s">
        <v>74</v>
      </c>
      <c r="D85" s="555"/>
      <c r="E85" s="555"/>
      <c r="F85" s="555"/>
      <c r="G85" s="555"/>
      <c r="H85" s="555"/>
      <c r="I85" s="555"/>
      <c r="J85" s="555"/>
      <c r="K85" s="555"/>
      <c r="L85" s="555"/>
      <c r="M85" s="555"/>
      <c r="N85" s="555"/>
      <c r="O85" s="555"/>
      <c r="P85" s="555"/>
      <c r="Q85" s="555"/>
      <c r="R85" s="555"/>
      <c r="S85" s="555"/>
      <c r="T85" s="555"/>
      <c r="U85" s="13"/>
    </row>
    <row r="86" spans="2:21" ht="20.100000000000001" customHeight="1" thickBot="1" x14ac:dyDescent="0.3">
      <c r="B86" s="13"/>
      <c r="U86" s="13"/>
    </row>
    <row r="87" spans="2:21" ht="20.100000000000001" customHeight="1" thickBot="1" x14ac:dyDescent="0.3">
      <c r="B87" s="13"/>
      <c r="D87" s="556" t="s">
        <v>10</v>
      </c>
      <c r="E87" s="558" t="s">
        <v>139</v>
      </c>
      <c r="F87" s="560" t="s">
        <v>22</v>
      </c>
      <c r="G87" s="561" t="s">
        <v>42</v>
      </c>
      <c r="H87" s="561"/>
      <c r="I87" s="561"/>
      <c r="J87" s="562"/>
      <c r="K87" s="200" t="s">
        <v>36</v>
      </c>
      <c r="L87" s="563" t="s">
        <v>27</v>
      </c>
      <c r="M87" s="561"/>
      <c r="N87" s="561"/>
      <c r="O87" s="561"/>
      <c r="P87" s="561"/>
      <c r="Q87" s="561"/>
      <c r="R87" s="561"/>
      <c r="S87" s="562"/>
      <c r="U87" s="13"/>
    </row>
    <row r="88" spans="2:21" ht="20.100000000000001" customHeight="1" thickBot="1" x14ac:dyDescent="0.3">
      <c r="B88" s="13"/>
      <c r="D88" s="557"/>
      <c r="E88" s="559"/>
      <c r="F88" s="559"/>
      <c r="G88" s="86" t="s">
        <v>43</v>
      </c>
      <c r="H88" s="85" t="s">
        <v>24</v>
      </c>
      <c r="I88" s="556" t="s">
        <v>23</v>
      </c>
      <c r="J88" s="564"/>
      <c r="K88" s="85" t="s">
        <v>25</v>
      </c>
      <c r="L88" s="94" t="s">
        <v>43</v>
      </c>
      <c r="M88" s="87" t="s">
        <v>26</v>
      </c>
      <c r="N88" s="556" t="s">
        <v>23</v>
      </c>
      <c r="O88" s="588"/>
      <c r="P88" s="588"/>
      <c r="Q88" s="588"/>
      <c r="R88" s="588"/>
      <c r="S88" s="564"/>
      <c r="U88" s="13"/>
    </row>
    <row r="89" spans="2:21" ht="15" customHeight="1" x14ac:dyDescent="0.25">
      <c r="B89" s="13"/>
      <c r="D89" s="641" t="s">
        <v>47</v>
      </c>
      <c r="E89" s="733" t="s">
        <v>64</v>
      </c>
      <c r="F89" s="801">
        <v>1</v>
      </c>
      <c r="G89" s="735" t="s">
        <v>44</v>
      </c>
      <c r="H89" s="656" t="s">
        <v>403</v>
      </c>
      <c r="I89" s="656" t="s">
        <v>404</v>
      </c>
      <c r="J89" s="657"/>
      <c r="K89" s="883" t="s">
        <v>224</v>
      </c>
      <c r="L89" s="624" t="s">
        <v>13</v>
      </c>
      <c r="M89" s="627" t="s">
        <v>13</v>
      </c>
      <c r="N89" s="630" t="s">
        <v>13</v>
      </c>
      <c r="O89" s="631"/>
      <c r="P89" s="631"/>
      <c r="Q89" s="631"/>
      <c r="R89" s="631"/>
      <c r="S89" s="632"/>
      <c r="U89" s="13"/>
    </row>
    <row r="90" spans="2:21" ht="15" customHeight="1" x14ac:dyDescent="0.25">
      <c r="B90" s="13"/>
      <c r="D90" s="642"/>
      <c r="E90" s="742"/>
      <c r="F90" s="765"/>
      <c r="G90" s="755"/>
      <c r="H90" s="639"/>
      <c r="I90" s="639" t="s">
        <v>405</v>
      </c>
      <c r="J90" s="640"/>
      <c r="K90" s="710"/>
      <c r="L90" s="625"/>
      <c r="M90" s="628"/>
      <c r="N90" s="633"/>
      <c r="O90" s="634"/>
      <c r="P90" s="634"/>
      <c r="Q90" s="634"/>
      <c r="R90" s="634"/>
      <c r="S90" s="635"/>
      <c r="U90" s="13"/>
    </row>
    <row r="91" spans="2:21" ht="15" customHeight="1" x14ac:dyDescent="0.25">
      <c r="B91" s="13"/>
      <c r="D91" s="674" t="s">
        <v>128</v>
      </c>
      <c r="E91" s="677" t="s">
        <v>129</v>
      </c>
      <c r="F91" s="764">
        <v>2</v>
      </c>
      <c r="G91" s="788" t="s">
        <v>44</v>
      </c>
      <c r="H91" s="592" t="s">
        <v>363</v>
      </c>
      <c r="I91" s="671" t="s">
        <v>364</v>
      </c>
      <c r="J91" s="673"/>
      <c r="K91" s="660" t="s">
        <v>12</v>
      </c>
      <c r="L91" s="688" t="s">
        <v>13</v>
      </c>
      <c r="M91" s="689" t="s">
        <v>13</v>
      </c>
      <c r="N91" s="658" t="s">
        <v>13</v>
      </c>
      <c r="O91" s="659"/>
      <c r="P91" s="659"/>
      <c r="Q91" s="659"/>
      <c r="R91" s="659"/>
      <c r="S91" s="660"/>
      <c r="U91" s="13"/>
    </row>
    <row r="92" spans="2:21" ht="27.95" customHeight="1" x14ac:dyDescent="0.25">
      <c r="B92" s="13"/>
      <c r="D92" s="676"/>
      <c r="E92" s="646"/>
      <c r="F92" s="766"/>
      <c r="G92" s="788"/>
      <c r="H92" s="592"/>
      <c r="I92" s="661" t="s">
        <v>365</v>
      </c>
      <c r="J92" s="662"/>
      <c r="K92" s="638"/>
      <c r="L92" s="626"/>
      <c r="M92" s="629"/>
      <c r="N92" s="636"/>
      <c r="O92" s="637"/>
      <c r="P92" s="637"/>
      <c r="Q92" s="637"/>
      <c r="R92" s="637"/>
      <c r="S92" s="638"/>
      <c r="U92" s="13"/>
    </row>
    <row r="93" spans="2:21" ht="20.100000000000001" customHeight="1" x14ac:dyDescent="0.25">
      <c r="B93" s="13"/>
      <c r="D93" s="345" t="s">
        <v>2</v>
      </c>
      <c r="E93" s="348" t="s">
        <v>8</v>
      </c>
      <c r="F93" s="411">
        <v>3</v>
      </c>
      <c r="G93" s="216" t="s">
        <v>44</v>
      </c>
      <c r="H93" s="412" t="s">
        <v>406</v>
      </c>
      <c r="I93" s="681" t="s">
        <v>407</v>
      </c>
      <c r="J93" s="684"/>
      <c r="K93" s="413" t="s">
        <v>12</v>
      </c>
      <c r="L93" s="346" t="s">
        <v>13</v>
      </c>
      <c r="M93" s="347" t="s">
        <v>13</v>
      </c>
      <c r="N93" s="658" t="s">
        <v>13</v>
      </c>
      <c r="O93" s="659"/>
      <c r="P93" s="659"/>
      <c r="Q93" s="659"/>
      <c r="R93" s="659"/>
      <c r="S93" s="660"/>
      <c r="U93" s="13"/>
    </row>
    <row r="94" spans="2:21" ht="15" customHeight="1" x14ac:dyDescent="0.25">
      <c r="B94" s="13"/>
      <c r="D94" s="789" t="s">
        <v>123</v>
      </c>
      <c r="E94" s="791" t="s">
        <v>124</v>
      </c>
      <c r="F94" s="846">
        <v>4</v>
      </c>
      <c r="G94" s="795" t="s">
        <v>44</v>
      </c>
      <c r="H94" s="612" t="s">
        <v>224</v>
      </c>
      <c r="I94" s="725" t="s">
        <v>236</v>
      </c>
      <c r="J94" s="726"/>
      <c r="K94" s="544" t="s">
        <v>12</v>
      </c>
      <c r="L94" s="797" t="s">
        <v>13</v>
      </c>
      <c r="M94" s="593" t="s">
        <v>13</v>
      </c>
      <c r="N94" s="593" t="s">
        <v>13</v>
      </c>
      <c r="O94" s="593"/>
      <c r="P94" s="593"/>
      <c r="Q94" s="593"/>
      <c r="R94" s="593"/>
      <c r="S94" s="594"/>
      <c r="U94" s="13"/>
    </row>
    <row r="95" spans="2:21" ht="45.95" customHeight="1" thickBot="1" x14ac:dyDescent="0.3">
      <c r="B95" s="13"/>
      <c r="D95" s="790"/>
      <c r="E95" s="792"/>
      <c r="F95" s="847"/>
      <c r="G95" s="796"/>
      <c r="H95" s="599"/>
      <c r="I95" s="711" t="s">
        <v>408</v>
      </c>
      <c r="J95" s="712"/>
      <c r="K95" s="551"/>
      <c r="L95" s="798"/>
      <c r="M95" s="601"/>
      <c r="N95" s="601"/>
      <c r="O95" s="601"/>
      <c r="P95" s="601"/>
      <c r="Q95" s="601"/>
      <c r="R95" s="601"/>
      <c r="S95" s="602"/>
      <c r="U95" s="13"/>
    </row>
    <row r="96" spans="2:21" ht="20.100000000000001" customHeight="1" x14ac:dyDescent="0.25">
      <c r="B96" s="13"/>
      <c r="U96" s="13"/>
    </row>
    <row r="97" spans="2:21" ht="20.100000000000001" customHeight="1" thickBot="1" x14ac:dyDescent="0.3">
      <c r="B97" s="13"/>
      <c r="C97" s="26"/>
      <c r="D97" s="26"/>
      <c r="E97" s="552" t="str">
        <f>IF(OR(L89="-",L89= ""),H89,L89)</f>
        <v>Ultimate Railroads</v>
      </c>
      <c r="F97" s="552"/>
      <c r="G97" s="552"/>
      <c r="H97" s="552"/>
      <c r="I97" s="552"/>
      <c r="J97" s="552"/>
      <c r="K97" s="552"/>
      <c r="L97" s="552"/>
      <c r="M97" s="552"/>
      <c r="N97" s="552"/>
      <c r="O97" s="199"/>
      <c r="P97" s="199"/>
      <c r="Q97" s="199"/>
      <c r="R97" s="199"/>
      <c r="S97" s="199"/>
      <c r="T97" s="26"/>
      <c r="U97" s="13"/>
    </row>
    <row r="98" spans="2:21" ht="50.1" customHeight="1" thickBot="1" x14ac:dyDescent="0.3">
      <c r="B98" s="13"/>
      <c r="C98" s="26"/>
      <c r="D98" s="199"/>
      <c r="E98" s="88" t="s">
        <v>10</v>
      </c>
      <c r="F98" s="125" t="s">
        <v>52</v>
      </c>
      <c r="G98" s="89" t="s">
        <v>14</v>
      </c>
      <c r="H98" s="200" t="s">
        <v>51</v>
      </c>
      <c r="I98" s="18" t="s">
        <v>54</v>
      </c>
      <c r="J98" s="200" t="s">
        <v>53</v>
      </c>
      <c r="K98" s="206" t="s">
        <v>28</v>
      </c>
      <c r="L98" s="200" t="s">
        <v>37</v>
      </c>
      <c r="M98" s="204" t="s">
        <v>16</v>
      </c>
      <c r="N98" s="89" t="s">
        <v>15</v>
      </c>
      <c r="O98" s="5" t="s">
        <v>30</v>
      </c>
      <c r="P98" s="7" t="s">
        <v>34</v>
      </c>
      <c r="Q98" s="7" t="s">
        <v>31</v>
      </c>
      <c r="R98" s="19" t="s">
        <v>32</v>
      </c>
      <c r="S98" s="199"/>
      <c r="T98" s="26"/>
      <c r="U98" s="13"/>
    </row>
    <row r="99" spans="2:21" ht="20.100000000000001" customHeight="1" x14ac:dyDescent="0.25">
      <c r="B99" s="13"/>
      <c r="C99" s="26"/>
      <c r="D99" s="68"/>
      <c r="E99" s="327" t="s">
        <v>47</v>
      </c>
      <c r="F99" s="272" t="s">
        <v>64</v>
      </c>
      <c r="G99" s="157">
        <v>2</v>
      </c>
      <c r="H99" s="157" t="s">
        <v>13</v>
      </c>
      <c r="I99" s="157">
        <v>0</v>
      </c>
      <c r="J99" s="103">
        <v>425</v>
      </c>
      <c r="K99" s="157" t="s">
        <v>13</v>
      </c>
      <c r="L99" s="36">
        <f>IF(J99="",0,(J99/J103)*100)</f>
        <v>100</v>
      </c>
      <c r="M99" s="157">
        <v>1</v>
      </c>
      <c r="N99" s="99">
        <v>6</v>
      </c>
      <c r="O99" s="57">
        <f>IF(M99=1,1,0)</f>
        <v>1</v>
      </c>
      <c r="P99" s="209">
        <f>IF(M99=2,1,0)</f>
        <v>0</v>
      </c>
      <c r="Q99" s="209">
        <f>IF(M99=3,1,0)</f>
        <v>0</v>
      </c>
      <c r="R99" s="8">
        <f>IF(M99=4,1,0)</f>
        <v>0</v>
      </c>
      <c r="S99" s="198"/>
      <c r="T99" s="26"/>
      <c r="U99" s="13"/>
    </row>
    <row r="100" spans="2:21" ht="20.100000000000001" customHeight="1" x14ac:dyDescent="0.25">
      <c r="B100" s="13"/>
      <c r="C100" s="26"/>
      <c r="D100" s="26"/>
      <c r="E100" s="40" t="s">
        <v>128</v>
      </c>
      <c r="F100" s="247" t="s">
        <v>129</v>
      </c>
      <c r="G100" s="47">
        <v>1</v>
      </c>
      <c r="H100" s="47" t="s">
        <v>13</v>
      </c>
      <c r="I100" s="47">
        <v>0</v>
      </c>
      <c r="J100" s="100">
        <v>195</v>
      </c>
      <c r="K100" s="100" t="s">
        <v>13</v>
      </c>
      <c r="L100" s="48">
        <f>IF(J100="",0,(J100/J103)*100)</f>
        <v>45.882352941176471</v>
      </c>
      <c r="M100" s="47">
        <v>3</v>
      </c>
      <c r="N100" s="60">
        <v>0.5</v>
      </c>
      <c r="O100" s="205">
        <f>IF(M100=1,1,0)</f>
        <v>0</v>
      </c>
      <c r="P100" s="207">
        <f>IF(M100=2,1,0)</f>
        <v>0</v>
      </c>
      <c r="Q100" s="207">
        <f>IF(M100=3,1,0)</f>
        <v>1</v>
      </c>
      <c r="R100" s="9">
        <f>IF(M100=4,1,0)</f>
        <v>0</v>
      </c>
      <c r="S100" s="198"/>
      <c r="T100" s="26"/>
      <c r="U100" s="13"/>
    </row>
    <row r="101" spans="2:21" ht="20.100000000000001" customHeight="1" x14ac:dyDescent="0.25">
      <c r="B101" s="13"/>
      <c r="C101" s="26"/>
      <c r="D101" s="26"/>
      <c r="E101" s="303" t="s">
        <v>2</v>
      </c>
      <c r="F101" s="247" t="s">
        <v>8</v>
      </c>
      <c r="G101" s="47">
        <v>3</v>
      </c>
      <c r="H101" s="47" t="s">
        <v>13</v>
      </c>
      <c r="I101" s="47">
        <v>0</v>
      </c>
      <c r="J101" s="100">
        <v>391</v>
      </c>
      <c r="K101" s="47" t="s">
        <v>13</v>
      </c>
      <c r="L101" s="48">
        <f>IF(J101="",0,(J101/J103)*100)</f>
        <v>92</v>
      </c>
      <c r="M101" s="47">
        <v>2</v>
      </c>
      <c r="N101" s="60">
        <v>3</v>
      </c>
      <c r="O101" s="205">
        <f>IF(M101=1,1,0)</f>
        <v>0</v>
      </c>
      <c r="P101" s="207">
        <f>IF(M101=2,1,0)</f>
        <v>1</v>
      </c>
      <c r="Q101" s="207">
        <f>IF(M101=3,1,0)</f>
        <v>0</v>
      </c>
      <c r="R101" s="9">
        <f>IF(M101=4,1,0)</f>
        <v>0</v>
      </c>
      <c r="S101" s="198"/>
      <c r="T101" s="26"/>
      <c r="U101" s="13"/>
    </row>
    <row r="102" spans="2:21" ht="20.100000000000001" customHeight="1" thickBot="1" x14ac:dyDescent="0.3">
      <c r="B102" s="13"/>
      <c r="C102" s="26"/>
      <c r="D102" s="26"/>
      <c r="E102" s="41" t="s">
        <v>123</v>
      </c>
      <c r="F102" s="251" t="s">
        <v>124</v>
      </c>
      <c r="G102" s="150">
        <v>4</v>
      </c>
      <c r="H102" s="107" t="s">
        <v>13</v>
      </c>
      <c r="I102" s="150">
        <v>0</v>
      </c>
      <c r="J102" s="107">
        <v>195</v>
      </c>
      <c r="K102" s="107" t="s">
        <v>13</v>
      </c>
      <c r="L102" s="17">
        <f>IF(J102="",0,(J102/J103)*100)</f>
        <v>45.882352941176471</v>
      </c>
      <c r="M102" s="150">
        <v>3</v>
      </c>
      <c r="N102" s="59">
        <v>0.5</v>
      </c>
      <c r="O102" s="58">
        <f>IF(M102=1,1,0)</f>
        <v>0</v>
      </c>
      <c r="P102" s="208">
        <f>IF(M102=2,1,0)</f>
        <v>0</v>
      </c>
      <c r="Q102" s="208">
        <f>IF(M102=3,1,0)</f>
        <v>1</v>
      </c>
      <c r="R102" s="10">
        <f>IF(M102=4,1,0)</f>
        <v>0</v>
      </c>
      <c r="S102" s="198"/>
      <c r="T102" s="26"/>
      <c r="U102" s="13"/>
    </row>
    <row r="103" spans="2:21" ht="20.100000000000001" hidden="1" customHeight="1" outlineLevel="1" x14ac:dyDescent="0.25">
      <c r="B103" s="13"/>
      <c r="C103" s="26"/>
      <c r="D103" s="68"/>
      <c r="E103" s="68"/>
      <c r="F103" s="553"/>
      <c r="G103" s="553"/>
      <c r="H103" s="26"/>
      <c r="I103" s="64" t="s">
        <v>29</v>
      </c>
      <c r="J103" s="23">
        <f>MAX(J99:J102)</f>
        <v>425</v>
      </c>
      <c r="K103" s="70"/>
      <c r="L103" s="69"/>
      <c r="M103" s="26"/>
      <c r="N103" s="63" t="s">
        <v>33</v>
      </c>
      <c r="O103" s="20">
        <f>SUM(O99:O102)</f>
        <v>1</v>
      </c>
      <c r="P103" s="21">
        <f>SUM(P99:P102)</f>
        <v>1</v>
      </c>
      <c r="Q103" s="20">
        <f>SUM(Q99:Q102)</f>
        <v>2</v>
      </c>
      <c r="R103" s="22">
        <f>SUM(R99:R102)</f>
        <v>0</v>
      </c>
      <c r="S103" s="69"/>
      <c r="T103" s="26"/>
      <c r="U103" s="13"/>
    </row>
    <row r="104" spans="2:21" ht="20.100000000000001" customHeight="1" collapsed="1" x14ac:dyDescent="0.25">
      <c r="B104" s="13"/>
      <c r="C104" s="26"/>
      <c r="D104" s="26"/>
      <c r="E104" s="26"/>
      <c r="F104" s="26"/>
      <c r="G104" s="26"/>
      <c r="H104" s="26"/>
      <c r="I104" s="26"/>
      <c r="J104" s="26"/>
      <c r="K104" s="26"/>
      <c r="L104" s="26"/>
      <c r="M104" s="26"/>
      <c r="N104" s="26"/>
      <c r="O104" s="26"/>
      <c r="P104" s="26"/>
      <c r="Q104" s="26"/>
      <c r="R104" s="26"/>
      <c r="S104" s="26"/>
      <c r="T104" s="26"/>
      <c r="U104" s="13"/>
    </row>
    <row r="105" spans="2:21" ht="20.100000000000001" customHeight="1" x14ac:dyDescent="0.25">
      <c r="B105" s="13"/>
      <c r="U105" s="13"/>
    </row>
    <row r="106" spans="2:21" ht="20.100000000000001" customHeight="1" thickBot="1" x14ac:dyDescent="0.3">
      <c r="B106" s="13"/>
      <c r="C106" s="27"/>
      <c r="D106" s="27"/>
      <c r="E106" s="554" t="str">
        <f>IF(OR(L91="-",L91= ""),H91,L91)</f>
        <v>7 Wonders</v>
      </c>
      <c r="F106" s="554"/>
      <c r="G106" s="554"/>
      <c r="H106" s="554"/>
      <c r="I106" s="554"/>
      <c r="J106" s="554"/>
      <c r="K106" s="554"/>
      <c r="L106" s="554"/>
      <c r="M106" s="554"/>
      <c r="N106" s="554"/>
      <c r="O106" s="197"/>
      <c r="P106" s="197"/>
      <c r="Q106" s="197"/>
      <c r="R106" s="197"/>
      <c r="S106" s="197"/>
      <c r="T106" s="27"/>
      <c r="U106" s="13"/>
    </row>
    <row r="107" spans="2:21" ht="50.1" customHeight="1" thickBot="1" x14ac:dyDescent="0.3">
      <c r="B107" s="13"/>
      <c r="C107" s="27"/>
      <c r="D107" s="197"/>
      <c r="E107" s="88" t="s">
        <v>10</v>
      </c>
      <c r="F107" s="125" t="s">
        <v>52</v>
      </c>
      <c r="G107" s="89" t="s">
        <v>14</v>
      </c>
      <c r="H107" s="200" t="s">
        <v>51</v>
      </c>
      <c r="I107" s="18" t="s">
        <v>54</v>
      </c>
      <c r="J107" s="200" t="s">
        <v>53</v>
      </c>
      <c r="K107" s="206" t="s">
        <v>28</v>
      </c>
      <c r="L107" s="200" t="s">
        <v>37</v>
      </c>
      <c r="M107" s="204" t="s">
        <v>16</v>
      </c>
      <c r="N107" s="89" t="s">
        <v>15</v>
      </c>
      <c r="O107" s="5" t="s">
        <v>30</v>
      </c>
      <c r="P107" s="7" t="s">
        <v>34</v>
      </c>
      <c r="Q107" s="7" t="s">
        <v>31</v>
      </c>
      <c r="R107" s="19" t="s">
        <v>32</v>
      </c>
      <c r="S107" s="197"/>
      <c r="T107" s="27"/>
      <c r="U107" s="13"/>
    </row>
    <row r="108" spans="2:21" ht="30" x14ac:dyDescent="0.25">
      <c r="B108" s="13"/>
      <c r="C108" s="27"/>
      <c r="D108" s="67"/>
      <c r="E108" s="365" t="s">
        <v>47</v>
      </c>
      <c r="F108" s="253" t="s">
        <v>64</v>
      </c>
      <c r="G108" s="49" t="s">
        <v>13</v>
      </c>
      <c r="H108" s="122" t="s">
        <v>439</v>
      </c>
      <c r="I108" s="49">
        <v>1</v>
      </c>
      <c r="J108" s="122">
        <v>43</v>
      </c>
      <c r="K108" s="238" t="s">
        <v>13</v>
      </c>
      <c r="L108" s="50">
        <f>IF(J108="",0,(J108/J112)*100)</f>
        <v>81.132075471698116</v>
      </c>
      <c r="M108" s="49">
        <v>4</v>
      </c>
      <c r="N108" s="61">
        <v>0</v>
      </c>
      <c r="O108" s="57">
        <f>IF(M108=1,1,0)</f>
        <v>0</v>
      </c>
      <c r="P108" s="209">
        <f>IF(M108=2,1,0)</f>
        <v>0</v>
      </c>
      <c r="Q108" s="209">
        <f>IF(M108=3,1,0)</f>
        <v>0</v>
      </c>
      <c r="R108" s="8">
        <f>IF(M108=4,1,0)</f>
        <v>1</v>
      </c>
      <c r="S108" s="203"/>
      <c r="T108" s="27"/>
      <c r="U108" s="13"/>
    </row>
    <row r="109" spans="2:21" ht="30" x14ac:dyDescent="0.25">
      <c r="B109" s="13"/>
      <c r="C109" s="27"/>
      <c r="D109" s="27"/>
      <c r="E109" s="40" t="s">
        <v>128</v>
      </c>
      <c r="F109" s="247" t="s">
        <v>129</v>
      </c>
      <c r="G109" s="47" t="s">
        <v>13</v>
      </c>
      <c r="H109" s="100" t="s">
        <v>440</v>
      </c>
      <c r="I109" s="47">
        <v>1</v>
      </c>
      <c r="J109" s="100">
        <v>47</v>
      </c>
      <c r="K109" s="100" t="s">
        <v>13</v>
      </c>
      <c r="L109" s="48">
        <f>IF(J109="",0,(J109/J112)*100)</f>
        <v>88.679245283018872</v>
      </c>
      <c r="M109" s="47">
        <v>2</v>
      </c>
      <c r="N109" s="60">
        <v>3</v>
      </c>
      <c r="O109" s="205">
        <f>IF(M109=1,1,0)</f>
        <v>0</v>
      </c>
      <c r="P109" s="207">
        <f>IF(M109=2,1,0)</f>
        <v>1</v>
      </c>
      <c r="Q109" s="207">
        <f>IF(M109=3,1,0)</f>
        <v>0</v>
      </c>
      <c r="R109" s="9">
        <f>IF(M109=4,1,0)</f>
        <v>0</v>
      </c>
      <c r="S109" s="203"/>
      <c r="T109" s="27"/>
      <c r="U109" s="13"/>
    </row>
    <row r="110" spans="2:21" ht="30" x14ac:dyDescent="0.25">
      <c r="B110" s="13"/>
      <c r="C110" s="27"/>
      <c r="D110" s="67"/>
      <c r="E110" s="303" t="s">
        <v>2</v>
      </c>
      <c r="F110" s="247" t="s">
        <v>8</v>
      </c>
      <c r="G110" s="47" t="s">
        <v>13</v>
      </c>
      <c r="H110" s="100" t="s">
        <v>441</v>
      </c>
      <c r="I110" s="47">
        <v>1</v>
      </c>
      <c r="J110" s="100">
        <v>45</v>
      </c>
      <c r="K110" s="239" t="s">
        <v>13</v>
      </c>
      <c r="L110" s="48">
        <f>IF(J110="",0,(J110/J112)*100)</f>
        <v>84.905660377358487</v>
      </c>
      <c r="M110" s="47">
        <v>3</v>
      </c>
      <c r="N110" s="60">
        <v>1</v>
      </c>
      <c r="O110" s="205">
        <f>IF(M110=1,1,0)</f>
        <v>0</v>
      </c>
      <c r="P110" s="207">
        <f>IF(M110=2,1,0)</f>
        <v>0</v>
      </c>
      <c r="Q110" s="207">
        <f>IF(M110=3,1,0)</f>
        <v>1</v>
      </c>
      <c r="R110" s="9">
        <f>IF(M110=4,1,0)</f>
        <v>0</v>
      </c>
      <c r="S110" s="203"/>
      <c r="T110" s="27"/>
      <c r="U110" s="13"/>
    </row>
    <row r="111" spans="2:21" ht="30.75" thickBot="1" x14ac:dyDescent="0.3">
      <c r="B111" s="13"/>
      <c r="C111" s="27"/>
      <c r="D111" s="27"/>
      <c r="E111" s="282" t="s">
        <v>123</v>
      </c>
      <c r="F111" s="417" t="s">
        <v>124</v>
      </c>
      <c r="G111" s="284" t="s">
        <v>13</v>
      </c>
      <c r="H111" s="285" t="s">
        <v>442</v>
      </c>
      <c r="I111" s="284">
        <v>1</v>
      </c>
      <c r="J111" s="285">
        <v>53</v>
      </c>
      <c r="K111" s="285" t="s">
        <v>13</v>
      </c>
      <c r="L111" s="286">
        <f>IF(J111="",0,(J111/J112)*100)</f>
        <v>100</v>
      </c>
      <c r="M111" s="284">
        <v>1</v>
      </c>
      <c r="N111" s="287">
        <v>6</v>
      </c>
      <c r="O111" s="58">
        <f>IF(M111=1,1,0)</f>
        <v>1</v>
      </c>
      <c r="P111" s="208">
        <f>IF(M111=2,1,0)</f>
        <v>0</v>
      </c>
      <c r="Q111" s="208">
        <f>IF(M111=3,1,0)</f>
        <v>0</v>
      </c>
      <c r="R111" s="10">
        <f>IF(M111=4,1,0)</f>
        <v>0</v>
      </c>
      <c r="S111" s="203"/>
      <c r="T111" s="27"/>
      <c r="U111" s="13"/>
    </row>
    <row r="112" spans="2:21" ht="20.100000000000001" hidden="1" customHeight="1" outlineLevel="1" x14ac:dyDescent="0.25">
      <c r="B112" s="13"/>
      <c r="C112" s="27"/>
      <c r="D112" s="27"/>
      <c r="E112" s="67"/>
      <c r="F112" s="882"/>
      <c r="G112" s="882"/>
      <c r="H112" s="67"/>
      <c r="I112" s="415" t="s">
        <v>29</v>
      </c>
      <c r="J112" s="63">
        <f>MAX(J108:J111)</f>
        <v>53</v>
      </c>
      <c r="K112" s="416"/>
      <c r="L112" s="74"/>
      <c r="M112" s="67"/>
      <c r="N112" s="63" t="s">
        <v>33</v>
      </c>
      <c r="O112" s="20">
        <f>SUM(O108:O111)</f>
        <v>1</v>
      </c>
      <c r="P112" s="21">
        <f>SUM(P108:P111)</f>
        <v>1</v>
      </c>
      <c r="Q112" s="20">
        <f>SUM(Q108:Q111)</f>
        <v>1</v>
      </c>
      <c r="R112" s="22">
        <f>SUM(R108:R111)</f>
        <v>1</v>
      </c>
      <c r="S112" s="74"/>
      <c r="T112" s="27"/>
      <c r="U112" s="13"/>
    </row>
    <row r="113" spans="2:21" ht="20.100000000000001" customHeight="1" collapsed="1" x14ac:dyDescent="0.25">
      <c r="B113" s="13"/>
      <c r="C113" s="27"/>
      <c r="D113" s="27"/>
      <c r="E113" s="27"/>
      <c r="F113" s="27"/>
      <c r="G113" s="27"/>
      <c r="H113" s="27"/>
      <c r="I113" s="27"/>
      <c r="J113" s="27"/>
      <c r="K113" s="27"/>
      <c r="L113" s="27"/>
      <c r="M113" s="27"/>
      <c r="N113" s="27"/>
      <c r="O113" s="27"/>
      <c r="P113" s="27"/>
      <c r="Q113" s="27"/>
      <c r="R113" s="27"/>
      <c r="S113" s="27"/>
      <c r="T113" s="27"/>
      <c r="U113" s="13"/>
    </row>
    <row r="114" spans="2:21" ht="20.100000000000001" customHeight="1" x14ac:dyDescent="0.25">
      <c r="B114" s="13"/>
      <c r="D114" s="28"/>
      <c r="E114" s="28"/>
      <c r="F114" s="28"/>
      <c r="G114" s="28"/>
      <c r="H114" s="29"/>
      <c r="I114" s="28"/>
      <c r="J114" s="28"/>
      <c r="U114" s="13"/>
    </row>
    <row r="115" spans="2:21" ht="20.100000000000001" customHeight="1" thickBot="1" x14ac:dyDescent="0.3">
      <c r="B115" s="13"/>
      <c r="C115" s="30"/>
      <c r="D115" s="30"/>
      <c r="E115" s="532" t="str">
        <f>IF(OR(L93="-",L93= ""),H93,L93)</f>
        <v>Century</v>
      </c>
      <c r="F115" s="532"/>
      <c r="G115" s="532"/>
      <c r="H115" s="532"/>
      <c r="I115" s="532"/>
      <c r="J115" s="532"/>
      <c r="K115" s="532"/>
      <c r="L115" s="532"/>
      <c r="M115" s="532"/>
      <c r="N115" s="532"/>
      <c r="O115" s="196"/>
      <c r="P115" s="196"/>
      <c r="Q115" s="196"/>
      <c r="R115" s="196"/>
      <c r="S115" s="196"/>
      <c r="T115" s="30"/>
      <c r="U115" s="14"/>
    </row>
    <row r="116" spans="2:21" ht="50.1" customHeight="1" thickBot="1" x14ac:dyDescent="0.3">
      <c r="B116" s="13"/>
      <c r="C116" s="30"/>
      <c r="D116" s="196"/>
      <c r="E116" s="88" t="s">
        <v>10</v>
      </c>
      <c r="F116" s="125" t="s">
        <v>52</v>
      </c>
      <c r="G116" s="89" t="s">
        <v>14</v>
      </c>
      <c r="H116" s="200" t="s">
        <v>51</v>
      </c>
      <c r="I116" s="18" t="s">
        <v>54</v>
      </c>
      <c r="J116" s="200" t="s">
        <v>53</v>
      </c>
      <c r="K116" s="206" t="s">
        <v>28</v>
      </c>
      <c r="L116" s="200" t="s">
        <v>37</v>
      </c>
      <c r="M116" s="204" t="s">
        <v>16</v>
      </c>
      <c r="N116" s="89" t="s">
        <v>15</v>
      </c>
      <c r="O116" s="5" t="s">
        <v>30</v>
      </c>
      <c r="P116" s="7" t="s">
        <v>34</v>
      </c>
      <c r="Q116" s="7" t="s">
        <v>31</v>
      </c>
      <c r="R116" s="19" t="s">
        <v>32</v>
      </c>
      <c r="S116" s="196"/>
      <c r="T116" s="30"/>
      <c r="U116" s="14"/>
    </row>
    <row r="117" spans="2:21" ht="20.100000000000001" customHeight="1" x14ac:dyDescent="0.25">
      <c r="B117" s="13"/>
      <c r="C117" s="30"/>
      <c r="D117" s="66"/>
      <c r="E117" s="365" t="s">
        <v>47</v>
      </c>
      <c r="F117" s="253" t="s">
        <v>64</v>
      </c>
      <c r="G117" s="49">
        <v>4</v>
      </c>
      <c r="H117" s="122" t="s">
        <v>13</v>
      </c>
      <c r="I117" s="49">
        <v>0</v>
      </c>
      <c r="J117" s="122">
        <v>56</v>
      </c>
      <c r="K117" s="50" t="s">
        <v>13</v>
      </c>
      <c r="L117" s="50">
        <f>IF(J117="",0,(J117/J121)*100)</f>
        <v>74.666666666666671</v>
      </c>
      <c r="M117" s="49">
        <v>3</v>
      </c>
      <c r="N117" s="61">
        <v>1</v>
      </c>
      <c r="O117" s="57">
        <f>IF(M117=1,1,0)</f>
        <v>0</v>
      </c>
      <c r="P117" s="209">
        <f>IF(M117=2,1,0)</f>
        <v>0</v>
      </c>
      <c r="Q117" s="209">
        <f>IF(M117=3,1,0)</f>
        <v>1</v>
      </c>
      <c r="R117" s="8">
        <f>IF(M117=4,1,0)</f>
        <v>0</v>
      </c>
      <c r="S117" s="194"/>
      <c r="T117" s="30"/>
      <c r="U117" s="13"/>
    </row>
    <row r="118" spans="2:21" ht="20.100000000000001" customHeight="1" x14ac:dyDescent="0.25">
      <c r="B118" s="13"/>
      <c r="C118" s="30"/>
      <c r="D118" s="30"/>
      <c r="E118" s="40" t="s">
        <v>128</v>
      </c>
      <c r="F118" s="247" t="s">
        <v>129</v>
      </c>
      <c r="G118" s="47">
        <v>3</v>
      </c>
      <c r="H118" s="100" t="s">
        <v>13</v>
      </c>
      <c r="I118" s="47">
        <v>0</v>
      </c>
      <c r="J118" s="100">
        <v>59</v>
      </c>
      <c r="K118" s="276" t="s">
        <v>13</v>
      </c>
      <c r="L118" s="48">
        <f>IF(J118="",0,(J118/J121)*100)</f>
        <v>78.666666666666657</v>
      </c>
      <c r="M118" s="47">
        <v>2</v>
      </c>
      <c r="N118" s="60">
        <v>3</v>
      </c>
      <c r="O118" s="205">
        <f>IF(M118=1,1,0)</f>
        <v>0</v>
      </c>
      <c r="P118" s="207">
        <f>IF(M118=2,1,0)</f>
        <v>1</v>
      </c>
      <c r="Q118" s="207">
        <f>IF(M118=3,1,0)</f>
        <v>0</v>
      </c>
      <c r="R118" s="9">
        <f>IF(M118=4,1,0)</f>
        <v>0</v>
      </c>
      <c r="S118" s="194"/>
      <c r="T118" s="30"/>
      <c r="U118" s="31"/>
    </row>
    <row r="119" spans="2:21" ht="20.100000000000001" customHeight="1" x14ac:dyDescent="0.25">
      <c r="B119" s="13"/>
      <c r="C119" s="30"/>
      <c r="D119" s="30"/>
      <c r="E119" s="303" t="s">
        <v>2</v>
      </c>
      <c r="F119" s="247" t="s">
        <v>8</v>
      </c>
      <c r="G119" s="47">
        <v>1</v>
      </c>
      <c r="H119" s="100" t="s">
        <v>13</v>
      </c>
      <c r="I119" s="47">
        <v>0</v>
      </c>
      <c r="J119" s="100">
        <v>52</v>
      </c>
      <c r="K119" s="276" t="s">
        <v>13</v>
      </c>
      <c r="L119" s="48">
        <f>IF(J119="",0,(J119/J121)*100)</f>
        <v>69.333333333333343</v>
      </c>
      <c r="M119" s="47">
        <v>4</v>
      </c>
      <c r="N119" s="60">
        <v>0</v>
      </c>
      <c r="O119" s="205">
        <f>IF(M119=1,1,0)</f>
        <v>0</v>
      </c>
      <c r="P119" s="207">
        <f>IF(M119=2,1,0)</f>
        <v>0</v>
      </c>
      <c r="Q119" s="207">
        <f>IF(M119=3,1,0)</f>
        <v>0</v>
      </c>
      <c r="R119" s="9">
        <f>IF(M119=4,1,0)</f>
        <v>1</v>
      </c>
      <c r="S119" s="194"/>
      <c r="T119" s="30"/>
      <c r="U119" s="31"/>
    </row>
    <row r="120" spans="2:21" ht="20.100000000000001" customHeight="1" thickBot="1" x14ac:dyDescent="0.3">
      <c r="B120" s="13"/>
      <c r="C120" s="30"/>
      <c r="D120" s="30"/>
      <c r="E120" s="282" t="s">
        <v>123</v>
      </c>
      <c r="F120" s="417" t="s">
        <v>124</v>
      </c>
      <c r="G120" s="284">
        <v>2</v>
      </c>
      <c r="H120" s="285" t="s">
        <v>13</v>
      </c>
      <c r="I120" s="284">
        <v>0</v>
      </c>
      <c r="J120" s="285">
        <v>75</v>
      </c>
      <c r="K120" s="286" t="s">
        <v>13</v>
      </c>
      <c r="L120" s="286">
        <f>IF(J120="",0,(J120/J121)*100)</f>
        <v>100</v>
      </c>
      <c r="M120" s="284">
        <v>1</v>
      </c>
      <c r="N120" s="287">
        <v>6</v>
      </c>
      <c r="O120" s="58">
        <f>IF(M120=1,1,0)</f>
        <v>1</v>
      </c>
      <c r="P120" s="208">
        <f>IF(M120=2,1,0)</f>
        <v>0</v>
      </c>
      <c r="Q120" s="208">
        <f>IF(M120=3,1,0)</f>
        <v>0</v>
      </c>
      <c r="R120" s="10">
        <f>IF(M120=4,1,0)</f>
        <v>0</v>
      </c>
      <c r="S120" s="194"/>
      <c r="T120" s="30"/>
      <c r="U120" s="31"/>
    </row>
    <row r="121" spans="2:21" ht="20.100000000000001" hidden="1" customHeight="1" outlineLevel="1" x14ac:dyDescent="0.25">
      <c r="B121" s="13"/>
      <c r="C121" s="30"/>
      <c r="D121" s="30"/>
      <c r="E121" s="30"/>
      <c r="F121" s="533"/>
      <c r="G121" s="533"/>
      <c r="H121" s="30"/>
      <c r="I121" s="64" t="s">
        <v>29</v>
      </c>
      <c r="J121" s="23">
        <f>MAX(J117:J120)</f>
        <v>75</v>
      </c>
      <c r="K121" s="76"/>
      <c r="L121" s="194"/>
      <c r="M121" s="30"/>
      <c r="N121" s="63" t="s">
        <v>33</v>
      </c>
      <c r="O121" s="20">
        <f>SUM(O117:O120)</f>
        <v>1</v>
      </c>
      <c r="P121" s="21">
        <f>SUM(P117:P120)</f>
        <v>1</v>
      </c>
      <c r="Q121" s="20">
        <f>SUM(Q117:Q120)</f>
        <v>1</v>
      </c>
      <c r="R121" s="22">
        <f>SUM(R117:R120)</f>
        <v>1</v>
      </c>
      <c r="S121" s="77"/>
      <c r="T121" s="30"/>
      <c r="U121" s="31"/>
    </row>
    <row r="122" spans="2:21" ht="20.100000000000001" customHeight="1" collapsed="1" x14ac:dyDescent="0.25">
      <c r="B122" s="13"/>
      <c r="C122" s="30"/>
      <c r="D122" s="30"/>
      <c r="E122" s="30"/>
      <c r="F122" s="30"/>
      <c r="G122" s="30"/>
      <c r="H122" s="30"/>
      <c r="I122" s="30"/>
      <c r="J122" s="30"/>
      <c r="K122" s="30"/>
      <c r="L122" s="30"/>
      <c r="M122" s="30"/>
      <c r="N122" s="30"/>
      <c r="O122" s="30"/>
      <c r="P122" s="30"/>
      <c r="Q122" s="30"/>
      <c r="R122" s="30"/>
      <c r="S122" s="30"/>
      <c r="T122" s="30"/>
      <c r="U122" s="31"/>
    </row>
    <row r="123" spans="2:21" ht="20.100000000000001" customHeight="1" x14ac:dyDescent="0.25">
      <c r="B123" s="13"/>
      <c r="D123" s="28"/>
      <c r="E123" s="28"/>
      <c r="F123" s="28"/>
      <c r="G123" s="28"/>
      <c r="H123" s="29"/>
      <c r="I123" s="28"/>
      <c r="J123" s="28"/>
      <c r="K123" s="28"/>
      <c r="U123" s="13"/>
    </row>
    <row r="124" spans="2:21" ht="20.100000000000001" customHeight="1" thickBot="1" x14ac:dyDescent="0.3">
      <c r="B124" s="13"/>
      <c r="C124" s="32"/>
      <c r="D124" s="32"/>
      <c r="E124" s="534" t="str">
        <f>IF(OR(L94="-",L94= ""),H94,L94)</f>
        <v>Dice Hospital</v>
      </c>
      <c r="F124" s="534"/>
      <c r="G124" s="534"/>
      <c r="H124" s="534"/>
      <c r="I124" s="534"/>
      <c r="J124" s="534"/>
      <c r="K124" s="534"/>
      <c r="L124" s="534"/>
      <c r="M124" s="534"/>
      <c r="N124" s="534"/>
      <c r="O124" s="195"/>
      <c r="P124" s="195"/>
      <c r="Q124" s="195"/>
      <c r="R124" s="195"/>
      <c r="S124" s="195"/>
      <c r="T124" s="32"/>
      <c r="U124" s="13"/>
    </row>
    <row r="125" spans="2:21" ht="50.1" customHeight="1" thickBot="1" x14ac:dyDescent="0.3">
      <c r="B125" s="13"/>
      <c r="C125" s="32"/>
      <c r="D125" s="195"/>
      <c r="E125" s="88" t="s">
        <v>10</v>
      </c>
      <c r="F125" s="125" t="s">
        <v>52</v>
      </c>
      <c r="G125" s="89" t="s">
        <v>14</v>
      </c>
      <c r="H125" s="200" t="s">
        <v>51</v>
      </c>
      <c r="I125" s="18" t="s">
        <v>54</v>
      </c>
      <c r="J125" s="200" t="s">
        <v>53</v>
      </c>
      <c r="K125" s="206" t="s">
        <v>28</v>
      </c>
      <c r="L125" s="200" t="s">
        <v>37</v>
      </c>
      <c r="M125" s="204" t="s">
        <v>16</v>
      </c>
      <c r="N125" s="89" t="s">
        <v>15</v>
      </c>
      <c r="O125" s="5" t="s">
        <v>30</v>
      </c>
      <c r="P125" s="7" t="s">
        <v>34</v>
      </c>
      <c r="Q125" s="7" t="s">
        <v>31</v>
      </c>
      <c r="R125" s="19" t="s">
        <v>32</v>
      </c>
      <c r="S125" s="195"/>
      <c r="T125" s="32"/>
      <c r="U125" s="13"/>
    </row>
    <row r="126" spans="2:21" ht="20.100000000000001" customHeight="1" x14ac:dyDescent="0.25">
      <c r="B126" s="13"/>
      <c r="C126" s="32"/>
      <c r="D126" s="32"/>
      <c r="E126" s="365" t="s">
        <v>47</v>
      </c>
      <c r="F126" s="253" t="s">
        <v>64</v>
      </c>
      <c r="G126" s="49">
        <v>4</v>
      </c>
      <c r="H126" s="49" t="s">
        <v>409</v>
      </c>
      <c r="I126" s="49">
        <v>0</v>
      </c>
      <c r="J126" s="49">
        <v>27</v>
      </c>
      <c r="K126" s="49" t="s">
        <v>13</v>
      </c>
      <c r="L126" s="50">
        <f>IF(J126="",0,(J126/J130)*100)</f>
        <v>54</v>
      </c>
      <c r="M126" s="49">
        <v>3</v>
      </c>
      <c r="N126" s="61">
        <v>1</v>
      </c>
      <c r="O126" s="57">
        <f>IF(M126=1,1,0)</f>
        <v>0</v>
      </c>
      <c r="P126" s="209">
        <f>IF(M126=2,1,0)</f>
        <v>0</v>
      </c>
      <c r="Q126" s="209">
        <f>IF(M126=3,1,0)</f>
        <v>1</v>
      </c>
      <c r="R126" s="8">
        <f>IF(M126=4,1,0)</f>
        <v>0</v>
      </c>
      <c r="S126" s="201"/>
      <c r="T126" s="32"/>
      <c r="U126" s="13"/>
    </row>
    <row r="127" spans="2:21" ht="20.100000000000001" customHeight="1" x14ac:dyDescent="0.25">
      <c r="B127" s="13"/>
      <c r="C127" s="32"/>
      <c r="D127" s="32"/>
      <c r="E127" s="40" t="s">
        <v>128</v>
      </c>
      <c r="F127" s="247" t="s">
        <v>129</v>
      </c>
      <c r="G127" s="47">
        <v>3</v>
      </c>
      <c r="H127" s="47" t="s">
        <v>410</v>
      </c>
      <c r="I127" s="47">
        <v>0</v>
      </c>
      <c r="J127" s="47">
        <v>16</v>
      </c>
      <c r="K127" s="100" t="s">
        <v>13</v>
      </c>
      <c r="L127" s="48">
        <f>IF(J127="",0,(J127/J130)*100)</f>
        <v>32</v>
      </c>
      <c r="M127" s="47">
        <v>4</v>
      </c>
      <c r="N127" s="60">
        <v>0</v>
      </c>
      <c r="O127" s="205">
        <f>IF(M127=1,1,0)</f>
        <v>0</v>
      </c>
      <c r="P127" s="207">
        <f>IF(M127=2,1,0)</f>
        <v>0</v>
      </c>
      <c r="Q127" s="207">
        <f>IF(M127=3,1,0)</f>
        <v>0</v>
      </c>
      <c r="R127" s="9">
        <f>IF(M127=4,1,0)</f>
        <v>1</v>
      </c>
      <c r="S127" s="201"/>
      <c r="T127" s="32"/>
      <c r="U127" s="13"/>
    </row>
    <row r="128" spans="2:21" ht="20.100000000000001" customHeight="1" x14ac:dyDescent="0.25">
      <c r="B128" s="13"/>
      <c r="C128" s="32"/>
      <c r="D128" s="32"/>
      <c r="E128" s="303" t="s">
        <v>2</v>
      </c>
      <c r="F128" s="247" t="s">
        <v>8</v>
      </c>
      <c r="G128" s="47">
        <v>1</v>
      </c>
      <c r="H128" s="47" t="s">
        <v>239</v>
      </c>
      <c r="I128" s="47">
        <v>0</v>
      </c>
      <c r="J128" s="47">
        <v>36</v>
      </c>
      <c r="K128" s="47" t="s">
        <v>13</v>
      </c>
      <c r="L128" s="48">
        <f>IF(J128="",0,(J128/J130)*100)</f>
        <v>72</v>
      </c>
      <c r="M128" s="47">
        <v>2</v>
      </c>
      <c r="N128" s="60">
        <v>3</v>
      </c>
      <c r="O128" s="205">
        <f>IF(M128=1,1,0)</f>
        <v>0</v>
      </c>
      <c r="P128" s="207">
        <f>IF(M128=2,1,0)</f>
        <v>1</v>
      </c>
      <c r="Q128" s="207">
        <f>IF(M128=3,1,0)</f>
        <v>0</v>
      </c>
      <c r="R128" s="9">
        <f>IF(M128=4,1,0)</f>
        <v>0</v>
      </c>
      <c r="S128" s="201"/>
      <c r="T128" s="32"/>
      <c r="U128" s="13"/>
    </row>
    <row r="129" spans="2:31" ht="20.100000000000001" customHeight="1" thickBot="1" x14ac:dyDescent="0.3">
      <c r="B129" s="13"/>
      <c r="C129" s="32"/>
      <c r="D129" s="65"/>
      <c r="E129" s="282" t="s">
        <v>123</v>
      </c>
      <c r="F129" s="417" t="s">
        <v>124</v>
      </c>
      <c r="G129" s="284">
        <v>2</v>
      </c>
      <c r="H129" s="284" t="s">
        <v>307</v>
      </c>
      <c r="I129" s="284">
        <v>0</v>
      </c>
      <c r="J129" s="284">
        <v>50</v>
      </c>
      <c r="K129" s="285" t="s">
        <v>13</v>
      </c>
      <c r="L129" s="286">
        <f>IF(J129="",0,(J129/J130)*100)</f>
        <v>100</v>
      </c>
      <c r="M129" s="284">
        <v>1</v>
      </c>
      <c r="N129" s="287">
        <v>6</v>
      </c>
      <c r="O129" s="58">
        <f>IF(M129=1,1,0)</f>
        <v>1</v>
      </c>
      <c r="P129" s="208">
        <f>IF(M129=2,1,0)</f>
        <v>0</v>
      </c>
      <c r="Q129" s="208">
        <f>IF(M129=3,1,0)</f>
        <v>0</v>
      </c>
      <c r="R129" s="10">
        <f>IF(M129=4,1,0)</f>
        <v>0</v>
      </c>
      <c r="S129" s="201"/>
      <c r="T129" s="32"/>
      <c r="U129" s="13"/>
    </row>
    <row r="130" spans="2:31" ht="20.100000000000001" hidden="1" customHeight="1" outlineLevel="1" x14ac:dyDescent="0.25">
      <c r="B130" s="13"/>
      <c r="C130" s="32"/>
      <c r="D130" s="32"/>
      <c r="E130" s="32"/>
      <c r="F130" s="535"/>
      <c r="G130" s="535"/>
      <c r="H130" s="32"/>
      <c r="I130" s="64" t="s">
        <v>29</v>
      </c>
      <c r="J130" s="23">
        <f>MAX(J126:J129)</f>
        <v>50</v>
      </c>
      <c r="K130" s="78"/>
      <c r="L130" s="201"/>
      <c r="M130" s="32"/>
      <c r="N130" s="63" t="s">
        <v>33</v>
      </c>
      <c r="O130" s="20">
        <f>SUM(O126:O129)</f>
        <v>1</v>
      </c>
      <c r="P130" s="21">
        <f>SUM(P126:P129)</f>
        <v>1</v>
      </c>
      <c r="Q130" s="20">
        <f>SUM(Q126:Q129)</f>
        <v>1</v>
      </c>
      <c r="R130" s="22">
        <f>SUM(R126:R129)</f>
        <v>1</v>
      </c>
      <c r="S130" s="79"/>
      <c r="T130" s="32"/>
      <c r="U130" s="13"/>
    </row>
    <row r="131" spans="2:31" ht="20.100000000000001" customHeight="1" collapsed="1" x14ac:dyDescent="0.25">
      <c r="B131" s="13"/>
      <c r="C131" s="32"/>
      <c r="D131" s="32"/>
      <c r="E131" s="32"/>
      <c r="F131" s="32"/>
      <c r="G131" s="32"/>
      <c r="H131" s="32"/>
      <c r="I131" s="32"/>
      <c r="J131" s="32"/>
      <c r="K131" s="32"/>
      <c r="L131" s="32"/>
      <c r="M131" s="32"/>
      <c r="N131" s="32"/>
      <c r="O131" s="32"/>
      <c r="P131" s="32"/>
      <c r="Q131" s="32"/>
      <c r="R131" s="32"/>
      <c r="S131" s="32"/>
      <c r="T131" s="32"/>
      <c r="U131" s="13"/>
    </row>
    <row r="132" spans="2:31" ht="20.100000000000001" customHeight="1" x14ac:dyDescent="0.25">
      <c r="B132" s="13"/>
      <c r="D132" s="4"/>
      <c r="E132" s="4"/>
      <c r="F132" s="4"/>
      <c r="G132" s="4"/>
      <c r="H132" s="4"/>
      <c r="I132" s="4"/>
      <c r="J132" s="4"/>
      <c r="U132" s="13"/>
    </row>
    <row r="133" spans="2:31" ht="30" customHeight="1" thickBot="1" x14ac:dyDescent="0.3">
      <c r="B133" s="13"/>
      <c r="C133" s="33"/>
      <c r="D133" s="536" t="s">
        <v>48</v>
      </c>
      <c r="E133" s="536"/>
      <c r="F133" s="536"/>
      <c r="G133" s="536"/>
      <c r="H133" s="536"/>
      <c r="I133" s="536"/>
      <c r="J133" s="536"/>
      <c r="K133" s="536"/>
      <c r="L133" s="536"/>
      <c r="M133" s="536"/>
      <c r="N133" s="536"/>
      <c r="O133" s="536"/>
      <c r="P133" s="536"/>
      <c r="Q133" s="536"/>
      <c r="R133" s="536"/>
      <c r="S133" s="536"/>
      <c r="T133" s="33"/>
      <c r="U133" s="13"/>
    </row>
    <row r="134" spans="2:31" ht="50.1" customHeight="1" thickBot="1" x14ac:dyDescent="0.3">
      <c r="B134" s="13"/>
      <c r="C134" s="33"/>
      <c r="D134" s="90" t="s">
        <v>10</v>
      </c>
      <c r="E134" s="93" t="s">
        <v>139</v>
      </c>
      <c r="F134" s="91" t="s">
        <v>15</v>
      </c>
      <c r="G134" s="42" t="s">
        <v>55</v>
      </c>
      <c r="H134" s="537" t="s">
        <v>56</v>
      </c>
      <c r="I134" s="538"/>
      <c r="J134" s="202" t="s">
        <v>66</v>
      </c>
      <c r="K134" s="92" t="s">
        <v>17</v>
      </c>
      <c r="L134" s="91" t="s">
        <v>18</v>
      </c>
      <c r="M134" s="92" t="s">
        <v>19</v>
      </c>
      <c r="N134" s="91" t="s">
        <v>20</v>
      </c>
      <c r="O134" s="130"/>
      <c r="P134" s="126"/>
      <c r="Q134" s="126"/>
      <c r="R134" s="126"/>
      <c r="S134" s="93" t="s">
        <v>38</v>
      </c>
      <c r="T134" s="33"/>
      <c r="U134" s="13"/>
    </row>
    <row r="135" spans="2:31" ht="20.100000000000001" customHeight="1" x14ac:dyDescent="0.25">
      <c r="B135" s="13"/>
      <c r="C135" s="33"/>
      <c r="D135" s="367" t="s">
        <v>123</v>
      </c>
      <c r="E135" s="288" t="s">
        <v>124</v>
      </c>
      <c r="F135" s="421">
        <f>K135*6+L135*3+M135*1+N135*0</f>
        <v>18.5</v>
      </c>
      <c r="G135" s="262">
        <v>0</v>
      </c>
      <c r="H135" s="539" t="s">
        <v>13</v>
      </c>
      <c r="I135" s="539"/>
      <c r="J135" s="421">
        <f>F135+G135</f>
        <v>18.5</v>
      </c>
      <c r="K135" s="133">
        <v>3</v>
      </c>
      <c r="L135" s="133">
        <v>0</v>
      </c>
      <c r="M135" s="421">
        <v>0.5</v>
      </c>
      <c r="N135" s="421">
        <v>0.5</v>
      </c>
      <c r="O135" s="152"/>
      <c r="P135" s="262"/>
      <c r="Q135" s="262"/>
      <c r="R135" s="262"/>
      <c r="S135" s="134">
        <f>(L102++L111+L120+L129)/4</f>
        <v>86.470588235294116</v>
      </c>
      <c r="T135" s="33"/>
      <c r="U135" s="13"/>
    </row>
    <row r="136" spans="2:31" ht="20.100000000000001" customHeight="1" x14ac:dyDescent="0.25">
      <c r="B136" s="13"/>
      <c r="C136" s="33"/>
      <c r="D136" s="364" t="s">
        <v>47</v>
      </c>
      <c r="E136" s="274" t="s">
        <v>64</v>
      </c>
      <c r="F136" s="52">
        <f>K136*6+L136*3+M136*1+N136*0</f>
        <v>8</v>
      </c>
      <c r="G136" s="263">
        <v>0</v>
      </c>
      <c r="H136" s="529" t="s">
        <v>13</v>
      </c>
      <c r="I136" s="529"/>
      <c r="J136" s="52">
        <f>F136+G136</f>
        <v>8</v>
      </c>
      <c r="K136" s="52">
        <v>1</v>
      </c>
      <c r="L136" s="52">
        <v>0</v>
      </c>
      <c r="M136" s="52">
        <v>2</v>
      </c>
      <c r="N136" s="52">
        <v>1</v>
      </c>
      <c r="O136" s="151"/>
      <c r="P136" s="263"/>
      <c r="Q136" s="263"/>
      <c r="R136" s="263"/>
      <c r="S136" s="104">
        <f>(L99+L108+L117+L126)/4</f>
        <v>77.449685534591197</v>
      </c>
      <c r="T136" s="33"/>
      <c r="U136" s="13"/>
      <c r="Y136" s="610"/>
      <c r="Z136" s="610"/>
      <c r="AA136" s="43"/>
      <c r="AB136" s="43"/>
      <c r="AC136" s="44"/>
      <c r="AD136" s="44"/>
      <c r="AE136" s="44"/>
    </row>
    <row r="137" spans="2:31" ht="20.100000000000001" customHeight="1" x14ac:dyDescent="0.25">
      <c r="B137" s="13"/>
      <c r="C137" s="33"/>
      <c r="D137" s="364" t="s">
        <v>2</v>
      </c>
      <c r="E137" s="274" t="s">
        <v>8</v>
      </c>
      <c r="F137" s="52">
        <f>K137*6+L137*3+M137*1+N137*0</f>
        <v>7</v>
      </c>
      <c r="G137" s="263">
        <v>0</v>
      </c>
      <c r="H137" s="529" t="s">
        <v>13</v>
      </c>
      <c r="I137" s="529"/>
      <c r="J137" s="52">
        <f>F137+G137</f>
        <v>7</v>
      </c>
      <c r="K137" s="52">
        <v>0</v>
      </c>
      <c r="L137" s="52">
        <v>2</v>
      </c>
      <c r="M137" s="52">
        <v>1</v>
      </c>
      <c r="N137" s="52">
        <v>1</v>
      </c>
      <c r="O137" s="151"/>
      <c r="P137" s="263"/>
      <c r="Q137" s="263"/>
      <c r="R137" s="263"/>
      <c r="S137" s="104">
        <f>(L101+L110+L119+L128)/4</f>
        <v>79.559748427672957</v>
      </c>
      <c r="T137" s="33"/>
      <c r="U137" s="13"/>
    </row>
    <row r="138" spans="2:31" ht="20.100000000000001" customHeight="1" thickBot="1" x14ac:dyDescent="0.3">
      <c r="B138" s="13"/>
      <c r="C138" s="33"/>
      <c r="D138" s="105" t="s">
        <v>128</v>
      </c>
      <c r="E138" s="275" t="s">
        <v>129</v>
      </c>
      <c r="F138" s="378">
        <f>K138*6+L138*3+M138*1+N138*0</f>
        <v>6.5</v>
      </c>
      <c r="G138" s="264">
        <v>0</v>
      </c>
      <c r="H138" s="530" t="s">
        <v>13</v>
      </c>
      <c r="I138" s="530"/>
      <c r="J138" s="378">
        <f>F138+G138</f>
        <v>6.5</v>
      </c>
      <c r="K138" s="109">
        <v>0</v>
      </c>
      <c r="L138" s="109">
        <v>2</v>
      </c>
      <c r="M138" s="378">
        <v>0.5</v>
      </c>
      <c r="N138" s="378">
        <v>1.5</v>
      </c>
      <c r="O138" s="153"/>
      <c r="P138" s="264"/>
      <c r="Q138" s="264"/>
      <c r="R138" s="264"/>
      <c r="S138" s="106">
        <f>(L100+L109+L118+L127)/4</f>
        <v>61.307066222715498</v>
      </c>
      <c r="T138" s="33"/>
      <c r="U138" s="13"/>
    </row>
    <row r="139" spans="2:31" ht="20.100000000000001" customHeight="1" x14ac:dyDescent="0.25">
      <c r="B139" s="13"/>
      <c r="C139" s="33"/>
      <c r="D139" s="373"/>
      <c r="E139" s="373"/>
      <c r="F139" s="371"/>
      <c r="G139" s="317"/>
      <c r="H139" s="781"/>
      <c r="I139" s="781"/>
      <c r="J139" s="371"/>
      <c r="K139" s="371"/>
      <c r="L139" s="371"/>
      <c r="M139" s="371"/>
      <c r="N139" s="371"/>
      <c r="O139" s="316"/>
      <c r="P139" s="317"/>
      <c r="Q139" s="317"/>
      <c r="R139" s="317"/>
      <c r="S139" s="330"/>
      <c r="T139" s="33"/>
      <c r="U139" s="13"/>
    </row>
    <row r="140" spans="2:31" ht="20.100000000000001" customHeight="1" x14ac:dyDescent="0.25">
      <c r="B140" s="13"/>
      <c r="C140" s="13"/>
      <c r="D140" s="15"/>
      <c r="E140" s="15"/>
      <c r="F140" s="14"/>
      <c r="G140" s="14"/>
      <c r="H140" s="15"/>
      <c r="I140" s="15"/>
      <c r="J140" s="15"/>
      <c r="K140" s="13"/>
      <c r="L140" s="13"/>
      <c r="M140" s="13"/>
      <c r="N140" s="13"/>
      <c r="O140" s="13"/>
      <c r="P140" s="13"/>
      <c r="Q140" s="13"/>
      <c r="R140" s="13"/>
      <c r="S140" s="13"/>
      <c r="T140" s="13"/>
      <c r="U140" s="13"/>
    </row>
    <row r="141" spans="2:31" ht="20.100000000000001" customHeight="1" x14ac:dyDescent="0.25"/>
    <row r="142" spans="2:31" ht="20.100000000000001" customHeight="1" x14ac:dyDescent="0.25"/>
  </sheetData>
  <mergeCells count="151">
    <mergeCell ref="H137:I137"/>
    <mergeCell ref="B10:C10"/>
    <mergeCell ref="L10:L13"/>
    <mergeCell ref="B11:C11"/>
    <mergeCell ref="B12:C12"/>
    <mergeCell ref="B13:C13"/>
    <mergeCell ref="A1:N2"/>
    <mergeCell ref="B4:I4"/>
    <mergeCell ref="K4:M4"/>
    <mergeCell ref="B5:C5"/>
    <mergeCell ref="B6:C6"/>
    <mergeCell ref="L6:L9"/>
    <mergeCell ref="B7:C7"/>
    <mergeCell ref="B8:C8"/>
    <mergeCell ref="B9:C9"/>
    <mergeCell ref="K14:L14"/>
    <mergeCell ref="B15:H15"/>
    <mergeCell ref="B16:C16"/>
    <mergeCell ref="B17:C17"/>
    <mergeCell ref="C21:T21"/>
    <mergeCell ref="D23:D24"/>
    <mergeCell ref="E23:E24"/>
    <mergeCell ref="F23:F24"/>
    <mergeCell ref="G23:J23"/>
    <mergeCell ref="L23:S23"/>
    <mergeCell ref="B18:C18"/>
    <mergeCell ref="E38:N38"/>
    <mergeCell ref="F44:G44"/>
    <mergeCell ref="K28:K29"/>
    <mergeCell ref="L28:L29"/>
    <mergeCell ref="M28:M29"/>
    <mergeCell ref="I29:J29"/>
    <mergeCell ref="I24:J24"/>
    <mergeCell ref="N24:S24"/>
    <mergeCell ref="I25:J25"/>
    <mergeCell ref="E28:E29"/>
    <mergeCell ref="F28:F29"/>
    <mergeCell ref="G28:G29"/>
    <mergeCell ref="H28:H29"/>
    <mergeCell ref="I28:J28"/>
    <mergeCell ref="G30:G32"/>
    <mergeCell ref="H30:H32"/>
    <mergeCell ref="I30:J30"/>
    <mergeCell ref="I33:J33"/>
    <mergeCell ref="N25:S27"/>
    <mergeCell ref="N30:S32"/>
    <mergeCell ref="N33:S36"/>
    <mergeCell ref="N28:S28"/>
    <mergeCell ref="F71:G71"/>
    <mergeCell ref="D74:S74"/>
    <mergeCell ref="H75:I75"/>
    <mergeCell ref="H76:I76"/>
    <mergeCell ref="H77:I77"/>
    <mergeCell ref="H78:I78"/>
    <mergeCell ref="F45:G45"/>
    <mergeCell ref="E47:N47"/>
    <mergeCell ref="F53:G53"/>
    <mergeCell ref="E56:N56"/>
    <mergeCell ref="F62:G62"/>
    <mergeCell ref="E65:N65"/>
    <mergeCell ref="N89:S90"/>
    <mergeCell ref="I90:J90"/>
    <mergeCell ref="D89:D90"/>
    <mergeCell ref="E89:E90"/>
    <mergeCell ref="F89:F90"/>
    <mergeCell ref="G89:G90"/>
    <mergeCell ref="H89:H90"/>
    <mergeCell ref="I89:J89"/>
    <mergeCell ref="H79:I79"/>
    <mergeCell ref="H80:I80"/>
    <mergeCell ref="C85:T85"/>
    <mergeCell ref="D87:D88"/>
    <mergeCell ref="E87:E88"/>
    <mergeCell ref="F87:F88"/>
    <mergeCell ref="G87:J87"/>
    <mergeCell ref="L87:S87"/>
    <mergeCell ref="I88:J88"/>
    <mergeCell ref="N88:S88"/>
    <mergeCell ref="D91:D92"/>
    <mergeCell ref="E91:E92"/>
    <mergeCell ref="F91:F92"/>
    <mergeCell ref="G91:G92"/>
    <mergeCell ref="H91:H92"/>
    <mergeCell ref="I91:J91"/>
    <mergeCell ref="K89:K90"/>
    <mergeCell ref="L89:L90"/>
    <mergeCell ref="M89:M90"/>
    <mergeCell ref="I93:J93"/>
    <mergeCell ref="K91:K92"/>
    <mergeCell ref="L91:L92"/>
    <mergeCell ref="N93:S93"/>
    <mergeCell ref="K94:K95"/>
    <mergeCell ref="L94:L95"/>
    <mergeCell ref="M94:M95"/>
    <mergeCell ref="N94:S95"/>
    <mergeCell ref="I95:J95"/>
    <mergeCell ref="M91:M92"/>
    <mergeCell ref="N91:S92"/>
    <mergeCell ref="I92:J92"/>
    <mergeCell ref="D94:D95"/>
    <mergeCell ref="E94:E95"/>
    <mergeCell ref="F94:F95"/>
    <mergeCell ref="G94:G95"/>
    <mergeCell ref="H94:H95"/>
    <mergeCell ref="I94:J94"/>
    <mergeCell ref="E124:N124"/>
    <mergeCell ref="F130:G130"/>
    <mergeCell ref="D133:S133"/>
    <mergeCell ref="H134:I134"/>
    <mergeCell ref="H135:I135"/>
    <mergeCell ref="H136:I136"/>
    <mergeCell ref="E97:N97"/>
    <mergeCell ref="F103:G103"/>
    <mergeCell ref="E106:N106"/>
    <mergeCell ref="F112:G112"/>
    <mergeCell ref="E115:N115"/>
    <mergeCell ref="F121:G121"/>
    <mergeCell ref="Y136:Z136"/>
    <mergeCell ref="H138:I138"/>
    <mergeCell ref="H139:I139"/>
    <mergeCell ref="G25:G27"/>
    <mergeCell ref="F25:F27"/>
    <mergeCell ref="I31:J31"/>
    <mergeCell ref="I32:J32"/>
    <mergeCell ref="D33:D36"/>
    <mergeCell ref="E33:E36"/>
    <mergeCell ref="F33:F36"/>
    <mergeCell ref="G33:G36"/>
    <mergeCell ref="H33:H36"/>
    <mergeCell ref="I34:J34"/>
    <mergeCell ref="I35:J35"/>
    <mergeCell ref="I36:J36"/>
    <mergeCell ref="E25:E27"/>
    <mergeCell ref="D25:D27"/>
    <mergeCell ref="H25:H27"/>
    <mergeCell ref="I26:J26"/>
    <mergeCell ref="I27:J27"/>
    <mergeCell ref="F30:F32"/>
    <mergeCell ref="E30:E32"/>
    <mergeCell ref="D30:D32"/>
    <mergeCell ref="D28:D29"/>
    <mergeCell ref="N29:S29"/>
    <mergeCell ref="M25:M27"/>
    <mergeCell ref="M30:M32"/>
    <mergeCell ref="M33:M36"/>
    <mergeCell ref="K25:K27"/>
    <mergeCell ref="K30:K32"/>
    <mergeCell ref="K33:K36"/>
    <mergeCell ref="L33:L36"/>
    <mergeCell ref="L30:L32"/>
    <mergeCell ref="L25:L27"/>
  </mergeCells>
  <conditionalFormatting sqref="B6:C13 D137:E137">
    <cfRule type="expression" dxfId="833" priority="259">
      <formula>$I6="Nein"</formula>
    </cfRule>
    <cfRule type="expression" dxfId="832" priority="260">
      <formula>$I6="Ja"</formula>
    </cfRule>
  </conditionalFormatting>
  <conditionalFormatting sqref="D14:I14">
    <cfRule type="expression" dxfId="831" priority="257">
      <formula>$I14="Nein"</formula>
    </cfRule>
    <cfRule type="expression" dxfId="830" priority="258">
      <formula>$I14="Ja"</formula>
    </cfRule>
  </conditionalFormatting>
  <conditionalFormatting sqref="D80:E80">
    <cfRule type="expression" dxfId="829" priority="253">
      <formula>$I80="Nein"</formula>
    </cfRule>
    <cfRule type="expression" dxfId="828" priority="254">
      <formula>$I80="Ja"</formula>
    </cfRule>
  </conditionalFormatting>
  <conditionalFormatting sqref="D139:E139">
    <cfRule type="expression" dxfId="827" priority="251">
      <formula>$I139="Nein"</formula>
    </cfRule>
    <cfRule type="expression" dxfId="826" priority="252">
      <formula>$I139="Ja"</formula>
    </cfRule>
  </conditionalFormatting>
  <conditionalFormatting sqref="D7:I7">
    <cfRule type="expression" dxfId="825" priority="249">
      <formula>$I7="Nein"</formula>
    </cfRule>
    <cfRule type="expression" dxfId="824" priority="250">
      <formula>$I7="Ja"</formula>
    </cfRule>
  </conditionalFormatting>
  <conditionalFormatting sqref="D6:I6">
    <cfRule type="expression" dxfId="823" priority="245">
      <formula>$I6="Nein"</formula>
    </cfRule>
    <cfRule type="expression" dxfId="822" priority="246">
      <formula>$I6="Ja"</formula>
    </cfRule>
  </conditionalFormatting>
  <conditionalFormatting sqref="D8:I8">
    <cfRule type="expression" dxfId="821" priority="243">
      <formula>$I8="Nein"</formula>
    </cfRule>
    <cfRule type="expression" dxfId="820" priority="244">
      <formula>$I8="Ja"</formula>
    </cfRule>
  </conditionalFormatting>
  <conditionalFormatting sqref="I13">
    <cfRule type="expression" dxfId="819" priority="239">
      <formula>$I13="Nein"</formula>
    </cfRule>
    <cfRule type="expression" dxfId="818" priority="240">
      <formula>$I13="Ja"</formula>
    </cfRule>
  </conditionalFormatting>
  <conditionalFormatting sqref="D135:E135">
    <cfRule type="expression" dxfId="817" priority="155">
      <formula>$I135="Nein"</formula>
    </cfRule>
    <cfRule type="expression" dxfId="816" priority="156">
      <formula>$I135="Ja"</formula>
    </cfRule>
  </conditionalFormatting>
  <conditionalFormatting sqref="D8:I8">
    <cfRule type="expression" dxfId="815" priority="119">
      <formula>$I8="Nein"</formula>
    </cfRule>
    <cfRule type="expression" dxfId="814" priority="120">
      <formula>$I8="Ja"</formula>
    </cfRule>
  </conditionalFormatting>
  <conditionalFormatting sqref="D7:I7">
    <cfRule type="expression" dxfId="813" priority="117">
      <formula>$I7="Nein"</formula>
    </cfRule>
    <cfRule type="expression" dxfId="812" priority="118">
      <formula>$I7="Ja"</formula>
    </cfRule>
  </conditionalFormatting>
  <conditionalFormatting sqref="D9:I9">
    <cfRule type="expression" dxfId="811" priority="115">
      <formula>$I9="Nein"</formula>
    </cfRule>
    <cfRule type="expression" dxfId="810" priority="116">
      <formula>$I9="Ja"</formula>
    </cfRule>
  </conditionalFormatting>
  <conditionalFormatting sqref="D10:I10">
    <cfRule type="expression" dxfId="809" priority="113">
      <formula>$I10="Nein"</formula>
    </cfRule>
    <cfRule type="expression" dxfId="808" priority="114">
      <formula>$I10="Ja"</formula>
    </cfRule>
  </conditionalFormatting>
  <conditionalFormatting sqref="D12:I12">
    <cfRule type="expression" dxfId="807" priority="111">
      <formula>$I12="Nein"</formula>
    </cfRule>
    <cfRule type="expression" dxfId="806" priority="112">
      <formula>$I12="Ja"</formula>
    </cfRule>
  </conditionalFormatting>
  <conditionalFormatting sqref="D11:I11">
    <cfRule type="expression" dxfId="805" priority="109">
      <formula>$I11="Nein"</formula>
    </cfRule>
    <cfRule type="expression" dxfId="804" priority="110">
      <formula>$I11="Ja"</formula>
    </cfRule>
  </conditionalFormatting>
  <conditionalFormatting sqref="D13:H13">
    <cfRule type="expression" dxfId="803" priority="107">
      <formula>$I13="Nein"</formula>
    </cfRule>
    <cfRule type="expression" dxfId="802" priority="108">
      <formula>$I13="Ja"</formula>
    </cfRule>
  </conditionalFormatting>
  <conditionalFormatting sqref="E41:F41">
    <cfRule type="expression" dxfId="801" priority="105">
      <formula>$I41="Nein"</formula>
    </cfRule>
    <cfRule type="expression" dxfId="800" priority="106">
      <formula>$I41="Ja"</formula>
    </cfRule>
  </conditionalFormatting>
  <conditionalFormatting sqref="E40:F40">
    <cfRule type="expression" dxfId="799" priority="103">
      <formula>$I40="Nein"</formula>
    </cfRule>
    <cfRule type="expression" dxfId="798" priority="104">
      <formula>$I40="Ja"</formula>
    </cfRule>
  </conditionalFormatting>
  <conditionalFormatting sqref="E42:F42">
    <cfRule type="expression" dxfId="797" priority="101">
      <formula>$I42="Nein"</formula>
    </cfRule>
    <cfRule type="expression" dxfId="796" priority="102">
      <formula>$I42="Ja"</formula>
    </cfRule>
  </conditionalFormatting>
  <conditionalFormatting sqref="E42:F42">
    <cfRule type="expression" dxfId="795" priority="99">
      <formula>$I42="Nein"</formula>
    </cfRule>
    <cfRule type="expression" dxfId="794" priority="100">
      <formula>$I42="Ja"</formula>
    </cfRule>
  </conditionalFormatting>
  <conditionalFormatting sqref="E41:F41">
    <cfRule type="expression" dxfId="793" priority="97">
      <formula>$I41="Nein"</formula>
    </cfRule>
    <cfRule type="expression" dxfId="792" priority="98">
      <formula>$I41="Ja"</formula>
    </cfRule>
  </conditionalFormatting>
  <conditionalFormatting sqref="E43:F43">
    <cfRule type="expression" dxfId="791" priority="95">
      <formula>$I43="Nein"</formula>
    </cfRule>
    <cfRule type="expression" dxfId="790" priority="96">
      <formula>$I43="Ja"</formula>
    </cfRule>
  </conditionalFormatting>
  <conditionalFormatting sqref="E50:F50">
    <cfRule type="expression" dxfId="789" priority="93">
      <formula>$I50="Nein"</formula>
    </cfRule>
    <cfRule type="expression" dxfId="788" priority="94">
      <formula>$I50="Ja"</formula>
    </cfRule>
  </conditionalFormatting>
  <conditionalFormatting sqref="E49:F49">
    <cfRule type="expression" dxfId="787" priority="91">
      <formula>$I49="Nein"</formula>
    </cfRule>
    <cfRule type="expression" dxfId="786" priority="92">
      <formula>$I49="Ja"</formula>
    </cfRule>
  </conditionalFormatting>
  <conditionalFormatting sqref="E51:F51">
    <cfRule type="expression" dxfId="785" priority="89">
      <formula>$I51="Nein"</formula>
    </cfRule>
    <cfRule type="expression" dxfId="784" priority="90">
      <formula>$I51="Ja"</formula>
    </cfRule>
  </conditionalFormatting>
  <conditionalFormatting sqref="E51:F51">
    <cfRule type="expression" dxfId="783" priority="87">
      <formula>$I51="Nein"</formula>
    </cfRule>
    <cfRule type="expression" dxfId="782" priority="88">
      <formula>$I51="Ja"</formula>
    </cfRule>
  </conditionalFormatting>
  <conditionalFormatting sqref="E50:F50">
    <cfRule type="expression" dxfId="781" priority="85">
      <formula>$I50="Nein"</formula>
    </cfRule>
    <cfRule type="expression" dxfId="780" priority="86">
      <formula>$I50="Ja"</formula>
    </cfRule>
  </conditionalFormatting>
  <conditionalFormatting sqref="E52:F52">
    <cfRule type="expression" dxfId="779" priority="83">
      <formula>$I52="Nein"</formula>
    </cfRule>
    <cfRule type="expression" dxfId="778" priority="84">
      <formula>$I52="Ja"</formula>
    </cfRule>
  </conditionalFormatting>
  <conditionalFormatting sqref="E59:F59">
    <cfRule type="expression" dxfId="777" priority="81">
      <formula>$I59="Nein"</formula>
    </cfRule>
    <cfRule type="expression" dxfId="776" priority="82">
      <formula>$I59="Ja"</formula>
    </cfRule>
  </conditionalFormatting>
  <conditionalFormatting sqref="E58:F58">
    <cfRule type="expression" dxfId="775" priority="79">
      <formula>$I58="Nein"</formula>
    </cfRule>
    <cfRule type="expression" dxfId="774" priority="80">
      <formula>$I58="Ja"</formula>
    </cfRule>
  </conditionalFormatting>
  <conditionalFormatting sqref="E60:F60">
    <cfRule type="expression" dxfId="773" priority="77">
      <formula>$I60="Nein"</formula>
    </cfRule>
    <cfRule type="expression" dxfId="772" priority="78">
      <formula>$I60="Ja"</formula>
    </cfRule>
  </conditionalFormatting>
  <conditionalFormatting sqref="E60:F60">
    <cfRule type="expression" dxfId="771" priority="75">
      <formula>$I60="Nein"</formula>
    </cfRule>
    <cfRule type="expression" dxfId="770" priority="76">
      <formula>$I60="Ja"</formula>
    </cfRule>
  </conditionalFormatting>
  <conditionalFormatting sqref="E59:F59">
    <cfRule type="expression" dxfId="769" priority="73">
      <formula>$I59="Nein"</formula>
    </cfRule>
    <cfRule type="expression" dxfId="768" priority="74">
      <formula>$I59="Ja"</formula>
    </cfRule>
  </conditionalFormatting>
  <conditionalFormatting sqref="E61:F61">
    <cfRule type="expression" dxfId="767" priority="71">
      <formula>$I61="Nein"</formula>
    </cfRule>
    <cfRule type="expression" dxfId="766" priority="72">
      <formula>$I61="Ja"</formula>
    </cfRule>
  </conditionalFormatting>
  <conditionalFormatting sqref="E68:F68">
    <cfRule type="expression" dxfId="765" priority="69">
      <formula>$I68="Nein"</formula>
    </cfRule>
    <cfRule type="expression" dxfId="764" priority="70">
      <formula>$I68="Ja"</formula>
    </cfRule>
  </conditionalFormatting>
  <conditionalFormatting sqref="E67:F67">
    <cfRule type="expression" dxfId="763" priority="67">
      <formula>$I67="Nein"</formula>
    </cfRule>
    <cfRule type="expression" dxfId="762" priority="68">
      <formula>$I67="Ja"</formula>
    </cfRule>
  </conditionalFormatting>
  <conditionalFormatting sqref="E69:F69">
    <cfRule type="expression" dxfId="761" priority="65">
      <formula>$I69="Nein"</formula>
    </cfRule>
    <cfRule type="expression" dxfId="760" priority="66">
      <formula>$I69="Ja"</formula>
    </cfRule>
  </conditionalFormatting>
  <conditionalFormatting sqref="E69:F69">
    <cfRule type="expression" dxfId="759" priority="63">
      <formula>$I69="Nein"</formula>
    </cfRule>
    <cfRule type="expression" dxfId="758" priority="64">
      <formula>$I69="Ja"</formula>
    </cfRule>
  </conditionalFormatting>
  <conditionalFormatting sqref="E68:F68">
    <cfRule type="expression" dxfId="757" priority="61">
      <formula>$I68="Nein"</formula>
    </cfRule>
    <cfRule type="expression" dxfId="756" priority="62">
      <formula>$I68="Ja"</formula>
    </cfRule>
  </conditionalFormatting>
  <conditionalFormatting sqref="E70:F70">
    <cfRule type="expression" dxfId="755" priority="59">
      <formula>$I70="Nein"</formula>
    </cfRule>
    <cfRule type="expression" dxfId="754" priority="60">
      <formula>$I70="Ja"</formula>
    </cfRule>
  </conditionalFormatting>
  <conditionalFormatting sqref="D76:E76">
    <cfRule type="expression" dxfId="753" priority="57">
      <formula>$I76="Nein"</formula>
    </cfRule>
    <cfRule type="expression" dxfId="752" priority="58">
      <formula>$I76="Ja"</formula>
    </cfRule>
  </conditionalFormatting>
  <conditionalFormatting sqref="D76:E76">
    <cfRule type="expression" dxfId="751" priority="55">
      <formula>$I76="Nein"</formula>
    </cfRule>
    <cfRule type="expression" dxfId="750" priority="56">
      <formula>$I76="Ja"</formula>
    </cfRule>
  </conditionalFormatting>
  <conditionalFormatting sqref="D77:E77">
    <cfRule type="expression" dxfId="749" priority="53">
      <formula>$I77="Nein"</formula>
    </cfRule>
    <cfRule type="expression" dxfId="748" priority="54">
      <formula>$I77="Ja"</formula>
    </cfRule>
  </conditionalFormatting>
  <conditionalFormatting sqref="D78:E78">
    <cfRule type="expression" dxfId="747" priority="51">
      <formula>$I78="Nein"</formula>
    </cfRule>
    <cfRule type="expression" dxfId="746" priority="52">
      <formula>$I78="Ja"</formula>
    </cfRule>
  </conditionalFormatting>
  <conditionalFormatting sqref="D78:E78">
    <cfRule type="expression" dxfId="745" priority="49">
      <formula>$I78="Nein"</formula>
    </cfRule>
    <cfRule type="expression" dxfId="744" priority="50">
      <formula>$I78="Ja"</formula>
    </cfRule>
  </conditionalFormatting>
  <conditionalFormatting sqref="D79:E79">
    <cfRule type="expression" dxfId="743" priority="47">
      <formula>$I79="Nein"</formula>
    </cfRule>
    <cfRule type="expression" dxfId="742" priority="48">
      <formula>$I79="Ja"</formula>
    </cfRule>
  </conditionalFormatting>
  <conditionalFormatting sqref="E99:F99">
    <cfRule type="expression" dxfId="741" priority="45">
      <formula>$I99="Nein"</formula>
    </cfRule>
    <cfRule type="expression" dxfId="740" priority="46">
      <formula>$I99="Ja"</formula>
    </cfRule>
  </conditionalFormatting>
  <conditionalFormatting sqref="E101:F101">
    <cfRule type="expression" dxfId="739" priority="43">
      <formula>$I101="Nein"</formula>
    </cfRule>
    <cfRule type="expression" dxfId="738" priority="44">
      <formula>$I101="Ja"</formula>
    </cfRule>
  </conditionalFormatting>
  <conditionalFormatting sqref="E100:F100">
    <cfRule type="expression" dxfId="737" priority="41">
      <formula>$I100="Nein"</formula>
    </cfRule>
    <cfRule type="expression" dxfId="736" priority="42">
      <formula>$I100="Ja"</formula>
    </cfRule>
  </conditionalFormatting>
  <conditionalFormatting sqref="E102:F102">
    <cfRule type="expression" dxfId="735" priority="39">
      <formula>$I102="Nein"</formula>
    </cfRule>
    <cfRule type="expression" dxfId="734" priority="40">
      <formula>$I102="Ja"</formula>
    </cfRule>
  </conditionalFormatting>
  <conditionalFormatting sqref="E108:F108">
    <cfRule type="expression" dxfId="733" priority="37">
      <formula>$I108="Nein"</formula>
    </cfRule>
    <cfRule type="expression" dxfId="732" priority="38">
      <formula>$I108="Ja"</formula>
    </cfRule>
  </conditionalFormatting>
  <conditionalFormatting sqref="E110:F110">
    <cfRule type="expression" dxfId="731" priority="35">
      <formula>$I110="Nein"</formula>
    </cfRule>
    <cfRule type="expression" dxfId="730" priority="36">
      <formula>$I110="Ja"</formula>
    </cfRule>
  </conditionalFormatting>
  <conditionalFormatting sqref="E109:F109">
    <cfRule type="expression" dxfId="729" priority="33">
      <formula>$I109="Nein"</formula>
    </cfRule>
    <cfRule type="expression" dxfId="728" priority="34">
      <formula>$I109="Ja"</formula>
    </cfRule>
  </conditionalFormatting>
  <conditionalFormatting sqref="E111:F111">
    <cfRule type="expression" dxfId="727" priority="31">
      <formula>$I111="Nein"</formula>
    </cfRule>
    <cfRule type="expression" dxfId="726" priority="32">
      <formula>$I111="Ja"</formula>
    </cfRule>
  </conditionalFormatting>
  <conditionalFormatting sqref="E117:F117">
    <cfRule type="expression" dxfId="725" priority="29">
      <formula>$I117="Nein"</formula>
    </cfRule>
    <cfRule type="expression" dxfId="724" priority="30">
      <formula>$I117="Ja"</formula>
    </cfRule>
  </conditionalFormatting>
  <conditionalFormatting sqref="E119:F119">
    <cfRule type="expression" dxfId="723" priority="27">
      <formula>$I119="Nein"</formula>
    </cfRule>
    <cfRule type="expression" dxfId="722" priority="28">
      <formula>$I119="Ja"</formula>
    </cfRule>
  </conditionalFormatting>
  <conditionalFormatting sqref="E118:F118">
    <cfRule type="expression" dxfId="721" priority="25">
      <formula>$I118="Nein"</formula>
    </cfRule>
    <cfRule type="expression" dxfId="720" priority="26">
      <formula>$I118="Ja"</formula>
    </cfRule>
  </conditionalFormatting>
  <conditionalFormatting sqref="E120:F120">
    <cfRule type="expression" dxfId="719" priority="23">
      <formula>$I120="Nein"</formula>
    </cfRule>
    <cfRule type="expression" dxfId="718" priority="24">
      <formula>$I120="Ja"</formula>
    </cfRule>
  </conditionalFormatting>
  <conditionalFormatting sqref="E126:F126">
    <cfRule type="expression" dxfId="717" priority="21">
      <formula>$I126="Nein"</formula>
    </cfRule>
    <cfRule type="expression" dxfId="716" priority="22">
      <formula>$I126="Ja"</formula>
    </cfRule>
  </conditionalFormatting>
  <conditionalFormatting sqref="E128:F128">
    <cfRule type="expression" dxfId="715" priority="19">
      <formula>$I128="Nein"</formula>
    </cfRule>
    <cfRule type="expression" dxfId="714" priority="20">
      <formula>$I128="Ja"</formula>
    </cfRule>
  </conditionalFormatting>
  <conditionalFormatting sqref="E127:F127">
    <cfRule type="expression" dxfId="713" priority="17">
      <formula>$I127="Nein"</formula>
    </cfRule>
    <cfRule type="expression" dxfId="712" priority="18">
      <formula>$I127="Ja"</formula>
    </cfRule>
  </conditionalFormatting>
  <conditionalFormatting sqref="E129:F129">
    <cfRule type="expression" dxfId="711" priority="15">
      <formula>$I129="Nein"</formula>
    </cfRule>
    <cfRule type="expression" dxfId="710" priority="16">
      <formula>$I129="Ja"</formula>
    </cfRule>
  </conditionalFormatting>
  <conditionalFormatting sqref="D17:H17">
    <cfRule type="expression" dxfId="709" priority="13">
      <formula>$I17="Nein"</formula>
    </cfRule>
    <cfRule type="expression" dxfId="708" priority="14">
      <formula>$I17="Ja"</formula>
    </cfRule>
  </conditionalFormatting>
  <conditionalFormatting sqref="D18:H18">
    <cfRule type="expression" dxfId="707" priority="11">
      <formula>$I18="Nein"</formula>
    </cfRule>
    <cfRule type="expression" dxfId="706" priority="12">
      <formula>$I18="Ja"</formula>
    </cfRule>
  </conditionalFormatting>
  <conditionalFormatting sqref="D136:E136">
    <cfRule type="expression" dxfId="705" priority="9">
      <formula>$I136="Nein"</formula>
    </cfRule>
    <cfRule type="expression" dxfId="704" priority="10">
      <formula>$I136="Ja"</formula>
    </cfRule>
  </conditionalFormatting>
  <conditionalFormatting sqref="D138:E138">
    <cfRule type="expression" dxfId="703" priority="1">
      <formula>$I138="Nein"</formula>
    </cfRule>
    <cfRule type="expression" dxfId="702" priority="2">
      <formula>$I138="Ja"</formula>
    </cfRule>
  </conditionalFormatting>
  <dataValidations count="1">
    <dataValidation type="list" allowBlank="1" showInputMessage="1" showErrorMessage="1" sqref="O17:O18 I6:I14" xr:uid="{D93976EA-944A-411C-A311-3EE47A51DA24}">
      <formula1>"Ja,Nein"</formula1>
    </dataValidation>
  </dataValidations>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B9133E-5E74-4F53-8D54-A96457D636BC}">
  <dimension ref="A1:AE192"/>
  <sheetViews>
    <sheetView showGridLines="0" topLeftCell="A66" workbookViewId="0">
      <selection activeCell="I28" sqref="I28:J28"/>
    </sheetView>
  </sheetViews>
  <sheetFormatPr baseColWidth="10" defaultColWidth="11.42578125" defaultRowHeight="15" outlineLevelRow="1" outlineLevelCol="1" x14ac:dyDescent="0.25"/>
  <cols>
    <col min="1" max="3" width="3.7109375" style="2" customWidth="1"/>
    <col min="4" max="14" width="20.7109375" style="2" customWidth="1"/>
    <col min="15" max="18" width="20.7109375" style="2" hidden="1" customWidth="1" outlineLevel="1"/>
    <col min="19" max="19" width="20.7109375" style="2" customWidth="1" collapsed="1"/>
    <col min="20" max="21" width="3.7109375" style="2" customWidth="1"/>
    <col min="22" max="22" width="15.85546875" style="2" customWidth="1"/>
    <col min="23" max="24" width="20.7109375" style="2" customWidth="1"/>
    <col min="25" max="16384" width="11.42578125" style="2"/>
  </cols>
  <sheetData>
    <row r="1" spans="1:23" x14ac:dyDescent="0.25">
      <c r="A1" s="573" t="s">
        <v>412</v>
      </c>
      <c r="B1" s="573"/>
      <c r="C1" s="573"/>
      <c r="D1" s="573"/>
      <c r="E1" s="573"/>
      <c r="F1" s="573"/>
      <c r="G1" s="573"/>
      <c r="H1" s="573"/>
      <c r="I1" s="573"/>
      <c r="J1" s="573"/>
      <c r="K1" s="573"/>
      <c r="L1" s="573"/>
      <c r="M1" s="573"/>
      <c r="N1" s="573"/>
    </row>
    <row r="2" spans="1:23" x14ac:dyDescent="0.25">
      <c r="A2" s="573"/>
      <c r="B2" s="573"/>
      <c r="C2" s="573"/>
      <c r="D2" s="573"/>
      <c r="E2" s="573"/>
      <c r="F2" s="573"/>
      <c r="G2" s="573"/>
      <c r="H2" s="573"/>
      <c r="I2" s="573"/>
      <c r="J2" s="573"/>
      <c r="K2" s="573"/>
      <c r="L2" s="573"/>
      <c r="M2" s="573"/>
      <c r="N2" s="573"/>
    </row>
    <row r="3" spans="1:23" ht="20.100000000000001" customHeight="1" thickBot="1" x14ac:dyDescent="0.3"/>
    <row r="4" spans="1:23" ht="15.75" thickBot="1" x14ac:dyDescent="0.3">
      <c r="B4" s="614" t="s">
        <v>413</v>
      </c>
      <c r="C4" s="615"/>
      <c r="D4" s="615"/>
      <c r="E4" s="615"/>
      <c r="F4" s="615"/>
      <c r="G4" s="615"/>
      <c r="H4" s="615"/>
      <c r="I4" s="616"/>
      <c r="K4" s="614" t="s">
        <v>40</v>
      </c>
      <c r="L4" s="615"/>
      <c r="M4" s="616"/>
      <c r="P4" s="53"/>
      <c r="Q4" s="53"/>
      <c r="R4" s="53"/>
      <c r="S4" s="4"/>
      <c r="T4" s="53"/>
      <c r="U4" s="53"/>
      <c r="V4" s="53"/>
      <c r="W4" s="53"/>
    </row>
    <row r="5" spans="1:23" ht="50.1" customHeight="1" thickBot="1" x14ac:dyDescent="0.3">
      <c r="B5" s="586" t="s">
        <v>415</v>
      </c>
      <c r="C5" s="587"/>
      <c r="D5" s="296" t="s">
        <v>21</v>
      </c>
      <c r="E5" s="227" t="s">
        <v>57</v>
      </c>
      <c r="F5" s="227" t="s">
        <v>61</v>
      </c>
      <c r="G5" s="228" t="s">
        <v>62</v>
      </c>
      <c r="H5" s="228" t="s">
        <v>97</v>
      </c>
      <c r="I5" s="227" t="s">
        <v>414</v>
      </c>
      <c r="K5" s="12" t="s">
        <v>21</v>
      </c>
      <c r="L5" s="80" t="s">
        <v>41</v>
      </c>
      <c r="M5" s="19" t="s">
        <v>22</v>
      </c>
      <c r="P5" s="4"/>
      <c r="R5" s="53"/>
      <c r="S5" s="53"/>
      <c r="T5" s="53"/>
      <c r="U5" s="4"/>
      <c r="V5" s="4"/>
    </row>
    <row r="6" spans="1:23" ht="20.100000000000001" customHeight="1" x14ac:dyDescent="0.25">
      <c r="B6" s="576">
        <v>1</v>
      </c>
      <c r="C6" s="577"/>
      <c r="D6" s="254" t="s">
        <v>114</v>
      </c>
      <c r="E6" s="254" t="s">
        <v>102</v>
      </c>
      <c r="F6" s="254" t="s">
        <v>102</v>
      </c>
      <c r="G6" s="254" t="s">
        <v>102</v>
      </c>
      <c r="H6" s="254" t="s">
        <v>102</v>
      </c>
      <c r="I6" s="291" t="s">
        <v>179</v>
      </c>
      <c r="K6" s="24" t="str">
        <f>D6</f>
        <v>Jonas Röhrig</v>
      </c>
      <c r="L6" s="578">
        <v>1</v>
      </c>
      <c r="M6" s="113">
        <v>1</v>
      </c>
      <c r="P6" s="6"/>
      <c r="U6" s="6"/>
      <c r="V6" s="6"/>
    </row>
    <row r="7" spans="1:23" ht="20.100000000000001" customHeight="1" x14ac:dyDescent="0.25">
      <c r="B7" s="581">
        <v>2</v>
      </c>
      <c r="C7" s="582"/>
      <c r="D7" s="246" t="s">
        <v>127</v>
      </c>
      <c r="E7" s="246" t="s">
        <v>60</v>
      </c>
      <c r="F7" s="246" t="s">
        <v>7</v>
      </c>
      <c r="G7" s="246" t="s">
        <v>7</v>
      </c>
      <c r="H7" s="246" t="s">
        <v>7</v>
      </c>
      <c r="I7" s="292" t="s">
        <v>179</v>
      </c>
      <c r="K7" s="3" t="str">
        <f t="shared" ref="K7:K15" si="0">D7</f>
        <v>Judith Fulterer</v>
      </c>
      <c r="L7" s="579"/>
      <c r="M7" s="116">
        <v>2</v>
      </c>
      <c r="P7" s="6"/>
      <c r="U7" s="6"/>
      <c r="V7" s="6"/>
    </row>
    <row r="8" spans="1:23" ht="20.100000000000001" customHeight="1" x14ac:dyDescent="0.25">
      <c r="B8" s="581">
        <v>3</v>
      </c>
      <c r="C8" s="582"/>
      <c r="D8" s="246" t="s">
        <v>0</v>
      </c>
      <c r="E8" s="246" t="s">
        <v>5</v>
      </c>
      <c r="F8" s="246" t="s">
        <v>5</v>
      </c>
      <c r="G8" s="246" t="s">
        <v>5</v>
      </c>
      <c r="H8" s="246" t="s">
        <v>5</v>
      </c>
      <c r="I8" s="292" t="s">
        <v>179</v>
      </c>
      <c r="K8" s="3" t="str">
        <f t="shared" si="0"/>
        <v>Devid Fulterer</v>
      </c>
      <c r="L8" s="579"/>
      <c r="M8" s="116">
        <v>3</v>
      </c>
      <c r="P8" s="6"/>
      <c r="U8" s="6"/>
      <c r="V8" s="6"/>
    </row>
    <row r="9" spans="1:23" ht="20.100000000000001" customHeight="1" thickBot="1" x14ac:dyDescent="0.3">
      <c r="B9" s="581">
        <v>4</v>
      </c>
      <c r="C9" s="582"/>
      <c r="D9" s="249" t="s">
        <v>123</v>
      </c>
      <c r="E9" s="248" t="s">
        <v>124</v>
      </c>
      <c r="F9" s="140" t="s">
        <v>59</v>
      </c>
      <c r="G9" s="248" t="s">
        <v>59</v>
      </c>
      <c r="H9" s="248" t="s">
        <v>59</v>
      </c>
      <c r="I9" s="292" t="s">
        <v>179</v>
      </c>
      <c r="K9" s="45" t="str">
        <f t="shared" si="0"/>
        <v>Marc Lambrecht</v>
      </c>
      <c r="L9" s="580"/>
      <c r="M9" s="46">
        <v>4</v>
      </c>
      <c r="P9" s="6"/>
      <c r="U9" s="6"/>
      <c r="V9" s="6"/>
    </row>
    <row r="10" spans="1:23" ht="20.100000000000001" customHeight="1" x14ac:dyDescent="0.25">
      <c r="B10" s="581">
        <v>5</v>
      </c>
      <c r="C10" s="582"/>
      <c r="D10" s="247" t="s">
        <v>125</v>
      </c>
      <c r="E10" s="247" t="s">
        <v>126</v>
      </c>
      <c r="F10" s="148" t="s">
        <v>59</v>
      </c>
      <c r="G10" s="246" t="s">
        <v>59</v>
      </c>
      <c r="H10" s="246" t="s">
        <v>59</v>
      </c>
      <c r="I10" s="292" t="s">
        <v>179</v>
      </c>
      <c r="K10" s="24" t="str">
        <f>D10</f>
        <v>Bea Kittner</v>
      </c>
      <c r="L10" s="578">
        <v>2</v>
      </c>
      <c r="M10" s="113">
        <v>1</v>
      </c>
      <c r="P10" s="6"/>
      <c r="U10" s="6"/>
      <c r="V10" s="6"/>
    </row>
    <row r="11" spans="1:23" ht="20.100000000000001" customHeight="1" x14ac:dyDescent="0.25">
      <c r="B11" s="581">
        <v>6</v>
      </c>
      <c r="C11" s="582"/>
      <c r="D11" s="247" t="s">
        <v>47</v>
      </c>
      <c r="E11" s="247" t="s">
        <v>64</v>
      </c>
      <c r="F11" s="148" t="s">
        <v>64</v>
      </c>
      <c r="G11" s="246" t="s">
        <v>64</v>
      </c>
      <c r="H11" s="246" t="s">
        <v>64</v>
      </c>
      <c r="I11" s="292" t="s">
        <v>179</v>
      </c>
      <c r="K11" s="3" t="str">
        <f t="shared" si="0"/>
        <v>Kai Maibaum</v>
      </c>
      <c r="L11" s="579"/>
      <c r="M11" s="116">
        <v>2</v>
      </c>
      <c r="P11" s="6"/>
      <c r="U11" s="6"/>
      <c r="V11" s="6"/>
    </row>
    <row r="12" spans="1:23" ht="20.100000000000001" customHeight="1" x14ac:dyDescent="0.25">
      <c r="B12" s="581">
        <v>7</v>
      </c>
      <c r="C12" s="582"/>
      <c r="D12" s="247" t="s">
        <v>2</v>
      </c>
      <c r="E12" s="247" t="s">
        <v>8</v>
      </c>
      <c r="F12" s="148" t="s">
        <v>8</v>
      </c>
      <c r="G12" s="246" t="s">
        <v>8</v>
      </c>
      <c r="H12" s="246" t="s">
        <v>8</v>
      </c>
      <c r="I12" s="292" t="s">
        <v>179</v>
      </c>
      <c r="K12" s="3" t="str">
        <f t="shared" si="0"/>
        <v>Markus Hagenauer</v>
      </c>
      <c r="L12" s="579"/>
      <c r="M12" s="116">
        <v>3</v>
      </c>
      <c r="P12" s="6"/>
      <c r="U12" s="6"/>
      <c r="V12" s="6"/>
    </row>
    <row r="13" spans="1:23" ht="20.100000000000001" customHeight="1" thickBot="1" x14ac:dyDescent="0.3">
      <c r="B13" s="581">
        <v>8</v>
      </c>
      <c r="C13" s="582"/>
      <c r="D13" s="249" t="s">
        <v>128</v>
      </c>
      <c r="E13" s="247" t="s">
        <v>129</v>
      </c>
      <c r="F13" s="148" t="s">
        <v>129</v>
      </c>
      <c r="G13" s="246" t="s">
        <v>129</v>
      </c>
      <c r="H13" s="248" t="s">
        <v>129</v>
      </c>
      <c r="I13" s="257" t="s">
        <v>39</v>
      </c>
      <c r="K13" s="361" t="str">
        <f t="shared" si="0"/>
        <v>Fabian Spaniol</v>
      </c>
      <c r="L13" s="580"/>
      <c r="M13" s="118">
        <v>4</v>
      </c>
      <c r="P13" s="6"/>
      <c r="U13" s="6"/>
      <c r="V13" s="6"/>
    </row>
    <row r="14" spans="1:23" ht="20.100000000000001" customHeight="1" x14ac:dyDescent="0.25">
      <c r="B14" s="581">
        <v>9</v>
      </c>
      <c r="C14" s="582"/>
      <c r="D14" s="246" t="s">
        <v>90</v>
      </c>
      <c r="E14" s="247" t="s">
        <v>92</v>
      </c>
      <c r="F14" s="148" t="s">
        <v>91</v>
      </c>
      <c r="G14" s="246" t="s">
        <v>91</v>
      </c>
      <c r="H14" s="246" t="s">
        <v>92</v>
      </c>
      <c r="I14" s="292" t="s">
        <v>39</v>
      </c>
      <c r="K14" s="434" t="str">
        <f t="shared" si="0"/>
        <v>Lisa Schätzle</v>
      </c>
      <c r="L14" s="914">
        <v>3</v>
      </c>
      <c r="M14" s="113">
        <v>1</v>
      </c>
      <c r="P14" s="6"/>
      <c r="U14" s="6"/>
      <c r="V14" s="6"/>
    </row>
    <row r="15" spans="1:23" ht="20.100000000000001" customHeight="1" thickBot="1" x14ac:dyDescent="0.3">
      <c r="B15" s="617">
        <v>10</v>
      </c>
      <c r="C15" s="618"/>
      <c r="D15" s="256" t="s">
        <v>46</v>
      </c>
      <c r="E15" s="256" t="s">
        <v>6</v>
      </c>
      <c r="F15" s="256" t="s">
        <v>6</v>
      </c>
      <c r="G15" s="256" t="s">
        <v>6</v>
      </c>
      <c r="H15" s="256" t="s">
        <v>6</v>
      </c>
      <c r="I15" s="353" t="s">
        <v>179</v>
      </c>
      <c r="K15" s="361" t="str">
        <f t="shared" si="0"/>
        <v>Jérôme Schätzle</v>
      </c>
      <c r="L15" s="915"/>
      <c r="M15" s="118">
        <v>2</v>
      </c>
      <c r="P15" s="6"/>
      <c r="U15" s="6"/>
      <c r="V15" s="6"/>
    </row>
    <row r="16" spans="1:23" ht="20.100000000000001" customHeight="1" thickBot="1" x14ac:dyDescent="0.3">
      <c r="D16" s="294"/>
      <c r="E16" s="294"/>
      <c r="F16" s="295"/>
      <c r="G16" s="28"/>
      <c r="H16" s="28"/>
      <c r="I16" s="294"/>
      <c r="K16" s="584" t="s">
        <v>416</v>
      </c>
      <c r="L16" s="585"/>
      <c r="M16" s="121">
        <f>ROWS(M6:M15)</f>
        <v>10</v>
      </c>
      <c r="O16" s="53"/>
      <c r="P16" s="53"/>
      <c r="R16" s="53"/>
      <c r="S16" s="53"/>
      <c r="T16" s="53"/>
      <c r="U16" s="53"/>
    </row>
    <row r="17" spans="2:23" ht="15.75" thickBot="1" x14ac:dyDescent="0.3">
      <c r="B17" s="614" t="s">
        <v>411</v>
      </c>
      <c r="C17" s="615"/>
      <c r="D17" s="615"/>
      <c r="E17" s="615"/>
      <c r="F17" s="615"/>
      <c r="G17" s="615"/>
      <c r="H17" s="616"/>
      <c r="L17" s="128"/>
      <c r="M17" s="128"/>
      <c r="N17" s="128"/>
      <c r="O17" s="4"/>
      <c r="P17" s="53"/>
      <c r="Q17" s="53"/>
      <c r="S17" s="53"/>
      <c r="T17" s="53"/>
      <c r="U17" s="53"/>
      <c r="V17" s="53"/>
    </row>
    <row r="18" spans="2:23" ht="30.75" thickBot="1" x14ac:dyDescent="0.3">
      <c r="B18" s="586" t="s">
        <v>58</v>
      </c>
      <c r="C18" s="587"/>
      <c r="D18" s="139" t="s">
        <v>21</v>
      </c>
      <c r="E18" s="227" t="s">
        <v>57</v>
      </c>
      <c r="F18" s="227" t="s">
        <v>61</v>
      </c>
      <c r="G18" s="228" t="s">
        <v>62</v>
      </c>
      <c r="H18" s="228" t="s">
        <v>97</v>
      </c>
      <c r="L18" s="128"/>
      <c r="M18" s="128"/>
      <c r="N18" s="128"/>
      <c r="O18" s="4"/>
      <c r="P18" s="53"/>
      <c r="Q18" s="53"/>
      <c r="S18" s="53"/>
      <c r="T18" s="53"/>
      <c r="U18" s="53"/>
      <c r="V18" s="53"/>
    </row>
    <row r="19" spans="2:23" ht="20.100000000000001" customHeight="1" x14ac:dyDescent="0.25">
      <c r="B19" s="891">
        <v>1</v>
      </c>
      <c r="C19" s="892"/>
      <c r="D19" s="254" t="s">
        <v>4</v>
      </c>
      <c r="E19" s="254" t="s">
        <v>9</v>
      </c>
      <c r="F19" s="254" t="s">
        <v>9</v>
      </c>
      <c r="G19" s="254" t="s">
        <v>9</v>
      </c>
      <c r="H19" s="419" t="s">
        <v>9</v>
      </c>
      <c r="O19" s="257" t="s">
        <v>39</v>
      </c>
      <c r="P19" s="53"/>
      <c r="Q19" s="53"/>
      <c r="S19" s="53"/>
      <c r="T19" s="53"/>
      <c r="U19" s="53"/>
      <c r="V19" s="53"/>
    </row>
    <row r="20" spans="2:23" ht="20.100000000000001" customHeight="1" thickBot="1" x14ac:dyDescent="0.3">
      <c r="B20" s="916">
        <v>2</v>
      </c>
      <c r="C20" s="917"/>
      <c r="D20" s="255" t="s">
        <v>458</v>
      </c>
      <c r="E20" s="256" t="s">
        <v>11</v>
      </c>
      <c r="F20" s="332" t="s">
        <v>11</v>
      </c>
      <c r="G20" s="256" t="s">
        <v>11</v>
      </c>
      <c r="H20" s="420" t="s">
        <v>11</v>
      </c>
      <c r="O20" s="418"/>
      <c r="P20" s="53"/>
      <c r="Q20" s="53"/>
      <c r="S20" s="53"/>
      <c r="T20" s="53"/>
      <c r="U20" s="53"/>
      <c r="V20" s="53"/>
    </row>
    <row r="21" spans="2:23" ht="20.100000000000001" customHeight="1" x14ac:dyDescent="0.25">
      <c r="M21" s="128"/>
      <c r="N21" s="128"/>
      <c r="O21" s="128"/>
      <c r="P21" s="4"/>
      <c r="Q21" s="53"/>
      <c r="R21" s="53"/>
      <c r="T21" s="53"/>
      <c r="U21" s="53"/>
      <c r="V21" s="53"/>
      <c r="W21" s="53"/>
    </row>
    <row r="22" spans="2:23" ht="20.100000000000001" customHeight="1" x14ac:dyDescent="0.25">
      <c r="B22" s="13"/>
      <c r="C22" s="13"/>
      <c r="D22" s="25"/>
      <c r="E22" s="25"/>
      <c r="F22" s="25"/>
      <c r="G22" s="25"/>
      <c r="H22" s="13"/>
      <c r="I22" s="13"/>
      <c r="J22" s="13"/>
      <c r="K22" s="13"/>
      <c r="L22" s="13"/>
      <c r="M22" s="13"/>
      <c r="N22" s="13"/>
      <c r="O22" s="13"/>
      <c r="P22" s="13"/>
      <c r="Q22" s="13"/>
      <c r="R22" s="13"/>
      <c r="S22" s="13"/>
      <c r="T22" s="13"/>
      <c r="U22" s="13"/>
    </row>
    <row r="23" spans="2:23" ht="30" customHeight="1" x14ac:dyDescent="0.25">
      <c r="B23" s="13"/>
      <c r="C23" s="555" t="s">
        <v>73</v>
      </c>
      <c r="D23" s="555"/>
      <c r="E23" s="555"/>
      <c r="F23" s="555"/>
      <c r="G23" s="555"/>
      <c r="H23" s="555"/>
      <c r="I23" s="555"/>
      <c r="J23" s="555"/>
      <c r="K23" s="555"/>
      <c r="L23" s="555"/>
      <c r="M23" s="555"/>
      <c r="N23" s="555"/>
      <c r="O23" s="555"/>
      <c r="P23" s="555"/>
      <c r="Q23" s="555"/>
      <c r="R23" s="555"/>
      <c r="S23" s="555"/>
      <c r="T23" s="555"/>
      <c r="U23" s="13"/>
    </row>
    <row r="24" spans="2:23" ht="20.100000000000001" customHeight="1" thickBot="1" x14ac:dyDescent="0.3">
      <c r="B24" s="13"/>
      <c r="U24" s="13"/>
    </row>
    <row r="25" spans="2:23" ht="20.100000000000001" customHeight="1" thickBot="1" x14ac:dyDescent="0.3">
      <c r="B25" s="13"/>
      <c r="D25" s="556" t="s">
        <v>10</v>
      </c>
      <c r="E25" s="558" t="s">
        <v>139</v>
      </c>
      <c r="F25" s="560" t="s">
        <v>22</v>
      </c>
      <c r="G25" s="595" t="s">
        <v>42</v>
      </c>
      <c r="H25" s="596"/>
      <c r="I25" s="596"/>
      <c r="J25" s="597"/>
      <c r="K25" s="200" t="s">
        <v>36</v>
      </c>
      <c r="L25" s="563" t="s">
        <v>27</v>
      </c>
      <c r="M25" s="561"/>
      <c r="N25" s="561"/>
      <c r="O25" s="561"/>
      <c r="P25" s="561"/>
      <c r="Q25" s="561"/>
      <c r="R25" s="561"/>
      <c r="S25" s="562"/>
      <c r="U25" s="13"/>
    </row>
    <row r="26" spans="2:23" ht="20.100000000000001" customHeight="1" thickBot="1" x14ac:dyDescent="0.3">
      <c r="B26" s="13"/>
      <c r="D26" s="557"/>
      <c r="E26" s="559"/>
      <c r="F26" s="559"/>
      <c r="G26" s="302" t="s">
        <v>43</v>
      </c>
      <c r="H26" s="302" t="s">
        <v>24</v>
      </c>
      <c r="I26" s="565" t="s">
        <v>23</v>
      </c>
      <c r="J26" s="567"/>
      <c r="K26" s="85" t="s">
        <v>25</v>
      </c>
      <c r="L26" s="85" t="s">
        <v>43</v>
      </c>
      <c r="M26" s="86" t="s">
        <v>26</v>
      </c>
      <c r="N26" s="556" t="s">
        <v>23</v>
      </c>
      <c r="O26" s="588"/>
      <c r="P26" s="588"/>
      <c r="Q26" s="588"/>
      <c r="R26" s="588"/>
      <c r="S26" s="564"/>
      <c r="U26" s="13"/>
    </row>
    <row r="27" spans="2:23" ht="15" customHeight="1" x14ac:dyDescent="0.25">
      <c r="B27" s="13"/>
      <c r="D27" s="879" t="s">
        <v>114</v>
      </c>
      <c r="E27" s="878" t="s">
        <v>102</v>
      </c>
      <c r="F27" s="874">
        <v>1</v>
      </c>
      <c r="G27" s="736" t="s">
        <v>112</v>
      </c>
      <c r="H27" s="901" t="s">
        <v>267</v>
      </c>
      <c r="I27" s="639" t="s">
        <v>268</v>
      </c>
      <c r="J27" s="640"/>
      <c r="K27" s="902" t="s">
        <v>143</v>
      </c>
      <c r="L27" s="650" t="s">
        <v>44</v>
      </c>
      <c r="M27" s="653" t="s">
        <v>116</v>
      </c>
      <c r="N27" s="903" t="s">
        <v>417</v>
      </c>
      <c r="O27" s="904"/>
      <c r="P27" s="904"/>
      <c r="Q27" s="904"/>
      <c r="R27" s="904"/>
      <c r="S27" s="905"/>
      <c r="U27" s="13"/>
    </row>
    <row r="28" spans="2:23" ht="15" customHeight="1" x14ac:dyDescent="0.25">
      <c r="B28" s="13"/>
      <c r="D28" s="789"/>
      <c r="E28" s="791"/>
      <c r="F28" s="846"/>
      <c r="G28" s="785"/>
      <c r="H28" s="881"/>
      <c r="I28" s="737" t="s">
        <v>269</v>
      </c>
      <c r="J28" s="753"/>
      <c r="K28" s="691"/>
      <c r="L28" s="651"/>
      <c r="M28" s="654"/>
      <c r="N28" s="901" t="s">
        <v>418</v>
      </c>
      <c r="O28" s="906"/>
      <c r="P28" s="906"/>
      <c r="Q28" s="906"/>
      <c r="R28" s="906"/>
      <c r="S28" s="907"/>
      <c r="U28" s="13"/>
    </row>
    <row r="29" spans="2:23" ht="20.100000000000001" customHeight="1" x14ac:dyDescent="0.25">
      <c r="B29" s="13"/>
      <c r="D29" s="303" t="s">
        <v>127</v>
      </c>
      <c r="E29" s="293" t="s">
        <v>60</v>
      </c>
      <c r="F29" s="429">
        <v>2</v>
      </c>
      <c r="G29" s="424" t="s">
        <v>419</v>
      </c>
      <c r="H29" s="425" t="s">
        <v>143</v>
      </c>
      <c r="I29" s="671" t="s">
        <v>420</v>
      </c>
      <c r="J29" s="673"/>
      <c r="K29" s="430" t="s">
        <v>12</v>
      </c>
      <c r="L29" s="435" t="s">
        <v>13</v>
      </c>
      <c r="M29" s="436" t="s">
        <v>13</v>
      </c>
      <c r="N29" s="693" t="s">
        <v>13</v>
      </c>
      <c r="O29" s="694"/>
      <c r="P29" s="694"/>
      <c r="Q29" s="694"/>
      <c r="R29" s="694"/>
      <c r="S29" s="695"/>
      <c r="U29" s="13"/>
    </row>
    <row r="30" spans="2:23" ht="15" customHeight="1" x14ac:dyDescent="0.25">
      <c r="B30" s="13"/>
      <c r="D30" s="773" t="s">
        <v>0</v>
      </c>
      <c r="E30" s="791" t="s">
        <v>5</v>
      </c>
      <c r="F30" s="846">
        <v>3</v>
      </c>
      <c r="G30" s="841" t="s">
        <v>419</v>
      </c>
      <c r="H30" s="598" t="s">
        <v>426</v>
      </c>
      <c r="I30" s="681" t="s">
        <v>421</v>
      </c>
      <c r="J30" s="684"/>
      <c r="K30" s="908" t="s">
        <v>267</v>
      </c>
      <c r="L30" s="688" t="s">
        <v>13</v>
      </c>
      <c r="M30" s="689" t="s">
        <v>13</v>
      </c>
      <c r="N30" s="693" t="s">
        <v>13</v>
      </c>
      <c r="O30" s="694"/>
      <c r="P30" s="694"/>
      <c r="Q30" s="694"/>
      <c r="R30" s="694"/>
      <c r="S30" s="695"/>
      <c r="U30" s="13"/>
    </row>
    <row r="31" spans="2:23" ht="15" customHeight="1" x14ac:dyDescent="0.25">
      <c r="B31" s="13"/>
      <c r="D31" s="773"/>
      <c r="E31" s="791"/>
      <c r="F31" s="846"/>
      <c r="G31" s="841"/>
      <c r="H31" s="598"/>
      <c r="I31" s="682" t="s">
        <v>422</v>
      </c>
      <c r="J31" s="702"/>
      <c r="K31" s="909"/>
      <c r="L31" s="625"/>
      <c r="M31" s="628"/>
      <c r="N31" s="696"/>
      <c r="O31" s="697"/>
      <c r="P31" s="697"/>
      <c r="Q31" s="697"/>
      <c r="R31" s="697"/>
      <c r="S31" s="698"/>
      <c r="U31" s="13"/>
    </row>
    <row r="32" spans="2:23" ht="15" customHeight="1" x14ac:dyDescent="0.25">
      <c r="B32" s="13"/>
      <c r="D32" s="773"/>
      <c r="E32" s="791"/>
      <c r="F32" s="846"/>
      <c r="G32" s="841"/>
      <c r="H32" s="598"/>
      <c r="I32" s="682" t="s">
        <v>423</v>
      </c>
      <c r="J32" s="702"/>
      <c r="K32" s="909"/>
      <c r="L32" s="625"/>
      <c r="M32" s="628"/>
      <c r="N32" s="696"/>
      <c r="O32" s="697"/>
      <c r="P32" s="697"/>
      <c r="Q32" s="697"/>
      <c r="R32" s="697"/>
      <c r="S32" s="698"/>
      <c r="U32" s="13"/>
    </row>
    <row r="33" spans="2:21" ht="15" customHeight="1" x14ac:dyDescent="0.25">
      <c r="B33" s="13"/>
      <c r="D33" s="773"/>
      <c r="E33" s="791"/>
      <c r="F33" s="846"/>
      <c r="G33" s="841"/>
      <c r="H33" s="598"/>
      <c r="I33" s="682" t="s">
        <v>424</v>
      </c>
      <c r="J33" s="702"/>
      <c r="K33" s="909"/>
      <c r="L33" s="625"/>
      <c r="M33" s="628"/>
      <c r="N33" s="696"/>
      <c r="O33" s="697"/>
      <c r="P33" s="697"/>
      <c r="Q33" s="697"/>
      <c r="R33" s="697"/>
      <c r="S33" s="698"/>
      <c r="U33" s="13"/>
    </row>
    <row r="34" spans="2:21" ht="15" customHeight="1" x14ac:dyDescent="0.25">
      <c r="B34" s="13"/>
      <c r="D34" s="773"/>
      <c r="E34" s="791"/>
      <c r="F34" s="846"/>
      <c r="G34" s="841"/>
      <c r="H34" s="598"/>
      <c r="I34" s="683" t="s">
        <v>425</v>
      </c>
      <c r="J34" s="751"/>
      <c r="K34" s="910"/>
      <c r="L34" s="626"/>
      <c r="M34" s="629"/>
      <c r="N34" s="699"/>
      <c r="O34" s="700"/>
      <c r="P34" s="700"/>
      <c r="Q34" s="700"/>
      <c r="R34" s="700"/>
      <c r="S34" s="701"/>
      <c r="U34" s="13"/>
    </row>
    <row r="35" spans="2:21" ht="20.100000000000001" customHeight="1" thickBot="1" x14ac:dyDescent="0.3">
      <c r="B35" s="13"/>
      <c r="D35" s="427" t="s">
        <v>123</v>
      </c>
      <c r="E35" s="428" t="s">
        <v>124</v>
      </c>
      <c r="F35" s="422">
        <v>4</v>
      </c>
      <c r="G35" s="431" t="s">
        <v>419</v>
      </c>
      <c r="H35" s="423" t="s">
        <v>427</v>
      </c>
      <c r="I35" s="711" t="s">
        <v>428</v>
      </c>
      <c r="J35" s="712"/>
      <c r="K35" s="437" t="s">
        <v>267</v>
      </c>
      <c r="L35" s="432" t="s">
        <v>13</v>
      </c>
      <c r="M35" s="426" t="s">
        <v>13</v>
      </c>
      <c r="N35" s="889" t="s">
        <v>13</v>
      </c>
      <c r="O35" s="707"/>
      <c r="P35" s="707"/>
      <c r="Q35" s="707"/>
      <c r="R35" s="707"/>
      <c r="S35" s="708"/>
      <c r="U35" s="13"/>
    </row>
    <row r="36" spans="2:21" ht="20.100000000000001" customHeight="1" x14ac:dyDescent="0.25">
      <c r="B36" s="13"/>
      <c r="U36" s="13"/>
    </row>
    <row r="37" spans="2:21" ht="20.100000000000001" customHeight="1" thickBot="1" x14ac:dyDescent="0.3">
      <c r="B37" s="13"/>
      <c r="C37" s="26"/>
      <c r="D37" s="26"/>
      <c r="E37" s="552" t="str">
        <f>IF(OR(M27="-",M27= ""),H27,M27)</f>
        <v>Dungeon Petz</v>
      </c>
      <c r="F37" s="552"/>
      <c r="G37" s="552"/>
      <c r="H37" s="552"/>
      <c r="I37" s="552"/>
      <c r="J37" s="552"/>
      <c r="K37" s="552"/>
      <c r="L37" s="552"/>
      <c r="M37" s="552"/>
      <c r="N37" s="552"/>
      <c r="O37" s="199"/>
      <c r="P37" s="199"/>
      <c r="Q37" s="199"/>
      <c r="R37" s="199"/>
      <c r="S37" s="199"/>
      <c r="T37" s="26"/>
      <c r="U37" s="13"/>
    </row>
    <row r="38" spans="2:21" ht="50.1" customHeight="1" thickBot="1" x14ac:dyDescent="0.3">
      <c r="B38" s="13"/>
      <c r="C38" s="26"/>
      <c r="D38" s="199"/>
      <c r="E38" s="88" t="s">
        <v>10</v>
      </c>
      <c r="F38" s="125" t="s">
        <v>52</v>
      </c>
      <c r="G38" s="89" t="s">
        <v>14</v>
      </c>
      <c r="H38" s="200" t="s">
        <v>51</v>
      </c>
      <c r="I38" s="18" t="s">
        <v>54</v>
      </c>
      <c r="J38" s="200" t="s">
        <v>53</v>
      </c>
      <c r="K38" s="206" t="s">
        <v>28</v>
      </c>
      <c r="L38" s="200" t="s">
        <v>37</v>
      </c>
      <c r="M38" s="204" t="s">
        <v>16</v>
      </c>
      <c r="N38" s="89" t="s">
        <v>15</v>
      </c>
      <c r="O38" s="5" t="s">
        <v>30</v>
      </c>
      <c r="P38" s="7" t="s">
        <v>34</v>
      </c>
      <c r="Q38" s="7" t="s">
        <v>31</v>
      </c>
      <c r="R38" s="7" t="s">
        <v>32</v>
      </c>
      <c r="S38" s="199"/>
      <c r="T38" s="26"/>
      <c r="U38" s="13"/>
    </row>
    <row r="39" spans="2:21" ht="20.100000000000001" customHeight="1" x14ac:dyDescent="0.25">
      <c r="B39" s="13"/>
      <c r="C39" s="26"/>
      <c r="D39" s="26"/>
      <c r="E39" s="233" t="s">
        <v>114</v>
      </c>
      <c r="F39" s="254" t="s">
        <v>102</v>
      </c>
      <c r="G39" s="49">
        <v>3</v>
      </c>
      <c r="H39" s="49" t="s">
        <v>13</v>
      </c>
      <c r="I39" s="49">
        <v>0</v>
      </c>
      <c r="J39" s="49">
        <v>46</v>
      </c>
      <c r="K39" s="49" t="s">
        <v>13</v>
      </c>
      <c r="L39" s="50">
        <f>IF(J39="",0,(J39/J43)*100)</f>
        <v>53.488372093023251</v>
      </c>
      <c r="M39" s="49">
        <v>3</v>
      </c>
      <c r="N39" s="61">
        <v>1</v>
      </c>
      <c r="O39" s="57">
        <f>IF(M39=1,1,0)</f>
        <v>0</v>
      </c>
      <c r="P39" s="209">
        <f>IF(M39=2,1,0)</f>
        <v>0</v>
      </c>
      <c r="Q39" s="209">
        <f>IF(M39=3,1,0)</f>
        <v>1</v>
      </c>
      <c r="R39" s="8">
        <f>IF(M39=4,1,0)</f>
        <v>0</v>
      </c>
      <c r="S39" s="198"/>
      <c r="T39" s="26"/>
      <c r="U39" s="13"/>
    </row>
    <row r="40" spans="2:21" ht="20.100000000000001" customHeight="1" x14ac:dyDescent="0.25">
      <c r="B40" s="13"/>
      <c r="C40" s="26"/>
      <c r="D40" s="26"/>
      <c r="E40" s="110" t="s">
        <v>127</v>
      </c>
      <c r="F40" s="273" t="s">
        <v>60</v>
      </c>
      <c r="G40" s="149">
        <v>2</v>
      </c>
      <c r="H40" s="149" t="s">
        <v>13</v>
      </c>
      <c r="I40" s="149">
        <v>0</v>
      </c>
      <c r="J40" s="149">
        <v>86</v>
      </c>
      <c r="K40" s="149" t="s">
        <v>13</v>
      </c>
      <c r="L40" s="38">
        <f>IF(J40="",0,(J40/J43)*100)</f>
        <v>100</v>
      </c>
      <c r="M40" s="149">
        <v>1</v>
      </c>
      <c r="N40" s="108">
        <v>6</v>
      </c>
      <c r="O40" s="205">
        <f>IF(M40=1,1,0)</f>
        <v>1</v>
      </c>
      <c r="P40" s="207">
        <f>IF(M40=2,1,0)</f>
        <v>0</v>
      </c>
      <c r="Q40" s="207">
        <f>IF(M40=3,1,0)</f>
        <v>0</v>
      </c>
      <c r="R40" s="9">
        <f>IF(M40=4,1,0)</f>
        <v>0</v>
      </c>
      <c r="S40" s="198"/>
      <c r="T40" s="26"/>
      <c r="U40" s="13"/>
    </row>
    <row r="41" spans="2:21" ht="20.100000000000001" customHeight="1" x14ac:dyDescent="0.25">
      <c r="B41" s="13"/>
      <c r="C41" s="26"/>
      <c r="D41" s="26"/>
      <c r="E41" s="96" t="s">
        <v>0</v>
      </c>
      <c r="F41" s="246" t="s">
        <v>5</v>
      </c>
      <c r="G41" s="47">
        <v>1</v>
      </c>
      <c r="H41" s="47" t="s">
        <v>13</v>
      </c>
      <c r="I41" s="47">
        <v>0</v>
      </c>
      <c r="J41" s="47">
        <v>57</v>
      </c>
      <c r="K41" s="47" t="s">
        <v>13</v>
      </c>
      <c r="L41" s="48">
        <f>IF(J41="",0,(J41/J43)*100)</f>
        <v>66.279069767441854</v>
      </c>
      <c r="M41" s="47">
        <v>2</v>
      </c>
      <c r="N41" s="60">
        <v>3</v>
      </c>
      <c r="O41" s="205">
        <f>IF(M41=1,1,0)</f>
        <v>0</v>
      </c>
      <c r="P41" s="207">
        <f>IF(M41=2,1,0)</f>
        <v>1</v>
      </c>
      <c r="Q41" s="207">
        <f>IF(M41=3,1,0)</f>
        <v>0</v>
      </c>
      <c r="R41" s="9">
        <f>IF(M41=4,1,0)</f>
        <v>0</v>
      </c>
      <c r="S41" s="198"/>
      <c r="T41" s="26"/>
      <c r="U41" s="13"/>
    </row>
    <row r="42" spans="2:21" ht="20.100000000000001" customHeight="1" thickBot="1" x14ac:dyDescent="0.3">
      <c r="B42" s="13"/>
      <c r="C42" s="26"/>
      <c r="D42" s="68"/>
      <c r="E42" s="41" t="s">
        <v>123</v>
      </c>
      <c r="F42" s="251" t="s">
        <v>124</v>
      </c>
      <c r="G42" s="150">
        <v>4</v>
      </c>
      <c r="H42" s="150" t="s">
        <v>13</v>
      </c>
      <c r="I42" s="150">
        <v>0</v>
      </c>
      <c r="J42" s="150">
        <v>34</v>
      </c>
      <c r="K42" s="150" t="s">
        <v>13</v>
      </c>
      <c r="L42" s="17">
        <f>IF(J42="",0,(J42/J43)*100)</f>
        <v>39.534883720930232</v>
      </c>
      <c r="M42" s="150">
        <v>4</v>
      </c>
      <c r="N42" s="59">
        <v>0</v>
      </c>
      <c r="O42" s="58">
        <f>IF(M42=1,1,0)</f>
        <v>0</v>
      </c>
      <c r="P42" s="208">
        <f>IF(M42=2,1,0)</f>
        <v>0</v>
      </c>
      <c r="Q42" s="208">
        <f>IF(M42=3,1,0)</f>
        <v>0</v>
      </c>
      <c r="R42" s="10">
        <f>IF(M42=4,1,0)</f>
        <v>1</v>
      </c>
      <c r="S42" s="198"/>
      <c r="T42" s="26"/>
      <c r="U42" s="13"/>
    </row>
    <row r="43" spans="2:21" ht="20.100000000000001" hidden="1" customHeight="1" outlineLevel="1" x14ac:dyDescent="0.25">
      <c r="B43" s="13"/>
      <c r="C43" s="26"/>
      <c r="D43" s="71"/>
      <c r="E43" s="71"/>
      <c r="F43" s="553"/>
      <c r="G43" s="553"/>
      <c r="H43" s="26"/>
      <c r="I43" s="193" t="s">
        <v>29</v>
      </c>
      <c r="J43" s="23">
        <f>MAX(J39:J42)</f>
        <v>86</v>
      </c>
      <c r="K43" s="73"/>
      <c r="L43" s="72"/>
      <c r="M43" s="26"/>
      <c r="N43" s="63" t="s">
        <v>33</v>
      </c>
      <c r="O43" s="20">
        <f>SUM(O39:O42)</f>
        <v>1</v>
      </c>
      <c r="P43" s="21">
        <f>SUM(P39:P42)</f>
        <v>1</v>
      </c>
      <c r="Q43" s="20">
        <f>SUM(Q39:Q42)</f>
        <v>1</v>
      </c>
      <c r="R43" s="20">
        <f>SUM(R39:R42)</f>
        <v>1</v>
      </c>
      <c r="S43" s="69"/>
      <c r="T43" s="26"/>
      <c r="U43" s="13"/>
    </row>
    <row r="44" spans="2:21" ht="20.100000000000001" customHeight="1" collapsed="1" x14ac:dyDescent="0.25">
      <c r="B44" s="13"/>
      <c r="C44" s="26"/>
      <c r="D44" s="26"/>
      <c r="E44" s="26"/>
      <c r="F44" s="607"/>
      <c r="G44" s="607"/>
      <c r="H44" s="199"/>
      <c r="I44" s="26"/>
      <c r="J44" s="26"/>
      <c r="K44" s="26"/>
      <c r="L44" s="26"/>
      <c r="M44" s="26"/>
      <c r="N44" s="26"/>
      <c r="O44" s="26"/>
      <c r="P44" s="26"/>
      <c r="Q44" s="26"/>
      <c r="R44" s="26"/>
      <c r="S44" s="26"/>
      <c r="T44" s="26"/>
      <c r="U44" s="13"/>
    </row>
    <row r="45" spans="2:21" ht="20.100000000000001" customHeight="1" x14ac:dyDescent="0.25">
      <c r="B45" s="13"/>
      <c r="U45" s="13"/>
    </row>
    <row r="46" spans="2:21" ht="20.100000000000001" customHeight="1" thickBot="1" x14ac:dyDescent="0.3">
      <c r="B46" s="13"/>
      <c r="C46" s="27"/>
      <c r="D46" s="27"/>
      <c r="E46" s="554" t="str">
        <f>IF(OR(M29="-",M29= ""),H29,M29)</f>
        <v>Nippon</v>
      </c>
      <c r="F46" s="554"/>
      <c r="G46" s="554"/>
      <c r="H46" s="554"/>
      <c r="I46" s="554"/>
      <c r="J46" s="554"/>
      <c r="K46" s="554"/>
      <c r="L46" s="554"/>
      <c r="M46" s="554"/>
      <c r="N46" s="554"/>
      <c r="O46" s="197"/>
      <c r="P46" s="197"/>
      <c r="Q46" s="197"/>
      <c r="R46" s="197"/>
      <c r="S46" s="197"/>
      <c r="T46" s="27"/>
      <c r="U46" s="13"/>
    </row>
    <row r="47" spans="2:21" ht="50.1" customHeight="1" thickBot="1" x14ac:dyDescent="0.3">
      <c r="B47" s="13"/>
      <c r="C47" s="27"/>
      <c r="D47" s="197"/>
      <c r="E47" s="88" t="s">
        <v>10</v>
      </c>
      <c r="F47" s="125" t="s">
        <v>52</v>
      </c>
      <c r="G47" s="89" t="s">
        <v>14</v>
      </c>
      <c r="H47" s="200" t="s">
        <v>51</v>
      </c>
      <c r="I47" s="18" t="s">
        <v>54</v>
      </c>
      <c r="J47" s="200" t="s">
        <v>53</v>
      </c>
      <c r="K47" s="206" t="s">
        <v>28</v>
      </c>
      <c r="L47" s="200" t="s">
        <v>37</v>
      </c>
      <c r="M47" s="204" t="s">
        <v>16</v>
      </c>
      <c r="N47" s="89" t="s">
        <v>15</v>
      </c>
      <c r="O47" s="5" t="s">
        <v>30</v>
      </c>
      <c r="P47" s="7" t="s">
        <v>34</v>
      </c>
      <c r="Q47" s="7" t="s">
        <v>31</v>
      </c>
      <c r="R47" s="7" t="s">
        <v>32</v>
      </c>
      <c r="S47" s="197"/>
      <c r="T47" s="27"/>
      <c r="U47" s="13"/>
    </row>
    <row r="48" spans="2:21" ht="20.100000000000001" customHeight="1" x14ac:dyDescent="0.25">
      <c r="B48" s="13"/>
      <c r="C48" s="27"/>
      <c r="D48" s="27"/>
      <c r="E48" s="233" t="s">
        <v>114</v>
      </c>
      <c r="F48" s="254" t="s">
        <v>102</v>
      </c>
      <c r="G48" s="49">
        <v>2</v>
      </c>
      <c r="H48" s="122" t="s">
        <v>13</v>
      </c>
      <c r="I48" s="49">
        <v>11</v>
      </c>
      <c r="J48" s="122">
        <v>98</v>
      </c>
      <c r="K48" s="122" t="s">
        <v>13</v>
      </c>
      <c r="L48" s="50">
        <f>IF(J48="",0,(J48/J52)*100)</f>
        <v>45.581395348837212</v>
      </c>
      <c r="M48" s="49">
        <v>4</v>
      </c>
      <c r="N48" s="61">
        <v>0</v>
      </c>
      <c r="O48" s="57">
        <f>IF(M48=1,1,0)</f>
        <v>0</v>
      </c>
      <c r="P48" s="209">
        <f>IF(M48=2,1,0)</f>
        <v>0</v>
      </c>
      <c r="Q48" s="209">
        <f>IF(M48=3,1,0)</f>
        <v>0</v>
      </c>
      <c r="R48" s="8">
        <f>IF(M48=4,1,0)</f>
        <v>1</v>
      </c>
      <c r="S48" s="203"/>
      <c r="T48" s="27"/>
      <c r="U48" s="13"/>
    </row>
    <row r="49" spans="2:23" ht="20.100000000000001" customHeight="1" x14ac:dyDescent="0.25">
      <c r="B49" s="13"/>
      <c r="C49" s="27"/>
      <c r="D49" s="67"/>
      <c r="E49" s="110" t="s">
        <v>127</v>
      </c>
      <c r="F49" s="273" t="s">
        <v>60</v>
      </c>
      <c r="G49" s="149">
        <v>3</v>
      </c>
      <c r="H49" s="123" t="s">
        <v>13</v>
      </c>
      <c r="I49" s="149">
        <v>12</v>
      </c>
      <c r="J49" s="123">
        <v>215</v>
      </c>
      <c r="K49" s="123" t="s">
        <v>13</v>
      </c>
      <c r="L49" s="38">
        <f>IF(J49="",0,(J49/J52)*100)</f>
        <v>100</v>
      </c>
      <c r="M49" s="149">
        <v>1</v>
      </c>
      <c r="N49" s="108">
        <v>6</v>
      </c>
      <c r="O49" s="205">
        <f>IF(M49=1,1,0)</f>
        <v>1</v>
      </c>
      <c r="P49" s="207">
        <f>IF(M49=2,1,0)</f>
        <v>0</v>
      </c>
      <c r="Q49" s="207">
        <f>IF(M49=3,1,0)</f>
        <v>0</v>
      </c>
      <c r="R49" s="9">
        <f>IF(M49=4,1,0)</f>
        <v>0</v>
      </c>
      <c r="S49" s="203"/>
      <c r="T49" s="27"/>
      <c r="U49" s="13"/>
    </row>
    <row r="50" spans="2:23" ht="20.100000000000001" customHeight="1" x14ac:dyDescent="0.25">
      <c r="B50" s="13"/>
      <c r="C50" s="27"/>
      <c r="D50" s="27"/>
      <c r="E50" s="96" t="s">
        <v>0</v>
      </c>
      <c r="F50" s="246" t="s">
        <v>5</v>
      </c>
      <c r="G50" s="47">
        <v>4</v>
      </c>
      <c r="H50" s="100" t="s">
        <v>13</v>
      </c>
      <c r="I50" s="47">
        <v>13</v>
      </c>
      <c r="J50" s="100">
        <v>164</v>
      </c>
      <c r="K50" s="100" t="s">
        <v>13</v>
      </c>
      <c r="L50" s="48">
        <f>IF(J50="",0,(J50/J52)*100)</f>
        <v>76.279069767441868</v>
      </c>
      <c r="M50" s="47">
        <v>3</v>
      </c>
      <c r="N50" s="60">
        <v>1</v>
      </c>
      <c r="O50" s="205">
        <f>IF(M50=1,1,0)</f>
        <v>0</v>
      </c>
      <c r="P50" s="207">
        <f>IF(M50=2,1,0)</f>
        <v>0</v>
      </c>
      <c r="Q50" s="207">
        <f>IF(M50=3,1,0)</f>
        <v>1</v>
      </c>
      <c r="R50" s="9">
        <f>IF(M50=4,1,0)</f>
        <v>0</v>
      </c>
      <c r="S50" s="203"/>
      <c r="T50" s="27"/>
      <c r="U50" s="13"/>
    </row>
    <row r="51" spans="2:23" ht="20.100000000000001" customHeight="1" thickBot="1" x14ac:dyDescent="0.3">
      <c r="B51" s="13"/>
      <c r="C51" s="27"/>
      <c r="D51" s="27"/>
      <c r="E51" s="41" t="s">
        <v>123</v>
      </c>
      <c r="F51" s="251" t="s">
        <v>124</v>
      </c>
      <c r="G51" s="150">
        <v>1</v>
      </c>
      <c r="H51" s="107" t="s">
        <v>13</v>
      </c>
      <c r="I51" s="150">
        <v>10</v>
      </c>
      <c r="J51" s="107">
        <v>180</v>
      </c>
      <c r="K51" s="150" t="s">
        <v>13</v>
      </c>
      <c r="L51" s="17">
        <f>IF(J51="",0,(J51/J52)*100)</f>
        <v>83.720930232558146</v>
      </c>
      <c r="M51" s="150">
        <v>2</v>
      </c>
      <c r="N51" s="59">
        <v>3</v>
      </c>
      <c r="O51" s="58">
        <f>IF(M51=1,1,0)</f>
        <v>0</v>
      </c>
      <c r="P51" s="208">
        <f>IF(M51=2,1,0)</f>
        <v>1</v>
      </c>
      <c r="Q51" s="208">
        <f>IF(M51=3,1,0)</f>
        <v>0</v>
      </c>
      <c r="R51" s="10">
        <f>IF(M51=4,1,0)</f>
        <v>0</v>
      </c>
      <c r="S51" s="203"/>
      <c r="T51" s="27"/>
      <c r="U51" s="13"/>
    </row>
    <row r="52" spans="2:23" ht="20.100000000000001" hidden="1" customHeight="1" outlineLevel="1" x14ac:dyDescent="0.25">
      <c r="B52" s="13"/>
      <c r="C52" s="27"/>
      <c r="D52" s="27"/>
      <c r="E52" s="27"/>
      <c r="F52" s="531"/>
      <c r="G52" s="531"/>
      <c r="H52" s="27"/>
      <c r="I52" s="62" t="s">
        <v>29</v>
      </c>
      <c r="J52" s="23">
        <f>MAX(J48:J51)</f>
        <v>215</v>
      </c>
      <c r="K52" s="75"/>
      <c r="L52" s="203"/>
      <c r="M52" s="27"/>
      <c r="N52" s="63" t="s">
        <v>33</v>
      </c>
      <c r="O52" s="20">
        <f>SUM(O48:O51)</f>
        <v>1</v>
      </c>
      <c r="P52" s="21">
        <f>SUM(P48:P51)</f>
        <v>1</v>
      </c>
      <c r="Q52" s="20">
        <f>SUM(Q48:Q51)</f>
        <v>1</v>
      </c>
      <c r="R52" s="22">
        <f>SUM(R48:R51)</f>
        <v>1</v>
      </c>
      <c r="S52" s="74"/>
      <c r="T52" s="27"/>
      <c r="U52" s="13"/>
    </row>
    <row r="53" spans="2:23" ht="20.100000000000001" customHeight="1" collapsed="1" x14ac:dyDescent="0.25">
      <c r="B53" s="13"/>
      <c r="C53" s="27"/>
      <c r="D53" s="27"/>
      <c r="E53" s="27"/>
      <c r="F53" s="27"/>
      <c r="G53" s="27"/>
      <c r="H53" s="27"/>
      <c r="I53" s="27"/>
      <c r="J53" s="27"/>
      <c r="K53" s="27"/>
      <c r="L53" s="27"/>
      <c r="M53" s="27"/>
      <c r="N53" s="27"/>
      <c r="O53" s="27"/>
      <c r="P53" s="27"/>
      <c r="Q53" s="27"/>
      <c r="R53" s="27"/>
      <c r="S53" s="27"/>
      <c r="T53" s="27"/>
      <c r="U53" s="13"/>
    </row>
    <row r="54" spans="2:23" ht="20.100000000000001" customHeight="1" x14ac:dyDescent="0.25">
      <c r="B54" s="13"/>
      <c r="D54" s="28"/>
      <c r="E54" s="28"/>
      <c r="F54" s="28"/>
      <c r="G54" s="28"/>
      <c r="H54" s="29"/>
      <c r="I54" s="28"/>
      <c r="J54" s="28"/>
      <c r="U54" s="13"/>
    </row>
    <row r="55" spans="2:23" ht="20.100000000000001" customHeight="1" thickBot="1" x14ac:dyDescent="0.3">
      <c r="B55" s="13"/>
      <c r="C55" s="30"/>
      <c r="D55" s="30"/>
      <c r="E55" s="532" t="str">
        <f>IF(OR(M30="-",M30= ""),H30,M30)</f>
        <v>Great Western Trail</v>
      </c>
      <c r="F55" s="532"/>
      <c r="G55" s="532"/>
      <c r="H55" s="532"/>
      <c r="I55" s="532"/>
      <c r="J55" s="532"/>
      <c r="K55" s="532"/>
      <c r="L55" s="532"/>
      <c r="M55" s="532"/>
      <c r="N55" s="532"/>
      <c r="O55" s="196"/>
      <c r="P55" s="196"/>
      <c r="Q55" s="196"/>
      <c r="R55" s="196"/>
      <c r="S55" s="196"/>
      <c r="T55" s="30"/>
      <c r="U55" s="14"/>
      <c r="V55" s="1"/>
      <c r="W55" s="1"/>
    </row>
    <row r="56" spans="2:23" ht="50.1" customHeight="1" thickBot="1" x14ac:dyDescent="0.3">
      <c r="B56" s="13"/>
      <c r="C56" s="30"/>
      <c r="D56" s="196"/>
      <c r="E56" s="88" t="s">
        <v>10</v>
      </c>
      <c r="F56" s="125" t="s">
        <v>52</v>
      </c>
      <c r="G56" s="89" t="s">
        <v>14</v>
      </c>
      <c r="H56" s="200" t="s">
        <v>51</v>
      </c>
      <c r="I56" s="18" t="s">
        <v>54</v>
      </c>
      <c r="J56" s="200" t="s">
        <v>53</v>
      </c>
      <c r="K56" s="206" t="s">
        <v>28</v>
      </c>
      <c r="L56" s="200" t="s">
        <v>37</v>
      </c>
      <c r="M56" s="204" t="s">
        <v>16</v>
      </c>
      <c r="N56" s="89" t="s">
        <v>15</v>
      </c>
      <c r="O56" s="5" t="s">
        <v>30</v>
      </c>
      <c r="P56" s="7" t="s">
        <v>34</v>
      </c>
      <c r="Q56" s="7" t="s">
        <v>31</v>
      </c>
      <c r="R56" s="19" t="s">
        <v>32</v>
      </c>
      <c r="S56" s="196"/>
      <c r="T56" s="30"/>
      <c r="U56" s="14"/>
      <c r="V56" s="1"/>
      <c r="W56" s="1"/>
    </row>
    <row r="57" spans="2:23" ht="20.100000000000001" customHeight="1" x14ac:dyDescent="0.25">
      <c r="B57" s="13"/>
      <c r="C57" s="30"/>
      <c r="D57" s="30"/>
      <c r="E57" s="233" t="s">
        <v>114</v>
      </c>
      <c r="F57" s="254" t="s">
        <v>102</v>
      </c>
      <c r="G57" s="49">
        <v>3</v>
      </c>
      <c r="H57" s="122" t="s">
        <v>13</v>
      </c>
      <c r="I57" s="49">
        <v>0</v>
      </c>
      <c r="J57" s="180">
        <v>38</v>
      </c>
      <c r="K57" s="49" t="s">
        <v>13</v>
      </c>
      <c r="L57" s="50">
        <f>IF(J57="",0,(J57/J61)*100)</f>
        <v>37.623762376237622</v>
      </c>
      <c r="M57" s="49">
        <v>4</v>
      </c>
      <c r="N57" s="61">
        <v>0</v>
      </c>
      <c r="O57" s="57">
        <f>IF(M57=1,1,0)</f>
        <v>0</v>
      </c>
      <c r="P57" s="209">
        <f>IF(M57=2,1,0)</f>
        <v>0</v>
      </c>
      <c r="Q57" s="209">
        <f>IF(M57=3,1,0)</f>
        <v>0</v>
      </c>
      <c r="R57" s="8">
        <f>IF(M57=4,1,0)</f>
        <v>1</v>
      </c>
      <c r="S57" s="194"/>
      <c r="T57" s="30"/>
      <c r="U57" s="13"/>
    </row>
    <row r="58" spans="2:23" ht="20.100000000000001" customHeight="1" x14ac:dyDescent="0.25">
      <c r="B58" s="13"/>
      <c r="C58" s="30"/>
      <c r="D58" s="66"/>
      <c r="E58" s="110" t="s">
        <v>127</v>
      </c>
      <c r="F58" s="273" t="s">
        <v>60</v>
      </c>
      <c r="G58" s="149">
        <v>1</v>
      </c>
      <c r="H58" s="149" t="s">
        <v>13</v>
      </c>
      <c r="I58" s="149">
        <v>0</v>
      </c>
      <c r="J58" s="184">
        <v>101</v>
      </c>
      <c r="K58" s="149" t="s">
        <v>13</v>
      </c>
      <c r="L58" s="38">
        <f>IF(J58="",0,(J58/J61)*100)</f>
        <v>100</v>
      </c>
      <c r="M58" s="149">
        <v>1</v>
      </c>
      <c r="N58" s="108">
        <v>6</v>
      </c>
      <c r="O58" s="205">
        <f>IF(M58=1,1,0)</f>
        <v>1</v>
      </c>
      <c r="P58" s="207">
        <f>IF(M58=2,1,0)</f>
        <v>0</v>
      </c>
      <c r="Q58" s="207">
        <f>IF(M58=3,1,0)</f>
        <v>0</v>
      </c>
      <c r="R58" s="9">
        <f>IF(M58=4,1,0)</f>
        <v>0</v>
      </c>
      <c r="S58" s="194"/>
      <c r="T58" s="30"/>
      <c r="U58" s="31"/>
    </row>
    <row r="59" spans="2:23" ht="20.100000000000001" customHeight="1" x14ac:dyDescent="0.25">
      <c r="B59" s="13"/>
      <c r="C59" s="30"/>
      <c r="D59" s="30"/>
      <c r="E59" s="96" t="s">
        <v>0</v>
      </c>
      <c r="F59" s="246" t="s">
        <v>5</v>
      </c>
      <c r="G59" s="47">
        <v>2</v>
      </c>
      <c r="H59" s="100" t="s">
        <v>13</v>
      </c>
      <c r="I59" s="47">
        <v>0</v>
      </c>
      <c r="J59" s="158">
        <v>89</v>
      </c>
      <c r="K59" s="47" t="s">
        <v>13</v>
      </c>
      <c r="L59" s="48">
        <f>IF(J59="",0,(J59/J61)*100)</f>
        <v>88.118811881188122</v>
      </c>
      <c r="M59" s="47">
        <v>2</v>
      </c>
      <c r="N59" s="60">
        <v>3</v>
      </c>
      <c r="O59" s="205">
        <f>IF(M59=1,1,0)</f>
        <v>0</v>
      </c>
      <c r="P59" s="207">
        <f>IF(M59=2,1,0)</f>
        <v>1</v>
      </c>
      <c r="Q59" s="207">
        <f>IF(M59=3,1,0)</f>
        <v>0</v>
      </c>
      <c r="R59" s="9">
        <f>IF(M59=4,1,0)</f>
        <v>0</v>
      </c>
      <c r="S59" s="194"/>
      <c r="T59" s="30"/>
      <c r="U59" s="31"/>
    </row>
    <row r="60" spans="2:23" ht="20.100000000000001" customHeight="1" thickBot="1" x14ac:dyDescent="0.3">
      <c r="B60" s="13"/>
      <c r="C60" s="30"/>
      <c r="D60" s="30"/>
      <c r="E60" s="41" t="s">
        <v>123</v>
      </c>
      <c r="F60" s="251" t="s">
        <v>124</v>
      </c>
      <c r="G60" s="150">
        <v>4</v>
      </c>
      <c r="H60" s="107" t="s">
        <v>13</v>
      </c>
      <c r="I60" s="150">
        <v>0</v>
      </c>
      <c r="J60" s="356">
        <v>66</v>
      </c>
      <c r="K60" s="150" t="s">
        <v>13</v>
      </c>
      <c r="L60" s="17">
        <f>IF(J60="",0,(J60/J61)*100)</f>
        <v>65.346534653465355</v>
      </c>
      <c r="M60" s="150">
        <v>3</v>
      </c>
      <c r="N60" s="59">
        <v>1</v>
      </c>
      <c r="O60" s="58">
        <f>IF(M60=1,1,0)</f>
        <v>0</v>
      </c>
      <c r="P60" s="208">
        <f>IF(M60=2,1,0)</f>
        <v>0</v>
      </c>
      <c r="Q60" s="208">
        <f>IF(M60=3,1,0)</f>
        <v>1</v>
      </c>
      <c r="R60" s="10">
        <f>IF(M60=4,1,0)</f>
        <v>0</v>
      </c>
      <c r="S60" s="194"/>
      <c r="T60" s="30"/>
      <c r="U60" s="31"/>
    </row>
    <row r="61" spans="2:23" ht="20.100000000000001" hidden="1" customHeight="1" outlineLevel="1" thickBot="1" x14ac:dyDescent="0.3">
      <c r="B61" s="13"/>
      <c r="C61" s="30"/>
      <c r="D61" s="30"/>
      <c r="E61" s="30"/>
      <c r="F61" s="533"/>
      <c r="G61" s="533"/>
      <c r="H61" s="30"/>
      <c r="I61" s="64" t="s">
        <v>29</v>
      </c>
      <c r="J61" s="23">
        <f>MAX(J57:J60)</f>
        <v>101</v>
      </c>
      <c r="K61" s="76"/>
      <c r="L61" s="194"/>
      <c r="M61" s="30"/>
      <c r="N61" s="63"/>
      <c r="O61" s="20">
        <f>SUM(O57:O60)</f>
        <v>1</v>
      </c>
      <c r="P61" s="21">
        <f>SUM(P57:P60)</f>
        <v>1</v>
      </c>
      <c r="Q61" s="20">
        <f>SUM(Q57:Q60)</f>
        <v>1</v>
      </c>
      <c r="R61" s="22">
        <f>SUM(R57:R60)</f>
        <v>1</v>
      </c>
      <c r="S61" s="77"/>
      <c r="T61" s="30"/>
      <c r="U61" s="31"/>
    </row>
    <row r="62" spans="2:23" ht="20.100000000000001" customHeight="1" collapsed="1" x14ac:dyDescent="0.25">
      <c r="B62" s="13"/>
      <c r="C62" s="30"/>
      <c r="D62" s="30"/>
      <c r="E62" s="30"/>
      <c r="F62" s="30"/>
      <c r="G62" s="30"/>
      <c r="H62" s="30"/>
      <c r="I62" s="30"/>
      <c r="J62" s="30"/>
      <c r="K62" s="30"/>
      <c r="L62" s="30"/>
      <c r="M62" s="30"/>
      <c r="N62" s="30"/>
      <c r="O62" s="30"/>
      <c r="P62" s="30"/>
      <c r="Q62" s="30"/>
      <c r="R62" s="30"/>
      <c r="S62" s="30"/>
      <c r="T62" s="30"/>
      <c r="U62" s="31"/>
    </row>
    <row r="63" spans="2:23" ht="20.100000000000001" customHeight="1" x14ac:dyDescent="0.25">
      <c r="B63" s="13"/>
      <c r="D63" s="28"/>
      <c r="E63" s="28"/>
      <c r="F63" s="28"/>
      <c r="G63" s="28"/>
      <c r="H63" s="29"/>
      <c r="I63" s="28"/>
      <c r="J63" s="28"/>
      <c r="K63" s="28"/>
      <c r="U63" s="13"/>
    </row>
    <row r="64" spans="2:23" ht="20.100000000000001" customHeight="1" thickBot="1" x14ac:dyDescent="0.3">
      <c r="B64" s="13"/>
      <c r="C64" s="32"/>
      <c r="D64" s="32"/>
      <c r="E64" s="534" t="str">
        <f>IF(OR(M35="-",M35= ""),H35,M35)</f>
        <v>Hearts</v>
      </c>
      <c r="F64" s="534"/>
      <c r="G64" s="534"/>
      <c r="H64" s="534"/>
      <c r="I64" s="534"/>
      <c r="J64" s="534"/>
      <c r="K64" s="534"/>
      <c r="L64" s="534"/>
      <c r="M64" s="534"/>
      <c r="N64" s="534"/>
      <c r="O64" s="195"/>
      <c r="P64" s="195"/>
      <c r="Q64" s="195"/>
      <c r="R64" s="195"/>
      <c r="S64" s="195"/>
      <c r="T64" s="32"/>
      <c r="U64" s="13"/>
    </row>
    <row r="65" spans="2:31" ht="50.1" customHeight="1" thickBot="1" x14ac:dyDescent="0.3">
      <c r="B65" s="13"/>
      <c r="C65" s="32"/>
      <c r="D65" s="195"/>
      <c r="E65" s="88" t="s">
        <v>10</v>
      </c>
      <c r="F65" s="125" t="s">
        <v>52</v>
      </c>
      <c r="G65" s="89" t="s">
        <v>14</v>
      </c>
      <c r="H65" s="200" t="s">
        <v>51</v>
      </c>
      <c r="I65" s="18" t="s">
        <v>54</v>
      </c>
      <c r="J65" s="200" t="s">
        <v>53</v>
      </c>
      <c r="K65" s="206" t="s">
        <v>28</v>
      </c>
      <c r="L65" s="200" t="s">
        <v>37</v>
      </c>
      <c r="M65" s="204" t="s">
        <v>16</v>
      </c>
      <c r="N65" s="89" t="s">
        <v>15</v>
      </c>
      <c r="O65" s="5" t="s">
        <v>30</v>
      </c>
      <c r="P65" s="7" t="s">
        <v>34</v>
      </c>
      <c r="Q65" s="7" t="s">
        <v>31</v>
      </c>
      <c r="R65" s="19" t="s">
        <v>32</v>
      </c>
      <c r="S65" s="195"/>
      <c r="T65" s="32"/>
      <c r="U65" s="13"/>
    </row>
    <row r="66" spans="2:31" ht="20.100000000000001" customHeight="1" x14ac:dyDescent="0.25">
      <c r="B66" s="13"/>
      <c r="C66" s="32"/>
      <c r="D66" s="32"/>
      <c r="E66" s="233" t="s">
        <v>114</v>
      </c>
      <c r="F66" s="254" t="s">
        <v>102</v>
      </c>
      <c r="G66" s="49" t="s">
        <v>13</v>
      </c>
      <c r="H66" s="49" t="s">
        <v>13</v>
      </c>
      <c r="I66" s="49">
        <v>100</v>
      </c>
      <c r="J66" s="49">
        <v>-8</v>
      </c>
      <c r="K66" s="49" t="s">
        <v>13</v>
      </c>
      <c r="L66" s="50">
        <f>(I66+J66)/(I66+$J$69)*100</f>
        <v>80</v>
      </c>
      <c r="M66" s="49">
        <v>4</v>
      </c>
      <c r="N66" s="61">
        <v>0</v>
      </c>
      <c r="O66" s="57">
        <f>IF(M66=1,1,0)</f>
        <v>0</v>
      </c>
      <c r="P66" s="209">
        <f>IF(M66=2,1,0)</f>
        <v>0</v>
      </c>
      <c r="Q66" s="209">
        <f>IF(M66=3,1,0)</f>
        <v>0</v>
      </c>
      <c r="R66" s="8">
        <f>IF(M66=4,1,0)</f>
        <v>1</v>
      </c>
      <c r="S66" s="201"/>
      <c r="T66" s="32"/>
      <c r="U66" s="13"/>
    </row>
    <row r="67" spans="2:31" ht="20.100000000000001" customHeight="1" x14ac:dyDescent="0.25">
      <c r="B67" s="13"/>
      <c r="C67" s="32"/>
      <c r="D67" s="32"/>
      <c r="E67" s="96" t="s">
        <v>127</v>
      </c>
      <c r="F67" s="246" t="s">
        <v>60</v>
      </c>
      <c r="G67" s="47" t="s">
        <v>13</v>
      </c>
      <c r="H67" s="47" t="s">
        <v>13</v>
      </c>
      <c r="I67" s="47">
        <v>100</v>
      </c>
      <c r="J67" s="47">
        <v>-7</v>
      </c>
      <c r="K67" s="47" t="s">
        <v>13</v>
      </c>
      <c r="L67" s="48">
        <f t="shared" ref="L67:L69" si="1">(I67+J67)/(I67+$J$69)*100</f>
        <v>80.869565217391298</v>
      </c>
      <c r="M67" s="47">
        <v>3</v>
      </c>
      <c r="N67" s="60">
        <v>1</v>
      </c>
      <c r="O67" s="205">
        <f>IF(M67=1,1,0)</f>
        <v>0</v>
      </c>
      <c r="P67" s="207">
        <f>IF(M67=2,1,0)</f>
        <v>0</v>
      </c>
      <c r="Q67" s="207">
        <f>IF(M67=3,1,0)</f>
        <v>1</v>
      </c>
      <c r="R67" s="9">
        <f>IF(M67=4,1,0)</f>
        <v>0</v>
      </c>
      <c r="S67" s="201"/>
      <c r="T67" s="32"/>
      <c r="U67" s="13"/>
    </row>
    <row r="68" spans="2:31" ht="20.100000000000001" customHeight="1" x14ac:dyDescent="0.25">
      <c r="B68" s="13"/>
      <c r="C68" s="32"/>
      <c r="D68" s="32"/>
      <c r="E68" s="96" t="s">
        <v>0</v>
      </c>
      <c r="F68" s="246" t="s">
        <v>5</v>
      </c>
      <c r="G68" s="47" t="s">
        <v>13</v>
      </c>
      <c r="H68" s="47" t="s">
        <v>13</v>
      </c>
      <c r="I68" s="47">
        <v>100</v>
      </c>
      <c r="J68" s="47">
        <v>10</v>
      </c>
      <c r="K68" s="47" t="s">
        <v>13</v>
      </c>
      <c r="L68" s="48">
        <f t="shared" si="1"/>
        <v>95.652173913043484</v>
      </c>
      <c r="M68" s="47">
        <v>2</v>
      </c>
      <c r="N68" s="60">
        <v>3</v>
      </c>
      <c r="O68" s="205">
        <f>IF(M68=1,1,0)</f>
        <v>0</v>
      </c>
      <c r="P68" s="207">
        <f>IF(M68=2,1,0)</f>
        <v>1</v>
      </c>
      <c r="Q68" s="207">
        <f>IF(M68=3,1,0)</f>
        <v>0</v>
      </c>
      <c r="R68" s="9">
        <f>IF(M68=4,1,0)</f>
        <v>0</v>
      </c>
      <c r="S68" s="201"/>
      <c r="T68" s="32"/>
      <c r="U68" s="13"/>
    </row>
    <row r="69" spans="2:31" ht="20.100000000000001" customHeight="1" thickBot="1" x14ac:dyDescent="0.3">
      <c r="B69" s="13"/>
      <c r="C69" s="32"/>
      <c r="D69" s="65"/>
      <c r="E69" s="282" t="s">
        <v>123</v>
      </c>
      <c r="F69" s="417" t="s">
        <v>124</v>
      </c>
      <c r="G69" s="284" t="s">
        <v>13</v>
      </c>
      <c r="H69" s="284" t="s">
        <v>13</v>
      </c>
      <c r="I69" s="284">
        <v>100</v>
      </c>
      <c r="J69" s="284">
        <v>15</v>
      </c>
      <c r="K69" s="284" t="s">
        <v>13</v>
      </c>
      <c r="L69" s="286">
        <f t="shared" si="1"/>
        <v>100</v>
      </c>
      <c r="M69" s="284">
        <v>1</v>
      </c>
      <c r="N69" s="287">
        <v>6</v>
      </c>
      <c r="O69" s="58">
        <f>IF(M69=1,1,0)</f>
        <v>1</v>
      </c>
      <c r="P69" s="208">
        <f>IF(M69=2,1,0)</f>
        <v>0</v>
      </c>
      <c r="Q69" s="208">
        <f>IF(M69=3,1,0)</f>
        <v>0</v>
      </c>
      <c r="R69" s="10">
        <f>IF(M69=4,1,0)</f>
        <v>0</v>
      </c>
      <c r="S69" s="201"/>
      <c r="T69" s="32"/>
      <c r="U69" s="13"/>
    </row>
    <row r="70" spans="2:31" ht="20.100000000000001" hidden="1" customHeight="1" outlineLevel="1" thickBot="1" x14ac:dyDescent="0.3">
      <c r="B70" s="13"/>
      <c r="C70" s="32"/>
      <c r="D70" s="32"/>
      <c r="E70" s="32"/>
      <c r="F70" s="535"/>
      <c r="G70" s="535"/>
      <c r="H70" s="32"/>
      <c r="I70" s="62" t="s">
        <v>29</v>
      </c>
      <c r="J70" s="23">
        <f>MAX(J66:J69)</f>
        <v>15</v>
      </c>
      <c r="K70" s="78"/>
      <c r="L70" s="201"/>
      <c r="M70" s="32"/>
      <c r="N70" s="63" t="s">
        <v>33</v>
      </c>
      <c r="O70" s="20">
        <f>SUM(O66:O69)</f>
        <v>1</v>
      </c>
      <c r="P70" s="21">
        <f>SUM(P66:P69)</f>
        <v>1</v>
      </c>
      <c r="Q70" s="20">
        <f>SUM(Q66:Q69)</f>
        <v>1</v>
      </c>
      <c r="R70" s="22">
        <f>SUM(R66:R69)</f>
        <v>1</v>
      </c>
      <c r="S70" s="79"/>
      <c r="T70" s="32"/>
      <c r="U70" s="13"/>
    </row>
    <row r="71" spans="2:31" ht="20.100000000000001" customHeight="1" collapsed="1" x14ac:dyDescent="0.25">
      <c r="B71" s="13"/>
      <c r="C71" s="32"/>
      <c r="D71" s="32"/>
      <c r="E71" s="32"/>
      <c r="F71" s="32"/>
      <c r="G71" s="32"/>
      <c r="H71" s="32"/>
      <c r="I71" s="32"/>
      <c r="J71" s="32"/>
      <c r="K71" s="32"/>
      <c r="L71" s="32"/>
      <c r="M71" s="32"/>
      <c r="N71" s="32"/>
      <c r="O71" s="32"/>
      <c r="P71" s="32"/>
      <c r="Q71" s="32"/>
      <c r="R71" s="32"/>
      <c r="S71" s="32"/>
      <c r="T71" s="32"/>
      <c r="U71" s="13"/>
    </row>
    <row r="72" spans="2:31" ht="20.100000000000001" customHeight="1" x14ac:dyDescent="0.25">
      <c r="B72" s="13"/>
      <c r="D72" s="4"/>
      <c r="E72" s="4"/>
      <c r="F72" s="4"/>
      <c r="G72" s="4"/>
      <c r="H72" s="4"/>
      <c r="I72" s="4"/>
      <c r="J72" s="4"/>
      <c r="U72" s="13"/>
    </row>
    <row r="73" spans="2:31" ht="30" customHeight="1" thickBot="1" x14ac:dyDescent="0.3">
      <c r="B73" s="13"/>
      <c r="C73" s="33"/>
      <c r="D73" s="536" t="s">
        <v>49</v>
      </c>
      <c r="E73" s="536"/>
      <c r="F73" s="536"/>
      <c r="G73" s="536"/>
      <c r="H73" s="536"/>
      <c r="I73" s="536"/>
      <c r="J73" s="536"/>
      <c r="K73" s="536"/>
      <c r="L73" s="536"/>
      <c r="M73" s="536"/>
      <c r="N73" s="536"/>
      <c r="O73" s="536"/>
      <c r="P73" s="536"/>
      <c r="Q73" s="536"/>
      <c r="R73" s="536"/>
      <c r="S73" s="536"/>
      <c r="T73" s="33"/>
      <c r="U73" s="13"/>
    </row>
    <row r="74" spans="2:31" ht="50.1" customHeight="1" thickBot="1" x14ac:dyDescent="0.3">
      <c r="B74" s="13"/>
      <c r="C74" s="33"/>
      <c r="D74" s="90" t="s">
        <v>10</v>
      </c>
      <c r="E74" s="93" t="s">
        <v>139</v>
      </c>
      <c r="F74" s="91" t="s">
        <v>15</v>
      </c>
      <c r="G74" s="42" t="s">
        <v>55</v>
      </c>
      <c r="H74" s="537" t="s">
        <v>56</v>
      </c>
      <c r="I74" s="538"/>
      <c r="J74" s="202" t="s">
        <v>66</v>
      </c>
      <c r="K74" s="92" t="s">
        <v>17</v>
      </c>
      <c r="L74" s="91" t="s">
        <v>18</v>
      </c>
      <c r="M74" s="92" t="s">
        <v>19</v>
      </c>
      <c r="N74" s="91" t="s">
        <v>20</v>
      </c>
      <c r="O74" s="130"/>
      <c r="P74" s="126"/>
      <c r="Q74" s="126"/>
      <c r="R74" s="126"/>
      <c r="S74" s="93" t="s">
        <v>38</v>
      </c>
      <c r="T74" s="33"/>
      <c r="U74" s="13"/>
    </row>
    <row r="75" spans="2:31" ht="20.100000000000001" customHeight="1" x14ac:dyDescent="0.25">
      <c r="B75" s="13"/>
      <c r="C75" s="33"/>
      <c r="D75" s="329" t="s">
        <v>127</v>
      </c>
      <c r="E75" s="375" t="s">
        <v>60</v>
      </c>
      <c r="F75" s="266">
        <f>(K75*6+L75*3+M75*1+N75*0)</f>
        <v>19</v>
      </c>
      <c r="G75" s="266">
        <v>0</v>
      </c>
      <c r="H75" s="603" t="s">
        <v>13</v>
      </c>
      <c r="I75" s="603"/>
      <c r="J75" s="266">
        <f>F75+G75</f>
        <v>19</v>
      </c>
      <c r="K75" s="266">
        <v>3</v>
      </c>
      <c r="L75" s="266">
        <v>0</v>
      </c>
      <c r="M75" s="266">
        <v>1</v>
      </c>
      <c r="N75" s="266">
        <v>0</v>
      </c>
      <c r="O75" s="266"/>
      <c r="P75" s="266"/>
      <c r="Q75" s="266"/>
      <c r="R75" s="266"/>
      <c r="S75" s="146">
        <f>(L40+L49+L58+L67)/4</f>
        <v>95.217391304347828</v>
      </c>
      <c r="T75" s="33"/>
      <c r="U75" s="13"/>
      <c r="W75" s="127"/>
      <c r="X75" s="127"/>
      <c r="Y75" s="127"/>
      <c r="Z75" s="127"/>
    </row>
    <row r="76" spans="2:31" ht="20.100000000000001" customHeight="1" x14ac:dyDescent="0.25">
      <c r="B76" s="13"/>
      <c r="C76" s="33"/>
      <c r="D76" s="51" t="s">
        <v>123</v>
      </c>
      <c r="E76" s="278" t="s">
        <v>124</v>
      </c>
      <c r="F76" s="265">
        <f>(K76*6+L76*3+M76*1+N76*0)</f>
        <v>10</v>
      </c>
      <c r="G76" s="265">
        <v>0</v>
      </c>
      <c r="H76" s="605" t="s">
        <v>13</v>
      </c>
      <c r="I76" s="605"/>
      <c r="J76" s="265">
        <f>F76+G76</f>
        <v>10</v>
      </c>
      <c r="K76" s="265">
        <v>1</v>
      </c>
      <c r="L76" s="265">
        <v>1</v>
      </c>
      <c r="M76" s="265">
        <v>1</v>
      </c>
      <c r="N76" s="265">
        <v>1</v>
      </c>
      <c r="O76" s="265"/>
      <c r="P76" s="265"/>
      <c r="Q76" s="265"/>
      <c r="R76" s="265"/>
      <c r="S76" s="145">
        <f>(L39+L48+L57+L66)/4</f>
        <v>54.173382454524521</v>
      </c>
      <c r="T76" s="33"/>
      <c r="U76" s="13"/>
      <c r="W76" s="192"/>
      <c r="X76" s="192"/>
      <c r="Y76" s="192"/>
      <c r="Z76" s="192"/>
    </row>
    <row r="77" spans="2:31" ht="20.100000000000001" customHeight="1" x14ac:dyDescent="0.25">
      <c r="B77" s="13"/>
      <c r="C77" s="33"/>
      <c r="D77" s="155" t="s">
        <v>0</v>
      </c>
      <c r="E77" s="357" t="s">
        <v>5</v>
      </c>
      <c r="F77" s="265">
        <f>(K77*6+L77*3+M77*1+N77*0)</f>
        <v>10</v>
      </c>
      <c r="G77" s="265">
        <v>0</v>
      </c>
      <c r="H77" s="605" t="s">
        <v>13</v>
      </c>
      <c r="I77" s="605"/>
      <c r="J77" s="265">
        <f>F77+G77</f>
        <v>10</v>
      </c>
      <c r="K77" s="265">
        <v>0</v>
      </c>
      <c r="L77" s="265">
        <v>3</v>
      </c>
      <c r="M77" s="265">
        <v>1</v>
      </c>
      <c r="N77" s="265">
        <v>0</v>
      </c>
      <c r="O77" s="265"/>
      <c r="P77" s="265"/>
      <c r="Q77" s="265"/>
      <c r="R77" s="265"/>
      <c r="S77" s="145">
        <f>(L41+L50+L59+L68)/4</f>
        <v>81.582281332278825</v>
      </c>
      <c r="T77" s="33"/>
      <c r="U77" s="13"/>
      <c r="W77" s="192"/>
      <c r="X77" s="192"/>
      <c r="Y77" s="192"/>
      <c r="Z77" s="192"/>
    </row>
    <row r="78" spans="2:31" ht="20.100000000000001" customHeight="1" thickBot="1" x14ac:dyDescent="0.3">
      <c r="B78" s="13"/>
      <c r="C78" s="33"/>
      <c r="D78" s="260" t="s">
        <v>114</v>
      </c>
      <c r="E78" s="376" t="s">
        <v>102</v>
      </c>
      <c r="F78" s="267">
        <f>(K78*6+L78*3+M78*1+N78*0)</f>
        <v>1</v>
      </c>
      <c r="G78" s="267">
        <v>0</v>
      </c>
      <c r="H78" s="583" t="s">
        <v>13</v>
      </c>
      <c r="I78" s="806"/>
      <c r="J78" s="267">
        <f>F78+G78</f>
        <v>1</v>
      </c>
      <c r="K78" s="267">
        <v>0</v>
      </c>
      <c r="L78" s="267">
        <v>0</v>
      </c>
      <c r="M78" s="267">
        <v>1</v>
      </c>
      <c r="N78" s="267">
        <v>3</v>
      </c>
      <c r="O78" s="267"/>
      <c r="P78" s="267"/>
      <c r="Q78" s="267"/>
      <c r="R78" s="267"/>
      <c r="S78" s="147">
        <f>(L42+L51+L60+L69)/4</f>
        <v>72.150587151738435</v>
      </c>
      <c r="T78" s="33"/>
      <c r="U78" s="13"/>
      <c r="W78" s="192"/>
      <c r="X78" s="192"/>
      <c r="Y78" s="192"/>
      <c r="Z78" s="192"/>
      <c r="AB78" s="192"/>
      <c r="AC78" s="192"/>
      <c r="AD78" s="192"/>
      <c r="AE78" s="192"/>
    </row>
    <row r="79" spans="2:31" ht="20.100000000000001" customHeight="1" x14ac:dyDescent="0.25">
      <c r="B79" s="13"/>
      <c r="C79" s="33"/>
      <c r="D79" s="373"/>
      <c r="E79" s="373"/>
      <c r="F79" s="16"/>
      <c r="G79" s="16"/>
      <c r="H79" s="782"/>
      <c r="I79" s="783"/>
      <c r="J79" s="16"/>
      <c r="K79" s="16"/>
      <c r="L79" s="16"/>
      <c r="M79" s="16"/>
      <c r="N79" s="16"/>
      <c r="O79" s="16"/>
      <c r="P79" s="16"/>
      <c r="Q79" s="16"/>
      <c r="R79" s="16"/>
      <c r="S79" s="374"/>
      <c r="T79" s="33"/>
      <c r="U79" s="13"/>
      <c r="W79" s="192"/>
      <c r="X79" s="192"/>
      <c r="Y79" s="192"/>
      <c r="Z79" s="192"/>
    </row>
    <row r="80" spans="2:31" ht="20.100000000000001" customHeight="1" x14ac:dyDescent="0.25">
      <c r="B80" s="13"/>
      <c r="C80" s="13"/>
      <c r="D80" s="15"/>
      <c r="E80" s="15"/>
      <c r="F80" s="14"/>
      <c r="G80" s="14"/>
      <c r="H80" s="15"/>
      <c r="I80" s="15"/>
      <c r="J80" s="15"/>
      <c r="K80" s="13"/>
      <c r="L80" s="13"/>
      <c r="M80" s="13"/>
      <c r="N80" s="13"/>
      <c r="O80" s="13"/>
      <c r="P80" s="13"/>
      <c r="Q80" s="13"/>
      <c r="R80" s="13"/>
      <c r="S80" s="13"/>
      <c r="T80" s="13"/>
      <c r="U80" s="13"/>
    </row>
    <row r="81" spans="2:21" ht="20.100000000000001" customHeight="1" x14ac:dyDescent="0.25">
      <c r="D81" s="11"/>
    </row>
    <row r="82" spans="2:21" ht="20.100000000000001" customHeight="1" x14ac:dyDescent="0.25">
      <c r="D82" s="34"/>
    </row>
    <row r="83" spans="2:21" ht="20.100000000000001" customHeight="1" x14ac:dyDescent="0.25">
      <c r="B83" s="13"/>
      <c r="C83" s="13"/>
      <c r="D83" s="25"/>
      <c r="E83" s="25"/>
      <c r="F83" s="25"/>
      <c r="G83" s="25"/>
      <c r="H83" s="13"/>
      <c r="I83" s="13"/>
      <c r="J83" s="13"/>
      <c r="K83" s="13"/>
      <c r="L83" s="13"/>
      <c r="M83" s="13"/>
      <c r="N83" s="13"/>
      <c r="O83" s="13"/>
      <c r="P83" s="13"/>
      <c r="Q83" s="13"/>
      <c r="R83" s="13"/>
      <c r="S83" s="13"/>
      <c r="T83" s="13"/>
      <c r="U83" s="13"/>
    </row>
    <row r="84" spans="2:21" ht="30" customHeight="1" x14ac:dyDescent="0.25">
      <c r="B84" s="13"/>
      <c r="C84" s="555" t="s">
        <v>74</v>
      </c>
      <c r="D84" s="555"/>
      <c r="E84" s="555"/>
      <c r="F84" s="555"/>
      <c r="G84" s="555"/>
      <c r="H84" s="555"/>
      <c r="I84" s="555"/>
      <c r="J84" s="555"/>
      <c r="K84" s="555"/>
      <c r="L84" s="555"/>
      <c r="M84" s="555"/>
      <c r="N84" s="555"/>
      <c r="O84" s="555"/>
      <c r="P84" s="555"/>
      <c r="Q84" s="555"/>
      <c r="R84" s="555"/>
      <c r="S84" s="555"/>
      <c r="T84" s="555"/>
      <c r="U84" s="13"/>
    </row>
    <row r="85" spans="2:21" ht="20.100000000000001" customHeight="1" thickBot="1" x14ac:dyDescent="0.3">
      <c r="B85" s="13"/>
      <c r="U85" s="13"/>
    </row>
    <row r="86" spans="2:21" ht="20.100000000000001" customHeight="1" thickBot="1" x14ac:dyDescent="0.3">
      <c r="B86" s="13"/>
      <c r="D86" s="556" t="s">
        <v>10</v>
      </c>
      <c r="E86" s="558" t="s">
        <v>139</v>
      </c>
      <c r="F86" s="560" t="s">
        <v>22</v>
      </c>
      <c r="G86" s="561" t="s">
        <v>42</v>
      </c>
      <c r="H86" s="561"/>
      <c r="I86" s="561"/>
      <c r="J86" s="562"/>
      <c r="K86" s="200" t="s">
        <v>36</v>
      </c>
      <c r="L86" s="563" t="s">
        <v>27</v>
      </c>
      <c r="M86" s="561"/>
      <c r="N86" s="561"/>
      <c r="O86" s="561"/>
      <c r="P86" s="561"/>
      <c r="Q86" s="561"/>
      <c r="R86" s="561"/>
      <c r="S86" s="562"/>
      <c r="U86" s="13"/>
    </row>
    <row r="87" spans="2:21" ht="20.100000000000001" customHeight="1" thickBot="1" x14ac:dyDescent="0.3">
      <c r="B87" s="13"/>
      <c r="D87" s="557"/>
      <c r="E87" s="559"/>
      <c r="F87" s="559"/>
      <c r="G87" s="86" t="s">
        <v>43</v>
      </c>
      <c r="H87" s="85" t="s">
        <v>24</v>
      </c>
      <c r="I87" s="556" t="s">
        <v>23</v>
      </c>
      <c r="J87" s="564"/>
      <c r="K87" s="85" t="s">
        <v>25</v>
      </c>
      <c r="L87" s="94" t="s">
        <v>43</v>
      </c>
      <c r="M87" s="87" t="s">
        <v>26</v>
      </c>
      <c r="N87" s="556" t="s">
        <v>23</v>
      </c>
      <c r="O87" s="588"/>
      <c r="P87" s="588"/>
      <c r="Q87" s="588"/>
      <c r="R87" s="588"/>
      <c r="S87" s="564"/>
      <c r="U87" s="13"/>
    </row>
    <row r="88" spans="2:21" ht="42" customHeight="1" x14ac:dyDescent="0.25">
      <c r="B88" s="13"/>
      <c r="D88" s="641" t="s">
        <v>125</v>
      </c>
      <c r="E88" s="733" t="s">
        <v>126</v>
      </c>
      <c r="F88" s="647">
        <v>1</v>
      </c>
      <c r="G88" s="735" t="s">
        <v>44</v>
      </c>
      <c r="H88" s="833" t="s">
        <v>71</v>
      </c>
      <c r="I88" s="656" t="s">
        <v>231</v>
      </c>
      <c r="J88" s="657"/>
      <c r="K88" s="911" t="s">
        <v>155</v>
      </c>
      <c r="L88" s="740" t="s">
        <v>13</v>
      </c>
      <c r="M88" s="627" t="s">
        <v>13</v>
      </c>
      <c r="N88" s="630" t="s">
        <v>13</v>
      </c>
      <c r="O88" s="631"/>
      <c r="P88" s="631"/>
      <c r="Q88" s="631"/>
      <c r="R88" s="631"/>
      <c r="S88" s="632"/>
      <c r="U88" s="13"/>
    </row>
    <row r="89" spans="2:21" ht="15" customHeight="1" x14ac:dyDescent="0.25">
      <c r="B89" s="13"/>
      <c r="D89" s="642"/>
      <c r="E89" s="742"/>
      <c r="F89" s="648"/>
      <c r="G89" s="755"/>
      <c r="H89" s="918"/>
      <c r="I89" s="639" t="s">
        <v>232</v>
      </c>
      <c r="J89" s="640"/>
      <c r="K89" s="702"/>
      <c r="L89" s="731"/>
      <c r="M89" s="628"/>
      <c r="N89" s="633"/>
      <c r="O89" s="634"/>
      <c r="P89" s="634"/>
      <c r="Q89" s="634"/>
      <c r="R89" s="634"/>
      <c r="S89" s="635"/>
      <c r="U89" s="13"/>
    </row>
    <row r="90" spans="2:21" ht="15" customHeight="1" x14ac:dyDescent="0.25">
      <c r="B90" s="13"/>
      <c r="D90" s="643"/>
      <c r="E90" s="734"/>
      <c r="F90" s="649"/>
      <c r="G90" s="736"/>
      <c r="H90" s="919"/>
      <c r="I90" s="737" t="s">
        <v>215</v>
      </c>
      <c r="J90" s="753"/>
      <c r="K90" s="751"/>
      <c r="L90" s="732"/>
      <c r="M90" s="629"/>
      <c r="N90" s="636"/>
      <c r="O90" s="637"/>
      <c r="P90" s="637"/>
      <c r="Q90" s="637"/>
      <c r="R90" s="637"/>
      <c r="S90" s="638"/>
      <c r="U90" s="13"/>
    </row>
    <row r="91" spans="2:21" ht="20.100000000000001" customHeight="1" x14ac:dyDescent="0.25">
      <c r="B91" s="13"/>
      <c r="D91" s="232" t="s">
        <v>47</v>
      </c>
      <c r="E91" s="395" t="s">
        <v>64</v>
      </c>
      <c r="F91" s="411">
        <v>2</v>
      </c>
      <c r="G91" s="214" t="s">
        <v>44</v>
      </c>
      <c r="H91" s="433" t="s">
        <v>431</v>
      </c>
      <c r="I91" s="671" t="s">
        <v>432</v>
      </c>
      <c r="J91" s="673"/>
      <c r="K91" s="450" t="s">
        <v>155</v>
      </c>
      <c r="L91" s="346" t="s">
        <v>13</v>
      </c>
      <c r="M91" s="347" t="s">
        <v>13</v>
      </c>
      <c r="N91" s="658" t="s">
        <v>13</v>
      </c>
      <c r="O91" s="659"/>
      <c r="P91" s="659"/>
      <c r="Q91" s="659"/>
      <c r="R91" s="659"/>
      <c r="S91" s="660"/>
      <c r="U91" s="13"/>
    </row>
    <row r="92" spans="2:21" x14ac:dyDescent="0.25">
      <c r="B92" s="13"/>
      <c r="D92" s="663" t="s">
        <v>2</v>
      </c>
      <c r="E92" s="741" t="s">
        <v>8</v>
      </c>
      <c r="F92" s="667">
        <v>3</v>
      </c>
      <c r="G92" s="743" t="s">
        <v>44</v>
      </c>
      <c r="H92" s="746" t="s">
        <v>155</v>
      </c>
      <c r="I92" s="681" t="s">
        <v>433</v>
      </c>
      <c r="J92" s="684"/>
      <c r="K92" s="865" t="s">
        <v>12</v>
      </c>
      <c r="L92" s="743" t="s">
        <v>44</v>
      </c>
      <c r="M92" s="814" t="s">
        <v>436</v>
      </c>
      <c r="N92" s="746" t="s">
        <v>437</v>
      </c>
      <c r="O92" s="895"/>
      <c r="P92" s="895"/>
      <c r="Q92" s="895"/>
      <c r="R92" s="895"/>
      <c r="S92" s="896"/>
      <c r="U92" s="13"/>
    </row>
    <row r="93" spans="2:21" x14ac:dyDescent="0.25">
      <c r="B93" s="13"/>
      <c r="D93" s="642"/>
      <c r="E93" s="742"/>
      <c r="F93" s="648"/>
      <c r="G93" s="744"/>
      <c r="H93" s="747"/>
      <c r="I93" s="682" t="s">
        <v>434</v>
      </c>
      <c r="J93" s="702"/>
      <c r="K93" s="866"/>
      <c r="L93" s="744"/>
      <c r="M93" s="894"/>
      <c r="N93" s="747"/>
      <c r="O93" s="897"/>
      <c r="P93" s="897"/>
      <c r="Q93" s="897"/>
      <c r="R93" s="897"/>
      <c r="S93" s="898"/>
      <c r="U93" s="13"/>
    </row>
    <row r="94" spans="2:21" x14ac:dyDescent="0.25">
      <c r="B94" s="13"/>
      <c r="D94" s="643"/>
      <c r="E94" s="734"/>
      <c r="F94" s="649"/>
      <c r="G94" s="745"/>
      <c r="H94" s="748"/>
      <c r="I94" s="683" t="s">
        <v>435</v>
      </c>
      <c r="J94" s="751"/>
      <c r="K94" s="867"/>
      <c r="L94" s="745"/>
      <c r="M94" s="815"/>
      <c r="N94" s="748"/>
      <c r="O94" s="899"/>
      <c r="P94" s="899"/>
      <c r="Q94" s="899"/>
      <c r="R94" s="899"/>
      <c r="S94" s="900"/>
      <c r="U94" s="13"/>
    </row>
    <row r="95" spans="2:21" x14ac:dyDescent="0.25">
      <c r="B95" s="13"/>
      <c r="D95" s="789" t="s">
        <v>128</v>
      </c>
      <c r="E95" s="791" t="s">
        <v>129</v>
      </c>
      <c r="F95" s="846">
        <v>4</v>
      </c>
      <c r="G95" s="795" t="s">
        <v>44</v>
      </c>
      <c r="H95" s="612" t="s">
        <v>363</v>
      </c>
      <c r="I95" s="709" t="s">
        <v>364</v>
      </c>
      <c r="J95" s="710"/>
      <c r="K95" s="912" t="s">
        <v>155</v>
      </c>
      <c r="L95" s="797" t="s">
        <v>13</v>
      </c>
      <c r="M95" s="593" t="s">
        <v>13</v>
      </c>
      <c r="N95" s="593" t="s">
        <v>13</v>
      </c>
      <c r="O95" s="593"/>
      <c r="P95" s="593"/>
      <c r="Q95" s="593"/>
      <c r="R95" s="593"/>
      <c r="S95" s="594"/>
      <c r="U95" s="13"/>
    </row>
    <row r="96" spans="2:21" ht="30" customHeight="1" thickBot="1" x14ac:dyDescent="0.3">
      <c r="B96" s="13"/>
      <c r="D96" s="790"/>
      <c r="E96" s="792"/>
      <c r="F96" s="847"/>
      <c r="G96" s="796"/>
      <c r="H96" s="599"/>
      <c r="I96" s="711" t="s">
        <v>365</v>
      </c>
      <c r="J96" s="712"/>
      <c r="K96" s="913"/>
      <c r="L96" s="798"/>
      <c r="M96" s="601"/>
      <c r="N96" s="601"/>
      <c r="O96" s="601"/>
      <c r="P96" s="601"/>
      <c r="Q96" s="601"/>
      <c r="R96" s="601"/>
      <c r="S96" s="602"/>
      <c r="U96" s="13"/>
    </row>
    <row r="97" spans="2:21" ht="20.100000000000001" customHeight="1" x14ac:dyDescent="0.25">
      <c r="B97" s="13"/>
      <c r="U97" s="13"/>
    </row>
    <row r="98" spans="2:21" ht="20.100000000000001" customHeight="1" thickBot="1" x14ac:dyDescent="0.3">
      <c r="B98" s="13"/>
      <c r="C98" s="26"/>
      <c r="D98" s="26"/>
      <c r="E98" s="552" t="str">
        <f>IF(OR(L88="-",L88= ""),H88,L88)</f>
        <v>Die Burgen von Burgund</v>
      </c>
      <c r="F98" s="552"/>
      <c r="G98" s="552"/>
      <c r="H98" s="552"/>
      <c r="I98" s="552"/>
      <c r="J98" s="552"/>
      <c r="K98" s="552"/>
      <c r="L98" s="552"/>
      <c r="M98" s="552"/>
      <c r="N98" s="552"/>
      <c r="O98" s="199"/>
      <c r="P98" s="199"/>
      <c r="Q98" s="199"/>
      <c r="R98" s="199"/>
      <c r="S98" s="199"/>
      <c r="T98" s="26"/>
      <c r="U98" s="13"/>
    </row>
    <row r="99" spans="2:21" ht="50.1" customHeight="1" thickBot="1" x14ac:dyDescent="0.3">
      <c r="B99" s="13"/>
      <c r="C99" s="26"/>
      <c r="D99" s="199"/>
      <c r="E99" s="88" t="s">
        <v>10</v>
      </c>
      <c r="F99" s="125" t="s">
        <v>52</v>
      </c>
      <c r="G99" s="89" t="s">
        <v>14</v>
      </c>
      <c r="H99" s="200" t="s">
        <v>51</v>
      </c>
      <c r="I99" s="18" t="s">
        <v>54</v>
      </c>
      <c r="J99" s="200" t="s">
        <v>53</v>
      </c>
      <c r="K99" s="206" t="s">
        <v>28</v>
      </c>
      <c r="L99" s="200" t="s">
        <v>37</v>
      </c>
      <c r="M99" s="204" t="s">
        <v>16</v>
      </c>
      <c r="N99" s="89" t="s">
        <v>15</v>
      </c>
      <c r="O99" s="5" t="s">
        <v>30</v>
      </c>
      <c r="P99" s="7" t="s">
        <v>34</v>
      </c>
      <c r="Q99" s="7" t="s">
        <v>31</v>
      </c>
      <c r="R99" s="19" t="s">
        <v>32</v>
      </c>
      <c r="S99" s="199"/>
      <c r="T99" s="26"/>
      <c r="U99" s="13"/>
    </row>
    <row r="100" spans="2:21" ht="20.100000000000001" customHeight="1" x14ac:dyDescent="0.25">
      <c r="B100" s="13"/>
      <c r="C100" s="26"/>
      <c r="D100" s="68"/>
      <c r="E100" s="365" t="s">
        <v>125</v>
      </c>
      <c r="F100" s="253" t="s">
        <v>126</v>
      </c>
      <c r="G100" s="49">
        <v>3</v>
      </c>
      <c r="H100" s="49" t="s">
        <v>162</v>
      </c>
      <c r="I100" s="49">
        <v>0</v>
      </c>
      <c r="J100" s="122">
        <v>220</v>
      </c>
      <c r="K100" s="49" t="s">
        <v>13</v>
      </c>
      <c r="L100" s="50">
        <f>IF(J100="",0,(J100/J104)*100)</f>
        <v>89.068825910931167</v>
      </c>
      <c r="M100" s="49">
        <v>3</v>
      </c>
      <c r="N100" s="61">
        <v>1</v>
      </c>
      <c r="O100" s="57">
        <f>IF(M100=1,1,0)</f>
        <v>0</v>
      </c>
      <c r="P100" s="209">
        <f>IF(M100=2,1,0)</f>
        <v>0</v>
      </c>
      <c r="Q100" s="209">
        <f>IF(M100=3,1,0)</f>
        <v>1</v>
      </c>
      <c r="R100" s="8">
        <f>IF(M100=4,1,0)</f>
        <v>0</v>
      </c>
      <c r="S100" s="198"/>
      <c r="T100" s="26"/>
      <c r="U100" s="13"/>
    </row>
    <row r="101" spans="2:21" ht="20.100000000000001" customHeight="1" x14ac:dyDescent="0.25">
      <c r="B101" s="13"/>
      <c r="C101" s="26"/>
      <c r="D101" s="26"/>
      <c r="E101" s="303" t="s">
        <v>47</v>
      </c>
      <c r="F101" s="247" t="s">
        <v>64</v>
      </c>
      <c r="G101" s="47">
        <v>2</v>
      </c>
      <c r="H101" s="47" t="s">
        <v>163</v>
      </c>
      <c r="I101" s="47">
        <v>0</v>
      </c>
      <c r="J101" s="100">
        <v>235</v>
      </c>
      <c r="K101" s="100" t="s">
        <v>13</v>
      </c>
      <c r="L101" s="48">
        <f>IF(J101="",0,(J101/J104)*100)</f>
        <v>95.141700404858298</v>
      </c>
      <c r="M101" s="47">
        <v>2</v>
      </c>
      <c r="N101" s="60">
        <v>3</v>
      </c>
      <c r="O101" s="205">
        <f>IF(M101=1,1,0)</f>
        <v>0</v>
      </c>
      <c r="P101" s="207">
        <f>IF(M101=2,1,0)</f>
        <v>1</v>
      </c>
      <c r="Q101" s="207">
        <f>IF(M101=3,1,0)</f>
        <v>0</v>
      </c>
      <c r="R101" s="9">
        <f>IF(M101=4,1,0)</f>
        <v>0</v>
      </c>
      <c r="S101" s="198"/>
      <c r="T101" s="26"/>
      <c r="U101" s="13"/>
    </row>
    <row r="102" spans="2:21" ht="20.100000000000001" customHeight="1" x14ac:dyDescent="0.25">
      <c r="B102" s="13"/>
      <c r="C102" s="26"/>
      <c r="D102" s="26"/>
      <c r="E102" s="110" t="s">
        <v>2</v>
      </c>
      <c r="F102" s="273" t="s">
        <v>8</v>
      </c>
      <c r="G102" s="149">
        <v>4</v>
      </c>
      <c r="H102" s="149" t="s">
        <v>238</v>
      </c>
      <c r="I102" s="149">
        <v>0</v>
      </c>
      <c r="J102" s="123">
        <v>247</v>
      </c>
      <c r="K102" s="149" t="s">
        <v>13</v>
      </c>
      <c r="L102" s="38">
        <f>IF(J102="",0,(J102/J104)*100)</f>
        <v>100</v>
      </c>
      <c r="M102" s="149">
        <v>1</v>
      </c>
      <c r="N102" s="108">
        <v>6</v>
      </c>
      <c r="O102" s="205">
        <f>IF(M102=1,1,0)</f>
        <v>1</v>
      </c>
      <c r="P102" s="207">
        <f>IF(M102=2,1,0)</f>
        <v>0</v>
      </c>
      <c r="Q102" s="207">
        <f>IF(M102=3,1,0)</f>
        <v>0</v>
      </c>
      <c r="R102" s="9">
        <f>IF(M102=4,1,0)</f>
        <v>0</v>
      </c>
      <c r="S102" s="198"/>
      <c r="T102" s="26"/>
      <c r="U102" s="13"/>
    </row>
    <row r="103" spans="2:21" ht="20.100000000000001" customHeight="1" thickBot="1" x14ac:dyDescent="0.3">
      <c r="B103" s="13"/>
      <c r="C103" s="26"/>
      <c r="D103" s="26"/>
      <c r="E103" s="41" t="s">
        <v>128</v>
      </c>
      <c r="F103" s="255" t="s">
        <v>129</v>
      </c>
      <c r="G103" s="150">
        <v>1</v>
      </c>
      <c r="H103" s="107" t="s">
        <v>167</v>
      </c>
      <c r="I103" s="150">
        <v>0</v>
      </c>
      <c r="J103" s="107">
        <v>229</v>
      </c>
      <c r="K103" s="107" t="s">
        <v>13</v>
      </c>
      <c r="L103" s="17">
        <f>IF(J103="",0,(J103/J104)*100)</f>
        <v>92.712550607287454</v>
      </c>
      <c r="M103" s="150">
        <v>4</v>
      </c>
      <c r="N103" s="59">
        <v>0</v>
      </c>
      <c r="O103" s="58">
        <f>IF(M103=1,1,0)</f>
        <v>0</v>
      </c>
      <c r="P103" s="208">
        <f>IF(M103=2,1,0)</f>
        <v>0</v>
      </c>
      <c r="Q103" s="208">
        <f>IF(M103=3,1,0)</f>
        <v>0</v>
      </c>
      <c r="R103" s="10">
        <f>IF(M103=4,1,0)</f>
        <v>1</v>
      </c>
      <c r="S103" s="198"/>
      <c r="T103" s="26"/>
      <c r="U103" s="13"/>
    </row>
    <row r="104" spans="2:21" ht="20.100000000000001" hidden="1" customHeight="1" outlineLevel="1" x14ac:dyDescent="0.25">
      <c r="B104" s="13"/>
      <c r="C104" s="26"/>
      <c r="D104" s="68"/>
      <c r="E104" s="68"/>
      <c r="F104" s="553"/>
      <c r="G104" s="553"/>
      <c r="H104" s="26"/>
      <c r="I104" s="64" t="s">
        <v>29</v>
      </c>
      <c r="J104" s="23">
        <f>MAX(J100:J103)</f>
        <v>247</v>
      </c>
      <c r="K104" s="70"/>
      <c r="L104" s="69"/>
      <c r="M104" s="26"/>
      <c r="N104" s="63" t="s">
        <v>33</v>
      </c>
      <c r="O104" s="20">
        <f>SUM(O100:O103)</f>
        <v>1</v>
      </c>
      <c r="P104" s="21">
        <f>SUM(P100:P103)</f>
        <v>1</v>
      </c>
      <c r="Q104" s="20">
        <f>SUM(Q100:Q103)</f>
        <v>1</v>
      </c>
      <c r="R104" s="22">
        <f>SUM(R100:R103)</f>
        <v>1</v>
      </c>
      <c r="S104" s="69"/>
      <c r="T104" s="26"/>
      <c r="U104" s="13"/>
    </row>
    <row r="105" spans="2:21" ht="20.100000000000001" customHeight="1" collapsed="1" x14ac:dyDescent="0.25">
      <c r="B105" s="13"/>
      <c r="C105" s="26"/>
      <c r="D105" s="26"/>
      <c r="E105" s="26"/>
      <c r="F105" s="26"/>
      <c r="G105" s="26"/>
      <c r="H105" s="26"/>
      <c r="I105" s="26"/>
      <c r="J105" s="26"/>
      <c r="K105" s="26"/>
      <c r="L105" s="26"/>
      <c r="M105" s="26"/>
      <c r="N105" s="26"/>
      <c r="O105" s="26"/>
      <c r="P105" s="26"/>
      <c r="Q105" s="26"/>
      <c r="R105" s="26"/>
      <c r="S105" s="26"/>
      <c r="T105" s="26"/>
      <c r="U105" s="13"/>
    </row>
    <row r="106" spans="2:21" ht="20.100000000000001" customHeight="1" x14ac:dyDescent="0.25">
      <c r="B106" s="13"/>
      <c r="U106" s="13"/>
    </row>
    <row r="107" spans="2:21" ht="20.100000000000001" customHeight="1" thickBot="1" x14ac:dyDescent="0.3">
      <c r="B107" s="13"/>
      <c r="C107" s="27"/>
      <c r="D107" s="27"/>
      <c r="E107" s="554" t="str">
        <f>IF(OR(L91="-",L91= ""),H91,L91)</f>
        <v>Splendor</v>
      </c>
      <c r="F107" s="554"/>
      <c r="G107" s="554"/>
      <c r="H107" s="554"/>
      <c r="I107" s="554"/>
      <c r="J107" s="554"/>
      <c r="K107" s="554"/>
      <c r="L107" s="554"/>
      <c r="M107" s="554"/>
      <c r="N107" s="554"/>
      <c r="O107" s="197"/>
      <c r="P107" s="197"/>
      <c r="Q107" s="197"/>
      <c r="R107" s="197"/>
      <c r="S107" s="197"/>
      <c r="T107" s="27"/>
      <c r="U107" s="13"/>
    </row>
    <row r="108" spans="2:21" ht="50.1" customHeight="1" thickBot="1" x14ac:dyDescent="0.3">
      <c r="B108" s="13"/>
      <c r="C108" s="27"/>
      <c r="D108" s="197"/>
      <c r="E108" s="88" t="s">
        <v>10</v>
      </c>
      <c r="F108" s="125" t="s">
        <v>52</v>
      </c>
      <c r="G108" s="89" t="s">
        <v>14</v>
      </c>
      <c r="H108" s="200" t="s">
        <v>51</v>
      </c>
      <c r="I108" s="18" t="s">
        <v>54</v>
      </c>
      <c r="J108" s="200" t="s">
        <v>53</v>
      </c>
      <c r="K108" s="206" t="s">
        <v>28</v>
      </c>
      <c r="L108" s="200" t="s">
        <v>37</v>
      </c>
      <c r="M108" s="204" t="s">
        <v>16</v>
      </c>
      <c r="N108" s="89" t="s">
        <v>15</v>
      </c>
      <c r="O108" s="5" t="s">
        <v>30</v>
      </c>
      <c r="P108" s="7" t="s">
        <v>34</v>
      </c>
      <c r="Q108" s="7" t="s">
        <v>31</v>
      </c>
      <c r="R108" s="19" t="s">
        <v>32</v>
      </c>
      <c r="S108" s="197"/>
      <c r="T108" s="27"/>
      <c r="U108" s="13"/>
    </row>
    <row r="109" spans="2:21" ht="20.100000000000001" customHeight="1" x14ac:dyDescent="0.25">
      <c r="B109" s="13"/>
      <c r="C109" s="27"/>
      <c r="D109" s="67"/>
      <c r="E109" s="365" t="s">
        <v>125</v>
      </c>
      <c r="F109" s="253" t="s">
        <v>126</v>
      </c>
      <c r="G109" s="49">
        <v>1</v>
      </c>
      <c r="H109" s="122" t="s">
        <v>13</v>
      </c>
      <c r="I109" s="49">
        <v>0</v>
      </c>
      <c r="J109" s="122">
        <v>9</v>
      </c>
      <c r="K109" s="238" t="s">
        <v>13</v>
      </c>
      <c r="L109" s="50">
        <f>IF(J109="",0,(J109/J113)*100)</f>
        <v>60</v>
      </c>
      <c r="M109" s="49">
        <v>3</v>
      </c>
      <c r="N109" s="61">
        <v>1</v>
      </c>
      <c r="O109" s="57">
        <f>IF(M109=1,1,0)</f>
        <v>0</v>
      </c>
      <c r="P109" s="209">
        <f>IF(M109=2,1,0)</f>
        <v>0</v>
      </c>
      <c r="Q109" s="209">
        <f>IF(M109=3,1,0)</f>
        <v>1</v>
      </c>
      <c r="R109" s="8">
        <f>IF(M109=4,1,0)</f>
        <v>0</v>
      </c>
      <c r="S109" s="203"/>
      <c r="T109" s="27"/>
      <c r="U109" s="13"/>
    </row>
    <row r="110" spans="2:21" ht="20.100000000000001" customHeight="1" x14ac:dyDescent="0.25">
      <c r="B110" s="13"/>
      <c r="C110" s="27"/>
      <c r="D110" s="27"/>
      <c r="E110" s="303" t="s">
        <v>47</v>
      </c>
      <c r="F110" s="247" t="s">
        <v>64</v>
      </c>
      <c r="G110" s="47">
        <v>4</v>
      </c>
      <c r="H110" s="100" t="s">
        <v>13</v>
      </c>
      <c r="I110" s="47">
        <v>0</v>
      </c>
      <c r="J110" s="100">
        <v>11</v>
      </c>
      <c r="K110" s="100" t="s">
        <v>13</v>
      </c>
      <c r="L110" s="48">
        <f>IF(J110="",0,(J110/J113)*100)</f>
        <v>73.333333333333329</v>
      </c>
      <c r="M110" s="47">
        <v>2</v>
      </c>
      <c r="N110" s="60">
        <v>3</v>
      </c>
      <c r="O110" s="205">
        <f>IF(M110=1,1,0)</f>
        <v>0</v>
      </c>
      <c r="P110" s="207">
        <f>IF(M110=2,1,0)</f>
        <v>1</v>
      </c>
      <c r="Q110" s="207">
        <f>IF(M110=3,1,0)</f>
        <v>0</v>
      </c>
      <c r="R110" s="9">
        <f>IF(M110=4,1,0)</f>
        <v>0</v>
      </c>
      <c r="S110" s="203"/>
      <c r="T110" s="27"/>
      <c r="U110" s="13"/>
    </row>
    <row r="111" spans="2:21" ht="20.100000000000001" customHeight="1" x14ac:dyDescent="0.25">
      <c r="B111" s="13"/>
      <c r="C111" s="27"/>
      <c r="D111" s="67"/>
      <c r="E111" s="110" t="s">
        <v>2</v>
      </c>
      <c r="F111" s="273" t="s">
        <v>8</v>
      </c>
      <c r="G111" s="149">
        <v>2</v>
      </c>
      <c r="H111" s="123" t="s">
        <v>13</v>
      </c>
      <c r="I111" s="149">
        <v>0</v>
      </c>
      <c r="J111" s="123">
        <v>15</v>
      </c>
      <c r="K111" s="449" t="s">
        <v>13</v>
      </c>
      <c r="L111" s="38">
        <f>IF(J111="",0,(J111/J113)*100)</f>
        <v>100</v>
      </c>
      <c r="M111" s="149">
        <v>1</v>
      </c>
      <c r="N111" s="108">
        <v>6</v>
      </c>
      <c r="O111" s="205">
        <f>IF(M111=1,1,0)</f>
        <v>1</v>
      </c>
      <c r="P111" s="207">
        <f>IF(M111=2,1,0)</f>
        <v>0</v>
      </c>
      <c r="Q111" s="207">
        <f>IF(M111=3,1,0)</f>
        <v>0</v>
      </c>
      <c r="R111" s="9">
        <f>IF(M111=4,1,0)</f>
        <v>0</v>
      </c>
      <c r="S111" s="203"/>
      <c r="T111" s="27"/>
      <c r="U111" s="13"/>
    </row>
    <row r="112" spans="2:21" ht="20.100000000000001" customHeight="1" thickBot="1" x14ac:dyDescent="0.3">
      <c r="B112" s="13"/>
      <c r="C112" s="27"/>
      <c r="D112" s="27"/>
      <c r="E112" s="41" t="s">
        <v>128</v>
      </c>
      <c r="F112" s="255" t="s">
        <v>129</v>
      </c>
      <c r="G112" s="150">
        <v>3</v>
      </c>
      <c r="H112" s="107" t="s">
        <v>13</v>
      </c>
      <c r="I112" s="150">
        <v>0</v>
      </c>
      <c r="J112" s="107">
        <v>7</v>
      </c>
      <c r="K112" s="107" t="s">
        <v>13</v>
      </c>
      <c r="L112" s="17">
        <f>IF(J112="",0,(J112/J113)*100)</f>
        <v>46.666666666666664</v>
      </c>
      <c r="M112" s="150">
        <v>4</v>
      </c>
      <c r="N112" s="59">
        <v>0</v>
      </c>
      <c r="O112" s="58">
        <f>IF(M112=1,1,0)</f>
        <v>0</v>
      </c>
      <c r="P112" s="208">
        <f>IF(M112=2,1,0)</f>
        <v>0</v>
      </c>
      <c r="Q112" s="208">
        <f>IF(M112=3,1,0)</f>
        <v>0</v>
      </c>
      <c r="R112" s="10">
        <f>IF(M112=4,1,0)</f>
        <v>1</v>
      </c>
      <c r="S112" s="203"/>
      <c r="T112" s="27"/>
      <c r="U112" s="13"/>
    </row>
    <row r="113" spans="2:21" ht="20.100000000000001" hidden="1" customHeight="1" outlineLevel="1" x14ac:dyDescent="0.25">
      <c r="B113" s="13"/>
      <c r="C113" s="27"/>
      <c r="D113" s="27"/>
      <c r="E113" s="67"/>
      <c r="F113" s="882"/>
      <c r="G113" s="882"/>
      <c r="H113" s="67"/>
      <c r="I113" s="415" t="s">
        <v>29</v>
      </c>
      <c r="J113" s="63">
        <f>MAX(J109:J112)</f>
        <v>15</v>
      </c>
      <c r="K113" s="416"/>
      <c r="L113" s="74"/>
      <c r="M113" s="67"/>
      <c r="N113" s="63" t="s">
        <v>33</v>
      </c>
      <c r="O113" s="20">
        <f>SUM(O109:O112)</f>
        <v>1</v>
      </c>
      <c r="P113" s="21">
        <f>SUM(P109:P112)</f>
        <v>1</v>
      </c>
      <c r="Q113" s="20">
        <f>SUM(Q109:Q112)</f>
        <v>1</v>
      </c>
      <c r="R113" s="22">
        <f>SUM(R109:R112)</f>
        <v>1</v>
      </c>
      <c r="S113" s="74"/>
      <c r="T113" s="27"/>
      <c r="U113" s="13"/>
    </row>
    <row r="114" spans="2:21" ht="20.100000000000001" customHeight="1" collapsed="1" x14ac:dyDescent="0.25">
      <c r="B114" s="13"/>
      <c r="C114" s="27"/>
      <c r="D114" s="27"/>
      <c r="E114" s="27"/>
      <c r="F114" s="27"/>
      <c r="G114" s="27"/>
      <c r="H114" s="27"/>
      <c r="I114" s="27"/>
      <c r="J114" s="27"/>
      <c r="K114" s="27"/>
      <c r="L114" s="27"/>
      <c r="M114" s="27"/>
      <c r="N114" s="27"/>
      <c r="O114" s="27"/>
      <c r="P114" s="27"/>
      <c r="Q114" s="27"/>
      <c r="R114" s="27"/>
      <c r="S114" s="27"/>
      <c r="T114" s="27"/>
      <c r="U114" s="13"/>
    </row>
    <row r="115" spans="2:21" ht="20.100000000000001" customHeight="1" x14ac:dyDescent="0.25">
      <c r="B115" s="13"/>
      <c r="D115" s="28"/>
      <c r="E115" s="28"/>
      <c r="F115" s="28"/>
      <c r="G115" s="28"/>
      <c r="H115" s="29"/>
      <c r="I115" s="28"/>
      <c r="J115" s="28"/>
      <c r="U115" s="13"/>
    </row>
    <row r="116" spans="2:21" ht="20.100000000000001" customHeight="1" thickBot="1" x14ac:dyDescent="0.3">
      <c r="B116" s="13"/>
      <c r="C116" s="30"/>
      <c r="D116" s="30"/>
      <c r="E116" s="532" t="str">
        <f>IF(OR(M92="-",M92= ""),H92,M92)</f>
        <v>K2</v>
      </c>
      <c r="F116" s="532"/>
      <c r="G116" s="532"/>
      <c r="H116" s="532"/>
      <c r="I116" s="532"/>
      <c r="J116" s="532"/>
      <c r="K116" s="532"/>
      <c r="L116" s="532"/>
      <c r="M116" s="532"/>
      <c r="N116" s="532"/>
      <c r="O116" s="196"/>
      <c r="P116" s="196"/>
      <c r="Q116" s="196"/>
      <c r="R116" s="196"/>
      <c r="S116" s="196"/>
      <c r="T116" s="30"/>
      <c r="U116" s="14"/>
    </row>
    <row r="117" spans="2:21" ht="50.1" customHeight="1" thickBot="1" x14ac:dyDescent="0.3">
      <c r="B117" s="13"/>
      <c r="C117" s="30"/>
      <c r="D117" s="196"/>
      <c r="E117" s="88" t="s">
        <v>10</v>
      </c>
      <c r="F117" s="125" t="s">
        <v>52</v>
      </c>
      <c r="G117" s="89" t="s">
        <v>14</v>
      </c>
      <c r="H117" s="200" t="s">
        <v>51</v>
      </c>
      <c r="I117" s="18" t="s">
        <v>54</v>
      </c>
      <c r="J117" s="200" t="s">
        <v>53</v>
      </c>
      <c r="K117" s="206" t="s">
        <v>28</v>
      </c>
      <c r="L117" s="200" t="s">
        <v>37</v>
      </c>
      <c r="M117" s="204" t="s">
        <v>16</v>
      </c>
      <c r="N117" s="89" t="s">
        <v>15</v>
      </c>
      <c r="O117" s="5" t="s">
        <v>30</v>
      </c>
      <c r="P117" s="7" t="s">
        <v>34</v>
      </c>
      <c r="Q117" s="7" t="s">
        <v>31</v>
      </c>
      <c r="R117" s="19" t="s">
        <v>32</v>
      </c>
      <c r="S117" s="196"/>
      <c r="T117" s="30"/>
      <c r="U117" s="14"/>
    </row>
    <row r="118" spans="2:21" ht="20.100000000000001" customHeight="1" x14ac:dyDescent="0.25">
      <c r="B118" s="13"/>
      <c r="C118" s="30"/>
      <c r="D118" s="66"/>
      <c r="E118" s="365" t="s">
        <v>125</v>
      </c>
      <c r="F118" s="253" t="s">
        <v>126</v>
      </c>
      <c r="G118" s="49">
        <v>1</v>
      </c>
      <c r="H118" s="122" t="s">
        <v>13</v>
      </c>
      <c r="I118" s="49">
        <v>2</v>
      </c>
      <c r="J118" s="122">
        <v>14</v>
      </c>
      <c r="K118" s="50" t="s">
        <v>13</v>
      </c>
      <c r="L118" s="50">
        <f>IF(J118="",0,(J118/J122)*100)</f>
        <v>77.777777777777786</v>
      </c>
      <c r="M118" s="49">
        <v>2</v>
      </c>
      <c r="N118" s="61">
        <v>3</v>
      </c>
      <c r="O118" s="57">
        <f>IF(M118=1,1,0)</f>
        <v>0</v>
      </c>
      <c r="P118" s="209">
        <f>IF(M118=2,1,0)</f>
        <v>1</v>
      </c>
      <c r="Q118" s="209">
        <f>IF(M118=3,1,0)</f>
        <v>0</v>
      </c>
      <c r="R118" s="8">
        <f>IF(M118=4,1,0)</f>
        <v>0</v>
      </c>
      <c r="S118" s="194"/>
      <c r="T118" s="30"/>
      <c r="U118" s="13"/>
    </row>
    <row r="119" spans="2:21" ht="20.100000000000001" customHeight="1" x14ac:dyDescent="0.25">
      <c r="B119" s="13"/>
      <c r="C119" s="30"/>
      <c r="D119" s="30"/>
      <c r="E119" s="303" t="s">
        <v>47</v>
      </c>
      <c r="F119" s="247" t="s">
        <v>64</v>
      </c>
      <c r="G119" s="47">
        <v>3</v>
      </c>
      <c r="H119" s="100" t="s">
        <v>13</v>
      </c>
      <c r="I119" s="47">
        <v>2</v>
      </c>
      <c r="J119" s="100">
        <v>2</v>
      </c>
      <c r="K119" s="276" t="s">
        <v>13</v>
      </c>
      <c r="L119" s="48">
        <f>IF(J119="",0,(J119/J122)*100)</f>
        <v>11.111111111111111</v>
      </c>
      <c r="M119" s="47">
        <v>3</v>
      </c>
      <c r="N119" s="60">
        <v>0.5</v>
      </c>
      <c r="O119" s="205">
        <f>IF(M119=1,1,0)</f>
        <v>0</v>
      </c>
      <c r="P119" s="207">
        <f>IF(M119=2,1,0)</f>
        <v>0</v>
      </c>
      <c r="Q119" s="207">
        <f>IF(M119=3,1,0)</f>
        <v>1</v>
      </c>
      <c r="R119" s="9">
        <f>IF(M119=4,1,0)</f>
        <v>0</v>
      </c>
      <c r="S119" s="194"/>
      <c r="T119" s="30"/>
      <c r="U119" s="31"/>
    </row>
    <row r="120" spans="2:21" ht="20.100000000000001" customHeight="1" x14ac:dyDescent="0.25">
      <c r="B120" s="13"/>
      <c r="C120" s="30"/>
      <c r="D120" s="30"/>
      <c r="E120" s="110" t="s">
        <v>2</v>
      </c>
      <c r="F120" s="273" t="s">
        <v>8</v>
      </c>
      <c r="G120" s="149">
        <v>4</v>
      </c>
      <c r="H120" s="123" t="s">
        <v>13</v>
      </c>
      <c r="I120" s="149">
        <v>2</v>
      </c>
      <c r="J120" s="123">
        <v>18</v>
      </c>
      <c r="K120" s="369" t="s">
        <v>13</v>
      </c>
      <c r="L120" s="38">
        <f>IF(J120="",0,(J120/J122)*100)</f>
        <v>100</v>
      </c>
      <c r="M120" s="149">
        <v>1</v>
      </c>
      <c r="N120" s="108">
        <v>6</v>
      </c>
      <c r="O120" s="205">
        <f>IF(M120=1,1,0)</f>
        <v>1</v>
      </c>
      <c r="P120" s="207">
        <f>IF(M120=2,1,0)</f>
        <v>0</v>
      </c>
      <c r="Q120" s="207">
        <f>IF(M120=3,1,0)</f>
        <v>0</v>
      </c>
      <c r="R120" s="9">
        <f>IF(M120=4,1,0)</f>
        <v>0</v>
      </c>
      <c r="S120" s="194"/>
      <c r="T120" s="30"/>
      <c r="U120" s="31"/>
    </row>
    <row r="121" spans="2:21" ht="20.100000000000001" customHeight="1" thickBot="1" x14ac:dyDescent="0.3">
      <c r="B121" s="13"/>
      <c r="C121" s="30"/>
      <c r="D121" s="30"/>
      <c r="E121" s="41" t="s">
        <v>128</v>
      </c>
      <c r="F121" s="255" t="s">
        <v>129</v>
      </c>
      <c r="G121" s="150">
        <v>2</v>
      </c>
      <c r="H121" s="107" t="s">
        <v>13</v>
      </c>
      <c r="I121" s="150">
        <v>2</v>
      </c>
      <c r="J121" s="107">
        <v>2</v>
      </c>
      <c r="K121" s="17" t="s">
        <v>13</v>
      </c>
      <c r="L121" s="17">
        <f>IF(J121="",0,(J121/J122)*100)</f>
        <v>11.111111111111111</v>
      </c>
      <c r="M121" s="150">
        <v>3</v>
      </c>
      <c r="N121" s="59">
        <v>0.5</v>
      </c>
      <c r="O121" s="58">
        <f>IF(M121=1,1,0)</f>
        <v>0</v>
      </c>
      <c r="P121" s="208">
        <f>IF(M121=2,1,0)</f>
        <v>0</v>
      </c>
      <c r="Q121" s="208">
        <f>IF(M121=3,1,0)</f>
        <v>1</v>
      </c>
      <c r="R121" s="10">
        <f>IF(M121=4,1,0)</f>
        <v>0</v>
      </c>
      <c r="S121" s="194"/>
      <c r="T121" s="30"/>
      <c r="U121" s="31"/>
    </row>
    <row r="122" spans="2:21" ht="20.100000000000001" hidden="1" customHeight="1" outlineLevel="1" x14ac:dyDescent="0.25">
      <c r="B122" s="13"/>
      <c r="C122" s="30"/>
      <c r="D122" s="30"/>
      <c r="E122" s="30"/>
      <c r="F122" s="533"/>
      <c r="G122" s="533"/>
      <c r="H122" s="30"/>
      <c r="I122" s="64" t="s">
        <v>29</v>
      </c>
      <c r="J122" s="23">
        <f>MAX(J118:J121)</f>
        <v>18</v>
      </c>
      <c r="K122" s="76"/>
      <c r="L122" s="194"/>
      <c r="M122" s="30"/>
      <c r="N122" s="63" t="s">
        <v>33</v>
      </c>
      <c r="O122" s="20">
        <f>SUM(O118:O121)</f>
        <v>1</v>
      </c>
      <c r="P122" s="21">
        <f>SUM(P118:P121)</f>
        <v>1</v>
      </c>
      <c r="Q122" s="20">
        <f>SUM(Q118:Q121)</f>
        <v>2</v>
      </c>
      <c r="R122" s="22">
        <f>SUM(R118:R121)</f>
        <v>0</v>
      </c>
      <c r="S122" s="77"/>
      <c r="T122" s="30"/>
      <c r="U122" s="31"/>
    </row>
    <row r="123" spans="2:21" ht="20.100000000000001" customHeight="1" collapsed="1" x14ac:dyDescent="0.25">
      <c r="B123" s="13"/>
      <c r="C123" s="30"/>
      <c r="D123" s="30"/>
      <c r="E123" s="30"/>
      <c r="F123" s="30"/>
      <c r="G123" s="30"/>
      <c r="H123" s="30"/>
      <c r="I123" s="30"/>
      <c r="J123" s="30"/>
      <c r="K123" s="30"/>
      <c r="L123" s="30"/>
      <c r="M123" s="30"/>
      <c r="N123" s="30"/>
      <c r="O123" s="30"/>
      <c r="P123" s="30"/>
      <c r="Q123" s="30"/>
      <c r="R123" s="30"/>
      <c r="S123" s="30"/>
      <c r="T123" s="30"/>
      <c r="U123" s="31"/>
    </row>
    <row r="124" spans="2:21" ht="20.100000000000001" customHeight="1" x14ac:dyDescent="0.25">
      <c r="B124" s="13"/>
      <c r="D124" s="28"/>
      <c r="E124" s="28"/>
      <c r="F124" s="28"/>
      <c r="G124" s="28"/>
      <c r="H124" s="29"/>
      <c r="I124" s="28"/>
      <c r="J124" s="28"/>
      <c r="K124" s="28"/>
      <c r="U124" s="13"/>
    </row>
    <row r="125" spans="2:21" ht="20.100000000000001" customHeight="1" thickBot="1" x14ac:dyDescent="0.3">
      <c r="B125" s="13"/>
      <c r="C125" s="32"/>
      <c r="D125" s="32"/>
      <c r="E125" s="534" t="str">
        <f>IF(OR(L95="-",L95= ""),H95,L95)</f>
        <v>7 Wonders</v>
      </c>
      <c r="F125" s="534"/>
      <c r="G125" s="534"/>
      <c r="H125" s="534"/>
      <c r="I125" s="534"/>
      <c r="J125" s="534"/>
      <c r="K125" s="534"/>
      <c r="L125" s="534"/>
      <c r="M125" s="534"/>
      <c r="N125" s="534"/>
      <c r="O125" s="195"/>
      <c r="P125" s="195"/>
      <c r="Q125" s="195"/>
      <c r="R125" s="195"/>
      <c r="S125" s="195"/>
      <c r="T125" s="32"/>
      <c r="U125" s="13"/>
    </row>
    <row r="126" spans="2:21" ht="50.1" customHeight="1" thickBot="1" x14ac:dyDescent="0.3">
      <c r="B126" s="13"/>
      <c r="C126" s="32"/>
      <c r="D126" s="195"/>
      <c r="E126" s="88" t="s">
        <v>10</v>
      </c>
      <c r="F126" s="125" t="s">
        <v>52</v>
      </c>
      <c r="G126" s="89" t="s">
        <v>14</v>
      </c>
      <c r="H126" s="200" t="s">
        <v>51</v>
      </c>
      <c r="I126" s="18" t="s">
        <v>54</v>
      </c>
      <c r="J126" s="200" t="s">
        <v>53</v>
      </c>
      <c r="K126" s="206" t="s">
        <v>28</v>
      </c>
      <c r="L126" s="200" t="s">
        <v>37</v>
      </c>
      <c r="M126" s="204" t="s">
        <v>16</v>
      </c>
      <c r="N126" s="89" t="s">
        <v>15</v>
      </c>
      <c r="O126" s="5" t="s">
        <v>30</v>
      </c>
      <c r="P126" s="7" t="s">
        <v>34</v>
      </c>
      <c r="Q126" s="7" t="s">
        <v>31</v>
      </c>
      <c r="R126" s="19" t="s">
        <v>32</v>
      </c>
      <c r="S126" s="195"/>
      <c r="T126" s="32"/>
      <c r="U126" s="13"/>
    </row>
    <row r="127" spans="2:21" ht="20.100000000000001" customHeight="1" x14ac:dyDescent="0.25">
      <c r="B127" s="13"/>
      <c r="C127" s="32"/>
      <c r="D127" s="32"/>
      <c r="E127" s="365" t="s">
        <v>125</v>
      </c>
      <c r="F127" s="253" t="s">
        <v>126</v>
      </c>
      <c r="G127" s="49" t="s">
        <v>13</v>
      </c>
      <c r="H127" s="122" t="s">
        <v>443</v>
      </c>
      <c r="I127" s="49">
        <v>1</v>
      </c>
      <c r="J127" s="49">
        <v>48</v>
      </c>
      <c r="K127" s="49" t="s">
        <v>13</v>
      </c>
      <c r="L127" s="50">
        <f>IF(J127="",0,(J127/J131)*100)</f>
        <v>87.272727272727266</v>
      </c>
      <c r="M127" s="49">
        <v>3</v>
      </c>
      <c r="N127" s="61">
        <v>4</v>
      </c>
      <c r="O127" s="57">
        <f>IF(M127=1,1,0)</f>
        <v>0</v>
      </c>
      <c r="P127" s="209">
        <f>IF(M127=2,1,0)</f>
        <v>0</v>
      </c>
      <c r="Q127" s="209">
        <f>IF(M127=3,1,0)</f>
        <v>1</v>
      </c>
      <c r="R127" s="8">
        <f>IF(M127=4,1,0)</f>
        <v>0</v>
      </c>
      <c r="S127" s="201"/>
      <c r="T127" s="32"/>
      <c r="U127" s="13"/>
    </row>
    <row r="128" spans="2:21" ht="20.100000000000001" customHeight="1" x14ac:dyDescent="0.25">
      <c r="B128" s="13"/>
      <c r="C128" s="32"/>
      <c r="D128" s="32"/>
      <c r="E128" s="110" t="s">
        <v>47</v>
      </c>
      <c r="F128" s="273" t="s">
        <v>64</v>
      </c>
      <c r="G128" s="149" t="s">
        <v>13</v>
      </c>
      <c r="H128" s="123" t="s">
        <v>438</v>
      </c>
      <c r="I128" s="149">
        <v>1</v>
      </c>
      <c r="J128" s="149">
        <v>55</v>
      </c>
      <c r="K128" s="123" t="s">
        <v>13</v>
      </c>
      <c r="L128" s="38">
        <f>IF(J128="",0,(J128/J131)*100)</f>
        <v>100</v>
      </c>
      <c r="M128" s="149">
        <v>1</v>
      </c>
      <c r="N128" s="108">
        <v>6</v>
      </c>
      <c r="O128" s="205">
        <f>IF(M128=1,1,0)</f>
        <v>1</v>
      </c>
      <c r="P128" s="207">
        <f>IF(M128=2,1,0)</f>
        <v>0</v>
      </c>
      <c r="Q128" s="207">
        <f>IF(M128=3,1,0)</f>
        <v>0</v>
      </c>
      <c r="R128" s="9">
        <f>IF(M128=4,1,0)</f>
        <v>0</v>
      </c>
      <c r="S128" s="201"/>
      <c r="T128" s="32"/>
      <c r="U128" s="13"/>
    </row>
    <row r="129" spans="2:31" ht="20.100000000000001" customHeight="1" x14ac:dyDescent="0.25">
      <c r="B129" s="13"/>
      <c r="C129" s="32"/>
      <c r="D129" s="32"/>
      <c r="E129" s="303" t="s">
        <v>2</v>
      </c>
      <c r="F129" s="247" t="s">
        <v>8</v>
      </c>
      <c r="G129" s="47" t="s">
        <v>13</v>
      </c>
      <c r="H129" s="100" t="s">
        <v>444</v>
      </c>
      <c r="I129" s="47">
        <v>1</v>
      </c>
      <c r="J129" s="47">
        <v>54</v>
      </c>
      <c r="K129" s="47" t="s">
        <v>13</v>
      </c>
      <c r="L129" s="48">
        <f>IF(J129="",0,(J129/J131)*100)</f>
        <v>98.181818181818187</v>
      </c>
      <c r="M129" s="47">
        <v>2</v>
      </c>
      <c r="N129" s="60">
        <v>3</v>
      </c>
      <c r="O129" s="205">
        <f>IF(M129=1,1,0)</f>
        <v>0</v>
      </c>
      <c r="P129" s="207">
        <f>IF(M129=2,1,0)</f>
        <v>1</v>
      </c>
      <c r="Q129" s="207">
        <f>IF(M129=3,1,0)</f>
        <v>0</v>
      </c>
      <c r="R129" s="9">
        <f>IF(M129=4,1,0)</f>
        <v>0</v>
      </c>
      <c r="S129" s="201"/>
      <c r="T129" s="32"/>
      <c r="U129" s="13"/>
    </row>
    <row r="130" spans="2:31" ht="20.100000000000001" customHeight="1" thickBot="1" x14ac:dyDescent="0.3">
      <c r="B130" s="13"/>
      <c r="C130" s="32"/>
      <c r="D130" s="65"/>
      <c r="E130" s="41" t="s">
        <v>128</v>
      </c>
      <c r="F130" s="255" t="s">
        <v>129</v>
      </c>
      <c r="G130" s="150" t="s">
        <v>13</v>
      </c>
      <c r="H130" s="107" t="s">
        <v>368</v>
      </c>
      <c r="I130" s="150">
        <v>1</v>
      </c>
      <c r="J130" s="150">
        <v>38</v>
      </c>
      <c r="K130" s="107" t="s">
        <v>13</v>
      </c>
      <c r="L130" s="17">
        <f>IF(J130="",0,(J130/J131)*100)</f>
        <v>69.090909090909093</v>
      </c>
      <c r="M130" s="150">
        <v>4</v>
      </c>
      <c r="N130" s="59">
        <v>1</v>
      </c>
      <c r="O130" s="58">
        <f>IF(M130=1,1,0)</f>
        <v>0</v>
      </c>
      <c r="P130" s="208">
        <f>IF(M130=2,1,0)</f>
        <v>0</v>
      </c>
      <c r="Q130" s="208">
        <f>IF(M130=3,1,0)</f>
        <v>0</v>
      </c>
      <c r="R130" s="10">
        <f>IF(M130=4,1,0)</f>
        <v>1</v>
      </c>
      <c r="S130" s="201"/>
      <c r="T130" s="32"/>
      <c r="U130" s="13"/>
    </row>
    <row r="131" spans="2:31" ht="20.100000000000001" hidden="1" customHeight="1" outlineLevel="1" x14ac:dyDescent="0.25">
      <c r="B131" s="13"/>
      <c r="C131" s="32"/>
      <c r="D131" s="32"/>
      <c r="E131" s="32"/>
      <c r="F131" s="535"/>
      <c r="G131" s="535"/>
      <c r="H131" s="32"/>
      <c r="I131" s="64" t="s">
        <v>29</v>
      </c>
      <c r="J131" s="23">
        <f>MAX(J127:J130)</f>
        <v>55</v>
      </c>
      <c r="K131" s="78"/>
      <c r="L131" s="201"/>
      <c r="M131" s="32"/>
      <c r="N131" s="63" t="s">
        <v>33</v>
      </c>
      <c r="O131" s="20">
        <f>SUM(O127:O130)</f>
        <v>1</v>
      </c>
      <c r="P131" s="21">
        <f>SUM(P127:P130)</f>
        <v>1</v>
      </c>
      <c r="Q131" s="20">
        <f>SUM(Q127:Q130)</f>
        <v>1</v>
      </c>
      <c r="R131" s="22">
        <f>SUM(R127:R130)</f>
        <v>1</v>
      </c>
      <c r="S131" s="79"/>
      <c r="T131" s="32"/>
      <c r="U131" s="13"/>
    </row>
    <row r="132" spans="2:31" ht="20.100000000000001" customHeight="1" collapsed="1" x14ac:dyDescent="0.25">
      <c r="B132" s="13"/>
      <c r="C132" s="32"/>
      <c r="D132" s="32"/>
      <c r="E132" s="32"/>
      <c r="F132" s="32"/>
      <c r="G132" s="32"/>
      <c r="H132" s="32"/>
      <c r="I132" s="32"/>
      <c r="J132" s="32"/>
      <c r="K132" s="32"/>
      <c r="L132" s="32"/>
      <c r="M132" s="32"/>
      <c r="N132" s="32"/>
      <c r="O132" s="32"/>
      <c r="P132" s="32"/>
      <c r="Q132" s="32"/>
      <c r="R132" s="32"/>
      <c r="S132" s="32"/>
      <c r="T132" s="32"/>
      <c r="U132" s="13"/>
    </row>
    <row r="133" spans="2:31" ht="20.100000000000001" customHeight="1" x14ac:dyDescent="0.25">
      <c r="B133" s="13"/>
      <c r="D133" s="4"/>
      <c r="E133" s="4"/>
      <c r="F133" s="4"/>
      <c r="G133" s="4"/>
      <c r="H133" s="4"/>
      <c r="I133" s="4"/>
      <c r="J133" s="4"/>
      <c r="U133" s="13"/>
    </row>
    <row r="134" spans="2:31" ht="30" customHeight="1" thickBot="1" x14ac:dyDescent="0.3">
      <c r="B134" s="13"/>
      <c r="C134" s="33"/>
      <c r="D134" s="536" t="s">
        <v>48</v>
      </c>
      <c r="E134" s="536"/>
      <c r="F134" s="536"/>
      <c r="G134" s="536"/>
      <c r="H134" s="536"/>
      <c r="I134" s="536"/>
      <c r="J134" s="536"/>
      <c r="K134" s="536"/>
      <c r="L134" s="536"/>
      <c r="M134" s="536"/>
      <c r="N134" s="536"/>
      <c r="O134" s="536"/>
      <c r="P134" s="536"/>
      <c r="Q134" s="536"/>
      <c r="R134" s="536"/>
      <c r="S134" s="536"/>
      <c r="T134" s="33"/>
      <c r="U134" s="13"/>
    </row>
    <row r="135" spans="2:31" ht="50.1" customHeight="1" thickBot="1" x14ac:dyDescent="0.3">
      <c r="B135" s="13"/>
      <c r="C135" s="33"/>
      <c r="D135" s="90" t="s">
        <v>10</v>
      </c>
      <c r="E135" s="93" t="s">
        <v>139</v>
      </c>
      <c r="F135" s="91" t="s">
        <v>15</v>
      </c>
      <c r="G135" s="42" t="s">
        <v>55</v>
      </c>
      <c r="H135" s="537" t="s">
        <v>56</v>
      </c>
      <c r="I135" s="538"/>
      <c r="J135" s="202" t="s">
        <v>66</v>
      </c>
      <c r="K135" s="92" t="s">
        <v>17</v>
      </c>
      <c r="L135" s="91" t="s">
        <v>18</v>
      </c>
      <c r="M135" s="92" t="s">
        <v>19</v>
      </c>
      <c r="N135" s="91" t="s">
        <v>20</v>
      </c>
      <c r="O135" s="130"/>
      <c r="P135" s="126"/>
      <c r="Q135" s="126"/>
      <c r="R135" s="126"/>
      <c r="S135" s="93" t="s">
        <v>38</v>
      </c>
      <c r="T135" s="33"/>
      <c r="U135" s="13"/>
    </row>
    <row r="136" spans="2:31" ht="20.100000000000001" customHeight="1" x14ac:dyDescent="0.25">
      <c r="B136" s="13"/>
      <c r="C136" s="33"/>
      <c r="D136" s="367" t="s">
        <v>2</v>
      </c>
      <c r="E136" s="288" t="s">
        <v>8</v>
      </c>
      <c r="F136" s="133">
        <f>K136*6+L136*3+M136*1+N136*0</f>
        <v>21</v>
      </c>
      <c r="G136" s="262">
        <v>0</v>
      </c>
      <c r="H136" s="539" t="s">
        <v>13</v>
      </c>
      <c r="I136" s="539"/>
      <c r="J136" s="133">
        <f>F136+G136</f>
        <v>21</v>
      </c>
      <c r="K136" s="133">
        <v>3</v>
      </c>
      <c r="L136" s="133">
        <v>1</v>
      </c>
      <c r="M136" s="133">
        <v>0</v>
      </c>
      <c r="N136" s="133">
        <v>0</v>
      </c>
      <c r="O136" s="152"/>
      <c r="P136" s="262"/>
      <c r="Q136" s="262"/>
      <c r="R136" s="262"/>
      <c r="S136" s="134">
        <f>(L102++L111+L120+L129)/4</f>
        <v>99.545454545454547</v>
      </c>
      <c r="T136" s="33"/>
      <c r="U136" s="13"/>
    </row>
    <row r="137" spans="2:31" ht="20.100000000000001" customHeight="1" x14ac:dyDescent="0.25">
      <c r="B137" s="13"/>
      <c r="C137" s="33"/>
      <c r="D137" s="364" t="s">
        <v>47</v>
      </c>
      <c r="E137" s="274" t="s">
        <v>64</v>
      </c>
      <c r="F137" s="377">
        <f>K137*6+L137*3+M137*1+N137*0</f>
        <v>12.5</v>
      </c>
      <c r="G137" s="263">
        <v>0</v>
      </c>
      <c r="H137" s="529" t="s">
        <v>13</v>
      </c>
      <c r="I137" s="529"/>
      <c r="J137" s="377">
        <f>F137+G137</f>
        <v>12.5</v>
      </c>
      <c r="K137" s="52">
        <v>1</v>
      </c>
      <c r="L137" s="52">
        <v>2</v>
      </c>
      <c r="M137" s="377">
        <v>0.5</v>
      </c>
      <c r="N137" s="377">
        <v>0.5</v>
      </c>
      <c r="O137" s="151"/>
      <c r="P137" s="263"/>
      <c r="Q137" s="263"/>
      <c r="R137" s="263"/>
      <c r="S137" s="104">
        <f>(L101+L110+L119+L128)/4</f>
        <v>69.896536212325685</v>
      </c>
      <c r="T137" s="33"/>
      <c r="U137" s="13"/>
      <c r="Y137" s="610"/>
      <c r="Z137" s="610"/>
      <c r="AA137" s="43"/>
      <c r="AB137" s="43"/>
      <c r="AC137" s="44"/>
      <c r="AD137" s="44"/>
      <c r="AE137" s="44"/>
    </row>
    <row r="138" spans="2:31" ht="20.100000000000001" customHeight="1" x14ac:dyDescent="0.25">
      <c r="B138" s="13"/>
      <c r="C138" s="33"/>
      <c r="D138" s="364" t="s">
        <v>125</v>
      </c>
      <c r="E138" s="274" t="s">
        <v>126</v>
      </c>
      <c r="F138" s="52">
        <f>K138*6+L138*3+M138*1+N138*0</f>
        <v>6</v>
      </c>
      <c r="G138" s="263">
        <v>0</v>
      </c>
      <c r="H138" s="529" t="s">
        <v>13</v>
      </c>
      <c r="I138" s="529"/>
      <c r="J138" s="52">
        <f>F138+G138</f>
        <v>6</v>
      </c>
      <c r="K138" s="52">
        <v>0</v>
      </c>
      <c r="L138" s="52">
        <v>1</v>
      </c>
      <c r="M138" s="52">
        <v>3</v>
      </c>
      <c r="N138" s="52">
        <v>0</v>
      </c>
      <c r="O138" s="151"/>
      <c r="P138" s="263"/>
      <c r="Q138" s="263"/>
      <c r="R138" s="263"/>
      <c r="S138" s="104">
        <f>(L100+L109+L118+L127)/4</f>
        <v>78.529832740359055</v>
      </c>
      <c r="T138" s="33"/>
      <c r="U138" s="13"/>
    </row>
    <row r="139" spans="2:31" ht="20.100000000000001" customHeight="1" thickBot="1" x14ac:dyDescent="0.3">
      <c r="B139" s="13"/>
      <c r="C139" s="33"/>
      <c r="D139" s="105" t="s">
        <v>128</v>
      </c>
      <c r="E139" s="275" t="s">
        <v>129</v>
      </c>
      <c r="F139" s="378">
        <f>K139*6+L139*3+M139*1+N139*0</f>
        <v>0.5</v>
      </c>
      <c r="G139" s="264">
        <v>0</v>
      </c>
      <c r="H139" s="530" t="s">
        <v>13</v>
      </c>
      <c r="I139" s="530"/>
      <c r="J139" s="378">
        <f>F139+G139</f>
        <v>0.5</v>
      </c>
      <c r="K139" s="109">
        <v>0</v>
      </c>
      <c r="L139" s="109">
        <v>0</v>
      </c>
      <c r="M139" s="378">
        <v>0.5</v>
      </c>
      <c r="N139" s="378">
        <v>3.5</v>
      </c>
      <c r="O139" s="153"/>
      <c r="P139" s="264"/>
      <c r="Q139" s="264"/>
      <c r="R139" s="264"/>
      <c r="S139" s="106">
        <f>(L103+L112+L121+L130)/4</f>
        <v>54.89530936899358</v>
      </c>
      <c r="T139" s="33"/>
      <c r="U139" s="13"/>
    </row>
    <row r="140" spans="2:31" ht="20.100000000000001" customHeight="1" x14ac:dyDescent="0.25">
      <c r="B140" s="13"/>
      <c r="C140" s="33"/>
      <c r="D140" s="373"/>
      <c r="E140" s="373"/>
      <c r="F140" s="371"/>
      <c r="G140" s="317"/>
      <c r="H140" s="781"/>
      <c r="I140" s="781"/>
      <c r="J140" s="371"/>
      <c r="K140" s="371"/>
      <c r="L140" s="371"/>
      <c r="M140" s="371"/>
      <c r="N140" s="371"/>
      <c r="O140" s="316"/>
      <c r="P140" s="317"/>
      <c r="Q140" s="317"/>
      <c r="R140" s="317"/>
      <c r="S140" s="330"/>
      <c r="T140" s="33"/>
      <c r="U140" s="13"/>
    </row>
    <row r="141" spans="2:31" ht="20.100000000000001" customHeight="1" x14ac:dyDescent="0.25">
      <c r="B141" s="13"/>
      <c r="C141" s="13"/>
      <c r="D141" s="15"/>
      <c r="E141" s="15"/>
      <c r="F141" s="14"/>
      <c r="G141" s="14"/>
      <c r="H141" s="15"/>
      <c r="I141" s="15"/>
      <c r="J141" s="15"/>
      <c r="K141" s="13"/>
      <c r="L141" s="13"/>
      <c r="M141" s="13"/>
      <c r="N141" s="13"/>
      <c r="O141" s="13"/>
      <c r="P141" s="13"/>
      <c r="Q141" s="13"/>
      <c r="R141" s="13"/>
      <c r="S141" s="13"/>
      <c r="T141" s="13"/>
      <c r="U141" s="13"/>
    </row>
    <row r="142" spans="2:31" ht="20.100000000000001" customHeight="1" x14ac:dyDescent="0.25"/>
    <row r="143" spans="2:31" ht="20.100000000000001" customHeight="1" x14ac:dyDescent="0.25"/>
    <row r="144" spans="2:31" ht="20.100000000000001" customHeight="1" x14ac:dyDescent="0.25">
      <c r="B144" s="13"/>
      <c r="C144" s="13"/>
      <c r="D144" s="25"/>
      <c r="E144" s="25"/>
      <c r="F144" s="25"/>
      <c r="G144" s="25"/>
      <c r="H144" s="13"/>
      <c r="I144" s="13"/>
      <c r="J144" s="13"/>
      <c r="K144" s="13"/>
      <c r="L144" s="13"/>
      <c r="M144" s="13"/>
      <c r="N144" s="13"/>
      <c r="O144" s="13"/>
      <c r="P144" s="13"/>
      <c r="Q144" s="13"/>
      <c r="R144" s="13"/>
      <c r="S144" s="13"/>
      <c r="T144" s="13"/>
      <c r="U144" s="13"/>
    </row>
    <row r="145" spans="2:21" ht="30" customHeight="1" x14ac:dyDescent="0.25">
      <c r="B145" s="13"/>
      <c r="C145" s="555" t="s">
        <v>446</v>
      </c>
      <c r="D145" s="555"/>
      <c r="E145" s="555"/>
      <c r="F145" s="555"/>
      <c r="G145" s="555"/>
      <c r="H145" s="555"/>
      <c r="I145" s="555"/>
      <c r="J145" s="555"/>
      <c r="K145" s="555"/>
      <c r="L145" s="555"/>
      <c r="M145" s="555"/>
      <c r="N145" s="555"/>
      <c r="O145" s="555"/>
      <c r="P145" s="555"/>
      <c r="Q145" s="555"/>
      <c r="R145" s="555"/>
      <c r="S145" s="555"/>
      <c r="T145" s="555"/>
      <c r="U145" s="13"/>
    </row>
    <row r="146" spans="2:21" ht="20.100000000000001" customHeight="1" thickBot="1" x14ac:dyDescent="0.3">
      <c r="B146" s="13"/>
      <c r="U146" s="13"/>
    </row>
    <row r="147" spans="2:21" ht="20.100000000000001" customHeight="1" thickBot="1" x14ac:dyDescent="0.3">
      <c r="B147" s="13"/>
      <c r="D147" s="556" t="s">
        <v>10</v>
      </c>
      <c r="E147" s="558" t="s">
        <v>67</v>
      </c>
      <c r="F147" s="560" t="s">
        <v>22</v>
      </c>
      <c r="G147" s="563" t="s">
        <v>42</v>
      </c>
      <c r="H147" s="561"/>
      <c r="I147" s="561"/>
      <c r="J147" s="562"/>
      <c r="K147" s="200" t="s">
        <v>36</v>
      </c>
      <c r="L147" s="563" t="s">
        <v>27</v>
      </c>
      <c r="M147" s="561"/>
      <c r="N147" s="561"/>
      <c r="O147" s="561"/>
      <c r="P147" s="561"/>
      <c r="Q147" s="561"/>
      <c r="R147" s="561"/>
      <c r="S147" s="562"/>
      <c r="U147" s="13"/>
    </row>
    <row r="148" spans="2:21" ht="20.100000000000001" customHeight="1" thickBot="1" x14ac:dyDescent="0.3">
      <c r="B148" s="13"/>
      <c r="D148" s="557"/>
      <c r="E148" s="559"/>
      <c r="F148" s="559"/>
      <c r="G148" s="86" t="s">
        <v>43</v>
      </c>
      <c r="H148" s="85" t="s">
        <v>24</v>
      </c>
      <c r="I148" s="565" t="s">
        <v>23</v>
      </c>
      <c r="J148" s="567"/>
      <c r="K148" s="85" t="s">
        <v>25</v>
      </c>
      <c r="L148" s="94" t="s">
        <v>43</v>
      </c>
      <c r="M148" s="87" t="s">
        <v>26</v>
      </c>
      <c r="N148" s="565" t="s">
        <v>23</v>
      </c>
      <c r="O148" s="566"/>
      <c r="P148" s="566"/>
      <c r="Q148" s="566"/>
      <c r="R148" s="566"/>
      <c r="S148" s="567"/>
      <c r="U148" s="13"/>
    </row>
    <row r="149" spans="2:21" ht="20.100000000000001" customHeight="1" x14ac:dyDescent="0.25">
      <c r="B149" s="13"/>
      <c r="D149" s="233" t="s">
        <v>90</v>
      </c>
      <c r="E149" s="320" t="s">
        <v>92</v>
      </c>
      <c r="F149" s="341">
        <v>1</v>
      </c>
      <c r="G149" s="141" t="s">
        <v>44</v>
      </c>
      <c r="H149" s="137" t="s">
        <v>447</v>
      </c>
      <c r="I149" s="589" t="s">
        <v>13</v>
      </c>
      <c r="J149" s="760"/>
      <c r="K149" s="237" t="s">
        <v>12</v>
      </c>
      <c r="L149" s="218" t="s">
        <v>13</v>
      </c>
      <c r="M149" s="55" t="s">
        <v>13</v>
      </c>
      <c r="N149" s="570" t="s">
        <v>13</v>
      </c>
      <c r="O149" s="571"/>
      <c r="P149" s="571"/>
      <c r="Q149" s="571"/>
      <c r="R149" s="571"/>
      <c r="S149" s="572"/>
      <c r="U149" s="13"/>
    </row>
    <row r="150" spans="2:21" ht="20.100000000000001" customHeight="1" x14ac:dyDescent="0.25">
      <c r="B150" s="13"/>
      <c r="D150" s="345" t="s">
        <v>46</v>
      </c>
      <c r="E150" s="351" t="s">
        <v>6</v>
      </c>
      <c r="F150" s="411">
        <v>2</v>
      </c>
      <c r="G150" s="424" t="s">
        <v>44</v>
      </c>
      <c r="H150" s="425" t="s">
        <v>448</v>
      </c>
      <c r="I150" s="671" t="s">
        <v>13</v>
      </c>
      <c r="J150" s="673"/>
      <c r="K150" s="402" t="s">
        <v>12</v>
      </c>
      <c r="L150" s="346" t="s">
        <v>13</v>
      </c>
      <c r="M150" s="347" t="s">
        <v>13</v>
      </c>
      <c r="N150" s="658" t="s">
        <v>13</v>
      </c>
      <c r="O150" s="659"/>
      <c r="P150" s="659"/>
      <c r="Q150" s="659"/>
      <c r="R150" s="659"/>
      <c r="S150" s="660"/>
      <c r="U150" s="13"/>
    </row>
    <row r="151" spans="2:21" ht="20.100000000000001" customHeight="1" x14ac:dyDescent="0.25">
      <c r="B151" s="13"/>
      <c r="D151" s="345" t="s">
        <v>46</v>
      </c>
      <c r="E151" s="351" t="s">
        <v>6</v>
      </c>
      <c r="F151" s="411">
        <v>3</v>
      </c>
      <c r="G151" s="349" t="s">
        <v>449</v>
      </c>
      <c r="H151" s="350" t="s">
        <v>450</v>
      </c>
      <c r="I151" s="681" t="s">
        <v>13</v>
      </c>
      <c r="J151" s="684"/>
      <c r="K151" s="321"/>
      <c r="L151" s="322"/>
      <c r="M151" s="323"/>
      <c r="N151" s="770"/>
      <c r="O151" s="771"/>
      <c r="P151" s="771"/>
      <c r="Q151" s="771"/>
      <c r="R151" s="771"/>
      <c r="S151" s="772"/>
      <c r="U151" s="13"/>
    </row>
    <row r="152" spans="2:21" ht="15" customHeight="1" x14ac:dyDescent="0.25">
      <c r="B152" s="13"/>
      <c r="D152" s="773" t="s">
        <v>90</v>
      </c>
      <c r="E152" s="761" t="s">
        <v>92</v>
      </c>
      <c r="F152" s="764">
        <v>4</v>
      </c>
      <c r="G152" s="777" t="s">
        <v>44</v>
      </c>
      <c r="H152" s="725" t="s">
        <v>190</v>
      </c>
      <c r="I152" s="725" t="s">
        <v>453</v>
      </c>
      <c r="J152" s="726"/>
      <c r="K152" s="342"/>
      <c r="L152" s="322"/>
      <c r="M152" s="323"/>
      <c r="N152" s="779"/>
      <c r="O152" s="779"/>
      <c r="P152" s="779"/>
      <c r="Q152" s="779"/>
      <c r="R152" s="779"/>
      <c r="S152" s="780"/>
      <c r="U152" s="13"/>
    </row>
    <row r="153" spans="2:21" ht="27.95" customHeight="1" x14ac:dyDescent="0.25">
      <c r="B153" s="13"/>
      <c r="D153" s="674"/>
      <c r="E153" s="762"/>
      <c r="F153" s="765"/>
      <c r="G153" s="893"/>
      <c r="H153" s="709"/>
      <c r="I153" s="709" t="s">
        <v>193</v>
      </c>
      <c r="J153" s="710"/>
      <c r="K153" s="451"/>
      <c r="L153" s="334"/>
      <c r="M153" s="335"/>
      <c r="N153" s="452"/>
      <c r="O153" s="452"/>
      <c r="P153" s="452"/>
      <c r="Q153" s="452"/>
      <c r="R153" s="452"/>
      <c r="S153" s="453"/>
      <c r="U153" s="13"/>
    </row>
    <row r="154" spans="2:21" ht="15" customHeight="1" x14ac:dyDescent="0.25">
      <c r="B154" s="13"/>
      <c r="D154" s="674"/>
      <c r="E154" s="762"/>
      <c r="F154" s="765"/>
      <c r="G154" s="893"/>
      <c r="H154" s="709"/>
      <c r="I154" s="709" t="s">
        <v>454</v>
      </c>
      <c r="J154" s="710"/>
      <c r="K154" s="451"/>
      <c r="L154" s="334"/>
      <c r="M154" s="335"/>
      <c r="N154" s="452"/>
      <c r="O154" s="452"/>
      <c r="P154" s="452"/>
      <c r="Q154" s="452"/>
      <c r="R154" s="452"/>
      <c r="S154" s="453"/>
      <c r="U154" s="13"/>
    </row>
    <row r="155" spans="2:21" ht="15" customHeight="1" x14ac:dyDescent="0.25">
      <c r="B155" s="13"/>
      <c r="D155" s="674"/>
      <c r="E155" s="762"/>
      <c r="F155" s="765"/>
      <c r="G155" s="893"/>
      <c r="H155" s="709"/>
      <c r="I155" s="709" t="s">
        <v>455</v>
      </c>
      <c r="J155" s="710"/>
      <c r="K155" s="451"/>
      <c r="L155" s="334"/>
      <c r="M155" s="335"/>
      <c r="N155" s="452"/>
      <c r="O155" s="452"/>
      <c r="P155" s="452"/>
      <c r="Q155" s="452"/>
      <c r="R155" s="452"/>
      <c r="S155" s="453"/>
      <c r="U155" s="13"/>
    </row>
    <row r="156" spans="2:21" ht="27.95" customHeight="1" x14ac:dyDescent="0.25">
      <c r="B156" s="13"/>
      <c r="D156" s="674"/>
      <c r="E156" s="762"/>
      <c r="F156" s="765"/>
      <c r="G156" s="893"/>
      <c r="H156" s="709"/>
      <c r="I156" s="709" t="s">
        <v>456</v>
      </c>
      <c r="J156" s="710"/>
      <c r="K156" s="451"/>
      <c r="L156" s="334"/>
      <c r="M156" s="335"/>
      <c r="N156" s="452"/>
      <c r="O156" s="452"/>
      <c r="P156" s="452"/>
      <c r="Q156" s="452"/>
      <c r="R156" s="452"/>
      <c r="S156" s="453"/>
      <c r="U156" s="13"/>
    </row>
    <row r="157" spans="2:21" ht="15" customHeight="1" thickBot="1" x14ac:dyDescent="0.3">
      <c r="B157" s="13"/>
      <c r="D157" s="774"/>
      <c r="E157" s="775"/>
      <c r="F157" s="776"/>
      <c r="G157" s="778"/>
      <c r="H157" s="711"/>
      <c r="I157" s="711" t="s">
        <v>457</v>
      </c>
      <c r="J157" s="712"/>
      <c r="K157" s="324"/>
      <c r="L157" s="325"/>
      <c r="M157" s="326"/>
      <c r="N157" s="339"/>
      <c r="O157" s="339"/>
      <c r="P157" s="339"/>
      <c r="Q157" s="339"/>
      <c r="R157" s="339"/>
      <c r="S157" s="340"/>
      <c r="U157" s="13"/>
    </row>
    <row r="158" spans="2:21" ht="20.100000000000001" customHeight="1" x14ac:dyDescent="0.25">
      <c r="B158" s="13"/>
      <c r="U158" s="13"/>
    </row>
    <row r="159" spans="2:21" ht="20.100000000000001" customHeight="1" thickBot="1" x14ac:dyDescent="0.3">
      <c r="B159" s="13"/>
      <c r="C159" s="26"/>
      <c r="D159" s="26"/>
      <c r="E159" s="552" t="str">
        <f>IF(OR(L149="-",L149= ""),H149,L149)</f>
        <v>7 Wonders Architects</v>
      </c>
      <c r="F159" s="552"/>
      <c r="G159" s="552"/>
      <c r="H159" s="552"/>
      <c r="I159" s="552"/>
      <c r="J159" s="552"/>
      <c r="K159" s="552"/>
      <c r="L159" s="552"/>
      <c r="M159" s="552"/>
      <c r="N159" s="552"/>
      <c r="O159" s="199"/>
      <c r="P159" s="199"/>
      <c r="Q159" s="199"/>
      <c r="R159" s="199"/>
      <c r="S159" s="199"/>
      <c r="T159" s="26"/>
      <c r="U159" s="13"/>
    </row>
    <row r="160" spans="2:21" ht="50.1" customHeight="1" thickBot="1" x14ac:dyDescent="0.3">
      <c r="B160" s="13"/>
      <c r="C160" s="26"/>
      <c r="D160" s="199"/>
      <c r="E160" s="88" t="s">
        <v>10</v>
      </c>
      <c r="F160" s="125" t="s">
        <v>52</v>
      </c>
      <c r="G160" s="89" t="s">
        <v>14</v>
      </c>
      <c r="H160" s="200" t="s">
        <v>51</v>
      </c>
      <c r="I160" s="18" t="s">
        <v>54</v>
      </c>
      <c r="J160" s="200" t="s">
        <v>53</v>
      </c>
      <c r="K160" s="206" t="s">
        <v>28</v>
      </c>
      <c r="L160" s="200" t="s">
        <v>37</v>
      </c>
      <c r="M160" s="204" t="s">
        <v>16</v>
      </c>
      <c r="N160" s="89" t="s">
        <v>15</v>
      </c>
      <c r="O160" s="5" t="s">
        <v>30</v>
      </c>
      <c r="P160" s="7" t="s">
        <v>34</v>
      </c>
      <c r="Q160" s="199"/>
      <c r="R160" s="199"/>
      <c r="S160" s="199"/>
      <c r="T160" s="26"/>
      <c r="U160" s="13"/>
    </row>
    <row r="161" spans="2:21" ht="20.100000000000001" customHeight="1" x14ac:dyDescent="0.25">
      <c r="B161" s="13"/>
      <c r="C161" s="26"/>
      <c r="D161" s="68"/>
      <c r="E161" s="365" t="s">
        <v>90</v>
      </c>
      <c r="F161" s="253" t="s">
        <v>92</v>
      </c>
      <c r="G161" s="49">
        <v>1</v>
      </c>
      <c r="H161" s="49" t="s">
        <v>451</v>
      </c>
      <c r="I161" s="49">
        <v>0</v>
      </c>
      <c r="J161" s="49">
        <v>39</v>
      </c>
      <c r="K161" s="49" t="s">
        <v>13</v>
      </c>
      <c r="L161" s="50">
        <f>IF(J161="",0,(J161/J163)*100)</f>
        <v>69.642857142857139</v>
      </c>
      <c r="M161" s="49">
        <v>2</v>
      </c>
      <c r="N161" s="61">
        <v>0</v>
      </c>
      <c r="O161" s="209">
        <f>IF(M161=1,1,0)</f>
        <v>0</v>
      </c>
      <c r="P161" s="8">
        <f>IF(M161=2,1,0)</f>
        <v>1</v>
      </c>
      <c r="Q161" s="198"/>
      <c r="R161" s="198"/>
      <c r="S161" s="198"/>
      <c r="T161" s="26"/>
      <c r="U161" s="13"/>
    </row>
    <row r="162" spans="2:21" ht="20.100000000000001" customHeight="1" thickBot="1" x14ac:dyDescent="0.3">
      <c r="B162" s="13"/>
      <c r="C162" s="26"/>
      <c r="D162" s="26"/>
      <c r="E162" s="310" t="s">
        <v>46</v>
      </c>
      <c r="F162" s="283" t="s">
        <v>6</v>
      </c>
      <c r="G162" s="284">
        <v>2</v>
      </c>
      <c r="H162" s="284" t="s">
        <v>452</v>
      </c>
      <c r="I162" s="284">
        <v>0</v>
      </c>
      <c r="J162" s="284">
        <v>56</v>
      </c>
      <c r="K162" s="285" t="s">
        <v>13</v>
      </c>
      <c r="L162" s="286">
        <f>IF(J162="",0,(J162/J163)*100)</f>
        <v>100</v>
      </c>
      <c r="M162" s="284">
        <v>1</v>
      </c>
      <c r="N162" s="287">
        <v>6</v>
      </c>
      <c r="O162" s="208">
        <f>IF(M162=1,1,0)</f>
        <v>1</v>
      </c>
      <c r="P162" s="10">
        <f>IF(M162=2,1,0)</f>
        <v>0</v>
      </c>
      <c r="Q162" s="198"/>
      <c r="R162" s="198"/>
      <c r="S162" s="198"/>
      <c r="T162" s="26"/>
      <c r="U162" s="13"/>
    </row>
    <row r="163" spans="2:21" ht="20.100000000000001" hidden="1" customHeight="1" outlineLevel="1" x14ac:dyDescent="0.25">
      <c r="B163" s="13"/>
      <c r="C163" s="26"/>
      <c r="D163" s="68"/>
      <c r="E163" s="68"/>
      <c r="F163" s="553"/>
      <c r="G163" s="553"/>
      <c r="H163" s="26"/>
      <c r="I163" s="64" t="s">
        <v>29</v>
      </c>
      <c r="J163" s="23">
        <f>MAX(J161:J162)</f>
        <v>56</v>
      </c>
      <c r="K163" s="70"/>
      <c r="L163" s="69"/>
      <c r="M163" s="26"/>
      <c r="N163" s="63" t="s">
        <v>33</v>
      </c>
      <c r="O163" s="20">
        <f>SUM(O161:O162)</f>
        <v>1</v>
      </c>
      <c r="P163" s="22">
        <f>SUM(P161:P162)</f>
        <v>1</v>
      </c>
      <c r="Q163" s="69"/>
      <c r="R163" s="69"/>
      <c r="S163" s="69"/>
      <c r="T163" s="26"/>
      <c r="U163" s="13"/>
    </row>
    <row r="164" spans="2:21" ht="20.100000000000001" customHeight="1" collapsed="1" x14ac:dyDescent="0.25">
      <c r="B164" s="13"/>
      <c r="C164" s="26"/>
      <c r="D164" s="26"/>
      <c r="E164" s="26"/>
      <c r="F164" s="26"/>
      <c r="G164" s="26"/>
      <c r="H164" s="26"/>
      <c r="I164" s="26"/>
      <c r="J164" s="26"/>
      <c r="K164" s="26"/>
      <c r="L164" s="26"/>
      <c r="M164" s="26"/>
      <c r="N164" s="26"/>
      <c r="O164" s="26"/>
      <c r="P164" s="26"/>
      <c r="Q164" s="26"/>
      <c r="R164" s="26"/>
      <c r="S164" s="26"/>
      <c r="T164" s="26"/>
      <c r="U164" s="13"/>
    </row>
    <row r="165" spans="2:21" ht="20.100000000000001" customHeight="1" x14ac:dyDescent="0.25">
      <c r="B165" s="13"/>
      <c r="U165" s="13"/>
    </row>
    <row r="166" spans="2:21" ht="20.100000000000001" customHeight="1" thickBot="1" x14ac:dyDescent="0.3">
      <c r="B166" s="13"/>
      <c r="C166" s="27"/>
      <c r="D166" s="27"/>
      <c r="E166" s="554" t="str">
        <f>IF(OR(L150="-",L150= ""),H150,L150)</f>
        <v>Targi</v>
      </c>
      <c r="F166" s="554"/>
      <c r="G166" s="554"/>
      <c r="H166" s="554"/>
      <c r="I166" s="554"/>
      <c r="J166" s="554"/>
      <c r="K166" s="554"/>
      <c r="L166" s="554"/>
      <c r="M166" s="554"/>
      <c r="N166" s="554"/>
      <c r="O166" s="197"/>
      <c r="P166" s="197"/>
      <c r="Q166" s="197"/>
      <c r="R166" s="197"/>
      <c r="S166" s="197"/>
      <c r="T166" s="27"/>
      <c r="U166" s="13"/>
    </row>
    <row r="167" spans="2:21" ht="50.1" customHeight="1" thickBot="1" x14ac:dyDescent="0.3">
      <c r="B167" s="13"/>
      <c r="C167" s="27"/>
      <c r="D167" s="197"/>
      <c r="E167" s="88" t="s">
        <v>10</v>
      </c>
      <c r="F167" s="125" t="s">
        <v>52</v>
      </c>
      <c r="G167" s="89" t="s">
        <v>14</v>
      </c>
      <c r="H167" s="200" t="s">
        <v>51</v>
      </c>
      <c r="I167" s="18" t="s">
        <v>54</v>
      </c>
      <c r="J167" s="200" t="s">
        <v>53</v>
      </c>
      <c r="K167" s="206" t="s">
        <v>28</v>
      </c>
      <c r="L167" s="200" t="s">
        <v>37</v>
      </c>
      <c r="M167" s="204" t="s">
        <v>16</v>
      </c>
      <c r="N167" s="89" t="s">
        <v>15</v>
      </c>
      <c r="O167" s="5" t="s">
        <v>30</v>
      </c>
      <c r="P167" s="7" t="s">
        <v>34</v>
      </c>
      <c r="Q167" s="197"/>
      <c r="R167" s="197"/>
      <c r="S167" s="197"/>
      <c r="T167" s="27"/>
      <c r="U167" s="13"/>
    </row>
    <row r="168" spans="2:21" ht="20.100000000000001" customHeight="1" x14ac:dyDescent="0.25">
      <c r="B168" s="13"/>
      <c r="C168" s="27"/>
      <c r="D168" s="67"/>
      <c r="E168" s="327" t="s">
        <v>90</v>
      </c>
      <c r="F168" s="272" t="s">
        <v>92</v>
      </c>
      <c r="G168" s="157">
        <v>2</v>
      </c>
      <c r="H168" s="103" t="s">
        <v>13</v>
      </c>
      <c r="I168" s="157">
        <v>4</v>
      </c>
      <c r="J168" s="103">
        <v>42</v>
      </c>
      <c r="K168" s="343" t="s">
        <v>13</v>
      </c>
      <c r="L168" s="36">
        <f>IF(J168="",0,(J168/J170)*100)</f>
        <v>100</v>
      </c>
      <c r="M168" s="157">
        <v>1</v>
      </c>
      <c r="N168" s="99">
        <v>6</v>
      </c>
      <c r="O168" s="209">
        <f>IF(M168=1,1,0)</f>
        <v>1</v>
      </c>
      <c r="P168" s="8">
        <f>IF(M168=2,1,0)</f>
        <v>0</v>
      </c>
      <c r="Q168" s="203"/>
      <c r="R168" s="203"/>
      <c r="S168" s="203"/>
      <c r="T168" s="27"/>
      <c r="U168" s="13"/>
    </row>
    <row r="169" spans="2:21" ht="20.100000000000001" customHeight="1" thickBot="1" x14ac:dyDescent="0.3">
      <c r="B169" s="13"/>
      <c r="C169" s="27"/>
      <c r="D169" s="27"/>
      <c r="E169" s="354" t="s">
        <v>46</v>
      </c>
      <c r="F169" s="255" t="s">
        <v>6</v>
      </c>
      <c r="G169" s="150">
        <v>1</v>
      </c>
      <c r="H169" s="107" t="s">
        <v>13</v>
      </c>
      <c r="I169" s="150">
        <v>4</v>
      </c>
      <c r="J169" s="107">
        <v>35</v>
      </c>
      <c r="K169" s="107" t="s">
        <v>13</v>
      </c>
      <c r="L169" s="17">
        <f>IF(J169="",0,(J169/J170)*100)</f>
        <v>83.333333333333343</v>
      </c>
      <c r="M169" s="150">
        <v>2</v>
      </c>
      <c r="N169" s="59">
        <v>0</v>
      </c>
      <c r="O169" s="208">
        <f>IF(M169=1,1,0)</f>
        <v>0</v>
      </c>
      <c r="P169" s="10">
        <f>IF(M169=2,1,0)</f>
        <v>1</v>
      </c>
      <c r="Q169" s="203"/>
      <c r="R169" s="203"/>
      <c r="S169" s="203"/>
      <c r="T169" s="27"/>
      <c r="U169" s="13"/>
    </row>
    <row r="170" spans="2:21" ht="20.100000000000001" hidden="1" customHeight="1" outlineLevel="1" x14ac:dyDescent="0.25">
      <c r="B170" s="13"/>
      <c r="C170" s="27"/>
      <c r="D170" s="27"/>
      <c r="E170" s="27"/>
      <c r="F170" s="531"/>
      <c r="G170" s="531"/>
      <c r="H170" s="27"/>
      <c r="I170" s="64" t="s">
        <v>29</v>
      </c>
      <c r="J170" s="23">
        <f>MAX(J168:J169)</f>
        <v>42</v>
      </c>
      <c r="K170" s="75"/>
      <c r="L170" s="203"/>
      <c r="M170" s="27"/>
      <c r="N170" s="63" t="s">
        <v>33</v>
      </c>
      <c r="O170" s="20">
        <f>SUM(O168:O169)</f>
        <v>1</v>
      </c>
      <c r="P170" s="22">
        <f>SUM(P168:P169)</f>
        <v>1</v>
      </c>
      <c r="Q170" s="74"/>
      <c r="R170" s="74"/>
      <c r="S170" s="74"/>
      <c r="T170" s="27"/>
      <c r="U170" s="13"/>
    </row>
    <row r="171" spans="2:21" ht="20.100000000000001" customHeight="1" collapsed="1" x14ac:dyDescent="0.25">
      <c r="B171" s="13"/>
      <c r="C171" s="27"/>
      <c r="D171" s="27"/>
      <c r="E171" s="27"/>
      <c r="F171" s="27"/>
      <c r="G171" s="27"/>
      <c r="H171" s="27"/>
      <c r="I171" s="27"/>
      <c r="J171" s="27"/>
      <c r="K171" s="27"/>
      <c r="L171" s="27"/>
      <c r="M171" s="27"/>
      <c r="N171" s="27"/>
      <c r="O171" s="27"/>
      <c r="P171" s="27"/>
      <c r="Q171" s="27"/>
      <c r="R171" s="27"/>
      <c r="S171" s="27"/>
      <c r="T171" s="27"/>
      <c r="U171" s="13"/>
    </row>
    <row r="172" spans="2:21" ht="20.100000000000001" customHeight="1" x14ac:dyDescent="0.25">
      <c r="B172" s="13"/>
      <c r="D172" s="28"/>
      <c r="E172" s="28"/>
      <c r="F172" s="28"/>
      <c r="G172" s="28"/>
      <c r="H172" s="29"/>
      <c r="I172" s="28"/>
      <c r="J172" s="28"/>
      <c r="U172" s="13"/>
    </row>
    <row r="173" spans="2:21" ht="20.100000000000001" customHeight="1" thickBot="1" x14ac:dyDescent="0.3">
      <c r="B173" s="13"/>
      <c r="C173" s="30"/>
      <c r="D173" s="30"/>
      <c r="E173" s="532" t="str">
        <f>IF(OR(L151="-",L151= ""),H151,L151)</f>
        <v>Fäkalini</v>
      </c>
      <c r="F173" s="532"/>
      <c r="G173" s="532"/>
      <c r="H173" s="532"/>
      <c r="I173" s="532"/>
      <c r="J173" s="532"/>
      <c r="K173" s="532"/>
      <c r="L173" s="532"/>
      <c r="M173" s="532"/>
      <c r="N173" s="532"/>
      <c r="O173" s="196"/>
      <c r="P173" s="196"/>
      <c r="Q173" s="196"/>
      <c r="R173" s="196"/>
      <c r="S173" s="196"/>
      <c r="T173" s="30"/>
      <c r="U173" s="14"/>
    </row>
    <row r="174" spans="2:21" ht="50.1" customHeight="1" thickBot="1" x14ac:dyDescent="0.3">
      <c r="B174" s="13"/>
      <c r="C174" s="30"/>
      <c r="D174" s="196"/>
      <c r="E174" s="88" t="s">
        <v>10</v>
      </c>
      <c r="F174" s="125" t="s">
        <v>52</v>
      </c>
      <c r="G174" s="89" t="s">
        <v>14</v>
      </c>
      <c r="H174" s="200" t="s">
        <v>51</v>
      </c>
      <c r="I174" s="18" t="s">
        <v>54</v>
      </c>
      <c r="J174" s="200" t="s">
        <v>53</v>
      </c>
      <c r="K174" s="206" t="s">
        <v>28</v>
      </c>
      <c r="L174" s="200" t="s">
        <v>37</v>
      </c>
      <c r="M174" s="204" t="s">
        <v>16</v>
      </c>
      <c r="N174" s="89" t="s">
        <v>15</v>
      </c>
      <c r="O174" s="5" t="s">
        <v>30</v>
      </c>
      <c r="P174" s="7" t="s">
        <v>34</v>
      </c>
      <c r="Q174" s="196"/>
      <c r="R174" s="196"/>
      <c r="S174" s="196"/>
      <c r="T174" s="30"/>
      <c r="U174" s="14"/>
    </row>
    <row r="175" spans="2:21" ht="20.100000000000001" customHeight="1" x14ac:dyDescent="0.25">
      <c r="B175" s="13"/>
      <c r="C175" s="30"/>
      <c r="D175" s="66"/>
      <c r="E175" s="327" t="s">
        <v>90</v>
      </c>
      <c r="F175" s="272" t="s">
        <v>92</v>
      </c>
      <c r="G175" s="157">
        <v>1</v>
      </c>
      <c r="H175" s="103" t="s">
        <v>13</v>
      </c>
      <c r="I175" s="157">
        <v>0</v>
      </c>
      <c r="J175" s="103">
        <v>26</v>
      </c>
      <c r="K175" s="157" t="s">
        <v>13</v>
      </c>
      <c r="L175" s="36">
        <f>IF(J175="",0,(J175/J177)*100)</f>
        <v>100</v>
      </c>
      <c r="M175" s="157">
        <v>1</v>
      </c>
      <c r="N175" s="99">
        <v>6</v>
      </c>
      <c r="O175" s="209">
        <f>IF(M175=1,1,0)</f>
        <v>1</v>
      </c>
      <c r="P175" s="8">
        <f>IF(M175=2,1,0)</f>
        <v>0</v>
      </c>
      <c r="Q175" s="194"/>
      <c r="R175" s="194"/>
      <c r="S175" s="194"/>
      <c r="T175" s="30"/>
      <c r="U175" s="13"/>
    </row>
    <row r="176" spans="2:21" ht="20.100000000000001" customHeight="1" thickBot="1" x14ac:dyDescent="0.3">
      <c r="B176" s="13"/>
      <c r="C176" s="30"/>
      <c r="D176" s="30"/>
      <c r="E176" s="354" t="s">
        <v>46</v>
      </c>
      <c r="F176" s="255" t="s">
        <v>6</v>
      </c>
      <c r="G176" s="150">
        <v>2</v>
      </c>
      <c r="H176" s="107" t="s">
        <v>13</v>
      </c>
      <c r="I176" s="150">
        <v>0</v>
      </c>
      <c r="J176" s="107">
        <v>5</v>
      </c>
      <c r="K176" s="107" t="s">
        <v>13</v>
      </c>
      <c r="L176" s="17">
        <f>IF(J176="",0,(J176/J177)*100)</f>
        <v>19.230769230769234</v>
      </c>
      <c r="M176" s="150">
        <v>2</v>
      </c>
      <c r="N176" s="59">
        <v>0</v>
      </c>
      <c r="O176" s="208">
        <f>IF(M176=1,1,0)</f>
        <v>0</v>
      </c>
      <c r="P176" s="10">
        <f>IF(M176=2,1,0)</f>
        <v>1</v>
      </c>
      <c r="Q176" s="194"/>
      <c r="R176" s="194"/>
      <c r="S176" s="194"/>
      <c r="T176" s="30"/>
      <c r="U176" s="31"/>
    </row>
    <row r="177" spans="2:21" ht="20.100000000000001" hidden="1" customHeight="1" outlineLevel="1" x14ac:dyDescent="0.3">
      <c r="B177" s="13"/>
      <c r="C177" s="30"/>
      <c r="D177" s="30"/>
      <c r="E177" s="30"/>
      <c r="F177" s="533"/>
      <c r="G177" s="533"/>
      <c r="H177" s="30"/>
      <c r="I177" s="64" t="s">
        <v>29</v>
      </c>
      <c r="J177" s="23">
        <f>MAX(J175:J176)</f>
        <v>26</v>
      </c>
      <c r="K177" s="76"/>
      <c r="L177" s="194"/>
      <c r="M177" s="30"/>
      <c r="N177" s="63" t="s">
        <v>33</v>
      </c>
      <c r="O177" s="20">
        <f>SUM(O175:O176)</f>
        <v>1</v>
      </c>
      <c r="P177" s="22">
        <f>SUM(P175:P176)</f>
        <v>1</v>
      </c>
      <c r="Q177" s="77"/>
      <c r="R177" s="77"/>
      <c r="S177" s="77"/>
      <c r="T177" s="30"/>
      <c r="U177" s="31"/>
    </row>
    <row r="178" spans="2:21" ht="20.100000000000001" customHeight="1" collapsed="1" x14ac:dyDescent="0.25">
      <c r="B178" s="13"/>
      <c r="C178" s="30"/>
      <c r="D178" s="30"/>
      <c r="E178" s="30"/>
      <c r="F178" s="30"/>
      <c r="G178" s="30"/>
      <c r="H178" s="30"/>
      <c r="I178" s="30"/>
      <c r="J178" s="30"/>
      <c r="K178" s="30"/>
      <c r="L178" s="30"/>
      <c r="M178" s="30"/>
      <c r="N178" s="30"/>
      <c r="O178" s="30"/>
      <c r="P178" s="30"/>
      <c r="Q178" s="30"/>
      <c r="R178" s="30"/>
      <c r="S178" s="30"/>
      <c r="T178" s="30"/>
      <c r="U178" s="31"/>
    </row>
    <row r="179" spans="2:21" ht="20.100000000000001" customHeight="1" x14ac:dyDescent="0.25">
      <c r="B179" s="13"/>
      <c r="D179" s="28"/>
      <c r="E179" s="28"/>
      <c r="F179" s="28"/>
      <c r="G179" s="28"/>
      <c r="H179" s="29"/>
      <c r="I179" s="28"/>
      <c r="J179" s="28"/>
      <c r="K179" s="28"/>
      <c r="U179" s="13"/>
    </row>
    <row r="180" spans="2:21" ht="20.100000000000001" customHeight="1" thickBot="1" x14ac:dyDescent="0.3">
      <c r="B180" s="13"/>
      <c r="C180" s="32"/>
      <c r="D180" s="32"/>
      <c r="E180" s="534" t="str">
        <f>IF(OR(L152="-",L152= ""),H152,L152)</f>
        <v>Agricola</v>
      </c>
      <c r="F180" s="534"/>
      <c r="G180" s="534"/>
      <c r="H180" s="534"/>
      <c r="I180" s="534"/>
      <c r="J180" s="534"/>
      <c r="K180" s="534"/>
      <c r="L180" s="534"/>
      <c r="M180" s="534"/>
      <c r="N180" s="534"/>
      <c r="O180" s="195"/>
      <c r="P180" s="195"/>
      <c r="Q180" s="195"/>
      <c r="R180" s="195"/>
      <c r="S180" s="195"/>
      <c r="T180" s="32"/>
      <c r="U180" s="13"/>
    </row>
    <row r="181" spans="2:21" ht="50.1" customHeight="1" thickBot="1" x14ac:dyDescent="0.3">
      <c r="B181" s="13"/>
      <c r="C181" s="32"/>
      <c r="D181" s="195"/>
      <c r="E181" s="88" t="s">
        <v>10</v>
      </c>
      <c r="F181" s="125" t="s">
        <v>52</v>
      </c>
      <c r="G181" s="89" t="s">
        <v>14</v>
      </c>
      <c r="H181" s="200" t="s">
        <v>51</v>
      </c>
      <c r="I181" s="18" t="s">
        <v>54</v>
      </c>
      <c r="J181" s="200" t="s">
        <v>53</v>
      </c>
      <c r="K181" s="206" t="s">
        <v>28</v>
      </c>
      <c r="L181" s="200" t="s">
        <v>37</v>
      </c>
      <c r="M181" s="204" t="s">
        <v>16</v>
      </c>
      <c r="N181" s="89" t="s">
        <v>15</v>
      </c>
      <c r="O181" s="5" t="s">
        <v>30</v>
      </c>
      <c r="P181" s="7" t="s">
        <v>34</v>
      </c>
      <c r="Q181" s="195"/>
      <c r="R181" s="195"/>
      <c r="S181" s="195"/>
      <c r="T181" s="32"/>
      <c r="U181" s="13"/>
    </row>
    <row r="182" spans="2:21" ht="20.100000000000001" customHeight="1" x14ac:dyDescent="0.25">
      <c r="B182" s="13"/>
      <c r="C182" s="32"/>
      <c r="D182" s="32"/>
      <c r="E182" s="365" t="s">
        <v>90</v>
      </c>
      <c r="F182" s="253" t="s">
        <v>92</v>
      </c>
      <c r="G182" s="49">
        <v>1</v>
      </c>
      <c r="H182" s="49" t="s">
        <v>13</v>
      </c>
      <c r="I182" s="49">
        <v>-14</v>
      </c>
      <c r="J182" s="49">
        <v>43</v>
      </c>
      <c r="K182" s="49" t="s">
        <v>13</v>
      </c>
      <c r="L182" s="50">
        <f>IF(J182="",0,(J182/J184)*100)</f>
        <v>97.727272727272734</v>
      </c>
      <c r="M182" s="49">
        <v>2</v>
      </c>
      <c r="N182" s="61">
        <v>0</v>
      </c>
      <c r="O182" s="209">
        <f>IF(M182=1,1,0)</f>
        <v>0</v>
      </c>
      <c r="P182" s="8">
        <f>IF(M182=2,1,0)</f>
        <v>1</v>
      </c>
      <c r="Q182" s="201"/>
      <c r="R182" s="201"/>
      <c r="S182" s="201"/>
      <c r="T182" s="32"/>
      <c r="U182" s="13"/>
    </row>
    <row r="183" spans="2:21" ht="20.100000000000001" customHeight="1" thickBot="1" x14ac:dyDescent="0.3">
      <c r="B183" s="13"/>
      <c r="C183" s="32"/>
      <c r="D183" s="32"/>
      <c r="E183" s="310" t="s">
        <v>46</v>
      </c>
      <c r="F183" s="283" t="s">
        <v>6</v>
      </c>
      <c r="G183" s="284">
        <v>2</v>
      </c>
      <c r="H183" s="284" t="s">
        <v>13</v>
      </c>
      <c r="I183" s="284">
        <v>-14</v>
      </c>
      <c r="J183" s="284">
        <v>44</v>
      </c>
      <c r="K183" s="285" t="s">
        <v>13</v>
      </c>
      <c r="L183" s="286">
        <f>IF(J183="",0,(J183/J184)*100)</f>
        <v>100</v>
      </c>
      <c r="M183" s="284">
        <v>1</v>
      </c>
      <c r="N183" s="287">
        <v>6</v>
      </c>
      <c r="O183" s="208">
        <f>IF(M183=1,1,0)</f>
        <v>1</v>
      </c>
      <c r="P183" s="10">
        <f>IF(M183=2,1,0)</f>
        <v>0</v>
      </c>
      <c r="Q183" s="201"/>
      <c r="R183" s="201"/>
      <c r="S183" s="201"/>
      <c r="T183" s="32"/>
      <c r="U183" s="13"/>
    </row>
    <row r="184" spans="2:21" ht="20.100000000000001" hidden="1" customHeight="1" outlineLevel="1" x14ac:dyDescent="0.3">
      <c r="B184" s="13"/>
      <c r="C184" s="32"/>
      <c r="D184" s="32"/>
      <c r="E184" s="32"/>
      <c r="F184" s="535"/>
      <c r="G184" s="535"/>
      <c r="H184" s="32"/>
      <c r="I184" s="64" t="s">
        <v>29</v>
      </c>
      <c r="J184" s="23">
        <f>MAX(J182:J183)</f>
        <v>44</v>
      </c>
      <c r="K184" s="78"/>
      <c r="L184" s="201"/>
      <c r="M184" s="32"/>
      <c r="N184" s="63" t="s">
        <v>33</v>
      </c>
      <c r="O184" s="20">
        <f>SUM(O182:O183)</f>
        <v>1</v>
      </c>
      <c r="P184" s="22">
        <f>SUM(P182:P183)</f>
        <v>1</v>
      </c>
      <c r="Q184" s="79"/>
      <c r="R184" s="79"/>
      <c r="S184" s="79"/>
      <c r="T184" s="32"/>
      <c r="U184" s="13"/>
    </row>
    <row r="185" spans="2:21" ht="20.100000000000001" customHeight="1" collapsed="1" x14ac:dyDescent="0.25">
      <c r="B185" s="13"/>
      <c r="C185" s="32"/>
      <c r="D185" s="32"/>
      <c r="E185" s="32"/>
      <c r="F185" s="32"/>
      <c r="G185" s="32"/>
      <c r="H185" s="32"/>
      <c r="I185" s="32"/>
      <c r="J185" s="32"/>
      <c r="K185" s="32"/>
      <c r="L185" s="32"/>
      <c r="M185" s="32"/>
      <c r="N185" s="32"/>
      <c r="O185" s="32"/>
      <c r="P185" s="32"/>
      <c r="Q185" s="32"/>
      <c r="R185" s="32"/>
      <c r="S185" s="32"/>
      <c r="T185" s="32"/>
      <c r="U185" s="13"/>
    </row>
    <row r="186" spans="2:21" ht="20.100000000000001" customHeight="1" x14ac:dyDescent="0.25">
      <c r="B186" s="13"/>
      <c r="D186" s="4"/>
      <c r="E186" s="4"/>
      <c r="F186" s="4"/>
      <c r="G186" s="4"/>
      <c r="H186" s="4"/>
      <c r="I186" s="4"/>
      <c r="J186" s="4"/>
      <c r="U186" s="13"/>
    </row>
    <row r="187" spans="2:21" ht="30" customHeight="1" thickBot="1" x14ac:dyDescent="0.3">
      <c r="B187" s="13"/>
      <c r="C187" s="33"/>
      <c r="D187" s="312"/>
      <c r="E187" s="536" t="s">
        <v>50</v>
      </c>
      <c r="F187" s="536"/>
      <c r="G187" s="536"/>
      <c r="H187" s="536"/>
      <c r="I187" s="536"/>
      <c r="J187" s="536"/>
      <c r="K187" s="536"/>
      <c r="L187" s="536"/>
      <c r="M187" s="536"/>
      <c r="N187" s="536"/>
      <c r="O187" s="312"/>
      <c r="P187" s="312"/>
      <c r="Q187" s="312"/>
      <c r="R187" s="312"/>
      <c r="S187" s="312"/>
      <c r="T187" s="33"/>
      <c r="U187" s="13"/>
    </row>
    <row r="188" spans="2:21" ht="50.1" customHeight="1" thickBot="1" x14ac:dyDescent="0.3">
      <c r="B188" s="13"/>
      <c r="C188" s="33"/>
      <c r="D188" s="33"/>
      <c r="E188" s="90" t="s">
        <v>10</v>
      </c>
      <c r="F188" s="93" t="s">
        <v>65</v>
      </c>
      <c r="G188" s="91" t="s">
        <v>15</v>
      </c>
      <c r="H188" s="42" t="s">
        <v>55</v>
      </c>
      <c r="I188" s="537" t="s">
        <v>56</v>
      </c>
      <c r="J188" s="538"/>
      <c r="K188" s="202" t="s">
        <v>66</v>
      </c>
      <c r="L188" s="92" t="s">
        <v>17</v>
      </c>
      <c r="M188" s="91" t="s">
        <v>18</v>
      </c>
      <c r="N188" s="93" t="s">
        <v>38</v>
      </c>
      <c r="O188" s="313"/>
      <c r="P188" s="314"/>
      <c r="Q188" s="314"/>
      <c r="R188" s="314"/>
      <c r="S188" s="313"/>
      <c r="T188" s="33"/>
      <c r="U188" s="13"/>
    </row>
    <row r="189" spans="2:21" ht="20.100000000000001" customHeight="1" x14ac:dyDescent="0.25">
      <c r="B189" s="13"/>
      <c r="C189" s="33"/>
      <c r="D189" s="33"/>
      <c r="E189" s="367" t="s">
        <v>90</v>
      </c>
      <c r="F189" s="288" t="s">
        <v>92</v>
      </c>
      <c r="G189" s="133">
        <f>L189*6+M189*0</f>
        <v>12</v>
      </c>
      <c r="H189" s="262">
        <v>0</v>
      </c>
      <c r="I189" s="539" t="s">
        <v>13</v>
      </c>
      <c r="J189" s="539"/>
      <c r="K189" s="133">
        <f>G189+H189</f>
        <v>12</v>
      </c>
      <c r="L189" s="133">
        <v>2</v>
      </c>
      <c r="M189" s="133">
        <v>2</v>
      </c>
      <c r="N189" s="134">
        <f>(L161+L168+L175+L182)/4</f>
        <v>91.842532467532465</v>
      </c>
      <c r="O189" s="316"/>
      <c r="P189" s="317"/>
      <c r="Q189" s="317"/>
      <c r="R189" s="317"/>
      <c r="S189" s="330"/>
      <c r="T189" s="33"/>
      <c r="U189" s="13"/>
    </row>
    <row r="190" spans="2:21" ht="20.100000000000001" customHeight="1" thickBot="1" x14ac:dyDescent="0.3">
      <c r="B190" s="13"/>
      <c r="C190" s="33"/>
      <c r="D190" s="33"/>
      <c r="E190" s="372" t="s">
        <v>46</v>
      </c>
      <c r="F190" s="275" t="s">
        <v>6</v>
      </c>
      <c r="G190" s="109">
        <f>L190*6+M190*0</f>
        <v>12</v>
      </c>
      <c r="H190" s="264">
        <v>0</v>
      </c>
      <c r="I190" s="530" t="s">
        <v>13</v>
      </c>
      <c r="J190" s="530"/>
      <c r="K190" s="109">
        <f>G190+H190</f>
        <v>12</v>
      </c>
      <c r="L190" s="109">
        <v>2</v>
      </c>
      <c r="M190" s="109">
        <v>2</v>
      </c>
      <c r="N190" s="106">
        <f>(L162+L169+L176+L183)/4</f>
        <v>75.641025641025635</v>
      </c>
      <c r="O190" s="316"/>
      <c r="P190" s="317"/>
      <c r="Q190" s="317"/>
      <c r="R190" s="317"/>
      <c r="S190" s="330"/>
      <c r="T190" s="33"/>
      <c r="U190" s="13"/>
    </row>
    <row r="191" spans="2:21" ht="20.100000000000001" customHeight="1" x14ac:dyDescent="0.25">
      <c r="B191" s="13"/>
      <c r="C191" s="33"/>
      <c r="D191" s="33"/>
      <c r="E191" s="33"/>
      <c r="F191" s="16"/>
      <c r="G191" s="16"/>
      <c r="H191" s="16"/>
      <c r="I191" s="16"/>
      <c r="J191" s="16"/>
      <c r="K191" s="16"/>
      <c r="L191" s="16"/>
      <c r="M191" s="16"/>
      <c r="N191" s="16"/>
      <c r="O191" s="16"/>
      <c r="P191" s="16"/>
      <c r="Q191" s="16"/>
      <c r="R191" s="16"/>
      <c r="S191" s="16"/>
      <c r="T191" s="33"/>
      <c r="U191" s="13"/>
    </row>
    <row r="192" spans="2:21" ht="20.100000000000001" customHeight="1" x14ac:dyDescent="0.25">
      <c r="B192" s="13"/>
      <c r="C192" s="13"/>
      <c r="D192" s="15"/>
      <c r="E192" s="15"/>
      <c r="F192" s="14"/>
      <c r="G192" s="14"/>
      <c r="H192" s="15"/>
      <c r="I192" s="15"/>
      <c r="J192" s="15"/>
      <c r="K192" s="13"/>
      <c r="L192" s="13"/>
      <c r="M192" s="13"/>
      <c r="N192" s="13"/>
      <c r="O192" s="13"/>
      <c r="P192" s="13"/>
      <c r="Q192" s="13"/>
      <c r="R192" s="13"/>
      <c r="S192" s="13"/>
      <c r="T192" s="13"/>
      <c r="U192" s="13"/>
    </row>
  </sheetData>
  <mergeCells count="175">
    <mergeCell ref="H138:I138"/>
    <mergeCell ref="H139:I139"/>
    <mergeCell ref="H140:I140"/>
    <mergeCell ref="L14:L15"/>
    <mergeCell ref="B14:C14"/>
    <mergeCell ref="B15:C15"/>
    <mergeCell ref="F131:G131"/>
    <mergeCell ref="D134:S134"/>
    <mergeCell ref="H135:I135"/>
    <mergeCell ref="H136:I136"/>
    <mergeCell ref="H137:I137"/>
    <mergeCell ref="D95:D96"/>
    <mergeCell ref="N91:S91"/>
    <mergeCell ref="I92:J92"/>
    <mergeCell ref="B20:C20"/>
    <mergeCell ref="N88:S90"/>
    <mergeCell ref="I90:J90"/>
    <mergeCell ref="I89:J89"/>
    <mergeCell ref="I91:J91"/>
    <mergeCell ref="I87:J87"/>
    <mergeCell ref="I88:J88"/>
    <mergeCell ref="G88:G90"/>
    <mergeCell ref="H88:H90"/>
    <mergeCell ref="F88:F90"/>
    <mergeCell ref="Y137:Z137"/>
    <mergeCell ref="F104:G104"/>
    <mergeCell ref="E107:N107"/>
    <mergeCell ref="F113:G113"/>
    <mergeCell ref="E116:N116"/>
    <mergeCell ref="F122:G122"/>
    <mergeCell ref="E125:N125"/>
    <mergeCell ref="K95:K96"/>
    <mergeCell ref="L95:L96"/>
    <mergeCell ref="M95:M96"/>
    <mergeCell ref="N95:S96"/>
    <mergeCell ref="I96:J96"/>
    <mergeCell ref="E98:N98"/>
    <mergeCell ref="E95:E96"/>
    <mergeCell ref="F95:F96"/>
    <mergeCell ref="G95:G96"/>
    <mergeCell ref="H95:H96"/>
    <mergeCell ref="I95:J95"/>
    <mergeCell ref="E88:E90"/>
    <mergeCell ref="D88:D90"/>
    <mergeCell ref="K88:K90"/>
    <mergeCell ref="L88:L90"/>
    <mergeCell ref="M88:M90"/>
    <mergeCell ref="H76:I76"/>
    <mergeCell ref="H77:I77"/>
    <mergeCell ref="H78:I78"/>
    <mergeCell ref="H79:I79"/>
    <mergeCell ref="C84:T84"/>
    <mergeCell ref="D86:D87"/>
    <mergeCell ref="E86:E87"/>
    <mergeCell ref="F86:F87"/>
    <mergeCell ref="G86:J86"/>
    <mergeCell ref="L86:S86"/>
    <mergeCell ref="N87:S87"/>
    <mergeCell ref="F61:G61"/>
    <mergeCell ref="E64:N64"/>
    <mergeCell ref="F70:G70"/>
    <mergeCell ref="D73:S73"/>
    <mergeCell ref="H74:I74"/>
    <mergeCell ref="H75:I75"/>
    <mergeCell ref="E37:N37"/>
    <mergeCell ref="F43:G43"/>
    <mergeCell ref="F44:G44"/>
    <mergeCell ref="E46:N46"/>
    <mergeCell ref="F52:G52"/>
    <mergeCell ref="E55:N55"/>
    <mergeCell ref="N35:S35"/>
    <mergeCell ref="I35:J35"/>
    <mergeCell ref="K30:K34"/>
    <mergeCell ref="L30:L34"/>
    <mergeCell ref="M30:M34"/>
    <mergeCell ref="N30:S34"/>
    <mergeCell ref="I33:J33"/>
    <mergeCell ref="I34:J34"/>
    <mergeCell ref="D30:D34"/>
    <mergeCell ref="E30:E34"/>
    <mergeCell ref="F30:F34"/>
    <mergeCell ref="G30:G34"/>
    <mergeCell ref="H30:H34"/>
    <mergeCell ref="I30:J30"/>
    <mergeCell ref="I31:J31"/>
    <mergeCell ref="I32:J32"/>
    <mergeCell ref="N29:S29"/>
    <mergeCell ref="M27:M28"/>
    <mergeCell ref="I28:J28"/>
    <mergeCell ref="I29:J29"/>
    <mergeCell ref="I26:J26"/>
    <mergeCell ref="N26:S26"/>
    <mergeCell ref="D27:D28"/>
    <mergeCell ref="E27:E28"/>
    <mergeCell ref="F27:F28"/>
    <mergeCell ref="G27:G28"/>
    <mergeCell ref="H27:H28"/>
    <mergeCell ref="I27:J27"/>
    <mergeCell ref="K27:K28"/>
    <mergeCell ref="L27:L28"/>
    <mergeCell ref="N27:S27"/>
    <mergeCell ref="N28:S28"/>
    <mergeCell ref="B17:H17"/>
    <mergeCell ref="B18:C18"/>
    <mergeCell ref="B19:C19"/>
    <mergeCell ref="C23:T23"/>
    <mergeCell ref="D25:D26"/>
    <mergeCell ref="E25:E26"/>
    <mergeCell ref="F25:F26"/>
    <mergeCell ref="G25:J25"/>
    <mergeCell ref="L25:S25"/>
    <mergeCell ref="B10:C10"/>
    <mergeCell ref="L10:L13"/>
    <mergeCell ref="B11:C11"/>
    <mergeCell ref="B12:C12"/>
    <mergeCell ref="B13:C13"/>
    <mergeCell ref="K16:L16"/>
    <mergeCell ref="A1:N2"/>
    <mergeCell ref="B4:I4"/>
    <mergeCell ref="K4:M4"/>
    <mergeCell ref="B5:C5"/>
    <mergeCell ref="B6:C6"/>
    <mergeCell ref="L6:L9"/>
    <mergeCell ref="B7:C7"/>
    <mergeCell ref="B8:C8"/>
    <mergeCell ref="B9:C9"/>
    <mergeCell ref="D92:D94"/>
    <mergeCell ref="E92:E94"/>
    <mergeCell ref="F92:F94"/>
    <mergeCell ref="G92:G94"/>
    <mergeCell ref="H92:H94"/>
    <mergeCell ref="K92:K94"/>
    <mergeCell ref="L92:L94"/>
    <mergeCell ref="M92:M94"/>
    <mergeCell ref="N92:S94"/>
    <mergeCell ref="I93:J93"/>
    <mergeCell ref="I94:J94"/>
    <mergeCell ref="N150:S150"/>
    <mergeCell ref="I151:J151"/>
    <mergeCell ref="N151:S151"/>
    <mergeCell ref="I150:J150"/>
    <mergeCell ref="C145:T145"/>
    <mergeCell ref="D147:D148"/>
    <mergeCell ref="E147:E148"/>
    <mergeCell ref="F147:F148"/>
    <mergeCell ref="G147:J147"/>
    <mergeCell ref="L147:S147"/>
    <mergeCell ref="I148:J148"/>
    <mergeCell ref="N148:S148"/>
    <mergeCell ref="I149:J149"/>
    <mergeCell ref="N149:S149"/>
    <mergeCell ref="D152:D157"/>
    <mergeCell ref="E152:E157"/>
    <mergeCell ref="F152:F157"/>
    <mergeCell ref="G152:G157"/>
    <mergeCell ref="H152:H157"/>
    <mergeCell ref="I152:J152"/>
    <mergeCell ref="N152:S152"/>
    <mergeCell ref="I157:J157"/>
    <mergeCell ref="E159:N159"/>
    <mergeCell ref="I189:J189"/>
    <mergeCell ref="I190:J190"/>
    <mergeCell ref="I153:J153"/>
    <mergeCell ref="I154:J154"/>
    <mergeCell ref="I155:J155"/>
    <mergeCell ref="I156:J156"/>
    <mergeCell ref="F163:G163"/>
    <mergeCell ref="E166:N166"/>
    <mergeCell ref="F170:G170"/>
    <mergeCell ref="E173:N173"/>
    <mergeCell ref="F177:G177"/>
    <mergeCell ref="E180:N180"/>
    <mergeCell ref="F184:G184"/>
    <mergeCell ref="E187:N187"/>
    <mergeCell ref="I188:J188"/>
  </mergeCells>
  <conditionalFormatting sqref="B6:C13 B14:B15">
    <cfRule type="expression" dxfId="701" priority="295">
      <formula>$I6="Nein"</formula>
    </cfRule>
    <cfRule type="expression" dxfId="700" priority="296">
      <formula>$I6="Ja"</formula>
    </cfRule>
  </conditionalFormatting>
  <conditionalFormatting sqref="D79:E79">
    <cfRule type="expression" dxfId="699" priority="291">
      <formula>$I79="Nein"</formula>
    </cfRule>
    <cfRule type="expression" dxfId="698" priority="292">
      <formula>$I79="Ja"</formula>
    </cfRule>
  </conditionalFormatting>
  <conditionalFormatting sqref="D140:E140">
    <cfRule type="expression" dxfId="697" priority="289">
      <formula>$I140="Nein"</formula>
    </cfRule>
    <cfRule type="expression" dxfId="696" priority="290">
      <formula>$I140="Ja"</formula>
    </cfRule>
  </conditionalFormatting>
  <conditionalFormatting sqref="D8:I8">
    <cfRule type="expression" dxfId="695" priority="283">
      <formula>$I8="Nein"</formula>
    </cfRule>
    <cfRule type="expression" dxfId="694" priority="284">
      <formula>$I8="Ja"</formula>
    </cfRule>
  </conditionalFormatting>
  <conditionalFormatting sqref="I14:I15">
    <cfRule type="expression" dxfId="693" priority="281">
      <formula>$I14="Nein"</formula>
    </cfRule>
    <cfRule type="expression" dxfId="692" priority="282">
      <formula>$I14="Ja"</formula>
    </cfRule>
  </conditionalFormatting>
  <conditionalFormatting sqref="D8:I8">
    <cfRule type="expression" dxfId="691" priority="277">
      <formula>$I8="Nein"</formula>
    </cfRule>
    <cfRule type="expression" dxfId="690" priority="278">
      <formula>$I8="Ja"</formula>
    </cfRule>
  </conditionalFormatting>
  <conditionalFormatting sqref="D12:I12">
    <cfRule type="expression" dxfId="689" priority="269">
      <formula>$I12="Nein"</formula>
    </cfRule>
    <cfRule type="expression" dxfId="688" priority="270">
      <formula>$I12="Ja"</formula>
    </cfRule>
  </conditionalFormatting>
  <conditionalFormatting sqref="D137:E137">
    <cfRule type="expression" dxfId="687" priority="167">
      <formula>$I137="Nein"</formula>
    </cfRule>
    <cfRule type="expression" dxfId="686" priority="168">
      <formula>$I137="Ja"</formula>
    </cfRule>
  </conditionalFormatting>
  <conditionalFormatting sqref="D139:E139">
    <cfRule type="expression" dxfId="685" priority="165">
      <formula>$I139="Nein"</formula>
    </cfRule>
    <cfRule type="expression" dxfId="684" priority="166">
      <formula>$I139="Ja"</formula>
    </cfRule>
  </conditionalFormatting>
  <conditionalFormatting sqref="D14:H14">
    <cfRule type="expression" dxfId="683" priority="163">
      <formula>$I14="Nein"</formula>
    </cfRule>
    <cfRule type="expression" dxfId="682" priority="164">
      <formula>$I14="Ja"</formula>
    </cfRule>
  </conditionalFormatting>
  <conditionalFormatting sqref="D15:H15">
    <cfRule type="expression" dxfId="681" priority="161">
      <formula>$I15="Nein"</formula>
    </cfRule>
    <cfRule type="expression" dxfId="680" priority="162">
      <formula>$I15="Ja"</formula>
    </cfRule>
  </conditionalFormatting>
  <conditionalFormatting sqref="I9">
    <cfRule type="expression" dxfId="679" priority="157">
      <formula>$I9="Nein"</formula>
    </cfRule>
    <cfRule type="expression" dxfId="678" priority="158">
      <formula>$I9="Ja"</formula>
    </cfRule>
  </conditionalFormatting>
  <conditionalFormatting sqref="D9:H9">
    <cfRule type="expression" dxfId="677" priority="155">
      <formula>$I9="Nein"</formula>
    </cfRule>
    <cfRule type="expression" dxfId="676" priority="156">
      <formula>$I9="Ja"</formula>
    </cfRule>
  </conditionalFormatting>
  <conditionalFormatting sqref="D7:I7">
    <cfRule type="expression" dxfId="675" priority="147">
      <formula>$I7="Nein"</formula>
    </cfRule>
    <cfRule type="expression" dxfId="674" priority="148">
      <formula>$I7="Ja"</formula>
    </cfRule>
  </conditionalFormatting>
  <conditionalFormatting sqref="D6:I6">
    <cfRule type="expression" dxfId="673" priority="145">
      <formula>$I6="Nein"</formula>
    </cfRule>
    <cfRule type="expression" dxfId="672" priority="146">
      <formula>$I6="Ja"</formula>
    </cfRule>
  </conditionalFormatting>
  <conditionalFormatting sqref="D6:I6">
    <cfRule type="expression" dxfId="671" priority="143">
      <formula>$I6="Nein"</formula>
    </cfRule>
    <cfRule type="expression" dxfId="670" priority="144">
      <formula>$I6="Ja"</formula>
    </cfRule>
  </conditionalFormatting>
  <conditionalFormatting sqref="D16:I16">
    <cfRule type="expression" dxfId="669" priority="141">
      <formula>$I16="Nein"</formula>
    </cfRule>
    <cfRule type="expression" dxfId="668" priority="142">
      <formula>$I16="Ja"</formula>
    </cfRule>
  </conditionalFormatting>
  <conditionalFormatting sqref="D13:I13">
    <cfRule type="expression" dxfId="667" priority="139">
      <formula>$I13="Nein"</formula>
    </cfRule>
    <cfRule type="expression" dxfId="666" priority="140">
      <formula>$I13="Ja"</formula>
    </cfRule>
  </conditionalFormatting>
  <conditionalFormatting sqref="D11:I11">
    <cfRule type="expression" dxfId="665" priority="137">
      <formula>$I11="Nein"</formula>
    </cfRule>
    <cfRule type="expression" dxfId="664" priority="138">
      <formula>$I11="Ja"</formula>
    </cfRule>
  </conditionalFormatting>
  <conditionalFormatting sqref="D10:I10">
    <cfRule type="expression" dxfId="663" priority="135">
      <formula>$I10="Nein"</formula>
    </cfRule>
    <cfRule type="expression" dxfId="662" priority="136">
      <formula>$I10="Ja"</formula>
    </cfRule>
  </conditionalFormatting>
  <conditionalFormatting sqref="E41:F41">
    <cfRule type="expression" dxfId="661" priority="133">
      <formula>$I41="Nein"</formula>
    </cfRule>
    <cfRule type="expression" dxfId="660" priority="134">
      <formula>$I41="Ja"</formula>
    </cfRule>
  </conditionalFormatting>
  <conditionalFormatting sqref="E41:F41">
    <cfRule type="expression" dxfId="659" priority="131">
      <formula>$I41="Nein"</formula>
    </cfRule>
    <cfRule type="expression" dxfId="658" priority="132">
      <formula>$I41="Ja"</formula>
    </cfRule>
  </conditionalFormatting>
  <conditionalFormatting sqref="E42:F42">
    <cfRule type="expression" dxfId="657" priority="129">
      <formula>$I42="Nein"</formula>
    </cfRule>
    <cfRule type="expression" dxfId="656" priority="130">
      <formula>$I42="Ja"</formula>
    </cfRule>
  </conditionalFormatting>
  <conditionalFormatting sqref="E40:F40">
    <cfRule type="expression" dxfId="655" priority="127">
      <formula>$I40="Nein"</formula>
    </cfRule>
    <cfRule type="expression" dxfId="654" priority="128">
      <formula>$I40="Ja"</formula>
    </cfRule>
  </conditionalFormatting>
  <conditionalFormatting sqref="E39:F39">
    <cfRule type="expression" dxfId="653" priority="125">
      <formula>$I39="Nein"</formula>
    </cfRule>
    <cfRule type="expression" dxfId="652" priority="126">
      <formula>$I39="Ja"</formula>
    </cfRule>
  </conditionalFormatting>
  <conditionalFormatting sqref="E39:F39">
    <cfRule type="expression" dxfId="651" priority="123">
      <formula>$I39="Nein"</formula>
    </cfRule>
    <cfRule type="expression" dxfId="650" priority="124">
      <formula>$I39="Ja"</formula>
    </cfRule>
  </conditionalFormatting>
  <conditionalFormatting sqref="E50:F50">
    <cfRule type="expression" dxfId="649" priority="121">
      <formula>$I50="Nein"</formula>
    </cfRule>
    <cfRule type="expression" dxfId="648" priority="122">
      <formula>$I50="Ja"</formula>
    </cfRule>
  </conditionalFormatting>
  <conditionalFormatting sqref="E50:F50">
    <cfRule type="expression" dxfId="647" priority="119">
      <formula>$I50="Nein"</formula>
    </cfRule>
    <cfRule type="expression" dxfId="646" priority="120">
      <formula>$I50="Ja"</formula>
    </cfRule>
  </conditionalFormatting>
  <conditionalFormatting sqref="E51:F51">
    <cfRule type="expression" dxfId="645" priority="117">
      <formula>$I51="Nein"</formula>
    </cfRule>
    <cfRule type="expression" dxfId="644" priority="118">
      <formula>$I51="Ja"</formula>
    </cfRule>
  </conditionalFormatting>
  <conditionalFormatting sqref="E49:F49">
    <cfRule type="expression" dxfId="643" priority="115">
      <formula>$I49="Nein"</formula>
    </cfRule>
    <cfRule type="expression" dxfId="642" priority="116">
      <formula>$I49="Ja"</formula>
    </cfRule>
  </conditionalFormatting>
  <conditionalFormatting sqref="E48:F48">
    <cfRule type="expression" dxfId="641" priority="113">
      <formula>$I48="Nein"</formula>
    </cfRule>
    <cfRule type="expression" dxfId="640" priority="114">
      <formula>$I48="Ja"</formula>
    </cfRule>
  </conditionalFormatting>
  <conditionalFormatting sqref="E48:F48">
    <cfRule type="expression" dxfId="639" priority="111">
      <formula>$I48="Nein"</formula>
    </cfRule>
    <cfRule type="expression" dxfId="638" priority="112">
      <formula>$I48="Ja"</formula>
    </cfRule>
  </conditionalFormatting>
  <conditionalFormatting sqref="E59:F59">
    <cfRule type="expression" dxfId="637" priority="109">
      <formula>$I59="Nein"</formula>
    </cfRule>
    <cfRule type="expression" dxfId="636" priority="110">
      <formula>$I59="Ja"</formula>
    </cfRule>
  </conditionalFormatting>
  <conditionalFormatting sqref="E59:F59">
    <cfRule type="expression" dxfId="635" priority="107">
      <formula>$I59="Nein"</formula>
    </cfRule>
    <cfRule type="expression" dxfId="634" priority="108">
      <formula>$I59="Ja"</formula>
    </cfRule>
  </conditionalFormatting>
  <conditionalFormatting sqref="E60:F60">
    <cfRule type="expression" dxfId="633" priority="105">
      <formula>$I60="Nein"</formula>
    </cfRule>
    <cfRule type="expression" dxfId="632" priority="106">
      <formula>$I60="Ja"</formula>
    </cfRule>
  </conditionalFormatting>
  <conditionalFormatting sqref="E58:F58">
    <cfRule type="expression" dxfId="631" priority="103">
      <formula>$I58="Nein"</formula>
    </cfRule>
    <cfRule type="expression" dxfId="630" priority="104">
      <formula>$I58="Ja"</formula>
    </cfRule>
  </conditionalFormatting>
  <conditionalFormatting sqref="E57:F57">
    <cfRule type="expression" dxfId="629" priority="101">
      <formula>$I57="Nein"</formula>
    </cfRule>
    <cfRule type="expression" dxfId="628" priority="102">
      <formula>$I57="Ja"</formula>
    </cfRule>
  </conditionalFormatting>
  <conditionalFormatting sqref="E57:F57">
    <cfRule type="expression" dxfId="627" priority="99">
      <formula>$I57="Nein"</formula>
    </cfRule>
    <cfRule type="expression" dxfId="626" priority="100">
      <formula>$I57="Ja"</formula>
    </cfRule>
  </conditionalFormatting>
  <conditionalFormatting sqref="E68:F68">
    <cfRule type="expression" dxfId="625" priority="97">
      <formula>$I68="Nein"</formula>
    </cfRule>
    <cfRule type="expression" dxfId="624" priority="98">
      <formula>$I68="Ja"</formula>
    </cfRule>
  </conditionalFormatting>
  <conditionalFormatting sqref="E68:F68">
    <cfRule type="expression" dxfId="623" priority="95">
      <formula>$I68="Nein"</formula>
    </cfRule>
    <cfRule type="expression" dxfId="622" priority="96">
      <formula>$I68="Ja"</formula>
    </cfRule>
  </conditionalFormatting>
  <conditionalFormatting sqref="E69:F69">
    <cfRule type="expression" dxfId="621" priority="93">
      <formula>$I69="Nein"</formula>
    </cfRule>
    <cfRule type="expression" dxfId="620" priority="94">
      <formula>$I69="Ja"</formula>
    </cfRule>
  </conditionalFormatting>
  <conditionalFormatting sqref="E67:F67">
    <cfRule type="expression" dxfId="619" priority="91">
      <formula>$I67="Nein"</formula>
    </cfRule>
    <cfRule type="expression" dxfId="618" priority="92">
      <formula>$I67="Ja"</formula>
    </cfRule>
  </conditionalFormatting>
  <conditionalFormatting sqref="E66:F66">
    <cfRule type="expression" dxfId="617" priority="89">
      <formula>$I66="Nein"</formula>
    </cfRule>
    <cfRule type="expression" dxfId="616" priority="90">
      <formula>$I66="Ja"</formula>
    </cfRule>
  </conditionalFormatting>
  <conditionalFormatting sqref="E66:F66">
    <cfRule type="expression" dxfId="615" priority="87">
      <formula>$I66="Nein"</formula>
    </cfRule>
    <cfRule type="expression" dxfId="614" priority="88">
      <formula>$I66="Ja"</formula>
    </cfRule>
  </conditionalFormatting>
  <conditionalFormatting sqref="D75:E75">
    <cfRule type="expression" dxfId="613" priority="85">
      <formula>$I75="Nein"</formula>
    </cfRule>
    <cfRule type="expression" dxfId="612" priority="86">
      <formula>$I75="Ja"</formula>
    </cfRule>
  </conditionalFormatting>
  <conditionalFormatting sqref="D76:E76">
    <cfRule type="expression" dxfId="611" priority="83">
      <formula>$I76="Nein"</formula>
    </cfRule>
    <cfRule type="expression" dxfId="610" priority="84">
      <formula>$I76="Ja"</formula>
    </cfRule>
  </conditionalFormatting>
  <conditionalFormatting sqref="D77:E77">
    <cfRule type="expression" dxfId="609" priority="81">
      <formula>$I77="Nein"</formula>
    </cfRule>
    <cfRule type="expression" dxfId="608" priority="82">
      <formula>$I77="Ja"</formula>
    </cfRule>
  </conditionalFormatting>
  <conditionalFormatting sqref="D77:E77">
    <cfRule type="expression" dxfId="607" priority="79">
      <formula>$I77="Nein"</formula>
    </cfRule>
    <cfRule type="expression" dxfId="606" priority="80">
      <formula>$I77="Ja"</formula>
    </cfRule>
  </conditionalFormatting>
  <conditionalFormatting sqref="D78:E78">
    <cfRule type="expression" dxfId="605" priority="77">
      <formula>$I78="Nein"</formula>
    </cfRule>
    <cfRule type="expression" dxfId="604" priority="78">
      <formula>$I78="Ja"</formula>
    </cfRule>
  </conditionalFormatting>
  <conditionalFormatting sqref="D78:E78">
    <cfRule type="expression" dxfId="603" priority="75">
      <formula>$I78="Nein"</formula>
    </cfRule>
    <cfRule type="expression" dxfId="602" priority="76">
      <formula>$I78="Ja"</formula>
    </cfRule>
  </conditionalFormatting>
  <conditionalFormatting sqref="E102:F102">
    <cfRule type="expression" dxfId="601" priority="73">
      <formula>$I102="Nein"</formula>
    </cfRule>
    <cfRule type="expression" dxfId="600" priority="74">
      <formula>$I102="Ja"</formula>
    </cfRule>
  </conditionalFormatting>
  <conditionalFormatting sqref="E103:F103">
    <cfRule type="expression" dxfId="599" priority="71">
      <formula>$I103="Nein"</formula>
    </cfRule>
    <cfRule type="expression" dxfId="598" priority="72">
      <formula>$I103="Ja"</formula>
    </cfRule>
  </conditionalFormatting>
  <conditionalFormatting sqref="E101:F101">
    <cfRule type="expression" dxfId="597" priority="69">
      <formula>$I101="Nein"</formula>
    </cfRule>
    <cfRule type="expression" dxfId="596" priority="70">
      <formula>$I101="Ja"</formula>
    </cfRule>
  </conditionalFormatting>
  <conditionalFormatting sqref="E100:F100">
    <cfRule type="expression" dxfId="595" priority="67">
      <formula>$I100="Nein"</formula>
    </cfRule>
    <cfRule type="expression" dxfId="594" priority="68">
      <formula>$I100="Ja"</formula>
    </cfRule>
  </conditionalFormatting>
  <conditionalFormatting sqref="E111:F111">
    <cfRule type="expression" dxfId="593" priority="65">
      <formula>$I111="Nein"</formula>
    </cfRule>
    <cfRule type="expression" dxfId="592" priority="66">
      <formula>$I111="Ja"</formula>
    </cfRule>
  </conditionalFormatting>
  <conditionalFormatting sqref="E112:F112">
    <cfRule type="expression" dxfId="591" priority="63">
      <formula>$I112="Nein"</formula>
    </cfRule>
    <cfRule type="expression" dxfId="590" priority="64">
      <formula>$I112="Ja"</formula>
    </cfRule>
  </conditionalFormatting>
  <conditionalFormatting sqref="E110:F110">
    <cfRule type="expression" dxfId="589" priority="61">
      <formula>$I110="Nein"</formula>
    </cfRule>
    <cfRule type="expression" dxfId="588" priority="62">
      <formula>$I110="Ja"</formula>
    </cfRule>
  </conditionalFormatting>
  <conditionalFormatting sqref="E109:F109">
    <cfRule type="expression" dxfId="587" priority="59">
      <formula>$I109="Nein"</formula>
    </cfRule>
    <cfRule type="expression" dxfId="586" priority="60">
      <formula>$I109="Ja"</formula>
    </cfRule>
  </conditionalFormatting>
  <conditionalFormatting sqref="E120:F120">
    <cfRule type="expression" dxfId="585" priority="57">
      <formula>$I120="Nein"</formula>
    </cfRule>
    <cfRule type="expression" dxfId="584" priority="58">
      <formula>$I120="Ja"</formula>
    </cfRule>
  </conditionalFormatting>
  <conditionalFormatting sqref="E121:F121">
    <cfRule type="expression" dxfId="583" priority="55">
      <formula>$I121="Nein"</formula>
    </cfRule>
    <cfRule type="expression" dxfId="582" priority="56">
      <formula>$I121="Ja"</formula>
    </cfRule>
  </conditionalFormatting>
  <conditionalFormatting sqref="E119:F119">
    <cfRule type="expression" dxfId="581" priority="53">
      <formula>$I119="Nein"</formula>
    </cfRule>
    <cfRule type="expression" dxfId="580" priority="54">
      <formula>$I119="Ja"</formula>
    </cfRule>
  </conditionalFormatting>
  <conditionalFormatting sqref="E118:F118">
    <cfRule type="expression" dxfId="579" priority="51">
      <formula>$I118="Nein"</formula>
    </cfRule>
    <cfRule type="expression" dxfId="578" priority="52">
      <formula>$I118="Ja"</formula>
    </cfRule>
  </conditionalFormatting>
  <conditionalFormatting sqref="E129:F129">
    <cfRule type="expression" dxfId="577" priority="49">
      <formula>$I129="Nein"</formula>
    </cfRule>
    <cfRule type="expression" dxfId="576" priority="50">
      <formula>$I129="Ja"</formula>
    </cfRule>
  </conditionalFormatting>
  <conditionalFormatting sqref="E130:F130">
    <cfRule type="expression" dxfId="575" priority="47">
      <formula>$I130="Nein"</formula>
    </cfRule>
    <cfRule type="expression" dxfId="574" priority="48">
      <formula>$I130="Ja"</formula>
    </cfRule>
  </conditionalFormatting>
  <conditionalFormatting sqref="E128:F128">
    <cfRule type="expression" dxfId="573" priority="45">
      <formula>$I128="Nein"</formula>
    </cfRule>
    <cfRule type="expression" dxfId="572" priority="46">
      <formula>$I128="Ja"</formula>
    </cfRule>
  </conditionalFormatting>
  <conditionalFormatting sqref="E127:F127">
    <cfRule type="expression" dxfId="571" priority="43">
      <formula>$I127="Nein"</formula>
    </cfRule>
    <cfRule type="expression" dxfId="570" priority="44">
      <formula>$I127="Ja"</formula>
    </cfRule>
  </conditionalFormatting>
  <conditionalFormatting sqref="D136:E136">
    <cfRule type="expression" dxfId="569" priority="41">
      <formula>$I136="Nein"</formula>
    </cfRule>
    <cfRule type="expression" dxfId="568" priority="42">
      <formula>$I136="Ja"</formula>
    </cfRule>
  </conditionalFormatting>
  <conditionalFormatting sqref="D138:E138">
    <cfRule type="expression" dxfId="567" priority="39">
      <formula>$I138="Nein"</formula>
    </cfRule>
    <cfRule type="expression" dxfId="566" priority="40">
      <formula>$I138="Ja"</formula>
    </cfRule>
  </conditionalFormatting>
  <conditionalFormatting sqref="D149:E150">
    <cfRule type="expression" dxfId="565" priority="37">
      <formula>$J149="Ja"</formula>
    </cfRule>
    <cfRule type="expression" dxfId="564" priority="38">
      <formula>$J149="Nein"</formula>
    </cfRule>
  </conditionalFormatting>
  <conditionalFormatting sqref="E161:F161">
    <cfRule type="expression" dxfId="563" priority="23">
      <formula>$I161="Nein"</formula>
    </cfRule>
    <cfRule type="expression" dxfId="562" priority="24">
      <formula>$I161="Ja"</formula>
    </cfRule>
  </conditionalFormatting>
  <conditionalFormatting sqref="E162:F162">
    <cfRule type="expression" dxfId="561" priority="21">
      <formula>$I162="Nein"</formula>
    </cfRule>
    <cfRule type="expression" dxfId="560" priority="22">
      <formula>$I162="Ja"</formula>
    </cfRule>
  </conditionalFormatting>
  <conditionalFormatting sqref="E168:F168">
    <cfRule type="expression" dxfId="559" priority="19">
      <formula>$I168="Nein"</formula>
    </cfRule>
    <cfRule type="expression" dxfId="558" priority="20">
      <formula>$I168="Ja"</formula>
    </cfRule>
  </conditionalFormatting>
  <conditionalFormatting sqref="E169:F169">
    <cfRule type="expression" dxfId="557" priority="17">
      <formula>$I169="Nein"</formula>
    </cfRule>
    <cfRule type="expression" dxfId="556" priority="18">
      <formula>$I169="Ja"</formula>
    </cfRule>
  </conditionalFormatting>
  <conditionalFormatting sqref="E175:F175">
    <cfRule type="expression" dxfId="555" priority="15">
      <formula>$I175="Nein"</formula>
    </cfRule>
    <cfRule type="expression" dxfId="554" priority="16">
      <formula>$I175="Ja"</formula>
    </cfRule>
  </conditionalFormatting>
  <conditionalFormatting sqref="E176:F176">
    <cfRule type="expression" dxfId="553" priority="13">
      <formula>$I176="Nein"</formula>
    </cfRule>
    <cfRule type="expression" dxfId="552" priority="14">
      <formula>$I176="Ja"</formula>
    </cfRule>
  </conditionalFormatting>
  <conditionalFormatting sqref="E182:F182">
    <cfRule type="expression" dxfId="551" priority="11">
      <formula>$I182="Nein"</formula>
    </cfRule>
    <cfRule type="expression" dxfId="550" priority="12">
      <formula>$I182="Ja"</formula>
    </cfRule>
  </conditionalFormatting>
  <conditionalFormatting sqref="E183:F183">
    <cfRule type="expression" dxfId="549" priority="9">
      <formula>$I183="Nein"</formula>
    </cfRule>
    <cfRule type="expression" dxfId="548" priority="10">
      <formula>$I183="Ja"</formula>
    </cfRule>
  </conditionalFormatting>
  <conditionalFormatting sqref="E189:F189">
    <cfRule type="expression" dxfId="547" priority="7">
      <formula>$I189="Nein"</formula>
    </cfRule>
    <cfRule type="expression" dxfId="546" priority="8">
      <formula>$I189="Ja"</formula>
    </cfRule>
  </conditionalFormatting>
  <conditionalFormatting sqref="E190:F190">
    <cfRule type="expression" dxfId="545" priority="5">
      <formula>$I190="Nein"</formula>
    </cfRule>
    <cfRule type="expression" dxfId="544" priority="6">
      <formula>$I190="Ja"</formula>
    </cfRule>
  </conditionalFormatting>
  <conditionalFormatting sqref="D19:H19">
    <cfRule type="expression" dxfId="543" priority="3">
      <formula>$I19="Nein"</formula>
    </cfRule>
    <cfRule type="expression" dxfId="542" priority="4">
      <formula>$I19="Ja"</formula>
    </cfRule>
  </conditionalFormatting>
  <conditionalFormatting sqref="D20:H20">
    <cfRule type="expression" dxfId="541" priority="1">
      <formula>$I20="Nein"</formula>
    </cfRule>
    <cfRule type="expression" dxfId="540" priority="2">
      <formula>$I20="Ja"</formula>
    </cfRule>
  </conditionalFormatting>
  <dataValidations count="1">
    <dataValidation type="list" allowBlank="1" showInputMessage="1" showErrorMessage="1" sqref="O19:O20 I6:I16" xr:uid="{121D77B9-C0DC-445E-964F-8A5FBC2B9F9F}">
      <formula1>"Ja,Nein"</formula1>
    </dataValidation>
  </dataValidation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E50191-8825-457E-8AC9-18E62FA02E66}">
  <dimension ref="A1:AE204"/>
  <sheetViews>
    <sheetView showGridLines="0" workbookViewId="0">
      <selection activeCell="D13" sqref="D13:H13"/>
    </sheetView>
  </sheetViews>
  <sheetFormatPr baseColWidth="10" defaultColWidth="11.42578125" defaultRowHeight="15" outlineLevelRow="1" outlineLevelCol="1" x14ac:dyDescent="0.25"/>
  <cols>
    <col min="1" max="3" width="3.7109375" style="2" customWidth="1"/>
    <col min="4" max="14" width="20.7109375" style="2" customWidth="1"/>
    <col min="15" max="18" width="20.7109375" style="2" hidden="1" customWidth="1" outlineLevel="1"/>
    <col min="19" max="19" width="20.7109375" style="2" customWidth="1" collapsed="1"/>
    <col min="20" max="21" width="3.7109375" style="2" customWidth="1"/>
    <col min="22" max="22" width="15.85546875" style="2" customWidth="1"/>
    <col min="23" max="24" width="20.7109375" style="2" customWidth="1"/>
    <col min="25" max="16384" width="11.42578125" style="2"/>
  </cols>
  <sheetData>
    <row r="1" spans="1:23" x14ac:dyDescent="0.25">
      <c r="A1" s="573" t="s">
        <v>459</v>
      </c>
      <c r="B1" s="573"/>
      <c r="C1" s="573"/>
      <c r="D1" s="573"/>
      <c r="E1" s="573"/>
      <c r="F1" s="573"/>
      <c r="G1" s="573"/>
      <c r="H1" s="573"/>
      <c r="I1" s="573"/>
      <c r="J1" s="573"/>
      <c r="K1" s="573"/>
      <c r="L1" s="573"/>
      <c r="M1" s="573"/>
      <c r="N1" s="573"/>
    </row>
    <row r="2" spans="1:23" x14ac:dyDescent="0.25">
      <c r="A2" s="573"/>
      <c r="B2" s="573"/>
      <c r="C2" s="573"/>
      <c r="D2" s="573"/>
      <c r="E2" s="573"/>
      <c r="F2" s="573"/>
      <c r="G2" s="573"/>
      <c r="H2" s="573"/>
      <c r="I2" s="573"/>
      <c r="J2" s="573"/>
      <c r="K2" s="573"/>
      <c r="L2" s="573"/>
      <c r="M2" s="573"/>
      <c r="N2" s="573"/>
    </row>
    <row r="3" spans="1:23" ht="20.100000000000001" customHeight="1" thickBot="1" x14ac:dyDescent="0.3"/>
    <row r="4" spans="1:23" ht="15.75" thickBot="1" x14ac:dyDescent="0.3">
      <c r="B4" s="614" t="s">
        <v>460</v>
      </c>
      <c r="C4" s="615"/>
      <c r="D4" s="615"/>
      <c r="E4" s="615"/>
      <c r="F4" s="615"/>
      <c r="G4" s="615"/>
      <c r="H4" s="615"/>
      <c r="I4" s="616"/>
      <c r="K4" s="614" t="s">
        <v>40</v>
      </c>
      <c r="L4" s="615"/>
      <c r="M4" s="616"/>
      <c r="P4" s="53"/>
      <c r="Q4" s="53"/>
      <c r="R4" s="53"/>
      <c r="S4" s="4"/>
      <c r="T4" s="53"/>
      <c r="U4" s="53"/>
      <c r="V4" s="53"/>
      <c r="W4" s="53"/>
    </row>
    <row r="5" spans="1:23" ht="50.1" customHeight="1" thickBot="1" x14ac:dyDescent="0.3">
      <c r="B5" s="586" t="s">
        <v>462</v>
      </c>
      <c r="C5" s="587"/>
      <c r="D5" s="296" t="s">
        <v>21</v>
      </c>
      <c r="E5" s="227" t="s">
        <v>57</v>
      </c>
      <c r="F5" s="227" t="s">
        <v>61</v>
      </c>
      <c r="G5" s="228" t="s">
        <v>62</v>
      </c>
      <c r="H5" s="228" t="s">
        <v>97</v>
      </c>
      <c r="I5" s="227" t="s">
        <v>461</v>
      </c>
      <c r="K5" s="12" t="s">
        <v>21</v>
      </c>
      <c r="L5" s="80" t="s">
        <v>41</v>
      </c>
      <c r="M5" s="19" t="s">
        <v>22</v>
      </c>
      <c r="P5" s="4"/>
      <c r="R5" s="53"/>
      <c r="S5" s="53"/>
      <c r="T5" s="53"/>
      <c r="U5" s="4"/>
      <c r="V5" s="4"/>
    </row>
    <row r="6" spans="1:23" ht="20.100000000000001" customHeight="1" x14ac:dyDescent="0.25">
      <c r="B6" s="576">
        <v>1</v>
      </c>
      <c r="C6" s="577"/>
      <c r="D6" s="254" t="s">
        <v>127</v>
      </c>
      <c r="E6" s="254" t="s">
        <v>60</v>
      </c>
      <c r="F6" s="254" t="s">
        <v>7</v>
      </c>
      <c r="G6" s="254" t="s">
        <v>7</v>
      </c>
      <c r="H6" s="254" t="s">
        <v>7</v>
      </c>
      <c r="I6" s="291" t="s">
        <v>179</v>
      </c>
      <c r="K6" s="24" t="str">
        <f>D6</f>
        <v>Judith Fulterer</v>
      </c>
      <c r="L6" s="578">
        <v>1</v>
      </c>
      <c r="M6" s="113">
        <v>1</v>
      </c>
      <c r="P6" s="6"/>
      <c r="U6" s="6"/>
      <c r="V6" s="6"/>
    </row>
    <row r="7" spans="1:23" ht="20.100000000000001" customHeight="1" x14ac:dyDescent="0.25">
      <c r="B7" s="581">
        <v>2</v>
      </c>
      <c r="C7" s="582"/>
      <c r="D7" s="249" t="s">
        <v>123</v>
      </c>
      <c r="E7" s="248" t="s">
        <v>124</v>
      </c>
      <c r="F7" s="140" t="s">
        <v>59</v>
      </c>
      <c r="G7" s="248" t="s">
        <v>59</v>
      </c>
      <c r="H7" s="248" t="s">
        <v>59</v>
      </c>
      <c r="I7" s="292" t="s">
        <v>179</v>
      </c>
      <c r="K7" s="3" t="str">
        <f t="shared" ref="K7:K15" si="0">D7</f>
        <v>Marc Lambrecht</v>
      </c>
      <c r="L7" s="579"/>
      <c r="M7" s="116">
        <v>2</v>
      </c>
      <c r="P7" s="6"/>
      <c r="U7" s="6"/>
      <c r="V7" s="6"/>
    </row>
    <row r="8" spans="1:23" ht="20.100000000000001" customHeight="1" x14ac:dyDescent="0.25">
      <c r="B8" s="581">
        <v>3</v>
      </c>
      <c r="C8" s="582"/>
      <c r="D8" s="246" t="s">
        <v>0</v>
      </c>
      <c r="E8" s="246" t="s">
        <v>5</v>
      </c>
      <c r="F8" s="246" t="s">
        <v>5</v>
      </c>
      <c r="G8" s="246" t="s">
        <v>5</v>
      </c>
      <c r="H8" s="246" t="s">
        <v>5</v>
      </c>
      <c r="I8" s="292" t="s">
        <v>179</v>
      </c>
      <c r="K8" s="3" t="str">
        <f t="shared" si="0"/>
        <v>Devid Fulterer</v>
      </c>
      <c r="L8" s="579"/>
      <c r="M8" s="116">
        <v>3</v>
      </c>
      <c r="P8" s="6"/>
      <c r="U8" s="6"/>
      <c r="V8" s="6"/>
    </row>
    <row r="9" spans="1:23" ht="20.100000000000001" customHeight="1" thickBot="1" x14ac:dyDescent="0.3">
      <c r="B9" s="581">
        <v>4</v>
      </c>
      <c r="C9" s="582"/>
      <c r="D9" s="247" t="s">
        <v>2</v>
      </c>
      <c r="E9" s="247" t="s">
        <v>8</v>
      </c>
      <c r="F9" s="148" t="s">
        <v>8</v>
      </c>
      <c r="G9" s="246" t="s">
        <v>8</v>
      </c>
      <c r="H9" s="246" t="s">
        <v>8</v>
      </c>
      <c r="I9" s="292" t="s">
        <v>179</v>
      </c>
      <c r="K9" s="45" t="str">
        <f t="shared" si="0"/>
        <v>Markus Hagenauer</v>
      </c>
      <c r="L9" s="580"/>
      <c r="M9" s="46">
        <v>4</v>
      </c>
      <c r="P9" s="6"/>
      <c r="U9" s="6"/>
      <c r="V9" s="6"/>
    </row>
    <row r="10" spans="1:23" ht="20.100000000000001" customHeight="1" x14ac:dyDescent="0.25">
      <c r="B10" s="581">
        <v>5</v>
      </c>
      <c r="C10" s="582"/>
      <c r="D10" s="246" t="s">
        <v>114</v>
      </c>
      <c r="E10" s="246" t="s">
        <v>102</v>
      </c>
      <c r="F10" s="246" t="s">
        <v>102</v>
      </c>
      <c r="G10" s="246" t="s">
        <v>102</v>
      </c>
      <c r="H10" s="246" t="s">
        <v>102</v>
      </c>
      <c r="I10" s="292" t="s">
        <v>179</v>
      </c>
      <c r="K10" s="24" t="str">
        <f>D10</f>
        <v>Jonas Röhrig</v>
      </c>
      <c r="L10" s="578">
        <v>2</v>
      </c>
      <c r="M10" s="113">
        <v>1</v>
      </c>
      <c r="P10" s="6"/>
      <c r="U10" s="6"/>
      <c r="V10" s="6"/>
    </row>
    <row r="11" spans="1:23" ht="20.100000000000001" customHeight="1" x14ac:dyDescent="0.25">
      <c r="B11" s="581">
        <v>6</v>
      </c>
      <c r="C11" s="582"/>
      <c r="D11" s="247" t="s">
        <v>47</v>
      </c>
      <c r="E11" s="247" t="s">
        <v>64</v>
      </c>
      <c r="F11" s="148" t="s">
        <v>64</v>
      </c>
      <c r="G11" s="246" t="s">
        <v>64</v>
      </c>
      <c r="H11" s="246" t="s">
        <v>64</v>
      </c>
      <c r="I11" s="292" t="s">
        <v>179</v>
      </c>
      <c r="K11" s="3" t="str">
        <f t="shared" si="0"/>
        <v>Kai Maibaum</v>
      </c>
      <c r="L11" s="579"/>
      <c r="M11" s="116">
        <v>2</v>
      </c>
      <c r="P11" s="6"/>
      <c r="U11" s="6"/>
      <c r="V11" s="6"/>
    </row>
    <row r="12" spans="1:23" ht="20.100000000000001" customHeight="1" x14ac:dyDescent="0.25">
      <c r="B12" s="581">
        <v>7</v>
      </c>
      <c r="C12" s="582"/>
      <c r="D12" s="247" t="s">
        <v>125</v>
      </c>
      <c r="E12" s="247" t="s">
        <v>126</v>
      </c>
      <c r="F12" s="148" t="s">
        <v>59</v>
      </c>
      <c r="G12" s="246" t="s">
        <v>59</v>
      </c>
      <c r="H12" s="246" t="s">
        <v>59</v>
      </c>
      <c r="I12" s="292" t="s">
        <v>179</v>
      </c>
      <c r="K12" s="3" t="str">
        <f t="shared" si="0"/>
        <v>Bea Kittner</v>
      </c>
      <c r="L12" s="579"/>
      <c r="M12" s="116">
        <v>3</v>
      </c>
      <c r="P12" s="6"/>
      <c r="U12" s="6"/>
      <c r="V12" s="6"/>
    </row>
    <row r="13" spans="1:23" ht="20.100000000000001" customHeight="1" thickBot="1" x14ac:dyDescent="0.3">
      <c r="B13" s="581">
        <v>8</v>
      </c>
      <c r="C13" s="582"/>
      <c r="D13" s="246" t="s">
        <v>46</v>
      </c>
      <c r="E13" s="246" t="s">
        <v>6</v>
      </c>
      <c r="F13" s="246" t="s">
        <v>6</v>
      </c>
      <c r="G13" s="246" t="s">
        <v>6</v>
      </c>
      <c r="H13" s="246" t="s">
        <v>6</v>
      </c>
      <c r="I13" s="292" t="s">
        <v>39</v>
      </c>
      <c r="K13" s="361" t="str">
        <f t="shared" si="0"/>
        <v>Jérôme Schätzle</v>
      </c>
      <c r="L13" s="580"/>
      <c r="M13" s="118">
        <v>4</v>
      </c>
      <c r="P13" s="6"/>
      <c r="U13" s="6"/>
      <c r="V13" s="6"/>
    </row>
    <row r="14" spans="1:23" ht="20.100000000000001" customHeight="1" x14ac:dyDescent="0.25">
      <c r="B14" s="581">
        <v>9</v>
      </c>
      <c r="C14" s="582"/>
      <c r="D14" s="246" t="s">
        <v>4</v>
      </c>
      <c r="E14" s="246" t="s">
        <v>9</v>
      </c>
      <c r="F14" s="246" t="s">
        <v>9</v>
      </c>
      <c r="G14" s="246" t="s">
        <v>9</v>
      </c>
      <c r="H14" s="246" t="s">
        <v>9</v>
      </c>
      <c r="I14" s="292" t="s">
        <v>179</v>
      </c>
      <c r="K14" s="434" t="str">
        <f t="shared" si="0"/>
        <v>Andreas Micke</v>
      </c>
      <c r="L14" s="914">
        <v>3</v>
      </c>
      <c r="M14" s="113">
        <v>1</v>
      </c>
      <c r="P14" s="6"/>
      <c r="U14" s="6"/>
      <c r="V14" s="6"/>
    </row>
    <row r="15" spans="1:23" ht="20.100000000000001" customHeight="1" thickBot="1" x14ac:dyDescent="0.3">
      <c r="B15" s="617">
        <v>10</v>
      </c>
      <c r="C15" s="618"/>
      <c r="D15" s="255" t="s">
        <v>458</v>
      </c>
      <c r="E15" s="256" t="s">
        <v>11</v>
      </c>
      <c r="F15" s="332" t="s">
        <v>11</v>
      </c>
      <c r="G15" s="256" t="s">
        <v>11</v>
      </c>
      <c r="H15" s="256" t="s">
        <v>11</v>
      </c>
      <c r="I15" s="353" t="s">
        <v>179</v>
      </c>
      <c r="K15" s="361" t="str">
        <f t="shared" si="0"/>
        <v>Pauline Micke</v>
      </c>
      <c r="L15" s="915"/>
      <c r="M15" s="118">
        <v>2</v>
      </c>
      <c r="P15" s="6"/>
      <c r="U15" s="6"/>
      <c r="V15" s="6"/>
    </row>
    <row r="16" spans="1:23" ht="20.100000000000001" customHeight="1" thickBot="1" x14ac:dyDescent="0.3">
      <c r="D16" s="28"/>
      <c r="E16" s="28"/>
      <c r="F16" s="28"/>
      <c r="G16" s="28"/>
      <c r="H16" s="28"/>
      <c r="I16" s="294"/>
      <c r="K16" s="584" t="s">
        <v>463</v>
      </c>
      <c r="L16" s="585"/>
      <c r="M16" s="121">
        <f>ROWS(M6:M15)</f>
        <v>10</v>
      </c>
      <c r="O16" s="53"/>
      <c r="P16" s="53"/>
      <c r="R16" s="53"/>
      <c r="S16" s="53"/>
      <c r="T16" s="53"/>
      <c r="U16" s="53"/>
    </row>
    <row r="17" spans="2:23" ht="15.75" thickBot="1" x14ac:dyDescent="0.3">
      <c r="B17" s="614" t="s">
        <v>464</v>
      </c>
      <c r="C17" s="615"/>
      <c r="D17" s="615"/>
      <c r="E17" s="615"/>
      <c r="F17" s="615"/>
      <c r="G17" s="615"/>
      <c r="H17" s="616"/>
      <c r="L17" s="128"/>
      <c r="M17" s="128"/>
      <c r="N17" s="128"/>
      <c r="O17" s="4"/>
      <c r="P17" s="53"/>
      <c r="Q17" s="53"/>
      <c r="S17" s="53"/>
      <c r="T17" s="53"/>
      <c r="U17" s="53"/>
      <c r="V17" s="53"/>
    </row>
    <row r="18" spans="2:23" ht="30.75" thickBot="1" x14ac:dyDescent="0.3">
      <c r="B18" s="586" t="s">
        <v>58</v>
      </c>
      <c r="C18" s="587"/>
      <c r="D18" s="139" t="s">
        <v>21</v>
      </c>
      <c r="E18" s="227" t="s">
        <v>57</v>
      </c>
      <c r="F18" s="227" t="s">
        <v>61</v>
      </c>
      <c r="G18" s="228" t="s">
        <v>62</v>
      </c>
      <c r="H18" s="228" t="s">
        <v>97</v>
      </c>
      <c r="L18" s="128"/>
      <c r="M18" s="128"/>
      <c r="N18" s="128"/>
      <c r="O18" s="4"/>
      <c r="P18" s="53"/>
      <c r="Q18" s="53"/>
      <c r="S18" s="53"/>
      <c r="T18" s="53"/>
      <c r="U18" s="53"/>
      <c r="V18" s="53"/>
    </row>
    <row r="19" spans="2:23" ht="20.100000000000001" customHeight="1" thickBot="1" x14ac:dyDescent="0.3">
      <c r="B19" s="619">
        <v>1</v>
      </c>
      <c r="C19" s="920"/>
      <c r="D19" s="400" t="s">
        <v>88</v>
      </c>
      <c r="E19" s="298" t="s">
        <v>69</v>
      </c>
      <c r="F19" s="299" t="s">
        <v>69</v>
      </c>
      <c r="G19" s="300" t="s">
        <v>69</v>
      </c>
      <c r="H19" s="301" t="s">
        <v>69</v>
      </c>
      <c r="O19" s="257" t="s">
        <v>39</v>
      </c>
      <c r="P19" s="53"/>
      <c r="Q19" s="53"/>
      <c r="S19" s="53"/>
      <c r="T19" s="53"/>
      <c r="U19" s="53"/>
      <c r="V19" s="53"/>
    </row>
    <row r="20" spans="2:23" ht="20.100000000000001" customHeight="1" x14ac:dyDescent="0.25">
      <c r="M20" s="128"/>
      <c r="N20" s="128"/>
      <c r="O20" s="128"/>
      <c r="P20" s="4"/>
      <c r="Q20" s="53"/>
      <c r="R20" s="53"/>
      <c r="T20" s="53"/>
      <c r="U20" s="53"/>
      <c r="V20" s="53"/>
      <c r="W20" s="53"/>
    </row>
    <row r="21" spans="2:23" ht="20.100000000000001" customHeight="1" x14ac:dyDescent="0.25">
      <c r="B21" s="13"/>
      <c r="C21" s="13"/>
      <c r="D21" s="25"/>
      <c r="E21" s="25"/>
      <c r="F21" s="25"/>
      <c r="G21" s="25"/>
      <c r="H21" s="13"/>
      <c r="I21" s="13"/>
      <c r="J21" s="13"/>
      <c r="K21" s="13"/>
      <c r="L21" s="13"/>
      <c r="M21" s="13"/>
      <c r="N21" s="13"/>
      <c r="O21" s="13"/>
      <c r="P21" s="13"/>
      <c r="Q21" s="13"/>
      <c r="R21" s="13"/>
      <c r="S21" s="13"/>
      <c r="T21" s="13"/>
      <c r="U21" s="13"/>
    </row>
    <row r="22" spans="2:23" ht="30" customHeight="1" x14ac:dyDescent="0.25">
      <c r="B22" s="13"/>
      <c r="C22" s="555" t="s">
        <v>73</v>
      </c>
      <c r="D22" s="555"/>
      <c r="E22" s="555"/>
      <c r="F22" s="555"/>
      <c r="G22" s="555"/>
      <c r="H22" s="555"/>
      <c r="I22" s="555"/>
      <c r="J22" s="555"/>
      <c r="K22" s="555"/>
      <c r="L22" s="555"/>
      <c r="M22" s="555"/>
      <c r="N22" s="555"/>
      <c r="O22" s="555"/>
      <c r="P22" s="555"/>
      <c r="Q22" s="555"/>
      <c r="R22" s="555"/>
      <c r="S22" s="555"/>
      <c r="T22" s="555"/>
      <c r="U22" s="13"/>
    </row>
    <row r="23" spans="2:23" ht="20.100000000000001" customHeight="1" thickBot="1" x14ac:dyDescent="0.3">
      <c r="B23" s="13"/>
      <c r="U23" s="13"/>
    </row>
    <row r="24" spans="2:23" ht="20.100000000000001" customHeight="1" thickBot="1" x14ac:dyDescent="0.3">
      <c r="B24" s="13"/>
      <c r="D24" s="556" t="s">
        <v>10</v>
      </c>
      <c r="E24" s="558" t="s">
        <v>139</v>
      </c>
      <c r="F24" s="560" t="s">
        <v>22</v>
      </c>
      <c r="G24" s="595" t="s">
        <v>42</v>
      </c>
      <c r="H24" s="596"/>
      <c r="I24" s="596"/>
      <c r="J24" s="597"/>
      <c r="K24" s="200" t="s">
        <v>36</v>
      </c>
      <c r="L24" s="563" t="s">
        <v>27</v>
      </c>
      <c r="M24" s="561"/>
      <c r="N24" s="561"/>
      <c r="O24" s="561"/>
      <c r="P24" s="561"/>
      <c r="Q24" s="561"/>
      <c r="R24" s="561"/>
      <c r="S24" s="562"/>
      <c r="U24" s="13"/>
    </row>
    <row r="25" spans="2:23" ht="20.100000000000001" customHeight="1" thickBot="1" x14ac:dyDescent="0.3">
      <c r="B25" s="13"/>
      <c r="D25" s="557"/>
      <c r="E25" s="559"/>
      <c r="F25" s="559"/>
      <c r="G25" s="302" t="s">
        <v>43</v>
      </c>
      <c r="H25" s="302" t="s">
        <v>24</v>
      </c>
      <c r="I25" s="565" t="s">
        <v>23</v>
      </c>
      <c r="J25" s="567"/>
      <c r="K25" s="85" t="s">
        <v>25</v>
      </c>
      <c r="L25" s="85" t="s">
        <v>43</v>
      </c>
      <c r="M25" s="86" t="s">
        <v>26</v>
      </c>
      <c r="N25" s="556" t="s">
        <v>23</v>
      </c>
      <c r="O25" s="588"/>
      <c r="P25" s="588"/>
      <c r="Q25" s="588"/>
      <c r="R25" s="588"/>
      <c r="S25" s="564"/>
      <c r="U25" s="13"/>
    </row>
    <row r="26" spans="2:23" ht="21.95" customHeight="1" x14ac:dyDescent="0.25">
      <c r="B26" s="13"/>
      <c r="D26" s="879" t="s">
        <v>127</v>
      </c>
      <c r="E26" s="878" t="s">
        <v>60</v>
      </c>
      <c r="F26" s="874">
        <v>1</v>
      </c>
      <c r="G26" s="784" t="s">
        <v>44</v>
      </c>
      <c r="H26" s="880" t="s">
        <v>116</v>
      </c>
      <c r="I26" s="929" t="s">
        <v>417</v>
      </c>
      <c r="J26" s="930"/>
      <c r="K26" s="738" t="s">
        <v>466</v>
      </c>
      <c r="L26" s="650" t="s">
        <v>112</v>
      </c>
      <c r="M26" s="653" t="s">
        <v>267</v>
      </c>
      <c r="N26" s="921" t="s">
        <v>268</v>
      </c>
      <c r="O26" s="922"/>
      <c r="P26" s="922"/>
      <c r="Q26" s="922"/>
      <c r="R26" s="922"/>
      <c r="S26" s="923"/>
      <c r="U26" s="13"/>
    </row>
    <row r="27" spans="2:23" ht="21.95" customHeight="1" x14ac:dyDescent="0.25">
      <c r="B27" s="13"/>
      <c r="D27" s="789"/>
      <c r="E27" s="791"/>
      <c r="F27" s="846"/>
      <c r="G27" s="785"/>
      <c r="H27" s="881"/>
      <c r="I27" s="924" t="s">
        <v>465</v>
      </c>
      <c r="J27" s="925"/>
      <c r="K27" s="933"/>
      <c r="L27" s="651"/>
      <c r="M27" s="654"/>
      <c r="N27" s="926" t="s">
        <v>269</v>
      </c>
      <c r="O27" s="927"/>
      <c r="P27" s="927"/>
      <c r="Q27" s="927"/>
      <c r="R27" s="927"/>
      <c r="S27" s="928"/>
      <c r="U27" s="13"/>
    </row>
    <row r="28" spans="2:23" ht="21.95" customHeight="1" x14ac:dyDescent="0.25">
      <c r="B28" s="13"/>
      <c r="D28" s="663" t="s">
        <v>123</v>
      </c>
      <c r="E28" s="664" t="s">
        <v>124</v>
      </c>
      <c r="F28" s="764">
        <v>2</v>
      </c>
      <c r="G28" s="727" t="s">
        <v>44</v>
      </c>
      <c r="H28" s="671" t="s">
        <v>466</v>
      </c>
      <c r="I28" s="945" t="s">
        <v>467</v>
      </c>
      <c r="J28" s="946"/>
      <c r="K28" s="934" t="s">
        <v>116</v>
      </c>
      <c r="L28" s="730" t="s">
        <v>13</v>
      </c>
      <c r="M28" s="856" t="s">
        <v>13</v>
      </c>
      <c r="N28" s="693" t="s">
        <v>13</v>
      </c>
      <c r="O28" s="694"/>
      <c r="P28" s="694"/>
      <c r="Q28" s="694"/>
      <c r="R28" s="694"/>
      <c r="S28" s="695"/>
      <c r="U28" s="13"/>
    </row>
    <row r="29" spans="2:23" ht="21.95" customHeight="1" x14ac:dyDescent="0.25">
      <c r="B29" s="13"/>
      <c r="D29" s="643"/>
      <c r="E29" s="666"/>
      <c r="F29" s="766"/>
      <c r="G29" s="729"/>
      <c r="H29" s="672"/>
      <c r="I29" s="943" t="s">
        <v>468</v>
      </c>
      <c r="J29" s="944"/>
      <c r="K29" s="753"/>
      <c r="L29" s="732"/>
      <c r="M29" s="858"/>
      <c r="N29" s="699"/>
      <c r="O29" s="700"/>
      <c r="P29" s="700"/>
      <c r="Q29" s="700"/>
      <c r="R29" s="700"/>
      <c r="S29" s="701"/>
      <c r="U29" s="13"/>
    </row>
    <row r="30" spans="2:23" ht="15" customHeight="1" x14ac:dyDescent="0.25">
      <c r="B30" s="13"/>
      <c r="D30" s="773" t="s">
        <v>0</v>
      </c>
      <c r="E30" s="791" t="s">
        <v>5</v>
      </c>
      <c r="F30" s="846">
        <v>3</v>
      </c>
      <c r="G30" s="841" t="s">
        <v>44</v>
      </c>
      <c r="H30" s="598" t="s">
        <v>288</v>
      </c>
      <c r="I30" s="682" t="s">
        <v>292</v>
      </c>
      <c r="J30" s="702"/>
      <c r="K30" s="931" t="s">
        <v>116</v>
      </c>
      <c r="L30" s="688" t="s">
        <v>13</v>
      </c>
      <c r="M30" s="689" t="s">
        <v>13</v>
      </c>
      <c r="N30" s="693" t="s">
        <v>13</v>
      </c>
      <c r="O30" s="694"/>
      <c r="P30" s="694"/>
      <c r="Q30" s="694"/>
      <c r="R30" s="694"/>
      <c r="S30" s="695"/>
      <c r="U30" s="13"/>
    </row>
    <row r="31" spans="2:23" ht="15" customHeight="1" x14ac:dyDescent="0.25">
      <c r="B31" s="13"/>
      <c r="D31" s="773"/>
      <c r="E31" s="791"/>
      <c r="F31" s="846"/>
      <c r="G31" s="841"/>
      <c r="H31" s="598"/>
      <c r="I31" s="682" t="s">
        <v>293</v>
      </c>
      <c r="J31" s="702"/>
      <c r="K31" s="932"/>
      <c r="L31" s="625"/>
      <c r="M31" s="628"/>
      <c r="N31" s="696"/>
      <c r="O31" s="697"/>
      <c r="P31" s="697"/>
      <c r="Q31" s="697"/>
      <c r="R31" s="697"/>
      <c r="S31" s="698"/>
      <c r="U31" s="13"/>
    </row>
    <row r="32" spans="2:23" ht="15" customHeight="1" x14ac:dyDescent="0.25">
      <c r="B32" s="13"/>
      <c r="D32" s="773"/>
      <c r="E32" s="791"/>
      <c r="F32" s="846"/>
      <c r="G32" s="841"/>
      <c r="H32" s="598"/>
      <c r="I32" s="682" t="s">
        <v>469</v>
      </c>
      <c r="J32" s="702"/>
      <c r="K32" s="932"/>
      <c r="L32" s="625"/>
      <c r="M32" s="628"/>
      <c r="N32" s="696"/>
      <c r="O32" s="697"/>
      <c r="P32" s="697"/>
      <c r="Q32" s="697"/>
      <c r="R32" s="697"/>
      <c r="S32" s="698"/>
      <c r="U32" s="13"/>
    </row>
    <row r="33" spans="2:21" ht="15" customHeight="1" x14ac:dyDescent="0.25">
      <c r="B33" s="13"/>
      <c r="D33" s="773"/>
      <c r="E33" s="791"/>
      <c r="F33" s="846"/>
      <c r="G33" s="841"/>
      <c r="H33" s="598"/>
      <c r="I33" s="682" t="s">
        <v>295</v>
      </c>
      <c r="J33" s="702"/>
      <c r="K33" s="907"/>
      <c r="L33" s="626"/>
      <c r="M33" s="629"/>
      <c r="N33" s="699"/>
      <c r="O33" s="700"/>
      <c r="P33" s="700"/>
      <c r="Q33" s="700"/>
      <c r="R33" s="700"/>
      <c r="S33" s="701"/>
      <c r="U33" s="13"/>
    </row>
    <row r="34" spans="2:21" ht="15" customHeight="1" x14ac:dyDescent="0.25">
      <c r="B34" s="13"/>
      <c r="D34" s="773" t="s">
        <v>2</v>
      </c>
      <c r="E34" s="791" t="s">
        <v>8</v>
      </c>
      <c r="F34" s="846">
        <v>4</v>
      </c>
      <c r="G34" s="941" t="s">
        <v>44</v>
      </c>
      <c r="H34" s="611" t="s">
        <v>155</v>
      </c>
      <c r="I34" s="725" t="s">
        <v>433</v>
      </c>
      <c r="J34" s="726"/>
      <c r="K34" s="797" t="s">
        <v>12</v>
      </c>
      <c r="L34" s="593" t="s">
        <v>13</v>
      </c>
      <c r="M34" s="593" t="s">
        <v>13</v>
      </c>
      <c r="N34" s="935" t="s">
        <v>13</v>
      </c>
      <c r="O34" s="935"/>
      <c r="P34" s="935"/>
      <c r="Q34" s="935"/>
      <c r="R34" s="935"/>
      <c r="S34" s="936"/>
      <c r="U34" s="13"/>
    </row>
    <row r="35" spans="2:21" ht="15" customHeight="1" x14ac:dyDescent="0.25">
      <c r="B35" s="13"/>
      <c r="D35" s="773"/>
      <c r="E35" s="791"/>
      <c r="F35" s="846"/>
      <c r="G35" s="941"/>
      <c r="H35" s="611"/>
      <c r="I35" s="709" t="s">
        <v>434</v>
      </c>
      <c r="J35" s="710"/>
      <c r="K35" s="797"/>
      <c r="L35" s="593"/>
      <c r="M35" s="593"/>
      <c r="N35" s="935"/>
      <c r="O35" s="935"/>
      <c r="P35" s="935"/>
      <c r="Q35" s="935"/>
      <c r="R35" s="935"/>
      <c r="S35" s="936"/>
      <c r="U35" s="13"/>
    </row>
    <row r="36" spans="2:21" ht="15" customHeight="1" thickBot="1" x14ac:dyDescent="0.3">
      <c r="B36" s="13"/>
      <c r="D36" s="774"/>
      <c r="E36" s="792"/>
      <c r="F36" s="847"/>
      <c r="G36" s="942"/>
      <c r="H36" s="547"/>
      <c r="I36" s="711" t="s">
        <v>435</v>
      </c>
      <c r="J36" s="712"/>
      <c r="K36" s="798"/>
      <c r="L36" s="601"/>
      <c r="M36" s="601"/>
      <c r="N36" s="600"/>
      <c r="O36" s="600"/>
      <c r="P36" s="600"/>
      <c r="Q36" s="600"/>
      <c r="R36" s="600"/>
      <c r="S36" s="937"/>
      <c r="U36" s="13"/>
    </row>
    <row r="37" spans="2:21" ht="20.100000000000001" customHeight="1" x14ac:dyDescent="0.25">
      <c r="B37" s="13"/>
      <c r="U37" s="13"/>
    </row>
    <row r="38" spans="2:21" ht="20.100000000000001" customHeight="1" thickBot="1" x14ac:dyDescent="0.3">
      <c r="B38" s="13"/>
      <c r="C38" s="26"/>
      <c r="D38" s="26"/>
      <c r="E38" s="552" t="str">
        <f>IF(OR(M26="-",M26= ""),H26,M26)</f>
        <v>Dungeon Lords</v>
      </c>
      <c r="F38" s="552"/>
      <c r="G38" s="552"/>
      <c r="H38" s="552"/>
      <c r="I38" s="552"/>
      <c r="J38" s="552"/>
      <c r="K38" s="552"/>
      <c r="L38" s="552"/>
      <c r="M38" s="552"/>
      <c r="N38" s="552"/>
      <c r="O38" s="199"/>
      <c r="P38" s="199"/>
      <c r="Q38" s="199"/>
      <c r="R38" s="199"/>
      <c r="S38" s="199"/>
      <c r="T38" s="26"/>
      <c r="U38" s="13"/>
    </row>
    <row r="39" spans="2:21" ht="50.1" customHeight="1" thickBot="1" x14ac:dyDescent="0.3">
      <c r="B39" s="13"/>
      <c r="C39" s="26"/>
      <c r="D39" s="199"/>
      <c r="E39" s="88" t="s">
        <v>10</v>
      </c>
      <c r="F39" s="125" t="s">
        <v>52</v>
      </c>
      <c r="G39" s="89" t="s">
        <v>14</v>
      </c>
      <c r="H39" s="200" t="s">
        <v>51</v>
      </c>
      <c r="I39" s="18" t="s">
        <v>54</v>
      </c>
      <c r="J39" s="200" t="s">
        <v>53</v>
      </c>
      <c r="K39" s="206" t="s">
        <v>28</v>
      </c>
      <c r="L39" s="200" t="s">
        <v>37</v>
      </c>
      <c r="M39" s="204" t="s">
        <v>16</v>
      </c>
      <c r="N39" s="89" t="s">
        <v>15</v>
      </c>
      <c r="O39" s="5" t="s">
        <v>30</v>
      </c>
      <c r="P39" s="7" t="s">
        <v>34</v>
      </c>
      <c r="Q39" s="7" t="s">
        <v>31</v>
      </c>
      <c r="R39" s="7" t="s">
        <v>32</v>
      </c>
      <c r="S39" s="199"/>
      <c r="T39" s="26"/>
      <c r="U39" s="13"/>
    </row>
    <row r="40" spans="2:21" ht="20.100000000000001" customHeight="1" x14ac:dyDescent="0.25">
      <c r="B40" s="13"/>
      <c r="C40" s="26"/>
      <c r="D40" s="26"/>
      <c r="E40" s="327" t="s">
        <v>127</v>
      </c>
      <c r="F40" s="272" t="s">
        <v>60</v>
      </c>
      <c r="G40" s="157">
        <v>3</v>
      </c>
      <c r="H40" s="157" t="s">
        <v>13</v>
      </c>
      <c r="I40" s="157">
        <v>6</v>
      </c>
      <c r="J40" s="157">
        <v>28</v>
      </c>
      <c r="K40" s="157" t="s">
        <v>13</v>
      </c>
      <c r="L40" s="36">
        <f>IF(J40="",0,(J40/J44)*100)</f>
        <v>100</v>
      </c>
      <c r="M40" s="157">
        <v>1</v>
      </c>
      <c r="N40" s="99">
        <v>6</v>
      </c>
      <c r="O40" s="57">
        <f>IF(M40=1,1,0)</f>
        <v>1</v>
      </c>
      <c r="P40" s="209">
        <f>IF(M40=2,1,0)</f>
        <v>0</v>
      </c>
      <c r="Q40" s="209">
        <f>IF(M40=3,1,0)</f>
        <v>0</v>
      </c>
      <c r="R40" s="8">
        <f>IF(M40=4,1,0)</f>
        <v>0</v>
      </c>
      <c r="S40" s="198"/>
      <c r="T40" s="26"/>
      <c r="U40" s="13"/>
    </row>
    <row r="41" spans="2:21" ht="20.100000000000001" customHeight="1" x14ac:dyDescent="0.25">
      <c r="B41" s="13"/>
      <c r="C41" s="26"/>
      <c r="D41" s="26"/>
      <c r="E41" s="40" t="s">
        <v>123</v>
      </c>
      <c r="F41" s="249" t="s">
        <v>124</v>
      </c>
      <c r="G41" s="47">
        <v>2</v>
      </c>
      <c r="H41" s="47" t="s">
        <v>13</v>
      </c>
      <c r="I41" s="47">
        <v>6</v>
      </c>
      <c r="J41" s="47">
        <v>22</v>
      </c>
      <c r="K41" s="47" t="s">
        <v>13</v>
      </c>
      <c r="L41" s="48">
        <f>IF(J41="",0,(J41/J44)*100)</f>
        <v>78.571428571428569</v>
      </c>
      <c r="M41" s="47">
        <v>2</v>
      </c>
      <c r="N41" s="60">
        <v>3</v>
      </c>
      <c r="O41" s="205">
        <f>IF(M41=1,1,0)</f>
        <v>0</v>
      </c>
      <c r="P41" s="207">
        <f>IF(M41=2,1,0)</f>
        <v>1</v>
      </c>
      <c r="Q41" s="207">
        <f>IF(M41=3,1,0)</f>
        <v>0</v>
      </c>
      <c r="R41" s="9">
        <f>IF(M41=4,1,0)</f>
        <v>0</v>
      </c>
      <c r="S41" s="198"/>
      <c r="T41" s="26"/>
      <c r="U41" s="13"/>
    </row>
    <row r="42" spans="2:21" ht="20.100000000000001" customHeight="1" x14ac:dyDescent="0.25">
      <c r="B42" s="13"/>
      <c r="C42" s="26"/>
      <c r="D42" s="26"/>
      <c r="E42" s="303" t="s">
        <v>0</v>
      </c>
      <c r="F42" s="247" t="s">
        <v>5</v>
      </c>
      <c r="G42" s="47">
        <v>1</v>
      </c>
      <c r="H42" s="47" t="s">
        <v>13</v>
      </c>
      <c r="I42" s="47">
        <v>6</v>
      </c>
      <c r="J42" s="47">
        <v>18</v>
      </c>
      <c r="K42" s="47" t="s">
        <v>13</v>
      </c>
      <c r="L42" s="48">
        <f>IF(J42="",0,(J42/J44)*100)</f>
        <v>64.285714285714292</v>
      </c>
      <c r="M42" s="47">
        <v>4</v>
      </c>
      <c r="N42" s="60">
        <v>0</v>
      </c>
      <c r="O42" s="205">
        <f>IF(M42=1,1,0)</f>
        <v>0</v>
      </c>
      <c r="P42" s="207">
        <f>IF(M42=2,1,0)</f>
        <v>0</v>
      </c>
      <c r="Q42" s="207">
        <f>IF(M42=3,1,0)</f>
        <v>0</v>
      </c>
      <c r="R42" s="9">
        <f>IF(M42=4,1,0)</f>
        <v>1</v>
      </c>
      <c r="S42" s="198"/>
      <c r="T42" s="26"/>
      <c r="U42" s="13"/>
    </row>
    <row r="43" spans="2:21" ht="20.100000000000001" customHeight="1" thickBot="1" x14ac:dyDescent="0.3">
      <c r="B43" s="13"/>
      <c r="C43" s="26"/>
      <c r="D43" s="68"/>
      <c r="E43" s="354" t="s">
        <v>2</v>
      </c>
      <c r="F43" s="255" t="s">
        <v>8</v>
      </c>
      <c r="G43" s="150">
        <v>4</v>
      </c>
      <c r="H43" s="150" t="s">
        <v>13</v>
      </c>
      <c r="I43" s="150">
        <v>6</v>
      </c>
      <c r="J43" s="150">
        <v>20</v>
      </c>
      <c r="K43" s="150" t="s">
        <v>13</v>
      </c>
      <c r="L43" s="17">
        <f>IF(J43="",0,(J43/J44)*100)</f>
        <v>71.428571428571431</v>
      </c>
      <c r="M43" s="150">
        <v>3</v>
      </c>
      <c r="N43" s="59">
        <v>1</v>
      </c>
      <c r="O43" s="58">
        <f>IF(M43=1,1,0)</f>
        <v>0</v>
      </c>
      <c r="P43" s="208">
        <f>IF(M43=2,1,0)</f>
        <v>0</v>
      </c>
      <c r="Q43" s="208">
        <f>IF(M43=3,1,0)</f>
        <v>1</v>
      </c>
      <c r="R43" s="10">
        <f>IF(M43=4,1,0)</f>
        <v>0</v>
      </c>
      <c r="S43" s="198"/>
      <c r="T43" s="26"/>
      <c r="U43" s="13"/>
    </row>
    <row r="44" spans="2:21" ht="20.100000000000001" hidden="1" customHeight="1" outlineLevel="1" x14ac:dyDescent="0.25">
      <c r="B44" s="13"/>
      <c r="C44" s="26"/>
      <c r="D44" s="71"/>
      <c r="E44" s="71"/>
      <c r="F44" s="553"/>
      <c r="G44" s="553"/>
      <c r="H44" s="26"/>
      <c r="I44" s="193" t="s">
        <v>29</v>
      </c>
      <c r="J44" s="23">
        <f>MAX(J40:J43)</f>
        <v>28</v>
      </c>
      <c r="K44" s="73"/>
      <c r="L44" s="72"/>
      <c r="M44" s="26"/>
      <c r="N44" s="63" t="s">
        <v>33</v>
      </c>
      <c r="O44" s="20">
        <f>SUM(O40:O43)</f>
        <v>1</v>
      </c>
      <c r="P44" s="21">
        <f>SUM(P40:P43)</f>
        <v>1</v>
      </c>
      <c r="Q44" s="20">
        <f>SUM(Q40:Q43)</f>
        <v>1</v>
      </c>
      <c r="R44" s="20">
        <f>SUM(R40:R43)</f>
        <v>1</v>
      </c>
      <c r="S44" s="69"/>
      <c r="T44" s="26"/>
      <c r="U44" s="13"/>
    </row>
    <row r="45" spans="2:21" ht="20.100000000000001" customHeight="1" collapsed="1" x14ac:dyDescent="0.25">
      <c r="B45" s="13"/>
      <c r="C45" s="26"/>
      <c r="D45" s="26"/>
      <c r="E45" s="26"/>
      <c r="F45" s="607"/>
      <c r="G45" s="607"/>
      <c r="H45" s="199"/>
      <c r="I45" s="26"/>
      <c r="J45" s="26"/>
      <c r="K45" s="26"/>
      <c r="L45" s="26"/>
      <c r="M45" s="26"/>
      <c r="N45" s="26"/>
      <c r="O45" s="26"/>
      <c r="P45" s="26"/>
      <c r="Q45" s="26"/>
      <c r="R45" s="26"/>
      <c r="S45" s="26"/>
      <c r="T45" s="26"/>
      <c r="U45" s="13"/>
    </row>
    <row r="46" spans="2:21" ht="20.100000000000001" customHeight="1" x14ac:dyDescent="0.25">
      <c r="B46" s="13"/>
      <c r="U46" s="13"/>
    </row>
    <row r="47" spans="2:21" ht="20.100000000000001" customHeight="1" thickBot="1" x14ac:dyDescent="0.3">
      <c r="B47" s="13"/>
      <c r="C47" s="27"/>
      <c r="D47" s="27"/>
      <c r="E47" s="554" t="str">
        <f>IF(OR(M28="-",M28= ""),H28,M28)</f>
        <v>Through the Ages: Eine neue Geschichte der Zivilisation</v>
      </c>
      <c r="F47" s="554"/>
      <c r="G47" s="554"/>
      <c r="H47" s="554"/>
      <c r="I47" s="554"/>
      <c r="J47" s="554"/>
      <c r="K47" s="554"/>
      <c r="L47" s="554"/>
      <c r="M47" s="554"/>
      <c r="N47" s="554"/>
      <c r="O47" s="197"/>
      <c r="P47" s="197"/>
      <c r="Q47" s="197"/>
      <c r="R47" s="197"/>
      <c r="S47" s="197"/>
      <c r="T47" s="27"/>
      <c r="U47" s="13"/>
    </row>
    <row r="48" spans="2:21" ht="50.1" customHeight="1" thickBot="1" x14ac:dyDescent="0.3">
      <c r="B48" s="13"/>
      <c r="C48" s="27"/>
      <c r="D48" s="197"/>
      <c r="E48" s="88" t="s">
        <v>10</v>
      </c>
      <c r="F48" s="125" t="s">
        <v>52</v>
      </c>
      <c r="G48" s="89" t="s">
        <v>14</v>
      </c>
      <c r="H48" s="200" t="s">
        <v>51</v>
      </c>
      <c r="I48" s="18" t="s">
        <v>54</v>
      </c>
      <c r="J48" s="200" t="s">
        <v>53</v>
      </c>
      <c r="K48" s="206" t="s">
        <v>28</v>
      </c>
      <c r="L48" s="200" t="s">
        <v>37</v>
      </c>
      <c r="M48" s="204" t="s">
        <v>16</v>
      </c>
      <c r="N48" s="89" t="s">
        <v>15</v>
      </c>
      <c r="O48" s="5" t="s">
        <v>30</v>
      </c>
      <c r="P48" s="7" t="s">
        <v>34</v>
      </c>
      <c r="Q48" s="7" t="s">
        <v>31</v>
      </c>
      <c r="R48" s="7" t="s">
        <v>32</v>
      </c>
      <c r="S48" s="197"/>
      <c r="T48" s="27"/>
      <c r="U48" s="13"/>
    </row>
    <row r="49" spans="2:23" ht="20.100000000000001" customHeight="1" x14ac:dyDescent="0.25">
      <c r="B49" s="13"/>
      <c r="C49" s="27"/>
      <c r="D49" s="27"/>
      <c r="E49" s="327" t="s">
        <v>127</v>
      </c>
      <c r="F49" s="272" t="s">
        <v>60</v>
      </c>
      <c r="G49" s="157">
        <v>4</v>
      </c>
      <c r="H49" s="103" t="s">
        <v>13</v>
      </c>
      <c r="I49" s="157">
        <v>0</v>
      </c>
      <c r="J49" s="103">
        <v>327</v>
      </c>
      <c r="K49" s="103" t="s">
        <v>13</v>
      </c>
      <c r="L49" s="36">
        <f>IF(J49="",0,(J49/J53)*100)</f>
        <v>100</v>
      </c>
      <c r="M49" s="157">
        <v>1</v>
      </c>
      <c r="N49" s="99">
        <v>6</v>
      </c>
      <c r="O49" s="57">
        <f>IF(M49=1,1,0)</f>
        <v>1</v>
      </c>
      <c r="P49" s="209">
        <f>IF(M49=2,1,0)</f>
        <v>0</v>
      </c>
      <c r="Q49" s="209">
        <f>IF(M49=3,1,0)</f>
        <v>0</v>
      </c>
      <c r="R49" s="8">
        <f>IF(M49=4,1,0)</f>
        <v>0</v>
      </c>
      <c r="S49" s="203"/>
      <c r="T49" s="27"/>
      <c r="U49" s="13"/>
    </row>
    <row r="50" spans="2:23" ht="20.100000000000001" customHeight="1" x14ac:dyDescent="0.25">
      <c r="B50" s="13"/>
      <c r="C50" s="27"/>
      <c r="D50" s="67"/>
      <c r="E50" s="40" t="s">
        <v>123</v>
      </c>
      <c r="F50" s="249" t="s">
        <v>124</v>
      </c>
      <c r="G50" s="47">
        <v>1</v>
      </c>
      <c r="H50" s="100" t="s">
        <v>13</v>
      </c>
      <c r="I50" s="47">
        <v>0</v>
      </c>
      <c r="J50" s="100">
        <v>311</v>
      </c>
      <c r="K50" s="100" t="s">
        <v>13</v>
      </c>
      <c r="L50" s="48">
        <f>IF(J50="",0,(J50/J53)*100)</f>
        <v>95.107033639143737</v>
      </c>
      <c r="M50" s="47">
        <v>2</v>
      </c>
      <c r="N50" s="60">
        <v>3</v>
      </c>
      <c r="O50" s="205">
        <f>IF(M50=1,1,0)</f>
        <v>0</v>
      </c>
      <c r="P50" s="207">
        <f>IF(M50=2,1,0)</f>
        <v>1</v>
      </c>
      <c r="Q50" s="207">
        <f>IF(M50=3,1,0)</f>
        <v>0</v>
      </c>
      <c r="R50" s="9">
        <f>IF(M50=4,1,0)</f>
        <v>0</v>
      </c>
      <c r="S50" s="203"/>
      <c r="T50" s="27"/>
      <c r="U50" s="13"/>
    </row>
    <row r="51" spans="2:23" ht="20.100000000000001" customHeight="1" x14ac:dyDescent="0.25">
      <c r="B51" s="13"/>
      <c r="C51" s="27"/>
      <c r="D51" s="27"/>
      <c r="E51" s="303" t="s">
        <v>0</v>
      </c>
      <c r="F51" s="247" t="s">
        <v>5</v>
      </c>
      <c r="G51" s="47">
        <v>3</v>
      </c>
      <c r="H51" s="100" t="s">
        <v>13</v>
      </c>
      <c r="I51" s="47">
        <v>0</v>
      </c>
      <c r="J51" s="100">
        <v>299</v>
      </c>
      <c r="K51" s="100" t="s">
        <v>13</v>
      </c>
      <c r="L51" s="48">
        <f>IF(J51="",0,(J51/J53)*100)</f>
        <v>91.437308868501532</v>
      </c>
      <c r="M51" s="47">
        <v>3</v>
      </c>
      <c r="N51" s="60">
        <v>1</v>
      </c>
      <c r="O51" s="205">
        <f>IF(M51=1,1,0)</f>
        <v>0</v>
      </c>
      <c r="P51" s="207">
        <f>IF(M51=2,1,0)</f>
        <v>0</v>
      </c>
      <c r="Q51" s="207">
        <f>IF(M51=3,1,0)</f>
        <v>1</v>
      </c>
      <c r="R51" s="9">
        <f>IF(M51=4,1,0)</f>
        <v>0</v>
      </c>
      <c r="S51" s="203"/>
      <c r="T51" s="27"/>
      <c r="U51" s="13"/>
    </row>
    <row r="52" spans="2:23" ht="20.100000000000001" customHeight="1" thickBot="1" x14ac:dyDescent="0.3">
      <c r="B52" s="13"/>
      <c r="C52" s="27"/>
      <c r="D52" s="27"/>
      <c r="E52" s="354" t="s">
        <v>2</v>
      </c>
      <c r="F52" s="255" t="s">
        <v>8</v>
      </c>
      <c r="G52" s="150">
        <v>2</v>
      </c>
      <c r="H52" s="107" t="s">
        <v>13</v>
      </c>
      <c r="I52" s="150">
        <v>0</v>
      </c>
      <c r="J52" s="107">
        <v>251</v>
      </c>
      <c r="K52" s="150" t="s">
        <v>13</v>
      </c>
      <c r="L52" s="17">
        <f>IF(J52="",0,(J52/J53)*100)</f>
        <v>76.758409785932727</v>
      </c>
      <c r="M52" s="150">
        <v>4</v>
      </c>
      <c r="N52" s="59">
        <v>0</v>
      </c>
      <c r="O52" s="58">
        <f>IF(M52=1,1,0)</f>
        <v>0</v>
      </c>
      <c r="P52" s="208">
        <f>IF(M52=2,1,0)</f>
        <v>0</v>
      </c>
      <c r="Q52" s="208">
        <f>IF(M52=3,1,0)</f>
        <v>0</v>
      </c>
      <c r="R52" s="10">
        <f>IF(M52=4,1,0)</f>
        <v>1</v>
      </c>
      <c r="S52" s="203"/>
      <c r="T52" s="27"/>
      <c r="U52" s="13"/>
    </row>
    <row r="53" spans="2:23" ht="20.100000000000001" hidden="1" customHeight="1" outlineLevel="1" x14ac:dyDescent="0.25">
      <c r="B53" s="13"/>
      <c r="C53" s="27"/>
      <c r="D53" s="27"/>
      <c r="E53" s="27"/>
      <c r="F53" s="531"/>
      <c r="G53" s="531"/>
      <c r="H53" s="27"/>
      <c r="I53" s="62" t="s">
        <v>29</v>
      </c>
      <c r="J53" s="23">
        <f>MAX(J49:J52)</f>
        <v>327</v>
      </c>
      <c r="K53" s="75"/>
      <c r="L53" s="203"/>
      <c r="M53" s="27"/>
      <c r="N53" s="63" t="s">
        <v>33</v>
      </c>
      <c r="O53" s="20">
        <f>SUM(O49:O52)</f>
        <v>1</v>
      </c>
      <c r="P53" s="21">
        <f>SUM(P49:P52)</f>
        <v>1</v>
      </c>
      <c r="Q53" s="20">
        <f>SUM(Q49:Q52)</f>
        <v>1</v>
      </c>
      <c r="R53" s="22">
        <f>SUM(R49:R52)</f>
        <v>1</v>
      </c>
      <c r="S53" s="74"/>
      <c r="T53" s="27"/>
      <c r="U53" s="13"/>
    </row>
    <row r="54" spans="2:23" ht="20.100000000000001" customHeight="1" collapsed="1" x14ac:dyDescent="0.25">
      <c r="B54" s="13"/>
      <c r="C54" s="27"/>
      <c r="D54" s="27"/>
      <c r="E54" s="27"/>
      <c r="F54" s="27"/>
      <c r="G54" s="27"/>
      <c r="H54" s="27"/>
      <c r="I54" s="27"/>
      <c r="J54" s="27"/>
      <c r="K54" s="27"/>
      <c r="L54" s="27"/>
      <c r="M54" s="27"/>
      <c r="N54" s="27"/>
      <c r="O54" s="27"/>
      <c r="P54" s="27"/>
      <c r="Q54" s="27"/>
      <c r="R54" s="27"/>
      <c r="S54" s="27"/>
      <c r="T54" s="27"/>
      <c r="U54" s="13"/>
    </row>
    <row r="55" spans="2:23" ht="20.100000000000001" customHeight="1" x14ac:dyDescent="0.25">
      <c r="B55" s="13"/>
      <c r="D55" s="28"/>
      <c r="E55" s="28"/>
      <c r="F55" s="28"/>
      <c r="G55" s="28"/>
      <c r="H55" s="29"/>
      <c r="I55" s="28"/>
      <c r="J55" s="28"/>
      <c r="U55" s="13"/>
    </row>
    <row r="56" spans="2:23" ht="20.100000000000001" customHeight="1" thickBot="1" x14ac:dyDescent="0.3">
      <c r="B56" s="13"/>
      <c r="C56" s="30"/>
      <c r="D56" s="30"/>
      <c r="E56" s="532" t="str">
        <f>IF(OR(M30="-",M30= ""),H30,M30)</f>
        <v>Teotihuacan: Die Stadt der Götter</v>
      </c>
      <c r="F56" s="532"/>
      <c r="G56" s="532"/>
      <c r="H56" s="532"/>
      <c r="I56" s="532"/>
      <c r="J56" s="532"/>
      <c r="K56" s="532"/>
      <c r="L56" s="532"/>
      <c r="M56" s="532"/>
      <c r="N56" s="532"/>
      <c r="O56" s="196"/>
      <c r="P56" s="196"/>
      <c r="Q56" s="196"/>
      <c r="R56" s="196"/>
      <c r="S56" s="196"/>
      <c r="T56" s="30"/>
      <c r="U56" s="14"/>
      <c r="V56" s="1"/>
      <c r="W56" s="1"/>
    </row>
    <row r="57" spans="2:23" ht="50.1" customHeight="1" thickBot="1" x14ac:dyDescent="0.3">
      <c r="B57" s="13"/>
      <c r="C57" s="30"/>
      <c r="D57" s="196"/>
      <c r="E57" s="88" t="s">
        <v>10</v>
      </c>
      <c r="F57" s="125" t="s">
        <v>52</v>
      </c>
      <c r="G57" s="89" t="s">
        <v>14</v>
      </c>
      <c r="H57" s="200" t="s">
        <v>51</v>
      </c>
      <c r="I57" s="18" t="s">
        <v>54</v>
      </c>
      <c r="J57" s="200" t="s">
        <v>53</v>
      </c>
      <c r="K57" s="206" t="s">
        <v>28</v>
      </c>
      <c r="L57" s="200" t="s">
        <v>37</v>
      </c>
      <c r="M57" s="204" t="s">
        <v>16</v>
      </c>
      <c r="N57" s="89" t="s">
        <v>15</v>
      </c>
      <c r="O57" s="5" t="s">
        <v>30</v>
      </c>
      <c r="P57" s="7" t="s">
        <v>34</v>
      </c>
      <c r="Q57" s="7" t="s">
        <v>31</v>
      </c>
      <c r="R57" s="19" t="s">
        <v>32</v>
      </c>
      <c r="S57" s="196"/>
      <c r="T57" s="30"/>
      <c r="U57" s="14"/>
      <c r="V57" s="1"/>
      <c r="W57" s="1"/>
    </row>
    <row r="58" spans="2:23" ht="20.100000000000001" customHeight="1" x14ac:dyDescent="0.25">
      <c r="B58" s="13"/>
      <c r="C58" s="30"/>
      <c r="D58" s="30"/>
      <c r="E58" s="327" t="s">
        <v>127</v>
      </c>
      <c r="F58" s="272" t="s">
        <v>60</v>
      </c>
      <c r="G58" s="157">
        <v>2</v>
      </c>
      <c r="H58" s="103" t="s">
        <v>13</v>
      </c>
      <c r="I58" s="157">
        <v>0</v>
      </c>
      <c r="J58" s="414">
        <v>202</v>
      </c>
      <c r="K58" s="157" t="s">
        <v>13</v>
      </c>
      <c r="L58" s="36">
        <f>IF(J58="",0,(J58/J62)*100)</f>
        <v>100</v>
      </c>
      <c r="M58" s="157">
        <v>1</v>
      </c>
      <c r="N58" s="99">
        <v>6</v>
      </c>
      <c r="O58" s="57">
        <f>IF(M58=1,1,0)</f>
        <v>1</v>
      </c>
      <c r="P58" s="209">
        <f>IF(M58=2,1,0)</f>
        <v>0</v>
      </c>
      <c r="Q58" s="209">
        <f>IF(M58=3,1,0)</f>
        <v>0</v>
      </c>
      <c r="R58" s="8">
        <f>IF(M58=4,1,0)</f>
        <v>0</v>
      </c>
      <c r="S58" s="194"/>
      <c r="T58" s="30"/>
      <c r="U58" s="13"/>
    </row>
    <row r="59" spans="2:23" ht="20.100000000000001" customHeight="1" x14ac:dyDescent="0.25">
      <c r="B59" s="13"/>
      <c r="C59" s="30"/>
      <c r="D59" s="66"/>
      <c r="E59" s="40" t="s">
        <v>123</v>
      </c>
      <c r="F59" s="249" t="s">
        <v>124</v>
      </c>
      <c r="G59" s="47">
        <v>1</v>
      </c>
      <c r="H59" s="47" t="s">
        <v>13</v>
      </c>
      <c r="I59" s="47">
        <v>0</v>
      </c>
      <c r="J59" s="158">
        <v>172</v>
      </c>
      <c r="K59" s="47" t="s">
        <v>13</v>
      </c>
      <c r="L59" s="48">
        <f>IF(J59="",0,(J59/J62)*100)</f>
        <v>85.148514851485146</v>
      </c>
      <c r="M59" s="47">
        <v>3</v>
      </c>
      <c r="N59" s="60">
        <v>1</v>
      </c>
      <c r="O59" s="205">
        <f>IF(M59=1,1,0)</f>
        <v>0</v>
      </c>
      <c r="P59" s="207">
        <f>IF(M59=2,1,0)</f>
        <v>0</v>
      </c>
      <c r="Q59" s="207">
        <f>IF(M59=3,1,0)</f>
        <v>1</v>
      </c>
      <c r="R59" s="9">
        <f>IF(M59=4,1,0)</f>
        <v>0</v>
      </c>
      <c r="S59" s="194"/>
      <c r="T59" s="30"/>
      <c r="U59" s="31"/>
    </row>
    <row r="60" spans="2:23" ht="20.100000000000001" customHeight="1" x14ac:dyDescent="0.25">
      <c r="B60" s="13"/>
      <c r="C60" s="30"/>
      <c r="D60" s="30"/>
      <c r="E60" s="303" t="s">
        <v>0</v>
      </c>
      <c r="F60" s="247" t="s">
        <v>5</v>
      </c>
      <c r="G60" s="47">
        <v>3</v>
      </c>
      <c r="H60" s="100" t="s">
        <v>13</v>
      </c>
      <c r="I60" s="47">
        <v>0</v>
      </c>
      <c r="J60" s="158">
        <v>186</v>
      </c>
      <c r="K60" s="47" t="s">
        <v>13</v>
      </c>
      <c r="L60" s="48">
        <f>IF(J60="",0,(J60/J62)*100)</f>
        <v>92.079207920792086</v>
      </c>
      <c r="M60" s="47">
        <v>2</v>
      </c>
      <c r="N60" s="60">
        <v>3</v>
      </c>
      <c r="O60" s="205">
        <f>IF(M60=1,1,0)</f>
        <v>0</v>
      </c>
      <c r="P60" s="207">
        <f>IF(M60=2,1,0)</f>
        <v>1</v>
      </c>
      <c r="Q60" s="207">
        <f>IF(M60=3,1,0)</f>
        <v>0</v>
      </c>
      <c r="R60" s="9">
        <f>IF(M60=4,1,0)</f>
        <v>0</v>
      </c>
      <c r="S60" s="194"/>
      <c r="T60" s="30"/>
      <c r="U60" s="31"/>
    </row>
    <row r="61" spans="2:23" ht="20.100000000000001" customHeight="1" thickBot="1" x14ac:dyDescent="0.3">
      <c r="B61" s="13"/>
      <c r="C61" s="30"/>
      <c r="D61" s="30"/>
      <c r="E61" s="354" t="s">
        <v>2</v>
      </c>
      <c r="F61" s="255" t="s">
        <v>8</v>
      </c>
      <c r="G61" s="150">
        <v>4</v>
      </c>
      <c r="H61" s="107" t="s">
        <v>13</v>
      </c>
      <c r="I61" s="150">
        <v>0</v>
      </c>
      <c r="J61" s="356">
        <v>97</v>
      </c>
      <c r="K61" s="150" t="s">
        <v>13</v>
      </c>
      <c r="L61" s="17">
        <f>IF(J61="",0,(J61/J62)*100)</f>
        <v>48.019801980198018</v>
      </c>
      <c r="M61" s="150">
        <v>4</v>
      </c>
      <c r="N61" s="59">
        <v>0</v>
      </c>
      <c r="O61" s="58">
        <f>IF(M61=1,1,0)</f>
        <v>0</v>
      </c>
      <c r="P61" s="208">
        <f>IF(M61=2,1,0)</f>
        <v>0</v>
      </c>
      <c r="Q61" s="208">
        <f>IF(M61=3,1,0)</f>
        <v>0</v>
      </c>
      <c r="R61" s="10">
        <f>IF(M61=4,1,0)</f>
        <v>1</v>
      </c>
      <c r="S61" s="194"/>
      <c r="T61" s="30"/>
      <c r="U61" s="31"/>
    </row>
    <row r="62" spans="2:23" ht="20.100000000000001" hidden="1" customHeight="1" outlineLevel="1" x14ac:dyDescent="0.25">
      <c r="B62" s="13"/>
      <c r="C62" s="30"/>
      <c r="D62" s="30"/>
      <c r="E62" s="30"/>
      <c r="F62" s="533"/>
      <c r="G62" s="533"/>
      <c r="H62" s="30"/>
      <c r="I62" s="64" t="s">
        <v>29</v>
      </c>
      <c r="J62" s="23">
        <f>MAX(J58:J61)</f>
        <v>202</v>
      </c>
      <c r="K62" s="76"/>
      <c r="L62" s="194"/>
      <c r="M62" s="30"/>
      <c r="N62" s="63"/>
      <c r="O62" s="20">
        <f>SUM(O58:O61)</f>
        <v>1</v>
      </c>
      <c r="P62" s="21">
        <f>SUM(P58:P61)</f>
        <v>1</v>
      </c>
      <c r="Q62" s="20">
        <f>SUM(Q58:Q61)</f>
        <v>1</v>
      </c>
      <c r="R62" s="22">
        <f>SUM(R58:R61)</f>
        <v>1</v>
      </c>
      <c r="S62" s="77"/>
      <c r="T62" s="30"/>
      <c r="U62" s="31"/>
    </row>
    <row r="63" spans="2:23" ht="20.100000000000001" customHeight="1" collapsed="1" x14ac:dyDescent="0.25">
      <c r="B63" s="13"/>
      <c r="C63" s="30"/>
      <c r="D63" s="30"/>
      <c r="E63" s="30"/>
      <c r="F63" s="30"/>
      <c r="G63" s="30"/>
      <c r="H63" s="30"/>
      <c r="I63" s="30"/>
      <c r="J63" s="30"/>
      <c r="K63" s="30"/>
      <c r="L63" s="30"/>
      <c r="M63" s="30"/>
      <c r="N63" s="30"/>
      <c r="O63" s="30"/>
      <c r="P63" s="30"/>
      <c r="Q63" s="30"/>
      <c r="R63" s="30"/>
      <c r="S63" s="30"/>
      <c r="T63" s="30"/>
      <c r="U63" s="31"/>
    </row>
    <row r="64" spans="2:23" ht="20.100000000000001" customHeight="1" x14ac:dyDescent="0.25">
      <c r="B64" s="13"/>
      <c r="D64" s="28"/>
      <c r="E64" s="28"/>
      <c r="F64" s="28"/>
      <c r="G64" s="28"/>
      <c r="H64" s="29"/>
      <c r="I64" s="28"/>
      <c r="J64" s="28"/>
      <c r="K64" s="28"/>
      <c r="U64" s="13"/>
    </row>
    <row r="65" spans="2:31" ht="20.100000000000001" customHeight="1" thickBot="1" x14ac:dyDescent="0.3">
      <c r="B65" s="13"/>
      <c r="C65" s="32"/>
      <c r="D65" s="32"/>
      <c r="E65" s="534" t="str">
        <f>IF(OR(M34="-",M34= ""),H34,M34)</f>
        <v>Carnegie</v>
      </c>
      <c r="F65" s="534"/>
      <c r="G65" s="534"/>
      <c r="H65" s="534"/>
      <c r="I65" s="534"/>
      <c r="J65" s="534"/>
      <c r="K65" s="534"/>
      <c r="L65" s="534"/>
      <c r="M65" s="534"/>
      <c r="N65" s="534"/>
      <c r="O65" s="195"/>
      <c r="P65" s="195"/>
      <c r="Q65" s="195"/>
      <c r="R65" s="195"/>
      <c r="S65" s="195"/>
      <c r="T65" s="32"/>
      <c r="U65" s="13"/>
    </row>
    <row r="66" spans="2:31" ht="50.1" customHeight="1" thickBot="1" x14ac:dyDescent="0.3">
      <c r="B66" s="13"/>
      <c r="C66" s="32"/>
      <c r="D66" s="195"/>
      <c r="E66" s="88" t="s">
        <v>10</v>
      </c>
      <c r="F66" s="125" t="s">
        <v>52</v>
      </c>
      <c r="G66" s="89" t="s">
        <v>14</v>
      </c>
      <c r="H66" s="200" t="s">
        <v>51</v>
      </c>
      <c r="I66" s="18" t="s">
        <v>54</v>
      </c>
      <c r="J66" s="200" t="s">
        <v>53</v>
      </c>
      <c r="K66" s="206" t="s">
        <v>28</v>
      </c>
      <c r="L66" s="200" t="s">
        <v>37</v>
      </c>
      <c r="M66" s="204" t="s">
        <v>16</v>
      </c>
      <c r="N66" s="89" t="s">
        <v>15</v>
      </c>
      <c r="O66" s="5" t="s">
        <v>30</v>
      </c>
      <c r="P66" s="7" t="s">
        <v>34</v>
      </c>
      <c r="Q66" s="7" t="s">
        <v>31</v>
      </c>
      <c r="R66" s="19" t="s">
        <v>32</v>
      </c>
      <c r="S66" s="195"/>
      <c r="T66" s="32"/>
      <c r="U66" s="13"/>
    </row>
    <row r="67" spans="2:31" ht="20.100000000000001" customHeight="1" x14ac:dyDescent="0.25">
      <c r="B67" s="13"/>
      <c r="C67" s="32"/>
      <c r="D67" s="32"/>
      <c r="E67" s="327" t="s">
        <v>127</v>
      </c>
      <c r="F67" s="272" t="s">
        <v>60</v>
      </c>
      <c r="G67" s="157">
        <v>4</v>
      </c>
      <c r="H67" s="157" t="s">
        <v>13</v>
      </c>
      <c r="I67" s="157">
        <v>0</v>
      </c>
      <c r="J67" s="157">
        <v>136</v>
      </c>
      <c r="K67" s="157" t="s">
        <v>13</v>
      </c>
      <c r="L67" s="36">
        <f>IF(J67="",0,(J67/J71)*100)</f>
        <v>100</v>
      </c>
      <c r="M67" s="157">
        <v>1</v>
      </c>
      <c r="N67" s="99">
        <v>6</v>
      </c>
      <c r="O67" s="57">
        <f>IF(M67=1,1,0)</f>
        <v>1</v>
      </c>
      <c r="P67" s="209">
        <f>IF(M67=2,1,0)</f>
        <v>0</v>
      </c>
      <c r="Q67" s="209">
        <f>IF(M67=3,1,0)</f>
        <v>0</v>
      </c>
      <c r="R67" s="8">
        <f>IF(M67=4,1,0)</f>
        <v>0</v>
      </c>
      <c r="S67" s="201"/>
      <c r="T67" s="32"/>
      <c r="U67" s="13"/>
    </row>
    <row r="68" spans="2:31" ht="20.100000000000001" customHeight="1" x14ac:dyDescent="0.25">
      <c r="B68" s="13"/>
      <c r="C68" s="32"/>
      <c r="D68" s="32"/>
      <c r="E68" s="40" t="s">
        <v>123</v>
      </c>
      <c r="F68" s="249" t="s">
        <v>124</v>
      </c>
      <c r="G68" s="47">
        <v>1</v>
      </c>
      <c r="H68" s="47" t="s">
        <v>13</v>
      </c>
      <c r="I68" s="47">
        <v>0</v>
      </c>
      <c r="J68" s="47">
        <v>74</v>
      </c>
      <c r="K68" s="47" t="s">
        <v>13</v>
      </c>
      <c r="L68" s="48">
        <f>IF(J68="",0,(J68/J71)*100)</f>
        <v>54.411764705882348</v>
      </c>
      <c r="M68" s="47">
        <v>4</v>
      </c>
      <c r="N68" s="60">
        <v>0</v>
      </c>
      <c r="O68" s="205">
        <f>IF(M68=1,1,0)</f>
        <v>0</v>
      </c>
      <c r="P68" s="207">
        <f>IF(M68=2,1,0)</f>
        <v>0</v>
      </c>
      <c r="Q68" s="207">
        <f>IF(M68=3,1,0)</f>
        <v>0</v>
      </c>
      <c r="R68" s="9">
        <f>IF(M68=4,1,0)</f>
        <v>1</v>
      </c>
      <c r="S68" s="201"/>
      <c r="T68" s="32"/>
      <c r="U68" s="13"/>
    </row>
    <row r="69" spans="2:31" ht="20.100000000000001" customHeight="1" x14ac:dyDescent="0.25">
      <c r="B69" s="13"/>
      <c r="C69" s="32"/>
      <c r="D69" s="32"/>
      <c r="E69" s="303" t="s">
        <v>0</v>
      </c>
      <c r="F69" s="247" t="s">
        <v>5</v>
      </c>
      <c r="G69" s="47">
        <v>2</v>
      </c>
      <c r="H69" s="47" t="s">
        <v>13</v>
      </c>
      <c r="I69" s="47">
        <v>0</v>
      </c>
      <c r="J69" s="47">
        <v>86</v>
      </c>
      <c r="K69" s="47" t="s">
        <v>13</v>
      </c>
      <c r="L69" s="48">
        <f>IF(J69="",0,(J69/J71)*100)</f>
        <v>63.235294117647058</v>
      </c>
      <c r="M69" s="47">
        <v>3</v>
      </c>
      <c r="N69" s="60">
        <v>1</v>
      </c>
      <c r="O69" s="205">
        <f>IF(M69=1,1,0)</f>
        <v>0</v>
      </c>
      <c r="P69" s="207">
        <f>IF(M69=2,1,0)</f>
        <v>0</v>
      </c>
      <c r="Q69" s="207">
        <f>IF(M69=3,1,0)</f>
        <v>1</v>
      </c>
      <c r="R69" s="9">
        <f>IF(M69=4,1,0)</f>
        <v>0</v>
      </c>
      <c r="S69" s="201"/>
      <c r="T69" s="32"/>
      <c r="U69" s="13"/>
    </row>
    <row r="70" spans="2:31" ht="20.100000000000001" customHeight="1" thickBot="1" x14ac:dyDescent="0.3">
      <c r="B70" s="13"/>
      <c r="C70" s="32"/>
      <c r="D70" s="65"/>
      <c r="E70" s="354" t="s">
        <v>2</v>
      </c>
      <c r="F70" s="255" t="s">
        <v>8</v>
      </c>
      <c r="G70" s="150">
        <v>3</v>
      </c>
      <c r="H70" s="150" t="s">
        <v>13</v>
      </c>
      <c r="I70" s="150">
        <v>0</v>
      </c>
      <c r="J70" s="150">
        <v>100</v>
      </c>
      <c r="K70" s="150" t="s">
        <v>13</v>
      </c>
      <c r="L70" s="17">
        <f>IF(J70="",0,(J70/J71)*100)</f>
        <v>73.529411764705884</v>
      </c>
      <c r="M70" s="150">
        <v>2</v>
      </c>
      <c r="N70" s="59">
        <v>3</v>
      </c>
      <c r="O70" s="58">
        <f>IF(M70=1,1,0)</f>
        <v>0</v>
      </c>
      <c r="P70" s="208">
        <f>IF(M70=2,1,0)</f>
        <v>1</v>
      </c>
      <c r="Q70" s="208">
        <f>IF(M70=3,1,0)</f>
        <v>0</v>
      </c>
      <c r="R70" s="10">
        <f>IF(M70=4,1,0)</f>
        <v>0</v>
      </c>
      <c r="S70" s="201"/>
      <c r="T70" s="32"/>
      <c r="U70" s="13"/>
    </row>
    <row r="71" spans="2:31" ht="20.100000000000001" hidden="1" customHeight="1" outlineLevel="1" x14ac:dyDescent="0.25">
      <c r="B71" s="13"/>
      <c r="C71" s="32"/>
      <c r="D71" s="32"/>
      <c r="E71" s="32"/>
      <c r="F71" s="535"/>
      <c r="G71" s="535"/>
      <c r="H71" s="32"/>
      <c r="I71" s="62" t="s">
        <v>29</v>
      </c>
      <c r="J71" s="23">
        <f>MAX(J67:J70)</f>
        <v>136</v>
      </c>
      <c r="K71" s="78"/>
      <c r="L71" s="201"/>
      <c r="M71" s="32"/>
      <c r="N71" s="63" t="s">
        <v>33</v>
      </c>
      <c r="O71" s="20">
        <f>SUM(O67:O70)</f>
        <v>1</v>
      </c>
      <c r="P71" s="21">
        <f>SUM(P67:P70)</f>
        <v>1</v>
      </c>
      <c r="Q71" s="20">
        <f>SUM(Q67:Q70)</f>
        <v>1</v>
      </c>
      <c r="R71" s="22">
        <f>SUM(R67:R70)</f>
        <v>1</v>
      </c>
      <c r="S71" s="79"/>
      <c r="T71" s="32"/>
      <c r="U71" s="13"/>
    </row>
    <row r="72" spans="2:31" ht="20.100000000000001" customHeight="1" collapsed="1" x14ac:dyDescent="0.25">
      <c r="B72" s="13"/>
      <c r="C72" s="32"/>
      <c r="D72" s="32"/>
      <c r="E72" s="32"/>
      <c r="F72" s="32"/>
      <c r="G72" s="32"/>
      <c r="H72" s="32"/>
      <c r="I72" s="32"/>
      <c r="J72" s="32"/>
      <c r="K72" s="32"/>
      <c r="L72" s="32"/>
      <c r="M72" s="32"/>
      <c r="N72" s="32"/>
      <c r="O72" s="32"/>
      <c r="P72" s="32"/>
      <c r="Q72" s="32"/>
      <c r="R72" s="32"/>
      <c r="S72" s="32"/>
      <c r="T72" s="32"/>
      <c r="U72" s="13"/>
    </row>
    <row r="73" spans="2:31" ht="20.100000000000001" customHeight="1" x14ac:dyDescent="0.25">
      <c r="B73" s="13"/>
      <c r="D73" s="4"/>
      <c r="E73" s="4"/>
      <c r="F73" s="4"/>
      <c r="G73" s="4"/>
      <c r="H73" s="4"/>
      <c r="I73" s="4"/>
      <c r="J73" s="4"/>
      <c r="U73" s="13"/>
    </row>
    <row r="74" spans="2:31" ht="30" customHeight="1" thickBot="1" x14ac:dyDescent="0.3">
      <c r="B74" s="13"/>
      <c r="C74" s="33"/>
      <c r="D74" s="536" t="s">
        <v>49</v>
      </c>
      <c r="E74" s="536"/>
      <c r="F74" s="536"/>
      <c r="G74" s="536"/>
      <c r="H74" s="536"/>
      <c r="I74" s="536"/>
      <c r="J74" s="536"/>
      <c r="K74" s="536"/>
      <c r="L74" s="536"/>
      <c r="M74" s="536"/>
      <c r="N74" s="536"/>
      <c r="O74" s="536"/>
      <c r="P74" s="536"/>
      <c r="Q74" s="536"/>
      <c r="R74" s="536"/>
      <c r="S74" s="536"/>
      <c r="T74" s="33"/>
      <c r="U74" s="13"/>
    </row>
    <row r="75" spans="2:31" ht="50.1" customHeight="1" thickBot="1" x14ac:dyDescent="0.3">
      <c r="B75" s="13"/>
      <c r="C75" s="33"/>
      <c r="D75" s="90" t="s">
        <v>10</v>
      </c>
      <c r="E75" s="93" t="s">
        <v>139</v>
      </c>
      <c r="F75" s="91" t="s">
        <v>15</v>
      </c>
      <c r="G75" s="42" t="s">
        <v>55</v>
      </c>
      <c r="H75" s="537" t="s">
        <v>56</v>
      </c>
      <c r="I75" s="538"/>
      <c r="J75" s="202" t="s">
        <v>66</v>
      </c>
      <c r="K75" s="92" t="s">
        <v>17</v>
      </c>
      <c r="L75" s="91" t="s">
        <v>18</v>
      </c>
      <c r="M75" s="92" t="s">
        <v>19</v>
      </c>
      <c r="N75" s="91" t="s">
        <v>20</v>
      </c>
      <c r="O75" s="130"/>
      <c r="P75" s="126"/>
      <c r="Q75" s="126"/>
      <c r="R75" s="126"/>
      <c r="S75" s="93" t="s">
        <v>38</v>
      </c>
      <c r="T75" s="33"/>
      <c r="U75" s="13"/>
    </row>
    <row r="76" spans="2:31" ht="20.100000000000001" customHeight="1" x14ac:dyDescent="0.25">
      <c r="B76" s="13"/>
      <c r="C76" s="33"/>
      <c r="D76" s="329" t="s">
        <v>127</v>
      </c>
      <c r="E76" s="375" t="s">
        <v>60</v>
      </c>
      <c r="F76" s="266">
        <f>(K76*6+L76*3+M76*1+N76*0)</f>
        <v>24</v>
      </c>
      <c r="G76" s="266">
        <v>0</v>
      </c>
      <c r="H76" s="603" t="s">
        <v>13</v>
      </c>
      <c r="I76" s="603"/>
      <c r="J76" s="266">
        <f>F76+G76</f>
        <v>24</v>
      </c>
      <c r="K76" s="266">
        <v>4</v>
      </c>
      <c r="L76" s="266">
        <v>0</v>
      </c>
      <c r="M76" s="266">
        <v>0</v>
      </c>
      <c r="N76" s="266">
        <v>0</v>
      </c>
      <c r="O76" s="266"/>
      <c r="P76" s="266"/>
      <c r="Q76" s="266"/>
      <c r="R76" s="266"/>
      <c r="S76" s="146">
        <f>(L40+L49+L58+L67)/4</f>
        <v>100</v>
      </c>
      <c r="T76" s="33"/>
      <c r="U76" s="13"/>
      <c r="W76" s="127"/>
      <c r="X76" s="127"/>
      <c r="Y76" s="127"/>
      <c r="Z76" s="127"/>
    </row>
    <row r="77" spans="2:31" ht="20.100000000000001" customHeight="1" x14ac:dyDescent="0.25">
      <c r="B77" s="13"/>
      <c r="C77" s="33"/>
      <c r="D77" s="51" t="s">
        <v>123</v>
      </c>
      <c r="E77" s="278" t="s">
        <v>124</v>
      </c>
      <c r="F77" s="265">
        <f>(K77*6+L77*3+M77*1+N77*0)</f>
        <v>7</v>
      </c>
      <c r="G77" s="265">
        <v>0</v>
      </c>
      <c r="H77" s="605" t="s">
        <v>13</v>
      </c>
      <c r="I77" s="605"/>
      <c r="J77" s="265">
        <f>F77+G77</f>
        <v>7</v>
      </c>
      <c r="K77" s="265">
        <v>0</v>
      </c>
      <c r="L77" s="265">
        <v>2</v>
      </c>
      <c r="M77" s="265">
        <v>1</v>
      </c>
      <c r="N77" s="265">
        <v>1</v>
      </c>
      <c r="O77" s="265"/>
      <c r="P77" s="265"/>
      <c r="Q77" s="265"/>
      <c r="R77" s="265"/>
      <c r="S77" s="145">
        <f>(L41+L50+L59+L68)/4</f>
        <v>78.309685441984954</v>
      </c>
      <c r="T77" s="33"/>
      <c r="U77" s="13"/>
      <c r="W77" s="192"/>
      <c r="X77" s="192"/>
      <c r="Y77" s="192"/>
      <c r="Z77" s="192"/>
    </row>
    <row r="78" spans="2:31" ht="20.100000000000001" customHeight="1" x14ac:dyDescent="0.25">
      <c r="B78" s="13"/>
      <c r="C78" s="33"/>
      <c r="D78" s="155" t="s">
        <v>0</v>
      </c>
      <c r="E78" s="357" t="s">
        <v>5</v>
      </c>
      <c r="F78" s="265">
        <f>(K78*6+L78*3+M78*1+N78*0)</f>
        <v>5</v>
      </c>
      <c r="G78" s="265">
        <v>0</v>
      </c>
      <c r="H78" s="605" t="s">
        <v>13</v>
      </c>
      <c r="I78" s="605"/>
      <c r="J78" s="265">
        <f>F78+G78</f>
        <v>5</v>
      </c>
      <c r="K78" s="265">
        <v>0</v>
      </c>
      <c r="L78" s="265">
        <v>1</v>
      </c>
      <c r="M78" s="265">
        <v>2</v>
      </c>
      <c r="N78" s="265">
        <v>1</v>
      </c>
      <c r="O78" s="265"/>
      <c r="P78" s="265"/>
      <c r="Q78" s="265"/>
      <c r="R78" s="265"/>
      <c r="S78" s="145">
        <f>(L42+L51+L60+L69)/4</f>
        <v>77.759381298163746</v>
      </c>
      <c r="T78" s="33"/>
      <c r="U78" s="13"/>
      <c r="W78" s="192"/>
      <c r="X78" s="192"/>
      <c r="Y78" s="192"/>
      <c r="Z78" s="192"/>
    </row>
    <row r="79" spans="2:31" ht="20.100000000000001" customHeight="1" thickBot="1" x14ac:dyDescent="0.3">
      <c r="B79" s="13"/>
      <c r="C79" s="33"/>
      <c r="D79" s="260" t="s">
        <v>2</v>
      </c>
      <c r="E79" s="376" t="s">
        <v>8</v>
      </c>
      <c r="F79" s="267">
        <f>(K79*6+L79*3+M79*1+N79*0)</f>
        <v>4</v>
      </c>
      <c r="G79" s="267">
        <v>0</v>
      </c>
      <c r="H79" s="583" t="s">
        <v>13</v>
      </c>
      <c r="I79" s="806"/>
      <c r="J79" s="267">
        <f>F79+G79</f>
        <v>4</v>
      </c>
      <c r="K79" s="267">
        <v>0</v>
      </c>
      <c r="L79" s="267">
        <v>1</v>
      </c>
      <c r="M79" s="267">
        <v>1</v>
      </c>
      <c r="N79" s="267">
        <v>2</v>
      </c>
      <c r="O79" s="267"/>
      <c r="P79" s="267"/>
      <c r="Q79" s="267"/>
      <c r="R79" s="267"/>
      <c r="S79" s="147">
        <f>(L43+L52+L61+L70)/4</f>
        <v>67.434048739852017</v>
      </c>
      <c r="T79" s="33"/>
      <c r="U79" s="13"/>
      <c r="W79" s="192"/>
      <c r="X79" s="192"/>
      <c r="Y79" s="192"/>
      <c r="Z79" s="192"/>
      <c r="AB79" s="192"/>
      <c r="AC79" s="192"/>
      <c r="AD79" s="192"/>
      <c r="AE79" s="192"/>
    </row>
    <row r="80" spans="2:31" ht="20.100000000000001" customHeight="1" x14ac:dyDescent="0.25">
      <c r="B80" s="13"/>
      <c r="C80" s="33"/>
      <c r="D80" s="373"/>
      <c r="E80" s="373"/>
      <c r="F80" s="16"/>
      <c r="G80" s="16"/>
      <c r="H80" s="782"/>
      <c r="I80" s="783"/>
      <c r="J80" s="16"/>
      <c r="K80" s="16"/>
      <c r="L80" s="16"/>
      <c r="M80" s="16"/>
      <c r="N80" s="16"/>
      <c r="O80" s="16"/>
      <c r="P80" s="16"/>
      <c r="Q80" s="16"/>
      <c r="R80" s="16"/>
      <c r="S80" s="374"/>
      <c r="T80" s="33"/>
      <c r="U80" s="13"/>
      <c r="W80" s="192"/>
      <c r="X80" s="192"/>
      <c r="Y80" s="192"/>
      <c r="Z80" s="192"/>
    </row>
    <row r="81" spans="2:21" ht="20.100000000000001" customHeight="1" x14ac:dyDescent="0.25">
      <c r="B81" s="13"/>
      <c r="C81" s="13"/>
      <c r="D81" s="15"/>
      <c r="E81" s="15"/>
      <c r="F81" s="14"/>
      <c r="G81" s="14"/>
      <c r="H81" s="15"/>
      <c r="I81" s="15"/>
      <c r="J81" s="15"/>
      <c r="K81" s="13"/>
      <c r="L81" s="13"/>
      <c r="M81" s="13"/>
      <c r="N81" s="13"/>
      <c r="O81" s="13"/>
      <c r="P81" s="13"/>
      <c r="Q81" s="13"/>
      <c r="R81" s="13"/>
      <c r="S81" s="13"/>
      <c r="T81" s="13"/>
      <c r="U81" s="13"/>
    </row>
    <row r="82" spans="2:21" ht="20.100000000000001" customHeight="1" x14ac:dyDescent="0.25">
      <c r="D82" s="11"/>
    </row>
    <row r="83" spans="2:21" ht="20.100000000000001" customHeight="1" x14ac:dyDescent="0.25">
      <c r="D83" s="34"/>
    </row>
    <row r="84" spans="2:21" ht="20.100000000000001" customHeight="1" x14ac:dyDescent="0.25">
      <c r="B84" s="13"/>
      <c r="C84" s="13"/>
      <c r="D84" s="25"/>
      <c r="E84" s="25"/>
      <c r="F84" s="25"/>
      <c r="G84" s="25"/>
      <c r="H84" s="13"/>
      <c r="I84" s="13"/>
      <c r="J84" s="13"/>
      <c r="K84" s="13"/>
      <c r="L84" s="13"/>
      <c r="M84" s="13"/>
      <c r="N84" s="13"/>
      <c r="O84" s="13"/>
      <c r="P84" s="13"/>
      <c r="Q84" s="13"/>
      <c r="R84" s="13"/>
      <c r="S84" s="13"/>
      <c r="T84" s="13"/>
      <c r="U84" s="13"/>
    </row>
    <row r="85" spans="2:21" ht="30" customHeight="1" x14ac:dyDescent="0.25">
      <c r="B85" s="13"/>
      <c r="C85" s="555" t="s">
        <v>74</v>
      </c>
      <c r="D85" s="555"/>
      <c r="E85" s="555"/>
      <c r="F85" s="555"/>
      <c r="G85" s="555"/>
      <c r="H85" s="555"/>
      <c r="I85" s="555"/>
      <c r="J85" s="555"/>
      <c r="K85" s="555"/>
      <c r="L85" s="555"/>
      <c r="M85" s="555"/>
      <c r="N85" s="555"/>
      <c r="O85" s="555"/>
      <c r="P85" s="555"/>
      <c r="Q85" s="555"/>
      <c r="R85" s="555"/>
      <c r="S85" s="555"/>
      <c r="T85" s="555"/>
      <c r="U85" s="13"/>
    </row>
    <row r="86" spans="2:21" ht="20.100000000000001" customHeight="1" thickBot="1" x14ac:dyDescent="0.3">
      <c r="B86" s="13"/>
      <c r="U86" s="13"/>
    </row>
    <row r="87" spans="2:21" ht="20.100000000000001" customHeight="1" thickBot="1" x14ac:dyDescent="0.3">
      <c r="B87" s="13"/>
      <c r="D87" s="556" t="s">
        <v>10</v>
      </c>
      <c r="E87" s="558" t="s">
        <v>139</v>
      </c>
      <c r="F87" s="560" t="s">
        <v>22</v>
      </c>
      <c r="G87" s="561" t="s">
        <v>42</v>
      </c>
      <c r="H87" s="561"/>
      <c r="I87" s="561"/>
      <c r="J87" s="562"/>
      <c r="K87" s="200" t="s">
        <v>36</v>
      </c>
      <c r="L87" s="563" t="s">
        <v>27</v>
      </c>
      <c r="M87" s="561"/>
      <c r="N87" s="561"/>
      <c r="O87" s="561"/>
      <c r="P87" s="561"/>
      <c r="Q87" s="561"/>
      <c r="R87" s="561"/>
      <c r="S87" s="562"/>
      <c r="U87" s="13"/>
    </row>
    <row r="88" spans="2:21" ht="20.100000000000001" customHeight="1" thickBot="1" x14ac:dyDescent="0.3">
      <c r="B88" s="13"/>
      <c r="D88" s="557"/>
      <c r="E88" s="559"/>
      <c r="F88" s="559"/>
      <c r="G88" s="86" t="s">
        <v>43</v>
      </c>
      <c r="H88" s="85" t="s">
        <v>24</v>
      </c>
      <c r="I88" s="556" t="s">
        <v>23</v>
      </c>
      <c r="J88" s="564"/>
      <c r="K88" s="85" t="s">
        <v>25</v>
      </c>
      <c r="L88" s="94" t="s">
        <v>43</v>
      </c>
      <c r="M88" s="87" t="s">
        <v>26</v>
      </c>
      <c r="N88" s="556" t="s">
        <v>23</v>
      </c>
      <c r="O88" s="588"/>
      <c r="P88" s="588"/>
      <c r="Q88" s="588"/>
      <c r="R88" s="588"/>
      <c r="S88" s="564"/>
      <c r="U88" s="13"/>
    </row>
    <row r="89" spans="2:21" ht="15" customHeight="1" x14ac:dyDescent="0.25">
      <c r="B89" s="13"/>
      <c r="D89" s="641" t="s">
        <v>114</v>
      </c>
      <c r="E89" s="733" t="s">
        <v>102</v>
      </c>
      <c r="F89" s="647">
        <v>1</v>
      </c>
      <c r="G89" s="735" t="s">
        <v>112</v>
      </c>
      <c r="H89" s="833" t="s">
        <v>267</v>
      </c>
      <c r="I89" s="656" t="s">
        <v>268</v>
      </c>
      <c r="J89" s="657"/>
      <c r="K89" s="911" t="s">
        <v>45</v>
      </c>
      <c r="L89" s="740" t="s">
        <v>13</v>
      </c>
      <c r="M89" s="627" t="s">
        <v>13</v>
      </c>
      <c r="N89" s="630" t="s">
        <v>13</v>
      </c>
      <c r="O89" s="631"/>
      <c r="P89" s="631"/>
      <c r="Q89" s="631"/>
      <c r="R89" s="631"/>
      <c r="S89" s="632"/>
      <c r="U89" s="13"/>
    </row>
    <row r="90" spans="2:21" ht="15" customHeight="1" x14ac:dyDescent="0.25">
      <c r="B90" s="13"/>
      <c r="D90" s="643"/>
      <c r="E90" s="734"/>
      <c r="F90" s="649"/>
      <c r="G90" s="736"/>
      <c r="H90" s="919"/>
      <c r="I90" s="639" t="s">
        <v>269</v>
      </c>
      <c r="J90" s="640"/>
      <c r="K90" s="751"/>
      <c r="L90" s="732"/>
      <c r="M90" s="629"/>
      <c r="N90" s="636"/>
      <c r="O90" s="637"/>
      <c r="P90" s="637"/>
      <c r="Q90" s="637"/>
      <c r="R90" s="637"/>
      <c r="S90" s="638"/>
      <c r="U90" s="13"/>
    </row>
    <row r="91" spans="2:21" ht="15" customHeight="1" x14ac:dyDescent="0.25">
      <c r="B91" s="13"/>
      <c r="D91" s="674" t="s">
        <v>47</v>
      </c>
      <c r="E91" s="677" t="s">
        <v>64</v>
      </c>
      <c r="F91" s="667">
        <v>2</v>
      </c>
      <c r="G91" s="727" t="s">
        <v>44</v>
      </c>
      <c r="H91" s="671" t="s">
        <v>482</v>
      </c>
      <c r="I91" s="671" t="s">
        <v>483</v>
      </c>
      <c r="J91" s="673"/>
      <c r="K91" s="703" t="s">
        <v>12</v>
      </c>
      <c r="L91" s="730" t="s">
        <v>13</v>
      </c>
      <c r="M91" s="689" t="s">
        <v>13</v>
      </c>
      <c r="N91" s="658" t="s">
        <v>13</v>
      </c>
      <c r="O91" s="659"/>
      <c r="P91" s="659"/>
      <c r="Q91" s="659"/>
      <c r="R91" s="659"/>
      <c r="S91" s="660"/>
      <c r="U91" s="13"/>
    </row>
    <row r="92" spans="2:21" ht="15" customHeight="1" x14ac:dyDescent="0.25">
      <c r="B92" s="13"/>
      <c r="D92" s="675"/>
      <c r="E92" s="645"/>
      <c r="F92" s="648"/>
      <c r="G92" s="728"/>
      <c r="H92" s="661"/>
      <c r="I92" s="661" t="s">
        <v>484</v>
      </c>
      <c r="J92" s="662"/>
      <c r="K92" s="622"/>
      <c r="L92" s="731"/>
      <c r="M92" s="628"/>
      <c r="N92" s="633"/>
      <c r="O92" s="634"/>
      <c r="P92" s="634"/>
      <c r="Q92" s="634"/>
      <c r="R92" s="634"/>
      <c r="S92" s="635"/>
      <c r="U92" s="13"/>
    </row>
    <row r="93" spans="2:21" ht="15" customHeight="1" x14ac:dyDescent="0.25">
      <c r="B93" s="13"/>
      <c r="D93" s="676"/>
      <c r="E93" s="646"/>
      <c r="F93" s="649"/>
      <c r="G93" s="729"/>
      <c r="H93" s="672"/>
      <c r="I93" s="672" t="s">
        <v>485</v>
      </c>
      <c r="J93" s="752"/>
      <c r="K93" s="623"/>
      <c r="L93" s="732"/>
      <c r="M93" s="629"/>
      <c r="N93" s="636"/>
      <c r="O93" s="637"/>
      <c r="P93" s="637"/>
      <c r="Q93" s="637"/>
      <c r="R93" s="637"/>
      <c r="S93" s="638"/>
      <c r="U93" s="13"/>
    </row>
    <row r="94" spans="2:21" ht="27.95" customHeight="1" x14ac:dyDescent="0.25">
      <c r="B94" s="13"/>
      <c r="D94" s="663" t="s">
        <v>125</v>
      </c>
      <c r="E94" s="741" t="s">
        <v>126</v>
      </c>
      <c r="F94" s="667">
        <v>3</v>
      </c>
      <c r="G94" s="743" t="s">
        <v>35</v>
      </c>
      <c r="H94" s="746" t="s">
        <v>45</v>
      </c>
      <c r="I94" s="682" t="s">
        <v>486</v>
      </c>
      <c r="J94" s="702"/>
      <c r="K94" s="934" t="s">
        <v>267</v>
      </c>
      <c r="L94" s="730" t="s">
        <v>13</v>
      </c>
      <c r="M94" s="689" t="s">
        <v>13</v>
      </c>
      <c r="N94" s="658" t="s">
        <v>13</v>
      </c>
      <c r="O94" s="659"/>
      <c r="P94" s="659"/>
      <c r="Q94" s="659"/>
      <c r="R94" s="659"/>
      <c r="S94" s="660"/>
      <c r="U94" s="13"/>
    </row>
    <row r="95" spans="2:21" x14ac:dyDescent="0.25">
      <c r="B95" s="13"/>
      <c r="D95" s="642"/>
      <c r="E95" s="742"/>
      <c r="F95" s="648"/>
      <c r="G95" s="744"/>
      <c r="H95" s="747"/>
      <c r="I95" s="682" t="s">
        <v>477</v>
      </c>
      <c r="J95" s="702"/>
      <c r="K95" s="640"/>
      <c r="L95" s="731"/>
      <c r="M95" s="628"/>
      <c r="N95" s="633"/>
      <c r="O95" s="634"/>
      <c r="P95" s="634"/>
      <c r="Q95" s="634"/>
      <c r="R95" s="634"/>
      <c r="S95" s="635"/>
      <c r="U95" s="13"/>
    </row>
    <row r="96" spans="2:21" x14ac:dyDescent="0.25">
      <c r="B96" s="13"/>
      <c r="D96" s="642"/>
      <c r="E96" s="742"/>
      <c r="F96" s="648"/>
      <c r="G96" s="744"/>
      <c r="H96" s="747"/>
      <c r="I96" s="682" t="s">
        <v>478</v>
      </c>
      <c r="J96" s="702"/>
      <c r="K96" s="640"/>
      <c r="L96" s="731"/>
      <c r="M96" s="628"/>
      <c r="N96" s="633"/>
      <c r="O96" s="634"/>
      <c r="P96" s="634"/>
      <c r="Q96" s="634"/>
      <c r="R96" s="634"/>
      <c r="S96" s="635"/>
      <c r="U96" s="13"/>
    </row>
    <row r="97" spans="2:21" x14ac:dyDescent="0.25">
      <c r="B97" s="13"/>
      <c r="D97" s="643"/>
      <c r="E97" s="734"/>
      <c r="F97" s="649"/>
      <c r="G97" s="745"/>
      <c r="H97" s="748"/>
      <c r="I97" s="683" t="s">
        <v>263</v>
      </c>
      <c r="J97" s="751"/>
      <c r="K97" s="753"/>
      <c r="L97" s="732"/>
      <c r="M97" s="629"/>
      <c r="N97" s="636"/>
      <c r="O97" s="637"/>
      <c r="P97" s="637"/>
      <c r="Q97" s="637"/>
      <c r="R97" s="637"/>
      <c r="S97" s="638"/>
      <c r="U97" s="13"/>
    </row>
    <row r="98" spans="2:21" ht="42" customHeight="1" x14ac:dyDescent="0.25">
      <c r="B98" s="13"/>
      <c r="D98" s="789" t="s">
        <v>46</v>
      </c>
      <c r="E98" s="791" t="s">
        <v>6</v>
      </c>
      <c r="F98" s="846">
        <v>4</v>
      </c>
      <c r="G98" s="795" t="s">
        <v>44</v>
      </c>
      <c r="H98" s="612" t="s">
        <v>71</v>
      </c>
      <c r="I98" s="709" t="s">
        <v>231</v>
      </c>
      <c r="J98" s="710"/>
      <c r="K98" s="544" t="s">
        <v>12</v>
      </c>
      <c r="L98" s="797" t="s">
        <v>13</v>
      </c>
      <c r="M98" s="593" t="s">
        <v>13</v>
      </c>
      <c r="N98" s="593" t="s">
        <v>13</v>
      </c>
      <c r="O98" s="593"/>
      <c r="P98" s="593"/>
      <c r="Q98" s="593"/>
      <c r="R98" s="593"/>
      <c r="S98" s="594"/>
      <c r="U98" s="13"/>
    </row>
    <row r="99" spans="2:21" x14ac:dyDescent="0.25">
      <c r="B99" s="13"/>
      <c r="D99" s="663"/>
      <c r="E99" s="677"/>
      <c r="F99" s="764"/>
      <c r="G99" s="777"/>
      <c r="H99" s="725"/>
      <c r="I99" s="709" t="s">
        <v>232</v>
      </c>
      <c r="J99" s="710"/>
      <c r="K99" s="660"/>
      <c r="L99" s="688"/>
      <c r="M99" s="689"/>
      <c r="N99" s="689"/>
      <c r="O99" s="689"/>
      <c r="P99" s="689"/>
      <c r="Q99" s="689"/>
      <c r="R99" s="689"/>
      <c r="S99" s="938"/>
      <c r="U99" s="13"/>
    </row>
    <row r="100" spans="2:21" ht="15" customHeight="1" thickBot="1" x14ac:dyDescent="0.3">
      <c r="B100" s="13"/>
      <c r="D100" s="790"/>
      <c r="E100" s="792"/>
      <c r="F100" s="847"/>
      <c r="G100" s="796"/>
      <c r="H100" s="599"/>
      <c r="I100" s="711" t="s">
        <v>215</v>
      </c>
      <c r="J100" s="712"/>
      <c r="K100" s="551"/>
      <c r="L100" s="798"/>
      <c r="M100" s="601"/>
      <c r="N100" s="601"/>
      <c r="O100" s="601"/>
      <c r="P100" s="601"/>
      <c r="Q100" s="601"/>
      <c r="R100" s="601"/>
      <c r="S100" s="602"/>
      <c r="U100" s="13"/>
    </row>
    <row r="101" spans="2:21" ht="20.100000000000001" customHeight="1" x14ac:dyDescent="0.25">
      <c r="B101" s="13"/>
      <c r="U101" s="13"/>
    </row>
    <row r="102" spans="2:21" ht="20.100000000000001" customHeight="1" thickBot="1" x14ac:dyDescent="0.3">
      <c r="B102" s="13"/>
      <c r="C102" s="26"/>
      <c r="D102" s="26"/>
      <c r="E102" s="552" t="str">
        <f>IF(OR(L89="-",L89= ""),H89,L89)</f>
        <v>Dungeon Lords</v>
      </c>
      <c r="F102" s="552"/>
      <c r="G102" s="552"/>
      <c r="H102" s="552"/>
      <c r="I102" s="552"/>
      <c r="J102" s="552"/>
      <c r="K102" s="552"/>
      <c r="L102" s="552"/>
      <c r="M102" s="552"/>
      <c r="N102" s="552"/>
      <c r="O102" s="199"/>
      <c r="P102" s="199"/>
      <c r="Q102" s="199"/>
      <c r="R102" s="199"/>
      <c r="S102" s="199"/>
      <c r="T102" s="26"/>
      <c r="U102" s="13"/>
    </row>
    <row r="103" spans="2:21" ht="50.1" customHeight="1" thickBot="1" x14ac:dyDescent="0.3">
      <c r="B103" s="13"/>
      <c r="C103" s="26"/>
      <c r="D103" s="199"/>
      <c r="E103" s="88" t="s">
        <v>10</v>
      </c>
      <c r="F103" s="125" t="s">
        <v>52</v>
      </c>
      <c r="G103" s="89" t="s">
        <v>14</v>
      </c>
      <c r="H103" s="200" t="s">
        <v>51</v>
      </c>
      <c r="I103" s="18" t="s">
        <v>54</v>
      </c>
      <c r="J103" s="200" t="s">
        <v>53</v>
      </c>
      <c r="K103" s="206" t="s">
        <v>28</v>
      </c>
      <c r="L103" s="200" t="s">
        <v>37</v>
      </c>
      <c r="M103" s="204" t="s">
        <v>16</v>
      </c>
      <c r="N103" s="89" t="s">
        <v>15</v>
      </c>
      <c r="O103" s="5" t="s">
        <v>30</v>
      </c>
      <c r="P103" s="7" t="s">
        <v>34</v>
      </c>
      <c r="Q103" s="7" t="s">
        <v>31</v>
      </c>
      <c r="R103" s="19" t="s">
        <v>32</v>
      </c>
      <c r="S103" s="199"/>
      <c r="T103" s="26"/>
      <c r="U103" s="13"/>
    </row>
    <row r="104" spans="2:21" ht="20.100000000000001" customHeight="1" x14ac:dyDescent="0.25">
      <c r="B104" s="13"/>
      <c r="C104" s="26"/>
      <c r="D104" s="68"/>
      <c r="E104" s="327" t="s">
        <v>114</v>
      </c>
      <c r="F104" s="272" t="s">
        <v>102</v>
      </c>
      <c r="G104" s="157">
        <v>4</v>
      </c>
      <c r="H104" s="157" t="s">
        <v>13</v>
      </c>
      <c r="I104" s="157">
        <v>6</v>
      </c>
      <c r="J104" s="103">
        <v>25</v>
      </c>
      <c r="K104" s="157" t="s">
        <v>13</v>
      </c>
      <c r="L104" s="36">
        <f>IF(J104="",0,(J104/J108)*100)</f>
        <v>100</v>
      </c>
      <c r="M104" s="157">
        <v>1</v>
      </c>
      <c r="N104" s="99">
        <v>6</v>
      </c>
      <c r="O104" s="57">
        <f>IF(M104=1,1,0)</f>
        <v>1</v>
      </c>
      <c r="P104" s="209">
        <f>IF(M104=2,1,0)</f>
        <v>0</v>
      </c>
      <c r="Q104" s="209">
        <f>IF(M104=3,1,0)</f>
        <v>0</v>
      </c>
      <c r="R104" s="8">
        <f>IF(M104=4,1,0)</f>
        <v>0</v>
      </c>
      <c r="S104" s="198"/>
      <c r="T104" s="26"/>
      <c r="U104" s="13"/>
    </row>
    <row r="105" spans="2:21" ht="20.100000000000001" customHeight="1" x14ac:dyDescent="0.25">
      <c r="B105" s="13"/>
      <c r="C105" s="26"/>
      <c r="D105" s="26"/>
      <c r="E105" s="303" t="s">
        <v>47</v>
      </c>
      <c r="F105" s="247" t="s">
        <v>64</v>
      </c>
      <c r="G105" s="47">
        <v>1</v>
      </c>
      <c r="H105" s="47" t="s">
        <v>13</v>
      </c>
      <c r="I105" s="47">
        <v>6</v>
      </c>
      <c r="J105" s="100">
        <v>-11</v>
      </c>
      <c r="K105" s="100" t="s">
        <v>13</v>
      </c>
      <c r="L105" s="48">
        <f>IF(J105="",0,(J105/J108)*100)</f>
        <v>-44</v>
      </c>
      <c r="M105" s="47">
        <v>3</v>
      </c>
      <c r="N105" s="60">
        <v>1</v>
      </c>
      <c r="O105" s="205">
        <f>IF(M105=1,1,0)</f>
        <v>0</v>
      </c>
      <c r="P105" s="207">
        <f>IF(M105=2,1,0)</f>
        <v>0</v>
      </c>
      <c r="Q105" s="207">
        <f>IF(M105=3,1,0)</f>
        <v>1</v>
      </c>
      <c r="R105" s="9">
        <f>IF(M105=4,1,0)</f>
        <v>0</v>
      </c>
      <c r="S105" s="198"/>
      <c r="T105" s="26"/>
      <c r="U105" s="13"/>
    </row>
    <row r="106" spans="2:21" ht="20.100000000000001" customHeight="1" x14ac:dyDescent="0.25">
      <c r="B106" s="13"/>
      <c r="C106" s="26"/>
      <c r="D106" s="26"/>
      <c r="E106" s="303" t="s">
        <v>125</v>
      </c>
      <c r="F106" s="247" t="s">
        <v>126</v>
      </c>
      <c r="G106" s="47">
        <v>2</v>
      </c>
      <c r="H106" s="47" t="s">
        <v>13</v>
      </c>
      <c r="I106" s="47">
        <v>6</v>
      </c>
      <c r="J106" s="100">
        <v>14</v>
      </c>
      <c r="K106" s="47" t="s">
        <v>13</v>
      </c>
      <c r="L106" s="48">
        <f>IF(J106="",0,(J106/J108)*100)</f>
        <v>56.000000000000007</v>
      </c>
      <c r="M106" s="47">
        <v>2</v>
      </c>
      <c r="N106" s="60">
        <v>3</v>
      </c>
      <c r="O106" s="205">
        <f>IF(M106=1,1,0)</f>
        <v>0</v>
      </c>
      <c r="P106" s="207">
        <f>IF(M106=2,1,0)</f>
        <v>1</v>
      </c>
      <c r="Q106" s="207">
        <f>IF(M106=3,1,0)</f>
        <v>0</v>
      </c>
      <c r="R106" s="9">
        <f>IF(M106=4,1,0)</f>
        <v>0</v>
      </c>
      <c r="S106" s="198"/>
      <c r="T106" s="26"/>
      <c r="U106" s="13"/>
    </row>
    <row r="107" spans="2:21" ht="20.100000000000001" customHeight="1" thickBot="1" x14ac:dyDescent="0.3">
      <c r="B107" s="13"/>
      <c r="C107" s="26"/>
      <c r="D107" s="26"/>
      <c r="E107" s="354" t="s">
        <v>46</v>
      </c>
      <c r="F107" s="255" t="s">
        <v>6</v>
      </c>
      <c r="G107" s="150">
        <v>3</v>
      </c>
      <c r="H107" s="107" t="s">
        <v>13</v>
      </c>
      <c r="I107" s="150">
        <v>6</v>
      </c>
      <c r="J107" s="107">
        <v>-20</v>
      </c>
      <c r="K107" s="107" t="s">
        <v>13</v>
      </c>
      <c r="L107" s="17">
        <f>IF(J107="",0,(J107/J108)*100)</f>
        <v>-80</v>
      </c>
      <c r="M107" s="150">
        <v>4</v>
      </c>
      <c r="N107" s="59">
        <v>0</v>
      </c>
      <c r="O107" s="58">
        <f>IF(M107=1,1,0)</f>
        <v>0</v>
      </c>
      <c r="P107" s="208">
        <f>IF(M107=2,1,0)</f>
        <v>0</v>
      </c>
      <c r="Q107" s="208">
        <f>IF(M107=3,1,0)</f>
        <v>0</v>
      </c>
      <c r="R107" s="10">
        <f>IF(M107=4,1,0)</f>
        <v>1</v>
      </c>
      <c r="S107" s="198"/>
      <c r="T107" s="26"/>
      <c r="U107" s="13"/>
    </row>
    <row r="108" spans="2:21" ht="20.100000000000001" hidden="1" customHeight="1" outlineLevel="1" thickBot="1" x14ac:dyDescent="0.3">
      <c r="B108" s="13"/>
      <c r="C108" s="26"/>
      <c r="D108" s="68"/>
      <c r="E108" s="68"/>
      <c r="F108" s="553"/>
      <c r="G108" s="553"/>
      <c r="H108" s="26"/>
      <c r="I108" s="64" t="s">
        <v>29</v>
      </c>
      <c r="J108" s="23">
        <f>MAX(J104:J107)</f>
        <v>25</v>
      </c>
      <c r="K108" s="70"/>
      <c r="L108" s="69"/>
      <c r="M108" s="26"/>
      <c r="N108" s="63" t="s">
        <v>33</v>
      </c>
      <c r="O108" s="20">
        <f>SUM(O104:O107)</f>
        <v>1</v>
      </c>
      <c r="P108" s="21">
        <f>SUM(P104:P107)</f>
        <v>1</v>
      </c>
      <c r="Q108" s="20">
        <f>SUM(Q104:Q107)</f>
        <v>1</v>
      </c>
      <c r="R108" s="22">
        <f>SUM(R104:R107)</f>
        <v>1</v>
      </c>
      <c r="S108" s="69"/>
      <c r="T108" s="26"/>
      <c r="U108" s="13"/>
    </row>
    <row r="109" spans="2:21" ht="20.100000000000001" customHeight="1" collapsed="1" x14ac:dyDescent="0.25">
      <c r="B109" s="13"/>
      <c r="C109" s="26"/>
      <c r="D109" s="26"/>
      <c r="E109" s="26"/>
      <c r="F109" s="26"/>
      <c r="G109" s="26"/>
      <c r="H109" s="26"/>
      <c r="I109" s="26"/>
      <c r="J109" s="26"/>
      <c r="K109" s="26"/>
      <c r="L109" s="26"/>
      <c r="M109" s="26"/>
      <c r="N109" s="26"/>
      <c r="O109" s="26"/>
      <c r="P109" s="26"/>
      <c r="Q109" s="26"/>
      <c r="R109" s="26"/>
      <c r="S109" s="26"/>
      <c r="T109" s="26"/>
      <c r="U109" s="13"/>
    </row>
    <row r="110" spans="2:21" ht="20.100000000000001" customHeight="1" x14ac:dyDescent="0.25">
      <c r="B110" s="13"/>
      <c r="U110" s="13"/>
    </row>
    <row r="111" spans="2:21" ht="20.100000000000001" customHeight="1" thickBot="1" x14ac:dyDescent="0.3">
      <c r="B111" s="13"/>
      <c r="C111" s="27"/>
      <c r="D111" s="27"/>
      <c r="E111" s="554" t="str">
        <f>IF(OR(L91="-",L91= ""),H91,L91)</f>
        <v>Catan - Das Spiel</v>
      </c>
      <c r="F111" s="554"/>
      <c r="G111" s="554"/>
      <c r="H111" s="554"/>
      <c r="I111" s="554"/>
      <c r="J111" s="554"/>
      <c r="K111" s="554"/>
      <c r="L111" s="554"/>
      <c r="M111" s="554"/>
      <c r="N111" s="554"/>
      <c r="O111" s="197"/>
      <c r="P111" s="197"/>
      <c r="Q111" s="197"/>
      <c r="R111" s="197"/>
      <c r="S111" s="197"/>
      <c r="T111" s="27"/>
      <c r="U111" s="13"/>
    </row>
    <row r="112" spans="2:21" ht="50.1" customHeight="1" thickBot="1" x14ac:dyDescent="0.3">
      <c r="B112" s="13"/>
      <c r="C112" s="27"/>
      <c r="D112" s="197"/>
      <c r="E112" s="88" t="s">
        <v>10</v>
      </c>
      <c r="F112" s="125" t="s">
        <v>52</v>
      </c>
      <c r="G112" s="89" t="s">
        <v>14</v>
      </c>
      <c r="H112" s="200" t="s">
        <v>51</v>
      </c>
      <c r="I112" s="18" t="s">
        <v>54</v>
      </c>
      <c r="J112" s="200" t="s">
        <v>53</v>
      </c>
      <c r="K112" s="206" t="s">
        <v>28</v>
      </c>
      <c r="L112" s="200" t="s">
        <v>37</v>
      </c>
      <c r="M112" s="204" t="s">
        <v>16</v>
      </c>
      <c r="N112" s="89" t="s">
        <v>15</v>
      </c>
      <c r="O112" s="5" t="s">
        <v>30</v>
      </c>
      <c r="P112" s="7" t="s">
        <v>34</v>
      </c>
      <c r="Q112" s="7" t="s">
        <v>31</v>
      </c>
      <c r="R112" s="19" t="s">
        <v>32</v>
      </c>
      <c r="S112" s="197"/>
      <c r="T112" s="27"/>
      <c r="U112" s="13"/>
    </row>
    <row r="113" spans="2:21" ht="20.100000000000001" customHeight="1" x14ac:dyDescent="0.25">
      <c r="B113" s="13"/>
      <c r="C113" s="27"/>
      <c r="D113" s="67"/>
      <c r="E113" s="327" t="s">
        <v>114</v>
      </c>
      <c r="F113" s="272" t="s">
        <v>102</v>
      </c>
      <c r="G113" s="157">
        <v>1</v>
      </c>
      <c r="H113" s="103" t="s">
        <v>13</v>
      </c>
      <c r="I113" s="157">
        <v>0</v>
      </c>
      <c r="J113" s="103">
        <v>10</v>
      </c>
      <c r="K113" s="343" t="s">
        <v>13</v>
      </c>
      <c r="L113" s="36">
        <f>IF(J113="",0,(J113/J117)*100)</f>
        <v>100</v>
      </c>
      <c r="M113" s="157">
        <v>1</v>
      </c>
      <c r="N113" s="99">
        <v>6</v>
      </c>
      <c r="O113" s="57">
        <f>IF(M113=1,1,0)</f>
        <v>1</v>
      </c>
      <c r="P113" s="209">
        <f>IF(M113=2,1,0)</f>
        <v>0</v>
      </c>
      <c r="Q113" s="209">
        <f>IF(M113=3,1,0)</f>
        <v>0</v>
      </c>
      <c r="R113" s="8">
        <f>IF(M113=4,1,0)</f>
        <v>0</v>
      </c>
      <c r="S113" s="203"/>
      <c r="T113" s="27"/>
      <c r="U113" s="13"/>
    </row>
    <row r="114" spans="2:21" ht="20.100000000000001" customHeight="1" x14ac:dyDescent="0.25">
      <c r="B114" s="13"/>
      <c r="C114" s="27"/>
      <c r="D114" s="27"/>
      <c r="E114" s="303" t="s">
        <v>47</v>
      </c>
      <c r="F114" s="247" t="s">
        <v>64</v>
      </c>
      <c r="G114" s="47">
        <v>3</v>
      </c>
      <c r="H114" s="100" t="s">
        <v>13</v>
      </c>
      <c r="I114" s="47">
        <v>0</v>
      </c>
      <c r="J114" s="100">
        <v>7</v>
      </c>
      <c r="K114" s="100" t="s">
        <v>13</v>
      </c>
      <c r="L114" s="48">
        <f>IF(J114="",0,(J114/J117)*100)</f>
        <v>70</v>
      </c>
      <c r="M114" s="47">
        <v>2</v>
      </c>
      <c r="N114" s="60">
        <v>2</v>
      </c>
      <c r="O114" s="205">
        <f>IF(M114=1,1,0)</f>
        <v>0</v>
      </c>
      <c r="P114" s="207">
        <f>IF(M114=2,1,0)</f>
        <v>1</v>
      </c>
      <c r="Q114" s="207">
        <f>IF(M114=3,1,0)</f>
        <v>0</v>
      </c>
      <c r="R114" s="9">
        <f>IF(M114=4,1,0)</f>
        <v>0</v>
      </c>
      <c r="S114" s="203"/>
      <c r="T114" s="27"/>
      <c r="U114" s="13"/>
    </row>
    <row r="115" spans="2:21" ht="20.100000000000001" customHeight="1" x14ac:dyDescent="0.25">
      <c r="B115" s="13"/>
      <c r="C115" s="27"/>
      <c r="D115" s="67"/>
      <c r="E115" s="303" t="s">
        <v>125</v>
      </c>
      <c r="F115" s="247" t="s">
        <v>126</v>
      </c>
      <c r="G115" s="47">
        <v>4</v>
      </c>
      <c r="H115" s="100" t="s">
        <v>13</v>
      </c>
      <c r="I115" s="47">
        <v>0</v>
      </c>
      <c r="J115" s="100">
        <v>5</v>
      </c>
      <c r="K115" s="239" t="s">
        <v>13</v>
      </c>
      <c r="L115" s="48">
        <f>IF(J115="",0,(J115/J117)*100)</f>
        <v>50</v>
      </c>
      <c r="M115" s="47">
        <v>4</v>
      </c>
      <c r="N115" s="60">
        <v>0</v>
      </c>
      <c r="O115" s="205">
        <f>IF(M115=1,1,0)</f>
        <v>0</v>
      </c>
      <c r="P115" s="207">
        <f>IF(M115=2,1,0)</f>
        <v>0</v>
      </c>
      <c r="Q115" s="207">
        <f>IF(M115=3,1,0)</f>
        <v>0</v>
      </c>
      <c r="R115" s="9">
        <f>IF(M115=4,1,0)</f>
        <v>1</v>
      </c>
      <c r="S115" s="203"/>
      <c r="T115" s="27"/>
      <c r="U115" s="13"/>
    </row>
    <row r="116" spans="2:21" ht="20.100000000000001" customHeight="1" thickBot="1" x14ac:dyDescent="0.3">
      <c r="B116" s="13"/>
      <c r="C116" s="27"/>
      <c r="D116" s="27"/>
      <c r="E116" s="354" t="s">
        <v>46</v>
      </c>
      <c r="F116" s="255" t="s">
        <v>6</v>
      </c>
      <c r="G116" s="150">
        <v>2</v>
      </c>
      <c r="H116" s="107" t="s">
        <v>13</v>
      </c>
      <c r="I116" s="150">
        <v>0</v>
      </c>
      <c r="J116" s="107">
        <v>7</v>
      </c>
      <c r="K116" s="107" t="s">
        <v>13</v>
      </c>
      <c r="L116" s="17">
        <f>IF(J116="",0,(J116/J117)*100)</f>
        <v>70</v>
      </c>
      <c r="M116" s="150">
        <v>2</v>
      </c>
      <c r="N116" s="59">
        <v>2</v>
      </c>
      <c r="O116" s="58">
        <f>IF(M116=1,1,0)</f>
        <v>0</v>
      </c>
      <c r="P116" s="208">
        <f>IF(M116=2,1,0)</f>
        <v>1</v>
      </c>
      <c r="Q116" s="208">
        <f>IF(M116=3,1,0)</f>
        <v>0</v>
      </c>
      <c r="R116" s="10">
        <f>IF(M116=4,1,0)</f>
        <v>0</v>
      </c>
      <c r="S116" s="203"/>
      <c r="T116" s="27"/>
      <c r="U116" s="13"/>
    </row>
    <row r="117" spans="2:21" ht="20.100000000000001" hidden="1" customHeight="1" outlineLevel="1" x14ac:dyDescent="0.25">
      <c r="B117" s="13"/>
      <c r="C117" s="27"/>
      <c r="D117" s="27"/>
      <c r="E117" s="67"/>
      <c r="F117" s="882"/>
      <c r="G117" s="882"/>
      <c r="H117" s="67"/>
      <c r="I117" s="415" t="s">
        <v>29</v>
      </c>
      <c r="J117" s="63">
        <f>MAX(J113:J116)</f>
        <v>10</v>
      </c>
      <c r="K117" s="416"/>
      <c r="L117" s="74"/>
      <c r="M117" s="67"/>
      <c r="N117" s="63" t="s">
        <v>33</v>
      </c>
      <c r="O117" s="20">
        <f>SUM(O113:O116)</f>
        <v>1</v>
      </c>
      <c r="P117" s="21">
        <f>SUM(P113:P116)</f>
        <v>2</v>
      </c>
      <c r="Q117" s="20">
        <f>SUM(Q113:Q116)</f>
        <v>0</v>
      </c>
      <c r="R117" s="22">
        <f>SUM(R113:R116)</f>
        <v>1</v>
      </c>
      <c r="S117" s="74"/>
      <c r="T117" s="27"/>
      <c r="U117" s="13"/>
    </row>
    <row r="118" spans="2:21" ht="20.100000000000001" customHeight="1" collapsed="1" x14ac:dyDescent="0.25">
      <c r="B118" s="13"/>
      <c r="C118" s="27"/>
      <c r="D118" s="27"/>
      <c r="E118" s="27"/>
      <c r="F118" s="27"/>
      <c r="G118" s="27"/>
      <c r="H118" s="27"/>
      <c r="I118" s="27"/>
      <c r="J118" s="27"/>
      <c r="K118" s="27"/>
      <c r="L118" s="27"/>
      <c r="M118" s="27"/>
      <c r="N118" s="27"/>
      <c r="O118" s="27"/>
      <c r="P118" s="27"/>
      <c r="Q118" s="27"/>
      <c r="R118" s="27"/>
      <c r="S118" s="27"/>
      <c r="T118" s="27"/>
      <c r="U118" s="13"/>
    </row>
    <row r="119" spans="2:21" ht="20.100000000000001" customHeight="1" x14ac:dyDescent="0.25">
      <c r="B119" s="13"/>
      <c r="D119" s="28"/>
      <c r="E119" s="28"/>
      <c r="F119" s="28"/>
      <c r="G119" s="28"/>
      <c r="H119" s="29"/>
      <c r="I119" s="28"/>
      <c r="J119" s="28"/>
      <c r="U119" s="13"/>
    </row>
    <row r="120" spans="2:21" ht="20.100000000000001" customHeight="1" thickBot="1" x14ac:dyDescent="0.3">
      <c r="B120" s="13"/>
      <c r="C120" s="30"/>
      <c r="D120" s="30"/>
      <c r="E120" s="532" t="str">
        <f>IF(OR(M94="-",M94= ""),H94,M94)</f>
        <v>Orakel von Delphi</v>
      </c>
      <c r="F120" s="532"/>
      <c r="G120" s="532"/>
      <c r="H120" s="532"/>
      <c r="I120" s="532"/>
      <c r="J120" s="532"/>
      <c r="K120" s="532"/>
      <c r="L120" s="532"/>
      <c r="M120" s="532"/>
      <c r="N120" s="532"/>
      <c r="O120" s="196"/>
      <c r="P120" s="196"/>
      <c r="Q120" s="196"/>
      <c r="R120" s="196"/>
      <c r="S120" s="196"/>
      <c r="T120" s="30"/>
      <c r="U120" s="14"/>
    </row>
    <row r="121" spans="2:21" ht="50.1" customHeight="1" thickBot="1" x14ac:dyDescent="0.3">
      <c r="B121" s="13"/>
      <c r="C121" s="30"/>
      <c r="D121" s="196"/>
      <c r="E121" s="88" t="s">
        <v>10</v>
      </c>
      <c r="F121" s="125" t="s">
        <v>52</v>
      </c>
      <c r="G121" s="89" t="s">
        <v>14</v>
      </c>
      <c r="H121" s="200" t="s">
        <v>51</v>
      </c>
      <c r="I121" s="18" t="s">
        <v>54</v>
      </c>
      <c r="J121" s="200" t="s">
        <v>53</v>
      </c>
      <c r="K121" s="206" t="s">
        <v>28</v>
      </c>
      <c r="L121" s="200" t="s">
        <v>37</v>
      </c>
      <c r="M121" s="204" t="s">
        <v>16</v>
      </c>
      <c r="N121" s="89" t="s">
        <v>15</v>
      </c>
      <c r="O121" s="5" t="s">
        <v>30</v>
      </c>
      <c r="P121" s="7" t="s">
        <v>34</v>
      </c>
      <c r="Q121" s="7" t="s">
        <v>31</v>
      </c>
      <c r="R121" s="19" t="s">
        <v>32</v>
      </c>
      <c r="S121" s="196"/>
      <c r="T121" s="30"/>
      <c r="U121" s="14"/>
    </row>
    <row r="122" spans="2:21" ht="45" x14ac:dyDescent="0.25">
      <c r="B122" s="13"/>
      <c r="C122" s="30"/>
      <c r="D122" s="66"/>
      <c r="E122" s="365" t="s">
        <v>114</v>
      </c>
      <c r="F122" s="253" t="s">
        <v>102</v>
      </c>
      <c r="G122" s="49">
        <v>2</v>
      </c>
      <c r="H122" s="122" t="s">
        <v>277</v>
      </c>
      <c r="I122" s="49" t="s">
        <v>13</v>
      </c>
      <c r="J122" s="122" t="s">
        <v>122</v>
      </c>
      <c r="K122" s="50" t="s">
        <v>13</v>
      </c>
      <c r="L122" s="50">
        <f>(L105+L114+L133)/3</f>
        <v>37.360195360195362</v>
      </c>
      <c r="M122" s="49">
        <v>3</v>
      </c>
      <c r="N122" s="61">
        <v>1</v>
      </c>
      <c r="O122" s="57">
        <f>IF(M122=1,1,0)</f>
        <v>0</v>
      </c>
      <c r="P122" s="209">
        <f>IF(M122=2,1,0)</f>
        <v>0</v>
      </c>
      <c r="Q122" s="209">
        <f>IF(M122=3,1,0)</f>
        <v>1</v>
      </c>
      <c r="R122" s="8">
        <f>IF(M122=4,1,0)</f>
        <v>0</v>
      </c>
      <c r="S122" s="194"/>
      <c r="T122" s="30"/>
      <c r="U122" s="13"/>
    </row>
    <row r="123" spans="2:21" ht="30" x14ac:dyDescent="0.25">
      <c r="B123" s="13"/>
      <c r="C123" s="30"/>
      <c r="D123" s="30"/>
      <c r="E123" s="303" t="s">
        <v>47</v>
      </c>
      <c r="F123" s="247" t="s">
        <v>64</v>
      </c>
      <c r="G123" s="47">
        <v>3</v>
      </c>
      <c r="H123" s="100" t="s">
        <v>274</v>
      </c>
      <c r="I123" s="47" t="s">
        <v>13</v>
      </c>
      <c r="J123" s="100" t="s">
        <v>357</v>
      </c>
      <c r="K123" s="276" t="s">
        <v>13</v>
      </c>
      <c r="L123" s="48">
        <f>(L107+L115+L131)/3</f>
        <v>15.396825396825397</v>
      </c>
      <c r="M123" s="47">
        <v>4</v>
      </c>
      <c r="N123" s="60">
        <v>0</v>
      </c>
      <c r="O123" s="205">
        <f>IF(M123=1,1,0)</f>
        <v>0</v>
      </c>
      <c r="P123" s="207">
        <f>IF(M123=2,1,0)</f>
        <v>0</v>
      </c>
      <c r="Q123" s="207">
        <f>IF(M123=3,1,0)</f>
        <v>0</v>
      </c>
      <c r="R123" s="9">
        <f>IF(M123=4,1,0)</f>
        <v>1</v>
      </c>
      <c r="S123" s="194"/>
      <c r="T123" s="30"/>
      <c r="U123" s="31"/>
    </row>
    <row r="124" spans="2:21" ht="45" x14ac:dyDescent="0.25">
      <c r="B124" s="13"/>
      <c r="C124" s="30"/>
      <c r="D124" s="30"/>
      <c r="E124" s="303" t="s">
        <v>125</v>
      </c>
      <c r="F124" s="247" t="s">
        <v>126</v>
      </c>
      <c r="G124" s="47">
        <v>1</v>
      </c>
      <c r="H124" s="100" t="s">
        <v>272</v>
      </c>
      <c r="I124" s="47" t="s">
        <v>13</v>
      </c>
      <c r="J124" s="100" t="s">
        <v>120</v>
      </c>
      <c r="K124" s="276" t="s">
        <v>303</v>
      </c>
      <c r="L124" s="48">
        <f>(L106+L114+L132)/3</f>
        <v>71.670329670329679</v>
      </c>
      <c r="M124" s="47">
        <v>2</v>
      </c>
      <c r="N124" s="60">
        <v>3</v>
      </c>
      <c r="O124" s="205">
        <f>IF(M124=1,1,0)</f>
        <v>0</v>
      </c>
      <c r="P124" s="207">
        <f>IF(M124=2,1,0)</f>
        <v>1</v>
      </c>
      <c r="Q124" s="207">
        <f>IF(M124=3,1,0)</f>
        <v>0</v>
      </c>
      <c r="R124" s="9">
        <f>IF(M124=4,1,0)</f>
        <v>0</v>
      </c>
      <c r="S124" s="194"/>
      <c r="T124" s="30"/>
      <c r="U124" s="31"/>
    </row>
    <row r="125" spans="2:21" ht="45.75" thickBot="1" x14ac:dyDescent="0.3">
      <c r="B125" s="13"/>
      <c r="C125" s="30"/>
      <c r="D125" s="30"/>
      <c r="E125" s="310" t="s">
        <v>46</v>
      </c>
      <c r="F125" s="283" t="s">
        <v>6</v>
      </c>
      <c r="G125" s="284">
        <v>4</v>
      </c>
      <c r="H125" s="285" t="s">
        <v>273</v>
      </c>
      <c r="I125" s="284" t="s">
        <v>13</v>
      </c>
      <c r="J125" s="285" t="s">
        <v>120</v>
      </c>
      <c r="K125" s="286" t="s">
        <v>490</v>
      </c>
      <c r="L125" s="286">
        <v>100</v>
      </c>
      <c r="M125" s="284">
        <v>1</v>
      </c>
      <c r="N125" s="287">
        <v>6</v>
      </c>
      <c r="O125" s="58">
        <f>IF(M125=1,1,0)</f>
        <v>1</v>
      </c>
      <c r="P125" s="208">
        <f>IF(M125=2,1,0)</f>
        <v>0</v>
      </c>
      <c r="Q125" s="208">
        <f>IF(M125=3,1,0)</f>
        <v>0</v>
      </c>
      <c r="R125" s="10">
        <f>IF(M125=4,1,0)</f>
        <v>0</v>
      </c>
      <c r="S125" s="194"/>
      <c r="T125" s="30"/>
      <c r="U125" s="31"/>
    </row>
    <row r="126" spans="2:21" ht="20.100000000000001" hidden="1" customHeight="1" outlineLevel="1" x14ac:dyDescent="0.25">
      <c r="B126" s="13"/>
      <c r="C126" s="30"/>
      <c r="D126" s="30"/>
      <c r="E126" s="30"/>
      <c r="F126" s="533"/>
      <c r="G126" s="533"/>
      <c r="H126" s="30"/>
      <c r="I126" s="64" t="s">
        <v>29</v>
      </c>
      <c r="J126" s="23">
        <f>MAX(J122:J125)</f>
        <v>0</v>
      </c>
      <c r="K126" s="76"/>
      <c r="L126" s="194"/>
      <c r="M126" s="30"/>
      <c r="N126" s="63" t="s">
        <v>33</v>
      </c>
      <c r="O126" s="20">
        <f>SUM(O122:O125)</f>
        <v>1</v>
      </c>
      <c r="P126" s="21">
        <f>SUM(P122:P125)</f>
        <v>1</v>
      </c>
      <c r="Q126" s="20">
        <f>SUM(Q122:Q125)</f>
        <v>1</v>
      </c>
      <c r="R126" s="22">
        <f>SUM(R122:R125)</f>
        <v>1</v>
      </c>
      <c r="S126" s="77"/>
      <c r="T126" s="30"/>
      <c r="U126" s="31"/>
    </row>
    <row r="127" spans="2:21" ht="20.100000000000001" customHeight="1" collapsed="1" x14ac:dyDescent="0.25">
      <c r="B127" s="13"/>
      <c r="C127" s="30"/>
      <c r="D127" s="30"/>
      <c r="E127" s="30"/>
      <c r="F127" s="30"/>
      <c r="G127" s="30"/>
      <c r="H127" s="30"/>
      <c r="I127" s="30"/>
      <c r="J127" s="30"/>
      <c r="K127" s="30"/>
      <c r="L127" s="30"/>
      <c r="M127" s="30"/>
      <c r="N127" s="30"/>
      <c r="O127" s="30"/>
      <c r="P127" s="30"/>
      <c r="Q127" s="30"/>
      <c r="R127" s="30"/>
      <c r="S127" s="30"/>
      <c r="T127" s="30"/>
      <c r="U127" s="31"/>
    </row>
    <row r="128" spans="2:21" ht="20.100000000000001" customHeight="1" x14ac:dyDescent="0.25">
      <c r="B128" s="13"/>
      <c r="D128" s="28"/>
      <c r="E128" s="28"/>
      <c r="F128" s="28"/>
      <c r="G128" s="28"/>
      <c r="H128" s="29"/>
      <c r="I128" s="28"/>
      <c r="J128" s="28"/>
      <c r="K128" s="28"/>
      <c r="U128" s="13"/>
    </row>
    <row r="129" spans="2:31" ht="20.100000000000001" customHeight="1" thickBot="1" x14ac:dyDescent="0.3">
      <c r="B129" s="13"/>
      <c r="C129" s="32"/>
      <c r="D129" s="32"/>
      <c r="E129" s="534" t="str">
        <f>IF(OR(L98="-",L98= ""),H98,L98)</f>
        <v>Die Burgen von Burgund</v>
      </c>
      <c r="F129" s="534"/>
      <c r="G129" s="534"/>
      <c r="H129" s="534"/>
      <c r="I129" s="534"/>
      <c r="J129" s="534"/>
      <c r="K129" s="534"/>
      <c r="L129" s="534"/>
      <c r="M129" s="534"/>
      <c r="N129" s="534"/>
      <c r="O129" s="195"/>
      <c r="P129" s="195"/>
      <c r="Q129" s="195"/>
      <c r="R129" s="195"/>
      <c r="S129" s="195"/>
      <c r="T129" s="32"/>
      <c r="U129" s="13"/>
    </row>
    <row r="130" spans="2:31" ht="50.1" customHeight="1" thickBot="1" x14ac:dyDescent="0.3">
      <c r="B130" s="13"/>
      <c r="C130" s="32"/>
      <c r="D130" s="195"/>
      <c r="E130" s="88" t="s">
        <v>10</v>
      </c>
      <c r="F130" s="125" t="s">
        <v>52</v>
      </c>
      <c r="G130" s="89" t="s">
        <v>14</v>
      </c>
      <c r="H130" s="200" t="s">
        <v>51</v>
      </c>
      <c r="I130" s="18" t="s">
        <v>54</v>
      </c>
      <c r="J130" s="200" t="s">
        <v>53</v>
      </c>
      <c r="K130" s="206" t="s">
        <v>28</v>
      </c>
      <c r="L130" s="200" t="s">
        <v>37</v>
      </c>
      <c r="M130" s="204" t="s">
        <v>16</v>
      </c>
      <c r="N130" s="89" t="s">
        <v>15</v>
      </c>
      <c r="O130" s="5" t="s">
        <v>30</v>
      </c>
      <c r="P130" s="7" t="s">
        <v>34</v>
      </c>
      <c r="Q130" s="7" t="s">
        <v>31</v>
      </c>
      <c r="R130" s="19" t="s">
        <v>32</v>
      </c>
      <c r="S130" s="195"/>
      <c r="T130" s="32"/>
      <c r="U130" s="13"/>
    </row>
    <row r="131" spans="2:31" ht="20.100000000000001" customHeight="1" x14ac:dyDescent="0.25">
      <c r="B131" s="13"/>
      <c r="C131" s="32"/>
      <c r="D131" s="32"/>
      <c r="E131" s="365" t="s">
        <v>114</v>
      </c>
      <c r="F131" s="253" t="s">
        <v>102</v>
      </c>
      <c r="G131" s="49">
        <v>2</v>
      </c>
      <c r="H131" s="49" t="s">
        <v>219</v>
      </c>
      <c r="I131" s="49">
        <v>0</v>
      </c>
      <c r="J131" s="122">
        <v>208</v>
      </c>
      <c r="K131" s="49" t="s">
        <v>13</v>
      </c>
      <c r="L131" s="50">
        <f>IF(J131="",0,(J131/J135)*100)</f>
        <v>76.19047619047619</v>
      </c>
      <c r="M131" s="49">
        <v>4</v>
      </c>
      <c r="N131" s="61">
        <v>0</v>
      </c>
      <c r="O131" s="57">
        <f>IF(M131=1,1,0)</f>
        <v>0</v>
      </c>
      <c r="P131" s="209">
        <f>IF(M131=2,1,0)</f>
        <v>0</v>
      </c>
      <c r="Q131" s="209">
        <f>IF(M131=3,1,0)</f>
        <v>0</v>
      </c>
      <c r="R131" s="8">
        <f>IF(M131=4,1,0)</f>
        <v>1</v>
      </c>
      <c r="S131" s="201"/>
      <c r="T131" s="32"/>
      <c r="U131" s="13"/>
    </row>
    <row r="132" spans="2:31" ht="20.100000000000001" customHeight="1" x14ac:dyDescent="0.25">
      <c r="B132" s="13"/>
      <c r="C132" s="32"/>
      <c r="D132" s="32"/>
      <c r="E132" s="303" t="s">
        <v>47</v>
      </c>
      <c r="F132" s="247" t="s">
        <v>64</v>
      </c>
      <c r="G132" s="47">
        <v>3</v>
      </c>
      <c r="H132" s="47" t="s">
        <v>167</v>
      </c>
      <c r="I132" s="47">
        <v>0</v>
      </c>
      <c r="J132" s="100">
        <v>243</v>
      </c>
      <c r="K132" s="100" t="s">
        <v>13</v>
      </c>
      <c r="L132" s="48">
        <f>IF(J132="",0,(J132/J135)*100)</f>
        <v>89.010989010989007</v>
      </c>
      <c r="M132" s="47">
        <v>2</v>
      </c>
      <c r="N132" s="60">
        <v>3</v>
      </c>
      <c r="O132" s="205">
        <f>IF(M132=1,1,0)</f>
        <v>0</v>
      </c>
      <c r="P132" s="207">
        <f>IF(M132=2,1,0)</f>
        <v>1</v>
      </c>
      <c r="Q132" s="207">
        <f>IF(M132=3,1,0)</f>
        <v>0</v>
      </c>
      <c r="R132" s="9">
        <f>IF(M132=4,1,0)</f>
        <v>0</v>
      </c>
      <c r="S132" s="201"/>
      <c r="T132" s="32"/>
      <c r="U132" s="13"/>
    </row>
    <row r="133" spans="2:31" ht="20.100000000000001" customHeight="1" x14ac:dyDescent="0.25">
      <c r="B133" s="13"/>
      <c r="C133" s="32"/>
      <c r="D133" s="32"/>
      <c r="E133" s="303" t="s">
        <v>125</v>
      </c>
      <c r="F133" s="247" t="s">
        <v>126</v>
      </c>
      <c r="G133" s="47">
        <v>1</v>
      </c>
      <c r="H133" s="47" t="s">
        <v>163</v>
      </c>
      <c r="I133" s="47">
        <v>0</v>
      </c>
      <c r="J133" s="100">
        <v>235</v>
      </c>
      <c r="K133" s="47" t="s">
        <v>13</v>
      </c>
      <c r="L133" s="48">
        <f>IF(J133="",0,(J133/J135)*100)</f>
        <v>86.080586080586087</v>
      </c>
      <c r="M133" s="47">
        <v>3</v>
      </c>
      <c r="N133" s="60">
        <v>1</v>
      </c>
      <c r="O133" s="205">
        <f>IF(M133=1,1,0)</f>
        <v>0</v>
      </c>
      <c r="P133" s="207">
        <f>IF(M133=2,1,0)</f>
        <v>0</v>
      </c>
      <c r="Q133" s="207">
        <f>IF(M133=3,1,0)</f>
        <v>1</v>
      </c>
      <c r="R133" s="9">
        <f>IF(M133=4,1,0)</f>
        <v>0</v>
      </c>
      <c r="S133" s="201"/>
      <c r="T133" s="32"/>
      <c r="U133" s="13"/>
    </row>
    <row r="134" spans="2:31" ht="20.100000000000001" customHeight="1" thickBot="1" x14ac:dyDescent="0.3">
      <c r="B134" s="13"/>
      <c r="C134" s="32"/>
      <c r="D134" s="65"/>
      <c r="E134" s="310" t="s">
        <v>46</v>
      </c>
      <c r="F134" s="283" t="s">
        <v>6</v>
      </c>
      <c r="G134" s="284">
        <v>4</v>
      </c>
      <c r="H134" s="285" t="s">
        <v>238</v>
      </c>
      <c r="I134" s="284">
        <v>0</v>
      </c>
      <c r="J134" s="285">
        <v>273</v>
      </c>
      <c r="K134" s="285" t="s">
        <v>13</v>
      </c>
      <c r="L134" s="286">
        <f>IF(J134="",0,(J134/J135)*100)</f>
        <v>100</v>
      </c>
      <c r="M134" s="284">
        <v>1</v>
      </c>
      <c r="N134" s="287">
        <v>6</v>
      </c>
      <c r="O134" s="58">
        <f>IF(M134=1,1,0)</f>
        <v>1</v>
      </c>
      <c r="P134" s="208">
        <f>IF(M134=2,1,0)</f>
        <v>0</v>
      </c>
      <c r="Q134" s="208">
        <f>IF(M134=3,1,0)</f>
        <v>0</v>
      </c>
      <c r="R134" s="10">
        <f>IF(M134=4,1,0)</f>
        <v>0</v>
      </c>
      <c r="S134" s="201"/>
      <c r="T134" s="32"/>
      <c r="U134" s="13"/>
    </row>
    <row r="135" spans="2:31" ht="20.100000000000001" hidden="1" customHeight="1" outlineLevel="1" x14ac:dyDescent="0.25">
      <c r="B135" s="13"/>
      <c r="C135" s="32"/>
      <c r="D135" s="32"/>
      <c r="E135" s="32"/>
      <c r="F135" s="535"/>
      <c r="G135" s="535"/>
      <c r="H135" s="32"/>
      <c r="I135" s="64" t="s">
        <v>29</v>
      </c>
      <c r="J135" s="23">
        <f>MAX(J131:J134)</f>
        <v>273</v>
      </c>
      <c r="K135" s="78"/>
      <c r="L135" s="201"/>
      <c r="M135" s="32"/>
      <c r="N135" s="63" t="s">
        <v>33</v>
      </c>
      <c r="O135" s="20">
        <f>SUM(O131:O134)</f>
        <v>1</v>
      </c>
      <c r="P135" s="21">
        <f>SUM(P131:P134)</f>
        <v>1</v>
      </c>
      <c r="Q135" s="20">
        <f>SUM(Q131:Q134)</f>
        <v>1</v>
      </c>
      <c r="R135" s="22">
        <f>SUM(R131:R134)</f>
        <v>1</v>
      </c>
      <c r="S135" s="79"/>
      <c r="T135" s="32"/>
      <c r="U135" s="13"/>
    </row>
    <row r="136" spans="2:31" ht="20.100000000000001" customHeight="1" collapsed="1" x14ac:dyDescent="0.25">
      <c r="B136" s="13"/>
      <c r="C136" s="32"/>
      <c r="D136" s="32"/>
      <c r="E136" s="32"/>
      <c r="F136" s="32"/>
      <c r="G136" s="32"/>
      <c r="H136" s="32"/>
      <c r="I136" s="32"/>
      <c r="J136" s="32"/>
      <c r="K136" s="32"/>
      <c r="L136" s="32"/>
      <c r="M136" s="32"/>
      <c r="N136" s="32"/>
      <c r="O136" s="32"/>
      <c r="P136" s="32"/>
      <c r="Q136" s="32"/>
      <c r="R136" s="32"/>
      <c r="S136" s="32"/>
      <c r="T136" s="32"/>
      <c r="U136" s="13"/>
    </row>
    <row r="137" spans="2:31" ht="20.100000000000001" customHeight="1" x14ac:dyDescent="0.25">
      <c r="B137" s="13"/>
      <c r="D137" s="4"/>
      <c r="E137" s="4"/>
      <c r="F137" s="4"/>
      <c r="G137" s="4"/>
      <c r="H137" s="4"/>
      <c r="I137" s="4"/>
      <c r="J137" s="4"/>
      <c r="U137" s="13"/>
    </row>
    <row r="138" spans="2:31" ht="30" customHeight="1" thickBot="1" x14ac:dyDescent="0.3">
      <c r="B138" s="13"/>
      <c r="C138" s="33"/>
      <c r="D138" s="536" t="s">
        <v>48</v>
      </c>
      <c r="E138" s="536"/>
      <c r="F138" s="536"/>
      <c r="G138" s="536"/>
      <c r="H138" s="536"/>
      <c r="I138" s="536"/>
      <c r="J138" s="536"/>
      <c r="K138" s="536"/>
      <c r="L138" s="536"/>
      <c r="M138" s="536"/>
      <c r="N138" s="536"/>
      <c r="O138" s="536"/>
      <c r="P138" s="536"/>
      <c r="Q138" s="536"/>
      <c r="R138" s="536"/>
      <c r="S138" s="536"/>
      <c r="T138" s="33"/>
      <c r="U138" s="13"/>
    </row>
    <row r="139" spans="2:31" ht="50.1" customHeight="1" thickBot="1" x14ac:dyDescent="0.3">
      <c r="B139" s="13"/>
      <c r="C139" s="33"/>
      <c r="D139" s="90" t="s">
        <v>10</v>
      </c>
      <c r="E139" s="93" t="s">
        <v>139</v>
      </c>
      <c r="F139" s="91" t="s">
        <v>15</v>
      </c>
      <c r="G139" s="42" t="s">
        <v>55</v>
      </c>
      <c r="H139" s="537" t="s">
        <v>56</v>
      </c>
      <c r="I139" s="538"/>
      <c r="J139" s="202" t="s">
        <v>66</v>
      </c>
      <c r="K139" s="92" t="s">
        <v>17</v>
      </c>
      <c r="L139" s="91" t="s">
        <v>18</v>
      </c>
      <c r="M139" s="92" t="s">
        <v>19</v>
      </c>
      <c r="N139" s="91" t="s">
        <v>20</v>
      </c>
      <c r="O139" s="130"/>
      <c r="P139" s="126"/>
      <c r="Q139" s="126"/>
      <c r="R139" s="126"/>
      <c r="S139" s="93" t="s">
        <v>38</v>
      </c>
      <c r="T139" s="33"/>
      <c r="U139" s="13"/>
    </row>
    <row r="140" spans="2:31" ht="20.100000000000001" customHeight="1" x14ac:dyDescent="0.25">
      <c r="B140" s="13"/>
      <c r="C140" s="33"/>
      <c r="D140" s="367" t="s">
        <v>46</v>
      </c>
      <c r="E140" s="288" t="s">
        <v>6</v>
      </c>
      <c r="F140" s="133">
        <f>K140*6+L140*3+M140*1+N140*0</f>
        <v>14</v>
      </c>
      <c r="G140" s="262">
        <v>0</v>
      </c>
      <c r="H140" s="539" t="s">
        <v>13</v>
      </c>
      <c r="I140" s="539"/>
      <c r="J140" s="133">
        <f>F140+G140</f>
        <v>14</v>
      </c>
      <c r="K140" s="133">
        <v>2</v>
      </c>
      <c r="L140" s="421">
        <v>0.5</v>
      </c>
      <c r="M140" s="421">
        <v>0.5</v>
      </c>
      <c r="N140" s="133">
        <v>1</v>
      </c>
      <c r="O140" s="152"/>
      <c r="P140" s="262"/>
      <c r="Q140" s="262"/>
      <c r="R140" s="262"/>
      <c r="S140" s="134">
        <f>(L107++L116+L125+L134)/4</f>
        <v>47.5</v>
      </c>
      <c r="T140" s="33"/>
      <c r="U140" s="13"/>
    </row>
    <row r="141" spans="2:31" ht="20.100000000000001" customHeight="1" x14ac:dyDescent="0.25">
      <c r="B141" s="13"/>
      <c r="C141" s="33"/>
      <c r="D141" s="364" t="s">
        <v>114</v>
      </c>
      <c r="E141" s="274" t="s">
        <v>102</v>
      </c>
      <c r="F141" s="52">
        <f>K141*6+L141*3+M141*1+N141*0</f>
        <v>13</v>
      </c>
      <c r="G141" s="263">
        <v>0</v>
      </c>
      <c r="H141" s="529" t="s">
        <v>13</v>
      </c>
      <c r="I141" s="529"/>
      <c r="J141" s="52">
        <f>F141+G141</f>
        <v>13</v>
      </c>
      <c r="K141" s="52">
        <v>2</v>
      </c>
      <c r="L141" s="52">
        <v>0</v>
      </c>
      <c r="M141" s="52">
        <v>1</v>
      </c>
      <c r="N141" s="52">
        <v>1</v>
      </c>
      <c r="O141" s="151"/>
      <c r="P141" s="263"/>
      <c r="Q141" s="263"/>
      <c r="R141" s="263"/>
      <c r="S141" s="104">
        <f>(L104+L113+L122+L131)/4</f>
        <v>78.387667887667888</v>
      </c>
      <c r="T141" s="33"/>
      <c r="U141" s="13"/>
      <c r="Y141" s="610"/>
      <c r="Z141" s="610"/>
      <c r="AA141" s="43"/>
      <c r="AB141" s="43"/>
      <c r="AC141" s="44"/>
      <c r="AD141" s="44"/>
      <c r="AE141" s="44"/>
    </row>
    <row r="142" spans="2:31" ht="20.100000000000001" customHeight="1" x14ac:dyDescent="0.25">
      <c r="B142" s="13"/>
      <c r="C142" s="33"/>
      <c r="D142" s="51" t="s">
        <v>125</v>
      </c>
      <c r="E142" s="274" t="s">
        <v>126</v>
      </c>
      <c r="F142" s="52">
        <f>K142*6+L142*3+M142*1+N142*0</f>
        <v>7</v>
      </c>
      <c r="G142" s="263">
        <v>0</v>
      </c>
      <c r="H142" s="529" t="s">
        <v>13</v>
      </c>
      <c r="I142" s="529"/>
      <c r="J142" s="52">
        <f>F142+G142</f>
        <v>7</v>
      </c>
      <c r="K142" s="52">
        <v>0</v>
      </c>
      <c r="L142" s="52">
        <v>2</v>
      </c>
      <c r="M142" s="52">
        <v>1</v>
      </c>
      <c r="N142" s="52">
        <v>1</v>
      </c>
      <c r="O142" s="151"/>
      <c r="P142" s="263"/>
      <c r="Q142" s="263"/>
      <c r="R142" s="263"/>
      <c r="S142" s="104">
        <f>(L106+L115+L124+L133)/4</f>
        <v>65.937728937728949</v>
      </c>
      <c r="T142" s="33"/>
      <c r="U142" s="13"/>
    </row>
    <row r="143" spans="2:31" ht="20.100000000000001" customHeight="1" thickBot="1" x14ac:dyDescent="0.3">
      <c r="B143" s="13"/>
      <c r="C143" s="33"/>
      <c r="D143" s="372" t="s">
        <v>47</v>
      </c>
      <c r="E143" s="275" t="s">
        <v>64</v>
      </c>
      <c r="F143" s="109">
        <f>K143*6+L143*3+M143*1+N143*0</f>
        <v>6</v>
      </c>
      <c r="G143" s="264">
        <v>0</v>
      </c>
      <c r="H143" s="530" t="s">
        <v>13</v>
      </c>
      <c r="I143" s="530"/>
      <c r="J143" s="109">
        <f>F143+G143</f>
        <v>6</v>
      </c>
      <c r="K143" s="109">
        <v>0</v>
      </c>
      <c r="L143" s="378">
        <v>1.5</v>
      </c>
      <c r="M143" s="378">
        <v>1.5</v>
      </c>
      <c r="N143" s="109">
        <v>1</v>
      </c>
      <c r="O143" s="153"/>
      <c r="P143" s="264"/>
      <c r="Q143" s="264"/>
      <c r="R143" s="264"/>
      <c r="S143" s="106">
        <f>(L105+L114+L123+L132)/4</f>
        <v>32.601953601953603</v>
      </c>
      <c r="T143" s="33"/>
      <c r="U143" s="13"/>
    </row>
    <row r="144" spans="2:31" ht="20.100000000000001" customHeight="1" x14ac:dyDescent="0.25">
      <c r="B144" s="13"/>
      <c r="C144" s="33"/>
      <c r="D144" s="370"/>
      <c r="E144" s="370"/>
      <c r="F144" s="371"/>
      <c r="G144" s="317"/>
      <c r="H144" s="781"/>
      <c r="I144" s="781"/>
      <c r="J144" s="371"/>
      <c r="K144" s="371"/>
      <c r="L144" s="475"/>
      <c r="M144" s="475"/>
      <c r="N144" s="371"/>
      <c r="O144" s="316"/>
      <c r="P144" s="317"/>
      <c r="Q144" s="317"/>
      <c r="R144" s="317"/>
      <c r="S144" s="330"/>
      <c r="T144" s="33"/>
      <c r="U144" s="13"/>
    </row>
    <row r="145" spans="2:21" ht="20.100000000000001" customHeight="1" x14ac:dyDescent="0.25">
      <c r="B145" s="13"/>
      <c r="C145" s="13"/>
      <c r="D145" s="15"/>
      <c r="E145" s="15"/>
      <c r="F145" s="14"/>
      <c r="G145" s="14"/>
      <c r="H145" s="15"/>
      <c r="I145" s="15"/>
      <c r="J145" s="15"/>
      <c r="K145" s="13"/>
      <c r="L145" s="13"/>
      <c r="M145" s="13"/>
      <c r="N145" s="13"/>
      <c r="O145" s="13"/>
      <c r="P145" s="13"/>
      <c r="Q145" s="13"/>
      <c r="R145" s="13"/>
      <c r="S145" s="13"/>
      <c r="T145" s="13"/>
      <c r="U145" s="13"/>
    </row>
    <row r="146" spans="2:21" ht="20.100000000000001" customHeight="1" x14ac:dyDescent="0.25"/>
    <row r="147" spans="2:21" ht="20.100000000000001" customHeight="1" x14ac:dyDescent="0.25"/>
    <row r="148" spans="2:21" ht="20.100000000000001" customHeight="1" x14ac:dyDescent="0.25">
      <c r="B148" s="13"/>
      <c r="C148" s="13"/>
      <c r="D148" s="25"/>
      <c r="E148" s="25"/>
      <c r="F148" s="25"/>
      <c r="G148" s="25"/>
      <c r="H148" s="13"/>
      <c r="I148" s="13"/>
      <c r="J148" s="13"/>
      <c r="K148" s="13"/>
      <c r="L148" s="13"/>
      <c r="M148" s="13"/>
      <c r="N148" s="13"/>
      <c r="O148" s="13"/>
      <c r="P148" s="13"/>
      <c r="Q148" s="13"/>
      <c r="R148" s="13"/>
      <c r="S148" s="13"/>
      <c r="T148" s="13"/>
      <c r="U148" s="13"/>
    </row>
    <row r="149" spans="2:21" ht="30" customHeight="1" x14ac:dyDescent="0.25">
      <c r="B149" s="13"/>
      <c r="C149" s="555" t="s">
        <v>446</v>
      </c>
      <c r="D149" s="555"/>
      <c r="E149" s="555"/>
      <c r="F149" s="555"/>
      <c r="G149" s="555"/>
      <c r="H149" s="555"/>
      <c r="I149" s="555"/>
      <c r="J149" s="555"/>
      <c r="K149" s="555"/>
      <c r="L149" s="555"/>
      <c r="M149" s="555"/>
      <c r="N149" s="555"/>
      <c r="O149" s="555"/>
      <c r="P149" s="555"/>
      <c r="Q149" s="555"/>
      <c r="R149" s="555"/>
      <c r="S149" s="555"/>
      <c r="T149" s="555"/>
      <c r="U149" s="13"/>
    </row>
    <row r="150" spans="2:21" ht="20.100000000000001" customHeight="1" thickBot="1" x14ac:dyDescent="0.3">
      <c r="B150" s="13"/>
      <c r="U150" s="13"/>
    </row>
    <row r="151" spans="2:21" ht="20.100000000000001" customHeight="1" thickBot="1" x14ac:dyDescent="0.3">
      <c r="B151" s="13"/>
      <c r="D151" s="556" t="s">
        <v>10</v>
      </c>
      <c r="E151" s="558" t="s">
        <v>67</v>
      </c>
      <c r="F151" s="560" t="s">
        <v>22</v>
      </c>
      <c r="G151" s="563" t="s">
        <v>42</v>
      </c>
      <c r="H151" s="561"/>
      <c r="I151" s="561"/>
      <c r="J151" s="562"/>
      <c r="K151" s="200" t="s">
        <v>36</v>
      </c>
      <c r="L151" s="563" t="s">
        <v>27</v>
      </c>
      <c r="M151" s="561"/>
      <c r="N151" s="561"/>
      <c r="O151" s="561"/>
      <c r="P151" s="561"/>
      <c r="Q151" s="561"/>
      <c r="R151" s="561"/>
      <c r="S151" s="562"/>
      <c r="U151" s="13"/>
    </row>
    <row r="152" spans="2:21" ht="20.100000000000001" customHeight="1" thickBot="1" x14ac:dyDescent="0.3">
      <c r="B152" s="13"/>
      <c r="D152" s="557"/>
      <c r="E152" s="559"/>
      <c r="F152" s="559"/>
      <c r="G152" s="86" t="s">
        <v>43</v>
      </c>
      <c r="H152" s="85" t="s">
        <v>24</v>
      </c>
      <c r="I152" s="556" t="s">
        <v>23</v>
      </c>
      <c r="J152" s="564"/>
      <c r="K152" s="85" t="s">
        <v>25</v>
      </c>
      <c r="L152" s="94" t="s">
        <v>43</v>
      </c>
      <c r="M152" s="87" t="s">
        <v>26</v>
      </c>
      <c r="N152" s="565" t="s">
        <v>23</v>
      </c>
      <c r="O152" s="566"/>
      <c r="P152" s="566"/>
      <c r="Q152" s="566"/>
      <c r="R152" s="566"/>
      <c r="S152" s="567"/>
      <c r="U152" s="13"/>
    </row>
    <row r="153" spans="2:21" ht="15" customHeight="1" x14ac:dyDescent="0.25">
      <c r="B153" s="13"/>
      <c r="D153" s="947" t="s">
        <v>4</v>
      </c>
      <c r="E153" s="948" t="s">
        <v>9</v>
      </c>
      <c r="F153" s="647">
        <v>1</v>
      </c>
      <c r="G153" s="735" t="s">
        <v>44</v>
      </c>
      <c r="H153" s="656" t="s">
        <v>470</v>
      </c>
      <c r="I153" s="656" t="s">
        <v>471</v>
      </c>
      <c r="J153" s="657"/>
      <c r="K153" s="954" t="s">
        <v>45</v>
      </c>
      <c r="L153" s="735" t="s">
        <v>479</v>
      </c>
      <c r="M153" s="653" t="s">
        <v>447</v>
      </c>
      <c r="N153" s="903" t="s">
        <v>13</v>
      </c>
      <c r="O153" s="904"/>
      <c r="P153" s="904"/>
      <c r="Q153" s="904"/>
      <c r="R153" s="904"/>
      <c r="S153" s="905"/>
      <c r="U153" s="13"/>
    </row>
    <row r="154" spans="2:21" ht="15" customHeight="1" x14ac:dyDescent="0.25">
      <c r="B154" s="13"/>
      <c r="D154" s="675"/>
      <c r="E154" s="762"/>
      <c r="F154" s="648"/>
      <c r="G154" s="755"/>
      <c r="H154" s="639"/>
      <c r="I154" s="639" t="s">
        <v>472</v>
      </c>
      <c r="J154" s="640"/>
      <c r="K154" s="898"/>
      <c r="L154" s="755"/>
      <c r="M154" s="654"/>
      <c r="N154" s="949"/>
      <c r="O154" s="950"/>
      <c r="P154" s="950"/>
      <c r="Q154" s="950"/>
      <c r="R154" s="950"/>
      <c r="S154" s="932"/>
      <c r="U154" s="13"/>
    </row>
    <row r="155" spans="2:21" ht="15" customHeight="1" x14ac:dyDescent="0.25">
      <c r="B155" s="13"/>
      <c r="D155" s="675"/>
      <c r="E155" s="762"/>
      <c r="F155" s="648"/>
      <c r="G155" s="755"/>
      <c r="H155" s="639"/>
      <c r="I155" s="639" t="s">
        <v>473</v>
      </c>
      <c r="J155" s="640"/>
      <c r="K155" s="898"/>
      <c r="L155" s="755"/>
      <c r="M155" s="654"/>
      <c r="N155" s="949"/>
      <c r="O155" s="950"/>
      <c r="P155" s="950"/>
      <c r="Q155" s="950"/>
      <c r="R155" s="950"/>
      <c r="S155" s="932"/>
      <c r="U155" s="13"/>
    </row>
    <row r="156" spans="2:21" ht="15" customHeight="1" x14ac:dyDescent="0.25">
      <c r="B156" s="13"/>
      <c r="D156" s="676"/>
      <c r="E156" s="763"/>
      <c r="F156" s="649"/>
      <c r="G156" s="736"/>
      <c r="H156" s="737"/>
      <c r="I156" s="737" t="s">
        <v>474</v>
      </c>
      <c r="J156" s="753"/>
      <c r="K156" s="900"/>
      <c r="L156" s="736"/>
      <c r="M156" s="655"/>
      <c r="N156" s="949"/>
      <c r="O156" s="950"/>
      <c r="P156" s="950"/>
      <c r="Q156" s="950"/>
      <c r="R156" s="950"/>
      <c r="S156" s="932"/>
      <c r="U156" s="13"/>
    </row>
    <row r="157" spans="2:21" ht="42" customHeight="1" x14ac:dyDescent="0.25">
      <c r="B157" s="13"/>
      <c r="D157" s="663" t="s">
        <v>458</v>
      </c>
      <c r="E157" s="761" t="s">
        <v>11</v>
      </c>
      <c r="F157" s="667">
        <v>2</v>
      </c>
      <c r="G157" s="727" t="s">
        <v>35</v>
      </c>
      <c r="H157" s="767" t="s">
        <v>475</v>
      </c>
      <c r="I157" s="661" t="s">
        <v>209</v>
      </c>
      <c r="J157" s="662"/>
      <c r="K157" s="931" t="s">
        <v>470</v>
      </c>
      <c r="L157" s="743" t="s">
        <v>479</v>
      </c>
      <c r="M157" s="681" t="s">
        <v>71</v>
      </c>
      <c r="N157" s="681" t="s">
        <v>231</v>
      </c>
      <c r="O157" s="807"/>
      <c r="P157" s="807"/>
      <c r="Q157" s="807"/>
      <c r="R157" s="807"/>
      <c r="S157" s="684"/>
      <c r="U157" s="13"/>
    </row>
    <row r="158" spans="2:21" ht="15" customHeight="1" x14ac:dyDescent="0.25">
      <c r="B158" s="13"/>
      <c r="D158" s="642"/>
      <c r="E158" s="762"/>
      <c r="F158" s="648"/>
      <c r="G158" s="728"/>
      <c r="H158" s="768"/>
      <c r="I158" s="661" t="s">
        <v>210</v>
      </c>
      <c r="J158" s="662"/>
      <c r="K158" s="932"/>
      <c r="L158" s="744"/>
      <c r="M158" s="682"/>
      <c r="N158" s="682" t="s">
        <v>232</v>
      </c>
      <c r="O158" s="897"/>
      <c r="P158" s="897"/>
      <c r="Q158" s="897"/>
      <c r="R158" s="897"/>
      <c r="S158" s="898"/>
      <c r="U158" s="13"/>
    </row>
    <row r="159" spans="2:21" ht="15" customHeight="1" x14ac:dyDescent="0.25">
      <c r="B159" s="13"/>
      <c r="D159" s="642"/>
      <c r="E159" s="762"/>
      <c r="F159" s="648"/>
      <c r="G159" s="728"/>
      <c r="H159" s="768"/>
      <c r="I159" s="661" t="s">
        <v>208</v>
      </c>
      <c r="J159" s="662"/>
      <c r="K159" s="932"/>
      <c r="L159" s="744"/>
      <c r="M159" s="682"/>
      <c r="N159" s="747" t="s">
        <v>215</v>
      </c>
      <c r="O159" s="897"/>
      <c r="P159" s="897"/>
      <c r="Q159" s="897"/>
      <c r="R159" s="897"/>
      <c r="S159" s="898"/>
      <c r="U159" s="13"/>
    </row>
    <row r="160" spans="2:21" ht="15" customHeight="1" x14ac:dyDescent="0.25">
      <c r="B160" s="13"/>
      <c r="D160" s="643"/>
      <c r="E160" s="763"/>
      <c r="F160" s="649"/>
      <c r="G160" s="729"/>
      <c r="H160" s="769"/>
      <c r="I160" s="661" t="s">
        <v>207</v>
      </c>
      <c r="J160" s="662"/>
      <c r="K160" s="907"/>
      <c r="L160" s="745"/>
      <c r="M160" s="683"/>
      <c r="N160" s="454"/>
      <c r="O160" s="458"/>
      <c r="P160" s="458"/>
      <c r="Q160" s="458"/>
      <c r="R160" s="458"/>
      <c r="S160" s="459"/>
      <c r="U160" s="13"/>
    </row>
    <row r="161" spans="2:21" ht="27.95" customHeight="1" x14ac:dyDescent="0.25">
      <c r="B161" s="13"/>
      <c r="D161" s="663" t="s">
        <v>458</v>
      </c>
      <c r="E161" s="761" t="s">
        <v>11</v>
      </c>
      <c r="F161" s="667">
        <v>3</v>
      </c>
      <c r="G161" s="743" t="s">
        <v>35</v>
      </c>
      <c r="H161" s="746" t="s">
        <v>45</v>
      </c>
      <c r="I161" s="681" t="s">
        <v>476</v>
      </c>
      <c r="J161" s="684"/>
      <c r="K161" s="460"/>
      <c r="L161" s="464"/>
      <c r="M161" s="323"/>
      <c r="N161" s="951"/>
      <c r="O161" s="952"/>
      <c r="P161" s="952"/>
      <c r="Q161" s="952"/>
      <c r="R161" s="952"/>
      <c r="S161" s="953"/>
      <c r="U161" s="13"/>
    </row>
    <row r="162" spans="2:21" ht="15" customHeight="1" x14ac:dyDescent="0.25">
      <c r="B162" s="13"/>
      <c r="D162" s="642"/>
      <c r="E162" s="762"/>
      <c r="F162" s="648"/>
      <c r="G162" s="744"/>
      <c r="H162" s="747"/>
      <c r="I162" s="682" t="s">
        <v>477</v>
      </c>
      <c r="J162" s="702"/>
      <c r="K162" s="460"/>
      <c r="L162" s="464"/>
      <c r="M162" s="323"/>
      <c r="N162" s="455"/>
      <c r="O162" s="456"/>
      <c r="P162" s="456"/>
      <c r="Q162" s="456"/>
      <c r="R162" s="456"/>
      <c r="S162" s="457"/>
      <c r="U162" s="13"/>
    </row>
    <row r="163" spans="2:21" ht="15" customHeight="1" x14ac:dyDescent="0.25">
      <c r="B163" s="13"/>
      <c r="D163" s="643"/>
      <c r="E163" s="763"/>
      <c r="F163" s="649"/>
      <c r="G163" s="745"/>
      <c r="H163" s="748"/>
      <c r="I163" s="683" t="s">
        <v>478</v>
      </c>
      <c r="J163" s="751"/>
      <c r="K163" s="460"/>
      <c r="L163" s="464"/>
      <c r="M163" s="323"/>
      <c r="N163" s="455"/>
      <c r="O163" s="456"/>
      <c r="P163" s="456"/>
      <c r="Q163" s="456"/>
      <c r="R163" s="456"/>
      <c r="S163" s="457"/>
      <c r="U163" s="13"/>
    </row>
    <row r="164" spans="2:21" ht="27.95" customHeight="1" x14ac:dyDescent="0.25">
      <c r="B164" s="13"/>
      <c r="D164" s="773" t="s">
        <v>4</v>
      </c>
      <c r="E164" s="761" t="s">
        <v>9</v>
      </c>
      <c r="F164" s="764">
        <v>4</v>
      </c>
      <c r="G164" s="777" t="s">
        <v>44</v>
      </c>
      <c r="H164" s="725" t="s">
        <v>332</v>
      </c>
      <c r="I164" s="725" t="s">
        <v>333</v>
      </c>
      <c r="J164" s="726"/>
      <c r="K164" s="461"/>
      <c r="L164" s="464"/>
      <c r="M164" s="323"/>
      <c r="N164" s="779"/>
      <c r="O164" s="779"/>
      <c r="P164" s="779"/>
      <c r="Q164" s="779"/>
      <c r="R164" s="779"/>
      <c r="S164" s="780"/>
      <c r="U164" s="13"/>
    </row>
    <row r="165" spans="2:21" ht="15" customHeight="1" x14ac:dyDescent="0.25">
      <c r="B165" s="13"/>
      <c r="D165" s="674"/>
      <c r="E165" s="762"/>
      <c r="F165" s="765"/>
      <c r="G165" s="893"/>
      <c r="H165" s="709"/>
      <c r="I165" s="709" t="s">
        <v>334</v>
      </c>
      <c r="J165" s="710"/>
      <c r="K165" s="462"/>
      <c r="L165" s="465"/>
      <c r="M165" s="335"/>
      <c r="N165" s="452"/>
      <c r="O165" s="452"/>
      <c r="P165" s="452"/>
      <c r="Q165" s="452"/>
      <c r="R165" s="452"/>
      <c r="S165" s="453"/>
      <c r="U165" s="13"/>
    </row>
    <row r="166" spans="2:21" ht="15" customHeight="1" x14ac:dyDescent="0.25">
      <c r="B166" s="13"/>
      <c r="D166" s="674"/>
      <c r="E166" s="762"/>
      <c r="F166" s="765"/>
      <c r="G166" s="893"/>
      <c r="H166" s="709"/>
      <c r="I166" s="709" t="s">
        <v>335</v>
      </c>
      <c r="J166" s="710"/>
      <c r="K166" s="462"/>
      <c r="L166" s="465"/>
      <c r="M166" s="335"/>
      <c r="N166" s="452"/>
      <c r="O166" s="452"/>
      <c r="P166" s="452"/>
      <c r="Q166" s="452"/>
      <c r="R166" s="452"/>
      <c r="S166" s="453"/>
      <c r="U166" s="13"/>
    </row>
    <row r="167" spans="2:21" ht="15" customHeight="1" x14ac:dyDescent="0.25">
      <c r="B167" s="13"/>
      <c r="D167" s="674"/>
      <c r="E167" s="762"/>
      <c r="F167" s="765"/>
      <c r="G167" s="893"/>
      <c r="H167" s="709"/>
      <c r="I167" s="709" t="s">
        <v>336</v>
      </c>
      <c r="J167" s="710"/>
      <c r="K167" s="462"/>
      <c r="L167" s="465"/>
      <c r="M167" s="335"/>
      <c r="N167" s="452"/>
      <c r="O167" s="452"/>
      <c r="P167" s="452"/>
      <c r="Q167" s="452"/>
      <c r="R167" s="452"/>
      <c r="S167" s="453"/>
      <c r="U167" s="13"/>
    </row>
    <row r="168" spans="2:21" ht="15" customHeight="1" x14ac:dyDescent="0.25">
      <c r="B168" s="13"/>
      <c r="D168" s="674"/>
      <c r="E168" s="762"/>
      <c r="F168" s="765"/>
      <c r="G168" s="893"/>
      <c r="H168" s="709"/>
      <c r="I168" s="709" t="s">
        <v>337</v>
      </c>
      <c r="J168" s="710"/>
      <c r="K168" s="462"/>
      <c r="L168" s="465"/>
      <c r="M168" s="335"/>
      <c r="N168" s="452"/>
      <c r="O168" s="452"/>
      <c r="P168" s="452"/>
      <c r="Q168" s="452"/>
      <c r="R168" s="452"/>
      <c r="S168" s="453"/>
      <c r="U168" s="13"/>
    </row>
    <row r="169" spans="2:21" ht="60" customHeight="1" thickBot="1" x14ac:dyDescent="0.3">
      <c r="B169" s="13"/>
      <c r="D169" s="774"/>
      <c r="E169" s="775"/>
      <c r="F169" s="776"/>
      <c r="G169" s="778"/>
      <c r="H169" s="711"/>
      <c r="I169" s="711" t="s">
        <v>338</v>
      </c>
      <c r="J169" s="712"/>
      <c r="K169" s="463"/>
      <c r="L169" s="466"/>
      <c r="M169" s="326"/>
      <c r="N169" s="339"/>
      <c r="O169" s="339"/>
      <c r="P169" s="339"/>
      <c r="Q169" s="339"/>
      <c r="R169" s="339"/>
      <c r="S169" s="340"/>
      <c r="U169" s="13"/>
    </row>
    <row r="170" spans="2:21" ht="20.100000000000001" customHeight="1" x14ac:dyDescent="0.25">
      <c r="B170" s="13"/>
      <c r="U170" s="13"/>
    </row>
    <row r="171" spans="2:21" ht="20.100000000000001" customHeight="1" thickBot="1" x14ac:dyDescent="0.3">
      <c r="B171" s="13"/>
      <c r="C171" s="26"/>
      <c r="D171" s="26"/>
      <c r="E171" s="552" t="str">
        <f>IF(OR(M153="-",M153= ""),H153,M153)</f>
        <v>7 Wonders Architects</v>
      </c>
      <c r="F171" s="552"/>
      <c r="G171" s="552"/>
      <c r="H171" s="552"/>
      <c r="I171" s="552"/>
      <c r="J171" s="552"/>
      <c r="K171" s="552"/>
      <c r="L171" s="552"/>
      <c r="M171" s="552"/>
      <c r="N171" s="552"/>
      <c r="O171" s="199"/>
      <c r="P171" s="199"/>
      <c r="Q171" s="199"/>
      <c r="R171" s="199"/>
      <c r="S171" s="199"/>
      <c r="T171" s="26"/>
      <c r="U171" s="13"/>
    </row>
    <row r="172" spans="2:21" ht="50.1" customHeight="1" thickBot="1" x14ac:dyDescent="0.3">
      <c r="B172" s="13"/>
      <c r="C172" s="26"/>
      <c r="D172" s="199"/>
      <c r="E172" s="88" t="s">
        <v>10</v>
      </c>
      <c r="F172" s="125" t="s">
        <v>52</v>
      </c>
      <c r="G172" s="89" t="s">
        <v>14</v>
      </c>
      <c r="H172" s="200" t="s">
        <v>51</v>
      </c>
      <c r="I172" s="18" t="s">
        <v>54</v>
      </c>
      <c r="J172" s="200" t="s">
        <v>53</v>
      </c>
      <c r="K172" s="206" t="s">
        <v>28</v>
      </c>
      <c r="L172" s="200" t="s">
        <v>37</v>
      </c>
      <c r="M172" s="204" t="s">
        <v>16</v>
      </c>
      <c r="N172" s="89" t="s">
        <v>15</v>
      </c>
      <c r="O172" s="5" t="s">
        <v>30</v>
      </c>
      <c r="P172" s="7" t="s">
        <v>34</v>
      </c>
      <c r="Q172" s="199"/>
      <c r="R172" s="199"/>
      <c r="S172" s="199"/>
      <c r="T172" s="26"/>
      <c r="U172" s="13"/>
    </row>
    <row r="173" spans="2:21" ht="20.100000000000001" customHeight="1" x14ac:dyDescent="0.25">
      <c r="B173" s="13"/>
      <c r="C173" s="26"/>
      <c r="D173" s="68"/>
      <c r="E173" s="327" t="s">
        <v>4</v>
      </c>
      <c r="F173" s="272" t="s">
        <v>9</v>
      </c>
      <c r="G173" s="157">
        <v>1</v>
      </c>
      <c r="H173" s="157" t="s">
        <v>452</v>
      </c>
      <c r="I173" s="157">
        <v>0</v>
      </c>
      <c r="J173" s="157">
        <v>34</v>
      </c>
      <c r="K173" s="157" t="s">
        <v>13</v>
      </c>
      <c r="L173" s="36">
        <f>IF(J173="",0,(J173/J175)*100)</f>
        <v>100</v>
      </c>
      <c r="M173" s="157">
        <v>1</v>
      </c>
      <c r="N173" s="99">
        <v>6</v>
      </c>
      <c r="O173" s="209">
        <f>IF(M173=1,1,0)</f>
        <v>1</v>
      </c>
      <c r="P173" s="8">
        <f>IF(M173=2,1,0)</f>
        <v>0</v>
      </c>
      <c r="Q173" s="198"/>
      <c r="R173" s="198"/>
      <c r="S173" s="198"/>
      <c r="T173" s="26"/>
      <c r="U173" s="13"/>
    </row>
    <row r="174" spans="2:21" ht="20.100000000000001" customHeight="1" thickBot="1" x14ac:dyDescent="0.3">
      <c r="B174" s="13"/>
      <c r="C174" s="26"/>
      <c r="D174" s="26"/>
      <c r="E174" s="354" t="s">
        <v>458</v>
      </c>
      <c r="F174" s="255" t="s">
        <v>11</v>
      </c>
      <c r="G174" s="150">
        <v>2</v>
      </c>
      <c r="H174" s="150" t="s">
        <v>480</v>
      </c>
      <c r="I174" s="150">
        <v>0</v>
      </c>
      <c r="J174" s="150">
        <v>31</v>
      </c>
      <c r="K174" s="107" t="s">
        <v>13</v>
      </c>
      <c r="L174" s="17">
        <f>IF(J174="",0,(J174/J175)*100)</f>
        <v>91.17647058823529</v>
      </c>
      <c r="M174" s="150">
        <v>2</v>
      </c>
      <c r="N174" s="59">
        <v>0</v>
      </c>
      <c r="O174" s="208">
        <f>IF(M174=1,1,0)</f>
        <v>0</v>
      </c>
      <c r="P174" s="10">
        <f>IF(M174=2,1,0)</f>
        <v>1</v>
      </c>
      <c r="Q174" s="198"/>
      <c r="R174" s="198"/>
      <c r="S174" s="198"/>
      <c r="T174" s="26"/>
      <c r="U174" s="13"/>
    </row>
    <row r="175" spans="2:21" ht="20.100000000000001" hidden="1" customHeight="1" outlineLevel="1" x14ac:dyDescent="0.25">
      <c r="B175" s="13"/>
      <c r="C175" s="26"/>
      <c r="D175" s="68"/>
      <c r="E175" s="68"/>
      <c r="F175" s="553"/>
      <c r="G175" s="553"/>
      <c r="H175" s="26"/>
      <c r="I175" s="64" t="s">
        <v>29</v>
      </c>
      <c r="J175" s="23">
        <f>MAX(J173:J174)</f>
        <v>34</v>
      </c>
      <c r="K175" s="70"/>
      <c r="L175" s="69"/>
      <c r="M175" s="26"/>
      <c r="N175" s="63" t="s">
        <v>33</v>
      </c>
      <c r="O175" s="20">
        <f>SUM(O173:O174)</f>
        <v>1</v>
      </c>
      <c r="P175" s="22">
        <f>SUM(P173:P174)</f>
        <v>1</v>
      </c>
      <c r="Q175" s="69"/>
      <c r="R175" s="69"/>
      <c r="S175" s="69"/>
      <c r="T175" s="26"/>
      <c r="U175" s="13"/>
    </row>
    <row r="176" spans="2:21" ht="20.100000000000001" customHeight="1" collapsed="1" x14ac:dyDescent="0.25">
      <c r="B176" s="13"/>
      <c r="C176" s="26"/>
      <c r="D176" s="26"/>
      <c r="E176" s="26"/>
      <c r="F176" s="26"/>
      <c r="G176" s="26"/>
      <c r="H176" s="26"/>
      <c r="I176" s="26"/>
      <c r="J176" s="26"/>
      <c r="K176" s="26"/>
      <c r="L176" s="26"/>
      <c r="M176" s="26"/>
      <c r="N176" s="26"/>
      <c r="O176" s="26"/>
      <c r="P176" s="26"/>
      <c r="Q176" s="26"/>
      <c r="R176" s="26"/>
      <c r="S176" s="26"/>
      <c r="T176" s="26"/>
      <c r="U176" s="13"/>
    </row>
    <row r="177" spans="2:21" ht="20.100000000000001" customHeight="1" x14ac:dyDescent="0.25">
      <c r="B177" s="13"/>
      <c r="U177" s="13"/>
    </row>
    <row r="178" spans="2:21" ht="20.100000000000001" customHeight="1" thickBot="1" x14ac:dyDescent="0.3">
      <c r="B178" s="13"/>
      <c r="C178" s="27"/>
      <c r="D178" s="27"/>
      <c r="E178" s="939" t="str">
        <f>H157</f>
        <v>Raja of the Ganges</v>
      </c>
      <c r="F178" s="554"/>
      <c r="G178" s="554"/>
      <c r="H178" s="554"/>
      <c r="I178" s="554"/>
      <c r="J178" s="554"/>
      <c r="K178" s="554"/>
      <c r="L178" s="554"/>
      <c r="M178" s="554"/>
      <c r="N178" s="554"/>
      <c r="O178" s="197"/>
      <c r="P178" s="197"/>
      <c r="Q178" s="197"/>
      <c r="R178" s="197"/>
      <c r="S178" s="197"/>
      <c r="T178" s="27"/>
      <c r="U178" s="13"/>
    </row>
    <row r="179" spans="2:21" ht="50.1" customHeight="1" thickBot="1" x14ac:dyDescent="0.3">
      <c r="B179" s="13"/>
      <c r="C179" s="27"/>
      <c r="D179" s="197"/>
      <c r="E179" s="88" t="s">
        <v>10</v>
      </c>
      <c r="F179" s="125" t="s">
        <v>52</v>
      </c>
      <c r="G179" s="89" t="s">
        <v>14</v>
      </c>
      <c r="H179" s="200" t="s">
        <v>51</v>
      </c>
      <c r="I179" s="18" t="s">
        <v>54</v>
      </c>
      <c r="J179" s="200" t="s">
        <v>53</v>
      </c>
      <c r="K179" s="206" t="s">
        <v>28</v>
      </c>
      <c r="L179" s="200" t="s">
        <v>37</v>
      </c>
      <c r="M179" s="204" t="s">
        <v>16</v>
      </c>
      <c r="N179" s="89" t="s">
        <v>15</v>
      </c>
      <c r="O179" s="5" t="s">
        <v>30</v>
      </c>
      <c r="P179" s="7" t="s">
        <v>34</v>
      </c>
      <c r="Q179" s="197"/>
      <c r="R179" s="197"/>
      <c r="S179" s="197"/>
      <c r="T179" s="27"/>
      <c r="U179" s="13"/>
    </row>
    <row r="180" spans="2:21" ht="20.100000000000001" customHeight="1" x14ac:dyDescent="0.25">
      <c r="B180" s="13"/>
      <c r="C180" s="27"/>
      <c r="D180" s="67"/>
      <c r="E180" s="365" t="s">
        <v>4</v>
      </c>
      <c r="F180" s="253" t="s">
        <v>9</v>
      </c>
      <c r="G180" s="49">
        <v>1</v>
      </c>
      <c r="H180" s="122" t="s">
        <v>13</v>
      </c>
      <c r="I180" s="49">
        <v>-59</v>
      </c>
      <c r="J180" s="122">
        <v>-10</v>
      </c>
      <c r="K180" s="122" t="s">
        <v>13</v>
      </c>
      <c r="L180" s="50">
        <f>($I$180-J180)/($I$180-$J$181)*100</f>
        <v>79.032258064516128</v>
      </c>
      <c r="M180" s="49">
        <v>2</v>
      </c>
      <c r="N180" s="61">
        <v>0</v>
      </c>
      <c r="O180" s="57">
        <f>IF(M180=1,1,0)</f>
        <v>0</v>
      </c>
      <c r="P180" s="8">
        <f>IF(M180=2,1,0)</f>
        <v>1</v>
      </c>
      <c r="Q180" s="203"/>
      <c r="R180" s="203"/>
      <c r="S180" s="203"/>
      <c r="T180" s="27"/>
      <c r="U180" s="13"/>
    </row>
    <row r="181" spans="2:21" ht="20.100000000000001" customHeight="1" thickBot="1" x14ac:dyDescent="0.3">
      <c r="B181" s="13"/>
      <c r="C181" s="27"/>
      <c r="D181" s="27"/>
      <c r="E181" s="310" t="s">
        <v>458</v>
      </c>
      <c r="F181" s="283" t="s">
        <v>11</v>
      </c>
      <c r="G181" s="284">
        <v>2</v>
      </c>
      <c r="H181" s="285" t="s">
        <v>13</v>
      </c>
      <c r="I181" s="284">
        <v>-59</v>
      </c>
      <c r="J181" s="285">
        <v>3</v>
      </c>
      <c r="K181" s="285" t="s">
        <v>13</v>
      </c>
      <c r="L181" s="286">
        <f>($I$180-J181)/($I$180-$J$181)*100</f>
        <v>100</v>
      </c>
      <c r="M181" s="284">
        <v>1</v>
      </c>
      <c r="N181" s="287">
        <v>6</v>
      </c>
      <c r="O181" s="58">
        <f>IF(M181=1,1,0)</f>
        <v>1</v>
      </c>
      <c r="P181" s="10">
        <f>IF(M181=2,1,0)</f>
        <v>0</v>
      </c>
      <c r="Q181" s="203"/>
      <c r="R181" s="203"/>
      <c r="S181" s="203"/>
      <c r="T181" s="27"/>
      <c r="U181" s="13"/>
    </row>
    <row r="182" spans="2:21" ht="20.100000000000001" hidden="1" customHeight="1" outlineLevel="1" thickBot="1" x14ac:dyDescent="0.3">
      <c r="B182" s="13"/>
      <c r="C182" s="27"/>
      <c r="D182" s="27"/>
      <c r="E182" s="27"/>
      <c r="F182" s="531"/>
      <c r="G182" s="531"/>
      <c r="H182" s="27"/>
      <c r="I182" s="64" t="s">
        <v>29</v>
      </c>
      <c r="J182" s="23">
        <f>MAX(J180:J181)</f>
        <v>3</v>
      </c>
      <c r="K182" s="75"/>
      <c r="L182" s="203"/>
      <c r="M182" s="27"/>
      <c r="N182" s="63" t="s">
        <v>33</v>
      </c>
      <c r="O182" s="20">
        <f>SUM(O180:O181)</f>
        <v>1</v>
      </c>
      <c r="P182" s="22">
        <f>SUM(P180:P181)</f>
        <v>1</v>
      </c>
      <c r="Q182" s="74"/>
      <c r="R182" s="74"/>
      <c r="S182" s="74"/>
      <c r="T182" s="27"/>
      <c r="U182" s="13"/>
    </row>
    <row r="183" spans="2:21" ht="20.100000000000001" customHeight="1" collapsed="1" x14ac:dyDescent="0.25">
      <c r="B183" s="13"/>
      <c r="C183" s="27"/>
      <c r="D183" s="27"/>
      <c r="E183" s="27"/>
      <c r="F183" s="27"/>
      <c r="G183" s="27"/>
      <c r="H183" s="27"/>
      <c r="I183" s="27"/>
      <c r="J183" s="27"/>
      <c r="K183" s="27"/>
      <c r="L183" s="27"/>
      <c r="M183" s="27"/>
      <c r="N183" s="27"/>
      <c r="O183" s="27"/>
      <c r="P183" s="27"/>
      <c r="Q183" s="27"/>
      <c r="R183" s="27"/>
      <c r="S183" s="27"/>
      <c r="T183" s="27"/>
      <c r="U183" s="13"/>
    </row>
    <row r="184" spans="2:21" ht="20.100000000000001" customHeight="1" x14ac:dyDescent="0.25">
      <c r="B184" s="13"/>
      <c r="D184" s="28"/>
      <c r="E184" s="28"/>
      <c r="F184" s="28"/>
      <c r="G184" s="28"/>
      <c r="H184" s="29"/>
      <c r="I184" s="28"/>
      <c r="J184" s="28"/>
      <c r="U184" s="13"/>
    </row>
    <row r="185" spans="2:21" ht="20.100000000000001" customHeight="1" thickBot="1" x14ac:dyDescent="0.3">
      <c r="B185" s="13"/>
      <c r="C185" s="30"/>
      <c r="D185" s="30"/>
      <c r="E185" s="940" t="str">
        <f>M157</f>
        <v>Die Burgen von Burgund</v>
      </c>
      <c r="F185" s="532"/>
      <c r="G185" s="532"/>
      <c r="H185" s="532"/>
      <c r="I185" s="532"/>
      <c r="J185" s="532"/>
      <c r="K185" s="532"/>
      <c r="L185" s="532"/>
      <c r="M185" s="532"/>
      <c r="N185" s="532"/>
      <c r="O185" s="196"/>
      <c r="P185" s="196"/>
      <c r="Q185" s="196"/>
      <c r="R185" s="196"/>
      <c r="S185" s="196"/>
      <c r="T185" s="30"/>
      <c r="U185" s="14"/>
    </row>
    <row r="186" spans="2:21" ht="50.1" customHeight="1" thickBot="1" x14ac:dyDescent="0.3">
      <c r="B186" s="13"/>
      <c r="C186" s="30"/>
      <c r="D186" s="196"/>
      <c r="E186" s="88" t="s">
        <v>10</v>
      </c>
      <c r="F186" s="125" t="s">
        <v>52</v>
      </c>
      <c r="G186" s="89" t="s">
        <v>14</v>
      </c>
      <c r="H186" s="200" t="s">
        <v>51</v>
      </c>
      <c r="I186" s="18" t="s">
        <v>54</v>
      </c>
      <c r="J186" s="200" t="s">
        <v>53</v>
      </c>
      <c r="K186" s="206" t="s">
        <v>28</v>
      </c>
      <c r="L186" s="200" t="s">
        <v>37</v>
      </c>
      <c r="M186" s="204" t="s">
        <v>16</v>
      </c>
      <c r="N186" s="89" t="s">
        <v>15</v>
      </c>
      <c r="O186" s="5" t="s">
        <v>30</v>
      </c>
      <c r="P186" s="7" t="s">
        <v>34</v>
      </c>
      <c r="Q186" s="196"/>
      <c r="R186" s="196"/>
      <c r="S186" s="196"/>
      <c r="T186" s="30"/>
      <c r="U186" s="14"/>
    </row>
    <row r="187" spans="2:21" ht="20.100000000000001" customHeight="1" x14ac:dyDescent="0.25">
      <c r="B187" s="13"/>
      <c r="C187" s="30"/>
      <c r="D187" s="66"/>
      <c r="E187" s="327" t="s">
        <v>4</v>
      </c>
      <c r="F187" s="272" t="s">
        <v>9</v>
      </c>
      <c r="G187" s="157">
        <v>1</v>
      </c>
      <c r="H187" s="103" t="s">
        <v>219</v>
      </c>
      <c r="I187" s="157">
        <v>0</v>
      </c>
      <c r="J187" s="103">
        <v>249</v>
      </c>
      <c r="K187" s="157" t="s">
        <v>13</v>
      </c>
      <c r="L187" s="36">
        <f>IF(J187="",0,(J187/J189)*100)</f>
        <v>100</v>
      </c>
      <c r="M187" s="157">
        <v>1</v>
      </c>
      <c r="N187" s="99">
        <v>6</v>
      </c>
      <c r="O187" s="209">
        <f>IF(M187=1,1,0)</f>
        <v>1</v>
      </c>
      <c r="P187" s="8">
        <f>IF(M187=2,1,0)</f>
        <v>0</v>
      </c>
      <c r="Q187" s="194"/>
      <c r="R187" s="194"/>
      <c r="S187" s="194"/>
      <c r="T187" s="30"/>
      <c r="U187" s="13"/>
    </row>
    <row r="188" spans="2:21" ht="20.100000000000001" customHeight="1" thickBot="1" x14ac:dyDescent="0.3">
      <c r="B188" s="13"/>
      <c r="C188" s="30"/>
      <c r="D188" s="30"/>
      <c r="E188" s="354" t="s">
        <v>458</v>
      </c>
      <c r="F188" s="255" t="s">
        <v>11</v>
      </c>
      <c r="G188" s="150">
        <v>2</v>
      </c>
      <c r="H188" s="107" t="s">
        <v>163</v>
      </c>
      <c r="I188" s="150">
        <v>0</v>
      </c>
      <c r="J188" s="107">
        <v>197</v>
      </c>
      <c r="K188" s="107" t="s">
        <v>13</v>
      </c>
      <c r="L188" s="17">
        <f>IF(J188="",0,(J188/J189)*100)</f>
        <v>79.116465863453811</v>
      </c>
      <c r="M188" s="150">
        <v>2</v>
      </c>
      <c r="N188" s="59">
        <v>0</v>
      </c>
      <c r="O188" s="208">
        <f>IF(M188=1,1,0)</f>
        <v>0</v>
      </c>
      <c r="P188" s="10">
        <f>IF(M188=2,1,0)</f>
        <v>1</v>
      </c>
      <c r="Q188" s="194"/>
      <c r="R188" s="194"/>
      <c r="S188" s="194"/>
      <c r="T188" s="30"/>
      <c r="U188" s="31"/>
    </row>
    <row r="189" spans="2:21" ht="20.100000000000001" hidden="1" customHeight="1" outlineLevel="1" thickBot="1" x14ac:dyDescent="0.3">
      <c r="B189" s="13"/>
      <c r="C189" s="30"/>
      <c r="D189" s="30"/>
      <c r="E189" s="30"/>
      <c r="F189" s="533"/>
      <c r="G189" s="533"/>
      <c r="H189" s="30"/>
      <c r="I189" s="64" t="s">
        <v>29</v>
      </c>
      <c r="J189" s="23">
        <f>MAX(J187:J188)</f>
        <v>249</v>
      </c>
      <c r="K189" s="76"/>
      <c r="L189" s="194"/>
      <c r="M189" s="30"/>
      <c r="N189" s="63" t="s">
        <v>33</v>
      </c>
      <c r="O189" s="20">
        <f>SUM(O187:O188)</f>
        <v>1</v>
      </c>
      <c r="P189" s="22">
        <f>SUM(P187:P188)</f>
        <v>1</v>
      </c>
      <c r="Q189" s="77"/>
      <c r="R189" s="77"/>
      <c r="S189" s="77"/>
      <c r="T189" s="30"/>
      <c r="U189" s="31"/>
    </row>
    <row r="190" spans="2:21" ht="20.100000000000001" customHeight="1" collapsed="1" x14ac:dyDescent="0.25">
      <c r="B190" s="13"/>
      <c r="C190" s="30"/>
      <c r="D190" s="30"/>
      <c r="E190" s="30"/>
      <c r="F190" s="30"/>
      <c r="G190" s="30"/>
      <c r="H190" s="30"/>
      <c r="I190" s="30"/>
      <c r="J190" s="30"/>
      <c r="K190" s="30"/>
      <c r="L190" s="30"/>
      <c r="M190" s="30"/>
      <c r="N190" s="30"/>
      <c r="O190" s="30"/>
      <c r="P190" s="30"/>
      <c r="Q190" s="30"/>
      <c r="R190" s="30"/>
      <c r="S190" s="30"/>
      <c r="T190" s="30"/>
      <c r="U190" s="31"/>
    </row>
    <row r="191" spans="2:21" ht="20.100000000000001" customHeight="1" x14ac:dyDescent="0.25">
      <c r="B191" s="13"/>
      <c r="D191" s="28"/>
      <c r="E191" s="28"/>
      <c r="F191" s="28"/>
      <c r="G191" s="28"/>
      <c r="H191" s="29"/>
      <c r="I191" s="28"/>
      <c r="J191" s="28"/>
      <c r="K191" s="28"/>
      <c r="U191" s="13"/>
    </row>
    <row r="192" spans="2:21" ht="20.100000000000001" customHeight="1" thickBot="1" x14ac:dyDescent="0.3">
      <c r="B192" s="13"/>
      <c r="C192" s="32"/>
      <c r="D192" s="32"/>
      <c r="E192" s="534" t="str">
        <f>IF(OR(L164="-",L164= ""),H164,L164)</f>
        <v>Clans of Caledonia</v>
      </c>
      <c r="F192" s="534"/>
      <c r="G192" s="534"/>
      <c r="H192" s="534"/>
      <c r="I192" s="534"/>
      <c r="J192" s="534"/>
      <c r="K192" s="534"/>
      <c r="L192" s="534"/>
      <c r="M192" s="534"/>
      <c r="N192" s="534"/>
      <c r="O192" s="195"/>
      <c r="P192" s="195"/>
      <c r="Q192" s="195"/>
      <c r="R192" s="195"/>
      <c r="S192" s="195"/>
      <c r="T192" s="32"/>
      <c r="U192" s="13"/>
    </row>
    <row r="193" spans="2:21" ht="50.1" customHeight="1" thickBot="1" x14ac:dyDescent="0.3">
      <c r="B193" s="13"/>
      <c r="C193" s="32"/>
      <c r="D193" s="195"/>
      <c r="E193" s="88" t="s">
        <v>10</v>
      </c>
      <c r="F193" s="125" t="s">
        <v>52</v>
      </c>
      <c r="G193" s="89" t="s">
        <v>14</v>
      </c>
      <c r="H193" s="200" t="s">
        <v>51</v>
      </c>
      <c r="I193" s="18" t="s">
        <v>54</v>
      </c>
      <c r="J193" s="200" t="s">
        <v>53</v>
      </c>
      <c r="K193" s="206" t="s">
        <v>28</v>
      </c>
      <c r="L193" s="200" t="s">
        <v>37</v>
      </c>
      <c r="M193" s="204" t="s">
        <v>16</v>
      </c>
      <c r="N193" s="89" t="s">
        <v>15</v>
      </c>
      <c r="O193" s="5" t="s">
        <v>30</v>
      </c>
      <c r="P193" s="7" t="s">
        <v>34</v>
      </c>
      <c r="Q193" s="195"/>
      <c r="R193" s="195"/>
      <c r="S193" s="195"/>
      <c r="T193" s="32"/>
      <c r="U193" s="13"/>
    </row>
    <row r="194" spans="2:21" ht="20.100000000000001" customHeight="1" x14ac:dyDescent="0.25">
      <c r="B194" s="13"/>
      <c r="C194" s="32"/>
      <c r="D194" s="32"/>
      <c r="E194" s="365" t="s">
        <v>4</v>
      </c>
      <c r="F194" s="253" t="s">
        <v>9</v>
      </c>
      <c r="G194" s="49">
        <v>2</v>
      </c>
      <c r="H194" s="49" t="s">
        <v>481</v>
      </c>
      <c r="I194" s="49">
        <v>0</v>
      </c>
      <c r="J194" s="49">
        <v>121</v>
      </c>
      <c r="K194" s="49" t="s">
        <v>13</v>
      </c>
      <c r="L194" s="50">
        <f>IF(J194="",0,(J194/J196)*100)</f>
        <v>84.615384615384613</v>
      </c>
      <c r="M194" s="49">
        <v>2</v>
      </c>
      <c r="N194" s="61">
        <v>0</v>
      </c>
      <c r="O194" s="209">
        <f>IF(M194=1,1,0)</f>
        <v>0</v>
      </c>
      <c r="P194" s="8">
        <f>IF(M194=2,1,0)</f>
        <v>1</v>
      </c>
      <c r="Q194" s="201"/>
      <c r="R194" s="201"/>
      <c r="S194" s="201"/>
      <c r="T194" s="32"/>
      <c r="U194" s="13"/>
    </row>
    <row r="195" spans="2:21" ht="20.100000000000001" customHeight="1" thickBot="1" x14ac:dyDescent="0.3">
      <c r="B195" s="13"/>
      <c r="C195" s="32"/>
      <c r="D195" s="32"/>
      <c r="E195" s="310" t="s">
        <v>458</v>
      </c>
      <c r="F195" s="283" t="s">
        <v>11</v>
      </c>
      <c r="G195" s="284">
        <v>1</v>
      </c>
      <c r="H195" s="284" t="s">
        <v>345</v>
      </c>
      <c r="I195" s="284">
        <v>0</v>
      </c>
      <c r="J195" s="284">
        <v>143</v>
      </c>
      <c r="K195" s="285" t="s">
        <v>13</v>
      </c>
      <c r="L195" s="286">
        <f>IF(J195="",0,(J195/J196)*100)</f>
        <v>100</v>
      </c>
      <c r="M195" s="284">
        <v>1</v>
      </c>
      <c r="N195" s="287">
        <v>6</v>
      </c>
      <c r="O195" s="208">
        <f>IF(M195=1,1,0)</f>
        <v>1</v>
      </c>
      <c r="P195" s="10">
        <f>IF(M195=2,1,0)</f>
        <v>0</v>
      </c>
      <c r="Q195" s="201"/>
      <c r="R195" s="201"/>
      <c r="S195" s="201"/>
      <c r="T195" s="32"/>
      <c r="U195" s="13"/>
    </row>
    <row r="196" spans="2:21" ht="20.100000000000001" hidden="1" customHeight="1" outlineLevel="1" x14ac:dyDescent="0.25">
      <c r="B196" s="13"/>
      <c r="C196" s="32"/>
      <c r="D196" s="32"/>
      <c r="E196" s="32"/>
      <c r="F196" s="535"/>
      <c r="G196" s="535"/>
      <c r="H196" s="32"/>
      <c r="I196" s="64" t="s">
        <v>29</v>
      </c>
      <c r="J196" s="23">
        <f>MAX(J194:J195)</f>
        <v>143</v>
      </c>
      <c r="K196" s="78"/>
      <c r="L196" s="201"/>
      <c r="M196" s="32"/>
      <c r="N196" s="63" t="s">
        <v>33</v>
      </c>
      <c r="O196" s="20">
        <f>SUM(O194:O195)</f>
        <v>1</v>
      </c>
      <c r="P196" s="22">
        <f>SUM(P194:P195)</f>
        <v>1</v>
      </c>
      <c r="Q196" s="79"/>
      <c r="R196" s="79"/>
      <c r="S196" s="79"/>
      <c r="T196" s="32"/>
      <c r="U196" s="13"/>
    </row>
    <row r="197" spans="2:21" ht="20.100000000000001" customHeight="1" collapsed="1" x14ac:dyDescent="0.25">
      <c r="B197" s="13"/>
      <c r="C197" s="32"/>
      <c r="D197" s="32"/>
      <c r="E197" s="32"/>
      <c r="F197" s="32"/>
      <c r="G197" s="32"/>
      <c r="H197" s="32"/>
      <c r="I197" s="32"/>
      <c r="J197" s="32"/>
      <c r="K197" s="32"/>
      <c r="L197" s="32"/>
      <c r="M197" s="32"/>
      <c r="N197" s="32"/>
      <c r="O197" s="32"/>
      <c r="P197" s="32"/>
      <c r="Q197" s="32"/>
      <c r="R197" s="32"/>
      <c r="S197" s="32"/>
      <c r="T197" s="32"/>
      <c r="U197" s="13"/>
    </row>
    <row r="198" spans="2:21" ht="20.100000000000001" customHeight="1" x14ac:dyDescent="0.25">
      <c r="B198" s="13"/>
      <c r="D198" s="4"/>
      <c r="E198" s="4"/>
      <c r="F198" s="4"/>
      <c r="G198" s="4"/>
      <c r="H198" s="4"/>
      <c r="I198" s="4"/>
      <c r="J198" s="4"/>
      <c r="U198" s="13"/>
    </row>
    <row r="199" spans="2:21" ht="30" customHeight="1" thickBot="1" x14ac:dyDescent="0.3">
      <c r="B199" s="13"/>
      <c r="C199" s="33"/>
      <c r="D199" s="312"/>
      <c r="E199" s="536" t="s">
        <v>50</v>
      </c>
      <c r="F199" s="536"/>
      <c r="G199" s="536"/>
      <c r="H199" s="536"/>
      <c r="I199" s="536"/>
      <c r="J199" s="536"/>
      <c r="K199" s="536"/>
      <c r="L199" s="536"/>
      <c r="M199" s="536"/>
      <c r="N199" s="536"/>
      <c r="O199" s="312"/>
      <c r="P199" s="312"/>
      <c r="Q199" s="312"/>
      <c r="R199" s="312"/>
      <c r="S199" s="312"/>
      <c r="T199" s="33"/>
      <c r="U199" s="13"/>
    </row>
    <row r="200" spans="2:21" ht="50.1" customHeight="1" thickBot="1" x14ac:dyDescent="0.3">
      <c r="B200" s="13"/>
      <c r="C200" s="33"/>
      <c r="D200" s="33"/>
      <c r="E200" s="90" t="s">
        <v>10</v>
      </c>
      <c r="F200" s="93" t="s">
        <v>65</v>
      </c>
      <c r="G200" s="91" t="s">
        <v>15</v>
      </c>
      <c r="H200" s="42" t="s">
        <v>55</v>
      </c>
      <c r="I200" s="537" t="s">
        <v>56</v>
      </c>
      <c r="J200" s="538"/>
      <c r="K200" s="202" t="s">
        <v>66</v>
      </c>
      <c r="L200" s="92" t="s">
        <v>17</v>
      </c>
      <c r="M200" s="91" t="s">
        <v>18</v>
      </c>
      <c r="N200" s="93" t="s">
        <v>38</v>
      </c>
      <c r="O200" s="313"/>
      <c r="P200" s="314"/>
      <c r="Q200" s="314"/>
      <c r="R200" s="314"/>
      <c r="S200" s="313"/>
      <c r="T200" s="33"/>
      <c r="U200" s="13"/>
    </row>
    <row r="201" spans="2:21" ht="20.100000000000001" customHeight="1" x14ac:dyDescent="0.25">
      <c r="B201" s="13"/>
      <c r="C201" s="33"/>
      <c r="D201" s="33"/>
      <c r="E201" s="367" t="s">
        <v>458</v>
      </c>
      <c r="F201" s="288" t="s">
        <v>11</v>
      </c>
      <c r="G201" s="133">
        <f>L201*6+M201*0</f>
        <v>12</v>
      </c>
      <c r="H201" s="262">
        <v>0</v>
      </c>
      <c r="I201" s="539" t="s">
        <v>13</v>
      </c>
      <c r="J201" s="539"/>
      <c r="K201" s="133">
        <f>G201+H201</f>
        <v>12</v>
      </c>
      <c r="L201" s="133">
        <v>2</v>
      </c>
      <c r="M201" s="133">
        <v>2</v>
      </c>
      <c r="N201" s="134">
        <f>(L174+L181+L188+L195)/4</f>
        <v>92.573234112922279</v>
      </c>
      <c r="O201" s="316"/>
      <c r="P201" s="317"/>
      <c r="Q201" s="317"/>
      <c r="R201" s="317"/>
      <c r="S201" s="330"/>
      <c r="T201" s="33"/>
      <c r="U201" s="13"/>
    </row>
    <row r="202" spans="2:21" ht="20.100000000000001" customHeight="1" thickBot="1" x14ac:dyDescent="0.3">
      <c r="B202" s="13"/>
      <c r="C202" s="33"/>
      <c r="D202" s="33"/>
      <c r="E202" s="372" t="s">
        <v>4</v>
      </c>
      <c r="F202" s="275" t="s">
        <v>9</v>
      </c>
      <c r="G202" s="109">
        <f>L202*6+M202*0</f>
        <v>12</v>
      </c>
      <c r="H202" s="264">
        <v>0</v>
      </c>
      <c r="I202" s="530" t="s">
        <v>13</v>
      </c>
      <c r="J202" s="530"/>
      <c r="K202" s="109">
        <f>G202+H202</f>
        <v>12</v>
      </c>
      <c r="L202" s="109">
        <v>2</v>
      </c>
      <c r="M202" s="109">
        <v>2</v>
      </c>
      <c r="N202" s="106">
        <f>(L173+L180+L187+L194)/4</f>
        <v>90.911910669975185</v>
      </c>
      <c r="O202" s="316"/>
      <c r="P202" s="317"/>
      <c r="Q202" s="317"/>
      <c r="R202" s="317"/>
      <c r="S202" s="330"/>
      <c r="T202" s="33"/>
      <c r="U202" s="13"/>
    </row>
    <row r="203" spans="2:21" ht="20.100000000000001" customHeight="1" x14ac:dyDescent="0.25">
      <c r="B203" s="13"/>
      <c r="C203" s="33"/>
      <c r="D203" s="33"/>
      <c r="E203" s="33"/>
      <c r="F203" s="16"/>
      <c r="G203" s="16"/>
      <c r="H203" s="16"/>
      <c r="I203" s="16"/>
      <c r="J203" s="16"/>
      <c r="K203" s="16"/>
      <c r="L203" s="16"/>
      <c r="M203" s="16"/>
      <c r="N203" s="16"/>
      <c r="O203" s="16"/>
      <c r="P203" s="16"/>
      <c r="Q203" s="16"/>
      <c r="R203" s="16"/>
      <c r="S203" s="16"/>
      <c r="T203" s="33"/>
      <c r="U203" s="13"/>
    </row>
    <row r="204" spans="2:21" ht="20.100000000000001" customHeight="1" x14ac:dyDescent="0.25">
      <c r="B204" s="13"/>
      <c r="C204" s="13"/>
      <c r="D204" s="15"/>
      <c r="E204" s="15"/>
      <c r="F204" s="14"/>
      <c r="G204" s="14"/>
      <c r="H204" s="15"/>
      <c r="I204" s="15"/>
      <c r="J204" s="15"/>
      <c r="K204" s="13"/>
      <c r="L204" s="13"/>
      <c r="M204" s="13"/>
      <c r="N204" s="13"/>
      <c r="O204" s="13"/>
      <c r="P204" s="13"/>
      <c r="Q204" s="13"/>
      <c r="R204" s="13"/>
      <c r="S204" s="13"/>
      <c r="T204" s="13"/>
      <c r="U204" s="13"/>
    </row>
  </sheetData>
  <mergeCells count="234">
    <mergeCell ref="I162:J162"/>
    <mergeCell ref="N152:S152"/>
    <mergeCell ref="N157:S157"/>
    <mergeCell ref="I161:J161"/>
    <mergeCell ref="N161:S161"/>
    <mergeCell ref="K153:K156"/>
    <mergeCell ref="L153:L156"/>
    <mergeCell ref="M153:M156"/>
    <mergeCell ref="H139:I139"/>
    <mergeCell ref="H140:I140"/>
    <mergeCell ref="H141:I141"/>
    <mergeCell ref="I163:J163"/>
    <mergeCell ref="N153:S156"/>
    <mergeCell ref="N158:S158"/>
    <mergeCell ref="N159:S159"/>
    <mergeCell ref="D91:D93"/>
    <mergeCell ref="E91:E93"/>
    <mergeCell ref="F91:F93"/>
    <mergeCell ref="G91:G93"/>
    <mergeCell ref="H91:H93"/>
    <mergeCell ref="E157:E160"/>
    <mergeCell ref="D157:D160"/>
    <mergeCell ref="K157:K160"/>
    <mergeCell ref="L157:L160"/>
    <mergeCell ref="M157:M160"/>
    <mergeCell ref="G161:G163"/>
    <mergeCell ref="H161:H163"/>
    <mergeCell ref="F161:F163"/>
    <mergeCell ref="E161:E163"/>
    <mergeCell ref="D161:D163"/>
    <mergeCell ref="G157:G160"/>
    <mergeCell ref="H157:H160"/>
    <mergeCell ref="I158:J158"/>
    <mergeCell ref="I159:J159"/>
    <mergeCell ref="I160:J160"/>
    <mergeCell ref="F157:F160"/>
    <mergeCell ref="I36:J36"/>
    <mergeCell ref="G153:G156"/>
    <mergeCell ref="H153:H156"/>
    <mergeCell ref="D153:D156"/>
    <mergeCell ref="E153:E156"/>
    <mergeCell ref="F153:F156"/>
    <mergeCell ref="I154:J154"/>
    <mergeCell ref="I155:J155"/>
    <mergeCell ref="I156:J156"/>
    <mergeCell ref="I153:J153"/>
    <mergeCell ref="I157:J157"/>
    <mergeCell ref="H142:I142"/>
    <mergeCell ref="H143:I143"/>
    <mergeCell ref="H144:I144"/>
    <mergeCell ref="C149:T149"/>
    <mergeCell ref="D151:D152"/>
    <mergeCell ref="E151:E152"/>
    <mergeCell ref="F151:F152"/>
    <mergeCell ref="G151:J151"/>
    <mergeCell ref="L151:S151"/>
    <mergeCell ref="I152:J152"/>
    <mergeCell ref="F135:G135"/>
    <mergeCell ref="D138:S138"/>
    <mergeCell ref="N28:S29"/>
    <mergeCell ref="D34:D36"/>
    <mergeCell ref="E34:E36"/>
    <mergeCell ref="F34:F36"/>
    <mergeCell ref="G34:G36"/>
    <mergeCell ref="H34:H36"/>
    <mergeCell ref="K34:K36"/>
    <mergeCell ref="D28:D29"/>
    <mergeCell ref="E28:E29"/>
    <mergeCell ref="F28:F29"/>
    <mergeCell ref="G28:G29"/>
    <mergeCell ref="H28:H29"/>
    <mergeCell ref="I29:J29"/>
    <mergeCell ref="M30:M33"/>
    <mergeCell ref="N30:S33"/>
    <mergeCell ref="I31:J31"/>
    <mergeCell ref="I32:J32"/>
    <mergeCell ref="I33:J33"/>
    <mergeCell ref="I28:J28"/>
    <mergeCell ref="D30:D33"/>
    <mergeCell ref="E30:E33"/>
    <mergeCell ref="F30:F33"/>
    <mergeCell ref="G30:G33"/>
    <mergeCell ref="H30:H33"/>
    <mergeCell ref="E192:N192"/>
    <mergeCell ref="F196:G196"/>
    <mergeCell ref="E199:N199"/>
    <mergeCell ref="I200:J200"/>
    <mergeCell ref="I201:J201"/>
    <mergeCell ref="I202:J202"/>
    <mergeCell ref="E171:N171"/>
    <mergeCell ref="F175:G175"/>
    <mergeCell ref="E178:N178"/>
    <mergeCell ref="F182:G182"/>
    <mergeCell ref="E185:N185"/>
    <mergeCell ref="F189:G189"/>
    <mergeCell ref="N164:S164"/>
    <mergeCell ref="I165:J165"/>
    <mergeCell ref="I166:J166"/>
    <mergeCell ref="I167:J167"/>
    <mergeCell ref="I168:J168"/>
    <mergeCell ref="I169:J169"/>
    <mergeCell ref="D164:D169"/>
    <mergeCell ref="E164:E169"/>
    <mergeCell ref="F164:F169"/>
    <mergeCell ref="G164:G169"/>
    <mergeCell ref="H164:H169"/>
    <mergeCell ref="I164:J164"/>
    <mergeCell ref="Y141:Z141"/>
    <mergeCell ref="F108:G108"/>
    <mergeCell ref="E111:N111"/>
    <mergeCell ref="F117:G117"/>
    <mergeCell ref="E120:N120"/>
    <mergeCell ref="F126:G126"/>
    <mergeCell ref="E129:N129"/>
    <mergeCell ref="K98:K100"/>
    <mergeCell ref="L98:L100"/>
    <mergeCell ref="M98:M100"/>
    <mergeCell ref="N98:S100"/>
    <mergeCell ref="I100:J100"/>
    <mergeCell ref="E102:N102"/>
    <mergeCell ref="I99:J99"/>
    <mergeCell ref="D98:D100"/>
    <mergeCell ref="E98:E100"/>
    <mergeCell ref="F98:F100"/>
    <mergeCell ref="G98:G100"/>
    <mergeCell ref="H98:H100"/>
    <mergeCell ref="I98:J98"/>
    <mergeCell ref="I91:J91"/>
    <mergeCell ref="D94:D97"/>
    <mergeCell ref="E94:E97"/>
    <mergeCell ref="F94:F97"/>
    <mergeCell ref="G94:G97"/>
    <mergeCell ref="H94:H97"/>
    <mergeCell ref="I94:J94"/>
    <mergeCell ref="I95:J95"/>
    <mergeCell ref="I92:J92"/>
    <mergeCell ref="I93:J93"/>
    <mergeCell ref="I96:J96"/>
    <mergeCell ref="I97:J97"/>
    <mergeCell ref="L94:L97"/>
    <mergeCell ref="K89:K90"/>
    <mergeCell ref="L89:L90"/>
    <mergeCell ref="M89:M90"/>
    <mergeCell ref="N89:S90"/>
    <mergeCell ref="I90:J90"/>
    <mergeCell ref="D89:D90"/>
    <mergeCell ref="E89:E90"/>
    <mergeCell ref="F89:F90"/>
    <mergeCell ref="G89:G90"/>
    <mergeCell ref="H89:H90"/>
    <mergeCell ref="I89:J89"/>
    <mergeCell ref="K91:K93"/>
    <mergeCell ref="L91:L93"/>
    <mergeCell ref="M91:M93"/>
    <mergeCell ref="N91:S93"/>
    <mergeCell ref="M94:M97"/>
    <mergeCell ref="N94:S97"/>
    <mergeCell ref="K94:K97"/>
    <mergeCell ref="C85:T85"/>
    <mergeCell ref="D87:D88"/>
    <mergeCell ref="E87:E88"/>
    <mergeCell ref="F87:F88"/>
    <mergeCell ref="G87:J87"/>
    <mergeCell ref="L87:S87"/>
    <mergeCell ref="I88:J88"/>
    <mergeCell ref="N88:S88"/>
    <mergeCell ref="H75:I75"/>
    <mergeCell ref="H76:I76"/>
    <mergeCell ref="H77:I77"/>
    <mergeCell ref="H78:I78"/>
    <mergeCell ref="H79:I79"/>
    <mergeCell ref="H80:I80"/>
    <mergeCell ref="F53:G53"/>
    <mergeCell ref="E56:N56"/>
    <mergeCell ref="F62:G62"/>
    <mergeCell ref="E65:N65"/>
    <mergeCell ref="F71:G71"/>
    <mergeCell ref="D74:S74"/>
    <mergeCell ref="I34:J34"/>
    <mergeCell ref="E38:N38"/>
    <mergeCell ref="F44:G44"/>
    <mergeCell ref="F45:G45"/>
    <mergeCell ref="E47:N47"/>
    <mergeCell ref="L34:L36"/>
    <mergeCell ref="M34:M36"/>
    <mergeCell ref="N34:S36"/>
    <mergeCell ref="I35:J35"/>
    <mergeCell ref="I30:J30"/>
    <mergeCell ref="K30:K33"/>
    <mergeCell ref="L30:L33"/>
    <mergeCell ref="K26:K27"/>
    <mergeCell ref="L26:L27"/>
    <mergeCell ref="M26:M27"/>
    <mergeCell ref="K28:K29"/>
    <mergeCell ref="L28:L29"/>
    <mergeCell ref="M28:M29"/>
    <mergeCell ref="N26:S26"/>
    <mergeCell ref="I27:J27"/>
    <mergeCell ref="N27:S27"/>
    <mergeCell ref="D26:D27"/>
    <mergeCell ref="E26:E27"/>
    <mergeCell ref="F26:F27"/>
    <mergeCell ref="G26:G27"/>
    <mergeCell ref="H26:H27"/>
    <mergeCell ref="I26:J26"/>
    <mergeCell ref="D24:D25"/>
    <mergeCell ref="E24:E25"/>
    <mergeCell ref="F24:F25"/>
    <mergeCell ref="G24:J24"/>
    <mergeCell ref="L24:S24"/>
    <mergeCell ref="I25:J25"/>
    <mergeCell ref="N25:S25"/>
    <mergeCell ref="K16:L16"/>
    <mergeCell ref="B17:H17"/>
    <mergeCell ref="B18:C18"/>
    <mergeCell ref="B19:C19"/>
    <mergeCell ref="C22:T22"/>
    <mergeCell ref="B10:C10"/>
    <mergeCell ref="L10:L13"/>
    <mergeCell ref="B11:C11"/>
    <mergeCell ref="B12:C12"/>
    <mergeCell ref="B13:C13"/>
    <mergeCell ref="B14:C14"/>
    <mergeCell ref="L14:L15"/>
    <mergeCell ref="B15:C15"/>
    <mergeCell ref="A1:N2"/>
    <mergeCell ref="B4:I4"/>
    <mergeCell ref="K4:M4"/>
    <mergeCell ref="B5:C5"/>
    <mergeCell ref="B6:C6"/>
    <mergeCell ref="L6:L9"/>
    <mergeCell ref="B7:C7"/>
    <mergeCell ref="B8:C8"/>
    <mergeCell ref="B9:C9"/>
  </mergeCells>
  <conditionalFormatting sqref="B6:C13 B14:B15">
    <cfRule type="expression" dxfId="539" priority="299">
      <formula>$I6="Nein"</formula>
    </cfRule>
    <cfRule type="expression" dxfId="538" priority="300">
      <formula>$I6="Ja"</formula>
    </cfRule>
  </conditionalFormatting>
  <conditionalFormatting sqref="D80:E80">
    <cfRule type="expression" dxfId="537" priority="297">
      <formula>$I80="Nein"</formula>
    </cfRule>
    <cfRule type="expression" dxfId="536" priority="298">
      <formula>$I80="Ja"</formula>
    </cfRule>
  </conditionalFormatting>
  <conditionalFormatting sqref="D8:I8">
    <cfRule type="expression" dxfId="535" priority="293">
      <formula>$I8="Nein"</formula>
    </cfRule>
    <cfRule type="expression" dxfId="534" priority="294">
      <formula>$I8="Ja"</formula>
    </cfRule>
  </conditionalFormatting>
  <conditionalFormatting sqref="I13:I15">
    <cfRule type="expression" dxfId="533" priority="291">
      <formula>$I13="Nein"</formula>
    </cfRule>
    <cfRule type="expression" dxfId="532" priority="292">
      <formula>$I13="Ja"</formula>
    </cfRule>
  </conditionalFormatting>
  <conditionalFormatting sqref="D8:I8">
    <cfRule type="expression" dxfId="531" priority="289">
      <formula>$I8="Nein"</formula>
    </cfRule>
    <cfRule type="expression" dxfId="530" priority="290">
      <formula>$I8="Ja"</formula>
    </cfRule>
  </conditionalFormatting>
  <conditionalFormatting sqref="D141:E141">
    <cfRule type="expression" dxfId="529" priority="285">
      <formula>$I141="Nein"</formula>
    </cfRule>
    <cfRule type="expression" dxfId="528" priority="286">
      <formula>$I141="Ja"</formula>
    </cfRule>
  </conditionalFormatting>
  <conditionalFormatting sqref="D11:I11">
    <cfRule type="expression" dxfId="527" priority="263">
      <formula>$I11="Nein"</formula>
    </cfRule>
    <cfRule type="expression" dxfId="526" priority="264">
      <formula>$I11="Ja"</formula>
    </cfRule>
  </conditionalFormatting>
  <conditionalFormatting sqref="D76:E76">
    <cfRule type="expression" dxfId="525" priority="211">
      <formula>$I76="Nein"</formula>
    </cfRule>
    <cfRule type="expression" dxfId="524" priority="212">
      <formula>$I76="Ja"</formula>
    </cfRule>
  </conditionalFormatting>
  <conditionalFormatting sqref="D77:E77">
    <cfRule type="expression" dxfId="523" priority="209">
      <formula>$I77="Nein"</formula>
    </cfRule>
    <cfRule type="expression" dxfId="522" priority="210">
      <formula>$I77="Ja"</formula>
    </cfRule>
  </conditionalFormatting>
  <conditionalFormatting sqref="D78:E78">
    <cfRule type="expression" dxfId="521" priority="207">
      <formula>$I78="Nein"</formula>
    </cfRule>
    <cfRule type="expression" dxfId="520" priority="208">
      <formula>$I78="Ja"</formula>
    </cfRule>
  </conditionalFormatting>
  <conditionalFormatting sqref="D78:E78">
    <cfRule type="expression" dxfId="519" priority="205">
      <formula>$I78="Nein"</formula>
    </cfRule>
    <cfRule type="expression" dxfId="518" priority="206">
      <formula>$I78="Ja"</formula>
    </cfRule>
  </conditionalFormatting>
  <conditionalFormatting sqref="D79:E79">
    <cfRule type="expression" dxfId="517" priority="203">
      <formula>$I79="Nein"</formula>
    </cfRule>
    <cfRule type="expression" dxfId="516" priority="204">
      <formula>$I79="Ja"</formula>
    </cfRule>
  </conditionalFormatting>
  <conditionalFormatting sqref="D79:E79">
    <cfRule type="expression" dxfId="515" priority="201">
      <formula>$I79="Nein"</formula>
    </cfRule>
    <cfRule type="expression" dxfId="514" priority="202">
      <formula>$I79="Ja"</formula>
    </cfRule>
  </conditionalFormatting>
  <conditionalFormatting sqref="D140:E140">
    <cfRule type="expression" dxfId="513" priority="167">
      <formula>$I140="Nein"</formula>
    </cfRule>
    <cfRule type="expression" dxfId="512" priority="168">
      <formula>$I140="Ja"</formula>
    </cfRule>
  </conditionalFormatting>
  <conditionalFormatting sqref="D153:E153 D157:E157">
    <cfRule type="expression" dxfId="511" priority="163">
      <formula>$J153="Ja"</formula>
    </cfRule>
    <cfRule type="expression" dxfId="510" priority="164">
      <formula>$J153="Nein"</formula>
    </cfRule>
  </conditionalFormatting>
  <conditionalFormatting sqref="E201:F201">
    <cfRule type="expression" dxfId="509" priority="145">
      <formula>$I201="Nein"</formula>
    </cfRule>
    <cfRule type="expression" dxfId="508" priority="146">
      <formula>$I201="Ja"</formula>
    </cfRule>
  </conditionalFormatting>
  <conditionalFormatting sqref="E202:F202">
    <cfRule type="expression" dxfId="507" priority="143">
      <formula>$I202="Nein"</formula>
    </cfRule>
    <cfRule type="expression" dxfId="506" priority="144">
      <formula>$I202="Ja"</formula>
    </cfRule>
  </conditionalFormatting>
  <conditionalFormatting sqref="D16:I16">
    <cfRule type="expression" dxfId="505" priority="137">
      <formula>$I16="Nein"</formula>
    </cfRule>
    <cfRule type="expression" dxfId="504" priority="138">
      <formula>$I16="Ja"</formula>
    </cfRule>
  </conditionalFormatting>
  <conditionalFormatting sqref="D16:I16">
    <cfRule type="expression" dxfId="503" priority="135">
      <formula>$I16="Nein"</formula>
    </cfRule>
    <cfRule type="expression" dxfId="502" priority="136">
      <formula>$I16="Ja"</formula>
    </cfRule>
  </conditionalFormatting>
  <conditionalFormatting sqref="D6:I6">
    <cfRule type="expression" dxfId="501" priority="133">
      <formula>$I6="Nein"</formula>
    </cfRule>
    <cfRule type="expression" dxfId="500" priority="134">
      <formula>$I6="Ja"</formula>
    </cfRule>
  </conditionalFormatting>
  <conditionalFormatting sqref="I7">
    <cfRule type="expression" dxfId="499" priority="131">
      <formula>$I7="Nein"</formula>
    </cfRule>
    <cfRule type="expression" dxfId="498" priority="132">
      <formula>$I7="Ja"</formula>
    </cfRule>
  </conditionalFormatting>
  <conditionalFormatting sqref="D7:H7">
    <cfRule type="expression" dxfId="497" priority="129">
      <formula>$I7="Nein"</formula>
    </cfRule>
    <cfRule type="expression" dxfId="496" priority="130">
      <formula>$I7="Ja"</formula>
    </cfRule>
  </conditionalFormatting>
  <conditionalFormatting sqref="D9:I9">
    <cfRule type="expression" dxfId="495" priority="127">
      <formula>$I9="Nein"</formula>
    </cfRule>
    <cfRule type="expression" dxfId="494" priority="128">
      <formula>$I9="Ja"</formula>
    </cfRule>
  </conditionalFormatting>
  <conditionalFormatting sqref="D12:I12">
    <cfRule type="expression" dxfId="493" priority="125">
      <formula>$I12="Nein"</formula>
    </cfRule>
    <cfRule type="expression" dxfId="492" priority="126">
      <formula>$I12="Ja"</formula>
    </cfRule>
  </conditionalFormatting>
  <conditionalFormatting sqref="D10:I10">
    <cfRule type="expression" dxfId="491" priority="123">
      <formula>$I10="Nein"</formula>
    </cfRule>
    <cfRule type="expression" dxfId="490" priority="124">
      <formula>$I10="Ja"</formula>
    </cfRule>
  </conditionalFormatting>
  <conditionalFormatting sqref="D10:I10">
    <cfRule type="expression" dxfId="489" priority="121">
      <formula>$I10="Nein"</formula>
    </cfRule>
    <cfRule type="expression" dxfId="488" priority="122">
      <formula>$I10="Ja"</formula>
    </cfRule>
  </conditionalFormatting>
  <conditionalFormatting sqref="D13:H13">
    <cfRule type="expression" dxfId="487" priority="119">
      <formula>$I13="Nein"</formula>
    </cfRule>
    <cfRule type="expression" dxfId="486" priority="120">
      <formula>$I13="Ja"</formula>
    </cfRule>
  </conditionalFormatting>
  <conditionalFormatting sqref="D14:H14">
    <cfRule type="expression" dxfId="485" priority="117">
      <formula>$I14="Nein"</formula>
    </cfRule>
    <cfRule type="expression" dxfId="484" priority="118">
      <formula>$I14="Ja"</formula>
    </cfRule>
  </conditionalFormatting>
  <conditionalFormatting sqref="D15:H15">
    <cfRule type="expression" dxfId="483" priority="115">
      <formula>$I15="Nein"</formula>
    </cfRule>
    <cfRule type="expression" dxfId="482" priority="116">
      <formula>$I15="Ja"</formula>
    </cfRule>
  </conditionalFormatting>
  <conditionalFormatting sqref="E42:F42">
    <cfRule type="expression" dxfId="481" priority="113">
      <formula>$I42="Nein"</formula>
    </cfRule>
    <cfRule type="expression" dxfId="480" priority="114">
      <formula>$I42="Ja"</formula>
    </cfRule>
  </conditionalFormatting>
  <conditionalFormatting sqref="E42:F42">
    <cfRule type="expression" dxfId="479" priority="111">
      <formula>$I42="Nein"</formula>
    </cfRule>
    <cfRule type="expression" dxfId="478" priority="112">
      <formula>$I42="Ja"</formula>
    </cfRule>
  </conditionalFormatting>
  <conditionalFormatting sqref="E40:F40">
    <cfRule type="expression" dxfId="477" priority="109">
      <formula>$I40="Nein"</formula>
    </cfRule>
    <cfRule type="expression" dxfId="476" priority="110">
      <formula>$I40="Ja"</formula>
    </cfRule>
  </conditionalFormatting>
  <conditionalFormatting sqref="E41:F41">
    <cfRule type="expression" dxfId="475" priority="107">
      <formula>$I41="Nein"</formula>
    </cfRule>
    <cfRule type="expression" dxfId="474" priority="108">
      <formula>$I41="Ja"</formula>
    </cfRule>
  </conditionalFormatting>
  <conditionalFormatting sqref="E43:F43">
    <cfRule type="expression" dxfId="473" priority="105">
      <formula>$I43="Nein"</formula>
    </cfRule>
    <cfRule type="expression" dxfId="472" priority="106">
      <formula>$I43="Ja"</formula>
    </cfRule>
  </conditionalFormatting>
  <conditionalFormatting sqref="E51:F51">
    <cfRule type="expression" dxfId="471" priority="103">
      <formula>$I51="Nein"</formula>
    </cfRule>
    <cfRule type="expression" dxfId="470" priority="104">
      <formula>$I51="Ja"</formula>
    </cfRule>
  </conditionalFormatting>
  <conditionalFormatting sqref="E51:F51">
    <cfRule type="expression" dxfId="469" priority="101">
      <formula>$I51="Nein"</formula>
    </cfRule>
    <cfRule type="expression" dxfId="468" priority="102">
      <formula>$I51="Ja"</formula>
    </cfRule>
  </conditionalFormatting>
  <conditionalFormatting sqref="E49:F49">
    <cfRule type="expression" dxfId="467" priority="99">
      <formula>$I49="Nein"</formula>
    </cfRule>
    <cfRule type="expression" dxfId="466" priority="100">
      <formula>$I49="Ja"</formula>
    </cfRule>
  </conditionalFormatting>
  <conditionalFormatting sqref="E50:F50">
    <cfRule type="expression" dxfId="465" priority="97">
      <formula>$I50="Nein"</formula>
    </cfRule>
    <cfRule type="expression" dxfId="464" priority="98">
      <formula>$I50="Ja"</formula>
    </cfRule>
  </conditionalFormatting>
  <conditionalFormatting sqref="E52:F52">
    <cfRule type="expression" dxfId="463" priority="95">
      <formula>$I52="Nein"</formula>
    </cfRule>
    <cfRule type="expression" dxfId="462" priority="96">
      <formula>$I52="Ja"</formula>
    </cfRule>
  </conditionalFormatting>
  <conditionalFormatting sqref="E60:F60">
    <cfRule type="expression" dxfId="461" priority="93">
      <formula>$I60="Nein"</formula>
    </cfRule>
    <cfRule type="expression" dxfId="460" priority="94">
      <formula>$I60="Ja"</formula>
    </cfRule>
  </conditionalFormatting>
  <conditionalFormatting sqref="E60:F60">
    <cfRule type="expression" dxfId="459" priority="91">
      <formula>$I60="Nein"</formula>
    </cfRule>
    <cfRule type="expression" dxfId="458" priority="92">
      <formula>$I60="Ja"</formula>
    </cfRule>
  </conditionalFormatting>
  <conditionalFormatting sqref="E58:F58">
    <cfRule type="expression" dxfId="457" priority="89">
      <formula>$I58="Nein"</formula>
    </cfRule>
    <cfRule type="expression" dxfId="456" priority="90">
      <formula>$I58="Ja"</formula>
    </cfRule>
  </conditionalFormatting>
  <conditionalFormatting sqref="E59:F59">
    <cfRule type="expression" dxfId="455" priority="87">
      <formula>$I59="Nein"</formula>
    </cfRule>
    <cfRule type="expression" dxfId="454" priority="88">
      <formula>$I59="Ja"</formula>
    </cfRule>
  </conditionalFormatting>
  <conditionalFormatting sqref="E61:F61">
    <cfRule type="expression" dxfId="453" priority="85">
      <formula>$I61="Nein"</formula>
    </cfRule>
    <cfRule type="expression" dxfId="452" priority="86">
      <formula>$I61="Ja"</formula>
    </cfRule>
  </conditionalFormatting>
  <conditionalFormatting sqref="E69:F69">
    <cfRule type="expression" dxfId="451" priority="83">
      <formula>$I69="Nein"</formula>
    </cfRule>
    <cfRule type="expression" dxfId="450" priority="84">
      <formula>$I69="Ja"</formula>
    </cfRule>
  </conditionalFormatting>
  <conditionalFormatting sqref="E69:F69">
    <cfRule type="expression" dxfId="449" priority="81">
      <formula>$I69="Nein"</formula>
    </cfRule>
    <cfRule type="expression" dxfId="448" priority="82">
      <formula>$I69="Ja"</formula>
    </cfRule>
  </conditionalFormatting>
  <conditionalFormatting sqref="E67:F67">
    <cfRule type="expression" dxfId="447" priority="79">
      <formula>$I67="Nein"</formula>
    </cfRule>
    <cfRule type="expression" dxfId="446" priority="80">
      <formula>$I67="Ja"</formula>
    </cfRule>
  </conditionalFormatting>
  <conditionalFormatting sqref="E68:F68">
    <cfRule type="expression" dxfId="445" priority="77">
      <formula>$I68="Nein"</formula>
    </cfRule>
    <cfRule type="expression" dxfId="444" priority="78">
      <formula>$I68="Ja"</formula>
    </cfRule>
  </conditionalFormatting>
  <conditionalFormatting sqref="E70:F70">
    <cfRule type="expression" dxfId="443" priority="75">
      <formula>$I70="Nein"</formula>
    </cfRule>
    <cfRule type="expression" dxfId="442" priority="76">
      <formula>$I70="Ja"</formula>
    </cfRule>
  </conditionalFormatting>
  <conditionalFormatting sqref="E173:F173">
    <cfRule type="expression" dxfId="441" priority="73">
      <formula>$I173="Nein"</formula>
    </cfRule>
    <cfRule type="expression" dxfId="440" priority="74">
      <formula>$I173="Ja"</formula>
    </cfRule>
  </conditionalFormatting>
  <conditionalFormatting sqref="E174:F174">
    <cfRule type="expression" dxfId="439" priority="71">
      <formula>$I174="Nein"</formula>
    </cfRule>
    <cfRule type="expression" dxfId="438" priority="72">
      <formula>$I174="Ja"</formula>
    </cfRule>
  </conditionalFormatting>
  <conditionalFormatting sqref="E180:F180">
    <cfRule type="expression" dxfId="437" priority="69">
      <formula>$I180="Nein"</formula>
    </cfRule>
    <cfRule type="expression" dxfId="436" priority="70">
      <formula>$I180="Ja"</formula>
    </cfRule>
  </conditionalFormatting>
  <conditionalFormatting sqref="E181:F181">
    <cfRule type="expression" dxfId="435" priority="67">
      <formula>$I181="Nein"</formula>
    </cfRule>
    <cfRule type="expression" dxfId="434" priority="68">
      <formula>$I181="Ja"</formula>
    </cfRule>
  </conditionalFormatting>
  <conditionalFormatting sqref="E187:F187">
    <cfRule type="expression" dxfId="433" priority="65">
      <formula>$I187="Nein"</formula>
    </cfRule>
    <cfRule type="expression" dxfId="432" priority="66">
      <formula>$I187="Ja"</formula>
    </cfRule>
  </conditionalFormatting>
  <conditionalFormatting sqref="E188:F188">
    <cfRule type="expression" dxfId="431" priority="63">
      <formula>$I188="Nein"</formula>
    </cfRule>
    <cfRule type="expression" dxfId="430" priority="64">
      <formula>$I188="Ja"</formula>
    </cfRule>
  </conditionalFormatting>
  <conditionalFormatting sqref="E194:F194">
    <cfRule type="expression" dxfId="429" priority="61">
      <formula>$I194="Nein"</formula>
    </cfRule>
    <cfRule type="expression" dxfId="428" priority="62">
      <formula>$I194="Ja"</formula>
    </cfRule>
  </conditionalFormatting>
  <conditionalFormatting sqref="E195:F195">
    <cfRule type="expression" dxfId="427" priority="59">
      <formula>$I195="Nein"</formula>
    </cfRule>
    <cfRule type="expression" dxfId="426" priority="60">
      <formula>$I195="Ja"</formula>
    </cfRule>
  </conditionalFormatting>
  <conditionalFormatting sqref="E105:F105">
    <cfRule type="expression" dxfId="425" priority="57">
      <formula>$I105="Nein"</formula>
    </cfRule>
    <cfRule type="expression" dxfId="424" priority="58">
      <formula>$I105="Ja"</formula>
    </cfRule>
  </conditionalFormatting>
  <conditionalFormatting sqref="E106:F106">
    <cfRule type="expression" dxfId="423" priority="55">
      <formula>$I106="Nein"</formula>
    </cfRule>
    <cfRule type="expression" dxfId="422" priority="56">
      <formula>$I106="Ja"</formula>
    </cfRule>
  </conditionalFormatting>
  <conditionalFormatting sqref="E104:F104">
    <cfRule type="expression" dxfId="421" priority="53">
      <formula>$I104="Nein"</formula>
    </cfRule>
    <cfRule type="expression" dxfId="420" priority="54">
      <formula>$I104="Ja"</formula>
    </cfRule>
  </conditionalFormatting>
  <conditionalFormatting sqref="E104:F104">
    <cfRule type="expression" dxfId="419" priority="51">
      <formula>$I104="Nein"</formula>
    </cfRule>
    <cfRule type="expression" dxfId="418" priority="52">
      <formula>$I104="Ja"</formula>
    </cfRule>
  </conditionalFormatting>
  <conditionalFormatting sqref="E107:F107">
    <cfRule type="expression" dxfId="417" priority="49">
      <formula>$I107="Nein"</formula>
    </cfRule>
    <cfRule type="expression" dxfId="416" priority="50">
      <formula>$I107="Ja"</formula>
    </cfRule>
  </conditionalFormatting>
  <conditionalFormatting sqref="E114:F114">
    <cfRule type="expression" dxfId="415" priority="47">
      <formula>$I114="Nein"</formula>
    </cfRule>
    <cfRule type="expression" dxfId="414" priority="48">
      <formula>$I114="Ja"</formula>
    </cfRule>
  </conditionalFormatting>
  <conditionalFormatting sqref="E115:F115">
    <cfRule type="expression" dxfId="413" priority="45">
      <formula>$I115="Nein"</formula>
    </cfRule>
    <cfRule type="expression" dxfId="412" priority="46">
      <formula>$I115="Ja"</formula>
    </cfRule>
  </conditionalFormatting>
  <conditionalFormatting sqref="E113:F113">
    <cfRule type="expression" dxfId="411" priority="43">
      <formula>$I113="Nein"</formula>
    </cfRule>
    <cfRule type="expression" dxfId="410" priority="44">
      <formula>$I113="Ja"</formula>
    </cfRule>
  </conditionalFormatting>
  <conditionalFormatting sqref="E113:F113">
    <cfRule type="expression" dxfId="409" priority="41">
      <formula>$I113="Nein"</formula>
    </cfRule>
    <cfRule type="expression" dxfId="408" priority="42">
      <formula>$I113="Ja"</formula>
    </cfRule>
  </conditionalFormatting>
  <conditionalFormatting sqref="E116:F116">
    <cfRule type="expression" dxfId="407" priority="39">
      <formula>$I116="Nein"</formula>
    </cfRule>
    <cfRule type="expression" dxfId="406" priority="40">
      <formula>$I116="Ja"</formula>
    </cfRule>
  </conditionalFormatting>
  <conditionalFormatting sqref="E123:F123">
    <cfRule type="expression" dxfId="405" priority="37">
      <formula>$I123="Nein"</formula>
    </cfRule>
    <cfRule type="expression" dxfId="404" priority="38">
      <formula>$I123="Ja"</formula>
    </cfRule>
  </conditionalFormatting>
  <conditionalFormatting sqref="E124:F124">
    <cfRule type="expression" dxfId="403" priority="35">
      <formula>$I124="Nein"</formula>
    </cfRule>
    <cfRule type="expression" dxfId="402" priority="36">
      <formula>$I124="Ja"</formula>
    </cfRule>
  </conditionalFormatting>
  <conditionalFormatting sqref="E122:F122">
    <cfRule type="expression" dxfId="401" priority="33">
      <formula>$I122="Nein"</formula>
    </cfRule>
    <cfRule type="expression" dxfId="400" priority="34">
      <formula>$I122="Ja"</formula>
    </cfRule>
  </conditionalFormatting>
  <conditionalFormatting sqref="E122:F122">
    <cfRule type="expression" dxfId="399" priority="31">
      <formula>$I122="Nein"</formula>
    </cfRule>
    <cfRule type="expression" dxfId="398" priority="32">
      <formula>$I122="Ja"</formula>
    </cfRule>
  </conditionalFormatting>
  <conditionalFormatting sqref="E125:F125">
    <cfRule type="expression" dxfId="397" priority="29">
      <formula>$I125="Nein"</formula>
    </cfRule>
    <cfRule type="expression" dxfId="396" priority="30">
      <formula>$I125="Ja"</formula>
    </cfRule>
  </conditionalFormatting>
  <conditionalFormatting sqref="E132:F132">
    <cfRule type="expression" dxfId="395" priority="17">
      <formula>$I132="Nein"</formula>
    </cfRule>
    <cfRule type="expression" dxfId="394" priority="18">
      <formula>$I132="Ja"</formula>
    </cfRule>
  </conditionalFormatting>
  <conditionalFormatting sqref="E133:F133">
    <cfRule type="expression" dxfId="393" priority="15">
      <formula>$I133="Nein"</formula>
    </cfRule>
    <cfRule type="expression" dxfId="392" priority="16">
      <formula>$I133="Ja"</formula>
    </cfRule>
  </conditionalFormatting>
  <conditionalFormatting sqref="E131:F131">
    <cfRule type="expression" dxfId="391" priority="13">
      <formula>$I131="Nein"</formula>
    </cfRule>
    <cfRule type="expression" dxfId="390" priority="14">
      <formula>$I131="Ja"</formula>
    </cfRule>
  </conditionalFormatting>
  <conditionalFormatting sqref="E131:F131">
    <cfRule type="expression" dxfId="389" priority="11">
      <formula>$I131="Nein"</formula>
    </cfRule>
    <cfRule type="expression" dxfId="388" priority="12">
      <formula>$I131="Ja"</formula>
    </cfRule>
  </conditionalFormatting>
  <conditionalFormatting sqref="E134:F134">
    <cfRule type="expression" dxfId="387" priority="9">
      <formula>$I134="Nein"</formula>
    </cfRule>
    <cfRule type="expression" dxfId="386" priority="10">
      <formula>$I134="Ja"</formula>
    </cfRule>
  </conditionalFormatting>
  <conditionalFormatting sqref="D19:H19">
    <cfRule type="expression" dxfId="385" priority="7">
      <formula>$I19="Nein"</formula>
    </cfRule>
    <cfRule type="expression" dxfId="384" priority="8">
      <formula>$I19="Ja"</formula>
    </cfRule>
  </conditionalFormatting>
  <conditionalFormatting sqref="D144:E144">
    <cfRule type="expression" dxfId="383" priority="5">
      <formula>$I144="Nein"</formula>
    </cfRule>
    <cfRule type="expression" dxfId="382" priority="6">
      <formula>$I144="Ja"</formula>
    </cfRule>
  </conditionalFormatting>
  <conditionalFormatting sqref="D142:E142">
    <cfRule type="expression" dxfId="381" priority="3">
      <formula>$I142="Nein"</formula>
    </cfRule>
    <cfRule type="expression" dxfId="380" priority="4">
      <formula>$I142="Ja"</formula>
    </cfRule>
  </conditionalFormatting>
  <conditionalFormatting sqref="D143:E143">
    <cfRule type="expression" dxfId="379" priority="1">
      <formula>$I143="Nein"</formula>
    </cfRule>
    <cfRule type="expression" dxfId="378" priority="2">
      <formula>$I143="Ja"</formula>
    </cfRule>
  </conditionalFormatting>
  <dataValidations count="1">
    <dataValidation type="list" allowBlank="1" showInputMessage="1" showErrorMessage="1" sqref="O19 I6:I16" xr:uid="{25B65B2B-CC75-4D33-8EBF-66A28F7C085B}">
      <formula1>"Ja,Nein"</formula1>
    </dataValidation>
  </dataValidations>
  <pageMargins left="0.7" right="0.7" top="0.78740157499999996" bottom="0.78740157499999996"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BB5945-AC08-4020-B246-597458F0886D}">
  <dimension ref="A1:AE197"/>
  <sheetViews>
    <sheetView showGridLines="0" topLeftCell="A162" workbookViewId="0">
      <selection activeCell="E179" sqref="E179"/>
    </sheetView>
  </sheetViews>
  <sheetFormatPr baseColWidth="10" defaultColWidth="11.42578125" defaultRowHeight="15" outlineLevelRow="1" outlineLevelCol="1" x14ac:dyDescent="0.25"/>
  <cols>
    <col min="1" max="3" width="3.7109375" style="2" customWidth="1"/>
    <col min="4" max="14" width="20.7109375" style="2" customWidth="1"/>
    <col min="15" max="18" width="20.7109375" style="2" hidden="1" customWidth="1" outlineLevel="1"/>
    <col min="19" max="19" width="20.7109375" style="2" customWidth="1" collapsed="1"/>
    <col min="20" max="21" width="3.7109375" style="2" customWidth="1"/>
    <col min="22" max="22" width="15.85546875" style="2" customWidth="1"/>
    <col min="23" max="24" width="20.7109375" style="2" customWidth="1"/>
    <col min="25" max="16384" width="11.42578125" style="2"/>
  </cols>
  <sheetData>
    <row r="1" spans="1:23" x14ac:dyDescent="0.25">
      <c r="A1" s="573" t="s">
        <v>493</v>
      </c>
      <c r="B1" s="573"/>
      <c r="C1" s="573"/>
      <c r="D1" s="573"/>
      <c r="E1" s="573"/>
      <c r="F1" s="573"/>
      <c r="G1" s="573"/>
      <c r="H1" s="573"/>
      <c r="I1" s="573"/>
      <c r="J1" s="573"/>
      <c r="K1" s="573"/>
      <c r="L1" s="573"/>
      <c r="M1" s="573"/>
      <c r="N1" s="573"/>
    </row>
    <row r="2" spans="1:23" x14ac:dyDescent="0.25">
      <c r="A2" s="573"/>
      <c r="B2" s="573"/>
      <c r="C2" s="573"/>
      <c r="D2" s="573"/>
      <c r="E2" s="573"/>
      <c r="F2" s="573"/>
      <c r="G2" s="573"/>
      <c r="H2" s="573"/>
      <c r="I2" s="573"/>
      <c r="J2" s="573"/>
      <c r="K2" s="573"/>
      <c r="L2" s="573"/>
      <c r="M2" s="573"/>
      <c r="N2" s="573"/>
    </row>
    <row r="3" spans="1:23" ht="20.100000000000001" customHeight="1" thickBot="1" x14ac:dyDescent="0.3"/>
    <row r="4" spans="1:23" ht="15.75" thickBot="1" x14ac:dyDescent="0.3">
      <c r="B4" s="614" t="s">
        <v>494</v>
      </c>
      <c r="C4" s="615"/>
      <c r="D4" s="615"/>
      <c r="E4" s="615"/>
      <c r="F4" s="615"/>
      <c r="G4" s="615"/>
      <c r="H4" s="615"/>
      <c r="I4" s="616"/>
      <c r="K4" s="614" t="s">
        <v>40</v>
      </c>
      <c r="L4" s="615"/>
      <c r="M4" s="616"/>
      <c r="P4" s="53"/>
      <c r="Q4" s="53"/>
      <c r="R4" s="53"/>
      <c r="S4" s="4"/>
      <c r="T4" s="53"/>
      <c r="U4" s="53"/>
      <c r="V4" s="53"/>
      <c r="W4" s="53"/>
    </row>
    <row r="5" spans="1:23" ht="50.1" customHeight="1" thickBot="1" x14ac:dyDescent="0.3">
      <c r="B5" s="586" t="s">
        <v>495</v>
      </c>
      <c r="C5" s="587"/>
      <c r="D5" s="296" t="s">
        <v>21</v>
      </c>
      <c r="E5" s="227" t="s">
        <v>57</v>
      </c>
      <c r="F5" s="227" t="s">
        <v>61</v>
      </c>
      <c r="G5" s="228" t="s">
        <v>62</v>
      </c>
      <c r="H5" s="228" t="s">
        <v>97</v>
      </c>
      <c r="I5" s="227" t="s">
        <v>496</v>
      </c>
      <c r="K5" s="12" t="s">
        <v>21</v>
      </c>
      <c r="L5" s="80" t="s">
        <v>41</v>
      </c>
      <c r="M5" s="19" t="s">
        <v>22</v>
      </c>
      <c r="P5" s="4"/>
      <c r="R5" s="53"/>
      <c r="S5" s="53"/>
      <c r="T5" s="53"/>
      <c r="U5" s="4"/>
      <c r="V5" s="4"/>
    </row>
    <row r="6" spans="1:23" ht="20.100000000000001" customHeight="1" x14ac:dyDescent="0.25">
      <c r="B6" s="576">
        <v>1</v>
      </c>
      <c r="C6" s="577"/>
      <c r="D6" s="254" t="s">
        <v>127</v>
      </c>
      <c r="E6" s="254" t="s">
        <v>60</v>
      </c>
      <c r="F6" s="254" t="s">
        <v>7</v>
      </c>
      <c r="G6" s="254" t="s">
        <v>7</v>
      </c>
      <c r="H6" s="254" t="s">
        <v>7</v>
      </c>
      <c r="I6" s="291" t="s">
        <v>179</v>
      </c>
      <c r="K6" s="24" t="str">
        <f>D6</f>
        <v>Judith Fulterer</v>
      </c>
      <c r="L6" s="578">
        <v>1</v>
      </c>
      <c r="M6" s="113">
        <v>1</v>
      </c>
      <c r="P6" s="6"/>
      <c r="U6" s="6"/>
      <c r="V6" s="6"/>
    </row>
    <row r="7" spans="1:23" ht="20.100000000000001" customHeight="1" x14ac:dyDescent="0.25">
      <c r="B7" s="581">
        <v>2</v>
      </c>
      <c r="C7" s="582"/>
      <c r="D7" s="249" t="s">
        <v>123</v>
      </c>
      <c r="E7" s="248" t="s">
        <v>124</v>
      </c>
      <c r="F7" s="140" t="s">
        <v>59</v>
      </c>
      <c r="G7" s="248" t="s">
        <v>59</v>
      </c>
      <c r="H7" s="248" t="s">
        <v>59</v>
      </c>
      <c r="I7" s="292" t="s">
        <v>39</v>
      </c>
      <c r="K7" s="3" t="str">
        <f t="shared" ref="K7:K15" si="0">D7</f>
        <v>Marc Lambrecht</v>
      </c>
      <c r="L7" s="579"/>
      <c r="M7" s="116">
        <v>2</v>
      </c>
      <c r="P7" s="6"/>
      <c r="U7" s="6"/>
      <c r="V7" s="6"/>
    </row>
    <row r="8" spans="1:23" ht="20.100000000000001" customHeight="1" x14ac:dyDescent="0.25">
      <c r="B8" s="581">
        <v>3</v>
      </c>
      <c r="C8" s="582"/>
      <c r="D8" s="246" t="s">
        <v>0</v>
      </c>
      <c r="E8" s="246" t="s">
        <v>5</v>
      </c>
      <c r="F8" s="246" t="s">
        <v>5</v>
      </c>
      <c r="G8" s="246" t="s">
        <v>5</v>
      </c>
      <c r="H8" s="246" t="s">
        <v>5</v>
      </c>
      <c r="I8" s="292" t="s">
        <v>179</v>
      </c>
      <c r="K8" s="3" t="str">
        <f t="shared" si="0"/>
        <v>Devid Fulterer</v>
      </c>
      <c r="L8" s="579"/>
      <c r="M8" s="116">
        <v>3</v>
      </c>
      <c r="P8" s="6"/>
      <c r="U8" s="6"/>
      <c r="V8" s="6"/>
    </row>
    <row r="9" spans="1:23" ht="20.100000000000001" customHeight="1" thickBot="1" x14ac:dyDescent="0.3">
      <c r="B9" s="581">
        <v>4</v>
      </c>
      <c r="C9" s="582"/>
      <c r="D9" s="246" t="s">
        <v>114</v>
      </c>
      <c r="E9" s="246" t="s">
        <v>102</v>
      </c>
      <c r="F9" s="246" t="s">
        <v>102</v>
      </c>
      <c r="G9" s="246" t="s">
        <v>102</v>
      </c>
      <c r="H9" s="246" t="s">
        <v>102</v>
      </c>
      <c r="I9" s="292" t="s">
        <v>39</v>
      </c>
      <c r="K9" s="45" t="str">
        <f t="shared" si="0"/>
        <v>Jonas Röhrig</v>
      </c>
      <c r="L9" s="580"/>
      <c r="M9" s="46">
        <v>4</v>
      </c>
      <c r="P9" s="6"/>
      <c r="U9" s="6"/>
      <c r="V9" s="6"/>
    </row>
    <row r="10" spans="1:23" ht="20.100000000000001" customHeight="1" x14ac:dyDescent="0.25">
      <c r="B10" s="581">
        <v>5</v>
      </c>
      <c r="C10" s="582"/>
      <c r="D10" s="247" t="s">
        <v>2</v>
      </c>
      <c r="E10" s="247" t="s">
        <v>8</v>
      </c>
      <c r="F10" s="148" t="s">
        <v>8</v>
      </c>
      <c r="G10" s="246" t="s">
        <v>8</v>
      </c>
      <c r="H10" s="246" t="s">
        <v>8</v>
      </c>
      <c r="I10" s="292" t="s">
        <v>179</v>
      </c>
      <c r="K10" s="24" t="str">
        <f>D10</f>
        <v>Markus Hagenauer</v>
      </c>
      <c r="L10" s="578">
        <v>2</v>
      </c>
      <c r="M10" s="113">
        <v>1</v>
      </c>
      <c r="P10" s="6"/>
      <c r="U10" s="6"/>
      <c r="V10" s="6"/>
    </row>
    <row r="11" spans="1:23" ht="20.100000000000001" customHeight="1" x14ac:dyDescent="0.25">
      <c r="B11" s="581">
        <v>6</v>
      </c>
      <c r="C11" s="582"/>
      <c r="D11" s="247" t="s">
        <v>125</v>
      </c>
      <c r="E11" s="247" t="s">
        <v>126</v>
      </c>
      <c r="F11" s="148" t="s">
        <v>59</v>
      </c>
      <c r="G11" s="246" t="s">
        <v>59</v>
      </c>
      <c r="H11" s="246" t="s">
        <v>59</v>
      </c>
      <c r="I11" s="292" t="s">
        <v>179</v>
      </c>
      <c r="K11" s="3" t="str">
        <f t="shared" si="0"/>
        <v>Bea Kittner</v>
      </c>
      <c r="L11" s="579"/>
      <c r="M11" s="116">
        <v>2</v>
      </c>
      <c r="P11" s="6"/>
      <c r="U11" s="6"/>
      <c r="V11" s="6"/>
    </row>
    <row r="12" spans="1:23" ht="20.100000000000001" customHeight="1" x14ac:dyDescent="0.25">
      <c r="B12" s="581">
        <v>7</v>
      </c>
      <c r="C12" s="582"/>
      <c r="D12" s="247" t="s">
        <v>458</v>
      </c>
      <c r="E12" s="246" t="s">
        <v>11</v>
      </c>
      <c r="F12" s="293" t="s">
        <v>11</v>
      </c>
      <c r="G12" s="246" t="s">
        <v>11</v>
      </c>
      <c r="H12" s="246" t="s">
        <v>11</v>
      </c>
      <c r="I12" s="292" t="s">
        <v>179</v>
      </c>
      <c r="K12" s="3" t="str">
        <f t="shared" si="0"/>
        <v>Pauline Micke</v>
      </c>
      <c r="L12" s="579"/>
      <c r="M12" s="116">
        <v>3</v>
      </c>
      <c r="P12" s="6"/>
      <c r="U12" s="6"/>
      <c r="V12" s="6"/>
    </row>
    <row r="13" spans="1:23" ht="20.100000000000001" customHeight="1" thickBot="1" x14ac:dyDescent="0.3">
      <c r="B13" s="955">
        <v>8</v>
      </c>
      <c r="C13" s="956"/>
      <c r="D13" s="247" t="s">
        <v>47</v>
      </c>
      <c r="E13" s="247" t="s">
        <v>64</v>
      </c>
      <c r="F13" s="148" t="s">
        <v>64</v>
      </c>
      <c r="G13" s="246" t="s">
        <v>64</v>
      </c>
      <c r="H13" s="246" t="s">
        <v>64</v>
      </c>
      <c r="I13" s="292" t="s">
        <v>39</v>
      </c>
      <c r="K13" s="361" t="str">
        <f t="shared" si="0"/>
        <v>Kai Maibaum</v>
      </c>
      <c r="L13" s="580"/>
      <c r="M13" s="118">
        <v>4</v>
      </c>
      <c r="P13" s="6"/>
      <c r="U13" s="6"/>
      <c r="V13" s="6"/>
    </row>
    <row r="14" spans="1:23" ht="20.100000000000001" customHeight="1" x14ac:dyDescent="0.25">
      <c r="B14" s="955">
        <v>9</v>
      </c>
      <c r="C14" s="956"/>
      <c r="D14" s="246" t="s">
        <v>4</v>
      </c>
      <c r="E14" s="246" t="s">
        <v>9</v>
      </c>
      <c r="F14" s="246" t="s">
        <v>9</v>
      </c>
      <c r="G14" s="246" t="s">
        <v>9</v>
      </c>
      <c r="H14" s="246" t="s">
        <v>9</v>
      </c>
      <c r="I14" s="292" t="s">
        <v>179</v>
      </c>
      <c r="K14" s="434" t="str">
        <f t="shared" si="0"/>
        <v>Andreas Micke</v>
      </c>
      <c r="L14" s="578">
        <v>3</v>
      </c>
      <c r="M14" s="113">
        <v>1</v>
      </c>
      <c r="P14" s="6"/>
      <c r="U14" s="6"/>
      <c r="V14" s="6"/>
    </row>
    <row r="15" spans="1:23" ht="20.100000000000001" customHeight="1" thickBot="1" x14ac:dyDescent="0.3">
      <c r="B15" s="799">
        <v>10</v>
      </c>
      <c r="C15" s="800"/>
      <c r="D15" s="250" t="s">
        <v>88</v>
      </c>
      <c r="E15" s="255" t="s">
        <v>69</v>
      </c>
      <c r="F15" s="154" t="s">
        <v>69</v>
      </c>
      <c r="G15" s="256" t="s">
        <v>69</v>
      </c>
      <c r="H15" s="251" t="s">
        <v>69</v>
      </c>
      <c r="I15" s="353" t="s">
        <v>179</v>
      </c>
      <c r="K15" s="361" t="str">
        <f t="shared" si="0"/>
        <v>Daniel Zimmermann</v>
      </c>
      <c r="L15" s="580"/>
      <c r="M15" s="118">
        <v>2</v>
      </c>
      <c r="P15" s="6"/>
      <c r="U15" s="6"/>
      <c r="V15" s="6"/>
    </row>
    <row r="16" spans="1:23" ht="20.100000000000001" customHeight="1" thickBot="1" x14ac:dyDescent="0.3">
      <c r="D16" s="294"/>
      <c r="E16" s="294"/>
      <c r="F16" s="295"/>
      <c r="G16" s="28"/>
      <c r="H16" s="28"/>
      <c r="I16" s="294"/>
      <c r="K16" s="584" t="s">
        <v>498</v>
      </c>
      <c r="L16" s="585"/>
      <c r="M16" s="121">
        <f>ROWS(M6:M15)</f>
        <v>10</v>
      </c>
      <c r="O16" s="53"/>
      <c r="P16" s="53"/>
      <c r="R16" s="53"/>
      <c r="S16" s="53"/>
      <c r="T16" s="53"/>
      <c r="U16" s="53"/>
    </row>
    <row r="17" spans="2:23" ht="15.75" thickBot="1" x14ac:dyDescent="0.3">
      <c r="B17" s="614" t="s">
        <v>497</v>
      </c>
      <c r="C17" s="615"/>
      <c r="D17" s="615"/>
      <c r="E17" s="615"/>
      <c r="F17" s="615"/>
      <c r="G17" s="615"/>
      <c r="H17" s="616"/>
      <c r="L17" s="128"/>
      <c r="M17" s="128"/>
      <c r="N17" s="128"/>
      <c r="O17" s="4"/>
      <c r="P17" s="53"/>
      <c r="Q17" s="53"/>
      <c r="S17" s="53"/>
      <c r="T17" s="53"/>
      <c r="U17" s="53"/>
      <c r="V17" s="53"/>
    </row>
    <row r="18" spans="2:23" ht="30.75" thickBot="1" x14ac:dyDescent="0.3">
      <c r="B18" s="586" t="s">
        <v>58</v>
      </c>
      <c r="C18" s="587"/>
      <c r="D18" s="139" t="s">
        <v>21</v>
      </c>
      <c r="E18" s="227" t="s">
        <v>57</v>
      </c>
      <c r="F18" s="227" t="s">
        <v>61</v>
      </c>
      <c r="G18" s="228" t="s">
        <v>62</v>
      </c>
      <c r="H18" s="228" t="s">
        <v>97</v>
      </c>
      <c r="L18" s="128"/>
      <c r="M18" s="128"/>
      <c r="N18" s="128"/>
      <c r="O18" s="4"/>
      <c r="P18" s="53"/>
      <c r="Q18" s="53"/>
      <c r="S18" s="53"/>
      <c r="T18" s="53"/>
      <c r="U18" s="53"/>
      <c r="V18" s="53"/>
    </row>
    <row r="19" spans="2:23" ht="20.100000000000001" customHeight="1" thickBot="1" x14ac:dyDescent="0.3">
      <c r="B19" s="619">
        <v>1</v>
      </c>
      <c r="C19" s="920"/>
      <c r="D19" s="400"/>
      <c r="E19" s="298"/>
      <c r="F19" s="299"/>
      <c r="G19" s="300"/>
      <c r="H19" s="301"/>
      <c r="O19" s="257" t="s">
        <v>39</v>
      </c>
      <c r="P19" s="53"/>
      <c r="Q19" s="53"/>
      <c r="S19" s="53"/>
      <c r="T19" s="53"/>
      <c r="U19" s="53"/>
      <c r="V19" s="53"/>
    </row>
    <row r="20" spans="2:23" ht="20.100000000000001" customHeight="1" x14ac:dyDescent="0.25">
      <c r="M20" s="128"/>
      <c r="N20" s="128"/>
      <c r="O20" s="128"/>
      <c r="P20" s="4"/>
      <c r="Q20" s="53"/>
      <c r="R20" s="53"/>
      <c r="T20" s="53"/>
      <c r="U20" s="53"/>
      <c r="V20" s="53"/>
      <c r="W20" s="53"/>
    </row>
    <row r="21" spans="2:23" ht="20.100000000000001" customHeight="1" x14ac:dyDescent="0.25">
      <c r="B21" s="13"/>
      <c r="C21" s="13"/>
      <c r="D21" s="25"/>
      <c r="E21" s="25"/>
      <c r="F21" s="25"/>
      <c r="G21" s="25"/>
      <c r="H21" s="13"/>
      <c r="I21" s="13"/>
      <c r="J21" s="13"/>
      <c r="K21" s="13"/>
      <c r="L21" s="13"/>
      <c r="M21" s="13"/>
      <c r="N21" s="13"/>
      <c r="O21" s="13"/>
      <c r="P21" s="13"/>
      <c r="Q21" s="13"/>
      <c r="R21" s="13"/>
      <c r="S21" s="13"/>
      <c r="T21" s="13"/>
      <c r="U21" s="13"/>
    </row>
    <row r="22" spans="2:23" ht="30" customHeight="1" x14ac:dyDescent="0.25">
      <c r="B22" s="13"/>
      <c r="C22" s="555" t="s">
        <v>73</v>
      </c>
      <c r="D22" s="555"/>
      <c r="E22" s="555"/>
      <c r="F22" s="555"/>
      <c r="G22" s="555"/>
      <c r="H22" s="555"/>
      <c r="I22" s="555"/>
      <c r="J22" s="555"/>
      <c r="K22" s="555"/>
      <c r="L22" s="555"/>
      <c r="M22" s="555"/>
      <c r="N22" s="555"/>
      <c r="O22" s="555"/>
      <c r="P22" s="555"/>
      <c r="Q22" s="555"/>
      <c r="R22" s="555"/>
      <c r="S22" s="555"/>
      <c r="T22" s="555"/>
      <c r="U22" s="13"/>
    </row>
    <row r="23" spans="2:23" ht="20.100000000000001" customHeight="1" thickBot="1" x14ac:dyDescent="0.3">
      <c r="B23" s="13"/>
      <c r="U23" s="13"/>
    </row>
    <row r="24" spans="2:23" ht="20.100000000000001" customHeight="1" thickBot="1" x14ac:dyDescent="0.3">
      <c r="B24" s="13"/>
      <c r="D24" s="556" t="s">
        <v>10</v>
      </c>
      <c r="E24" s="558" t="s">
        <v>139</v>
      </c>
      <c r="F24" s="560" t="s">
        <v>22</v>
      </c>
      <c r="G24" s="595" t="s">
        <v>42</v>
      </c>
      <c r="H24" s="596"/>
      <c r="I24" s="596"/>
      <c r="J24" s="597"/>
      <c r="K24" s="200" t="s">
        <v>36</v>
      </c>
      <c r="L24" s="563" t="s">
        <v>27</v>
      </c>
      <c r="M24" s="561"/>
      <c r="N24" s="561"/>
      <c r="O24" s="561"/>
      <c r="P24" s="561"/>
      <c r="Q24" s="561"/>
      <c r="R24" s="561"/>
      <c r="S24" s="562"/>
      <c r="U24" s="13"/>
    </row>
    <row r="25" spans="2:23" ht="20.100000000000001" customHeight="1" thickBot="1" x14ac:dyDescent="0.3">
      <c r="B25" s="13"/>
      <c r="D25" s="557"/>
      <c r="E25" s="559"/>
      <c r="F25" s="559"/>
      <c r="G25" s="302" t="s">
        <v>43</v>
      </c>
      <c r="H25" s="302" t="s">
        <v>24</v>
      </c>
      <c r="I25" s="565" t="s">
        <v>23</v>
      </c>
      <c r="J25" s="567"/>
      <c r="K25" s="85" t="s">
        <v>25</v>
      </c>
      <c r="L25" s="85" t="s">
        <v>43</v>
      </c>
      <c r="M25" s="86" t="s">
        <v>26</v>
      </c>
      <c r="N25" s="556" t="s">
        <v>23</v>
      </c>
      <c r="O25" s="588"/>
      <c r="P25" s="588"/>
      <c r="Q25" s="588"/>
      <c r="R25" s="588"/>
      <c r="S25" s="564"/>
      <c r="U25" s="13"/>
    </row>
    <row r="26" spans="2:23" ht="21.95" customHeight="1" x14ac:dyDescent="0.25">
      <c r="B26" s="13"/>
      <c r="D26" s="365" t="s">
        <v>127</v>
      </c>
      <c r="E26" s="253" t="s">
        <v>60</v>
      </c>
      <c r="F26" s="341">
        <v>1</v>
      </c>
      <c r="G26" s="213" t="s">
        <v>44</v>
      </c>
      <c r="H26" s="473" t="s">
        <v>331</v>
      </c>
      <c r="I26" s="656" t="s">
        <v>13</v>
      </c>
      <c r="J26" s="657"/>
      <c r="K26" s="476" t="s">
        <v>12</v>
      </c>
      <c r="L26" s="390" t="s">
        <v>13</v>
      </c>
      <c r="M26" s="391" t="s">
        <v>13</v>
      </c>
      <c r="N26" s="630" t="s">
        <v>13</v>
      </c>
      <c r="O26" s="631"/>
      <c r="P26" s="631"/>
      <c r="Q26" s="631"/>
      <c r="R26" s="631"/>
      <c r="S26" s="632"/>
      <c r="U26" s="13"/>
    </row>
    <row r="27" spans="2:23" ht="21.95" customHeight="1" x14ac:dyDescent="0.25">
      <c r="B27" s="13"/>
      <c r="D27" s="345" t="s">
        <v>123</v>
      </c>
      <c r="E27" s="471" t="s">
        <v>124</v>
      </c>
      <c r="F27" s="411">
        <v>2</v>
      </c>
      <c r="G27" s="424" t="s">
        <v>44</v>
      </c>
      <c r="H27" s="468" t="s">
        <v>499</v>
      </c>
      <c r="I27" s="671" t="s">
        <v>13</v>
      </c>
      <c r="J27" s="673"/>
      <c r="K27" s="469" t="s">
        <v>509</v>
      </c>
      <c r="L27" s="346" t="s">
        <v>13</v>
      </c>
      <c r="M27" s="474" t="s">
        <v>13</v>
      </c>
      <c r="N27" s="693" t="s">
        <v>13</v>
      </c>
      <c r="O27" s="694"/>
      <c r="P27" s="694"/>
      <c r="Q27" s="694"/>
      <c r="R27" s="694"/>
      <c r="S27" s="695"/>
      <c r="U27" s="13"/>
    </row>
    <row r="28" spans="2:23" ht="15" customHeight="1" x14ac:dyDescent="0.25">
      <c r="B28" s="13"/>
      <c r="D28" s="773" t="s">
        <v>0</v>
      </c>
      <c r="E28" s="791" t="s">
        <v>5</v>
      </c>
      <c r="F28" s="846">
        <v>3</v>
      </c>
      <c r="G28" s="841" t="s">
        <v>44</v>
      </c>
      <c r="H28" s="598" t="s">
        <v>500</v>
      </c>
      <c r="I28" s="681" t="s">
        <v>501</v>
      </c>
      <c r="J28" s="684"/>
      <c r="K28" s="660" t="s">
        <v>12</v>
      </c>
      <c r="L28" s="688" t="s">
        <v>13</v>
      </c>
      <c r="M28" s="689" t="s">
        <v>13</v>
      </c>
      <c r="N28" s="693" t="s">
        <v>13</v>
      </c>
      <c r="O28" s="694"/>
      <c r="P28" s="694"/>
      <c r="Q28" s="694"/>
      <c r="R28" s="694"/>
      <c r="S28" s="695"/>
      <c r="U28" s="13"/>
    </row>
    <row r="29" spans="2:23" ht="15" customHeight="1" x14ac:dyDescent="0.25">
      <c r="B29" s="13"/>
      <c r="D29" s="773"/>
      <c r="E29" s="791"/>
      <c r="F29" s="846"/>
      <c r="G29" s="841"/>
      <c r="H29" s="598"/>
      <c r="I29" s="682" t="s">
        <v>502</v>
      </c>
      <c r="J29" s="702"/>
      <c r="K29" s="635"/>
      <c r="L29" s="625"/>
      <c r="M29" s="628"/>
      <c r="N29" s="696"/>
      <c r="O29" s="697"/>
      <c r="P29" s="697"/>
      <c r="Q29" s="697"/>
      <c r="R29" s="697"/>
      <c r="S29" s="698"/>
      <c r="U29" s="13"/>
    </row>
    <row r="30" spans="2:23" ht="15" customHeight="1" x14ac:dyDescent="0.25">
      <c r="B30" s="13"/>
      <c r="D30" s="773"/>
      <c r="E30" s="791"/>
      <c r="F30" s="846"/>
      <c r="G30" s="841"/>
      <c r="H30" s="598"/>
      <c r="I30" s="683" t="s">
        <v>503</v>
      </c>
      <c r="J30" s="751"/>
      <c r="K30" s="635"/>
      <c r="L30" s="625"/>
      <c r="M30" s="628"/>
      <c r="N30" s="696"/>
      <c r="O30" s="697"/>
      <c r="P30" s="697"/>
      <c r="Q30" s="697"/>
      <c r="R30" s="697"/>
      <c r="S30" s="698"/>
      <c r="U30" s="13"/>
    </row>
    <row r="31" spans="2:23" ht="27.95" customHeight="1" x14ac:dyDescent="0.25">
      <c r="B31" s="13"/>
      <c r="D31" s="773" t="s">
        <v>114</v>
      </c>
      <c r="E31" s="791" t="s">
        <v>102</v>
      </c>
      <c r="F31" s="846">
        <v>4</v>
      </c>
      <c r="G31" s="941" t="s">
        <v>44</v>
      </c>
      <c r="H31" s="611" t="s">
        <v>504</v>
      </c>
      <c r="I31" s="725" t="s">
        <v>505</v>
      </c>
      <c r="J31" s="726"/>
      <c r="K31" s="544" t="s">
        <v>12</v>
      </c>
      <c r="L31" s="797" t="s">
        <v>13</v>
      </c>
      <c r="M31" s="593" t="s">
        <v>13</v>
      </c>
      <c r="N31" s="935" t="s">
        <v>13</v>
      </c>
      <c r="O31" s="935"/>
      <c r="P31" s="935"/>
      <c r="Q31" s="935"/>
      <c r="R31" s="935"/>
      <c r="S31" s="936"/>
      <c r="U31" s="13"/>
    </row>
    <row r="32" spans="2:23" ht="27.95" customHeight="1" x14ac:dyDescent="0.25">
      <c r="B32" s="13"/>
      <c r="D32" s="773"/>
      <c r="E32" s="791"/>
      <c r="F32" s="846"/>
      <c r="G32" s="941"/>
      <c r="H32" s="611"/>
      <c r="I32" s="709" t="s">
        <v>506</v>
      </c>
      <c r="J32" s="710"/>
      <c r="K32" s="544"/>
      <c r="L32" s="797"/>
      <c r="M32" s="593"/>
      <c r="N32" s="935"/>
      <c r="O32" s="935"/>
      <c r="P32" s="935"/>
      <c r="Q32" s="935"/>
      <c r="R32" s="935"/>
      <c r="S32" s="936"/>
      <c r="U32" s="13"/>
    </row>
    <row r="33" spans="2:21" ht="15" customHeight="1" x14ac:dyDescent="0.25">
      <c r="B33" s="13"/>
      <c r="D33" s="773"/>
      <c r="E33" s="791"/>
      <c r="F33" s="846"/>
      <c r="G33" s="941"/>
      <c r="H33" s="611"/>
      <c r="I33" s="709" t="s">
        <v>507</v>
      </c>
      <c r="J33" s="710"/>
      <c r="K33" s="544"/>
      <c r="L33" s="797"/>
      <c r="M33" s="593"/>
      <c r="N33" s="935"/>
      <c r="O33" s="935"/>
      <c r="P33" s="935"/>
      <c r="Q33" s="935"/>
      <c r="R33" s="935"/>
      <c r="S33" s="936"/>
      <c r="U33" s="13"/>
    </row>
    <row r="34" spans="2:21" ht="15" customHeight="1" thickBot="1" x14ac:dyDescent="0.3">
      <c r="B34" s="13"/>
      <c r="D34" s="774"/>
      <c r="E34" s="792"/>
      <c r="F34" s="847"/>
      <c r="G34" s="942"/>
      <c r="H34" s="547"/>
      <c r="I34" s="711" t="s">
        <v>508</v>
      </c>
      <c r="J34" s="712"/>
      <c r="K34" s="551"/>
      <c r="L34" s="798"/>
      <c r="M34" s="601"/>
      <c r="N34" s="600"/>
      <c r="O34" s="600"/>
      <c r="P34" s="600"/>
      <c r="Q34" s="600"/>
      <c r="R34" s="600"/>
      <c r="S34" s="937"/>
      <c r="U34" s="13"/>
    </row>
    <row r="35" spans="2:21" ht="20.100000000000001" customHeight="1" x14ac:dyDescent="0.25">
      <c r="B35" s="13"/>
      <c r="U35" s="13"/>
    </row>
    <row r="36" spans="2:21" ht="20.100000000000001" customHeight="1" thickBot="1" x14ac:dyDescent="0.3">
      <c r="B36" s="13"/>
      <c r="C36" s="26"/>
      <c r="D36" s="26"/>
      <c r="E36" s="552" t="str">
        <f>IF(OR(M26="-",M26= ""),H26,M26)</f>
        <v>Madeira</v>
      </c>
      <c r="F36" s="552"/>
      <c r="G36" s="552"/>
      <c r="H36" s="552"/>
      <c r="I36" s="552"/>
      <c r="J36" s="552"/>
      <c r="K36" s="552"/>
      <c r="L36" s="552"/>
      <c r="M36" s="552"/>
      <c r="N36" s="552"/>
      <c r="O36" s="199"/>
      <c r="P36" s="199"/>
      <c r="Q36" s="199"/>
      <c r="R36" s="199"/>
      <c r="S36" s="199"/>
      <c r="T36" s="26"/>
      <c r="U36" s="13"/>
    </row>
    <row r="37" spans="2:21" ht="50.1" customHeight="1" thickBot="1" x14ac:dyDescent="0.3">
      <c r="B37" s="13"/>
      <c r="C37" s="26"/>
      <c r="D37" s="199"/>
      <c r="E37" s="88" t="s">
        <v>10</v>
      </c>
      <c r="F37" s="125" t="s">
        <v>52</v>
      </c>
      <c r="G37" s="89" t="s">
        <v>14</v>
      </c>
      <c r="H37" s="200" t="s">
        <v>51</v>
      </c>
      <c r="I37" s="18" t="s">
        <v>54</v>
      </c>
      <c r="J37" s="200" t="s">
        <v>53</v>
      </c>
      <c r="K37" s="206" t="s">
        <v>28</v>
      </c>
      <c r="L37" s="200" t="s">
        <v>37</v>
      </c>
      <c r="M37" s="204" t="s">
        <v>16</v>
      </c>
      <c r="N37" s="89" t="s">
        <v>15</v>
      </c>
      <c r="O37" s="5" t="s">
        <v>30</v>
      </c>
      <c r="P37" s="7" t="s">
        <v>34</v>
      </c>
      <c r="Q37" s="7" t="s">
        <v>31</v>
      </c>
      <c r="R37" s="7" t="s">
        <v>32</v>
      </c>
      <c r="S37" s="199"/>
      <c r="T37" s="26"/>
      <c r="U37" s="13"/>
    </row>
    <row r="38" spans="2:21" ht="20.100000000000001" customHeight="1" x14ac:dyDescent="0.25">
      <c r="B38" s="13"/>
      <c r="C38" s="26"/>
      <c r="D38" s="26"/>
      <c r="E38" s="233" t="s">
        <v>127</v>
      </c>
      <c r="F38" s="254" t="s">
        <v>60</v>
      </c>
      <c r="G38" s="111">
        <v>2</v>
      </c>
      <c r="H38" s="111" t="s">
        <v>13</v>
      </c>
      <c r="I38" s="111">
        <v>0</v>
      </c>
      <c r="J38" s="111">
        <v>88</v>
      </c>
      <c r="K38" s="111" t="s">
        <v>13</v>
      </c>
      <c r="L38" s="112">
        <f>IF(J38="",0,(J38/J42)*100)</f>
        <v>76.521739130434781</v>
      </c>
      <c r="M38" s="111">
        <v>3</v>
      </c>
      <c r="N38" s="113">
        <v>1</v>
      </c>
      <c r="O38" s="57">
        <f>IF(M38=1,1,0)</f>
        <v>0</v>
      </c>
      <c r="P38" s="209">
        <f>IF(M38=2,1,0)</f>
        <v>0</v>
      </c>
      <c r="Q38" s="209">
        <f>IF(M38=3,1,0)</f>
        <v>1</v>
      </c>
      <c r="R38" s="8">
        <f>IF(M38=4,1,0)</f>
        <v>0</v>
      </c>
      <c r="S38" s="198"/>
      <c r="T38" s="26"/>
      <c r="U38" s="13"/>
    </row>
    <row r="39" spans="2:21" ht="20.100000000000001" customHeight="1" x14ac:dyDescent="0.25">
      <c r="B39" s="13"/>
      <c r="C39" s="26"/>
      <c r="D39" s="26"/>
      <c r="E39" s="3" t="s">
        <v>123</v>
      </c>
      <c r="F39" s="248" t="s">
        <v>124</v>
      </c>
      <c r="G39" s="114">
        <v>3</v>
      </c>
      <c r="H39" s="114" t="s">
        <v>13</v>
      </c>
      <c r="I39" s="114">
        <v>0</v>
      </c>
      <c r="J39" s="114">
        <v>21</v>
      </c>
      <c r="K39" s="114" t="s">
        <v>13</v>
      </c>
      <c r="L39" s="115">
        <f>IF(J39="",0,(J39/J42)*100)</f>
        <v>18.260869565217391</v>
      </c>
      <c r="M39" s="114">
        <v>4</v>
      </c>
      <c r="N39" s="116">
        <v>0</v>
      </c>
      <c r="O39" s="205">
        <f>IF(M39=1,1,0)</f>
        <v>0</v>
      </c>
      <c r="P39" s="207">
        <f>IF(M39=2,1,0)</f>
        <v>0</v>
      </c>
      <c r="Q39" s="207">
        <f>IF(M39=3,1,0)</f>
        <v>0</v>
      </c>
      <c r="R39" s="9">
        <f>IF(M39=4,1,0)</f>
        <v>1</v>
      </c>
      <c r="S39" s="198"/>
      <c r="T39" s="26"/>
      <c r="U39" s="13"/>
    </row>
    <row r="40" spans="2:21" ht="20.100000000000001" customHeight="1" x14ac:dyDescent="0.25">
      <c r="B40" s="13"/>
      <c r="C40" s="26"/>
      <c r="D40" s="26"/>
      <c r="E40" s="96" t="s">
        <v>0</v>
      </c>
      <c r="F40" s="246" t="s">
        <v>5</v>
      </c>
      <c r="G40" s="114">
        <v>4</v>
      </c>
      <c r="H40" s="114" t="s">
        <v>13</v>
      </c>
      <c r="I40" s="114">
        <v>0</v>
      </c>
      <c r="J40" s="114">
        <v>99</v>
      </c>
      <c r="K40" s="114" t="s">
        <v>13</v>
      </c>
      <c r="L40" s="115">
        <f>IF(J40="",0,(J40/J42)*100)</f>
        <v>86.08695652173914</v>
      </c>
      <c r="M40" s="114">
        <v>2</v>
      </c>
      <c r="N40" s="116">
        <v>3</v>
      </c>
      <c r="O40" s="205">
        <f>IF(M40=1,1,0)</f>
        <v>0</v>
      </c>
      <c r="P40" s="207">
        <f>IF(M40=2,1,0)</f>
        <v>1</v>
      </c>
      <c r="Q40" s="207">
        <f>IF(M40=3,1,0)</f>
        <v>0</v>
      </c>
      <c r="R40" s="9">
        <f>IF(M40=4,1,0)</f>
        <v>0</v>
      </c>
      <c r="S40" s="198"/>
      <c r="T40" s="26"/>
      <c r="U40" s="13"/>
    </row>
    <row r="41" spans="2:21" ht="20.100000000000001" customHeight="1" thickBot="1" x14ac:dyDescent="0.3">
      <c r="B41" s="13"/>
      <c r="C41" s="26"/>
      <c r="D41" s="68"/>
      <c r="E41" s="310" t="s">
        <v>114</v>
      </c>
      <c r="F41" s="283" t="s">
        <v>102</v>
      </c>
      <c r="G41" s="284">
        <v>1</v>
      </c>
      <c r="H41" s="284" t="s">
        <v>13</v>
      </c>
      <c r="I41" s="284">
        <v>0</v>
      </c>
      <c r="J41" s="284">
        <v>115</v>
      </c>
      <c r="K41" s="284" t="s">
        <v>13</v>
      </c>
      <c r="L41" s="286">
        <f>IF(J41="",0,(J41/J42)*100)</f>
        <v>100</v>
      </c>
      <c r="M41" s="284">
        <v>1</v>
      </c>
      <c r="N41" s="287">
        <v>6</v>
      </c>
      <c r="O41" s="58">
        <f>IF(M41=1,1,0)</f>
        <v>1</v>
      </c>
      <c r="P41" s="208">
        <f>IF(M41=2,1,0)</f>
        <v>0</v>
      </c>
      <c r="Q41" s="208">
        <f>IF(M41=3,1,0)</f>
        <v>0</v>
      </c>
      <c r="R41" s="10">
        <f>IF(M41=4,1,0)</f>
        <v>0</v>
      </c>
      <c r="S41" s="198"/>
      <c r="T41" s="26"/>
      <c r="U41" s="13"/>
    </row>
    <row r="42" spans="2:21" ht="20.100000000000001" hidden="1" customHeight="1" outlineLevel="1" x14ac:dyDescent="0.25">
      <c r="B42" s="13"/>
      <c r="C42" s="26"/>
      <c r="D42" s="71"/>
      <c r="E42" s="71"/>
      <c r="F42" s="553"/>
      <c r="G42" s="553"/>
      <c r="H42" s="26"/>
      <c r="I42" s="193" t="s">
        <v>29</v>
      </c>
      <c r="J42" s="23">
        <f>MAX(J38:J41)</f>
        <v>115</v>
      </c>
      <c r="K42" s="73"/>
      <c r="L42" s="72"/>
      <c r="M42" s="26"/>
      <c r="N42" s="63" t="s">
        <v>33</v>
      </c>
      <c r="O42" s="20">
        <f>SUM(O38:O41)</f>
        <v>1</v>
      </c>
      <c r="P42" s="21">
        <f>SUM(P38:P41)</f>
        <v>1</v>
      </c>
      <c r="Q42" s="20">
        <f>SUM(Q38:Q41)</f>
        <v>1</v>
      </c>
      <c r="R42" s="20">
        <f>SUM(R38:R41)</f>
        <v>1</v>
      </c>
      <c r="S42" s="69"/>
      <c r="T42" s="26"/>
      <c r="U42" s="13"/>
    </row>
    <row r="43" spans="2:21" ht="20.100000000000001" customHeight="1" collapsed="1" x14ac:dyDescent="0.25">
      <c r="B43" s="13"/>
      <c r="C43" s="26"/>
      <c r="D43" s="26"/>
      <c r="E43" s="26"/>
      <c r="F43" s="607"/>
      <c r="G43" s="607"/>
      <c r="H43" s="199"/>
      <c r="I43" s="26"/>
      <c r="J43" s="26"/>
      <c r="K43" s="26"/>
      <c r="L43" s="26"/>
      <c r="M43" s="26"/>
      <c r="N43" s="26"/>
      <c r="O43" s="26"/>
      <c r="P43" s="26"/>
      <c r="Q43" s="26"/>
      <c r="R43" s="26"/>
      <c r="S43" s="26"/>
      <c r="T43" s="26"/>
      <c r="U43" s="13"/>
    </row>
    <row r="44" spans="2:21" ht="20.100000000000001" customHeight="1" x14ac:dyDescent="0.25">
      <c r="B44" s="13"/>
      <c r="U44" s="13"/>
    </row>
    <row r="45" spans="2:21" ht="20.100000000000001" customHeight="1" thickBot="1" x14ac:dyDescent="0.3">
      <c r="B45" s="13"/>
      <c r="C45" s="27"/>
      <c r="D45" s="27"/>
      <c r="E45" s="554" t="str">
        <f>IF(OR(M27="-",M27= ""),H27,M27)</f>
        <v>Roll for the Galaxy</v>
      </c>
      <c r="F45" s="554"/>
      <c r="G45" s="554"/>
      <c r="H45" s="554"/>
      <c r="I45" s="554"/>
      <c r="J45" s="554"/>
      <c r="K45" s="554"/>
      <c r="L45" s="554"/>
      <c r="M45" s="554"/>
      <c r="N45" s="554"/>
      <c r="O45" s="197"/>
      <c r="P45" s="197"/>
      <c r="Q45" s="197"/>
      <c r="R45" s="197"/>
      <c r="S45" s="197"/>
      <c r="T45" s="27"/>
      <c r="U45" s="13"/>
    </row>
    <row r="46" spans="2:21" ht="50.1" customHeight="1" thickBot="1" x14ac:dyDescent="0.3">
      <c r="B46" s="13"/>
      <c r="C46" s="27"/>
      <c r="D46" s="197"/>
      <c r="E46" s="88" t="s">
        <v>10</v>
      </c>
      <c r="F46" s="125" t="s">
        <v>52</v>
      </c>
      <c r="G46" s="89" t="s">
        <v>14</v>
      </c>
      <c r="H46" s="200" t="s">
        <v>51</v>
      </c>
      <c r="I46" s="18" t="s">
        <v>54</v>
      </c>
      <c r="J46" s="200" t="s">
        <v>53</v>
      </c>
      <c r="K46" s="206" t="s">
        <v>28</v>
      </c>
      <c r="L46" s="200" t="s">
        <v>37</v>
      </c>
      <c r="M46" s="204" t="s">
        <v>16</v>
      </c>
      <c r="N46" s="89" t="s">
        <v>15</v>
      </c>
      <c r="O46" s="5" t="s">
        <v>30</v>
      </c>
      <c r="P46" s="7" t="s">
        <v>34</v>
      </c>
      <c r="Q46" s="7" t="s">
        <v>31</v>
      </c>
      <c r="R46" s="7" t="s">
        <v>32</v>
      </c>
      <c r="S46" s="197"/>
      <c r="T46" s="27"/>
      <c r="U46" s="13"/>
    </row>
    <row r="47" spans="2:21" ht="27.95" customHeight="1" x14ac:dyDescent="0.25">
      <c r="B47" s="13"/>
      <c r="C47" s="27"/>
      <c r="D47" s="27"/>
      <c r="E47" s="233" t="s">
        <v>127</v>
      </c>
      <c r="F47" s="254" t="s">
        <v>60</v>
      </c>
      <c r="G47" s="111" t="s">
        <v>13</v>
      </c>
      <c r="H47" s="268" t="s">
        <v>511</v>
      </c>
      <c r="I47" s="111">
        <v>4</v>
      </c>
      <c r="J47" s="111">
        <v>32</v>
      </c>
      <c r="K47" s="111" t="s">
        <v>13</v>
      </c>
      <c r="L47" s="112">
        <f>IF(J47="",0,(J47/J51)*100)</f>
        <v>91.428571428571431</v>
      </c>
      <c r="M47" s="111">
        <v>2</v>
      </c>
      <c r="N47" s="113">
        <v>3</v>
      </c>
      <c r="O47" s="57">
        <f>IF(M47=1,1,0)</f>
        <v>0</v>
      </c>
      <c r="P47" s="209">
        <f>IF(M47=2,1,0)</f>
        <v>1</v>
      </c>
      <c r="Q47" s="209">
        <f>IF(M47=3,1,0)</f>
        <v>0</v>
      </c>
      <c r="R47" s="8">
        <f>IF(M47=4,1,0)</f>
        <v>0</v>
      </c>
      <c r="S47" s="203"/>
      <c r="T47" s="27"/>
      <c r="U47" s="13"/>
    </row>
    <row r="48" spans="2:21" ht="20.100000000000001" customHeight="1" x14ac:dyDescent="0.25">
      <c r="B48" s="13"/>
      <c r="C48" s="27"/>
      <c r="D48" s="67"/>
      <c r="E48" s="3" t="s">
        <v>123</v>
      </c>
      <c r="F48" s="248" t="s">
        <v>124</v>
      </c>
      <c r="G48" s="114" t="s">
        <v>13</v>
      </c>
      <c r="H48" s="114" t="s">
        <v>513</v>
      </c>
      <c r="I48" s="114">
        <v>3</v>
      </c>
      <c r="J48" s="114">
        <v>25</v>
      </c>
      <c r="K48" s="114" t="s">
        <v>13</v>
      </c>
      <c r="L48" s="115">
        <f>IF(J48="",0,(J48/J51)*100)</f>
        <v>71.428571428571431</v>
      </c>
      <c r="M48" s="114">
        <v>4</v>
      </c>
      <c r="N48" s="116">
        <v>0</v>
      </c>
      <c r="O48" s="205">
        <f>IF(M48=1,1,0)</f>
        <v>0</v>
      </c>
      <c r="P48" s="207">
        <f>IF(M48=2,1,0)</f>
        <v>0</v>
      </c>
      <c r="Q48" s="207">
        <f>IF(M48=3,1,0)</f>
        <v>0</v>
      </c>
      <c r="R48" s="9">
        <f>IF(M48=4,1,0)</f>
        <v>1</v>
      </c>
      <c r="S48" s="203"/>
      <c r="T48" s="27"/>
      <c r="U48" s="13"/>
    </row>
    <row r="49" spans="2:23" ht="27.95" customHeight="1" x14ac:dyDescent="0.25">
      <c r="B49" s="13"/>
      <c r="C49" s="27"/>
      <c r="D49" s="27"/>
      <c r="E49" s="110" t="s">
        <v>0</v>
      </c>
      <c r="F49" s="273" t="s">
        <v>5</v>
      </c>
      <c r="G49" s="149" t="s">
        <v>13</v>
      </c>
      <c r="H49" s="123" t="s">
        <v>510</v>
      </c>
      <c r="I49" s="149">
        <v>6</v>
      </c>
      <c r="J49" s="149">
        <v>35</v>
      </c>
      <c r="K49" s="149" t="s">
        <v>13</v>
      </c>
      <c r="L49" s="38">
        <f>IF(J49="",0,(J49/J51)*100)</f>
        <v>100</v>
      </c>
      <c r="M49" s="149">
        <v>1</v>
      </c>
      <c r="N49" s="108">
        <v>6</v>
      </c>
      <c r="O49" s="205">
        <f>IF(M49=1,1,0)</f>
        <v>1</v>
      </c>
      <c r="P49" s="207">
        <f>IF(M49=2,1,0)</f>
        <v>0</v>
      </c>
      <c r="Q49" s="207">
        <f>IF(M49=3,1,0)</f>
        <v>0</v>
      </c>
      <c r="R49" s="9">
        <f>IF(M49=4,1,0)</f>
        <v>0</v>
      </c>
      <c r="S49" s="203"/>
      <c r="T49" s="27"/>
      <c r="U49" s="13"/>
    </row>
    <row r="50" spans="2:23" ht="20.100000000000001" customHeight="1" thickBot="1" x14ac:dyDescent="0.3">
      <c r="B50" s="13"/>
      <c r="C50" s="27"/>
      <c r="D50" s="27"/>
      <c r="E50" s="144" t="s">
        <v>114</v>
      </c>
      <c r="F50" s="256" t="s">
        <v>102</v>
      </c>
      <c r="G50" s="117" t="s">
        <v>13</v>
      </c>
      <c r="H50" s="117" t="s">
        <v>512</v>
      </c>
      <c r="I50" s="117">
        <v>7</v>
      </c>
      <c r="J50" s="117">
        <v>26</v>
      </c>
      <c r="K50" s="117" t="s">
        <v>13</v>
      </c>
      <c r="L50" s="119">
        <f>IF(J50="",0,(J50/J51)*100)</f>
        <v>74.285714285714292</v>
      </c>
      <c r="M50" s="117">
        <v>3</v>
      </c>
      <c r="N50" s="118">
        <v>1</v>
      </c>
      <c r="O50" s="58">
        <f>IF(M50=1,1,0)</f>
        <v>0</v>
      </c>
      <c r="P50" s="208">
        <f>IF(M50=2,1,0)</f>
        <v>0</v>
      </c>
      <c r="Q50" s="208">
        <f>IF(M50=3,1,0)</f>
        <v>1</v>
      </c>
      <c r="R50" s="10">
        <f>IF(M50=4,1,0)</f>
        <v>0</v>
      </c>
      <c r="S50" s="203"/>
      <c r="T50" s="27"/>
      <c r="U50" s="13"/>
    </row>
    <row r="51" spans="2:23" ht="20.100000000000001" hidden="1" customHeight="1" outlineLevel="1" x14ac:dyDescent="0.25">
      <c r="B51" s="13"/>
      <c r="C51" s="27"/>
      <c r="D51" s="27"/>
      <c r="E51" s="27"/>
      <c r="F51" s="531"/>
      <c r="G51" s="531"/>
      <c r="H51" s="27"/>
      <c r="I51" s="62" t="s">
        <v>29</v>
      </c>
      <c r="J51" s="23">
        <f>MAX(J47:J50)</f>
        <v>35</v>
      </c>
      <c r="K51" s="75"/>
      <c r="L51" s="203"/>
      <c r="M51" s="27"/>
      <c r="N51" s="63" t="s">
        <v>33</v>
      </c>
      <c r="O51" s="20">
        <f>SUM(O47:O50)</f>
        <v>1</v>
      </c>
      <c r="P51" s="21">
        <f>SUM(P47:P50)</f>
        <v>1</v>
      </c>
      <c r="Q51" s="20">
        <f>SUM(Q47:Q50)</f>
        <v>1</v>
      </c>
      <c r="R51" s="22">
        <f>SUM(R47:R50)</f>
        <v>1</v>
      </c>
      <c r="S51" s="74"/>
      <c r="T51" s="27"/>
      <c r="U51" s="13"/>
    </row>
    <row r="52" spans="2:23" ht="20.100000000000001" customHeight="1" collapsed="1" x14ac:dyDescent="0.25">
      <c r="B52" s="13"/>
      <c r="C52" s="27"/>
      <c r="D52" s="27"/>
      <c r="E52" s="27"/>
      <c r="F52" s="27"/>
      <c r="G52" s="27"/>
      <c r="H52" s="27"/>
      <c r="I52" s="27"/>
      <c r="J52" s="27"/>
      <c r="K52" s="27"/>
      <c r="L52" s="27"/>
      <c r="M52" s="27"/>
      <c r="N52" s="27"/>
      <c r="O52" s="27"/>
      <c r="P52" s="27"/>
      <c r="Q52" s="27"/>
      <c r="R52" s="27"/>
      <c r="S52" s="27"/>
      <c r="T52" s="27"/>
      <c r="U52" s="13"/>
    </row>
    <row r="53" spans="2:23" ht="20.100000000000001" customHeight="1" x14ac:dyDescent="0.25">
      <c r="B53" s="13"/>
      <c r="D53" s="28"/>
      <c r="E53" s="28"/>
      <c r="F53" s="28"/>
      <c r="G53" s="28"/>
      <c r="H53" s="29"/>
      <c r="I53" s="28"/>
      <c r="J53" s="28"/>
      <c r="U53" s="13"/>
    </row>
    <row r="54" spans="2:23" ht="20.100000000000001" customHeight="1" thickBot="1" x14ac:dyDescent="0.3">
      <c r="B54" s="13"/>
      <c r="C54" s="30"/>
      <c r="D54" s="30"/>
      <c r="E54" s="532" t="str">
        <f>IF(OR(M28="-",M28= ""),H28,M28)</f>
        <v>Welcome To…</v>
      </c>
      <c r="F54" s="532"/>
      <c r="G54" s="532"/>
      <c r="H54" s="532"/>
      <c r="I54" s="532"/>
      <c r="J54" s="532"/>
      <c r="K54" s="532"/>
      <c r="L54" s="532"/>
      <c r="M54" s="532"/>
      <c r="N54" s="532"/>
      <c r="O54" s="196"/>
      <c r="P54" s="196"/>
      <c r="Q54" s="196"/>
      <c r="R54" s="196"/>
      <c r="S54" s="196"/>
      <c r="T54" s="30"/>
      <c r="U54" s="14"/>
      <c r="V54" s="1"/>
      <c r="W54" s="1"/>
    </row>
    <row r="55" spans="2:23" ht="50.1" customHeight="1" thickBot="1" x14ac:dyDescent="0.3">
      <c r="B55" s="13"/>
      <c r="C55" s="30"/>
      <c r="D55" s="196"/>
      <c r="E55" s="88" t="s">
        <v>10</v>
      </c>
      <c r="F55" s="125" t="s">
        <v>52</v>
      </c>
      <c r="G55" s="89" t="s">
        <v>14</v>
      </c>
      <c r="H55" s="200" t="s">
        <v>51</v>
      </c>
      <c r="I55" s="18" t="s">
        <v>54</v>
      </c>
      <c r="J55" s="200" t="s">
        <v>53</v>
      </c>
      <c r="K55" s="206" t="s">
        <v>28</v>
      </c>
      <c r="L55" s="200" t="s">
        <v>37</v>
      </c>
      <c r="M55" s="204" t="s">
        <v>16</v>
      </c>
      <c r="N55" s="89" t="s">
        <v>15</v>
      </c>
      <c r="O55" s="5" t="s">
        <v>30</v>
      </c>
      <c r="P55" s="7" t="s">
        <v>34</v>
      </c>
      <c r="Q55" s="7" t="s">
        <v>31</v>
      </c>
      <c r="R55" s="19" t="s">
        <v>32</v>
      </c>
      <c r="S55" s="196"/>
      <c r="T55" s="30"/>
      <c r="U55" s="14"/>
      <c r="V55" s="1"/>
      <c r="W55" s="1"/>
    </row>
    <row r="56" spans="2:23" ht="20.100000000000001" customHeight="1" x14ac:dyDescent="0.25">
      <c r="B56" s="13"/>
      <c r="C56" s="30"/>
      <c r="D56" s="30"/>
      <c r="E56" s="233" t="s">
        <v>127</v>
      </c>
      <c r="F56" s="254" t="s">
        <v>60</v>
      </c>
      <c r="G56" s="111" t="s">
        <v>13</v>
      </c>
      <c r="H56" s="111" t="s">
        <v>13</v>
      </c>
      <c r="I56" s="111">
        <v>0</v>
      </c>
      <c r="J56" s="111">
        <v>78</v>
      </c>
      <c r="K56" s="111" t="s">
        <v>13</v>
      </c>
      <c r="L56" s="112">
        <f>IF(J56="",0,(J56/J60)*100)</f>
        <v>89.65517241379311</v>
      </c>
      <c r="M56" s="111">
        <v>3</v>
      </c>
      <c r="N56" s="113">
        <v>1</v>
      </c>
      <c r="O56" s="57">
        <f>IF(M56=1,1,0)</f>
        <v>0</v>
      </c>
      <c r="P56" s="209">
        <f>IF(M56=2,1,0)</f>
        <v>0</v>
      </c>
      <c r="Q56" s="209">
        <f>IF(M56=3,1,0)</f>
        <v>1</v>
      </c>
      <c r="R56" s="8">
        <f>IF(M56=4,1,0)</f>
        <v>0</v>
      </c>
      <c r="S56" s="194"/>
      <c r="T56" s="30"/>
      <c r="U56" s="13"/>
    </row>
    <row r="57" spans="2:23" ht="20.100000000000001" customHeight="1" x14ac:dyDescent="0.25">
      <c r="B57" s="13"/>
      <c r="C57" s="30"/>
      <c r="D57" s="66"/>
      <c r="E57" s="3" t="s">
        <v>123</v>
      </c>
      <c r="F57" s="248" t="s">
        <v>124</v>
      </c>
      <c r="G57" s="114" t="s">
        <v>13</v>
      </c>
      <c r="H57" s="114" t="s">
        <v>13</v>
      </c>
      <c r="I57" s="114">
        <v>0</v>
      </c>
      <c r="J57" s="114">
        <v>68</v>
      </c>
      <c r="K57" s="114" t="s">
        <v>13</v>
      </c>
      <c r="L57" s="115">
        <f>IF(J57="",0,(J57/J60)*100)</f>
        <v>78.160919540229884</v>
      </c>
      <c r="M57" s="114">
        <v>4</v>
      </c>
      <c r="N57" s="116">
        <v>0</v>
      </c>
      <c r="O57" s="205">
        <f>IF(M57=1,1,0)</f>
        <v>0</v>
      </c>
      <c r="P57" s="207">
        <f>IF(M57=2,1,0)</f>
        <v>0</v>
      </c>
      <c r="Q57" s="207">
        <f>IF(M57=3,1,0)</f>
        <v>0</v>
      </c>
      <c r="R57" s="9">
        <f>IF(M57=4,1,0)</f>
        <v>1</v>
      </c>
      <c r="S57" s="194"/>
      <c r="T57" s="30"/>
      <c r="U57" s="31"/>
    </row>
    <row r="58" spans="2:23" ht="20.100000000000001" customHeight="1" x14ac:dyDescent="0.25">
      <c r="B58" s="13"/>
      <c r="C58" s="30"/>
      <c r="D58" s="30"/>
      <c r="E58" s="110" t="s">
        <v>0</v>
      </c>
      <c r="F58" s="273" t="s">
        <v>5</v>
      </c>
      <c r="G58" s="149" t="s">
        <v>13</v>
      </c>
      <c r="H58" s="149" t="s">
        <v>13</v>
      </c>
      <c r="I58" s="149">
        <v>0</v>
      </c>
      <c r="J58" s="149">
        <v>87</v>
      </c>
      <c r="K58" s="149" t="s">
        <v>13</v>
      </c>
      <c r="L58" s="38">
        <f>IF(J58="",0,(J58/J60)*100)</f>
        <v>100</v>
      </c>
      <c r="M58" s="149">
        <v>1</v>
      </c>
      <c r="N58" s="108">
        <v>6</v>
      </c>
      <c r="O58" s="205">
        <f>IF(M58=1,1,0)</f>
        <v>1</v>
      </c>
      <c r="P58" s="207">
        <f>IF(M58=2,1,0)</f>
        <v>0</v>
      </c>
      <c r="Q58" s="207">
        <f>IF(M58=3,1,0)</f>
        <v>0</v>
      </c>
      <c r="R58" s="9">
        <f>IF(M58=4,1,0)</f>
        <v>0</v>
      </c>
      <c r="S58" s="194"/>
      <c r="T58" s="30"/>
      <c r="U58" s="31"/>
    </row>
    <row r="59" spans="2:23" ht="20.100000000000001" customHeight="1" thickBot="1" x14ac:dyDescent="0.3">
      <c r="B59" s="13"/>
      <c r="C59" s="30"/>
      <c r="D59" s="30"/>
      <c r="E59" s="144" t="s">
        <v>114</v>
      </c>
      <c r="F59" s="256" t="s">
        <v>102</v>
      </c>
      <c r="G59" s="117" t="s">
        <v>13</v>
      </c>
      <c r="H59" s="117" t="s">
        <v>13</v>
      </c>
      <c r="I59" s="117">
        <v>0</v>
      </c>
      <c r="J59" s="117">
        <v>81</v>
      </c>
      <c r="K59" s="117" t="s">
        <v>13</v>
      </c>
      <c r="L59" s="119">
        <f>IF(J59="",0,(J59/J60)*100)</f>
        <v>93.103448275862064</v>
      </c>
      <c r="M59" s="117">
        <v>2</v>
      </c>
      <c r="N59" s="118">
        <v>3</v>
      </c>
      <c r="O59" s="58">
        <f>IF(M59=1,1,0)</f>
        <v>0</v>
      </c>
      <c r="P59" s="208">
        <f>IF(M59=2,1,0)</f>
        <v>1</v>
      </c>
      <c r="Q59" s="208">
        <f>IF(M59=3,1,0)</f>
        <v>0</v>
      </c>
      <c r="R59" s="10">
        <f>IF(M59=4,1,0)</f>
        <v>0</v>
      </c>
      <c r="S59" s="194"/>
      <c r="T59" s="30"/>
      <c r="U59" s="31"/>
    </row>
    <row r="60" spans="2:23" ht="20.100000000000001" hidden="1" customHeight="1" outlineLevel="1" x14ac:dyDescent="0.25">
      <c r="B60" s="13"/>
      <c r="C60" s="30"/>
      <c r="D60" s="30"/>
      <c r="E60" s="30"/>
      <c r="F60" s="533"/>
      <c r="G60" s="533"/>
      <c r="H60" s="30"/>
      <c r="I60" s="64" t="s">
        <v>29</v>
      </c>
      <c r="J60" s="23">
        <f>MAX(J56:J59)</f>
        <v>87</v>
      </c>
      <c r="K60" s="76"/>
      <c r="L60" s="194"/>
      <c r="M60" s="30"/>
      <c r="N60" s="63"/>
      <c r="O60" s="20">
        <f>SUM(O56:O59)</f>
        <v>1</v>
      </c>
      <c r="P60" s="21">
        <f>SUM(P56:P59)</f>
        <v>1</v>
      </c>
      <c r="Q60" s="20">
        <f>SUM(Q56:Q59)</f>
        <v>1</v>
      </c>
      <c r="R60" s="22">
        <f>SUM(R56:R59)</f>
        <v>1</v>
      </c>
      <c r="S60" s="77"/>
      <c r="T60" s="30"/>
      <c r="U60" s="31"/>
    </row>
    <row r="61" spans="2:23" ht="20.100000000000001" customHeight="1" collapsed="1" x14ac:dyDescent="0.25">
      <c r="B61" s="13"/>
      <c r="C61" s="30"/>
      <c r="D61" s="30"/>
      <c r="E61" s="30"/>
      <c r="F61" s="30"/>
      <c r="G61" s="30"/>
      <c r="H61" s="30"/>
      <c r="I61" s="30"/>
      <c r="J61" s="30"/>
      <c r="K61" s="30"/>
      <c r="L61" s="30"/>
      <c r="M61" s="30"/>
      <c r="N61" s="30"/>
      <c r="O61" s="30"/>
      <c r="P61" s="30"/>
      <c r="Q61" s="30"/>
      <c r="R61" s="30"/>
      <c r="S61" s="30"/>
      <c r="T61" s="30"/>
      <c r="U61" s="31"/>
    </row>
    <row r="62" spans="2:23" ht="20.100000000000001" customHeight="1" x14ac:dyDescent="0.25">
      <c r="B62" s="13"/>
      <c r="D62" s="28"/>
      <c r="E62" s="28"/>
      <c r="F62" s="28"/>
      <c r="G62" s="28"/>
      <c r="H62" s="29"/>
      <c r="I62" s="28"/>
      <c r="J62" s="28"/>
      <c r="K62" s="28"/>
      <c r="U62" s="13"/>
    </row>
    <row r="63" spans="2:23" ht="20.100000000000001" customHeight="1" thickBot="1" x14ac:dyDescent="0.3">
      <c r="B63" s="13"/>
      <c r="C63" s="32"/>
      <c r="D63" s="32"/>
      <c r="E63" s="534" t="str">
        <f>IF(OR(M31="-",M31= ""),H31,M31)</f>
        <v>Dingo's Dreams</v>
      </c>
      <c r="F63" s="534"/>
      <c r="G63" s="534"/>
      <c r="H63" s="534"/>
      <c r="I63" s="534"/>
      <c r="J63" s="534"/>
      <c r="K63" s="534"/>
      <c r="L63" s="534"/>
      <c r="M63" s="534"/>
      <c r="N63" s="534"/>
      <c r="O63" s="195"/>
      <c r="P63" s="195"/>
      <c r="Q63" s="195"/>
      <c r="R63" s="195"/>
      <c r="S63" s="195"/>
      <c r="T63" s="32"/>
      <c r="U63" s="13"/>
    </row>
    <row r="64" spans="2:23" ht="50.1" customHeight="1" thickBot="1" x14ac:dyDescent="0.3">
      <c r="B64" s="13"/>
      <c r="C64" s="32"/>
      <c r="D64" s="195"/>
      <c r="E64" s="88" t="s">
        <v>10</v>
      </c>
      <c r="F64" s="125" t="s">
        <v>52</v>
      </c>
      <c r="G64" s="89" t="s">
        <v>14</v>
      </c>
      <c r="H64" s="200" t="s">
        <v>51</v>
      </c>
      <c r="I64" s="18" t="s">
        <v>54</v>
      </c>
      <c r="J64" s="200" t="s">
        <v>53</v>
      </c>
      <c r="K64" s="206" t="s">
        <v>28</v>
      </c>
      <c r="L64" s="200" t="s">
        <v>37</v>
      </c>
      <c r="M64" s="204" t="s">
        <v>16</v>
      </c>
      <c r="N64" s="89" t="s">
        <v>15</v>
      </c>
      <c r="O64" s="5" t="s">
        <v>30</v>
      </c>
      <c r="P64" s="7" t="s">
        <v>34</v>
      </c>
      <c r="Q64" s="7" t="s">
        <v>31</v>
      </c>
      <c r="R64" s="19" t="s">
        <v>32</v>
      </c>
      <c r="S64" s="195"/>
      <c r="T64" s="32"/>
      <c r="U64" s="13"/>
    </row>
    <row r="65" spans="2:31" ht="20.100000000000001" customHeight="1" x14ac:dyDescent="0.25">
      <c r="B65" s="13"/>
      <c r="C65" s="32"/>
      <c r="D65" s="32"/>
      <c r="E65" s="233" t="s">
        <v>127</v>
      </c>
      <c r="F65" s="254" t="s">
        <v>60</v>
      </c>
      <c r="G65" s="111" t="s">
        <v>13</v>
      </c>
      <c r="H65" s="111" t="s">
        <v>13</v>
      </c>
      <c r="I65" s="111">
        <v>0</v>
      </c>
      <c r="J65" s="111">
        <v>22</v>
      </c>
      <c r="K65" s="111" t="s">
        <v>13</v>
      </c>
      <c r="L65" s="112">
        <f>IF(J65="",0,(J65/J69)*100)</f>
        <v>73.333333333333329</v>
      </c>
      <c r="M65" s="111">
        <v>3</v>
      </c>
      <c r="N65" s="113">
        <v>0.5</v>
      </c>
      <c r="O65" s="57">
        <f>IF(M65=1,1,0)</f>
        <v>0</v>
      </c>
      <c r="P65" s="209">
        <f>IF(M65=2,1,0)</f>
        <v>0</v>
      </c>
      <c r="Q65" s="209">
        <f>IF(M65=3,1,0)</f>
        <v>1</v>
      </c>
      <c r="R65" s="8">
        <f>IF(M65=4,1,0)</f>
        <v>0</v>
      </c>
      <c r="S65" s="201"/>
      <c r="T65" s="32"/>
      <c r="U65" s="13"/>
    </row>
    <row r="66" spans="2:31" ht="20.100000000000001" customHeight="1" x14ac:dyDescent="0.25">
      <c r="B66" s="13"/>
      <c r="C66" s="32"/>
      <c r="D66" s="32"/>
      <c r="E66" s="3" t="s">
        <v>123</v>
      </c>
      <c r="F66" s="248" t="s">
        <v>124</v>
      </c>
      <c r="G66" s="114" t="s">
        <v>13</v>
      </c>
      <c r="H66" s="114" t="s">
        <v>13</v>
      </c>
      <c r="I66" s="114">
        <v>0</v>
      </c>
      <c r="J66" s="114">
        <v>22</v>
      </c>
      <c r="K66" s="114" t="s">
        <v>13</v>
      </c>
      <c r="L66" s="115">
        <f>IF(J66="",0,(J66/J69)*100)</f>
        <v>73.333333333333329</v>
      </c>
      <c r="M66" s="114">
        <v>3</v>
      </c>
      <c r="N66" s="116">
        <v>0.5</v>
      </c>
      <c r="O66" s="205">
        <f>IF(M66=1,1,0)</f>
        <v>0</v>
      </c>
      <c r="P66" s="207">
        <f>IF(M66=2,1,0)</f>
        <v>0</v>
      </c>
      <c r="Q66" s="207">
        <f>IF(M66=3,1,0)</f>
        <v>1</v>
      </c>
      <c r="R66" s="9">
        <f>IF(M66=4,1,0)</f>
        <v>0</v>
      </c>
      <c r="S66" s="201"/>
      <c r="T66" s="32"/>
      <c r="U66" s="13"/>
    </row>
    <row r="67" spans="2:31" ht="20.100000000000001" customHeight="1" x14ac:dyDescent="0.25">
      <c r="B67" s="13"/>
      <c r="C67" s="32"/>
      <c r="D67" s="32"/>
      <c r="E67" s="96" t="s">
        <v>0</v>
      </c>
      <c r="F67" s="246" t="s">
        <v>5</v>
      </c>
      <c r="G67" s="114" t="s">
        <v>13</v>
      </c>
      <c r="H67" s="114" t="s">
        <v>13</v>
      </c>
      <c r="I67" s="114">
        <v>0</v>
      </c>
      <c r="J67" s="114">
        <v>26</v>
      </c>
      <c r="K67" s="114" t="s">
        <v>13</v>
      </c>
      <c r="L67" s="115">
        <f>IF(J67="",0,(J67/J69)*100)</f>
        <v>86.666666666666671</v>
      </c>
      <c r="M67" s="114">
        <v>2</v>
      </c>
      <c r="N67" s="116">
        <v>3</v>
      </c>
      <c r="O67" s="205">
        <f>IF(M67=1,1,0)</f>
        <v>0</v>
      </c>
      <c r="P67" s="207">
        <f>IF(M67=2,1,0)</f>
        <v>1</v>
      </c>
      <c r="Q67" s="207">
        <f>IF(M67=3,1,0)</f>
        <v>0</v>
      </c>
      <c r="R67" s="9">
        <f>IF(M67=4,1,0)</f>
        <v>0</v>
      </c>
      <c r="S67" s="201"/>
      <c r="T67" s="32"/>
      <c r="U67" s="13"/>
    </row>
    <row r="68" spans="2:31" ht="20.100000000000001" customHeight="1" thickBot="1" x14ac:dyDescent="0.3">
      <c r="B68" s="13"/>
      <c r="C68" s="32"/>
      <c r="D68" s="65"/>
      <c r="E68" s="310" t="s">
        <v>114</v>
      </c>
      <c r="F68" s="283" t="s">
        <v>102</v>
      </c>
      <c r="G68" s="284" t="s">
        <v>13</v>
      </c>
      <c r="H68" s="284" t="s">
        <v>13</v>
      </c>
      <c r="I68" s="284">
        <v>0</v>
      </c>
      <c r="J68" s="284">
        <v>30</v>
      </c>
      <c r="K68" s="284" t="s">
        <v>13</v>
      </c>
      <c r="L68" s="286">
        <f>IF(J68="",0,(J68/J69)*100)</f>
        <v>100</v>
      </c>
      <c r="M68" s="284">
        <v>1</v>
      </c>
      <c r="N68" s="287">
        <v>6</v>
      </c>
      <c r="O68" s="58">
        <f>IF(M68=1,1,0)</f>
        <v>1</v>
      </c>
      <c r="P68" s="208">
        <f>IF(M68=2,1,0)</f>
        <v>0</v>
      </c>
      <c r="Q68" s="208">
        <f>IF(M68=3,1,0)</f>
        <v>0</v>
      </c>
      <c r="R68" s="10">
        <f>IF(M68=4,1,0)</f>
        <v>0</v>
      </c>
      <c r="S68" s="201"/>
      <c r="T68" s="32"/>
      <c r="U68" s="13"/>
    </row>
    <row r="69" spans="2:31" ht="20.100000000000001" hidden="1" customHeight="1" outlineLevel="1" x14ac:dyDescent="0.25">
      <c r="B69" s="13"/>
      <c r="C69" s="32"/>
      <c r="D69" s="32"/>
      <c r="E69" s="32"/>
      <c r="F69" s="535"/>
      <c r="G69" s="535"/>
      <c r="H69" s="32"/>
      <c r="I69" s="62" t="s">
        <v>29</v>
      </c>
      <c r="J69" s="23">
        <f>MAX(J65:J68)</f>
        <v>30</v>
      </c>
      <c r="K69" s="78"/>
      <c r="L69" s="201"/>
      <c r="M69" s="32"/>
      <c r="N69" s="63" t="s">
        <v>33</v>
      </c>
      <c r="O69" s="20">
        <f>SUM(O65:O68)</f>
        <v>1</v>
      </c>
      <c r="P69" s="21">
        <f>SUM(P65:P68)</f>
        <v>1</v>
      </c>
      <c r="Q69" s="20">
        <f>SUM(Q65:Q68)</f>
        <v>2</v>
      </c>
      <c r="R69" s="22">
        <f>SUM(R65:R68)</f>
        <v>0</v>
      </c>
      <c r="S69" s="79"/>
      <c r="T69" s="32"/>
      <c r="U69" s="13"/>
    </row>
    <row r="70" spans="2:31" ht="20.100000000000001" customHeight="1" collapsed="1" x14ac:dyDescent="0.25">
      <c r="B70" s="13"/>
      <c r="C70" s="32"/>
      <c r="D70" s="32"/>
      <c r="E70" s="32"/>
      <c r="F70" s="32"/>
      <c r="G70" s="32"/>
      <c r="H70" s="32"/>
      <c r="I70" s="32"/>
      <c r="J70" s="32"/>
      <c r="K70" s="32"/>
      <c r="L70" s="32"/>
      <c r="M70" s="32"/>
      <c r="N70" s="32"/>
      <c r="O70" s="32"/>
      <c r="P70" s="32"/>
      <c r="Q70" s="32"/>
      <c r="R70" s="32"/>
      <c r="S70" s="32"/>
      <c r="T70" s="32"/>
      <c r="U70" s="13"/>
    </row>
    <row r="71" spans="2:31" ht="20.100000000000001" customHeight="1" x14ac:dyDescent="0.25">
      <c r="B71" s="13"/>
      <c r="D71" s="4"/>
      <c r="E71" s="4"/>
      <c r="F71" s="4"/>
      <c r="G71" s="4"/>
      <c r="H71" s="4"/>
      <c r="I71" s="4"/>
      <c r="J71" s="4"/>
      <c r="U71" s="13"/>
    </row>
    <row r="72" spans="2:31" ht="30" customHeight="1" thickBot="1" x14ac:dyDescent="0.3">
      <c r="B72" s="13"/>
      <c r="C72" s="33"/>
      <c r="D72" s="536" t="s">
        <v>49</v>
      </c>
      <c r="E72" s="536"/>
      <c r="F72" s="536"/>
      <c r="G72" s="536"/>
      <c r="H72" s="536"/>
      <c r="I72" s="536"/>
      <c r="J72" s="536"/>
      <c r="K72" s="536"/>
      <c r="L72" s="536"/>
      <c r="M72" s="536"/>
      <c r="N72" s="536"/>
      <c r="O72" s="536"/>
      <c r="P72" s="536"/>
      <c r="Q72" s="536"/>
      <c r="R72" s="536"/>
      <c r="S72" s="536"/>
      <c r="T72" s="33"/>
      <c r="U72" s="13"/>
    </row>
    <row r="73" spans="2:31" ht="50.1" customHeight="1" thickBot="1" x14ac:dyDescent="0.3">
      <c r="B73" s="13"/>
      <c r="C73" s="33"/>
      <c r="D73" s="90" t="s">
        <v>10</v>
      </c>
      <c r="E73" s="93" t="s">
        <v>139</v>
      </c>
      <c r="F73" s="91" t="s">
        <v>15</v>
      </c>
      <c r="G73" s="42" t="s">
        <v>55</v>
      </c>
      <c r="H73" s="537" t="s">
        <v>56</v>
      </c>
      <c r="I73" s="538"/>
      <c r="J73" s="202" t="s">
        <v>66</v>
      </c>
      <c r="K73" s="92" t="s">
        <v>17</v>
      </c>
      <c r="L73" s="91" t="s">
        <v>18</v>
      </c>
      <c r="M73" s="92" t="s">
        <v>19</v>
      </c>
      <c r="N73" s="91" t="s">
        <v>20</v>
      </c>
      <c r="O73" s="130"/>
      <c r="P73" s="126"/>
      <c r="Q73" s="126"/>
      <c r="R73" s="126"/>
      <c r="S73" s="93" t="s">
        <v>38</v>
      </c>
      <c r="T73" s="33"/>
      <c r="U73" s="13"/>
    </row>
    <row r="74" spans="2:31" ht="20.100000000000001" customHeight="1" x14ac:dyDescent="0.25">
      <c r="B74" s="13"/>
      <c r="C74" s="33"/>
      <c r="D74" s="329" t="s">
        <v>0</v>
      </c>
      <c r="E74" s="375" t="s">
        <v>5</v>
      </c>
      <c r="F74" s="266">
        <f>(K74*6+L74*3+M74*1+N74*0)</f>
        <v>18</v>
      </c>
      <c r="G74" s="266">
        <v>0</v>
      </c>
      <c r="H74" s="603" t="s">
        <v>13</v>
      </c>
      <c r="I74" s="603"/>
      <c r="J74" s="266">
        <f>F74+G74</f>
        <v>18</v>
      </c>
      <c r="K74" s="266">
        <v>2</v>
      </c>
      <c r="L74" s="266">
        <v>2</v>
      </c>
      <c r="M74" s="266">
        <v>0</v>
      </c>
      <c r="N74" s="266">
        <v>0</v>
      </c>
      <c r="O74" s="266"/>
      <c r="P74" s="266"/>
      <c r="Q74" s="266"/>
      <c r="R74" s="266"/>
      <c r="S74" s="146">
        <f>(L40+L49+L58+L67)/4</f>
        <v>93.188405797101453</v>
      </c>
      <c r="T74" s="33"/>
      <c r="U74" s="13"/>
      <c r="W74" s="127"/>
      <c r="X74" s="127"/>
      <c r="Y74" s="127"/>
      <c r="Z74" s="127"/>
    </row>
    <row r="75" spans="2:31" ht="20.100000000000001" customHeight="1" x14ac:dyDescent="0.25">
      <c r="B75" s="13"/>
      <c r="C75" s="33"/>
      <c r="D75" s="155" t="s">
        <v>114</v>
      </c>
      <c r="E75" s="357" t="s">
        <v>102</v>
      </c>
      <c r="F75" s="265">
        <f>(K75*6+L75*3+M75*1+N75*0)</f>
        <v>16</v>
      </c>
      <c r="G75" s="265">
        <v>0</v>
      </c>
      <c r="H75" s="605" t="s">
        <v>13</v>
      </c>
      <c r="I75" s="605"/>
      <c r="J75" s="265">
        <f>F75+G75</f>
        <v>16</v>
      </c>
      <c r="K75" s="265">
        <v>2</v>
      </c>
      <c r="L75" s="265">
        <v>1</v>
      </c>
      <c r="M75" s="265">
        <v>1</v>
      </c>
      <c r="N75" s="265">
        <v>0</v>
      </c>
      <c r="O75" s="265"/>
      <c r="P75" s="265"/>
      <c r="Q75" s="265"/>
      <c r="R75" s="265"/>
      <c r="S75" s="145">
        <f>(L41+L50+L59+L68)/4</f>
        <v>91.847290640394078</v>
      </c>
      <c r="T75" s="33"/>
      <c r="U75" s="13"/>
      <c r="W75" s="192"/>
      <c r="X75" s="192"/>
      <c r="Y75" s="192"/>
      <c r="Z75" s="192"/>
    </row>
    <row r="76" spans="2:31" ht="20.100000000000001" customHeight="1" x14ac:dyDescent="0.25">
      <c r="B76" s="13"/>
      <c r="C76" s="33"/>
      <c r="D76" s="155" t="s">
        <v>127</v>
      </c>
      <c r="E76" s="357" t="s">
        <v>60</v>
      </c>
      <c r="F76" s="265">
        <f>(K76*6+L76*3+M76*1+N76*0)</f>
        <v>5.5</v>
      </c>
      <c r="G76" s="265">
        <v>0</v>
      </c>
      <c r="H76" s="605" t="s">
        <v>13</v>
      </c>
      <c r="I76" s="605"/>
      <c r="J76" s="265">
        <f>F76+G76</f>
        <v>5.5</v>
      </c>
      <c r="K76" s="265">
        <v>0</v>
      </c>
      <c r="L76" s="265">
        <v>1</v>
      </c>
      <c r="M76" s="265">
        <v>2.5</v>
      </c>
      <c r="N76" s="265">
        <v>0.5</v>
      </c>
      <c r="O76" s="265"/>
      <c r="P76" s="265"/>
      <c r="Q76" s="265"/>
      <c r="R76" s="265"/>
      <c r="S76" s="145">
        <f>(L38+L47+L56+L65)/4</f>
        <v>82.734704076533163</v>
      </c>
      <c r="T76" s="33"/>
      <c r="U76" s="13"/>
      <c r="W76" s="192"/>
      <c r="X76" s="192"/>
      <c r="Y76" s="192"/>
      <c r="Z76" s="192"/>
    </row>
    <row r="77" spans="2:31" ht="20.100000000000001" customHeight="1" thickBot="1" x14ac:dyDescent="0.3">
      <c r="B77" s="13"/>
      <c r="C77" s="33"/>
      <c r="D77" s="477" t="s">
        <v>123</v>
      </c>
      <c r="E77" s="478" t="s">
        <v>124</v>
      </c>
      <c r="F77" s="267">
        <f>(K77*6+L77*3+M77*1+N77*0)</f>
        <v>0.5</v>
      </c>
      <c r="G77" s="267">
        <v>0</v>
      </c>
      <c r="H77" s="583" t="s">
        <v>13</v>
      </c>
      <c r="I77" s="806"/>
      <c r="J77" s="267">
        <f>F77+G77</f>
        <v>0.5</v>
      </c>
      <c r="K77" s="267">
        <v>0</v>
      </c>
      <c r="L77" s="267">
        <v>0</v>
      </c>
      <c r="M77" s="267">
        <v>0.5</v>
      </c>
      <c r="N77" s="267">
        <v>3.5</v>
      </c>
      <c r="O77" s="267"/>
      <c r="P77" s="267"/>
      <c r="Q77" s="267"/>
      <c r="R77" s="267"/>
      <c r="S77" s="147">
        <f>(L39+L48+L57+L66)/4</f>
        <v>60.295923466838005</v>
      </c>
      <c r="T77" s="33"/>
      <c r="U77" s="13"/>
      <c r="W77" s="192"/>
      <c r="X77" s="192"/>
      <c r="Y77" s="192"/>
      <c r="Z77" s="192"/>
      <c r="AB77" s="192"/>
      <c r="AC77" s="192"/>
      <c r="AD77" s="192"/>
      <c r="AE77" s="192"/>
    </row>
    <row r="78" spans="2:31" ht="20.100000000000001" customHeight="1" x14ac:dyDescent="0.25">
      <c r="B78" s="13"/>
      <c r="C78" s="33"/>
      <c r="D78" s="373"/>
      <c r="E78" s="373"/>
      <c r="F78" s="16"/>
      <c r="G78" s="16"/>
      <c r="H78" s="782"/>
      <c r="I78" s="783"/>
      <c r="J78" s="16"/>
      <c r="K78" s="16"/>
      <c r="L78" s="16"/>
      <c r="M78" s="16"/>
      <c r="N78" s="16"/>
      <c r="O78" s="16"/>
      <c r="P78" s="16"/>
      <c r="Q78" s="16"/>
      <c r="R78" s="16"/>
      <c r="S78" s="374"/>
      <c r="T78" s="33"/>
      <c r="U78" s="13"/>
      <c r="W78" s="192"/>
      <c r="X78" s="192"/>
      <c r="Y78" s="192"/>
      <c r="Z78" s="192"/>
    </row>
    <row r="79" spans="2:31" ht="20.100000000000001" customHeight="1" x14ac:dyDescent="0.25">
      <c r="B79" s="13"/>
      <c r="C79" s="13"/>
      <c r="D79" s="15"/>
      <c r="E79" s="15"/>
      <c r="F79" s="14"/>
      <c r="G79" s="14"/>
      <c r="H79" s="15"/>
      <c r="I79" s="15"/>
      <c r="J79" s="15"/>
      <c r="K79" s="13"/>
      <c r="L79" s="13"/>
      <c r="M79" s="13"/>
      <c r="N79" s="13"/>
      <c r="O79" s="13"/>
      <c r="P79" s="13"/>
      <c r="Q79" s="13"/>
      <c r="R79" s="13"/>
      <c r="S79" s="13"/>
      <c r="T79" s="13"/>
      <c r="U79" s="13"/>
    </row>
    <row r="80" spans="2:31" ht="20.100000000000001" customHeight="1" x14ac:dyDescent="0.25">
      <c r="D80" s="11"/>
    </row>
    <row r="81" spans="2:21" ht="20.100000000000001" customHeight="1" x14ac:dyDescent="0.25">
      <c r="D81" s="34"/>
    </row>
    <row r="82" spans="2:21" ht="20.100000000000001" customHeight="1" x14ac:dyDescent="0.25">
      <c r="B82" s="13"/>
      <c r="C82" s="13"/>
      <c r="D82" s="25"/>
      <c r="E82" s="25"/>
      <c r="F82" s="25"/>
      <c r="G82" s="25"/>
      <c r="H82" s="13"/>
      <c r="I82" s="13"/>
      <c r="J82" s="13"/>
      <c r="K82" s="13"/>
      <c r="L82" s="13"/>
      <c r="M82" s="13"/>
      <c r="N82" s="13"/>
      <c r="O82" s="13"/>
      <c r="P82" s="13"/>
      <c r="Q82" s="13"/>
      <c r="R82" s="13"/>
      <c r="S82" s="13"/>
      <c r="T82" s="13"/>
      <c r="U82" s="13"/>
    </row>
    <row r="83" spans="2:21" ht="30" customHeight="1" x14ac:dyDescent="0.25">
      <c r="B83" s="13"/>
      <c r="C83" s="555" t="s">
        <v>74</v>
      </c>
      <c r="D83" s="555"/>
      <c r="E83" s="555"/>
      <c r="F83" s="555"/>
      <c r="G83" s="555"/>
      <c r="H83" s="555"/>
      <c r="I83" s="555"/>
      <c r="J83" s="555"/>
      <c r="K83" s="555"/>
      <c r="L83" s="555"/>
      <c r="M83" s="555"/>
      <c r="N83" s="555"/>
      <c r="O83" s="555"/>
      <c r="P83" s="555"/>
      <c r="Q83" s="555"/>
      <c r="R83" s="555"/>
      <c r="S83" s="555"/>
      <c r="T83" s="555"/>
      <c r="U83" s="13"/>
    </row>
    <row r="84" spans="2:21" ht="20.100000000000001" customHeight="1" thickBot="1" x14ac:dyDescent="0.3">
      <c r="B84" s="13"/>
      <c r="U84" s="13"/>
    </row>
    <row r="85" spans="2:21" ht="20.100000000000001" customHeight="1" thickBot="1" x14ac:dyDescent="0.3">
      <c r="B85" s="13"/>
      <c r="D85" s="556" t="s">
        <v>10</v>
      </c>
      <c r="E85" s="558" t="s">
        <v>139</v>
      </c>
      <c r="F85" s="560" t="s">
        <v>22</v>
      </c>
      <c r="G85" s="561" t="s">
        <v>42</v>
      </c>
      <c r="H85" s="561"/>
      <c r="I85" s="561"/>
      <c r="J85" s="562"/>
      <c r="K85" s="200" t="s">
        <v>36</v>
      </c>
      <c r="L85" s="563" t="s">
        <v>27</v>
      </c>
      <c r="M85" s="561"/>
      <c r="N85" s="561"/>
      <c r="O85" s="561"/>
      <c r="P85" s="561"/>
      <c r="Q85" s="561"/>
      <c r="R85" s="561"/>
      <c r="S85" s="562"/>
      <c r="U85" s="13"/>
    </row>
    <row r="86" spans="2:21" ht="20.100000000000001" customHeight="1" thickBot="1" x14ac:dyDescent="0.3">
      <c r="B86" s="13"/>
      <c r="D86" s="557"/>
      <c r="E86" s="559"/>
      <c r="F86" s="559"/>
      <c r="G86" s="86" t="s">
        <v>43</v>
      </c>
      <c r="H86" s="85" t="s">
        <v>24</v>
      </c>
      <c r="I86" s="556" t="s">
        <v>23</v>
      </c>
      <c r="J86" s="564"/>
      <c r="K86" s="85" t="s">
        <v>25</v>
      </c>
      <c r="L86" s="94" t="s">
        <v>43</v>
      </c>
      <c r="M86" s="87" t="s">
        <v>26</v>
      </c>
      <c r="N86" s="556" t="s">
        <v>23</v>
      </c>
      <c r="O86" s="588"/>
      <c r="P86" s="588"/>
      <c r="Q86" s="588"/>
      <c r="R86" s="588"/>
      <c r="S86" s="564"/>
      <c r="U86" s="13"/>
    </row>
    <row r="87" spans="2:21" ht="15" customHeight="1" x14ac:dyDescent="0.25">
      <c r="B87" s="13"/>
      <c r="D87" s="641" t="s">
        <v>2</v>
      </c>
      <c r="E87" s="733" t="s">
        <v>8</v>
      </c>
      <c r="F87" s="647">
        <v>1</v>
      </c>
      <c r="G87" s="735" t="s">
        <v>35</v>
      </c>
      <c r="H87" s="833" t="s">
        <v>518</v>
      </c>
      <c r="I87" s="656" t="s">
        <v>542</v>
      </c>
      <c r="J87" s="657"/>
      <c r="K87" s="787" t="s">
        <v>12</v>
      </c>
      <c r="L87" s="740" t="s">
        <v>13</v>
      </c>
      <c r="M87" s="627" t="s">
        <v>13</v>
      </c>
      <c r="N87" s="630" t="s">
        <v>13</v>
      </c>
      <c r="O87" s="631"/>
      <c r="P87" s="631"/>
      <c r="Q87" s="631"/>
      <c r="R87" s="631"/>
      <c r="S87" s="632"/>
      <c r="U87" s="13"/>
    </row>
    <row r="88" spans="2:21" ht="15" customHeight="1" x14ac:dyDescent="0.25">
      <c r="B88" s="13"/>
      <c r="D88" s="642"/>
      <c r="E88" s="742"/>
      <c r="F88" s="648"/>
      <c r="G88" s="755"/>
      <c r="H88" s="918"/>
      <c r="I88" s="639" t="s">
        <v>543</v>
      </c>
      <c r="J88" s="640"/>
      <c r="K88" s="698"/>
      <c r="L88" s="731"/>
      <c r="M88" s="628"/>
      <c r="N88" s="633"/>
      <c r="O88" s="634"/>
      <c r="P88" s="634"/>
      <c r="Q88" s="634"/>
      <c r="R88" s="634"/>
      <c r="S88" s="635"/>
      <c r="U88" s="13"/>
    </row>
    <row r="89" spans="2:21" ht="15" customHeight="1" x14ac:dyDescent="0.25">
      <c r="B89" s="13"/>
      <c r="D89" s="642"/>
      <c r="E89" s="742"/>
      <c r="F89" s="648"/>
      <c r="G89" s="755"/>
      <c r="H89" s="918"/>
      <c r="I89" s="639" t="s">
        <v>544</v>
      </c>
      <c r="J89" s="640"/>
      <c r="K89" s="698"/>
      <c r="L89" s="731"/>
      <c r="M89" s="628"/>
      <c r="N89" s="633"/>
      <c r="O89" s="634"/>
      <c r="P89" s="634"/>
      <c r="Q89" s="634"/>
      <c r="R89" s="634"/>
      <c r="S89" s="635"/>
      <c r="U89" s="13"/>
    </row>
    <row r="90" spans="2:21" ht="27.95" customHeight="1" x14ac:dyDescent="0.25">
      <c r="B90" s="13"/>
      <c r="D90" s="643"/>
      <c r="E90" s="734"/>
      <c r="F90" s="649"/>
      <c r="G90" s="736"/>
      <c r="H90" s="919"/>
      <c r="I90" s="639" t="s">
        <v>545</v>
      </c>
      <c r="J90" s="640"/>
      <c r="K90" s="701"/>
      <c r="L90" s="732"/>
      <c r="M90" s="629"/>
      <c r="N90" s="636"/>
      <c r="O90" s="637"/>
      <c r="P90" s="637"/>
      <c r="Q90" s="637"/>
      <c r="R90" s="637"/>
      <c r="S90" s="638"/>
      <c r="U90" s="13"/>
    </row>
    <row r="91" spans="2:21" ht="15" customHeight="1" x14ac:dyDescent="0.25">
      <c r="B91" s="13"/>
      <c r="D91" s="674" t="s">
        <v>125</v>
      </c>
      <c r="E91" s="677" t="s">
        <v>126</v>
      </c>
      <c r="F91" s="667">
        <v>2</v>
      </c>
      <c r="G91" s="727" t="s">
        <v>44</v>
      </c>
      <c r="H91" s="671" t="s">
        <v>519</v>
      </c>
      <c r="I91" s="671" t="s">
        <v>546</v>
      </c>
      <c r="J91" s="673"/>
      <c r="K91" s="703" t="s">
        <v>12</v>
      </c>
      <c r="L91" s="730" t="s">
        <v>13</v>
      </c>
      <c r="M91" s="689" t="s">
        <v>13</v>
      </c>
      <c r="N91" s="658" t="s">
        <v>13</v>
      </c>
      <c r="O91" s="659"/>
      <c r="P91" s="659"/>
      <c r="Q91" s="659"/>
      <c r="R91" s="659"/>
      <c r="S91" s="660"/>
      <c r="U91" s="13"/>
    </row>
    <row r="92" spans="2:21" ht="15" customHeight="1" x14ac:dyDescent="0.25">
      <c r="B92" s="13"/>
      <c r="D92" s="675"/>
      <c r="E92" s="645"/>
      <c r="F92" s="648"/>
      <c r="G92" s="728"/>
      <c r="H92" s="661"/>
      <c r="I92" s="661" t="s">
        <v>547</v>
      </c>
      <c r="J92" s="662"/>
      <c r="K92" s="622"/>
      <c r="L92" s="731"/>
      <c r="M92" s="628"/>
      <c r="N92" s="633"/>
      <c r="O92" s="634"/>
      <c r="P92" s="634"/>
      <c r="Q92" s="634"/>
      <c r="R92" s="634"/>
      <c r="S92" s="635"/>
      <c r="U92" s="13"/>
    </row>
    <row r="93" spans="2:21" ht="15" customHeight="1" x14ac:dyDescent="0.25">
      <c r="B93" s="13"/>
      <c r="D93" s="675"/>
      <c r="E93" s="645"/>
      <c r="F93" s="648"/>
      <c r="G93" s="728"/>
      <c r="H93" s="661"/>
      <c r="I93" s="661" t="s">
        <v>548</v>
      </c>
      <c r="J93" s="662"/>
      <c r="K93" s="622"/>
      <c r="L93" s="731"/>
      <c r="M93" s="628"/>
      <c r="N93" s="633"/>
      <c r="O93" s="634"/>
      <c r="P93" s="634"/>
      <c r="Q93" s="634"/>
      <c r="R93" s="634"/>
      <c r="S93" s="635"/>
      <c r="U93" s="13"/>
    </row>
    <row r="94" spans="2:21" ht="15" customHeight="1" x14ac:dyDescent="0.25">
      <c r="B94" s="13"/>
      <c r="D94" s="676"/>
      <c r="E94" s="646"/>
      <c r="F94" s="649"/>
      <c r="G94" s="729"/>
      <c r="H94" s="672"/>
      <c r="I94" s="672" t="s">
        <v>549</v>
      </c>
      <c r="J94" s="752"/>
      <c r="K94" s="623"/>
      <c r="L94" s="732"/>
      <c r="M94" s="629"/>
      <c r="N94" s="636"/>
      <c r="O94" s="637"/>
      <c r="P94" s="637"/>
      <c r="Q94" s="637"/>
      <c r="R94" s="637"/>
      <c r="S94" s="638"/>
      <c r="U94" s="13"/>
    </row>
    <row r="95" spans="2:21" ht="27.95" customHeight="1" x14ac:dyDescent="0.25">
      <c r="B95" s="13"/>
      <c r="D95" s="663" t="s">
        <v>458</v>
      </c>
      <c r="E95" s="741" t="s">
        <v>11</v>
      </c>
      <c r="F95" s="667">
        <v>3</v>
      </c>
      <c r="G95" s="743" t="s">
        <v>35</v>
      </c>
      <c r="H95" s="746" t="s">
        <v>45</v>
      </c>
      <c r="I95" s="682" t="s">
        <v>486</v>
      </c>
      <c r="J95" s="702"/>
      <c r="K95" s="695" t="s">
        <v>12</v>
      </c>
      <c r="L95" s="730" t="s">
        <v>13</v>
      </c>
      <c r="M95" s="689" t="s">
        <v>13</v>
      </c>
      <c r="N95" s="658" t="s">
        <v>13</v>
      </c>
      <c r="O95" s="659"/>
      <c r="P95" s="659"/>
      <c r="Q95" s="659"/>
      <c r="R95" s="659"/>
      <c r="S95" s="660"/>
      <c r="U95" s="13"/>
    </row>
    <row r="96" spans="2:21" x14ac:dyDescent="0.25">
      <c r="B96" s="13"/>
      <c r="D96" s="642"/>
      <c r="E96" s="742"/>
      <c r="F96" s="648"/>
      <c r="G96" s="744"/>
      <c r="H96" s="747"/>
      <c r="I96" s="682" t="s">
        <v>477</v>
      </c>
      <c r="J96" s="702"/>
      <c r="K96" s="698"/>
      <c r="L96" s="731"/>
      <c r="M96" s="628"/>
      <c r="N96" s="633"/>
      <c r="O96" s="634"/>
      <c r="P96" s="634"/>
      <c r="Q96" s="634"/>
      <c r="R96" s="634"/>
      <c r="S96" s="635"/>
      <c r="U96" s="13"/>
    </row>
    <row r="97" spans="2:21" x14ac:dyDescent="0.25">
      <c r="B97" s="13"/>
      <c r="D97" s="642"/>
      <c r="E97" s="742"/>
      <c r="F97" s="648"/>
      <c r="G97" s="744"/>
      <c r="H97" s="747"/>
      <c r="I97" s="682" t="s">
        <v>478</v>
      </c>
      <c r="J97" s="702"/>
      <c r="K97" s="698"/>
      <c r="L97" s="731"/>
      <c r="M97" s="628"/>
      <c r="N97" s="633"/>
      <c r="O97" s="634"/>
      <c r="P97" s="634"/>
      <c r="Q97" s="634"/>
      <c r="R97" s="634"/>
      <c r="S97" s="635"/>
      <c r="U97" s="13"/>
    </row>
    <row r="98" spans="2:21" x14ac:dyDescent="0.25">
      <c r="B98" s="13"/>
      <c r="D98" s="643"/>
      <c r="E98" s="734"/>
      <c r="F98" s="649"/>
      <c r="G98" s="745"/>
      <c r="H98" s="748"/>
      <c r="I98" s="683" t="s">
        <v>263</v>
      </c>
      <c r="J98" s="751"/>
      <c r="K98" s="701"/>
      <c r="L98" s="732"/>
      <c r="M98" s="629"/>
      <c r="N98" s="636"/>
      <c r="O98" s="637"/>
      <c r="P98" s="637"/>
      <c r="Q98" s="637"/>
      <c r="R98" s="637"/>
      <c r="S98" s="638"/>
      <c r="U98" s="13"/>
    </row>
    <row r="99" spans="2:21" ht="20.100000000000001" customHeight="1" thickBot="1" x14ac:dyDescent="0.3">
      <c r="B99" s="13"/>
      <c r="D99" s="354" t="s">
        <v>47</v>
      </c>
      <c r="E99" s="255" t="s">
        <v>64</v>
      </c>
      <c r="F99" s="363">
        <v>4</v>
      </c>
      <c r="G99" s="304" t="s">
        <v>44</v>
      </c>
      <c r="H99" s="472" t="s">
        <v>499</v>
      </c>
      <c r="I99" s="711" t="s">
        <v>13</v>
      </c>
      <c r="J99" s="712"/>
      <c r="K99" s="467" t="s">
        <v>12</v>
      </c>
      <c r="L99" s="470" t="s">
        <v>13</v>
      </c>
      <c r="M99" s="389" t="s">
        <v>13</v>
      </c>
      <c r="N99" s="601" t="s">
        <v>13</v>
      </c>
      <c r="O99" s="601"/>
      <c r="P99" s="601"/>
      <c r="Q99" s="601"/>
      <c r="R99" s="601"/>
      <c r="S99" s="602"/>
      <c r="U99" s="13"/>
    </row>
    <row r="100" spans="2:21" ht="20.100000000000001" customHeight="1" x14ac:dyDescent="0.25">
      <c r="B100" s="13"/>
      <c r="U100" s="13"/>
    </row>
    <row r="101" spans="2:21" ht="20.100000000000001" customHeight="1" thickBot="1" x14ac:dyDescent="0.3">
      <c r="B101" s="13"/>
      <c r="C101" s="26"/>
      <c r="D101" s="26"/>
      <c r="E101" s="552" t="str">
        <f>IF(OR(L87="-",L87= ""),H87,L87)</f>
        <v>Grand Austria Hotel</v>
      </c>
      <c r="F101" s="552"/>
      <c r="G101" s="552"/>
      <c r="H101" s="552"/>
      <c r="I101" s="552"/>
      <c r="J101" s="552"/>
      <c r="K101" s="552"/>
      <c r="L101" s="552"/>
      <c r="M101" s="552"/>
      <c r="N101" s="552"/>
      <c r="O101" s="199"/>
      <c r="P101" s="199"/>
      <c r="Q101" s="199"/>
      <c r="R101" s="199"/>
      <c r="S101" s="199"/>
      <c r="T101" s="26"/>
      <c r="U101" s="13"/>
    </row>
    <row r="102" spans="2:21" ht="50.1" customHeight="1" thickBot="1" x14ac:dyDescent="0.3">
      <c r="B102" s="13"/>
      <c r="C102" s="26"/>
      <c r="D102" s="199"/>
      <c r="E102" s="88" t="s">
        <v>10</v>
      </c>
      <c r="F102" s="125" t="s">
        <v>52</v>
      </c>
      <c r="G102" s="89" t="s">
        <v>14</v>
      </c>
      <c r="H102" s="200" t="s">
        <v>51</v>
      </c>
      <c r="I102" s="18" t="s">
        <v>54</v>
      </c>
      <c r="J102" s="200" t="s">
        <v>53</v>
      </c>
      <c r="K102" s="206" t="s">
        <v>28</v>
      </c>
      <c r="L102" s="200" t="s">
        <v>37</v>
      </c>
      <c r="M102" s="204" t="s">
        <v>16</v>
      </c>
      <c r="N102" s="89" t="s">
        <v>15</v>
      </c>
      <c r="O102" s="5" t="s">
        <v>30</v>
      </c>
      <c r="P102" s="7" t="s">
        <v>34</v>
      </c>
      <c r="Q102" s="7" t="s">
        <v>31</v>
      </c>
      <c r="R102" s="19" t="s">
        <v>32</v>
      </c>
      <c r="S102" s="199"/>
      <c r="T102" s="26"/>
      <c r="U102" s="13"/>
    </row>
    <row r="103" spans="2:21" ht="20.100000000000001" customHeight="1" x14ac:dyDescent="0.25">
      <c r="B103" s="13"/>
      <c r="C103" s="26"/>
      <c r="D103" s="68"/>
      <c r="E103" s="365" t="s">
        <v>2</v>
      </c>
      <c r="F103" s="253" t="s">
        <v>8</v>
      </c>
      <c r="G103" s="49">
        <v>4</v>
      </c>
      <c r="H103" s="49" t="s">
        <v>13</v>
      </c>
      <c r="I103" s="49">
        <v>0</v>
      </c>
      <c r="J103" s="122">
        <v>137</v>
      </c>
      <c r="K103" s="49" t="s">
        <v>13</v>
      </c>
      <c r="L103" s="50">
        <f>IF(J103="",0,(J103/J107)*100)</f>
        <v>71.354166666666657</v>
      </c>
      <c r="M103" s="49">
        <v>2</v>
      </c>
      <c r="N103" s="61">
        <v>3</v>
      </c>
      <c r="O103" s="57">
        <f>IF(M103=1,1,0)</f>
        <v>0</v>
      </c>
      <c r="P103" s="209">
        <f>IF(M103=2,1,0)</f>
        <v>1</v>
      </c>
      <c r="Q103" s="209">
        <f>IF(M103=3,1,0)</f>
        <v>0</v>
      </c>
      <c r="R103" s="8">
        <f>IF(M103=4,1,0)</f>
        <v>0</v>
      </c>
      <c r="S103" s="198"/>
      <c r="T103" s="26"/>
      <c r="U103" s="13"/>
    </row>
    <row r="104" spans="2:21" ht="20.100000000000001" customHeight="1" x14ac:dyDescent="0.25">
      <c r="B104" s="13"/>
      <c r="C104" s="26"/>
      <c r="D104" s="26"/>
      <c r="E104" s="303" t="s">
        <v>125</v>
      </c>
      <c r="F104" s="247" t="s">
        <v>126</v>
      </c>
      <c r="G104" s="47">
        <v>2</v>
      </c>
      <c r="H104" s="47" t="s">
        <v>13</v>
      </c>
      <c r="I104" s="47">
        <v>0</v>
      </c>
      <c r="J104" s="100">
        <v>90</v>
      </c>
      <c r="K104" s="100" t="s">
        <v>13</v>
      </c>
      <c r="L104" s="48">
        <f>IF(J104="",0,(J104/J107)*100)</f>
        <v>46.875</v>
      </c>
      <c r="M104" s="47">
        <v>3</v>
      </c>
      <c r="N104" s="60">
        <v>1</v>
      </c>
      <c r="O104" s="205">
        <f>IF(M104=1,1,0)</f>
        <v>0</v>
      </c>
      <c r="P104" s="207">
        <f>IF(M104=2,1,0)</f>
        <v>0</v>
      </c>
      <c r="Q104" s="207">
        <f>IF(M104=3,1,0)</f>
        <v>1</v>
      </c>
      <c r="R104" s="9">
        <f>IF(M104=4,1,0)</f>
        <v>0</v>
      </c>
      <c r="S104" s="198"/>
      <c r="T104" s="26"/>
      <c r="U104" s="13"/>
    </row>
    <row r="105" spans="2:21" ht="20.100000000000001" customHeight="1" x14ac:dyDescent="0.25">
      <c r="B105" s="13"/>
      <c r="C105" s="26"/>
      <c r="D105" s="26"/>
      <c r="E105" s="110" t="s">
        <v>458</v>
      </c>
      <c r="F105" s="273" t="s">
        <v>11</v>
      </c>
      <c r="G105" s="149">
        <v>3</v>
      </c>
      <c r="H105" s="149" t="s">
        <v>13</v>
      </c>
      <c r="I105" s="149">
        <v>0</v>
      </c>
      <c r="J105" s="123">
        <v>192</v>
      </c>
      <c r="K105" s="149" t="s">
        <v>13</v>
      </c>
      <c r="L105" s="38">
        <f>IF(J105="",0,(J105/J107)*100)</f>
        <v>100</v>
      </c>
      <c r="M105" s="149">
        <v>1</v>
      </c>
      <c r="N105" s="108">
        <v>6</v>
      </c>
      <c r="O105" s="205">
        <f>IF(M105=1,1,0)</f>
        <v>1</v>
      </c>
      <c r="P105" s="207">
        <f>IF(M105=2,1,0)</f>
        <v>0</v>
      </c>
      <c r="Q105" s="207">
        <f>IF(M105=3,1,0)</f>
        <v>0</v>
      </c>
      <c r="R105" s="9">
        <f>IF(M105=4,1,0)</f>
        <v>0</v>
      </c>
      <c r="S105" s="198"/>
      <c r="T105" s="26"/>
      <c r="U105" s="13"/>
    </row>
    <row r="106" spans="2:21" ht="20.100000000000001" customHeight="1" thickBot="1" x14ac:dyDescent="0.3">
      <c r="B106" s="13"/>
      <c r="C106" s="26"/>
      <c r="D106" s="26"/>
      <c r="E106" s="354" t="s">
        <v>47</v>
      </c>
      <c r="F106" s="255" t="s">
        <v>64</v>
      </c>
      <c r="G106" s="150">
        <v>1</v>
      </c>
      <c r="H106" s="107" t="s">
        <v>13</v>
      </c>
      <c r="I106" s="150">
        <v>0</v>
      </c>
      <c r="J106" s="107">
        <v>23</v>
      </c>
      <c r="K106" s="107" t="s">
        <v>13</v>
      </c>
      <c r="L106" s="17">
        <f>IF(J106="",0,(J106/J107)*100)</f>
        <v>11.979166666666668</v>
      </c>
      <c r="M106" s="150">
        <v>4</v>
      </c>
      <c r="N106" s="59">
        <v>0</v>
      </c>
      <c r="O106" s="58">
        <f>IF(M106=1,1,0)</f>
        <v>0</v>
      </c>
      <c r="P106" s="208">
        <f>IF(M106=2,1,0)</f>
        <v>0</v>
      </c>
      <c r="Q106" s="208">
        <f>IF(M106=3,1,0)</f>
        <v>0</v>
      </c>
      <c r="R106" s="10">
        <f>IF(M106=4,1,0)</f>
        <v>1</v>
      </c>
      <c r="S106" s="198"/>
      <c r="T106" s="26"/>
      <c r="U106" s="13"/>
    </row>
    <row r="107" spans="2:21" ht="20.100000000000001" hidden="1" customHeight="1" outlineLevel="1" x14ac:dyDescent="0.25">
      <c r="B107" s="13"/>
      <c r="C107" s="26"/>
      <c r="D107" s="68"/>
      <c r="E107" s="68"/>
      <c r="F107" s="553"/>
      <c r="G107" s="553"/>
      <c r="H107" s="26"/>
      <c r="I107" s="64" t="s">
        <v>29</v>
      </c>
      <c r="J107" s="23">
        <f>MAX(J103:J106)</f>
        <v>192</v>
      </c>
      <c r="K107" s="70"/>
      <c r="L107" s="69"/>
      <c r="M107" s="26"/>
      <c r="N107" s="63" t="s">
        <v>33</v>
      </c>
      <c r="O107" s="20">
        <f>SUM(O103:O106)</f>
        <v>1</v>
      </c>
      <c r="P107" s="21">
        <f>SUM(P103:P106)</f>
        <v>1</v>
      </c>
      <c r="Q107" s="20">
        <f>SUM(Q103:Q106)</f>
        <v>1</v>
      </c>
      <c r="R107" s="22">
        <f>SUM(R103:R106)</f>
        <v>1</v>
      </c>
      <c r="S107" s="69"/>
      <c r="T107" s="26"/>
      <c r="U107" s="13"/>
    </row>
    <row r="108" spans="2:21" ht="20.100000000000001" customHeight="1" collapsed="1" x14ac:dyDescent="0.25">
      <c r="B108" s="13"/>
      <c r="C108" s="26"/>
      <c r="D108" s="26"/>
      <c r="E108" s="26"/>
      <c r="F108" s="26"/>
      <c r="G108" s="26"/>
      <c r="H108" s="26"/>
      <c r="I108" s="26"/>
      <c r="J108" s="26"/>
      <c r="K108" s="26"/>
      <c r="L108" s="26"/>
      <c r="M108" s="26"/>
      <c r="N108" s="26"/>
      <c r="O108" s="26"/>
      <c r="P108" s="26"/>
      <c r="Q108" s="26"/>
      <c r="R108" s="26"/>
      <c r="S108" s="26"/>
      <c r="T108" s="26"/>
      <c r="U108" s="13"/>
    </row>
    <row r="109" spans="2:21" ht="20.100000000000001" customHeight="1" x14ac:dyDescent="0.25">
      <c r="B109" s="13"/>
      <c r="U109" s="13"/>
    </row>
    <row r="110" spans="2:21" ht="20.100000000000001" customHeight="1" thickBot="1" x14ac:dyDescent="0.3">
      <c r="B110" s="13"/>
      <c r="C110" s="27"/>
      <c r="D110" s="27"/>
      <c r="E110" s="554" t="str">
        <f>IF(OR(L91="-",L91= ""),H91,L91)</f>
        <v>Gaja Project</v>
      </c>
      <c r="F110" s="554"/>
      <c r="G110" s="554"/>
      <c r="H110" s="554"/>
      <c r="I110" s="554"/>
      <c r="J110" s="554"/>
      <c r="K110" s="554"/>
      <c r="L110" s="554"/>
      <c r="M110" s="554"/>
      <c r="N110" s="554"/>
      <c r="O110" s="197"/>
      <c r="P110" s="197"/>
      <c r="Q110" s="197"/>
      <c r="R110" s="197"/>
      <c r="S110" s="197"/>
      <c r="T110" s="27"/>
      <c r="U110" s="13"/>
    </row>
    <row r="111" spans="2:21" ht="50.1" customHeight="1" thickBot="1" x14ac:dyDescent="0.3">
      <c r="B111" s="13"/>
      <c r="C111" s="27"/>
      <c r="D111" s="197"/>
      <c r="E111" s="88" t="s">
        <v>10</v>
      </c>
      <c r="F111" s="125" t="s">
        <v>52</v>
      </c>
      <c r="G111" s="89" t="s">
        <v>14</v>
      </c>
      <c r="H111" s="200" t="s">
        <v>51</v>
      </c>
      <c r="I111" s="18" t="s">
        <v>54</v>
      </c>
      <c r="J111" s="200" t="s">
        <v>53</v>
      </c>
      <c r="K111" s="206" t="s">
        <v>28</v>
      </c>
      <c r="L111" s="200" t="s">
        <v>37</v>
      </c>
      <c r="M111" s="204" t="s">
        <v>16</v>
      </c>
      <c r="N111" s="89" t="s">
        <v>15</v>
      </c>
      <c r="O111" s="5" t="s">
        <v>30</v>
      </c>
      <c r="P111" s="7" t="s">
        <v>34</v>
      </c>
      <c r="Q111" s="7" t="s">
        <v>31</v>
      </c>
      <c r="R111" s="19" t="s">
        <v>32</v>
      </c>
      <c r="S111" s="197"/>
      <c r="T111" s="27"/>
      <c r="U111" s="13"/>
    </row>
    <row r="112" spans="2:21" ht="20.100000000000001" customHeight="1" x14ac:dyDescent="0.25">
      <c r="B112" s="13"/>
      <c r="C112" s="27"/>
      <c r="D112" s="67"/>
      <c r="E112" s="365" t="s">
        <v>2</v>
      </c>
      <c r="F112" s="253" t="s">
        <v>8</v>
      </c>
      <c r="G112" s="49">
        <v>3</v>
      </c>
      <c r="H112" s="49" t="s">
        <v>520</v>
      </c>
      <c r="I112" s="49">
        <v>10</v>
      </c>
      <c r="J112" s="122">
        <v>111</v>
      </c>
      <c r="K112" s="49" t="s">
        <v>13</v>
      </c>
      <c r="L112" s="50">
        <f>IF(J112="",0,(J112/J116)*100)</f>
        <v>71.612903225806463</v>
      </c>
      <c r="M112" s="49">
        <v>4</v>
      </c>
      <c r="N112" s="61">
        <v>0</v>
      </c>
      <c r="O112" s="57">
        <f>IF(M112=1,1,0)</f>
        <v>0</v>
      </c>
      <c r="P112" s="209">
        <f>IF(M112=2,1,0)</f>
        <v>0</v>
      </c>
      <c r="Q112" s="209">
        <f>IF(M112=3,1,0)</f>
        <v>0</v>
      </c>
      <c r="R112" s="8">
        <f>IF(M112=4,1,0)</f>
        <v>1</v>
      </c>
      <c r="S112" s="203"/>
      <c r="T112" s="27"/>
      <c r="U112" s="13"/>
    </row>
    <row r="113" spans="2:21" ht="20.100000000000001" customHeight="1" x14ac:dyDescent="0.25">
      <c r="B113" s="13"/>
      <c r="C113" s="27"/>
      <c r="D113" s="27"/>
      <c r="E113" s="110" t="s">
        <v>125</v>
      </c>
      <c r="F113" s="273" t="s">
        <v>126</v>
      </c>
      <c r="G113" s="149">
        <v>2</v>
      </c>
      <c r="H113" s="149" t="s">
        <v>521</v>
      </c>
      <c r="I113" s="149">
        <v>10</v>
      </c>
      <c r="J113" s="123">
        <v>155</v>
      </c>
      <c r="K113" s="123" t="s">
        <v>13</v>
      </c>
      <c r="L113" s="38">
        <f>IF(J113="",0,(J113/J116)*100)</f>
        <v>100</v>
      </c>
      <c r="M113" s="149">
        <v>1</v>
      </c>
      <c r="N113" s="108">
        <v>6</v>
      </c>
      <c r="O113" s="205">
        <f>IF(M113=1,1,0)</f>
        <v>1</v>
      </c>
      <c r="P113" s="207">
        <f>IF(M113=2,1,0)</f>
        <v>0</v>
      </c>
      <c r="Q113" s="207">
        <f>IF(M113=3,1,0)</f>
        <v>0</v>
      </c>
      <c r="R113" s="9">
        <f>IF(M113=4,1,0)</f>
        <v>0</v>
      </c>
      <c r="S113" s="203"/>
      <c r="T113" s="27"/>
      <c r="U113" s="13"/>
    </row>
    <row r="114" spans="2:21" ht="20.100000000000001" customHeight="1" x14ac:dyDescent="0.25">
      <c r="B114" s="13"/>
      <c r="C114" s="27"/>
      <c r="D114" s="67"/>
      <c r="E114" s="303" t="s">
        <v>458</v>
      </c>
      <c r="F114" s="247" t="s">
        <v>11</v>
      </c>
      <c r="G114" s="47">
        <v>1</v>
      </c>
      <c r="H114" s="47" t="s">
        <v>523</v>
      </c>
      <c r="I114" s="47">
        <v>10</v>
      </c>
      <c r="J114" s="100">
        <v>112</v>
      </c>
      <c r="K114" s="47" t="s">
        <v>13</v>
      </c>
      <c r="L114" s="48">
        <f>IF(J114="",0,(J114/J116)*100)</f>
        <v>72.258064516129025</v>
      </c>
      <c r="M114" s="47">
        <v>3</v>
      </c>
      <c r="N114" s="60">
        <v>1</v>
      </c>
      <c r="O114" s="205">
        <f>IF(M114=1,1,0)</f>
        <v>0</v>
      </c>
      <c r="P114" s="207">
        <f>IF(M114=2,1,0)</f>
        <v>0</v>
      </c>
      <c r="Q114" s="207">
        <f>IF(M114=3,1,0)</f>
        <v>1</v>
      </c>
      <c r="R114" s="9">
        <f>IF(M114=4,1,0)</f>
        <v>0</v>
      </c>
      <c r="S114" s="203"/>
      <c r="T114" s="27"/>
      <c r="U114" s="13"/>
    </row>
    <row r="115" spans="2:21" ht="20.100000000000001" customHeight="1" thickBot="1" x14ac:dyDescent="0.3">
      <c r="B115" s="13"/>
      <c r="C115" s="27"/>
      <c r="D115" s="27"/>
      <c r="E115" s="354" t="s">
        <v>47</v>
      </c>
      <c r="F115" s="255" t="s">
        <v>64</v>
      </c>
      <c r="G115" s="150">
        <v>4</v>
      </c>
      <c r="H115" s="107" t="s">
        <v>522</v>
      </c>
      <c r="I115" s="150">
        <v>10</v>
      </c>
      <c r="J115" s="107">
        <v>113</v>
      </c>
      <c r="K115" s="107" t="s">
        <v>13</v>
      </c>
      <c r="L115" s="17">
        <f>IF(J115="",0,(J115/J116)*100)</f>
        <v>72.903225806451616</v>
      </c>
      <c r="M115" s="150">
        <v>2</v>
      </c>
      <c r="N115" s="59">
        <v>3</v>
      </c>
      <c r="O115" s="58">
        <f>IF(M115=1,1,0)</f>
        <v>0</v>
      </c>
      <c r="P115" s="208">
        <f>IF(M115=2,1,0)</f>
        <v>1</v>
      </c>
      <c r="Q115" s="208">
        <f>IF(M115=3,1,0)</f>
        <v>0</v>
      </c>
      <c r="R115" s="10">
        <f>IF(M115=4,1,0)</f>
        <v>0</v>
      </c>
      <c r="S115" s="203"/>
      <c r="T115" s="27"/>
      <c r="U115" s="13"/>
    </row>
    <row r="116" spans="2:21" ht="20.100000000000001" hidden="1" customHeight="1" outlineLevel="1" x14ac:dyDescent="0.25">
      <c r="B116" s="13"/>
      <c r="C116" s="27"/>
      <c r="D116" s="27"/>
      <c r="E116" s="67"/>
      <c r="F116" s="882"/>
      <c r="G116" s="882"/>
      <c r="H116" s="67"/>
      <c r="I116" s="415" t="s">
        <v>29</v>
      </c>
      <c r="J116" s="63">
        <f>MAX(J112:J115)</f>
        <v>155</v>
      </c>
      <c r="K116" s="416"/>
      <c r="L116" s="74"/>
      <c r="M116" s="67"/>
      <c r="N116" s="63" t="s">
        <v>33</v>
      </c>
      <c r="O116" s="20">
        <f>SUM(O112:O115)</f>
        <v>1</v>
      </c>
      <c r="P116" s="21">
        <f>SUM(P112:P115)</f>
        <v>1</v>
      </c>
      <c r="Q116" s="20">
        <f>SUM(Q112:Q115)</f>
        <v>1</v>
      </c>
      <c r="R116" s="22">
        <f>SUM(R112:R115)</f>
        <v>1</v>
      </c>
      <c r="S116" s="74"/>
      <c r="T116" s="27"/>
      <c r="U116" s="13"/>
    </row>
    <row r="117" spans="2:21" ht="20.100000000000001" customHeight="1" collapsed="1" x14ac:dyDescent="0.25">
      <c r="B117" s="13"/>
      <c r="C117" s="27"/>
      <c r="D117" s="27"/>
      <c r="E117" s="27"/>
      <c r="F117" s="27"/>
      <c r="G117" s="27"/>
      <c r="H117" s="27"/>
      <c r="I117" s="27"/>
      <c r="J117" s="27"/>
      <c r="K117" s="27"/>
      <c r="L117" s="27"/>
      <c r="M117" s="27"/>
      <c r="N117" s="27"/>
      <c r="O117" s="27"/>
      <c r="P117" s="27"/>
      <c r="Q117" s="27"/>
      <c r="R117" s="27"/>
      <c r="S117" s="27"/>
      <c r="T117" s="27"/>
      <c r="U117" s="13"/>
    </row>
    <row r="118" spans="2:21" ht="20.100000000000001" customHeight="1" x14ac:dyDescent="0.25">
      <c r="B118" s="13"/>
      <c r="D118" s="28"/>
      <c r="E118" s="28"/>
      <c r="F118" s="28"/>
      <c r="G118" s="28"/>
      <c r="H118" s="29"/>
      <c r="I118" s="28"/>
      <c r="J118" s="28"/>
      <c r="U118" s="13"/>
    </row>
    <row r="119" spans="2:21" ht="20.100000000000001" customHeight="1" thickBot="1" x14ac:dyDescent="0.3">
      <c r="B119" s="13"/>
      <c r="C119" s="30"/>
      <c r="D119" s="30"/>
      <c r="E119" s="532" t="str">
        <f>IF(OR(M95="-",M95= ""),H95,M95)</f>
        <v>Orakel von Delphi</v>
      </c>
      <c r="F119" s="532"/>
      <c r="G119" s="532"/>
      <c r="H119" s="532"/>
      <c r="I119" s="532"/>
      <c r="J119" s="532"/>
      <c r="K119" s="532"/>
      <c r="L119" s="532"/>
      <c r="M119" s="532"/>
      <c r="N119" s="532"/>
      <c r="O119" s="196"/>
      <c r="P119" s="196"/>
      <c r="Q119" s="196"/>
      <c r="R119" s="196"/>
      <c r="S119" s="196"/>
      <c r="T119" s="30"/>
      <c r="U119" s="14"/>
    </row>
    <row r="120" spans="2:21" ht="50.1" customHeight="1" thickBot="1" x14ac:dyDescent="0.3">
      <c r="B120" s="13"/>
      <c r="C120" s="30"/>
      <c r="D120" s="196"/>
      <c r="E120" s="88" t="s">
        <v>10</v>
      </c>
      <c r="F120" s="125" t="s">
        <v>52</v>
      </c>
      <c r="G120" s="89" t="s">
        <v>14</v>
      </c>
      <c r="H120" s="200" t="s">
        <v>51</v>
      </c>
      <c r="I120" s="18" t="s">
        <v>54</v>
      </c>
      <c r="J120" s="200" t="s">
        <v>53</v>
      </c>
      <c r="K120" s="206" t="s">
        <v>28</v>
      </c>
      <c r="L120" s="200" t="s">
        <v>37</v>
      </c>
      <c r="M120" s="204" t="s">
        <v>16</v>
      </c>
      <c r="N120" s="89" t="s">
        <v>15</v>
      </c>
      <c r="O120" s="5" t="s">
        <v>30</v>
      </c>
      <c r="P120" s="7" t="s">
        <v>34</v>
      </c>
      <c r="Q120" s="7" t="s">
        <v>31</v>
      </c>
      <c r="R120" s="19" t="s">
        <v>32</v>
      </c>
      <c r="S120" s="196"/>
      <c r="T120" s="30"/>
      <c r="U120" s="14"/>
    </row>
    <row r="121" spans="2:21" ht="45" x14ac:dyDescent="0.25">
      <c r="B121" s="13"/>
      <c r="C121" s="30"/>
      <c r="D121" s="66"/>
      <c r="E121" s="365" t="s">
        <v>2</v>
      </c>
      <c r="F121" s="253" t="s">
        <v>8</v>
      </c>
      <c r="G121" s="49">
        <v>4</v>
      </c>
      <c r="H121" s="49" t="s">
        <v>273</v>
      </c>
      <c r="I121" s="49" t="s">
        <v>13</v>
      </c>
      <c r="J121" s="122" t="s">
        <v>122</v>
      </c>
      <c r="K121" s="49" t="s">
        <v>13</v>
      </c>
      <c r="L121" s="50">
        <f>(L103+L115+L132)/3</f>
        <v>81.419130824372758</v>
      </c>
      <c r="M121" s="49">
        <v>2</v>
      </c>
      <c r="N121" s="61">
        <v>3</v>
      </c>
      <c r="O121" s="57">
        <f>IF(M121=1,1,0)</f>
        <v>0</v>
      </c>
      <c r="P121" s="209">
        <f>IF(M121=2,1,0)</f>
        <v>1</v>
      </c>
      <c r="Q121" s="209">
        <f>IF(M121=3,1,0)</f>
        <v>0</v>
      </c>
      <c r="R121" s="8">
        <f>IF(M121=4,1,0)</f>
        <v>0</v>
      </c>
      <c r="S121" s="194"/>
      <c r="T121" s="30"/>
      <c r="U121" s="13"/>
    </row>
    <row r="122" spans="2:21" ht="45" x14ac:dyDescent="0.25">
      <c r="B122" s="13"/>
      <c r="C122" s="30"/>
      <c r="D122" s="30"/>
      <c r="E122" s="110" t="s">
        <v>125</v>
      </c>
      <c r="F122" s="273" t="s">
        <v>126</v>
      </c>
      <c r="G122" s="149">
        <v>1</v>
      </c>
      <c r="H122" s="149" t="s">
        <v>277</v>
      </c>
      <c r="I122" s="149" t="s">
        <v>13</v>
      </c>
      <c r="J122" s="123" t="s">
        <v>120</v>
      </c>
      <c r="K122" s="123" t="s">
        <v>13</v>
      </c>
      <c r="L122" s="38">
        <v>100</v>
      </c>
      <c r="M122" s="149">
        <v>1</v>
      </c>
      <c r="N122" s="108">
        <v>6</v>
      </c>
      <c r="O122" s="205">
        <f>IF(M122=1,1,0)</f>
        <v>1</v>
      </c>
      <c r="P122" s="207">
        <f>IF(M122=2,1,0)</f>
        <v>0</v>
      </c>
      <c r="Q122" s="207">
        <f>IF(M122=3,1,0)</f>
        <v>0</v>
      </c>
      <c r="R122" s="9">
        <f>IF(M122=4,1,0)</f>
        <v>0</v>
      </c>
      <c r="S122" s="194"/>
      <c r="T122" s="30"/>
      <c r="U122" s="31"/>
    </row>
    <row r="123" spans="2:21" ht="45" x14ac:dyDescent="0.25">
      <c r="B123" s="13"/>
      <c r="C123" s="30"/>
      <c r="D123" s="30"/>
      <c r="E123" s="303" t="s">
        <v>458</v>
      </c>
      <c r="F123" s="247" t="s">
        <v>11</v>
      </c>
      <c r="G123" s="47">
        <v>3</v>
      </c>
      <c r="H123" s="47" t="s">
        <v>278</v>
      </c>
      <c r="I123" s="47" t="s">
        <v>13</v>
      </c>
      <c r="J123" s="100" t="s">
        <v>271</v>
      </c>
      <c r="K123" s="47" t="s">
        <v>13</v>
      </c>
      <c r="L123" s="48">
        <f>(L104+L114+L130)/3</f>
        <v>72.286779081133929</v>
      </c>
      <c r="M123" s="47">
        <v>3</v>
      </c>
      <c r="N123" s="60">
        <v>1</v>
      </c>
      <c r="O123" s="205">
        <f>IF(M123=1,1,0)</f>
        <v>0</v>
      </c>
      <c r="P123" s="207">
        <f>IF(M123=2,1,0)</f>
        <v>0</v>
      </c>
      <c r="Q123" s="207">
        <f>IF(M123=3,1,0)</f>
        <v>1</v>
      </c>
      <c r="R123" s="9">
        <f>IF(M123=4,1,0)</f>
        <v>0</v>
      </c>
      <c r="S123" s="194"/>
      <c r="T123" s="30"/>
      <c r="U123" s="31"/>
    </row>
    <row r="124" spans="2:21" ht="30.75" thickBot="1" x14ac:dyDescent="0.3">
      <c r="B124" s="13"/>
      <c r="C124" s="30"/>
      <c r="D124" s="30"/>
      <c r="E124" s="354" t="s">
        <v>47</v>
      </c>
      <c r="F124" s="255" t="s">
        <v>64</v>
      </c>
      <c r="G124" s="150">
        <v>2</v>
      </c>
      <c r="H124" s="107" t="s">
        <v>279</v>
      </c>
      <c r="I124" s="150" t="s">
        <v>13</v>
      </c>
      <c r="J124" s="107" t="s">
        <v>357</v>
      </c>
      <c r="K124" s="107" t="s">
        <v>13</v>
      </c>
      <c r="L124" s="17">
        <f>(L106+L112+L131)/3</f>
        <v>51.348871782339529</v>
      </c>
      <c r="M124" s="150">
        <v>4</v>
      </c>
      <c r="N124" s="59">
        <v>0</v>
      </c>
      <c r="O124" s="58">
        <f>IF(M124=1,1,0)</f>
        <v>0</v>
      </c>
      <c r="P124" s="208">
        <f>IF(M124=2,1,0)</f>
        <v>0</v>
      </c>
      <c r="Q124" s="208">
        <f>IF(M124=3,1,0)</f>
        <v>0</v>
      </c>
      <c r="R124" s="10">
        <f>IF(M124=4,1,0)</f>
        <v>1</v>
      </c>
      <c r="S124" s="194"/>
      <c r="T124" s="30"/>
      <c r="U124" s="31"/>
    </row>
    <row r="125" spans="2:21" ht="20.100000000000001" hidden="1" customHeight="1" outlineLevel="1" x14ac:dyDescent="0.25">
      <c r="B125" s="13"/>
      <c r="C125" s="30"/>
      <c r="D125" s="30"/>
      <c r="E125" s="30"/>
      <c r="F125" s="533"/>
      <c r="G125" s="533"/>
      <c r="H125" s="30"/>
      <c r="I125" s="64" t="s">
        <v>29</v>
      </c>
      <c r="J125" s="23">
        <f>MAX(J121:J124)</f>
        <v>0</v>
      </c>
      <c r="K125" s="76"/>
      <c r="L125" s="194"/>
      <c r="M125" s="30"/>
      <c r="N125" s="63" t="s">
        <v>33</v>
      </c>
      <c r="O125" s="20">
        <f>SUM(O121:O124)</f>
        <v>1</v>
      </c>
      <c r="P125" s="21">
        <f>SUM(P121:P124)</f>
        <v>1</v>
      </c>
      <c r="Q125" s="20">
        <f>SUM(Q121:Q124)</f>
        <v>1</v>
      </c>
      <c r="R125" s="22">
        <f>SUM(R121:R124)</f>
        <v>1</v>
      </c>
      <c r="S125" s="77"/>
      <c r="T125" s="30"/>
      <c r="U125" s="31"/>
    </row>
    <row r="126" spans="2:21" ht="20.100000000000001" customHeight="1" collapsed="1" x14ac:dyDescent="0.25">
      <c r="B126" s="13"/>
      <c r="C126" s="30"/>
      <c r="D126" s="30"/>
      <c r="E126" s="30"/>
      <c r="F126" s="30"/>
      <c r="G126" s="30"/>
      <c r="H126" s="30"/>
      <c r="I126" s="30"/>
      <c r="J126" s="30"/>
      <c r="K126" s="30"/>
      <c r="L126" s="30"/>
      <c r="M126" s="30"/>
      <c r="N126" s="30"/>
      <c r="O126" s="30"/>
      <c r="P126" s="30"/>
      <c r="Q126" s="30"/>
      <c r="R126" s="30"/>
      <c r="S126" s="30"/>
      <c r="T126" s="30"/>
      <c r="U126" s="31"/>
    </row>
    <row r="127" spans="2:21" ht="20.100000000000001" customHeight="1" x14ac:dyDescent="0.25">
      <c r="B127" s="13"/>
      <c r="D127" s="28"/>
      <c r="E127" s="28"/>
      <c r="F127" s="28"/>
      <c r="G127" s="28"/>
      <c r="H127" s="29"/>
      <c r="I127" s="28"/>
      <c r="J127" s="28"/>
      <c r="K127" s="28"/>
      <c r="U127" s="13"/>
    </row>
    <row r="128" spans="2:21" ht="20.100000000000001" customHeight="1" thickBot="1" x14ac:dyDescent="0.3">
      <c r="B128" s="13"/>
      <c r="C128" s="32"/>
      <c r="D128" s="32"/>
      <c r="E128" s="534" t="str">
        <f>IF(OR(L99="-",L99= ""),H99,L99)</f>
        <v>Roll for the Galaxy</v>
      </c>
      <c r="F128" s="534"/>
      <c r="G128" s="534"/>
      <c r="H128" s="534"/>
      <c r="I128" s="534"/>
      <c r="J128" s="534"/>
      <c r="K128" s="534"/>
      <c r="L128" s="534"/>
      <c r="M128" s="534"/>
      <c r="N128" s="534"/>
      <c r="O128" s="195"/>
      <c r="P128" s="195"/>
      <c r="Q128" s="195"/>
      <c r="R128" s="195"/>
      <c r="S128" s="195"/>
      <c r="T128" s="32"/>
      <c r="U128" s="13"/>
    </row>
    <row r="129" spans="2:31" ht="50.1" customHeight="1" thickBot="1" x14ac:dyDescent="0.3">
      <c r="B129" s="13"/>
      <c r="C129" s="32"/>
      <c r="D129" s="195"/>
      <c r="E129" s="88" t="s">
        <v>10</v>
      </c>
      <c r="F129" s="125" t="s">
        <v>52</v>
      </c>
      <c r="G129" s="89" t="s">
        <v>14</v>
      </c>
      <c r="H129" s="200" t="s">
        <v>51</v>
      </c>
      <c r="I129" s="18" t="s">
        <v>54</v>
      </c>
      <c r="J129" s="200" t="s">
        <v>53</v>
      </c>
      <c r="K129" s="206" t="s">
        <v>28</v>
      </c>
      <c r="L129" s="200" t="s">
        <v>37</v>
      </c>
      <c r="M129" s="204" t="s">
        <v>16</v>
      </c>
      <c r="N129" s="89" t="s">
        <v>15</v>
      </c>
      <c r="O129" s="5" t="s">
        <v>30</v>
      </c>
      <c r="P129" s="7" t="s">
        <v>34</v>
      </c>
      <c r="Q129" s="7" t="s">
        <v>31</v>
      </c>
      <c r="R129" s="19" t="s">
        <v>32</v>
      </c>
      <c r="S129" s="195"/>
      <c r="T129" s="32"/>
      <c r="U129" s="13"/>
    </row>
    <row r="130" spans="2:31" ht="20.100000000000001" customHeight="1" x14ac:dyDescent="0.25">
      <c r="B130" s="13"/>
      <c r="C130" s="32"/>
      <c r="D130" s="32"/>
      <c r="E130" s="365" t="s">
        <v>2</v>
      </c>
      <c r="F130" s="253" t="s">
        <v>8</v>
      </c>
      <c r="G130" s="49" t="s">
        <v>13</v>
      </c>
      <c r="H130" s="49" t="s">
        <v>526</v>
      </c>
      <c r="I130" s="49">
        <v>5</v>
      </c>
      <c r="J130" s="122">
        <v>43</v>
      </c>
      <c r="K130" s="49" t="s">
        <v>13</v>
      </c>
      <c r="L130" s="50">
        <f>IF(J130="",0,(J130/J134)*100)</f>
        <v>97.727272727272734</v>
      </c>
      <c r="M130" s="49">
        <v>3</v>
      </c>
      <c r="N130" s="61">
        <v>1</v>
      </c>
      <c r="O130" s="57">
        <f>IF(M130=1,1,0)</f>
        <v>0</v>
      </c>
      <c r="P130" s="209">
        <f>IF(M130=2,1,0)</f>
        <v>0</v>
      </c>
      <c r="Q130" s="209">
        <f>IF(M130=3,1,0)</f>
        <v>1</v>
      </c>
      <c r="R130" s="8">
        <f>IF(M130=4,1,0)</f>
        <v>0</v>
      </c>
      <c r="S130" s="201"/>
      <c r="T130" s="32"/>
      <c r="U130" s="13"/>
    </row>
    <row r="131" spans="2:31" ht="27.95" customHeight="1" x14ac:dyDescent="0.25">
      <c r="B131" s="13"/>
      <c r="C131" s="32"/>
      <c r="D131" s="32"/>
      <c r="E131" s="303" t="s">
        <v>125</v>
      </c>
      <c r="F131" s="247" t="s">
        <v>126</v>
      </c>
      <c r="G131" s="47" t="s">
        <v>13</v>
      </c>
      <c r="H131" s="100" t="s">
        <v>527</v>
      </c>
      <c r="I131" s="47">
        <v>6</v>
      </c>
      <c r="J131" s="100">
        <v>31</v>
      </c>
      <c r="K131" s="100" t="s">
        <v>13</v>
      </c>
      <c r="L131" s="48">
        <f>IF(J131="",0,(J131/J134)*100)</f>
        <v>70.454545454545453</v>
      </c>
      <c r="M131" s="47">
        <v>4</v>
      </c>
      <c r="N131" s="60">
        <v>0</v>
      </c>
      <c r="O131" s="205">
        <f>IF(M131=1,1,0)</f>
        <v>0</v>
      </c>
      <c r="P131" s="207">
        <f>IF(M131=2,1,0)</f>
        <v>0</v>
      </c>
      <c r="Q131" s="207">
        <f>IF(M131=3,1,0)</f>
        <v>0</v>
      </c>
      <c r="R131" s="9">
        <f>IF(M131=4,1,0)</f>
        <v>1</v>
      </c>
      <c r="S131" s="201"/>
      <c r="T131" s="32"/>
      <c r="U131" s="13"/>
    </row>
    <row r="132" spans="2:31" ht="45" customHeight="1" x14ac:dyDescent="0.25">
      <c r="B132" s="13"/>
      <c r="C132" s="32"/>
      <c r="D132" s="32"/>
      <c r="E132" s="303" t="s">
        <v>458</v>
      </c>
      <c r="F132" s="247" t="s">
        <v>11</v>
      </c>
      <c r="G132" s="47" t="s">
        <v>13</v>
      </c>
      <c r="H132" s="100" t="s">
        <v>525</v>
      </c>
      <c r="I132" s="47">
        <v>6</v>
      </c>
      <c r="J132" s="100">
        <v>44</v>
      </c>
      <c r="K132" s="100" t="s">
        <v>529</v>
      </c>
      <c r="L132" s="48">
        <f>IF(J132="",0,(J132/J134)*100)</f>
        <v>100</v>
      </c>
      <c r="M132" s="47">
        <v>2</v>
      </c>
      <c r="N132" s="60">
        <v>3</v>
      </c>
      <c r="O132" s="205">
        <f>IF(M132=1,1,0)</f>
        <v>0</v>
      </c>
      <c r="P132" s="207">
        <f>IF(M132=2,1,0)</f>
        <v>1</v>
      </c>
      <c r="Q132" s="207">
        <f>IF(M132=3,1,0)</f>
        <v>0</v>
      </c>
      <c r="R132" s="9">
        <f>IF(M132=4,1,0)</f>
        <v>0</v>
      </c>
      <c r="S132" s="201"/>
      <c r="T132" s="32"/>
      <c r="U132" s="13"/>
    </row>
    <row r="133" spans="2:31" ht="45" customHeight="1" thickBot="1" x14ac:dyDescent="0.3">
      <c r="B133" s="13"/>
      <c r="C133" s="32"/>
      <c r="D133" s="65"/>
      <c r="E133" s="310" t="s">
        <v>47</v>
      </c>
      <c r="F133" s="283" t="s">
        <v>64</v>
      </c>
      <c r="G133" s="284" t="s">
        <v>13</v>
      </c>
      <c r="H133" s="285" t="s">
        <v>524</v>
      </c>
      <c r="I133" s="284">
        <v>3</v>
      </c>
      <c r="J133" s="285">
        <v>44</v>
      </c>
      <c r="K133" s="285" t="s">
        <v>528</v>
      </c>
      <c r="L133" s="286">
        <f>IF(J133="",0,(J133/J134)*100)</f>
        <v>100</v>
      </c>
      <c r="M133" s="284">
        <v>1</v>
      </c>
      <c r="N133" s="287">
        <v>6</v>
      </c>
      <c r="O133" s="58">
        <f>IF(M133=1,1,0)</f>
        <v>1</v>
      </c>
      <c r="P133" s="208">
        <f>IF(M133=2,1,0)</f>
        <v>0</v>
      </c>
      <c r="Q133" s="208">
        <f>IF(M133=3,1,0)</f>
        <v>0</v>
      </c>
      <c r="R133" s="10">
        <f>IF(M133=4,1,0)</f>
        <v>0</v>
      </c>
      <c r="S133" s="201"/>
      <c r="T133" s="32"/>
      <c r="U133" s="13"/>
    </row>
    <row r="134" spans="2:31" ht="20.100000000000001" hidden="1" customHeight="1" outlineLevel="1" x14ac:dyDescent="0.25">
      <c r="B134" s="13"/>
      <c r="C134" s="32"/>
      <c r="D134" s="32"/>
      <c r="E134" s="32"/>
      <c r="F134" s="535"/>
      <c r="G134" s="535"/>
      <c r="H134" s="32"/>
      <c r="I134" s="64" t="s">
        <v>29</v>
      </c>
      <c r="J134" s="23">
        <f>MAX(J130:J133)</f>
        <v>44</v>
      </c>
      <c r="K134" s="78"/>
      <c r="L134" s="201"/>
      <c r="M134" s="32"/>
      <c r="N134" s="63" t="s">
        <v>33</v>
      </c>
      <c r="O134" s="20">
        <f>SUM(O130:O133)</f>
        <v>1</v>
      </c>
      <c r="P134" s="21">
        <f>SUM(P130:P133)</f>
        <v>1</v>
      </c>
      <c r="Q134" s="20">
        <f>SUM(Q130:Q133)</f>
        <v>1</v>
      </c>
      <c r="R134" s="22">
        <f>SUM(R130:R133)</f>
        <v>1</v>
      </c>
      <c r="S134" s="79"/>
      <c r="T134" s="32"/>
      <c r="U134" s="13"/>
    </row>
    <row r="135" spans="2:31" ht="20.100000000000001" customHeight="1" collapsed="1" x14ac:dyDescent="0.25">
      <c r="B135" s="13"/>
      <c r="C135" s="32"/>
      <c r="D135" s="32"/>
      <c r="E135" s="32"/>
      <c r="F135" s="32"/>
      <c r="G135" s="32"/>
      <c r="H135" s="32"/>
      <c r="I135" s="32"/>
      <c r="J135" s="32"/>
      <c r="K135" s="32"/>
      <c r="L135" s="32"/>
      <c r="M135" s="32"/>
      <c r="N135" s="32"/>
      <c r="O135" s="32"/>
      <c r="P135" s="32"/>
      <c r="Q135" s="32"/>
      <c r="R135" s="32"/>
      <c r="S135" s="32"/>
      <c r="T135" s="32"/>
      <c r="U135" s="13"/>
    </row>
    <row r="136" spans="2:31" ht="20.100000000000001" customHeight="1" x14ac:dyDescent="0.25">
      <c r="B136" s="13"/>
      <c r="D136" s="4"/>
      <c r="E136" s="4"/>
      <c r="F136" s="4"/>
      <c r="G136" s="4"/>
      <c r="H136" s="4"/>
      <c r="I136" s="4"/>
      <c r="J136" s="4"/>
      <c r="U136" s="13"/>
    </row>
    <row r="137" spans="2:31" ht="30" customHeight="1" thickBot="1" x14ac:dyDescent="0.3">
      <c r="B137" s="13"/>
      <c r="C137" s="33"/>
      <c r="D137" s="536" t="s">
        <v>48</v>
      </c>
      <c r="E137" s="536"/>
      <c r="F137" s="536"/>
      <c r="G137" s="536"/>
      <c r="H137" s="536"/>
      <c r="I137" s="536"/>
      <c r="J137" s="536"/>
      <c r="K137" s="536"/>
      <c r="L137" s="536"/>
      <c r="M137" s="536"/>
      <c r="N137" s="536"/>
      <c r="O137" s="536"/>
      <c r="P137" s="536"/>
      <c r="Q137" s="536"/>
      <c r="R137" s="536"/>
      <c r="S137" s="536"/>
      <c r="T137" s="33"/>
      <c r="U137" s="13"/>
    </row>
    <row r="138" spans="2:31" ht="50.1" customHeight="1" thickBot="1" x14ac:dyDescent="0.3">
      <c r="B138" s="13"/>
      <c r="C138" s="33"/>
      <c r="D138" s="90" t="s">
        <v>10</v>
      </c>
      <c r="E138" s="93" t="s">
        <v>139</v>
      </c>
      <c r="F138" s="91" t="s">
        <v>15</v>
      </c>
      <c r="G138" s="42" t="s">
        <v>55</v>
      </c>
      <c r="H138" s="537" t="s">
        <v>56</v>
      </c>
      <c r="I138" s="538"/>
      <c r="J138" s="202" t="s">
        <v>66</v>
      </c>
      <c r="K138" s="92" t="s">
        <v>17</v>
      </c>
      <c r="L138" s="91" t="s">
        <v>18</v>
      </c>
      <c r="M138" s="92" t="s">
        <v>19</v>
      </c>
      <c r="N138" s="91" t="s">
        <v>20</v>
      </c>
      <c r="O138" s="130"/>
      <c r="P138" s="126"/>
      <c r="Q138" s="126"/>
      <c r="R138" s="126"/>
      <c r="S138" s="93" t="s">
        <v>38</v>
      </c>
      <c r="T138" s="33"/>
      <c r="U138" s="13"/>
    </row>
    <row r="139" spans="2:31" ht="20.100000000000001" customHeight="1" x14ac:dyDescent="0.25">
      <c r="B139" s="13"/>
      <c r="C139" s="33"/>
      <c r="D139" s="367" t="s">
        <v>125</v>
      </c>
      <c r="E139" s="288" t="s">
        <v>126</v>
      </c>
      <c r="F139" s="133">
        <f>K139*6+L139*3+M139*1+N139*0</f>
        <v>13</v>
      </c>
      <c r="G139" s="262">
        <v>0</v>
      </c>
      <c r="H139" s="539" t="s">
        <v>13</v>
      </c>
      <c r="I139" s="539"/>
      <c r="J139" s="133">
        <f>F139+G139</f>
        <v>13</v>
      </c>
      <c r="K139" s="133">
        <v>2</v>
      </c>
      <c r="L139" s="133">
        <v>0</v>
      </c>
      <c r="M139" s="133">
        <v>1</v>
      </c>
      <c r="N139" s="133">
        <v>1</v>
      </c>
      <c r="O139" s="152"/>
      <c r="P139" s="262"/>
      <c r="Q139" s="262"/>
      <c r="R139" s="262"/>
      <c r="S139" s="134">
        <f>(L104++L113+L122+L131)/4</f>
        <v>79.33238636363636</v>
      </c>
      <c r="T139" s="33"/>
      <c r="U139" s="13"/>
    </row>
    <row r="140" spans="2:31" ht="20.100000000000001" customHeight="1" x14ac:dyDescent="0.25">
      <c r="B140" s="13"/>
      <c r="C140" s="33"/>
      <c r="D140" s="364" t="s">
        <v>458</v>
      </c>
      <c r="E140" s="274" t="s">
        <v>11</v>
      </c>
      <c r="F140" s="52">
        <f>K140*6+L140*3+M140*1+N140*0</f>
        <v>11</v>
      </c>
      <c r="G140" s="263">
        <v>0</v>
      </c>
      <c r="H140" s="529" t="s">
        <v>13</v>
      </c>
      <c r="I140" s="529"/>
      <c r="J140" s="52">
        <f>F140+G140</f>
        <v>11</v>
      </c>
      <c r="K140" s="52">
        <v>1</v>
      </c>
      <c r="L140" s="52">
        <v>1</v>
      </c>
      <c r="M140" s="52">
        <v>2</v>
      </c>
      <c r="N140" s="52">
        <v>0</v>
      </c>
      <c r="O140" s="151"/>
      <c r="P140" s="263"/>
      <c r="Q140" s="263"/>
      <c r="R140" s="263"/>
      <c r="S140" s="104">
        <f>(L105+L114+L123+L132)/4</f>
        <v>86.136210899315742</v>
      </c>
      <c r="T140" s="33"/>
      <c r="U140" s="13"/>
      <c r="Y140" s="610"/>
      <c r="Z140" s="610"/>
      <c r="AA140" s="43"/>
      <c r="AB140" s="43"/>
      <c r="AC140" s="44"/>
      <c r="AD140" s="44"/>
      <c r="AE140" s="44"/>
    </row>
    <row r="141" spans="2:31" ht="20.100000000000001" customHeight="1" x14ac:dyDescent="0.25">
      <c r="B141" s="13"/>
      <c r="C141" s="33"/>
      <c r="D141" s="364" t="s">
        <v>47</v>
      </c>
      <c r="E141" s="274" t="s">
        <v>64</v>
      </c>
      <c r="F141" s="52">
        <f>K141*6+L141*3+M141*1+N141*0</f>
        <v>9</v>
      </c>
      <c r="G141" s="263">
        <v>0</v>
      </c>
      <c r="H141" s="529" t="s">
        <v>13</v>
      </c>
      <c r="I141" s="529"/>
      <c r="J141" s="52">
        <f>F141+G141</f>
        <v>9</v>
      </c>
      <c r="K141" s="52">
        <v>1</v>
      </c>
      <c r="L141" s="52">
        <v>1</v>
      </c>
      <c r="M141" s="52">
        <v>0</v>
      </c>
      <c r="N141" s="52">
        <v>2</v>
      </c>
      <c r="O141" s="151"/>
      <c r="P141" s="263"/>
      <c r="Q141" s="263"/>
      <c r="R141" s="263"/>
      <c r="S141" s="104">
        <f>(L106+L115+L124+L133)/4</f>
        <v>59.05781606386445</v>
      </c>
      <c r="T141" s="33"/>
      <c r="U141" s="13"/>
    </row>
    <row r="142" spans="2:31" ht="20.100000000000001" customHeight="1" thickBot="1" x14ac:dyDescent="0.3">
      <c r="B142" s="13"/>
      <c r="C142" s="33"/>
      <c r="D142" s="372" t="s">
        <v>2</v>
      </c>
      <c r="E142" s="275" t="s">
        <v>8</v>
      </c>
      <c r="F142" s="109">
        <f>K142*6+L142*3+M142*1+N142*0</f>
        <v>7</v>
      </c>
      <c r="G142" s="264">
        <v>0</v>
      </c>
      <c r="H142" s="530" t="s">
        <v>13</v>
      </c>
      <c r="I142" s="530"/>
      <c r="J142" s="109">
        <f>F142+G142</f>
        <v>7</v>
      </c>
      <c r="K142" s="109">
        <v>0</v>
      </c>
      <c r="L142" s="109">
        <v>2</v>
      </c>
      <c r="M142" s="109">
        <v>1</v>
      </c>
      <c r="N142" s="109">
        <v>1</v>
      </c>
      <c r="O142" s="153"/>
      <c r="P142" s="264"/>
      <c r="Q142" s="264"/>
      <c r="R142" s="264"/>
      <c r="S142" s="106">
        <f>(L103+L112+L121+L130)/4</f>
        <v>80.528368361029649</v>
      </c>
      <c r="T142" s="33"/>
      <c r="U142" s="13"/>
    </row>
    <row r="143" spans="2:31" ht="20.100000000000001" customHeight="1" x14ac:dyDescent="0.25">
      <c r="B143" s="13"/>
      <c r="C143" s="33"/>
      <c r="D143" s="370"/>
      <c r="E143" s="370"/>
      <c r="F143" s="371"/>
      <c r="G143" s="317"/>
      <c r="H143" s="781"/>
      <c r="I143" s="781"/>
      <c r="J143" s="371"/>
      <c r="K143" s="371"/>
      <c r="L143" s="475"/>
      <c r="M143" s="475"/>
      <c r="N143" s="371"/>
      <c r="O143" s="316"/>
      <c r="P143" s="317"/>
      <c r="Q143" s="317"/>
      <c r="R143" s="317"/>
      <c r="S143" s="330"/>
      <c r="T143" s="33"/>
      <c r="U143" s="13"/>
    </row>
    <row r="144" spans="2:31" ht="20.100000000000001" customHeight="1" x14ac:dyDescent="0.25">
      <c r="B144" s="13"/>
      <c r="C144" s="13"/>
      <c r="D144" s="15"/>
      <c r="E144" s="15"/>
      <c r="F144" s="14"/>
      <c r="G144" s="14"/>
      <c r="H144" s="15"/>
      <c r="I144" s="15"/>
      <c r="J144" s="15"/>
      <c r="K144" s="13"/>
      <c r="L144" s="13"/>
      <c r="M144" s="13"/>
      <c r="N144" s="13"/>
      <c r="O144" s="13"/>
      <c r="P144" s="13"/>
      <c r="Q144" s="13"/>
      <c r="R144" s="13"/>
      <c r="S144" s="13"/>
      <c r="T144" s="13"/>
      <c r="U144" s="13"/>
    </row>
    <row r="145" spans="2:21" ht="20.100000000000001" customHeight="1" x14ac:dyDescent="0.25"/>
    <row r="146" spans="2:21" ht="20.100000000000001" customHeight="1" x14ac:dyDescent="0.25"/>
    <row r="147" spans="2:21" ht="20.100000000000001" customHeight="1" x14ac:dyDescent="0.25">
      <c r="B147" s="13"/>
      <c r="C147" s="13"/>
      <c r="D147" s="25"/>
      <c r="E147" s="25"/>
      <c r="F147" s="25"/>
      <c r="G147" s="25"/>
      <c r="H147" s="13"/>
      <c r="I147" s="13"/>
      <c r="J147" s="13"/>
      <c r="K147" s="13"/>
      <c r="L147" s="13"/>
      <c r="M147" s="13"/>
      <c r="N147" s="13"/>
      <c r="O147" s="13"/>
      <c r="P147" s="13"/>
      <c r="Q147" s="13"/>
      <c r="R147" s="13"/>
      <c r="S147" s="13"/>
      <c r="T147" s="13"/>
      <c r="U147" s="13"/>
    </row>
    <row r="148" spans="2:21" ht="30" customHeight="1" x14ac:dyDescent="0.25">
      <c r="B148" s="13"/>
      <c r="C148" s="555" t="s">
        <v>446</v>
      </c>
      <c r="D148" s="555"/>
      <c r="E148" s="555"/>
      <c r="F148" s="555"/>
      <c r="G148" s="555"/>
      <c r="H148" s="555"/>
      <c r="I148" s="555"/>
      <c r="J148" s="555"/>
      <c r="K148" s="555"/>
      <c r="L148" s="555"/>
      <c r="M148" s="555"/>
      <c r="N148" s="555"/>
      <c r="O148" s="555"/>
      <c r="P148" s="555"/>
      <c r="Q148" s="555"/>
      <c r="R148" s="555"/>
      <c r="S148" s="555"/>
      <c r="T148" s="555"/>
      <c r="U148" s="13"/>
    </row>
    <row r="149" spans="2:21" ht="20.100000000000001" customHeight="1" thickBot="1" x14ac:dyDescent="0.3">
      <c r="B149" s="13"/>
      <c r="U149" s="13"/>
    </row>
    <row r="150" spans="2:21" ht="20.100000000000001" customHeight="1" thickBot="1" x14ac:dyDescent="0.3">
      <c r="B150" s="13"/>
      <c r="D150" s="556" t="s">
        <v>10</v>
      </c>
      <c r="E150" s="558" t="s">
        <v>67</v>
      </c>
      <c r="F150" s="560" t="s">
        <v>22</v>
      </c>
      <c r="G150" s="563" t="s">
        <v>42</v>
      </c>
      <c r="H150" s="561"/>
      <c r="I150" s="561"/>
      <c r="J150" s="562"/>
      <c r="K150" s="200" t="s">
        <v>36</v>
      </c>
      <c r="L150" s="563" t="s">
        <v>27</v>
      </c>
      <c r="M150" s="561"/>
      <c r="N150" s="561"/>
      <c r="O150" s="561"/>
      <c r="P150" s="561"/>
      <c r="Q150" s="561"/>
      <c r="R150" s="561"/>
      <c r="S150" s="562"/>
      <c r="U150" s="13"/>
    </row>
    <row r="151" spans="2:21" ht="20.100000000000001" customHeight="1" thickBot="1" x14ac:dyDescent="0.3">
      <c r="B151" s="13"/>
      <c r="D151" s="557"/>
      <c r="E151" s="559"/>
      <c r="F151" s="559"/>
      <c r="G151" s="86" t="s">
        <v>43</v>
      </c>
      <c r="H151" s="85" t="s">
        <v>24</v>
      </c>
      <c r="I151" s="556" t="s">
        <v>23</v>
      </c>
      <c r="J151" s="564"/>
      <c r="K151" s="85" t="s">
        <v>25</v>
      </c>
      <c r="L151" s="94" t="s">
        <v>43</v>
      </c>
      <c r="M151" s="87" t="s">
        <v>26</v>
      </c>
      <c r="N151" s="565" t="s">
        <v>23</v>
      </c>
      <c r="O151" s="566"/>
      <c r="P151" s="566"/>
      <c r="Q151" s="566"/>
      <c r="R151" s="566"/>
      <c r="S151" s="567"/>
      <c r="U151" s="13"/>
    </row>
    <row r="152" spans="2:21" ht="15" customHeight="1" x14ac:dyDescent="0.25">
      <c r="B152" s="13"/>
      <c r="D152" s="947" t="s">
        <v>4</v>
      </c>
      <c r="E152" s="948" t="s">
        <v>9</v>
      </c>
      <c r="F152" s="647">
        <v>1</v>
      </c>
      <c r="G152" s="735" t="s">
        <v>44</v>
      </c>
      <c r="H152" s="656" t="s">
        <v>470</v>
      </c>
      <c r="I152" s="656" t="s">
        <v>471</v>
      </c>
      <c r="J152" s="657"/>
      <c r="K152" s="632" t="s">
        <v>12</v>
      </c>
      <c r="L152" s="740" t="s">
        <v>13</v>
      </c>
      <c r="M152" s="627" t="s">
        <v>13</v>
      </c>
      <c r="N152" s="630" t="s">
        <v>13</v>
      </c>
      <c r="O152" s="631"/>
      <c r="P152" s="631"/>
      <c r="Q152" s="631"/>
      <c r="R152" s="631"/>
      <c r="S152" s="632"/>
      <c r="U152" s="13"/>
    </row>
    <row r="153" spans="2:21" ht="15" customHeight="1" x14ac:dyDescent="0.25">
      <c r="B153" s="13"/>
      <c r="D153" s="675"/>
      <c r="E153" s="762"/>
      <c r="F153" s="648"/>
      <c r="G153" s="755"/>
      <c r="H153" s="639"/>
      <c r="I153" s="639" t="s">
        <v>472</v>
      </c>
      <c r="J153" s="640"/>
      <c r="K153" s="635"/>
      <c r="L153" s="731"/>
      <c r="M153" s="628"/>
      <c r="N153" s="633"/>
      <c r="O153" s="634"/>
      <c r="P153" s="634"/>
      <c r="Q153" s="634"/>
      <c r="R153" s="634"/>
      <c r="S153" s="635"/>
      <c r="U153" s="13"/>
    </row>
    <row r="154" spans="2:21" ht="15" customHeight="1" x14ac:dyDescent="0.25">
      <c r="B154" s="13"/>
      <c r="D154" s="675"/>
      <c r="E154" s="762"/>
      <c r="F154" s="648"/>
      <c r="G154" s="755"/>
      <c r="H154" s="639"/>
      <c r="I154" s="639" t="s">
        <v>473</v>
      </c>
      <c r="J154" s="640"/>
      <c r="K154" s="635"/>
      <c r="L154" s="731"/>
      <c r="M154" s="628"/>
      <c r="N154" s="633"/>
      <c r="O154" s="634"/>
      <c r="P154" s="634"/>
      <c r="Q154" s="634"/>
      <c r="R154" s="634"/>
      <c r="S154" s="635"/>
      <c r="U154" s="13"/>
    </row>
    <row r="155" spans="2:21" ht="15" customHeight="1" x14ac:dyDescent="0.25">
      <c r="B155" s="13"/>
      <c r="D155" s="676"/>
      <c r="E155" s="763"/>
      <c r="F155" s="649"/>
      <c r="G155" s="736"/>
      <c r="H155" s="737"/>
      <c r="I155" s="737" t="s">
        <v>474</v>
      </c>
      <c r="J155" s="753"/>
      <c r="K155" s="638"/>
      <c r="L155" s="732"/>
      <c r="M155" s="629"/>
      <c r="N155" s="633"/>
      <c r="O155" s="634"/>
      <c r="P155" s="634"/>
      <c r="Q155" s="634"/>
      <c r="R155" s="634"/>
      <c r="S155" s="635"/>
      <c r="U155" s="13"/>
    </row>
    <row r="156" spans="2:21" ht="15" customHeight="1" x14ac:dyDescent="0.25">
      <c r="B156" s="13"/>
      <c r="D156" s="663" t="s">
        <v>88</v>
      </c>
      <c r="E156" s="761" t="s">
        <v>69</v>
      </c>
      <c r="F156" s="667">
        <v>2</v>
      </c>
      <c r="G156" s="727" t="s">
        <v>44</v>
      </c>
      <c r="H156" s="767" t="s">
        <v>530</v>
      </c>
      <c r="I156" s="661" t="s">
        <v>531</v>
      </c>
      <c r="J156" s="662"/>
      <c r="K156" s="660" t="s">
        <v>12</v>
      </c>
      <c r="L156" s="730" t="s">
        <v>13</v>
      </c>
      <c r="M156" s="693" t="s">
        <v>13</v>
      </c>
      <c r="N156" s="693" t="s">
        <v>13</v>
      </c>
      <c r="O156" s="694"/>
      <c r="P156" s="694"/>
      <c r="Q156" s="694"/>
      <c r="R156" s="694"/>
      <c r="S156" s="695"/>
      <c r="U156" s="13"/>
    </row>
    <row r="157" spans="2:21" ht="15" customHeight="1" x14ac:dyDescent="0.25">
      <c r="B157" s="13"/>
      <c r="D157" s="642"/>
      <c r="E157" s="762"/>
      <c r="F157" s="648"/>
      <c r="G157" s="728"/>
      <c r="H157" s="768"/>
      <c r="I157" s="661" t="s">
        <v>532</v>
      </c>
      <c r="J157" s="662"/>
      <c r="K157" s="635"/>
      <c r="L157" s="731"/>
      <c r="M157" s="696"/>
      <c r="N157" s="696"/>
      <c r="O157" s="697"/>
      <c r="P157" s="697"/>
      <c r="Q157" s="697"/>
      <c r="R157" s="697"/>
      <c r="S157" s="698"/>
      <c r="U157" s="13"/>
    </row>
    <row r="158" spans="2:21" ht="15" customHeight="1" x14ac:dyDescent="0.25">
      <c r="B158" s="13"/>
      <c r="D158" s="642"/>
      <c r="E158" s="762"/>
      <c r="F158" s="648"/>
      <c r="G158" s="728"/>
      <c r="H158" s="768"/>
      <c r="I158" s="661" t="s">
        <v>533</v>
      </c>
      <c r="J158" s="662"/>
      <c r="K158" s="635"/>
      <c r="L158" s="731"/>
      <c r="M158" s="696"/>
      <c r="N158" s="696"/>
      <c r="O158" s="697"/>
      <c r="P158" s="697"/>
      <c r="Q158" s="697"/>
      <c r="R158" s="697"/>
      <c r="S158" s="698"/>
      <c r="U158" s="13"/>
    </row>
    <row r="159" spans="2:21" ht="15" customHeight="1" x14ac:dyDescent="0.25">
      <c r="B159" s="13"/>
      <c r="D159" s="642"/>
      <c r="E159" s="762"/>
      <c r="F159" s="648"/>
      <c r="G159" s="728"/>
      <c r="H159" s="768"/>
      <c r="I159" s="661" t="s">
        <v>534</v>
      </c>
      <c r="J159" s="662"/>
      <c r="K159" s="635"/>
      <c r="L159" s="731"/>
      <c r="M159" s="696"/>
      <c r="N159" s="696"/>
      <c r="O159" s="697"/>
      <c r="P159" s="697"/>
      <c r="Q159" s="697"/>
      <c r="R159" s="697"/>
      <c r="S159" s="698"/>
      <c r="U159" s="13"/>
    </row>
    <row r="160" spans="2:21" ht="15" customHeight="1" x14ac:dyDescent="0.25">
      <c r="B160" s="13"/>
      <c r="D160" s="643"/>
      <c r="E160" s="763"/>
      <c r="F160" s="649"/>
      <c r="G160" s="729"/>
      <c r="H160" s="769"/>
      <c r="I160" s="661" t="s">
        <v>535</v>
      </c>
      <c r="J160" s="662"/>
      <c r="K160" s="638"/>
      <c r="L160" s="732"/>
      <c r="M160" s="699"/>
      <c r="N160" s="699"/>
      <c r="O160" s="700"/>
      <c r="P160" s="700"/>
      <c r="Q160" s="700"/>
      <c r="R160" s="700"/>
      <c r="S160" s="701"/>
      <c r="U160" s="13"/>
    </row>
    <row r="161" spans="2:21" ht="20.100000000000001" customHeight="1" x14ac:dyDescent="0.25">
      <c r="B161" s="13"/>
      <c r="D161" s="345" t="s">
        <v>88</v>
      </c>
      <c r="E161" s="351" t="s">
        <v>69</v>
      </c>
      <c r="F161" s="46">
        <v>3</v>
      </c>
      <c r="G161" s="349" t="s">
        <v>44</v>
      </c>
      <c r="H161" s="350" t="s">
        <v>564</v>
      </c>
      <c r="I161" s="681" t="s">
        <v>536</v>
      </c>
      <c r="J161" s="684"/>
      <c r="K161" s="460"/>
      <c r="L161" s="464"/>
      <c r="M161" s="323"/>
      <c r="N161" s="951"/>
      <c r="O161" s="952"/>
      <c r="P161" s="952"/>
      <c r="Q161" s="952"/>
      <c r="R161" s="952"/>
      <c r="S161" s="953"/>
      <c r="U161" s="13"/>
    </row>
    <row r="162" spans="2:21" ht="27.95" customHeight="1" thickBot="1" x14ac:dyDescent="0.3">
      <c r="B162" s="13"/>
      <c r="D162" s="144" t="s">
        <v>4</v>
      </c>
      <c r="E162" s="154" t="s">
        <v>9</v>
      </c>
      <c r="F162" s="363">
        <v>4</v>
      </c>
      <c r="G162" s="304" t="s">
        <v>44</v>
      </c>
      <c r="H162" s="472" t="s">
        <v>447</v>
      </c>
      <c r="I162" s="599" t="s">
        <v>13</v>
      </c>
      <c r="J162" s="864"/>
      <c r="K162" s="463"/>
      <c r="L162" s="466"/>
      <c r="M162" s="326"/>
      <c r="N162" s="957"/>
      <c r="O162" s="957"/>
      <c r="P162" s="957"/>
      <c r="Q162" s="957"/>
      <c r="R162" s="957"/>
      <c r="S162" s="958"/>
      <c r="U162" s="13"/>
    </row>
    <row r="163" spans="2:21" ht="20.100000000000001" customHeight="1" x14ac:dyDescent="0.25">
      <c r="B163" s="13"/>
      <c r="U163" s="13"/>
    </row>
    <row r="164" spans="2:21" ht="20.100000000000001" customHeight="1" thickBot="1" x14ac:dyDescent="0.3">
      <c r="B164" s="13"/>
      <c r="C164" s="26"/>
      <c r="D164" s="26"/>
      <c r="E164" s="552" t="str">
        <f>IF(OR(M152="-",M152= ""),H152,M152)</f>
        <v>Hive</v>
      </c>
      <c r="F164" s="552"/>
      <c r="G164" s="552"/>
      <c r="H164" s="552"/>
      <c r="I164" s="552"/>
      <c r="J164" s="552"/>
      <c r="K164" s="552"/>
      <c r="L164" s="552"/>
      <c r="M164" s="552"/>
      <c r="N164" s="552"/>
      <c r="O164" s="199"/>
      <c r="P164" s="199"/>
      <c r="Q164" s="199"/>
      <c r="R164" s="199"/>
      <c r="S164" s="199"/>
      <c r="T164" s="26"/>
      <c r="U164" s="13"/>
    </row>
    <row r="165" spans="2:21" ht="50.1" customHeight="1" thickBot="1" x14ac:dyDescent="0.3">
      <c r="B165" s="13"/>
      <c r="C165" s="26"/>
      <c r="D165" s="199"/>
      <c r="E165" s="88" t="s">
        <v>10</v>
      </c>
      <c r="F165" s="125" t="s">
        <v>52</v>
      </c>
      <c r="G165" s="89" t="s">
        <v>14</v>
      </c>
      <c r="H165" s="200" t="s">
        <v>51</v>
      </c>
      <c r="I165" s="18" t="s">
        <v>54</v>
      </c>
      <c r="J165" s="200" t="s">
        <v>53</v>
      </c>
      <c r="K165" s="206" t="s">
        <v>28</v>
      </c>
      <c r="L165" s="200" t="s">
        <v>37</v>
      </c>
      <c r="M165" s="204" t="s">
        <v>16</v>
      </c>
      <c r="N165" s="89" t="s">
        <v>15</v>
      </c>
      <c r="O165" s="5" t="s">
        <v>30</v>
      </c>
      <c r="P165" s="7" t="s">
        <v>34</v>
      </c>
      <c r="Q165" s="199"/>
      <c r="R165" s="199"/>
      <c r="S165" s="199"/>
      <c r="T165" s="26"/>
      <c r="U165" s="13"/>
    </row>
    <row r="166" spans="2:21" ht="20.100000000000001" customHeight="1" x14ac:dyDescent="0.25">
      <c r="B166" s="13"/>
      <c r="C166" s="26"/>
      <c r="D166" s="68"/>
      <c r="E166" s="327" t="s">
        <v>4</v>
      </c>
      <c r="F166" s="272" t="s">
        <v>9</v>
      </c>
      <c r="G166" s="157">
        <v>1</v>
      </c>
      <c r="H166" s="157" t="s">
        <v>13</v>
      </c>
      <c r="I166" s="157">
        <v>0</v>
      </c>
      <c r="J166" s="157">
        <v>1</v>
      </c>
      <c r="K166" s="157" t="s">
        <v>13</v>
      </c>
      <c r="L166" s="36">
        <f>IF(J166="",0,(J166/J168)*100)</f>
        <v>100</v>
      </c>
      <c r="M166" s="157">
        <v>1</v>
      </c>
      <c r="N166" s="99">
        <v>6</v>
      </c>
      <c r="O166" s="209">
        <f>IF(M166=1,1,0)</f>
        <v>1</v>
      </c>
      <c r="P166" s="8">
        <f>IF(M166=2,1,0)</f>
        <v>0</v>
      </c>
      <c r="Q166" s="198"/>
      <c r="R166" s="198"/>
      <c r="S166" s="198"/>
      <c r="T166" s="26"/>
      <c r="U166" s="13"/>
    </row>
    <row r="167" spans="2:21" ht="20.100000000000001" customHeight="1" thickBot="1" x14ac:dyDescent="0.3">
      <c r="B167" s="13"/>
      <c r="C167" s="26"/>
      <c r="D167" s="26"/>
      <c r="E167" s="361" t="s">
        <v>88</v>
      </c>
      <c r="F167" s="256" t="s">
        <v>69</v>
      </c>
      <c r="G167" s="117">
        <v>2</v>
      </c>
      <c r="H167" s="117" t="s">
        <v>13</v>
      </c>
      <c r="I167" s="117">
        <v>0</v>
      </c>
      <c r="J167" s="117">
        <v>0</v>
      </c>
      <c r="K167" s="102" t="s">
        <v>13</v>
      </c>
      <c r="L167" s="119">
        <f>IF(J167="",0,(J167/J168)*100)</f>
        <v>0</v>
      </c>
      <c r="M167" s="117">
        <v>2</v>
      </c>
      <c r="N167" s="118">
        <v>0</v>
      </c>
      <c r="O167" s="208">
        <f>IF(M167=1,1,0)</f>
        <v>0</v>
      </c>
      <c r="P167" s="10">
        <f>IF(M167=2,1,0)</f>
        <v>1</v>
      </c>
      <c r="Q167" s="198"/>
      <c r="R167" s="198"/>
      <c r="S167" s="198"/>
      <c r="T167" s="26"/>
      <c r="U167" s="13"/>
    </row>
    <row r="168" spans="2:21" ht="20.100000000000001" hidden="1" customHeight="1" outlineLevel="1" x14ac:dyDescent="0.25">
      <c r="B168" s="13"/>
      <c r="C168" s="26"/>
      <c r="D168" s="68"/>
      <c r="E168" s="68"/>
      <c r="F168" s="553"/>
      <c r="G168" s="553"/>
      <c r="H168" s="26"/>
      <c r="I168" s="64" t="s">
        <v>29</v>
      </c>
      <c r="J168" s="23">
        <f>MAX(J166:J167)</f>
        <v>1</v>
      </c>
      <c r="K168" s="70"/>
      <c r="L168" s="69"/>
      <c r="M168" s="26"/>
      <c r="N168" s="63" t="s">
        <v>33</v>
      </c>
      <c r="O168" s="20">
        <f>SUM(O166:O167)</f>
        <v>1</v>
      </c>
      <c r="P168" s="22">
        <f>SUM(P166:P167)</f>
        <v>1</v>
      </c>
      <c r="Q168" s="69"/>
      <c r="R168" s="69"/>
      <c r="S168" s="69"/>
      <c r="T168" s="26"/>
      <c r="U168" s="13"/>
    </row>
    <row r="169" spans="2:21" ht="20.100000000000001" customHeight="1" collapsed="1" x14ac:dyDescent="0.25">
      <c r="B169" s="13"/>
      <c r="C169" s="26"/>
      <c r="D169" s="26"/>
      <c r="E169" s="26"/>
      <c r="F169" s="26"/>
      <c r="G169" s="26"/>
      <c r="H169" s="26"/>
      <c r="I169" s="26"/>
      <c r="J169" s="26"/>
      <c r="K169" s="26"/>
      <c r="L169" s="26"/>
      <c r="M169" s="26"/>
      <c r="N169" s="26"/>
      <c r="O169" s="26"/>
      <c r="P169" s="26"/>
      <c r="Q169" s="26"/>
      <c r="R169" s="26"/>
      <c r="S169" s="26"/>
      <c r="T169" s="26"/>
      <c r="U169" s="13"/>
    </row>
    <row r="170" spans="2:21" ht="20.100000000000001" customHeight="1" x14ac:dyDescent="0.25">
      <c r="B170" s="13"/>
      <c r="U170" s="13"/>
    </row>
    <row r="171" spans="2:21" ht="20.100000000000001" customHeight="1" thickBot="1" x14ac:dyDescent="0.3">
      <c r="B171" s="13"/>
      <c r="C171" s="27"/>
      <c r="D171" s="27"/>
      <c r="E171" s="939" t="str">
        <f>H156</f>
        <v>Santorini</v>
      </c>
      <c r="F171" s="554"/>
      <c r="G171" s="554"/>
      <c r="H171" s="554"/>
      <c r="I171" s="554"/>
      <c r="J171" s="554"/>
      <c r="K171" s="554"/>
      <c r="L171" s="554"/>
      <c r="M171" s="554"/>
      <c r="N171" s="554"/>
      <c r="O171" s="197"/>
      <c r="P171" s="197"/>
      <c r="Q171" s="197"/>
      <c r="R171" s="197"/>
      <c r="S171" s="197"/>
      <c r="T171" s="27"/>
      <c r="U171" s="13"/>
    </row>
    <row r="172" spans="2:21" ht="50.1" customHeight="1" thickBot="1" x14ac:dyDescent="0.3">
      <c r="B172" s="13"/>
      <c r="C172" s="27"/>
      <c r="D172" s="197"/>
      <c r="E172" s="88" t="s">
        <v>10</v>
      </c>
      <c r="F172" s="125" t="s">
        <v>52</v>
      </c>
      <c r="G172" s="89" t="s">
        <v>14</v>
      </c>
      <c r="H172" s="200" t="s">
        <v>51</v>
      </c>
      <c r="I172" s="18" t="s">
        <v>54</v>
      </c>
      <c r="J172" s="200" t="s">
        <v>53</v>
      </c>
      <c r="K172" s="206" t="s">
        <v>28</v>
      </c>
      <c r="L172" s="200" t="s">
        <v>37</v>
      </c>
      <c r="M172" s="204" t="s">
        <v>16</v>
      </c>
      <c r="N172" s="89" t="s">
        <v>15</v>
      </c>
      <c r="O172" s="5" t="s">
        <v>30</v>
      </c>
      <c r="P172" s="7" t="s">
        <v>34</v>
      </c>
      <c r="Q172" s="197"/>
      <c r="R172" s="197"/>
      <c r="S172" s="197"/>
      <c r="T172" s="27"/>
      <c r="U172" s="13"/>
    </row>
    <row r="173" spans="2:21" ht="20.100000000000001" customHeight="1" x14ac:dyDescent="0.25">
      <c r="B173" s="13"/>
      <c r="C173" s="27"/>
      <c r="D173" s="67"/>
      <c r="E173" s="233" t="s">
        <v>4</v>
      </c>
      <c r="F173" s="254" t="s">
        <v>9</v>
      </c>
      <c r="G173" s="111">
        <v>1</v>
      </c>
      <c r="H173" s="111" t="s">
        <v>538</v>
      </c>
      <c r="I173" s="111">
        <v>0</v>
      </c>
      <c r="J173" s="111">
        <v>0</v>
      </c>
      <c r="K173" s="111" t="s">
        <v>13</v>
      </c>
      <c r="L173" s="112">
        <f>IF(J173="",0,(J173/J175)*100)</f>
        <v>0</v>
      </c>
      <c r="M173" s="111">
        <v>2</v>
      </c>
      <c r="N173" s="113">
        <v>0</v>
      </c>
      <c r="O173" s="57">
        <f>IF(M173=1,1,0)</f>
        <v>0</v>
      </c>
      <c r="P173" s="8">
        <f>IF(M173=2,1,0)</f>
        <v>1</v>
      </c>
      <c r="Q173" s="203"/>
      <c r="R173" s="203"/>
      <c r="S173" s="203"/>
      <c r="T173" s="27"/>
      <c r="U173" s="13"/>
    </row>
    <row r="174" spans="2:21" ht="20.100000000000001" customHeight="1" thickBot="1" x14ac:dyDescent="0.3">
      <c r="B174" s="13"/>
      <c r="C174" s="27"/>
      <c r="D174" s="27"/>
      <c r="E174" s="282" t="s">
        <v>88</v>
      </c>
      <c r="F174" s="283" t="s">
        <v>69</v>
      </c>
      <c r="G174" s="284">
        <v>2</v>
      </c>
      <c r="H174" s="284" t="s">
        <v>537</v>
      </c>
      <c r="I174" s="284">
        <v>0</v>
      </c>
      <c r="J174" s="284">
        <v>1</v>
      </c>
      <c r="K174" s="285" t="s">
        <v>13</v>
      </c>
      <c r="L174" s="286">
        <f>IF(J174="",0,(J174/J175)*100)</f>
        <v>100</v>
      </c>
      <c r="M174" s="284">
        <v>1</v>
      </c>
      <c r="N174" s="287">
        <v>6</v>
      </c>
      <c r="O174" s="58">
        <f>IF(M174=1,1,0)</f>
        <v>1</v>
      </c>
      <c r="P174" s="10">
        <f>IF(M174=2,1,0)</f>
        <v>0</v>
      </c>
      <c r="Q174" s="203"/>
      <c r="R174" s="203"/>
      <c r="S174" s="203"/>
      <c r="T174" s="27"/>
      <c r="U174" s="13"/>
    </row>
    <row r="175" spans="2:21" ht="20.100000000000001" hidden="1" customHeight="1" outlineLevel="1" x14ac:dyDescent="0.25">
      <c r="B175" s="13"/>
      <c r="C175" s="27"/>
      <c r="D175" s="27"/>
      <c r="E175" s="27"/>
      <c r="F175" s="531"/>
      <c r="G175" s="531"/>
      <c r="H175" s="27"/>
      <c r="I175" s="64" t="s">
        <v>29</v>
      </c>
      <c r="J175" s="23">
        <f>MAX(J173:J174)</f>
        <v>1</v>
      </c>
      <c r="K175" s="75"/>
      <c r="L175" s="203"/>
      <c r="M175" s="27"/>
      <c r="N175" s="63" t="s">
        <v>33</v>
      </c>
      <c r="O175" s="20">
        <f>SUM(O173:O174)</f>
        <v>1</v>
      </c>
      <c r="P175" s="22">
        <f>SUM(P173:P174)</f>
        <v>1</v>
      </c>
      <c r="Q175" s="74"/>
      <c r="R175" s="74"/>
      <c r="S175" s="74"/>
      <c r="T175" s="27"/>
      <c r="U175" s="13"/>
    </row>
    <row r="176" spans="2:21" ht="20.100000000000001" customHeight="1" collapsed="1" x14ac:dyDescent="0.25">
      <c r="B176" s="13"/>
      <c r="C176" s="27"/>
      <c r="D176" s="27"/>
      <c r="E176" s="27"/>
      <c r="F176" s="27"/>
      <c r="G176" s="27"/>
      <c r="H176" s="27"/>
      <c r="I176" s="27"/>
      <c r="J176" s="27"/>
      <c r="K176" s="27"/>
      <c r="L176" s="27"/>
      <c r="M176" s="27"/>
      <c r="N176" s="27"/>
      <c r="O176" s="27"/>
      <c r="P176" s="27"/>
      <c r="Q176" s="27"/>
      <c r="R176" s="27"/>
      <c r="S176" s="27"/>
      <c r="T176" s="27"/>
      <c r="U176" s="13"/>
    </row>
    <row r="177" spans="2:21" ht="20.100000000000001" customHeight="1" x14ac:dyDescent="0.25">
      <c r="B177" s="13"/>
      <c r="D177" s="28"/>
      <c r="E177" s="28"/>
      <c r="F177" s="28"/>
      <c r="G177" s="28"/>
      <c r="H177" s="29"/>
      <c r="I177" s="28"/>
      <c r="J177" s="28"/>
      <c r="U177" s="13"/>
    </row>
    <row r="178" spans="2:21" ht="20.100000000000001" customHeight="1" thickBot="1" x14ac:dyDescent="0.3">
      <c r="B178" s="13"/>
      <c r="C178" s="30"/>
      <c r="D178" s="30"/>
      <c r="E178" s="940" t="str">
        <f>H161</f>
        <v>Wasserkraft</v>
      </c>
      <c r="F178" s="532"/>
      <c r="G178" s="532"/>
      <c r="H178" s="532"/>
      <c r="I178" s="532"/>
      <c r="J178" s="532"/>
      <c r="K178" s="532"/>
      <c r="L178" s="532"/>
      <c r="M178" s="532"/>
      <c r="N178" s="532"/>
      <c r="O178" s="196"/>
      <c r="P178" s="196"/>
      <c r="Q178" s="196"/>
      <c r="R178" s="196"/>
      <c r="S178" s="196"/>
      <c r="T178" s="30"/>
      <c r="U178" s="14"/>
    </row>
    <row r="179" spans="2:21" ht="50.1" customHeight="1" thickBot="1" x14ac:dyDescent="0.3">
      <c r="B179" s="13"/>
      <c r="C179" s="30"/>
      <c r="D179" s="196"/>
      <c r="E179" s="88" t="s">
        <v>10</v>
      </c>
      <c r="F179" s="125" t="s">
        <v>52</v>
      </c>
      <c r="G179" s="89" t="s">
        <v>14</v>
      </c>
      <c r="H179" s="200" t="s">
        <v>51</v>
      </c>
      <c r="I179" s="18" t="s">
        <v>54</v>
      </c>
      <c r="J179" s="200" t="s">
        <v>53</v>
      </c>
      <c r="K179" s="206" t="s">
        <v>28</v>
      </c>
      <c r="L179" s="200" t="s">
        <v>37</v>
      </c>
      <c r="M179" s="204" t="s">
        <v>16</v>
      </c>
      <c r="N179" s="89" t="s">
        <v>15</v>
      </c>
      <c r="O179" s="5" t="s">
        <v>30</v>
      </c>
      <c r="P179" s="7" t="s">
        <v>34</v>
      </c>
      <c r="Q179" s="196"/>
      <c r="R179" s="196"/>
      <c r="S179" s="196"/>
      <c r="T179" s="30"/>
      <c r="U179" s="14"/>
    </row>
    <row r="180" spans="2:21" ht="27.95" customHeight="1" x14ac:dyDescent="0.25">
      <c r="B180" s="13"/>
      <c r="C180" s="30"/>
      <c r="D180" s="66"/>
      <c r="E180" s="233" t="s">
        <v>4</v>
      </c>
      <c r="F180" s="254" t="s">
        <v>9</v>
      </c>
      <c r="G180" s="111">
        <v>1</v>
      </c>
      <c r="H180" s="268" t="s">
        <v>540</v>
      </c>
      <c r="I180" s="111">
        <v>0</v>
      </c>
      <c r="J180" s="111">
        <v>73</v>
      </c>
      <c r="K180" s="111" t="s">
        <v>13</v>
      </c>
      <c r="L180" s="112">
        <f>IF(J180="",0,(J180/J182)*100)</f>
        <v>43.712574850299404</v>
      </c>
      <c r="M180" s="111">
        <v>2</v>
      </c>
      <c r="N180" s="113">
        <v>0</v>
      </c>
      <c r="O180" s="209">
        <f>IF(M180=1,1,0)</f>
        <v>0</v>
      </c>
      <c r="P180" s="8">
        <f>IF(M180=2,1,0)</f>
        <v>1</v>
      </c>
      <c r="Q180" s="194"/>
      <c r="R180" s="194"/>
      <c r="S180" s="194"/>
      <c r="T180" s="30"/>
      <c r="U180" s="13"/>
    </row>
    <row r="181" spans="2:21" ht="27.95" customHeight="1" thickBot="1" x14ac:dyDescent="0.3">
      <c r="B181" s="13"/>
      <c r="C181" s="30"/>
      <c r="D181" s="30"/>
      <c r="E181" s="282" t="s">
        <v>88</v>
      </c>
      <c r="F181" s="283" t="s">
        <v>69</v>
      </c>
      <c r="G181" s="284">
        <v>2</v>
      </c>
      <c r="H181" s="285" t="s">
        <v>539</v>
      </c>
      <c r="I181" s="284">
        <v>0</v>
      </c>
      <c r="J181" s="284">
        <v>167</v>
      </c>
      <c r="K181" s="285" t="s">
        <v>13</v>
      </c>
      <c r="L181" s="286">
        <f>IF(J181="",0,(J181/J182)*100)</f>
        <v>100</v>
      </c>
      <c r="M181" s="284">
        <v>1</v>
      </c>
      <c r="N181" s="287">
        <v>6</v>
      </c>
      <c r="O181" s="208">
        <f>IF(M181=1,1,0)</f>
        <v>1</v>
      </c>
      <c r="P181" s="10">
        <f>IF(M181=2,1,0)</f>
        <v>0</v>
      </c>
      <c r="Q181" s="194"/>
      <c r="R181" s="194"/>
      <c r="S181" s="194"/>
      <c r="T181" s="30"/>
      <c r="U181" s="31"/>
    </row>
    <row r="182" spans="2:21" ht="20.100000000000001" hidden="1" customHeight="1" outlineLevel="1" x14ac:dyDescent="0.25">
      <c r="B182" s="13"/>
      <c r="C182" s="30"/>
      <c r="D182" s="30"/>
      <c r="E182" s="30"/>
      <c r="F182" s="533"/>
      <c r="G182" s="533"/>
      <c r="H182" s="30"/>
      <c r="I182" s="64" t="s">
        <v>29</v>
      </c>
      <c r="J182" s="23">
        <f>MAX(J180:J181)</f>
        <v>167</v>
      </c>
      <c r="K182" s="76"/>
      <c r="L182" s="194"/>
      <c r="M182" s="30"/>
      <c r="N182" s="63" t="s">
        <v>33</v>
      </c>
      <c r="O182" s="20">
        <f>SUM(O180:O181)</f>
        <v>1</v>
      </c>
      <c r="P182" s="22">
        <f>SUM(P180:P181)</f>
        <v>1</v>
      </c>
      <c r="Q182" s="77"/>
      <c r="R182" s="77"/>
      <c r="S182" s="77"/>
      <c r="T182" s="30"/>
      <c r="U182" s="31"/>
    </row>
    <row r="183" spans="2:21" ht="20.100000000000001" customHeight="1" collapsed="1" x14ac:dyDescent="0.25">
      <c r="B183" s="13"/>
      <c r="C183" s="30"/>
      <c r="D183" s="30"/>
      <c r="E183" s="30"/>
      <c r="F183" s="30"/>
      <c r="G183" s="30"/>
      <c r="H183" s="30"/>
      <c r="I183" s="30"/>
      <c r="J183" s="30"/>
      <c r="K183" s="30"/>
      <c r="L183" s="30"/>
      <c r="M183" s="30"/>
      <c r="N183" s="30"/>
      <c r="O183" s="30"/>
      <c r="P183" s="30"/>
      <c r="Q183" s="30"/>
      <c r="R183" s="30"/>
      <c r="S183" s="30"/>
      <c r="T183" s="30"/>
      <c r="U183" s="31"/>
    </row>
    <row r="184" spans="2:21" ht="20.100000000000001" customHeight="1" x14ac:dyDescent="0.25">
      <c r="B184" s="13"/>
      <c r="D184" s="28"/>
      <c r="E184" s="28"/>
      <c r="F184" s="28"/>
      <c r="G184" s="28"/>
      <c r="H184" s="29"/>
      <c r="I184" s="28"/>
      <c r="J184" s="28"/>
      <c r="K184" s="28"/>
      <c r="U184" s="13"/>
    </row>
    <row r="185" spans="2:21" ht="20.100000000000001" customHeight="1" thickBot="1" x14ac:dyDescent="0.3">
      <c r="B185" s="13"/>
      <c r="C185" s="32"/>
      <c r="D185" s="32"/>
      <c r="E185" s="534" t="str">
        <f>IF(OR(L162="-",L162= ""),H162,L162)</f>
        <v>7 Wonders Architects</v>
      </c>
      <c r="F185" s="534"/>
      <c r="G185" s="534"/>
      <c r="H185" s="534"/>
      <c r="I185" s="534"/>
      <c r="J185" s="534"/>
      <c r="K185" s="534"/>
      <c r="L185" s="534"/>
      <c r="M185" s="534"/>
      <c r="N185" s="534"/>
      <c r="O185" s="195"/>
      <c r="P185" s="195"/>
      <c r="Q185" s="195"/>
      <c r="R185" s="195"/>
      <c r="S185" s="195"/>
      <c r="T185" s="32"/>
      <c r="U185" s="13"/>
    </row>
    <row r="186" spans="2:21" ht="50.1" customHeight="1" thickBot="1" x14ac:dyDescent="0.3">
      <c r="B186" s="13"/>
      <c r="C186" s="32"/>
      <c r="D186" s="195"/>
      <c r="E186" s="88" t="s">
        <v>10</v>
      </c>
      <c r="F186" s="125" t="s">
        <v>52</v>
      </c>
      <c r="G186" s="89" t="s">
        <v>14</v>
      </c>
      <c r="H186" s="200" t="s">
        <v>51</v>
      </c>
      <c r="I186" s="18" t="s">
        <v>54</v>
      </c>
      <c r="J186" s="200" t="s">
        <v>53</v>
      </c>
      <c r="K186" s="206" t="s">
        <v>28</v>
      </c>
      <c r="L186" s="200" t="s">
        <v>37</v>
      </c>
      <c r="M186" s="204" t="s">
        <v>16</v>
      </c>
      <c r="N186" s="89" t="s">
        <v>15</v>
      </c>
      <c r="O186" s="5" t="s">
        <v>30</v>
      </c>
      <c r="P186" s="7" t="s">
        <v>34</v>
      </c>
      <c r="Q186" s="195"/>
      <c r="R186" s="195"/>
      <c r="S186" s="195"/>
      <c r="T186" s="32"/>
      <c r="U186" s="13"/>
    </row>
    <row r="187" spans="2:21" ht="20.100000000000001" customHeight="1" x14ac:dyDescent="0.25">
      <c r="B187" s="13"/>
      <c r="C187" s="32"/>
      <c r="D187" s="32"/>
      <c r="E187" s="327" t="s">
        <v>4</v>
      </c>
      <c r="F187" s="272" t="s">
        <v>9</v>
      </c>
      <c r="G187" s="157">
        <v>1</v>
      </c>
      <c r="H187" s="157" t="s">
        <v>451</v>
      </c>
      <c r="I187" s="157">
        <v>0</v>
      </c>
      <c r="J187" s="157">
        <v>50</v>
      </c>
      <c r="K187" s="157" t="s">
        <v>13</v>
      </c>
      <c r="L187" s="36">
        <f>IF(J187="",0,(J187/J189)*100)</f>
        <v>100</v>
      </c>
      <c r="M187" s="157">
        <v>1</v>
      </c>
      <c r="N187" s="99">
        <v>6</v>
      </c>
      <c r="O187" s="209">
        <f>IF(M187=1,1,0)</f>
        <v>1</v>
      </c>
      <c r="P187" s="8">
        <f>IF(M187=2,1,0)</f>
        <v>0</v>
      </c>
      <c r="Q187" s="201"/>
      <c r="R187" s="201"/>
      <c r="S187" s="201"/>
      <c r="T187" s="32"/>
      <c r="U187" s="13"/>
    </row>
    <row r="188" spans="2:21" ht="20.100000000000001" customHeight="1" thickBot="1" x14ac:dyDescent="0.3">
      <c r="B188" s="13"/>
      <c r="C188" s="32"/>
      <c r="D188" s="32"/>
      <c r="E188" s="361" t="s">
        <v>88</v>
      </c>
      <c r="F188" s="256" t="s">
        <v>69</v>
      </c>
      <c r="G188" s="117">
        <v>2</v>
      </c>
      <c r="H188" s="117" t="s">
        <v>452</v>
      </c>
      <c r="I188" s="117">
        <v>0</v>
      </c>
      <c r="J188" s="117">
        <v>36</v>
      </c>
      <c r="K188" s="102" t="s">
        <v>13</v>
      </c>
      <c r="L188" s="119">
        <f>IF(J188="",0,(J188/J189)*100)</f>
        <v>72</v>
      </c>
      <c r="M188" s="117">
        <v>2</v>
      </c>
      <c r="N188" s="118">
        <v>3</v>
      </c>
      <c r="O188" s="208">
        <f>IF(M188=1,1,0)</f>
        <v>0</v>
      </c>
      <c r="P188" s="10">
        <f>IF(M188=2,1,0)</f>
        <v>1</v>
      </c>
      <c r="Q188" s="201"/>
      <c r="R188" s="201"/>
      <c r="S188" s="201"/>
      <c r="T188" s="32"/>
      <c r="U188" s="13"/>
    </row>
    <row r="189" spans="2:21" ht="20.100000000000001" hidden="1" customHeight="1" outlineLevel="1" x14ac:dyDescent="0.25">
      <c r="B189" s="13"/>
      <c r="C189" s="32"/>
      <c r="D189" s="32"/>
      <c r="E189" s="32"/>
      <c r="F189" s="535"/>
      <c r="G189" s="535"/>
      <c r="H189" s="32"/>
      <c r="I189" s="64" t="s">
        <v>29</v>
      </c>
      <c r="J189" s="23">
        <f>MAX(J187:J188)</f>
        <v>50</v>
      </c>
      <c r="K189" s="78"/>
      <c r="L189" s="201"/>
      <c r="M189" s="32"/>
      <c r="N189" s="63" t="s">
        <v>33</v>
      </c>
      <c r="O189" s="20">
        <f>SUM(O187:O188)</f>
        <v>1</v>
      </c>
      <c r="P189" s="22">
        <f>SUM(P187:P188)</f>
        <v>1</v>
      </c>
      <c r="Q189" s="79"/>
      <c r="R189" s="79"/>
      <c r="S189" s="79"/>
      <c r="T189" s="32"/>
      <c r="U189" s="13"/>
    </row>
    <row r="190" spans="2:21" ht="20.100000000000001" customHeight="1" collapsed="1" x14ac:dyDescent="0.25">
      <c r="B190" s="13"/>
      <c r="C190" s="32"/>
      <c r="D190" s="32"/>
      <c r="E190" s="32"/>
      <c r="F190" s="32"/>
      <c r="G190" s="32"/>
      <c r="H190" s="32"/>
      <c r="I190" s="32"/>
      <c r="J190" s="32"/>
      <c r="K190" s="32"/>
      <c r="L190" s="32"/>
      <c r="M190" s="32"/>
      <c r="N190" s="32"/>
      <c r="O190" s="32"/>
      <c r="P190" s="32"/>
      <c r="Q190" s="32"/>
      <c r="R190" s="32"/>
      <c r="S190" s="32"/>
      <c r="T190" s="32"/>
      <c r="U190" s="13"/>
    </row>
    <row r="191" spans="2:21" ht="20.100000000000001" customHeight="1" x14ac:dyDescent="0.25">
      <c r="B191" s="13"/>
      <c r="D191" s="4"/>
      <c r="E191" s="4"/>
      <c r="F191" s="4"/>
      <c r="G191" s="4"/>
      <c r="H191" s="4"/>
      <c r="I191" s="4"/>
      <c r="J191" s="4"/>
      <c r="U191" s="13"/>
    </row>
    <row r="192" spans="2:21" ht="30" customHeight="1" thickBot="1" x14ac:dyDescent="0.3">
      <c r="B192" s="13"/>
      <c r="C192" s="33"/>
      <c r="D192" s="312"/>
      <c r="E192" s="536" t="s">
        <v>50</v>
      </c>
      <c r="F192" s="536"/>
      <c r="G192" s="536"/>
      <c r="H192" s="536"/>
      <c r="I192" s="536"/>
      <c r="J192" s="536"/>
      <c r="K192" s="536"/>
      <c r="L192" s="536"/>
      <c r="M192" s="536"/>
      <c r="N192" s="536"/>
      <c r="O192" s="312"/>
      <c r="P192" s="312"/>
      <c r="Q192" s="312"/>
      <c r="R192" s="312"/>
      <c r="S192" s="312"/>
      <c r="T192" s="33"/>
      <c r="U192" s="13"/>
    </row>
    <row r="193" spans="2:21" ht="50.1" customHeight="1" thickBot="1" x14ac:dyDescent="0.3">
      <c r="B193" s="13"/>
      <c r="C193" s="33"/>
      <c r="D193" s="33"/>
      <c r="E193" s="90" t="s">
        <v>10</v>
      </c>
      <c r="F193" s="93" t="s">
        <v>65</v>
      </c>
      <c r="G193" s="91" t="s">
        <v>15</v>
      </c>
      <c r="H193" s="42" t="s">
        <v>55</v>
      </c>
      <c r="I193" s="537" t="s">
        <v>56</v>
      </c>
      <c r="J193" s="538"/>
      <c r="K193" s="202" t="s">
        <v>66</v>
      </c>
      <c r="L193" s="92" t="s">
        <v>17</v>
      </c>
      <c r="M193" s="91" t="s">
        <v>18</v>
      </c>
      <c r="N193" s="93" t="s">
        <v>38</v>
      </c>
      <c r="O193" s="313"/>
      <c r="P193" s="314"/>
      <c r="Q193" s="314"/>
      <c r="R193" s="314"/>
      <c r="S193" s="313"/>
      <c r="T193" s="33"/>
      <c r="U193" s="13"/>
    </row>
    <row r="194" spans="2:21" ht="20.100000000000001" customHeight="1" x14ac:dyDescent="0.25">
      <c r="B194" s="13"/>
      <c r="C194" s="33"/>
      <c r="D194" s="33"/>
      <c r="E194" s="479" t="s">
        <v>88</v>
      </c>
      <c r="F194" s="375" t="s">
        <v>69</v>
      </c>
      <c r="G194" s="133">
        <f>L194*6+M194*0</f>
        <v>12</v>
      </c>
      <c r="H194" s="262">
        <v>0</v>
      </c>
      <c r="I194" s="539" t="s">
        <v>13</v>
      </c>
      <c r="J194" s="539"/>
      <c r="K194" s="133">
        <f>G194+H194</f>
        <v>12</v>
      </c>
      <c r="L194" s="133">
        <v>2</v>
      </c>
      <c r="M194" s="133">
        <v>2</v>
      </c>
      <c r="N194" s="134">
        <f>(L167+L174+L181+L188)/4</f>
        <v>68</v>
      </c>
      <c r="O194" s="316"/>
      <c r="P194" s="317"/>
      <c r="Q194" s="317"/>
      <c r="R194" s="317"/>
      <c r="S194" s="330"/>
      <c r="T194" s="33"/>
      <c r="U194" s="13"/>
    </row>
    <row r="195" spans="2:21" ht="20.100000000000001" customHeight="1" thickBot="1" x14ac:dyDescent="0.3">
      <c r="B195" s="13"/>
      <c r="C195" s="33"/>
      <c r="D195" s="33"/>
      <c r="E195" s="372" t="s">
        <v>4</v>
      </c>
      <c r="F195" s="275" t="s">
        <v>9</v>
      </c>
      <c r="G195" s="109">
        <f>L195*6+M195*0</f>
        <v>12</v>
      </c>
      <c r="H195" s="264">
        <v>0</v>
      </c>
      <c r="I195" s="530" t="s">
        <v>13</v>
      </c>
      <c r="J195" s="530"/>
      <c r="K195" s="109">
        <f>G195+H195</f>
        <v>12</v>
      </c>
      <c r="L195" s="109">
        <v>2</v>
      </c>
      <c r="M195" s="109">
        <v>2</v>
      </c>
      <c r="N195" s="106">
        <f>(L166+L173+L180+L187)/4</f>
        <v>60.928143712574851</v>
      </c>
      <c r="O195" s="316"/>
      <c r="P195" s="317"/>
      <c r="Q195" s="317"/>
      <c r="R195" s="317"/>
      <c r="S195" s="330"/>
      <c r="T195" s="33"/>
      <c r="U195" s="13"/>
    </row>
    <row r="196" spans="2:21" ht="20.100000000000001" customHeight="1" x14ac:dyDescent="0.25">
      <c r="B196" s="13"/>
      <c r="C196" s="33"/>
      <c r="D196" s="33"/>
      <c r="E196" s="33"/>
      <c r="F196" s="16"/>
      <c r="G196" s="16"/>
      <c r="H196" s="16"/>
      <c r="I196" s="16"/>
      <c r="J196" s="16"/>
      <c r="K196" s="16"/>
      <c r="L196" s="16"/>
      <c r="M196" s="16"/>
      <c r="N196" s="16"/>
      <c r="O196" s="16"/>
      <c r="P196" s="16"/>
      <c r="Q196" s="16"/>
      <c r="R196" s="16"/>
      <c r="S196" s="16"/>
      <c r="T196" s="33"/>
      <c r="U196" s="13"/>
    </row>
    <row r="197" spans="2:21" ht="20.100000000000001" customHeight="1" x14ac:dyDescent="0.25">
      <c r="B197" s="13"/>
      <c r="C197" s="13"/>
      <c r="D197" s="15"/>
      <c r="E197" s="15"/>
      <c r="F197" s="14"/>
      <c r="G197" s="14"/>
      <c r="H197" s="15"/>
      <c r="I197" s="15"/>
      <c r="J197" s="15"/>
      <c r="K197" s="13"/>
      <c r="L197" s="13"/>
      <c r="M197" s="13"/>
      <c r="N197" s="13"/>
      <c r="O197" s="13"/>
      <c r="P197" s="13"/>
      <c r="Q197" s="13"/>
      <c r="R197" s="13"/>
      <c r="S197" s="13"/>
      <c r="T197" s="13"/>
      <c r="U197" s="13"/>
    </row>
  </sheetData>
  <mergeCells count="190">
    <mergeCell ref="B10:C10"/>
    <mergeCell ref="L10:L13"/>
    <mergeCell ref="B11:C11"/>
    <mergeCell ref="B12:C12"/>
    <mergeCell ref="B13:C13"/>
    <mergeCell ref="A1:N2"/>
    <mergeCell ref="B4:I4"/>
    <mergeCell ref="K4:M4"/>
    <mergeCell ref="B5:C5"/>
    <mergeCell ref="B6:C6"/>
    <mergeCell ref="L6:L9"/>
    <mergeCell ref="B7:C7"/>
    <mergeCell ref="B8:C8"/>
    <mergeCell ref="B9:C9"/>
    <mergeCell ref="I25:J25"/>
    <mergeCell ref="N25:S25"/>
    <mergeCell ref="I26:J26"/>
    <mergeCell ref="K16:L16"/>
    <mergeCell ref="B17:H17"/>
    <mergeCell ref="B18:C18"/>
    <mergeCell ref="B19:C19"/>
    <mergeCell ref="C22:T22"/>
    <mergeCell ref="D24:D25"/>
    <mergeCell ref="E24:E25"/>
    <mergeCell ref="F24:F25"/>
    <mergeCell ref="G24:J24"/>
    <mergeCell ref="L24:S24"/>
    <mergeCell ref="N26:S26"/>
    <mergeCell ref="I28:J28"/>
    <mergeCell ref="K28:K30"/>
    <mergeCell ref="L28:L30"/>
    <mergeCell ref="M28:M30"/>
    <mergeCell ref="N28:S30"/>
    <mergeCell ref="I29:J29"/>
    <mergeCell ref="I30:J30"/>
    <mergeCell ref="N27:S27"/>
    <mergeCell ref="D28:D30"/>
    <mergeCell ref="E28:E30"/>
    <mergeCell ref="F28:F30"/>
    <mergeCell ref="G28:G30"/>
    <mergeCell ref="H28:H30"/>
    <mergeCell ref="I27:J27"/>
    <mergeCell ref="K31:K34"/>
    <mergeCell ref="L31:L34"/>
    <mergeCell ref="M31:M34"/>
    <mergeCell ref="N31:S34"/>
    <mergeCell ref="I33:J33"/>
    <mergeCell ref="I34:J34"/>
    <mergeCell ref="D31:D34"/>
    <mergeCell ref="E31:E34"/>
    <mergeCell ref="F31:F34"/>
    <mergeCell ref="G31:G34"/>
    <mergeCell ref="H31:H34"/>
    <mergeCell ref="I31:J31"/>
    <mergeCell ref="I32:J32"/>
    <mergeCell ref="N87:S90"/>
    <mergeCell ref="I90:J90"/>
    <mergeCell ref="F60:G60"/>
    <mergeCell ref="E63:N63"/>
    <mergeCell ref="F69:G69"/>
    <mergeCell ref="D72:S72"/>
    <mergeCell ref="H73:I73"/>
    <mergeCell ref="H74:I74"/>
    <mergeCell ref="E36:N36"/>
    <mergeCell ref="F42:G42"/>
    <mergeCell ref="F43:G43"/>
    <mergeCell ref="E45:N45"/>
    <mergeCell ref="F51:G51"/>
    <mergeCell ref="E54:N54"/>
    <mergeCell ref="H75:I75"/>
    <mergeCell ref="H76:I76"/>
    <mergeCell ref="H77:I77"/>
    <mergeCell ref="H78:I78"/>
    <mergeCell ref="C83:T83"/>
    <mergeCell ref="D85:D86"/>
    <mergeCell ref="E85:E86"/>
    <mergeCell ref="F85:F86"/>
    <mergeCell ref="G85:J85"/>
    <mergeCell ref="L85:S85"/>
    <mergeCell ref="I86:J86"/>
    <mergeCell ref="N86:S86"/>
    <mergeCell ref="N91:S94"/>
    <mergeCell ref="I92:J92"/>
    <mergeCell ref="I94:J94"/>
    <mergeCell ref="I88:J88"/>
    <mergeCell ref="I89:J89"/>
    <mergeCell ref="I93:J93"/>
    <mergeCell ref="D87:D90"/>
    <mergeCell ref="E87:E90"/>
    <mergeCell ref="F87:F90"/>
    <mergeCell ref="G87:G90"/>
    <mergeCell ref="H87:H90"/>
    <mergeCell ref="I87:J87"/>
    <mergeCell ref="K87:K90"/>
    <mergeCell ref="D91:D94"/>
    <mergeCell ref="E91:E94"/>
    <mergeCell ref="F91:F94"/>
    <mergeCell ref="G91:G94"/>
    <mergeCell ref="H91:H94"/>
    <mergeCell ref="I91:J91"/>
    <mergeCell ref="K91:K94"/>
    <mergeCell ref="L91:L94"/>
    <mergeCell ref="M91:M94"/>
    <mergeCell ref="L87:L90"/>
    <mergeCell ref="M87:M90"/>
    <mergeCell ref="D95:D98"/>
    <mergeCell ref="E95:E98"/>
    <mergeCell ref="F95:F98"/>
    <mergeCell ref="G95:G98"/>
    <mergeCell ref="H95:H98"/>
    <mergeCell ref="N99:S99"/>
    <mergeCell ref="I99:J99"/>
    <mergeCell ref="I95:J95"/>
    <mergeCell ref="K95:K98"/>
    <mergeCell ref="L95:L98"/>
    <mergeCell ref="M95:M98"/>
    <mergeCell ref="N95:S98"/>
    <mergeCell ref="I96:J96"/>
    <mergeCell ref="I97:J97"/>
    <mergeCell ref="I98:J98"/>
    <mergeCell ref="E128:N128"/>
    <mergeCell ref="F134:G134"/>
    <mergeCell ref="D137:S137"/>
    <mergeCell ref="H138:I138"/>
    <mergeCell ref="H139:I139"/>
    <mergeCell ref="H140:I140"/>
    <mergeCell ref="E101:N101"/>
    <mergeCell ref="F107:G107"/>
    <mergeCell ref="E110:N110"/>
    <mergeCell ref="F116:G116"/>
    <mergeCell ref="E119:N119"/>
    <mergeCell ref="F125:G125"/>
    <mergeCell ref="Y140:Z140"/>
    <mergeCell ref="H141:I141"/>
    <mergeCell ref="H142:I142"/>
    <mergeCell ref="H143:I143"/>
    <mergeCell ref="C148:T148"/>
    <mergeCell ref="D150:D151"/>
    <mergeCell ref="E150:E151"/>
    <mergeCell ref="F150:F151"/>
    <mergeCell ref="G150:J150"/>
    <mergeCell ref="L150:S150"/>
    <mergeCell ref="L14:L15"/>
    <mergeCell ref="B15:C15"/>
    <mergeCell ref="B14:C14"/>
    <mergeCell ref="I154:J154"/>
    <mergeCell ref="I155:J155"/>
    <mergeCell ref="I159:J159"/>
    <mergeCell ref="N156:S160"/>
    <mergeCell ref="F189:G189"/>
    <mergeCell ref="E192:N192"/>
    <mergeCell ref="E164:N164"/>
    <mergeCell ref="N161:S161"/>
    <mergeCell ref="I162:J162"/>
    <mergeCell ref="N162:S162"/>
    <mergeCell ref="I161:J161"/>
    <mergeCell ref="I156:J156"/>
    <mergeCell ref="D156:D160"/>
    <mergeCell ref="E156:E160"/>
    <mergeCell ref="K156:K160"/>
    <mergeCell ref="L156:L160"/>
    <mergeCell ref="M156:M160"/>
    <mergeCell ref="I157:J157"/>
    <mergeCell ref="I158:J158"/>
    <mergeCell ref="I160:J160"/>
    <mergeCell ref="M152:M155"/>
    <mergeCell ref="F156:F160"/>
    <mergeCell ref="G156:G160"/>
    <mergeCell ref="H156:H160"/>
    <mergeCell ref="I151:J151"/>
    <mergeCell ref="N151:S151"/>
    <mergeCell ref="D152:D155"/>
    <mergeCell ref="E152:E155"/>
    <mergeCell ref="I195:J195"/>
    <mergeCell ref="F168:G168"/>
    <mergeCell ref="E171:N171"/>
    <mergeCell ref="F175:G175"/>
    <mergeCell ref="E178:N178"/>
    <mergeCell ref="F182:G182"/>
    <mergeCell ref="E185:N185"/>
    <mergeCell ref="I193:J193"/>
    <mergeCell ref="I194:J194"/>
    <mergeCell ref="N152:S155"/>
    <mergeCell ref="I153:J153"/>
    <mergeCell ref="F152:F155"/>
    <mergeCell ref="G152:G155"/>
    <mergeCell ref="H152:H155"/>
    <mergeCell ref="I152:J152"/>
    <mergeCell ref="K152:K155"/>
    <mergeCell ref="L152:L155"/>
  </mergeCells>
  <conditionalFormatting sqref="B6:C13 B14:B15">
    <cfRule type="expression" dxfId="377" priority="305">
      <formula>$I6="Nein"</formula>
    </cfRule>
    <cfRule type="expression" dxfId="376" priority="306">
      <formula>$I6="Ja"</formula>
    </cfRule>
  </conditionalFormatting>
  <conditionalFormatting sqref="D78:E78">
    <cfRule type="expression" dxfId="375" priority="303">
      <formula>$I78="Nein"</formula>
    </cfRule>
    <cfRule type="expression" dxfId="374" priority="304">
      <formula>$I78="Ja"</formula>
    </cfRule>
  </conditionalFormatting>
  <conditionalFormatting sqref="D8:I8">
    <cfRule type="expression" dxfId="373" priority="301">
      <formula>$I8="Nein"</formula>
    </cfRule>
    <cfRule type="expression" dxfId="372" priority="302">
      <formula>$I8="Ja"</formula>
    </cfRule>
  </conditionalFormatting>
  <conditionalFormatting sqref="I14:I15">
    <cfRule type="expression" dxfId="371" priority="299">
      <formula>$I14="Nein"</formula>
    </cfRule>
    <cfRule type="expression" dxfId="370" priority="300">
      <formula>$I14="Ja"</formula>
    </cfRule>
  </conditionalFormatting>
  <conditionalFormatting sqref="D8:I8">
    <cfRule type="expression" dxfId="369" priority="297">
      <formula>$I8="Nein"</formula>
    </cfRule>
    <cfRule type="expression" dxfId="368" priority="298">
      <formula>$I8="Ja"</formula>
    </cfRule>
  </conditionalFormatting>
  <conditionalFormatting sqref="D152:E152 D156:E156">
    <cfRule type="expression" dxfId="367" priority="277">
      <formula>$J152="Ja"</formula>
    </cfRule>
    <cfRule type="expression" dxfId="366" priority="278">
      <formula>$J152="Nein"</formula>
    </cfRule>
  </conditionalFormatting>
  <conditionalFormatting sqref="E195:F195">
    <cfRule type="expression" dxfId="365" priority="273">
      <formula>$I195="Nein"</formula>
    </cfRule>
    <cfRule type="expression" dxfId="364" priority="274">
      <formula>$I195="Ja"</formula>
    </cfRule>
  </conditionalFormatting>
  <conditionalFormatting sqref="D6:I6">
    <cfRule type="expression" dxfId="363" priority="267">
      <formula>$I6="Nein"</formula>
    </cfRule>
    <cfRule type="expression" dxfId="362" priority="268">
      <formula>$I6="Ja"</formula>
    </cfRule>
  </conditionalFormatting>
  <conditionalFormatting sqref="I7">
    <cfRule type="expression" dxfId="361" priority="265">
      <formula>$I7="Nein"</formula>
    </cfRule>
    <cfRule type="expression" dxfId="360" priority="266">
      <formula>$I7="Ja"</formula>
    </cfRule>
  </conditionalFormatting>
  <conditionalFormatting sqref="D7:H7">
    <cfRule type="expression" dxfId="359" priority="263">
      <formula>$I7="Nein"</formula>
    </cfRule>
    <cfRule type="expression" dxfId="358" priority="264">
      <formula>$I7="Ja"</formula>
    </cfRule>
  </conditionalFormatting>
  <conditionalFormatting sqref="D14:H14">
    <cfRule type="expression" dxfId="357" priority="251">
      <formula>$I14="Nein"</formula>
    </cfRule>
    <cfRule type="expression" dxfId="356" priority="252">
      <formula>$I14="Ja"</formula>
    </cfRule>
  </conditionalFormatting>
  <conditionalFormatting sqref="D19:H19">
    <cfRule type="expression" dxfId="355" priority="151">
      <formula>$I19="Nein"</formula>
    </cfRule>
    <cfRule type="expression" dxfId="354" priority="152">
      <formula>$I19="Ja"</formula>
    </cfRule>
  </conditionalFormatting>
  <conditionalFormatting sqref="D143:E143">
    <cfRule type="expression" dxfId="353" priority="149">
      <formula>$I143="Nein"</formula>
    </cfRule>
    <cfRule type="expression" dxfId="352" priority="150">
      <formula>$I143="Ja"</formula>
    </cfRule>
  </conditionalFormatting>
  <conditionalFormatting sqref="D16:I16">
    <cfRule type="expression" dxfId="351" priority="143">
      <formula>$I16="Nein"</formula>
    </cfRule>
    <cfRule type="expression" dxfId="350" priority="144">
      <formula>$I16="Ja"</formula>
    </cfRule>
  </conditionalFormatting>
  <conditionalFormatting sqref="D9:I9">
    <cfRule type="expression" dxfId="349" priority="141">
      <formula>$I9="Nein"</formula>
    </cfRule>
    <cfRule type="expression" dxfId="348" priority="142">
      <formula>$I9="Ja"</formula>
    </cfRule>
  </conditionalFormatting>
  <conditionalFormatting sqref="D9:I9">
    <cfRule type="expression" dxfId="347" priority="139">
      <formula>$I9="Nein"</formula>
    </cfRule>
    <cfRule type="expression" dxfId="346" priority="140">
      <formula>$I9="Ja"</formula>
    </cfRule>
  </conditionalFormatting>
  <conditionalFormatting sqref="D10:I10">
    <cfRule type="expression" dxfId="345" priority="137">
      <formula>$I10="Nein"</formula>
    </cfRule>
    <cfRule type="expression" dxfId="344" priority="138">
      <formula>$I10="Ja"</formula>
    </cfRule>
  </conditionalFormatting>
  <conditionalFormatting sqref="D13:I13">
    <cfRule type="expression" dxfId="343" priority="135">
      <formula>$I13="Nein"</formula>
    </cfRule>
    <cfRule type="expression" dxfId="342" priority="136">
      <formula>$I13="Ja"</formula>
    </cfRule>
  </conditionalFormatting>
  <conditionalFormatting sqref="D11:I11">
    <cfRule type="expression" dxfId="341" priority="133">
      <formula>$I11="Nein"</formula>
    </cfRule>
    <cfRule type="expression" dxfId="340" priority="134">
      <formula>$I11="Ja"</formula>
    </cfRule>
  </conditionalFormatting>
  <conditionalFormatting sqref="I12">
    <cfRule type="expression" dxfId="339" priority="131">
      <formula>$I12="Nein"</formula>
    </cfRule>
    <cfRule type="expression" dxfId="338" priority="132">
      <formula>$I12="Ja"</formula>
    </cfRule>
  </conditionalFormatting>
  <conditionalFormatting sqref="D12:H12">
    <cfRule type="expression" dxfId="337" priority="129">
      <formula>$I12="Nein"</formula>
    </cfRule>
    <cfRule type="expression" dxfId="336" priority="130">
      <formula>$I12="Ja"</formula>
    </cfRule>
  </conditionalFormatting>
  <conditionalFormatting sqref="D15:H15">
    <cfRule type="expression" dxfId="335" priority="127">
      <formula>$I15="Nein"</formula>
    </cfRule>
    <cfRule type="expression" dxfId="334" priority="128">
      <formula>$I15="Ja"</formula>
    </cfRule>
  </conditionalFormatting>
  <conditionalFormatting sqref="E40:F40">
    <cfRule type="expression" dxfId="333" priority="125">
      <formula>$I40="Nein"</formula>
    </cfRule>
    <cfRule type="expression" dxfId="332" priority="126">
      <formula>$I40="Ja"</formula>
    </cfRule>
  </conditionalFormatting>
  <conditionalFormatting sqref="E40:F40">
    <cfRule type="expression" dxfId="331" priority="123">
      <formula>$I40="Nein"</formula>
    </cfRule>
    <cfRule type="expression" dxfId="330" priority="124">
      <formula>$I40="Ja"</formula>
    </cfRule>
  </conditionalFormatting>
  <conditionalFormatting sqref="E38:F38">
    <cfRule type="expression" dxfId="329" priority="121">
      <formula>$I38="Nein"</formula>
    </cfRule>
    <cfRule type="expression" dxfId="328" priority="122">
      <formula>$I38="Ja"</formula>
    </cfRule>
  </conditionalFormatting>
  <conditionalFormatting sqref="E39:F39">
    <cfRule type="expression" dxfId="327" priority="119">
      <formula>$I39="Nein"</formula>
    </cfRule>
    <cfRule type="expression" dxfId="326" priority="120">
      <formula>$I39="Ja"</formula>
    </cfRule>
  </conditionalFormatting>
  <conditionalFormatting sqref="E41:F41">
    <cfRule type="expression" dxfId="325" priority="117">
      <formula>$I41="Nein"</formula>
    </cfRule>
    <cfRule type="expression" dxfId="324" priority="118">
      <formula>$I41="Ja"</formula>
    </cfRule>
  </conditionalFormatting>
  <conditionalFormatting sqref="E41:F41">
    <cfRule type="expression" dxfId="323" priority="115">
      <formula>$I41="Nein"</formula>
    </cfRule>
    <cfRule type="expression" dxfId="322" priority="116">
      <formula>$I41="Ja"</formula>
    </cfRule>
  </conditionalFormatting>
  <conditionalFormatting sqref="E49:F49">
    <cfRule type="expression" dxfId="321" priority="113">
      <formula>$I49="Nein"</formula>
    </cfRule>
    <cfRule type="expression" dxfId="320" priority="114">
      <formula>$I49="Ja"</formula>
    </cfRule>
  </conditionalFormatting>
  <conditionalFormatting sqref="E49:F49">
    <cfRule type="expression" dxfId="319" priority="111">
      <formula>$I49="Nein"</formula>
    </cfRule>
    <cfRule type="expression" dxfId="318" priority="112">
      <formula>$I49="Ja"</formula>
    </cfRule>
  </conditionalFormatting>
  <conditionalFormatting sqref="E47:F47">
    <cfRule type="expression" dxfId="317" priority="109">
      <formula>$I47="Nein"</formula>
    </cfRule>
    <cfRule type="expression" dxfId="316" priority="110">
      <formula>$I47="Ja"</formula>
    </cfRule>
  </conditionalFormatting>
  <conditionalFormatting sqref="E48:F48">
    <cfRule type="expression" dxfId="315" priority="107">
      <formula>$I48="Nein"</formula>
    </cfRule>
    <cfRule type="expression" dxfId="314" priority="108">
      <formula>$I48="Ja"</formula>
    </cfRule>
  </conditionalFormatting>
  <conditionalFormatting sqref="E50:F50">
    <cfRule type="expression" dxfId="313" priority="105">
      <formula>$I50="Nein"</formula>
    </cfRule>
    <cfRule type="expression" dxfId="312" priority="106">
      <formula>$I50="Ja"</formula>
    </cfRule>
  </conditionalFormatting>
  <conditionalFormatting sqref="E50:F50">
    <cfRule type="expression" dxfId="311" priority="103">
      <formula>$I50="Nein"</formula>
    </cfRule>
    <cfRule type="expression" dxfId="310" priority="104">
      <formula>$I50="Ja"</formula>
    </cfRule>
  </conditionalFormatting>
  <conditionalFormatting sqref="E58:F58">
    <cfRule type="expression" dxfId="309" priority="101">
      <formula>$I58="Nein"</formula>
    </cfRule>
    <cfRule type="expression" dxfId="308" priority="102">
      <formula>$I58="Ja"</formula>
    </cfRule>
  </conditionalFormatting>
  <conditionalFormatting sqref="E58:F58">
    <cfRule type="expression" dxfId="307" priority="99">
      <formula>$I58="Nein"</formula>
    </cfRule>
    <cfRule type="expression" dxfId="306" priority="100">
      <formula>$I58="Ja"</formula>
    </cfRule>
  </conditionalFormatting>
  <conditionalFormatting sqref="E56:F56">
    <cfRule type="expression" dxfId="305" priority="97">
      <formula>$I56="Nein"</formula>
    </cfRule>
    <cfRule type="expression" dxfId="304" priority="98">
      <formula>$I56="Ja"</formula>
    </cfRule>
  </conditionalFormatting>
  <conditionalFormatting sqref="E57:F57">
    <cfRule type="expression" dxfId="303" priority="95">
      <formula>$I57="Nein"</formula>
    </cfRule>
    <cfRule type="expression" dxfId="302" priority="96">
      <formula>$I57="Ja"</formula>
    </cfRule>
  </conditionalFormatting>
  <conditionalFormatting sqref="E59:F59">
    <cfRule type="expression" dxfId="301" priority="93">
      <formula>$I59="Nein"</formula>
    </cfRule>
    <cfRule type="expression" dxfId="300" priority="94">
      <formula>$I59="Ja"</formula>
    </cfRule>
  </conditionalFormatting>
  <conditionalFormatting sqref="E59:F59">
    <cfRule type="expression" dxfId="299" priority="91">
      <formula>$I59="Nein"</formula>
    </cfRule>
    <cfRule type="expression" dxfId="298" priority="92">
      <formula>$I59="Ja"</formula>
    </cfRule>
  </conditionalFormatting>
  <conditionalFormatting sqref="E67:F67">
    <cfRule type="expression" dxfId="297" priority="89">
      <formula>$I67="Nein"</formula>
    </cfRule>
    <cfRule type="expression" dxfId="296" priority="90">
      <formula>$I67="Ja"</formula>
    </cfRule>
  </conditionalFormatting>
  <conditionalFormatting sqref="E67:F67">
    <cfRule type="expression" dxfId="295" priority="87">
      <formula>$I67="Nein"</formula>
    </cfRule>
    <cfRule type="expression" dxfId="294" priority="88">
      <formula>$I67="Ja"</formula>
    </cfRule>
  </conditionalFormatting>
  <conditionalFormatting sqref="E65:F65">
    <cfRule type="expression" dxfId="293" priority="85">
      <formula>$I65="Nein"</formula>
    </cfRule>
    <cfRule type="expression" dxfId="292" priority="86">
      <formula>$I65="Ja"</formula>
    </cfRule>
  </conditionalFormatting>
  <conditionalFormatting sqref="E66:F66">
    <cfRule type="expression" dxfId="291" priority="83">
      <formula>$I66="Nein"</formula>
    </cfRule>
    <cfRule type="expression" dxfId="290" priority="84">
      <formula>$I66="Ja"</formula>
    </cfRule>
  </conditionalFormatting>
  <conditionalFormatting sqref="E68:F68">
    <cfRule type="expression" dxfId="289" priority="81">
      <formula>$I68="Nein"</formula>
    </cfRule>
    <cfRule type="expression" dxfId="288" priority="82">
      <formula>$I68="Ja"</formula>
    </cfRule>
  </conditionalFormatting>
  <conditionalFormatting sqref="E68:F68">
    <cfRule type="expression" dxfId="287" priority="79">
      <formula>$I68="Nein"</formula>
    </cfRule>
    <cfRule type="expression" dxfId="286" priority="80">
      <formula>$I68="Ja"</formula>
    </cfRule>
  </conditionalFormatting>
  <conditionalFormatting sqref="D74:E74">
    <cfRule type="expression" dxfId="285" priority="77">
      <formula>$I74="Nein"</formula>
    </cfRule>
    <cfRule type="expression" dxfId="284" priority="78">
      <formula>$I74="Ja"</formula>
    </cfRule>
  </conditionalFormatting>
  <conditionalFormatting sqref="D74:E74">
    <cfRule type="expression" dxfId="283" priority="75">
      <formula>$I74="Nein"</formula>
    </cfRule>
    <cfRule type="expression" dxfId="282" priority="76">
      <formula>$I74="Ja"</formula>
    </cfRule>
  </conditionalFormatting>
  <conditionalFormatting sqref="D75:E75">
    <cfRule type="expression" dxfId="281" priority="73">
      <formula>$I75="Nein"</formula>
    </cfRule>
    <cfRule type="expression" dxfId="280" priority="74">
      <formula>$I75="Ja"</formula>
    </cfRule>
  </conditionalFormatting>
  <conditionalFormatting sqref="D75:E75">
    <cfRule type="expression" dxfId="279" priority="71">
      <formula>$I75="Nein"</formula>
    </cfRule>
    <cfRule type="expression" dxfId="278" priority="72">
      <formula>$I75="Ja"</formula>
    </cfRule>
  </conditionalFormatting>
  <conditionalFormatting sqref="D76:E76">
    <cfRule type="expression" dxfId="277" priority="69">
      <formula>$I76="Nein"</formula>
    </cfRule>
    <cfRule type="expression" dxfId="276" priority="70">
      <formula>$I76="Ja"</formula>
    </cfRule>
  </conditionalFormatting>
  <conditionalFormatting sqref="D77:E77">
    <cfRule type="expression" dxfId="275" priority="67">
      <formula>$I77="Nein"</formula>
    </cfRule>
    <cfRule type="expression" dxfId="274" priority="68">
      <formula>$I77="Ja"</formula>
    </cfRule>
  </conditionalFormatting>
  <conditionalFormatting sqref="E103:F103">
    <cfRule type="expression" dxfId="273" priority="65">
      <formula>$I103="Nein"</formula>
    </cfRule>
    <cfRule type="expression" dxfId="272" priority="66">
      <formula>$I103="Ja"</formula>
    </cfRule>
  </conditionalFormatting>
  <conditionalFormatting sqref="E106:F106">
    <cfRule type="expression" dxfId="271" priority="63">
      <formula>$I106="Nein"</formula>
    </cfRule>
    <cfRule type="expression" dxfId="270" priority="64">
      <formula>$I106="Ja"</formula>
    </cfRule>
  </conditionalFormatting>
  <conditionalFormatting sqref="E104:F104">
    <cfRule type="expression" dxfId="269" priority="61">
      <formula>$I104="Nein"</formula>
    </cfRule>
    <cfRule type="expression" dxfId="268" priority="62">
      <formula>$I104="Ja"</formula>
    </cfRule>
  </conditionalFormatting>
  <conditionalFormatting sqref="E105:F105">
    <cfRule type="expression" dxfId="267" priority="59">
      <formula>$I105="Nein"</formula>
    </cfRule>
    <cfRule type="expression" dxfId="266" priority="60">
      <formula>$I105="Ja"</formula>
    </cfRule>
  </conditionalFormatting>
  <conditionalFormatting sqref="E112:F112">
    <cfRule type="expression" dxfId="265" priority="57">
      <formula>$I112="Nein"</formula>
    </cfRule>
    <cfRule type="expression" dxfId="264" priority="58">
      <formula>$I112="Ja"</formula>
    </cfRule>
  </conditionalFormatting>
  <conditionalFormatting sqref="E115:F115">
    <cfRule type="expression" dxfId="263" priority="55">
      <formula>$I115="Nein"</formula>
    </cfRule>
    <cfRule type="expression" dxfId="262" priority="56">
      <formula>$I115="Ja"</formula>
    </cfRule>
  </conditionalFormatting>
  <conditionalFormatting sqref="E113:F113">
    <cfRule type="expression" dxfId="261" priority="53">
      <formula>$I113="Nein"</formula>
    </cfRule>
    <cfRule type="expression" dxfId="260" priority="54">
      <formula>$I113="Ja"</formula>
    </cfRule>
  </conditionalFormatting>
  <conditionalFormatting sqref="E114:F114">
    <cfRule type="expression" dxfId="259" priority="51">
      <formula>$I114="Nein"</formula>
    </cfRule>
    <cfRule type="expression" dxfId="258" priority="52">
      <formula>$I114="Ja"</formula>
    </cfRule>
  </conditionalFormatting>
  <conditionalFormatting sqref="E121:F121">
    <cfRule type="expression" dxfId="257" priority="49">
      <formula>$I121="Nein"</formula>
    </cfRule>
    <cfRule type="expression" dxfId="256" priority="50">
      <formula>$I121="Ja"</formula>
    </cfRule>
  </conditionalFormatting>
  <conditionalFormatting sqref="E124:F124">
    <cfRule type="expression" dxfId="255" priority="47">
      <formula>$I124="Nein"</formula>
    </cfRule>
    <cfRule type="expression" dxfId="254" priority="48">
      <formula>$I124="Ja"</formula>
    </cfRule>
  </conditionalFormatting>
  <conditionalFormatting sqref="E122:F122">
    <cfRule type="expression" dxfId="253" priority="45">
      <formula>$I122="Nein"</formula>
    </cfRule>
    <cfRule type="expression" dxfId="252" priority="46">
      <formula>$I122="Ja"</formula>
    </cfRule>
  </conditionalFormatting>
  <conditionalFormatting sqref="E123:F123">
    <cfRule type="expression" dxfId="251" priority="43">
      <formula>$I123="Nein"</formula>
    </cfRule>
    <cfRule type="expression" dxfId="250" priority="44">
      <formula>$I123="Ja"</formula>
    </cfRule>
  </conditionalFormatting>
  <conditionalFormatting sqref="E130:F130">
    <cfRule type="expression" dxfId="249" priority="41">
      <formula>$I130="Nein"</formula>
    </cfRule>
    <cfRule type="expression" dxfId="248" priority="42">
      <formula>$I130="Ja"</formula>
    </cfRule>
  </conditionalFormatting>
  <conditionalFormatting sqref="E133:F133">
    <cfRule type="expression" dxfId="247" priority="39">
      <formula>$I133="Nein"</formula>
    </cfRule>
    <cfRule type="expression" dxfId="246" priority="40">
      <formula>$I133="Ja"</formula>
    </cfRule>
  </conditionalFormatting>
  <conditionalFormatting sqref="E131:F131">
    <cfRule type="expression" dxfId="245" priority="37">
      <formula>$I131="Nein"</formula>
    </cfRule>
    <cfRule type="expression" dxfId="244" priority="38">
      <formula>$I131="Ja"</formula>
    </cfRule>
  </conditionalFormatting>
  <conditionalFormatting sqref="E132:F132">
    <cfRule type="expression" dxfId="243" priority="35">
      <formula>$I132="Nein"</formula>
    </cfRule>
    <cfRule type="expression" dxfId="242" priority="36">
      <formula>$I132="Ja"</formula>
    </cfRule>
  </conditionalFormatting>
  <conditionalFormatting sqref="D139:E139">
    <cfRule type="expression" dxfId="241" priority="25">
      <formula>$I139="Nein"</formula>
    </cfRule>
    <cfRule type="expression" dxfId="240" priority="26">
      <formula>$I139="Ja"</formula>
    </cfRule>
  </conditionalFormatting>
  <conditionalFormatting sqref="D140:E140">
    <cfRule type="expression" dxfId="239" priority="23">
      <formula>$I140="Nein"</formula>
    </cfRule>
    <cfRule type="expression" dxfId="238" priority="24">
      <formula>$I140="Ja"</formula>
    </cfRule>
  </conditionalFormatting>
  <conditionalFormatting sqref="D141:E141">
    <cfRule type="expression" dxfId="237" priority="21">
      <formula>$I141="Nein"</formula>
    </cfRule>
    <cfRule type="expression" dxfId="236" priority="22">
      <formula>$I141="Ja"</formula>
    </cfRule>
  </conditionalFormatting>
  <conditionalFormatting sqref="D142:E142">
    <cfRule type="expression" dxfId="235" priority="19">
      <formula>$I142="Nein"</formula>
    </cfRule>
    <cfRule type="expression" dxfId="234" priority="20">
      <formula>$I142="Ja"</formula>
    </cfRule>
  </conditionalFormatting>
  <conditionalFormatting sqref="E166:F166">
    <cfRule type="expression" dxfId="233" priority="17">
      <formula>$I166="Nein"</formula>
    </cfRule>
    <cfRule type="expression" dxfId="232" priority="18">
      <formula>$I166="Ja"</formula>
    </cfRule>
  </conditionalFormatting>
  <conditionalFormatting sqref="E167:F167">
    <cfRule type="expression" dxfId="231" priority="15">
      <formula>$I167="Nein"</formula>
    </cfRule>
    <cfRule type="expression" dxfId="230" priority="16">
      <formula>$I167="Ja"</formula>
    </cfRule>
  </conditionalFormatting>
  <conditionalFormatting sqref="E173:F173">
    <cfRule type="expression" dxfId="229" priority="13">
      <formula>$I173="Nein"</formula>
    </cfRule>
    <cfRule type="expression" dxfId="228" priority="14">
      <formula>$I173="Ja"</formula>
    </cfRule>
  </conditionalFormatting>
  <conditionalFormatting sqref="E174:F174">
    <cfRule type="expression" dxfId="227" priority="11">
      <formula>$I174="Nein"</formula>
    </cfRule>
    <cfRule type="expression" dxfId="226" priority="12">
      <formula>$I174="Ja"</formula>
    </cfRule>
  </conditionalFormatting>
  <conditionalFormatting sqref="E180:F180">
    <cfRule type="expression" dxfId="225" priority="9">
      <formula>$I180="Nein"</formula>
    </cfRule>
    <cfRule type="expression" dxfId="224" priority="10">
      <formula>$I180="Ja"</formula>
    </cfRule>
  </conditionalFormatting>
  <conditionalFormatting sqref="E181:F181">
    <cfRule type="expression" dxfId="223" priority="7">
      <formula>$I181="Nein"</formula>
    </cfRule>
    <cfRule type="expression" dxfId="222" priority="8">
      <formula>$I181="Ja"</formula>
    </cfRule>
  </conditionalFormatting>
  <conditionalFormatting sqref="E187:F187">
    <cfRule type="expression" dxfId="221" priority="5">
      <formula>$I187="Nein"</formula>
    </cfRule>
    <cfRule type="expression" dxfId="220" priority="6">
      <formula>$I187="Ja"</formula>
    </cfRule>
  </conditionalFormatting>
  <conditionalFormatting sqref="E188:F188">
    <cfRule type="expression" dxfId="219" priority="3">
      <formula>$I188="Nein"</formula>
    </cfRule>
    <cfRule type="expression" dxfId="218" priority="4">
      <formula>$I188="Ja"</formula>
    </cfRule>
  </conditionalFormatting>
  <conditionalFormatting sqref="E194:F194">
    <cfRule type="expression" dxfId="217" priority="1">
      <formula>$I194="Nein"</formula>
    </cfRule>
    <cfRule type="expression" dxfId="216" priority="2">
      <formula>$I194="Ja"</formula>
    </cfRule>
  </conditionalFormatting>
  <dataValidations count="1">
    <dataValidation type="list" allowBlank="1" showInputMessage="1" showErrorMessage="1" sqref="O19 I6:I16" xr:uid="{1D453E66-3BA9-4617-9920-64429CB1C475}">
      <formula1>"Ja,Nein"</formula1>
    </dataValidation>
  </dataValidations>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47DE3-1459-473D-81B0-D8A51CB2284C}">
  <dimension ref="A1:AE130"/>
  <sheetViews>
    <sheetView showGridLines="0" tabSelected="1" workbookViewId="0">
      <selection activeCell="M131" sqref="M131"/>
    </sheetView>
  </sheetViews>
  <sheetFormatPr baseColWidth="10" defaultColWidth="11.42578125" defaultRowHeight="15" outlineLevelRow="1" outlineLevelCol="1" x14ac:dyDescent="0.25"/>
  <cols>
    <col min="1" max="3" width="3.7109375" style="2" customWidth="1"/>
    <col min="4" max="14" width="20.7109375" style="2" customWidth="1"/>
    <col min="15" max="18" width="20.7109375" style="2" hidden="1" customWidth="1" outlineLevel="1"/>
    <col min="19" max="19" width="20.7109375" style="2" customWidth="1" collapsed="1"/>
    <col min="20" max="21" width="3.7109375" style="2" customWidth="1"/>
    <col min="22" max="22" width="15.85546875" style="2" customWidth="1"/>
    <col min="23" max="24" width="20.7109375" style="2" customWidth="1"/>
    <col min="25" max="16384" width="11.42578125" style="2"/>
  </cols>
  <sheetData>
    <row r="1" spans="1:23" x14ac:dyDescent="0.25">
      <c r="A1" s="573" t="s">
        <v>551</v>
      </c>
      <c r="B1" s="573"/>
      <c r="C1" s="573"/>
      <c r="D1" s="573"/>
      <c r="E1" s="573"/>
      <c r="F1" s="573"/>
      <c r="G1" s="573"/>
      <c r="H1" s="573"/>
      <c r="I1" s="573"/>
      <c r="J1" s="573"/>
      <c r="K1" s="573"/>
      <c r="L1" s="573"/>
      <c r="M1" s="573"/>
      <c r="N1" s="573"/>
    </row>
    <row r="2" spans="1:23" x14ac:dyDescent="0.25">
      <c r="A2" s="573"/>
      <c r="B2" s="573"/>
      <c r="C2" s="573"/>
      <c r="D2" s="573"/>
      <c r="E2" s="573"/>
      <c r="F2" s="573"/>
      <c r="G2" s="573"/>
      <c r="H2" s="573"/>
      <c r="I2" s="573"/>
      <c r="J2" s="573"/>
      <c r="K2" s="573"/>
      <c r="L2" s="573"/>
      <c r="M2" s="573"/>
      <c r="N2" s="573"/>
    </row>
    <row r="3" spans="1:23" ht="20.100000000000001" customHeight="1" thickBot="1" x14ac:dyDescent="0.3"/>
    <row r="4" spans="1:23" ht="15.75" thickBot="1" x14ac:dyDescent="0.3">
      <c r="B4" s="614" t="s">
        <v>550</v>
      </c>
      <c r="C4" s="615"/>
      <c r="D4" s="615"/>
      <c r="E4" s="615"/>
      <c r="F4" s="615"/>
      <c r="G4" s="615"/>
      <c r="H4" s="615"/>
      <c r="I4" s="616"/>
      <c r="K4" s="614" t="s">
        <v>40</v>
      </c>
      <c r="L4" s="615"/>
      <c r="M4" s="616"/>
      <c r="P4" s="53"/>
      <c r="Q4" s="53"/>
      <c r="R4" s="53"/>
      <c r="S4" s="4"/>
      <c r="T4" s="53"/>
      <c r="U4" s="53"/>
      <c r="V4" s="53"/>
      <c r="W4" s="53"/>
    </row>
    <row r="5" spans="1:23" ht="50.1" customHeight="1" thickBot="1" x14ac:dyDescent="0.3">
      <c r="B5" s="586" t="s">
        <v>552</v>
      </c>
      <c r="C5" s="587"/>
      <c r="D5" s="296" t="s">
        <v>21</v>
      </c>
      <c r="E5" s="227" t="s">
        <v>57</v>
      </c>
      <c r="F5" s="227" t="s">
        <v>61</v>
      </c>
      <c r="G5" s="228" t="s">
        <v>62</v>
      </c>
      <c r="H5" s="228" t="s">
        <v>97</v>
      </c>
      <c r="I5" s="227" t="s">
        <v>554</v>
      </c>
      <c r="K5" s="12" t="s">
        <v>21</v>
      </c>
      <c r="L5" s="80" t="s">
        <v>41</v>
      </c>
      <c r="M5" s="19" t="s">
        <v>22</v>
      </c>
      <c r="P5" s="4"/>
      <c r="R5" s="53"/>
      <c r="S5" s="53"/>
      <c r="T5" s="53"/>
      <c r="U5" s="4"/>
      <c r="V5" s="4"/>
    </row>
    <row r="6" spans="1:23" ht="20.100000000000001" customHeight="1" x14ac:dyDescent="0.25">
      <c r="B6" s="576">
        <v>1</v>
      </c>
      <c r="C6" s="577"/>
      <c r="D6" s="254" t="s">
        <v>0</v>
      </c>
      <c r="E6" s="254" t="s">
        <v>5</v>
      </c>
      <c r="F6" s="254" t="s">
        <v>5</v>
      </c>
      <c r="G6" s="254" t="s">
        <v>5</v>
      </c>
      <c r="H6" s="254" t="s">
        <v>5</v>
      </c>
      <c r="I6" s="291" t="s">
        <v>179</v>
      </c>
      <c r="K6" s="24" t="str">
        <f>D6</f>
        <v>Devid Fulterer</v>
      </c>
      <c r="L6" s="578">
        <v>1</v>
      </c>
      <c r="M6" s="113">
        <v>1</v>
      </c>
      <c r="P6" s="6"/>
      <c r="U6" s="6"/>
      <c r="V6" s="6"/>
    </row>
    <row r="7" spans="1:23" ht="20.100000000000001" customHeight="1" x14ac:dyDescent="0.25">
      <c r="B7" s="581">
        <v>2</v>
      </c>
      <c r="C7" s="582"/>
      <c r="D7" s="246" t="s">
        <v>127</v>
      </c>
      <c r="E7" s="246" t="s">
        <v>60</v>
      </c>
      <c r="F7" s="246" t="s">
        <v>7</v>
      </c>
      <c r="G7" s="246" t="s">
        <v>7</v>
      </c>
      <c r="H7" s="246" t="s">
        <v>7</v>
      </c>
      <c r="I7" s="292" t="s">
        <v>179</v>
      </c>
      <c r="K7" s="3" t="str">
        <f t="shared" ref="K7:K12" si="0">D7</f>
        <v>Judith Fulterer</v>
      </c>
      <c r="L7" s="579"/>
      <c r="M7" s="116">
        <v>2</v>
      </c>
      <c r="P7" s="6"/>
      <c r="U7" s="6"/>
      <c r="V7" s="6"/>
    </row>
    <row r="8" spans="1:23" ht="20.100000000000001" customHeight="1" x14ac:dyDescent="0.25">
      <c r="B8" s="581">
        <v>3</v>
      </c>
      <c r="C8" s="582"/>
      <c r="D8" s="247" t="s">
        <v>125</v>
      </c>
      <c r="E8" s="247" t="s">
        <v>126</v>
      </c>
      <c r="F8" s="148" t="s">
        <v>59</v>
      </c>
      <c r="G8" s="246" t="s">
        <v>59</v>
      </c>
      <c r="H8" s="246" t="s">
        <v>59</v>
      </c>
      <c r="I8" s="292" t="s">
        <v>179</v>
      </c>
      <c r="K8" s="3" t="str">
        <f t="shared" si="0"/>
        <v>Bea Kittner</v>
      </c>
      <c r="L8" s="579"/>
      <c r="M8" s="116">
        <v>3</v>
      </c>
      <c r="P8" s="6"/>
      <c r="U8" s="6"/>
      <c r="V8" s="6"/>
    </row>
    <row r="9" spans="1:23" ht="20.100000000000001" customHeight="1" thickBot="1" x14ac:dyDescent="0.3">
      <c r="B9" s="581">
        <v>4</v>
      </c>
      <c r="C9" s="582"/>
      <c r="D9" s="247" t="s">
        <v>458</v>
      </c>
      <c r="E9" s="246" t="s">
        <v>11</v>
      </c>
      <c r="F9" s="293" t="s">
        <v>11</v>
      </c>
      <c r="G9" s="246" t="s">
        <v>11</v>
      </c>
      <c r="H9" s="246" t="s">
        <v>11</v>
      </c>
      <c r="I9" s="292" t="s">
        <v>179</v>
      </c>
      <c r="K9" s="45" t="str">
        <f t="shared" si="0"/>
        <v>Pauline Micke</v>
      </c>
      <c r="L9" s="580"/>
      <c r="M9" s="46">
        <v>4</v>
      </c>
      <c r="P9" s="6"/>
      <c r="U9" s="6"/>
      <c r="V9" s="6"/>
    </row>
    <row r="10" spans="1:23" ht="20.100000000000001" customHeight="1" x14ac:dyDescent="0.25">
      <c r="B10" s="581">
        <v>5</v>
      </c>
      <c r="C10" s="582"/>
      <c r="D10" s="247" t="s">
        <v>2</v>
      </c>
      <c r="E10" s="247" t="s">
        <v>8</v>
      </c>
      <c r="F10" s="148" t="s">
        <v>8</v>
      </c>
      <c r="G10" s="246" t="s">
        <v>8</v>
      </c>
      <c r="H10" s="246" t="s">
        <v>8</v>
      </c>
      <c r="I10" s="292" t="s">
        <v>179</v>
      </c>
      <c r="K10" s="24" t="str">
        <f>D10</f>
        <v>Markus Hagenauer</v>
      </c>
      <c r="L10" s="578">
        <v>2</v>
      </c>
      <c r="M10" s="113">
        <v>1</v>
      </c>
      <c r="P10" s="6"/>
      <c r="U10" s="6"/>
      <c r="V10" s="6"/>
    </row>
    <row r="11" spans="1:23" ht="20.100000000000001" customHeight="1" x14ac:dyDescent="0.25">
      <c r="B11" s="581">
        <v>6</v>
      </c>
      <c r="C11" s="582"/>
      <c r="D11" s="249" t="s">
        <v>88</v>
      </c>
      <c r="E11" s="247" t="s">
        <v>69</v>
      </c>
      <c r="F11" s="148" t="s">
        <v>69</v>
      </c>
      <c r="G11" s="246" t="s">
        <v>69</v>
      </c>
      <c r="H11" s="248" t="s">
        <v>69</v>
      </c>
      <c r="I11" s="292" t="s">
        <v>179</v>
      </c>
      <c r="K11" s="3" t="str">
        <f t="shared" si="0"/>
        <v>Daniel Zimmermann</v>
      </c>
      <c r="L11" s="579"/>
      <c r="M11" s="116">
        <v>2</v>
      </c>
      <c r="P11" s="6"/>
      <c r="U11" s="6"/>
      <c r="V11" s="6"/>
    </row>
    <row r="12" spans="1:23" ht="20.100000000000001" customHeight="1" thickBot="1" x14ac:dyDescent="0.3">
      <c r="B12" s="617">
        <v>7</v>
      </c>
      <c r="C12" s="618"/>
      <c r="D12" s="256" t="s">
        <v>4</v>
      </c>
      <c r="E12" s="256" t="s">
        <v>9</v>
      </c>
      <c r="F12" s="256" t="s">
        <v>9</v>
      </c>
      <c r="G12" s="256" t="s">
        <v>9</v>
      </c>
      <c r="H12" s="256" t="s">
        <v>9</v>
      </c>
      <c r="I12" s="353" t="s">
        <v>179</v>
      </c>
      <c r="K12" s="361" t="str">
        <f t="shared" si="0"/>
        <v>Andreas Micke</v>
      </c>
      <c r="L12" s="580"/>
      <c r="M12" s="118">
        <v>3</v>
      </c>
      <c r="P12" s="6"/>
      <c r="U12" s="6"/>
      <c r="V12" s="6"/>
    </row>
    <row r="13" spans="1:23" ht="20.100000000000001" customHeight="1" thickBot="1" x14ac:dyDescent="0.3">
      <c r="D13" s="294"/>
      <c r="E13" s="294"/>
      <c r="F13" s="295"/>
      <c r="G13" s="28"/>
      <c r="H13" s="28"/>
      <c r="I13" s="294"/>
      <c r="K13" s="584" t="s">
        <v>555</v>
      </c>
      <c r="L13" s="585"/>
      <c r="M13" s="121">
        <f>ROWS(M6:M12)</f>
        <v>7</v>
      </c>
      <c r="O13" s="53"/>
      <c r="P13" s="53"/>
      <c r="R13" s="53"/>
      <c r="S13" s="53"/>
      <c r="T13" s="53"/>
      <c r="U13" s="53"/>
    </row>
    <row r="14" spans="1:23" ht="15.75" thickBot="1" x14ac:dyDescent="0.3">
      <c r="B14" s="614" t="s">
        <v>553</v>
      </c>
      <c r="C14" s="615"/>
      <c r="D14" s="615"/>
      <c r="E14" s="615"/>
      <c r="F14" s="615"/>
      <c r="G14" s="615"/>
      <c r="H14" s="616"/>
      <c r="L14" s="128"/>
      <c r="M14" s="128"/>
      <c r="N14" s="128"/>
      <c r="O14" s="4"/>
      <c r="P14" s="53"/>
      <c r="Q14" s="53"/>
      <c r="S14" s="53"/>
      <c r="T14" s="53"/>
      <c r="U14" s="53"/>
      <c r="V14" s="53"/>
    </row>
    <row r="15" spans="1:23" ht="30.75" thickBot="1" x14ac:dyDescent="0.3">
      <c r="B15" s="586" t="s">
        <v>58</v>
      </c>
      <c r="C15" s="587"/>
      <c r="D15" s="139" t="s">
        <v>21</v>
      </c>
      <c r="E15" s="227" t="s">
        <v>57</v>
      </c>
      <c r="F15" s="227" t="s">
        <v>61</v>
      </c>
      <c r="G15" s="228" t="s">
        <v>62</v>
      </c>
      <c r="H15" s="228" t="s">
        <v>97</v>
      </c>
      <c r="L15" s="128"/>
      <c r="M15" s="128"/>
      <c r="N15" s="128"/>
      <c r="O15" s="4"/>
      <c r="P15" s="53"/>
      <c r="Q15" s="53"/>
      <c r="S15" s="53"/>
      <c r="T15" s="53"/>
      <c r="U15" s="53"/>
      <c r="V15" s="53"/>
    </row>
    <row r="16" spans="1:23" ht="20.100000000000001" customHeight="1" x14ac:dyDescent="0.25">
      <c r="B16" s="891">
        <v>1</v>
      </c>
      <c r="C16" s="892"/>
      <c r="D16" s="253" t="s">
        <v>47</v>
      </c>
      <c r="E16" s="253" t="s">
        <v>64</v>
      </c>
      <c r="F16" s="234" t="s">
        <v>64</v>
      </c>
      <c r="G16" s="254" t="s">
        <v>64</v>
      </c>
      <c r="H16" s="419" t="s">
        <v>64</v>
      </c>
      <c r="O16" s="257" t="s">
        <v>39</v>
      </c>
      <c r="P16" s="53"/>
      <c r="Q16" s="53"/>
      <c r="S16" s="53"/>
      <c r="T16" s="53"/>
      <c r="U16" s="53"/>
      <c r="V16" s="53"/>
    </row>
    <row r="17" spans="2:23" ht="20.100000000000001" customHeight="1" x14ac:dyDescent="0.25">
      <c r="B17" s="971">
        <v>2</v>
      </c>
      <c r="C17" s="970"/>
      <c r="D17" s="249" t="s">
        <v>128</v>
      </c>
      <c r="E17" s="247" t="s">
        <v>129</v>
      </c>
      <c r="F17" s="148" t="s">
        <v>129</v>
      </c>
      <c r="G17" s="246" t="s">
        <v>129</v>
      </c>
      <c r="H17" s="360" t="s">
        <v>129</v>
      </c>
      <c r="O17" s="418"/>
      <c r="P17" s="53"/>
      <c r="Q17" s="53"/>
      <c r="S17" s="53"/>
      <c r="T17" s="53"/>
      <c r="U17" s="53"/>
      <c r="V17" s="53"/>
    </row>
    <row r="18" spans="2:23" ht="20.100000000000001" customHeight="1" thickBot="1" x14ac:dyDescent="0.3">
      <c r="B18" s="884">
        <v>3</v>
      </c>
      <c r="C18" s="885"/>
      <c r="D18" s="256" t="s">
        <v>46</v>
      </c>
      <c r="E18" s="256" t="s">
        <v>6</v>
      </c>
      <c r="F18" s="256" t="s">
        <v>6</v>
      </c>
      <c r="G18" s="256" t="s">
        <v>6</v>
      </c>
      <c r="H18" s="420" t="s">
        <v>6</v>
      </c>
      <c r="O18" s="418"/>
      <c r="P18" s="53"/>
      <c r="Q18" s="53"/>
      <c r="S18" s="53"/>
      <c r="T18" s="53"/>
      <c r="U18" s="53"/>
      <c r="V18" s="53"/>
    </row>
    <row r="19" spans="2:23" ht="20.100000000000001" customHeight="1" x14ac:dyDescent="0.25">
      <c r="M19" s="128"/>
      <c r="N19" s="128"/>
      <c r="O19" s="128"/>
      <c r="P19" s="4"/>
      <c r="Q19" s="53"/>
      <c r="R19" s="53"/>
      <c r="T19" s="53"/>
      <c r="U19" s="53"/>
      <c r="V19" s="53"/>
      <c r="W19" s="53"/>
    </row>
    <row r="20" spans="2:23" ht="20.100000000000001" customHeight="1" x14ac:dyDescent="0.25">
      <c r="B20" s="13"/>
      <c r="C20" s="13"/>
      <c r="D20" s="25"/>
      <c r="E20" s="25"/>
      <c r="F20" s="25"/>
      <c r="G20" s="25"/>
      <c r="H20" s="13"/>
      <c r="I20" s="13"/>
      <c r="J20" s="13"/>
      <c r="K20" s="13"/>
      <c r="L20" s="13"/>
      <c r="M20" s="13"/>
      <c r="N20" s="13"/>
      <c r="O20" s="13"/>
      <c r="P20" s="13"/>
      <c r="Q20" s="13"/>
      <c r="R20" s="13"/>
      <c r="S20" s="13"/>
      <c r="T20" s="13"/>
      <c r="U20" s="13"/>
    </row>
    <row r="21" spans="2:23" ht="30" customHeight="1" x14ac:dyDescent="0.25">
      <c r="B21" s="13"/>
      <c r="C21" s="555" t="s">
        <v>73</v>
      </c>
      <c r="D21" s="555"/>
      <c r="E21" s="555"/>
      <c r="F21" s="555"/>
      <c r="G21" s="555"/>
      <c r="H21" s="555"/>
      <c r="I21" s="555"/>
      <c r="J21" s="555"/>
      <c r="K21" s="555"/>
      <c r="L21" s="555"/>
      <c r="M21" s="555"/>
      <c r="N21" s="555"/>
      <c r="O21" s="555"/>
      <c r="P21" s="555"/>
      <c r="Q21" s="555"/>
      <c r="R21" s="555"/>
      <c r="S21" s="555"/>
      <c r="T21" s="555"/>
      <c r="U21" s="13"/>
    </row>
    <row r="22" spans="2:23" ht="20.100000000000001" customHeight="1" thickBot="1" x14ac:dyDescent="0.3">
      <c r="B22" s="13"/>
      <c r="U22" s="13"/>
    </row>
    <row r="23" spans="2:23" ht="20.100000000000001" customHeight="1" thickBot="1" x14ac:dyDescent="0.3">
      <c r="B23" s="13"/>
      <c r="D23" s="556" t="s">
        <v>10</v>
      </c>
      <c r="E23" s="558" t="s">
        <v>139</v>
      </c>
      <c r="F23" s="560" t="s">
        <v>22</v>
      </c>
      <c r="G23" s="595" t="s">
        <v>42</v>
      </c>
      <c r="H23" s="596"/>
      <c r="I23" s="596"/>
      <c r="J23" s="597"/>
      <c r="K23" s="200" t="s">
        <v>36</v>
      </c>
      <c r="L23" s="563" t="s">
        <v>27</v>
      </c>
      <c r="M23" s="561"/>
      <c r="N23" s="561"/>
      <c r="O23" s="561"/>
      <c r="P23" s="561"/>
      <c r="Q23" s="561"/>
      <c r="R23" s="561"/>
      <c r="S23" s="562"/>
      <c r="U23" s="13"/>
    </row>
    <row r="24" spans="2:23" ht="19.5" customHeight="1" thickBot="1" x14ac:dyDescent="0.3">
      <c r="B24" s="13"/>
      <c r="D24" s="557"/>
      <c r="E24" s="559"/>
      <c r="F24" s="559"/>
      <c r="G24" s="302" t="s">
        <v>43</v>
      </c>
      <c r="H24" s="302" t="s">
        <v>24</v>
      </c>
      <c r="I24" s="565" t="s">
        <v>23</v>
      </c>
      <c r="J24" s="567"/>
      <c r="K24" s="85" t="s">
        <v>25</v>
      </c>
      <c r="L24" s="85" t="s">
        <v>43</v>
      </c>
      <c r="M24" s="86" t="s">
        <v>26</v>
      </c>
      <c r="N24" s="556" t="s">
        <v>23</v>
      </c>
      <c r="O24" s="588"/>
      <c r="P24" s="588"/>
      <c r="Q24" s="588"/>
      <c r="R24" s="588"/>
      <c r="S24" s="564"/>
      <c r="U24" s="13"/>
    </row>
    <row r="25" spans="2:23" ht="15" customHeight="1" x14ac:dyDescent="0.25">
      <c r="B25" s="13"/>
      <c r="D25" s="641" t="s">
        <v>0</v>
      </c>
      <c r="E25" s="644" t="s">
        <v>5</v>
      </c>
      <c r="F25" s="647">
        <v>1</v>
      </c>
      <c r="G25" s="735" t="s">
        <v>44</v>
      </c>
      <c r="H25" s="653" t="s">
        <v>190</v>
      </c>
      <c r="I25" s="656" t="s">
        <v>196</v>
      </c>
      <c r="J25" s="657"/>
      <c r="K25" s="960" t="s">
        <v>518</v>
      </c>
      <c r="L25" s="740" t="s">
        <v>13</v>
      </c>
      <c r="M25" s="627" t="s">
        <v>13</v>
      </c>
      <c r="N25" s="630" t="s">
        <v>13</v>
      </c>
      <c r="O25" s="631"/>
      <c r="P25" s="631"/>
      <c r="Q25" s="631"/>
      <c r="R25" s="631"/>
      <c r="S25" s="632"/>
      <c r="U25" s="13"/>
    </row>
    <row r="26" spans="2:23" ht="27.95" customHeight="1" x14ac:dyDescent="0.25">
      <c r="B26" s="13"/>
      <c r="D26" s="642"/>
      <c r="E26" s="645"/>
      <c r="F26" s="648"/>
      <c r="G26" s="755"/>
      <c r="H26" s="654"/>
      <c r="I26" s="639" t="s">
        <v>193</v>
      </c>
      <c r="J26" s="640"/>
      <c r="K26" s="961"/>
      <c r="L26" s="731"/>
      <c r="M26" s="628"/>
      <c r="N26" s="633"/>
      <c r="O26" s="634"/>
      <c r="P26" s="634"/>
      <c r="Q26" s="634"/>
      <c r="R26" s="634"/>
      <c r="S26" s="635"/>
      <c r="U26" s="13"/>
    </row>
    <row r="27" spans="2:23" ht="15" customHeight="1" x14ac:dyDescent="0.25">
      <c r="B27" s="13"/>
      <c r="D27" s="642"/>
      <c r="E27" s="645"/>
      <c r="F27" s="648"/>
      <c r="G27" s="755"/>
      <c r="H27" s="654"/>
      <c r="I27" s="639" t="s">
        <v>194</v>
      </c>
      <c r="J27" s="640"/>
      <c r="K27" s="961"/>
      <c r="L27" s="731"/>
      <c r="M27" s="628"/>
      <c r="N27" s="633"/>
      <c r="O27" s="634"/>
      <c r="P27" s="634"/>
      <c r="Q27" s="634"/>
      <c r="R27" s="634"/>
      <c r="S27" s="635"/>
      <c r="U27" s="13"/>
    </row>
    <row r="28" spans="2:23" ht="15" customHeight="1" x14ac:dyDescent="0.25">
      <c r="B28" s="13"/>
      <c r="D28" s="642"/>
      <c r="E28" s="645"/>
      <c r="F28" s="648"/>
      <c r="G28" s="755"/>
      <c r="H28" s="654"/>
      <c r="I28" s="639" t="s">
        <v>556</v>
      </c>
      <c r="J28" s="640"/>
      <c r="K28" s="961"/>
      <c r="L28" s="731"/>
      <c r="M28" s="628"/>
      <c r="N28" s="633"/>
      <c r="O28" s="634"/>
      <c r="P28" s="634"/>
      <c r="Q28" s="634"/>
      <c r="R28" s="634"/>
      <c r="S28" s="635"/>
      <c r="U28" s="13"/>
    </row>
    <row r="29" spans="2:23" ht="27.95" customHeight="1" x14ac:dyDescent="0.25">
      <c r="B29" s="13"/>
      <c r="D29" s="642"/>
      <c r="E29" s="645"/>
      <c r="F29" s="648"/>
      <c r="G29" s="755"/>
      <c r="H29" s="654"/>
      <c r="I29" s="639" t="s">
        <v>456</v>
      </c>
      <c r="J29" s="640"/>
      <c r="K29" s="961"/>
      <c r="L29" s="731"/>
      <c r="M29" s="628"/>
      <c r="N29" s="633"/>
      <c r="O29" s="634"/>
      <c r="P29" s="634"/>
      <c r="Q29" s="634"/>
      <c r="R29" s="634"/>
      <c r="S29" s="635"/>
      <c r="U29" s="13"/>
    </row>
    <row r="30" spans="2:23" ht="15" customHeight="1" x14ac:dyDescent="0.25">
      <c r="B30" s="13"/>
      <c r="D30" s="643"/>
      <c r="E30" s="646"/>
      <c r="F30" s="649"/>
      <c r="G30" s="736"/>
      <c r="H30" s="655"/>
      <c r="I30" s="737" t="s">
        <v>457</v>
      </c>
      <c r="J30" s="753"/>
      <c r="K30" s="962"/>
      <c r="L30" s="732"/>
      <c r="M30" s="629"/>
      <c r="N30" s="636"/>
      <c r="O30" s="637"/>
      <c r="P30" s="637"/>
      <c r="Q30" s="637"/>
      <c r="R30" s="637"/>
      <c r="S30" s="638"/>
      <c r="U30" s="13"/>
    </row>
    <row r="31" spans="2:23" ht="21.95" customHeight="1" x14ac:dyDescent="0.25">
      <c r="B31" s="13"/>
      <c r="D31" s="345" t="s">
        <v>127</v>
      </c>
      <c r="E31" s="471" t="s">
        <v>60</v>
      </c>
      <c r="F31" s="411">
        <v>2</v>
      </c>
      <c r="G31" s="424" t="s">
        <v>44</v>
      </c>
      <c r="H31" s="468" t="s">
        <v>216</v>
      </c>
      <c r="I31" s="671" t="s">
        <v>217</v>
      </c>
      <c r="J31" s="673"/>
      <c r="K31" s="413" t="s">
        <v>12</v>
      </c>
      <c r="L31" s="346" t="s">
        <v>13</v>
      </c>
      <c r="M31" s="474" t="s">
        <v>13</v>
      </c>
      <c r="N31" s="693" t="s">
        <v>13</v>
      </c>
      <c r="O31" s="694"/>
      <c r="P31" s="694"/>
      <c r="Q31" s="694"/>
      <c r="R31" s="694"/>
      <c r="S31" s="695"/>
      <c r="U31" s="13"/>
    </row>
    <row r="32" spans="2:23" ht="27.95" customHeight="1" x14ac:dyDescent="0.25">
      <c r="B32" s="13"/>
      <c r="D32" s="773" t="s">
        <v>125</v>
      </c>
      <c r="E32" s="791" t="s">
        <v>126</v>
      </c>
      <c r="F32" s="846">
        <v>3</v>
      </c>
      <c r="G32" s="841" t="s">
        <v>35</v>
      </c>
      <c r="H32" s="598" t="s">
        <v>45</v>
      </c>
      <c r="I32" s="681" t="s">
        <v>486</v>
      </c>
      <c r="J32" s="684"/>
      <c r="K32" s="959" t="s">
        <v>216</v>
      </c>
      <c r="L32" s="688" t="s">
        <v>13</v>
      </c>
      <c r="M32" s="689" t="s">
        <v>13</v>
      </c>
      <c r="N32" s="693" t="s">
        <v>13</v>
      </c>
      <c r="O32" s="694"/>
      <c r="P32" s="694"/>
      <c r="Q32" s="694"/>
      <c r="R32" s="694"/>
      <c r="S32" s="695"/>
      <c r="U32" s="13"/>
    </row>
    <row r="33" spans="2:21" ht="15" customHeight="1" x14ac:dyDescent="0.25">
      <c r="B33" s="13"/>
      <c r="D33" s="773"/>
      <c r="E33" s="791"/>
      <c r="F33" s="846"/>
      <c r="G33" s="841"/>
      <c r="H33" s="598"/>
      <c r="I33" s="682" t="s">
        <v>477</v>
      </c>
      <c r="J33" s="702"/>
      <c r="K33" s="933"/>
      <c r="L33" s="625"/>
      <c r="M33" s="628"/>
      <c r="N33" s="696"/>
      <c r="O33" s="697"/>
      <c r="P33" s="697"/>
      <c r="Q33" s="697"/>
      <c r="R33" s="697"/>
      <c r="S33" s="698"/>
      <c r="U33" s="13"/>
    </row>
    <row r="34" spans="2:21" ht="15" customHeight="1" x14ac:dyDescent="0.25">
      <c r="B34" s="13"/>
      <c r="D34" s="773"/>
      <c r="E34" s="791"/>
      <c r="F34" s="846"/>
      <c r="G34" s="841"/>
      <c r="H34" s="598"/>
      <c r="I34" s="682" t="s">
        <v>478</v>
      </c>
      <c r="J34" s="702"/>
      <c r="K34" s="933"/>
      <c r="L34" s="625"/>
      <c r="M34" s="628"/>
      <c r="N34" s="696"/>
      <c r="O34" s="697"/>
      <c r="P34" s="697"/>
      <c r="Q34" s="697"/>
      <c r="R34" s="697"/>
      <c r="S34" s="698"/>
      <c r="U34" s="13"/>
    </row>
    <row r="35" spans="2:21" ht="15" customHeight="1" x14ac:dyDescent="0.25">
      <c r="B35" s="13"/>
      <c r="D35" s="773"/>
      <c r="E35" s="791"/>
      <c r="F35" s="846"/>
      <c r="G35" s="841"/>
      <c r="H35" s="598"/>
      <c r="I35" s="683" t="s">
        <v>263</v>
      </c>
      <c r="J35" s="751"/>
      <c r="K35" s="933"/>
      <c r="L35" s="625"/>
      <c r="M35" s="628"/>
      <c r="N35" s="696"/>
      <c r="O35" s="697"/>
      <c r="P35" s="697"/>
      <c r="Q35" s="697"/>
      <c r="R35" s="697"/>
      <c r="S35" s="698"/>
      <c r="U35" s="13"/>
    </row>
    <row r="36" spans="2:21" ht="15" customHeight="1" x14ac:dyDescent="0.25">
      <c r="B36" s="13"/>
      <c r="D36" s="773" t="s">
        <v>458</v>
      </c>
      <c r="E36" s="791" t="s">
        <v>11</v>
      </c>
      <c r="F36" s="846">
        <v>4</v>
      </c>
      <c r="G36" s="941" t="s">
        <v>35</v>
      </c>
      <c r="H36" s="611" t="s">
        <v>518</v>
      </c>
      <c r="I36" s="725" t="s">
        <v>542</v>
      </c>
      <c r="J36" s="726"/>
      <c r="K36" s="544" t="s">
        <v>12</v>
      </c>
      <c r="L36" s="797" t="s">
        <v>13</v>
      </c>
      <c r="M36" s="593" t="s">
        <v>13</v>
      </c>
      <c r="N36" s="935" t="s">
        <v>13</v>
      </c>
      <c r="O36" s="935"/>
      <c r="P36" s="935"/>
      <c r="Q36" s="935"/>
      <c r="R36" s="935"/>
      <c r="S36" s="936"/>
      <c r="U36" s="13"/>
    </row>
    <row r="37" spans="2:21" ht="15" customHeight="1" x14ac:dyDescent="0.25">
      <c r="B37" s="13"/>
      <c r="D37" s="773"/>
      <c r="E37" s="791"/>
      <c r="F37" s="846"/>
      <c r="G37" s="941"/>
      <c r="H37" s="611"/>
      <c r="I37" s="709" t="s">
        <v>543</v>
      </c>
      <c r="J37" s="710"/>
      <c r="K37" s="544"/>
      <c r="L37" s="797"/>
      <c r="M37" s="593"/>
      <c r="N37" s="935"/>
      <c r="O37" s="935"/>
      <c r="P37" s="935"/>
      <c r="Q37" s="935"/>
      <c r="R37" s="935"/>
      <c r="S37" s="936"/>
      <c r="U37" s="13"/>
    </row>
    <row r="38" spans="2:21" ht="15" customHeight="1" x14ac:dyDescent="0.25">
      <c r="B38" s="13"/>
      <c r="D38" s="773"/>
      <c r="E38" s="791"/>
      <c r="F38" s="846"/>
      <c r="G38" s="941"/>
      <c r="H38" s="611"/>
      <c r="I38" s="709" t="s">
        <v>544</v>
      </c>
      <c r="J38" s="710"/>
      <c r="K38" s="544"/>
      <c r="L38" s="797"/>
      <c r="M38" s="593"/>
      <c r="N38" s="935"/>
      <c r="O38" s="935"/>
      <c r="P38" s="935"/>
      <c r="Q38" s="935"/>
      <c r="R38" s="935"/>
      <c r="S38" s="936"/>
      <c r="U38" s="13"/>
    </row>
    <row r="39" spans="2:21" ht="27.95" customHeight="1" thickBot="1" x14ac:dyDescent="0.3">
      <c r="B39" s="13"/>
      <c r="D39" s="774"/>
      <c r="E39" s="792"/>
      <c r="F39" s="847"/>
      <c r="G39" s="942"/>
      <c r="H39" s="547"/>
      <c r="I39" s="711" t="s">
        <v>545</v>
      </c>
      <c r="J39" s="712"/>
      <c r="K39" s="551"/>
      <c r="L39" s="798"/>
      <c r="M39" s="601"/>
      <c r="N39" s="600"/>
      <c r="O39" s="600"/>
      <c r="P39" s="600"/>
      <c r="Q39" s="600"/>
      <c r="R39" s="600"/>
      <c r="S39" s="937"/>
      <c r="U39" s="13"/>
    </row>
    <row r="40" spans="2:21" ht="20.100000000000001" customHeight="1" x14ac:dyDescent="0.25">
      <c r="B40" s="13"/>
      <c r="U40" s="13"/>
    </row>
    <row r="41" spans="2:21" ht="20.100000000000001" customHeight="1" thickBot="1" x14ac:dyDescent="0.3">
      <c r="B41" s="13"/>
      <c r="C41" s="26"/>
      <c r="D41" s="26"/>
      <c r="E41" s="552" t="str">
        <f>IF(OR(M25="-",M25= ""),H25,M25)</f>
        <v>Agricola</v>
      </c>
      <c r="F41" s="552"/>
      <c r="G41" s="552"/>
      <c r="H41" s="552"/>
      <c r="I41" s="552"/>
      <c r="J41" s="552"/>
      <c r="K41" s="552"/>
      <c r="L41" s="552"/>
      <c r="M41" s="552"/>
      <c r="N41" s="552"/>
      <c r="O41" s="199"/>
      <c r="P41" s="199"/>
      <c r="Q41" s="199"/>
      <c r="R41" s="199"/>
      <c r="S41" s="199"/>
      <c r="T41" s="26"/>
      <c r="U41" s="13"/>
    </row>
    <row r="42" spans="2:21" ht="50.1" customHeight="1" thickBot="1" x14ac:dyDescent="0.3">
      <c r="B42" s="13"/>
      <c r="C42" s="26"/>
      <c r="D42" s="199"/>
      <c r="E42" s="88" t="s">
        <v>10</v>
      </c>
      <c r="F42" s="125" t="s">
        <v>52</v>
      </c>
      <c r="G42" s="89" t="s">
        <v>14</v>
      </c>
      <c r="H42" s="200" t="s">
        <v>51</v>
      </c>
      <c r="I42" s="18" t="s">
        <v>54</v>
      </c>
      <c r="J42" s="200" t="s">
        <v>53</v>
      </c>
      <c r="K42" s="206" t="s">
        <v>28</v>
      </c>
      <c r="L42" s="200" t="s">
        <v>37</v>
      </c>
      <c r="M42" s="204" t="s">
        <v>16</v>
      </c>
      <c r="N42" s="89" t="s">
        <v>15</v>
      </c>
      <c r="O42" s="5" t="s">
        <v>30</v>
      </c>
      <c r="P42" s="7" t="s">
        <v>34</v>
      </c>
      <c r="Q42" s="7" t="s">
        <v>31</v>
      </c>
      <c r="R42" s="7" t="s">
        <v>32</v>
      </c>
      <c r="S42" s="199"/>
      <c r="T42" s="26"/>
      <c r="U42" s="13"/>
    </row>
    <row r="43" spans="2:21" s="408" customFormat="1" ht="30" x14ac:dyDescent="0.25">
      <c r="B43" s="409"/>
      <c r="C43" s="485"/>
      <c r="D43" s="485"/>
      <c r="E43" s="491" t="s">
        <v>0</v>
      </c>
      <c r="F43" s="406" t="s">
        <v>5</v>
      </c>
      <c r="G43" s="122">
        <v>2</v>
      </c>
      <c r="H43" s="122" t="s">
        <v>13</v>
      </c>
      <c r="I43" s="122">
        <v>-14</v>
      </c>
      <c r="J43" s="122">
        <v>47</v>
      </c>
      <c r="K43" s="122" t="s">
        <v>557</v>
      </c>
      <c r="L43" s="492">
        <f>IF(J43="",0,(J43/J47)*100)</f>
        <v>88.679245283018872</v>
      </c>
      <c r="M43" s="122">
        <v>2</v>
      </c>
      <c r="N43" s="493">
        <v>3</v>
      </c>
      <c r="O43" s="494">
        <f>IF(M43=1,1,0)</f>
        <v>0</v>
      </c>
      <c r="P43" s="480">
        <f>IF(M43=2,1,0)</f>
        <v>1</v>
      </c>
      <c r="Q43" s="480">
        <f>IF(M43=3,1,0)</f>
        <v>0</v>
      </c>
      <c r="R43" s="495">
        <f>IF(M43=4,1,0)</f>
        <v>0</v>
      </c>
      <c r="S43" s="490"/>
      <c r="T43" s="485"/>
      <c r="U43" s="409"/>
    </row>
    <row r="44" spans="2:21" ht="20.100000000000001" customHeight="1" x14ac:dyDescent="0.25">
      <c r="B44" s="13"/>
      <c r="C44" s="26"/>
      <c r="D44" s="26"/>
      <c r="E44" s="303" t="s">
        <v>127</v>
      </c>
      <c r="F44" s="247" t="s">
        <v>60</v>
      </c>
      <c r="G44" s="47">
        <v>4</v>
      </c>
      <c r="H44" s="47" t="s">
        <v>13</v>
      </c>
      <c r="I44" s="47">
        <v>-14</v>
      </c>
      <c r="J44" s="47">
        <v>37</v>
      </c>
      <c r="K44" s="47" t="s">
        <v>13</v>
      </c>
      <c r="L44" s="48">
        <f>IF(J44="",0,(J44/J47)*100)</f>
        <v>69.811320754716974</v>
      </c>
      <c r="M44" s="47">
        <v>4</v>
      </c>
      <c r="N44" s="60">
        <v>0</v>
      </c>
      <c r="O44" s="205">
        <f>IF(M44=1,1,0)</f>
        <v>0</v>
      </c>
      <c r="P44" s="207">
        <f>IF(M44=2,1,0)</f>
        <v>0</v>
      </c>
      <c r="Q44" s="207">
        <f>IF(M44=3,1,0)</f>
        <v>0</v>
      </c>
      <c r="R44" s="9">
        <f>IF(M44=4,1,0)</f>
        <v>1</v>
      </c>
      <c r="S44" s="198"/>
      <c r="T44" s="26"/>
      <c r="U44" s="13"/>
    </row>
    <row r="45" spans="2:21" s="408" customFormat="1" ht="30" x14ac:dyDescent="0.25">
      <c r="B45" s="409"/>
      <c r="C45" s="485"/>
      <c r="D45" s="485"/>
      <c r="E45" s="486" t="s">
        <v>125</v>
      </c>
      <c r="F45" s="293" t="s">
        <v>126</v>
      </c>
      <c r="G45" s="100">
        <v>3</v>
      </c>
      <c r="H45" s="100" t="s">
        <v>13</v>
      </c>
      <c r="I45" s="100">
        <v>-14</v>
      </c>
      <c r="J45" s="100">
        <v>47</v>
      </c>
      <c r="K45" s="100" t="s">
        <v>558</v>
      </c>
      <c r="L45" s="276">
        <f>IF(J45="",0,(J45/J47)*100)</f>
        <v>88.679245283018872</v>
      </c>
      <c r="M45" s="100">
        <v>3</v>
      </c>
      <c r="N45" s="487">
        <v>1</v>
      </c>
      <c r="O45" s="488">
        <f>IF(M45=1,1,0)</f>
        <v>0</v>
      </c>
      <c r="P45" s="224">
        <f>IF(M45=2,1,0)</f>
        <v>0</v>
      </c>
      <c r="Q45" s="224">
        <f>IF(M45=3,1,0)</f>
        <v>1</v>
      </c>
      <c r="R45" s="489">
        <f>IF(M45=4,1,0)</f>
        <v>0</v>
      </c>
      <c r="S45" s="490"/>
      <c r="T45" s="485"/>
      <c r="U45" s="409"/>
    </row>
    <row r="46" spans="2:21" ht="20.100000000000001" customHeight="1" thickBot="1" x14ac:dyDescent="0.3">
      <c r="B46" s="13"/>
      <c r="C46" s="26"/>
      <c r="D46" s="68"/>
      <c r="E46" s="310" t="s">
        <v>458</v>
      </c>
      <c r="F46" s="283" t="s">
        <v>11</v>
      </c>
      <c r="G46" s="284">
        <v>1</v>
      </c>
      <c r="H46" s="284" t="s">
        <v>13</v>
      </c>
      <c r="I46" s="284">
        <v>-14</v>
      </c>
      <c r="J46" s="284">
        <v>53</v>
      </c>
      <c r="K46" s="284" t="s">
        <v>13</v>
      </c>
      <c r="L46" s="286">
        <f>IF(J46="",0,(J46/J47)*100)</f>
        <v>100</v>
      </c>
      <c r="M46" s="284">
        <v>1</v>
      </c>
      <c r="N46" s="287">
        <v>6</v>
      </c>
      <c r="O46" s="58">
        <f>IF(M46=1,1,0)</f>
        <v>1</v>
      </c>
      <c r="P46" s="208">
        <f>IF(M46=2,1,0)</f>
        <v>0</v>
      </c>
      <c r="Q46" s="208">
        <f>IF(M46=3,1,0)</f>
        <v>0</v>
      </c>
      <c r="R46" s="10">
        <f>IF(M46=4,1,0)</f>
        <v>0</v>
      </c>
      <c r="S46" s="198"/>
      <c r="T46" s="26"/>
      <c r="U46" s="13"/>
    </row>
    <row r="47" spans="2:21" ht="20.100000000000001" hidden="1" customHeight="1" outlineLevel="1" x14ac:dyDescent="0.25">
      <c r="B47" s="13"/>
      <c r="C47" s="26"/>
      <c r="D47" s="71"/>
      <c r="E47" s="71"/>
      <c r="F47" s="553"/>
      <c r="G47" s="553"/>
      <c r="H47" s="26"/>
      <c r="I47" s="193" t="s">
        <v>29</v>
      </c>
      <c r="J47" s="23">
        <f>MAX(J43:J46)</f>
        <v>53</v>
      </c>
      <c r="K47" s="73"/>
      <c r="L47" s="72"/>
      <c r="M47" s="26"/>
      <c r="N47" s="63" t="s">
        <v>33</v>
      </c>
      <c r="O47" s="20">
        <f>SUM(O43:O46)</f>
        <v>1</v>
      </c>
      <c r="P47" s="21">
        <f>SUM(P43:P46)</f>
        <v>1</v>
      </c>
      <c r="Q47" s="20">
        <f>SUM(Q43:Q46)</f>
        <v>1</v>
      </c>
      <c r="R47" s="20">
        <f>SUM(R43:R46)</f>
        <v>1</v>
      </c>
      <c r="S47" s="69"/>
      <c r="T47" s="26"/>
      <c r="U47" s="13"/>
    </row>
    <row r="48" spans="2:21" ht="20.100000000000001" customHeight="1" collapsed="1" x14ac:dyDescent="0.25">
      <c r="B48" s="13"/>
      <c r="C48" s="26"/>
      <c r="D48" s="26"/>
      <c r="E48" s="26"/>
      <c r="F48" s="607"/>
      <c r="G48" s="607"/>
      <c r="H48" s="199"/>
      <c r="I48" s="26"/>
      <c r="J48" s="26"/>
      <c r="K48" s="26"/>
      <c r="L48" s="26"/>
      <c r="M48" s="26"/>
      <c r="N48" s="26"/>
      <c r="O48" s="26"/>
      <c r="P48" s="26"/>
      <c r="Q48" s="26"/>
      <c r="R48" s="26"/>
      <c r="S48" s="26"/>
      <c r="T48" s="26"/>
      <c r="U48" s="13"/>
    </row>
    <row r="49" spans="2:23" ht="20.100000000000001" customHeight="1" x14ac:dyDescent="0.25">
      <c r="B49" s="13"/>
      <c r="U49" s="13"/>
    </row>
    <row r="50" spans="2:23" ht="20.100000000000001" customHeight="1" thickBot="1" x14ac:dyDescent="0.3">
      <c r="B50" s="13"/>
      <c r="C50" s="27"/>
      <c r="D50" s="27"/>
      <c r="E50" s="554" t="str">
        <f>IF(OR(M31="-",M31= ""),H31,M31)</f>
        <v>La Granja</v>
      </c>
      <c r="F50" s="554"/>
      <c r="G50" s="554"/>
      <c r="H50" s="554"/>
      <c r="I50" s="554"/>
      <c r="J50" s="554"/>
      <c r="K50" s="554"/>
      <c r="L50" s="554"/>
      <c r="M50" s="554"/>
      <c r="N50" s="554"/>
      <c r="O50" s="197"/>
      <c r="P50" s="197"/>
      <c r="Q50" s="197"/>
      <c r="R50" s="197"/>
      <c r="S50" s="197"/>
      <c r="T50" s="27"/>
      <c r="U50" s="13"/>
    </row>
    <row r="51" spans="2:23" ht="50.1" customHeight="1" thickBot="1" x14ac:dyDescent="0.3">
      <c r="B51" s="13"/>
      <c r="C51" s="27"/>
      <c r="D51" s="197"/>
      <c r="E51" s="88" t="s">
        <v>10</v>
      </c>
      <c r="F51" s="125" t="s">
        <v>52</v>
      </c>
      <c r="G51" s="89" t="s">
        <v>14</v>
      </c>
      <c r="H51" s="200" t="s">
        <v>51</v>
      </c>
      <c r="I51" s="18" t="s">
        <v>54</v>
      </c>
      <c r="J51" s="200" t="s">
        <v>53</v>
      </c>
      <c r="K51" s="206" t="s">
        <v>28</v>
      </c>
      <c r="L51" s="200" t="s">
        <v>37</v>
      </c>
      <c r="M51" s="204" t="s">
        <v>16</v>
      </c>
      <c r="N51" s="89" t="s">
        <v>15</v>
      </c>
      <c r="O51" s="5" t="s">
        <v>30</v>
      </c>
      <c r="P51" s="7" t="s">
        <v>34</v>
      </c>
      <c r="Q51" s="7" t="s">
        <v>31</v>
      </c>
      <c r="R51" s="7" t="s">
        <v>32</v>
      </c>
      <c r="S51" s="197"/>
      <c r="T51" s="27"/>
      <c r="U51" s="13"/>
    </row>
    <row r="52" spans="2:23" ht="20.100000000000001" customHeight="1" x14ac:dyDescent="0.25">
      <c r="B52" s="13"/>
      <c r="C52" s="27"/>
      <c r="D52" s="27"/>
      <c r="E52" s="365" t="s">
        <v>0</v>
      </c>
      <c r="F52" s="253" t="s">
        <v>5</v>
      </c>
      <c r="G52" s="49">
        <v>1</v>
      </c>
      <c r="H52" s="49" t="s">
        <v>13</v>
      </c>
      <c r="I52" s="49">
        <v>1</v>
      </c>
      <c r="J52" s="49">
        <v>79</v>
      </c>
      <c r="K52" s="49" t="s">
        <v>13</v>
      </c>
      <c r="L52" s="50">
        <f>IF(J52="",0,(J52/J56)*100)</f>
        <v>88.764044943820224</v>
      </c>
      <c r="M52" s="49">
        <v>2</v>
      </c>
      <c r="N52" s="61">
        <v>3</v>
      </c>
      <c r="O52" s="57">
        <f>IF(M52=1,1,0)</f>
        <v>0</v>
      </c>
      <c r="P52" s="209">
        <f>IF(M52=2,1,0)</f>
        <v>1</v>
      </c>
      <c r="Q52" s="209">
        <f>IF(M52=3,1,0)</f>
        <v>0</v>
      </c>
      <c r="R52" s="8">
        <f>IF(M52=4,1,0)</f>
        <v>0</v>
      </c>
      <c r="S52" s="203"/>
      <c r="T52" s="27"/>
      <c r="U52" s="13"/>
    </row>
    <row r="53" spans="2:23" ht="20.100000000000001" customHeight="1" x14ac:dyDescent="0.25">
      <c r="B53" s="13"/>
      <c r="C53" s="27"/>
      <c r="D53" s="67"/>
      <c r="E53" s="110" t="s">
        <v>127</v>
      </c>
      <c r="F53" s="273" t="s">
        <v>60</v>
      </c>
      <c r="G53" s="149">
        <v>3</v>
      </c>
      <c r="H53" s="149" t="s">
        <v>13</v>
      </c>
      <c r="I53" s="149">
        <v>1</v>
      </c>
      <c r="J53" s="149">
        <v>89</v>
      </c>
      <c r="K53" s="149" t="s">
        <v>13</v>
      </c>
      <c r="L53" s="38">
        <f>IF(J53="",0,(J53/J56)*100)</f>
        <v>100</v>
      </c>
      <c r="M53" s="149">
        <v>1</v>
      </c>
      <c r="N53" s="108">
        <v>6</v>
      </c>
      <c r="O53" s="205">
        <f>IF(M53=1,1,0)</f>
        <v>1</v>
      </c>
      <c r="P53" s="207">
        <f>IF(M53=2,1,0)</f>
        <v>0</v>
      </c>
      <c r="Q53" s="207">
        <f>IF(M53=3,1,0)</f>
        <v>0</v>
      </c>
      <c r="R53" s="9">
        <f>IF(M53=4,1,0)</f>
        <v>0</v>
      </c>
      <c r="S53" s="203"/>
      <c r="T53" s="27"/>
      <c r="U53" s="13"/>
    </row>
    <row r="54" spans="2:23" ht="20.100000000000001" customHeight="1" x14ac:dyDescent="0.25">
      <c r="B54" s="13"/>
      <c r="C54" s="27"/>
      <c r="D54" s="27"/>
      <c r="E54" s="303" t="s">
        <v>125</v>
      </c>
      <c r="F54" s="247" t="s">
        <v>126</v>
      </c>
      <c r="G54" s="47">
        <v>4</v>
      </c>
      <c r="H54" s="47" t="s">
        <v>13</v>
      </c>
      <c r="I54" s="47">
        <v>1</v>
      </c>
      <c r="J54" s="47">
        <v>54</v>
      </c>
      <c r="K54" s="47" t="s">
        <v>13</v>
      </c>
      <c r="L54" s="48">
        <f>IF(J54="",0,(J54/J56)*100)</f>
        <v>60.674157303370791</v>
      </c>
      <c r="M54" s="47">
        <v>4</v>
      </c>
      <c r="N54" s="60">
        <v>0</v>
      </c>
      <c r="O54" s="205">
        <f>IF(M54=1,1,0)</f>
        <v>0</v>
      </c>
      <c r="P54" s="207">
        <f>IF(M54=2,1,0)</f>
        <v>0</v>
      </c>
      <c r="Q54" s="207">
        <f>IF(M54=3,1,0)</f>
        <v>0</v>
      </c>
      <c r="R54" s="9">
        <f>IF(M54=4,1,0)</f>
        <v>1</v>
      </c>
      <c r="S54" s="203"/>
      <c r="T54" s="27"/>
      <c r="U54" s="13"/>
    </row>
    <row r="55" spans="2:23" ht="20.100000000000001" customHeight="1" thickBot="1" x14ac:dyDescent="0.3">
      <c r="B55" s="13"/>
      <c r="C55" s="27"/>
      <c r="D55" s="27"/>
      <c r="E55" s="354" t="s">
        <v>458</v>
      </c>
      <c r="F55" s="255" t="s">
        <v>11</v>
      </c>
      <c r="G55" s="150">
        <v>2</v>
      </c>
      <c r="H55" s="150" t="s">
        <v>13</v>
      </c>
      <c r="I55" s="150">
        <v>1</v>
      </c>
      <c r="J55" s="150">
        <v>70</v>
      </c>
      <c r="K55" s="150" t="s">
        <v>13</v>
      </c>
      <c r="L55" s="17">
        <f>IF(J55="",0,(J55/J56)*100)</f>
        <v>78.651685393258433</v>
      </c>
      <c r="M55" s="150">
        <v>3</v>
      </c>
      <c r="N55" s="59">
        <v>1</v>
      </c>
      <c r="O55" s="58">
        <f>IF(M55=1,1,0)</f>
        <v>0</v>
      </c>
      <c r="P55" s="208">
        <f>IF(M55=2,1,0)</f>
        <v>0</v>
      </c>
      <c r="Q55" s="208">
        <f>IF(M55=3,1,0)</f>
        <v>1</v>
      </c>
      <c r="R55" s="10">
        <f>IF(M55=4,1,0)</f>
        <v>0</v>
      </c>
      <c r="S55" s="203"/>
      <c r="T55" s="27"/>
      <c r="U55" s="13"/>
    </row>
    <row r="56" spans="2:23" ht="20.100000000000001" hidden="1" customHeight="1" outlineLevel="1" x14ac:dyDescent="0.25">
      <c r="B56" s="13"/>
      <c r="C56" s="27"/>
      <c r="D56" s="27"/>
      <c r="E56" s="27"/>
      <c r="F56" s="531"/>
      <c r="G56" s="531"/>
      <c r="H56" s="27"/>
      <c r="I56" s="62" t="s">
        <v>29</v>
      </c>
      <c r="J56" s="23">
        <f>MAX(J52:J55)</f>
        <v>89</v>
      </c>
      <c r="K56" s="75"/>
      <c r="L56" s="203"/>
      <c r="M56" s="27"/>
      <c r="N56" s="63" t="s">
        <v>33</v>
      </c>
      <c r="O56" s="20">
        <f>SUM(O52:O55)</f>
        <v>1</v>
      </c>
      <c r="P56" s="21">
        <f>SUM(P52:P55)</f>
        <v>1</v>
      </c>
      <c r="Q56" s="20">
        <f>SUM(Q52:Q55)</f>
        <v>1</v>
      </c>
      <c r="R56" s="22">
        <f>SUM(R52:R55)</f>
        <v>1</v>
      </c>
      <c r="S56" s="74"/>
      <c r="T56" s="27"/>
      <c r="U56" s="13"/>
    </row>
    <row r="57" spans="2:23" ht="20.100000000000001" customHeight="1" collapsed="1" x14ac:dyDescent="0.25">
      <c r="B57" s="13"/>
      <c r="C57" s="27"/>
      <c r="D57" s="27"/>
      <c r="E57" s="27"/>
      <c r="F57" s="27"/>
      <c r="G57" s="27"/>
      <c r="H57" s="27"/>
      <c r="I57" s="27"/>
      <c r="J57" s="27"/>
      <c r="K57" s="27"/>
      <c r="L57" s="27"/>
      <c r="M57" s="27"/>
      <c r="N57" s="27"/>
      <c r="O57" s="27"/>
      <c r="P57" s="27"/>
      <c r="Q57" s="27"/>
      <c r="R57" s="27"/>
      <c r="S57" s="27"/>
      <c r="T57" s="27"/>
      <c r="U57" s="13"/>
    </row>
    <row r="58" spans="2:23" ht="20.100000000000001" customHeight="1" x14ac:dyDescent="0.25">
      <c r="B58" s="13"/>
      <c r="D58" s="28"/>
      <c r="E58" s="28"/>
      <c r="F58" s="28"/>
      <c r="G58" s="28"/>
      <c r="H58" s="29"/>
      <c r="I58" s="28"/>
      <c r="J58" s="28"/>
      <c r="U58" s="13"/>
    </row>
    <row r="59" spans="2:23" ht="20.100000000000001" customHeight="1" thickBot="1" x14ac:dyDescent="0.3">
      <c r="B59" s="13"/>
      <c r="C59" s="30"/>
      <c r="D59" s="30"/>
      <c r="E59" s="532" t="str">
        <f>IF(OR(M32="-",M32= ""),H32,M32)</f>
        <v>Orakel von Delphi</v>
      </c>
      <c r="F59" s="532"/>
      <c r="G59" s="532"/>
      <c r="H59" s="532"/>
      <c r="I59" s="532"/>
      <c r="J59" s="532"/>
      <c r="K59" s="532"/>
      <c r="L59" s="532"/>
      <c r="M59" s="532"/>
      <c r="N59" s="532"/>
      <c r="O59" s="196"/>
      <c r="P59" s="196"/>
      <c r="Q59" s="196"/>
      <c r="R59" s="196"/>
      <c r="S59" s="196"/>
      <c r="T59" s="30"/>
      <c r="U59" s="14"/>
      <c r="V59" s="1"/>
      <c r="W59" s="1"/>
    </row>
    <row r="60" spans="2:23" ht="50.1" customHeight="1" thickBot="1" x14ac:dyDescent="0.3">
      <c r="B60" s="13"/>
      <c r="C60" s="30"/>
      <c r="D60" s="196"/>
      <c r="E60" s="88" t="s">
        <v>10</v>
      </c>
      <c r="F60" s="125" t="s">
        <v>52</v>
      </c>
      <c r="G60" s="89" t="s">
        <v>14</v>
      </c>
      <c r="H60" s="200" t="s">
        <v>51</v>
      </c>
      <c r="I60" s="18" t="s">
        <v>54</v>
      </c>
      <c r="J60" s="200" t="s">
        <v>53</v>
      </c>
      <c r="K60" s="206" t="s">
        <v>28</v>
      </c>
      <c r="L60" s="200" t="s">
        <v>37</v>
      </c>
      <c r="M60" s="204" t="s">
        <v>16</v>
      </c>
      <c r="N60" s="89" t="s">
        <v>15</v>
      </c>
      <c r="O60" s="5" t="s">
        <v>30</v>
      </c>
      <c r="P60" s="7" t="s">
        <v>34</v>
      </c>
      <c r="Q60" s="7" t="s">
        <v>31</v>
      </c>
      <c r="R60" s="19" t="s">
        <v>32</v>
      </c>
      <c r="S60" s="196"/>
      <c r="T60" s="30"/>
      <c r="U60" s="14"/>
      <c r="V60" s="1"/>
      <c r="W60" s="1"/>
    </row>
    <row r="61" spans="2:23" s="408" customFormat="1" ht="45" x14ac:dyDescent="0.25">
      <c r="B61" s="409"/>
      <c r="C61" s="496"/>
      <c r="D61" s="496"/>
      <c r="E61" s="491" t="s">
        <v>0</v>
      </c>
      <c r="F61" s="406" t="s">
        <v>5</v>
      </c>
      <c r="G61" s="122">
        <v>3</v>
      </c>
      <c r="H61" s="122" t="s">
        <v>272</v>
      </c>
      <c r="I61" s="122" t="s">
        <v>13</v>
      </c>
      <c r="J61" s="122" t="s">
        <v>122</v>
      </c>
      <c r="K61" s="122" t="s">
        <v>561</v>
      </c>
      <c r="L61" s="492">
        <f>(L45+L55+L72)/3</f>
        <v>73.567239064377091</v>
      </c>
      <c r="M61" s="122">
        <v>3</v>
      </c>
      <c r="N61" s="493">
        <v>1</v>
      </c>
      <c r="O61" s="494">
        <f>IF(M61=1,1,0)</f>
        <v>0</v>
      </c>
      <c r="P61" s="480">
        <f>IF(M61=2,1,0)</f>
        <v>0</v>
      </c>
      <c r="Q61" s="480">
        <f>IF(M61=3,1,0)</f>
        <v>1</v>
      </c>
      <c r="R61" s="495">
        <f>IF(M61=4,1,0)</f>
        <v>0</v>
      </c>
      <c r="S61" s="497"/>
      <c r="T61" s="496"/>
      <c r="U61" s="409"/>
    </row>
    <row r="62" spans="2:23" s="408" customFormat="1" ht="45" x14ac:dyDescent="0.25">
      <c r="B62" s="409"/>
      <c r="C62" s="496"/>
      <c r="D62" s="498"/>
      <c r="E62" s="504" t="s">
        <v>127</v>
      </c>
      <c r="F62" s="505" t="s">
        <v>60</v>
      </c>
      <c r="G62" s="123">
        <v>2</v>
      </c>
      <c r="H62" s="123" t="s">
        <v>274</v>
      </c>
      <c r="I62" s="123" t="s">
        <v>13</v>
      </c>
      <c r="J62" s="123" t="s">
        <v>120</v>
      </c>
      <c r="K62" s="123" t="s">
        <v>559</v>
      </c>
      <c r="L62" s="369">
        <v>100</v>
      </c>
      <c r="M62" s="123">
        <v>1</v>
      </c>
      <c r="N62" s="506">
        <v>6</v>
      </c>
      <c r="O62" s="488">
        <f>IF(M62=1,1,0)</f>
        <v>1</v>
      </c>
      <c r="P62" s="224">
        <f>IF(M62=2,1,0)</f>
        <v>0</v>
      </c>
      <c r="Q62" s="224">
        <f>IF(M62=3,1,0)</f>
        <v>0</v>
      </c>
      <c r="R62" s="489">
        <f>IF(M62=4,1,0)</f>
        <v>0</v>
      </c>
      <c r="S62" s="497"/>
      <c r="T62" s="496"/>
      <c r="U62" s="499"/>
    </row>
    <row r="63" spans="2:23" s="408" customFormat="1" ht="45" x14ac:dyDescent="0.25">
      <c r="B63" s="409"/>
      <c r="C63" s="496"/>
      <c r="D63" s="496"/>
      <c r="E63" s="486" t="s">
        <v>125</v>
      </c>
      <c r="F63" s="293" t="s">
        <v>126</v>
      </c>
      <c r="G63" s="100">
        <v>1</v>
      </c>
      <c r="H63" s="100" t="s">
        <v>277</v>
      </c>
      <c r="I63" s="100" t="s">
        <v>13</v>
      </c>
      <c r="J63" s="100" t="s">
        <v>122</v>
      </c>
      <c r="K63" s="100" t="s">
        <v>562</v>
      </c>
      <c r="L63" s="276">
        <f>(L44+L54+L70)/3</f>
        <v>57.540103172920645</v>
      </c>
      <c r="M63" s="100">
        <v>4</v>
      </c>
      <c r="N63" s="487">
        <v>0</v>
      </c>
      <c r="O63" s="488">
        <f>IF(M63=1,1,0)</f>
        <v>0</v>
      </c>
      <c r="P63" s="224">
        <f>IF(M63=2,1,0)</f>
        <v>0</v>
      </c>
      <c r="Q63" s="224">
        <f>IF(M63=3,1,0)</f>
        <v>0</v>
      </c>
      <c r="R63" s="489">
        <f>IF(M63=4,1,0)</f>
        <v>1</v>
      </c>
      <c r="S63" s="497"/>
      <c r="T63" s="496"/>
      <c r="U63" s="499"/>
    </row>
    <row r="64" spans="2:23" s="408" customFormat="1" ht="45.75" thickBot="1" x14ac:dyDescent="0.3">
      <c r="B64" s="409"/>
      <c r="C64" s="496"/>
      <c r="D64" s="496"/>
      <c r="E64" s="500" t="s">
        <v>458</v>
      </c>
      <c r="F64" s="332" t="s">
        <v>11</v>
      </c>
      <c r="G64" s="107">
        <v>4</v>
      </c>
      <c r="H64" s="107" t="s">
        <v>278</v>
      </c>
      <c r="I64" s="107" t="s">
        <v>13</v>
      </c>
      <c r="J64" s="107" t="s">
        <v>120</v>
      </c>
      <c r="K64" s="107" t="s">
        <v>560</v>
      </c>
      <c r="L64" s="501">
        <f>(L43+L52+L71)/3</f>
        <v>82.368737191717912</v>
      </c>
      <c r="M64" s="107">
        <v>2</v>
      </c>
      <c r="N64" s="502">
        <v>3</v>
      </c>
      <c r="O64" s="484">
        <f>IF(M64=1,1,0)</f>
        <v>0</v>
      </c>
      <c r="P64" s="226">
        <f>IF(M64=2,1,0)</f>
        <v>1</v>
      </c>
      <c r="Q64" s="226">
        <f>IF(M64=3,1,0)</f>
        <v>0</v>
      </c>
      <c r="R64" s="503">
        <f>IF(M64=4,1,0)</f>
        <v>0</v>
      </c>
      <c r="S64" s="497"/>
      <c r="T64" s="496"/>
      <c r="U64" s="499"/>
    </row>
    <row r="65" spans="2:26" ht="20.100000000000001" hidden="1" customHeight="1" outlineLevel="1" x14ac:dyDescent="0.25">
      <c r="B65" s="13"/>
      <c r="C65" s="30"/>
      <c r="D65" s="30"/>
      <c r="E65" s="30"/>
      <c r="F65" s="533"/>
      <c r="G65" s="533"/>
      <c r="H65" s="30"/>
      <c r="I65" s="64" t="s">
        <v>29</v>
      </c>
      <c r="J65" s="23">
        <f>MAX(J61:J64)</f>
        <v>0</v>
      </c>
      <c r="K65" s="76"/>
      <c r="L65" s="194"/>
      <c r="M65" s="30"/>
      <c r="N65" s="63"/>
      <c r="O65" s="20">
        <f>SUM(O61:O64)</f>
        <v>1</v>
      </c>
      <c r="P65" s="21">
        <f>SUM(P61:P64)</f>
        <v>1</v>
      </c>
      <c r="Q65" s="20">
        <f>SUM(Q61:Q64)</f>
        <v>1</v>
      </c>
      <c r="R65" s="22">
        <f>SUM(R61:R64)</f>
        <v>1</v>
      </c>
      <c r="S65" s="77"/>
      <c r="T65" s="30"/>
      <c r="U65" s="31"/>
    </row>
    <row r="66" spans="2:26" ht="20.100000000000001" customHeight="1" collapsed="1" x14ac:dyDescent="0.25">
      <c r="B66" s="13"/>
      <c r="C66" s="30"/>
      <c r="D66" s="30"/>
      <c r="E66" s="30"/>
      <c r="F66" s="30"/>
      <c r="G66" s="30"/>
      <c r="H66" s="30"/>
      <c r="I66" s="30"/>
      <c r="J66" s="30"/>
      <c r="K66" s="30"/>
      <c r="L66" s="30"/>
      <c r="M66" s="30"/>
      <c r="N66" s="30"/>
      <c r="O66" s="30"/>
      <c r="P66" s="30"/>
      <c r="Q66" s="30"/>
      <c r="R66" s="30"/>
      <c r="S66" s="30"/>
      <c r="T66" s="30"/>
      <c r="U66" s="31"/>
    </row>
    <row r="67" spans="2:26" ht="20.100000000000001" customHeight="1" x14ac:dyDescent="0.25">
      <c r="B67" s="13"/>
      <c r="D67" s="28"/>
      <c r="E67" s="28"/>
      <c r="F67" s="28"/>
      <c r="G67" s="28"/>
      <c r="H67" s="29"/>
      <c r="I67" s="28"/>
      <c r="J67" s="28"/>
      <c r="K67" s="28"/>
      <c r="U67" s="13"/>
    </row>
    <row r="68" spans="2:26" ht="20.100000000000001" customHeight="1" thickBot="1" x14ac:dyDescent="0.3">
      <c r="B68" s="13"/>
      <c r="C68" s="32"/>
      <c r="D68" s="32"/>
      <c r="E68" s="534" t="str">
        <f>IF(OR(M36="-",M36= ""),H36,M36)</f>
        <v>Grand Austria Hotel</v>
      </c>
      <c r="F68" s="534"/>
      <c r="G68" s="534"/>
      <c r="H68" s="534"/>
      <c r="I68" s="534"/>
      <c r="J68" s="534"/>
      <c r="K68" s="534"/>
      <c r="L68" s="534"/>
      <c r="M68" s="534"/>
      <c r="N68" s="534"/>
      <c r="O68" s="195"/>
      <c r="P68" s="195"/>
      <c r="Q68" s="195"/>
      <c r="R68" s="195"/>
      <c r="S68" s="195"/>
      <c r="T68" s="32"/>
      <c r="U68" s="13"/>
    </row>
    <row r="69" spans="2:26" ht="50.1" customHeight="1" thickBot="1" x14ac:dyDescent="0.3">
      <c r="B69" s="13"/>
      <c r="C69" s="32"/>
      <c r="D69" s="195"/>
      <c r="E69" s="88" t="s">
        <v>10</v>
      </c>
      <c r="F69" s="125" t="s">
        <v>52</v>
      </c>
      <c r="G69" s="89" t="s">
        <v>14</v>
      </c>
      <c r="H69" s="200" t="s">
        <v>51</v>
      </c>
      <c r="I69" s="18" t="s">
        <v>54</v>
      </c>
      <c r="J69" s="200" t="s">
        <v>53</v>
      </c>
      <c r="K69" s="206" t="s">
        <v>28</v>
      </c>
      <c r="L69" s="200" t="s">
        <v>37</v>
      </c>
      <c r="M69" s="204" t="s">
        <v>16</v>
      </c>
      <c r="N69" s="89" t="s">
        <v>15</v>
      </c>
      <c r="O69" s="5" t="s">
        <v>30</v>
      </c>
      <c r="P69" s="7" t="s">
        <v>34</v>
      </c>
      <c r="Q69" s="7" t="s">
        <v>31</v>
      </c>
      <c r="R69" s="19" t="s">
        <v>32</v>
      </c>
      <c r="S69" s="195"/>
      <c r="T69" s="32"/>
      <c r="U69" s="13"/>
    </row>
    <row r="70" spans="2:26" ht="20.100000000000001" customHeight="1" x14ac:dyDescent="0.25">
      <c r="B70" s="13"/>
      <c r="C70" s="32"/>
      <c r="D70" s="32"/>
      <c r="E70" s="365" t="s">
        <v>0</v>
      </c>
      <c r="F70" s="253" t="s">
        <v>5</v>
      </c>
      <c r="G70" s="49">
        <v>3</v>
      </c>
      <c r="H70" s="49" t="s">
        <v>13</v>
      </c>
      <c r="I70" s="49">
        <v>0</v>
      </c>
      <c r="J70" s="49">
        <v>75</v>
      </c>
      <c r="K70" s="49" t="s">
        <v>13</v>
      </c>
      <c r="L70" s="50">
        <f>IF(J70="",0,(J70/J74)*100)</f>
        <v>42.134831460674157</v>
      </c>
      <c r="M70" s="49">
        <v>4</v>
      </c>
      <c r="N70" s="61">
        <v>0</v>
      </c>
      <c r="O70" s="57">
        <f>IF(M70=1,1,0)</f>
        <v>0</v>
      </c>
      <c r="P70" s="209">
        <f>IF(M70=2,1,0)</f>
        <v>0</v>
      </c>
      <c r="Q70" s="209">
        <f>IF(M70=3,1,0)</f>
        <v>0</v>
      </c>
      <c r="R70" s="8">
        <f>IF(M70=4,1,0)</f>
        <v>1</v>
      </c>
      <c r="S70" s="201"/>
      <c r="T70" s="32"/>
      <c r="U70" s="13"/>
    </row>
    <row r="71" spans="2:26" ht="20.100000000000001" customHeight="1" x14ac:dyDescent="0.25">
      <c r="B71" s="13"/>
      <c r="C71" s="32"/>
      <c r="D71" s="32"/>
      <c r="E71" s="303" t="s">
        <v>127</v>
      </c>
      <c r="F71" s="247" t="s">
        <v>60</v>
      </c>
      <c r="G71" s="47">
        <v>4</v>
      </c>
      <c r="H71" s="47" t="s">
        <v>13</v>
      </c>
      <c r="I71" s="47">
        <v>0</v>
      </c>
      <c r="J71" s="47">
        <v>124</v>
      </c>
      <c r="K71" s="47" t="s">
        <v>13</v>
      </c>
      <c r="L71" s="48">
        <f>IF(J71="",0,(J71/J74)*100)</f>
        <v>69.662921348314612</v>
      </c>
      <c r="M71" s="47">
        <v>2</v>
      </c>
      <c r="N71" s="60">
        <v>3</v>
      </c>
      <c r="O71" s="205">
        <f>IF(M71=1,1,0)</f>
        <v>0</v>
      </c>
      <c r="P71" s="207">
        <f>IF(M71=2,1,0)</f>
        <v>1</v>
      </c>
      <c r="Q71" s="207">
        <f>IF(M71=3,1,0)</f>
        <v>0</v>
      </c>
      <c r="R71" s="9">
        <f>IF(M71=4,1,0)</f>
        <v>0</v>
      </c>
      <c r="S71" s="201"/>
      <c r="T71" s="32"/>
      <c r="U71" s="13"/>
    </row>
    <row r="72" spans="2:26" ht="20.100000000000001" customHeight="1" x14ac:dyDescent="0.25">
      <c r="B72" s="13"/>
      <c r="C72" s="32"/>
      <c r="D72" s="32"/>
      <c r="E72" s="303" t="s">
        <v>125</v>
      </c>
      <c r="F72" s="247" t="s">
        <v>126</v>
      </c>
      <c r="G72" s="47">
        <v>2</v>
      </c>
      <c r="H72" s="47" t="s">
        <v>13</v>
      </c>
      <c r="I72" s="47">
        <v>0</v>
      </c>
      <c r="J72" s="47">
        <v>95</v>
      </c>
      <c r="K72" s="47" t="s">
        <v>13</v>
      </c>
      <c r="L72" s="48">
        <f>IF(J72="",0,(J72/J74)*100)</f>
        <v>53.370786516853933</v>
      </c>
      <c r="M72" s="47">
        <v>3</v>
      </c>
      <c r="N72" s="60">
        <v>1</v>
      </c>
      <c r="O72" s="205">
        <f>IF(M72=1,1,0)</f>
        <v>0</v>
      </c>
      <c r="P72" s="207">
        <f>IF(M72=2,1,0)</f>
        <v>0</v>
      </c>
      <c r="Q72" s="207">
        <f>IF(M72=3,1,0)</f>
        <v>1</v>
      </c>
      <c r="R72" s="9">
        <f>IF(M72=4,1,0)</f>
        <v>0</v>
      </c>
      <c r="S72" s="201"/>
      <c r="T72" s="32"/>
      <c r="U72" s="13"/>
    </row>
    <row r="73" spans="2:26" ht="20.100000000000001" customHeight="1" thickBot="1" x14ac:dyDescent="0.3">
      <c r="B73" s="13"/>
      <c r="C73" s="32"/>
      <c r="D73" s="65"/>
      <c r="E73" s="310" t="s">
        <v>458</v>
      </c>
      <c r="F73" s="283" t="s">
        <v>11</v>
      </c>
      <c r="G73" s="284">
        <v>1</v>
      </c>
      <c r="H73" s="284" t="s">
        <v>13</v>
      </c>
      <c r="I73" s="284">
        <v>0</v>
      </c>
      <c r="J73" s="284">
        <v>178</v>
      </c>
      <c r="K73" s="284" t="s">
        <v>13</v>
      </c>
      <c r="L73" s="286">
        <f>IF(J73="",0,(J73/J74)*100)</f>
        <v>100</v>
      </c>
      <c r="M73" s="284">
        <v>1</v>
      </c>
      <c r="N73" s="287">
        <v>6</v>
      </c>
      <c r="O73" s="58">
        <f>IF(M73=1,1,0)</f>
        <v>1</v>
      </c>
      <c r="P73" s="208">
        <f>IF(M73=2,1,0)</f>
        <v>0</v>
      </c>
      <c r="Q73" s="208">
        <f>IF(M73=3,1,0)</f>
        <v>0</v>
      </c>
      <c r="R73" s="10">
        <f>IF(M73=4,1,0)</f>
        <v>0</v>
      </c>
      <c r="S73" s="201"/>
      <c r="T73" s="32"/>
      <c r="U73" s="13"/>
    </row>
    <row r="74" spans="2:26" ht="20.100000000000001" hidden="1" customHeight="1" outlineLevel="1" x14ac:dyDescent="0.25">
      <c r="B74" s="13"/>
      <c r="C74" s="32"/>
      <c r="D74" s="32"/>
      <c r="E74" s="32"/>
      <c r="F74" s="535"/>
      <c r="G74" s="535"/>
      <c r="H74" s="32"/>
      <c r="I74" s="62" t="s">
        <v>29</v>
      </c>
      <c r="J74" s="23">
        <f>MAX(J70:J73)</f>
        <v>178</v>
      </c>
      <c r="K74" s="78"/>
      <c r="L74" s="201"/>
      <c r="M74" s="32"/>
      <c r="N74" s="63" t="s">
        <v>33</v>
      </c>
      <c r="O74" s="20">
        <f>SUM(O70:O73)</f>
        <v>1</v>
      </c>
      <c r="P74" s="21">
        <f>SUM(P70:P73)</f>
        <v>1</v>
      </c>
      <c r="Q74" s="20">
        <f>SUM(Q70:Q73)</f>
        <v>1</v>
      </c>
      <c r="R74" s="22">
        <f>SUM(R70:R73)</f>
        <v>1</v>
      </c>
      <c r="S74" s="79"/>
      <c r="T74" s="32"/>
      <c r="U74" s="13"/>
    </row>
    <row r="75" spans="2:26" ht="20.100000000000001" customHeight="1" collapsed="1" x14ac:dyDescent="0.25">
      <c r="B75" s="13"/>
      <c r="C75" s="32"/>
      <c r="D75" s="32"/>
      <c r="E75" s="32"/>
      <c r="F75" s="32"/>
      <c r="G75" s="32"/>
      <c r="H75" s="32"/>
      <c r="I75" s="32"/>
      <c r="J75" s="32"/>
      <c r="K75" s="32"/>
      <c r="L75" s="32"/>
      <c r="M75" s="32"/>
      <c r="N75" s="32"/>
      <c r="O75" s="32"/>
      <c r="P75" s="32"/>
      <c r="Q75" s="32"/>
      <c r="R75" s="32"/>
      <c r="S75" s="32"/>
      <c r="T75" s="32"/>
      <c r="U75" s="13"/>
    </row>
    <row r="76" spans="2:26" ht="20.100000000000001" customHeight="1" x14ac:dyDescent="0.25">
      <c r="B76" s="13"/>
      <c r="D76" s="4"/>
      <c r="E76" s="4"/>
      <c r="F76" s="4"/>
      <c r="G76" s="4"/>
      <c r="H76" s="4"/>
      <c r="I76" s="4"/>
      <c r="J76" s="4"/>
      <c r="U76" s="13"/>
    </row>
    <row r="77" spans="2:26" ht="30" customHeight="1" thickBot="1" x14ac:dyDescent="0.3">
      <c r="B77" s="13"/>
      <c r="C77" s="33"/>
      <c r="D77" s="536" t="s">
        <v>49</v>
      </c>
      <c r="E77" s="536"/>
      <c r="F77" s="536"/>
      <c r="G77" s="536"/>
      <c r="H77" s="536"/>
      <c r="I77" s="536"/>
      <c r="J77" s="536"/>
      <c r="K77" s="536"/>
      <c r="L77" s="536"/>
      <c r="M77" s="536"/>
      <c r="N77" s="536"/>
      <c r="O77" s="536"/>
      <c r="P77" s="536"/>
      <c r="Q77" s="536"/>
      <c r="R77" s="536"/>
      <c r="S77" s="536"/>
      <c r="T77" s="33"/>
      <c r="U77" s="13"/>
    </row>
    <row r="78" spans="2:26" ht="50.1" customHeight="1" thickBot="1" x14ac:dyDescent="0.3">
      <c r="B78" s="13"/>
      <c r="C78" s="33"/>
      <c r="D78" s="90" t="s">
        <v>10</v>
      </c>
      <c r="E78" s="93" t="s">
        <v>139</v>
      </c>
      <c r="F78" s="91" t="s">
        <v>15</v>
      </c>
      <c r="G78" s="42" t="s">
        <v>55</v>
      </c>
      <c r="H78" s="537" t="s">
        <v>56</v>
      </c>
      <c r="I78" s="538"/>
      <c r="J78" s="202" t="s">
        <v>66</v>
      </c>
      <c r="K78" s="92" t="s">
        <v>17</v>
      </c>
      <c r="L78" s="91" t="s">
        <v>18</v>
      </c>
      <c r="M78" s="92" t="s">
        <v>19</v>
      </c>
      <c r="N78" s="91" t="s">
        <v>20</v>
      </c>
      <c r="O78" s="130"/>
      <c r="P78" s="126"/>
      <c r="Q78" s="126"/>
      <c r="R78" s="126"/>
      <c r="S78" s="93" t="s">
        <v>38</v>
      </c>
      <c r="T78" s="33"/>
      <c r="U78" s="13"/>
    </row>
    <row r="79" spans="2:26" ht="20.100000000000001" customHeight="1" x14ac:dyDescent="0.25">
      <c r="B79" s="13"/>
      <c r="C79" s="33"/>
      <c r="D79" s="508" t="s">
        <v>458</v>
      </c>
      <c r="E79" s="482" t="s">
        <v>11</v>
      </c>
      <c r="F79" s="266">
        <f>(K79*6+L79*3+M79*1+N79*0)</f>
        <v>16</v>
      </c>
      <c r="G79" s="266">
        <v>0</v>
      </c>
      <c r="H79" s="603" t="s">
        <v>13</v>
      </c>
      <c r="I79" s="603"/>
      <c r="J79" s="266">
        <f>F79+G79</f>
        <v>16</v>
      </c>
      <c r="K79" s="266">
        <v>2</v>
      </c>
      <c r="L79" s="266">
        <v>1</v>
      </c>
      <c r="M79" s="266">
        <v>1</v>
      </c>
      <c r="N79" s="266">
        <v>0</v>
      </c>
      <c r="O79" s="266"/>
      <c r="P79" s="266"/>
      <c r="Q79" s="266"/>
      <c r="R79" s="266"/>
      <c r="S79" s="146">
        <f>(L46+L55+L64+L73)/4</f>
        <v>90.25510564624409</v>
      </c>
      <c r="T79" s="33"/>
      <c r="U79" s="13"/>
      <c r="W79" s="127"/>
      <c r="X79" s="127"/>
      <c r="Y79" s="127"/>
      <c r="Z79" s="127"/>
    </row>
    <row r="80" spans="2:26" ht="20.100000000000001" customHeight="1" x14ac:dyDescent="0.25">
      <c r="B80" s="13"/>
      <c r="C80" s="33"/>
      <c r="D80" s="364" t="s">
        <v>127</v>
      </c>
      <c r="E80" s="274" t="s">
        <v>60</v>
      </c>
      <c r="F80" s="265">
        <f>(K80*6+L80*3+M80*1+N80*0)</f>
        <v>15</v>
      </c>
      <c r="G80" s="265">
        <v>0</v>
      </c>
      <c r="H80" s="605" t="s">
        <v>13</v>
      </c>
      <c r="I80" s="605"/>
      <c r="J80" s="265">
        <f>F80+G80</f>
        <v>15</v>
      </c>
      <c r="K80" s="265">
        <v>2</v>
      </c>
      <c r="L80" s="265">
        <v>1</v>
      </c>
      <c r="M80" s="265">
        <v>0</v>
      </c>
      <c r="N80" s="265">
        <v>1</v>
      </c>
      <c r="O80" s="265"/>
      <c r="P80" s="265"/>
      <c r="Q80" s="265"/>
      <c r="R80" s="265"/>
      <c r="S80" s="145">
        <f>(L44+L53+L62+L71)/4</f>
        <v>84.8685605257579</v>
      </c>
      <c r="T80" s="33"/>
      <c r="U80" s="13"/>
      <c r="W80" s="192"/>
      <c r="X80" s="192"/>
      <c r="Y80" s="192"/>
      <c r="Z80" s="192"/>
    </row>
    <row r="81" spans="2:31" ht="20.100000000000001" customHeight="1" x14ac:dyDescent="0.25">
      <c r="B81" s="13"/>
      <c r="C81" s="33"/>
      <c r="D81" s="155" t="s">
        <v>0</v>
      </c>
      <c r="E81" s="357" t="s">
        <v>5</v>
      </c>
      <c r="F81" s="265">
        <f>(K81*6+L81*3+M81*1+N81*0)</f>
        <v>7</v>
      </c>
      <c r="G81" s="265">
        <v>0</v>
      </c>
      <c r="H81" s="605" t="s">
        <v>13</v>
      </c>
      <c r="I81" s="605"/>
      <c r="J81" s="265">
        <f>F81+G81</f>
        <v>7</v>
      </c>
      <c r="K81" s="265">
        <v>0</v>
      </c>
      <c r="L81" s="265">
        <v>2</v>
      </c>
      <c r="M81" s="265">
        <v>1</v>
      </c>
      <c r="N81" s="265">
        <v>1</v>
      </c>
      <c r="O81" s="265"/>
      <c r="P81" s="265"/>
      <c r="Q81" s="265"/>
      <c r="R81" s="265"/>
      <c r="S81" s="145">
        <f>(L43+L52+L61+L70)/4</f>
        <v>73.286340187972584</v>
      </c>
      <c r="T81" s="33"/>
      <c r="U81" s="13"/>
      <c r="W81" s="192"/>
      <c r="X81" s="192"/>
      <c r="Y81" s="192"/>
      <c r="Z81" s="192"/>
    </row>
    <row r="82" spans="2:31" ht="20.100000000000001" customHeight="1" thickBot="1" x14ac:dyDescent="0.3">
      <c r="B82" s="13"/>
      <c r="C82" s="33"/>
      <c r="D82" s="372" t="s">
        <v>125</v>
      </c>
      <c r="E82" s="275" t="s">
        <v>126</v>
      </c>
      <c r="F82" s="267">
        <f>(K82*6+L82*3+M82*1+N82*0)</f>
        <v>2</v>
      </c>
      <c r="G82" s="267">
        <v>0</v>
      </c>
      <c r="H82" s="583" t="s">
        <v>13</v>
      </c>
      <c r="I82" s="806"/>
      <c r="J82" s="267">
        <f>F82+G82</f>
        <v>2</v>
      </c>
      <c r="K82" s="267">
        <v>0</v>
      </c>
      <c r="L82" s="267">
        <v>0</v>
      </c>
      <c r="M82" s="267">
        <v>2</v>
      </c>
      <c r="N82" s="267">
        <v>2</v>
      </c>
      <c r="O82" s="267"/>
      <c r="P82" s="267"/>
      <c r="Q82" s="267"/>
      <c r="R82" s="267"/>
      <c r="S82" s="147">
        <f>(L45+L54+L63+L72)/4</f>
        <v>65.066073069041067</v>
      </c>
      <c r="T82" s="33"/>
      <c r="U82" s="13"/>
      <c r="W82" s="192"/>
      <c r="X82" s="192"/>
      <c r="Y82" s="192"/>
      <c r="Z82" s="192"/>
      <c r="AB82" s="192"/>
      <c r="AC82" s="192"/>
      <c r="AD82" s="192"/>
      <c r="AE82" s="192"/>
    </row>
    <row r="83" spans="2:31" ht="20.100000000000001" customHeight="1" x14ac:dyDescent="0.25">
      <c r="B83" s="13"/>
      <c r="C83" s="33"/>
      <c r="D83" s="373"/>
      <c r="E83" s="373"/>
      <c r="F83" s="16"/>
      <c r="G83" s="16"/>
      <c r="H83" s="782"/>
      <c r="I83" s="783"/>
      <c r="J83" s="16"/>
      <c r="K83" s="16"/>
      <c r="L83" s="16"/>
      <c r="M83" s="16"/>
      <c r="N83" s="16"/>
      <c r="O83" s="16"/>
      <c r="P83" s="16"/>
      <c r="Q83" s="16"/>
      <c r="R83" s="16"/>
      <c r="S83" s="374"/>
      <c r="T83" s="33"/>
      <c r="U83" s="13"/>
      <c r="W83" s="192"/>
      <c r="X83" s="192"/>
      <c r="Y83" s="192"/>
      <c r="Z83" s="192"/>
    </row>
    <row r="84" spans="2:31" ht="20.100000000000001" customHeight="1" x14ac:dyDescent="0.25">
      <c r="B84" s="13"/>
      <c r="C84" s="13"/>
      <c r="D84" s="15"/>
      <c r="E84" s="15"/>
      <c r="F84" s="14"/>
      <c r="G84" s="14"/>
      <c r="H84" s="15"/>
      <c r="I84" s="15"/>
      <c r="J84" s="15"/>
      <c r="K84" s="13"/>
      <c r="L84" s="13"/>
      <c r="M84" s="13"/>
      <c r="N84" s="13"/>
      <c r="O84" s="13"/>
      <c r="P84" s="13"/>
      <c r="Q84" s="13"/>
      <c r="R84" s="13"/>
      <c r="S84" s="13"/>
      <c r="T84" s="13"/>
      <c r="U84" s="13"/>
    </row>
    <row r="85" spans="2:31" ht="20.100000000000001" customHeight="1" x14ac:dyDescent="0.25">
      <c r="D85" s="11"/>
    </row>
    <row r="86" spans="2:31" ht="20.100000000000001" customHeight="1" x14ac:dyDescent="0.25">
      <c r="D86" s="34"/>
    </row>
    <row r="87" spans="2:31" ht="20.100000000000001" customHeight="1" x14ac:dyDescent="0.25">
      <c r="B87" s="13"/>
      <c r="C87" s="13"/>
      <c r="D87" s="25"/>
      <c r="E87" s="25"/>
      <c r="F87" s="25"/>
      <c r="G87" s="25"/>
      <c r="H87" s="13"/>
      <c r="I87" s="13"/>
      <c r="J87" s="13"/>
      <c r="K87" s="13"/>
      <c r="L87" s="13"/>
      <c r="M87" s="13"/>
      <c r="N87" s="13"/>
      <c r="O87" s="13"/>
      <c r="P87" s="13"/>
      <c r="Q87" s="13"/>
      <c r="R87" s="13"/>
      <c r="S87" s="13"/>
      <c r="T87" s="13"/>
      <c r="U87" s="13"/>
    </row>
    <row r="88" spans="2:31" ht="30" customHeight="1" x14ac:dyDescent="0.25">
      <c r="B88" s="13"/>
      <c r="C88" s="555" t="s">
        <v>563</v>
      </c>
      <c r="D88" s="555"/>
      <c r="E88" s="555"/>
      <c r="F88" s="555"/>
      <c r="G88" s="555"/>
      <c r="H88" s="555"/>
      <c r="I88" s="555"/>
      <c r="J88" s="555"/>
      <c r="K88" s="555"/>
      <c r="L88" s="555"/>
      <c r="M88" s="555"/>
      <c r="N88" s="555"/>
      <c r="O88" s="555"/>
      <c r="P88" s="555"/>
      <c r="Q88" s="555"/>
      <c r="R88" s="555"/>
      <c r="S88" s="555"/>
      <c r="T88" s="555"/>
      <c r="U88" s="13"/>
    </row>
    <row r="89" spans="2:31" ht="20.100000000000001" customHeight="1" thickBot="1" x14ac:dyDescent="0.3">
      <c r="B89" s="13"/>
      <c r="U89" s="13"/>
    </row>
    <row r="90" spans="2:31" ht="20.100000000000001" customHeight="1" thickBot="1" x14ac:dyDescent="0.3">
      <c r="B90" s="13"/>
      <c r="D90" s="556" t="s">
        <v>10</v>
      </c>
      <c r="E90" s="558" t="s">
        <v>67</v>
      </c>
      <c r="F90" s="560" t="s">
        <v>22</v>
      </c>
      <c r="G90" s="563" t="s">
        <v>42</v>
      </c>
      <c r="H90" s="561"/>
      <c r="I90" s="561"/>
      <c r="J90" s="562"/>
      <c r="K90" s="200" t="s">
        <v>36</v>
      </c>
      <c r="L90" s="563" t="s">
        <v>27</v>
      </c>
      <c r="M90" s="561"/>
      <c r="N90" s="561"/>
      <c r="O90" s="561"/>
      <c r="P90" s="561"/>
      <c r="Q90" s="561"/>
      <c r="R90" s="561"/>
      <c r="S90" s="562"/>
      <c r="U90" s="13"/>
    </row>
    <row r="91" spans="2:31" ht="20.100000000000001" customHeight="1" thickBot="1" x14ac:dyDescent="0.3">
      <c r="B91" s="13"/>
      <c r="D91" s="557"/>
      <c r="E91" s="559"/>
      <c r="F91" s="559"/>
      <c r="G91" s="86" t="s">
        <v>43</v>
      </c>
      <c r="H91" s="85" t="s">
        <v>24</v>
      </c>
      <c r="I91" s="556" t="s">
        <v>23</v>
      </c>
      <c r="J91" s="564"/>
      <c r="K91" s="85" t="s">
        <v>25</v>
      </c>
      <c r="L91" s="94" t="s">
        <v>43</v>
      </c>
      <c r="M91" s="87" t="s">
        <v>26</v>
      </c>
      <c r="N91" s="556" t="s">
        <v>23</v>
      </c>
      <c r="O91" s="588"/>
      <c r="P91" s="588"/>
      <c r="Q91" s="588"/>
      <c r="R91" s="588"/>
      <c r="S91" s="564"/>
      <c r="U91" s="13"/>
    </row>
    <row r="92" spans="2:31" ht="15" customHeight="1" x14ac:dyDescent="0.25">
      <c r="B92" s="13"/>
      <c r="D92" s="641" t="s">
        <v>2</v>
      </c>
      <c r="E92" s="754" t="s">
        <v>8</v>
      </c>
      <c r="F92" s="801">
        <v>1</v>
      </c>
      <c r="G92" s="784" t="s">
        <v>35</v>
      </c>
      <c r="H92" s="589" t="s">
        <v>518</v>
      </c>
      <c r="I92" s="656" t="s">
        <v>542</v>
      </c>
      <c r="J92" s="657"/>
      <c r="K92" s="787" t="s">
        <v>12</v>
      </c>
      <c r="L92" s="740" t="s">
        <v>13</v>
      </c>
      <c r="M92" s="627" t="s">
        <v>13</v>
      </c>
      <c r="N92" s="630" t="s">
        <v>13</v>
      </c>
      <c r="O92" s="631"/>
      <c r="P92" s="631"/>
      <c r="Q92" s="631"/>
      <c r="R92" s="631"/>
      <c r="S92" s="632"/>
      <c r="U92" s="13"/>
    </row>
    <row r="93" spans="2:31" ht="15" customHeight="1" x14ac:dyDescent="0.25">
      <c r="B93" s="13"/>
      <c r="D93" s="642"/>
      <c r="E93" s="665"/>
      <c r="F93" s="765"/>
      <c r="G93" s="785"/>
      <c r="H93" s="786"/>
      <c r="I93" s="639" t="s">
        <v>543</v>
      </c>
      <c r="J93" s="640"/>
      <c r="K93" s="698"/>
      <c r="L93" s="731"/>
      <c r="M93" s="628"/>
      <c r="N93" s="633"/>
      <c r="O93" s="634"/>
      <c r="P93" s="634"/>
      <c r="Q93" s="634"/>
      <c r="R93" s="634"/>
      <c r="S93" s="635"/>
      <c r="U93" s="13"/>
    </row>
    <row r="94" spans="2:31" ht="15" customHeight="1" x14ac:dyDescent="0.25">
      <c r="B94" s="13"/>
      <c r="D94" s="642"/>
      <c r="E94" s="665"/>
      <c r="F94" s="765"/>
      <c r="G94" s="785"/>
      <c r="H94" s="786"/>
      <c r="I94" s="639" t="s">
        <v>544</v>
      </c>
      <c r="J94" s="640"/>
      <c r="K94" s="698"/>
      <c r="L94" s="731"/>
      <c r="M94" s="628"/>
      <c r="N94" s="633"/>
      <c r="O94" s="634"/>
      <c r="P94" s="634"/>
      <c r="Q94" s="634"/>
      <c r="R94" s="634"/>
      <c r="S94" s="635"/>
      <c r="U94" s="13"/>
    </row>
    <row r="95" spans="2:31" ht="27.95" customHeight="1" x14ac:dyDescent="0.25">
      <c r="B95" s="13"/>
      <c r="D95" s="643"/>
      <c r="E95" s="666"/>
      <c r="F95" s="766"/>
      <c r="G95" s="785"/>
      <c r="H95" s="786"/>
      <c r="I95" s="737" t="s">
        <v>545</v>
      </c>
      <c r="J95" s="753"/>
      <c r="K95" s="701"/>
      <c r="L95" s="732"/>
      <c r="M95" s="629"/>
      <c r="N95" s="636"/>
      <c r="O95" s="637"/>
      <c r="P95" s="637"/>
      <c r="Q95" s="637"/>
      <c r="R95" s="637"/>
      <c r="S95" s="638"/>
      <c r="U95" s="13"/>
    </row>
    <row r="96" spans="2:31" ht="20.100000000000001" customHeight="1" x14ac:dyDescent="0.25">
      <c r="B96" s="13"/>
      <c r="D96" s="345" t="s">
        <v>88</v>
      </c>
      <c r="E96" s="351" t="s">
        <v>69</v>
      </c>
      <c r="F96" s="411">
        <v>2</v>
      </c>
      <c r="G96" s="214" t="s">
        <v>44</v>
      </c>
      <c r="H96" s="481" t="s">
        <v>564</v>
      </c>
      <c r="I96" s="769" t="s">
        <v>536</v>
      </c>
      <c r="J96" s="965"/>
      <c r="K96" s="413" t="s">
        <v>12</v>
      </c>
      <c r="L96" s="483" t="s">
        <v>13</v>
      </c>
      <c r="M96" s="347" t="s">
        <v>13</v>
      </c>
      <c r="N96" s="658" t="s">
        <v>13</v>
      </c>
      <c r="O96" s="659"/>
      <c r="P96" s="659"/>
      <c r="Q96" s="659"/>
      <c r="R96" s="659"/>
      <c r="S96" s="660"/>
      <c r="U96" s="13"/>
    </row>
    <row r="97" spans="2:21" ht="20.100000000000001" customHeight="1" thickBot="1" x14ac:dyDescent="0.3">
      <c r="B97" s="13"/>
      <c r="D97" s="144" t="s">
        <v>4</v>
      </c>
      <c r="E97" s="306" t="s">
        <v>9</v>
      </c>
      <c r="F97" s="363">
        <v>3</v>
      </c>
      <c r="G97" s="307" t="s">
        <v>44</v>
      </c>
      <c r="H97" s="308" t="s">
        <v>566</v>
      </c>
      <c r="I97" s="756" t="s">
        <v>565</v>
      </c>
      <c r="J97" s="757"/>
      <c r="K97" s="355" t="s">
        <v>12</v>
      </c>
      <c r="L97" s="309" t="s">
        <v>13</v>
      </c>
      <c r="M97" s="56" t="s">
        <v>13</v>
      </c>
      <c r="N97" s="613" t="s">
        <v>13</v>
      </c>
      <c r="O97" s="550"/>
      <c r="P97" s="550"/>
      <c r="Q97" s="550"/>
      <c r="R97" s="550"/>
      <c r="S97" s="551"/>
      <c r="U97" s="13"/>
    </row>
    <row r="98" spans="2:21" ht="20.100000000000001" customHeight="1" x14ac:dyDescent="0.25">
      <c r="B98" s="13"/>
      <c r="U98" s="13"/>
    </row>
    <row r="99" spans="2:21" ht="20.100000000000001" customHeight="1" thickBot="1" x14ac:dyDescent="0.3">
      <c r="B99" s="13"/>
      <c r="C99" s="26"/>
      <c r="D99" s="26"/>
      <c r="E99" s="552" t="str">
        <f>IF(OR(L92="-",L92= ""),H92,L92)</f>
        <v>Grand Austria Hotel</v>
      </c>
      <c r="F99" s="552"/>
      <c r="G99" s="552"/>
      <c r="H99" s="552"/>
      <c r="I99" s="552"/>
      <c r="J99" s="552"/>
      <c r="K99" s="552"/>
      <c r="L99" s="552"/>
      <c r="M99" s="552"/>
      <c r="N99" s="552"/>
      <c r="O99" s="199"/>
      <c r="P99" s="199"/>
      <c r="Q99" s="199"/>
      <c r="R99" s="199"/>
      <c r="S99" s="199"/>
      <c r="T99" s="26"/>
      <c r="U99" s="13"/>
    </row>
    <row r="100" spans="2:21" ht="50.1" customHeight="1" thickBot="1" x14ac:dyDescent="0.3">
      <c r="B100" s="13"/>
      <c r="C100" s="26"/>
      <c r="D100" s="199"/>
      <c r="E100" s="509" t="s">
        <v>10</v>
      </c>
      <c r="F100" s="510" t="s">
        <v>52</v>
      </c>
      <c r="G100" s="511" t="s">
        <v>14</v>
      </c>
      <c r="H100" s="512" t="s">
        <v>51</v>
      </c>
      <c r="I100" s="513" t="s">
        <v>54</v>
      </c>
      <c r="J100" s="512" t="s">
        <v>53</v>
      </c>
      <c r="K100" s="514" t="s">
        <v>28</v>
      </c>
      <c r="L100" s="512" t="s">
        <v>37</v>
      </c>
      <c r="M100" s="515" t="s">
        <v>16</v>
      </c>
      <c r="N100" s="511" t="s">
        <v>15</v>
      </c>
      <c r="O100" s="5" t="s">
        <v>30</v>
      </c>
      <c r="P100" s="7" t="s">
        <v>34</v>
      </c>
      <c r="Q100" s="7" t="s">
        <v>31</v>
      </c>
      <c r="R100" s="199"/>
      <c r="S100" s="199"/>
      <c r="T100" s="26"/>
      <c r="U100" s="13"/>
    </row>
    <row r="101" spans="2:21" s="408" customFormat="1" ht="30" x14ac:dyDescent="0.25">
      <c r="B101" s="409"/>
      <c r="C101" s="485"/>
      <c r="D101" s="521"/>
      <c r="E101" s="522" t="s">
        <v>2</v>
      </c>
      <c r="F101" s="523" t="s">
        <v>8</v>
      </c>
      <c r="G101" s="103">
        <v>1</v>
      </c>
      <c r="H101" s="103" t="s">
        <v>13</v>
      </c>
      <c r="I101" s="103">
        <v>0</v>
      </c>
      <c r="J101" s="103">
        <v>172</v>
      </c>
      <c r="K101" s="103" t="s">
        <v>572</v>
      </c>
      <c r="L101" s="524">
        <f>J101/$J$104*100</f>
        <v>100</v>
      </c>
      <c r="M101" s="103">
        <v>1</v>
      </c>
      <c r="N101" s="525">
        <v>6</v>
      </c>
      <c r="O101" s="494">
        <f>IF(M101=1,1,0)</f>
        <v>1</v>
      </c>
      <c r="P101" s="480">
        <f>IF(M101=2,1,0)</f>
        <v>0</v>
      </c>
      <c r="Q101" s="495">
        <f>IF(M101=3,1,0)</f>
        <v>0</v>
      </c>
      <c r="R101" s="490"/>
      <c r="S101" s="490"/>
      <c r="T101" s="485"/>
      <c r="U101" s="409"/>
    </row>
    <row r="102" spans="2:21" s="408" customFormat="1" ht="30" x14ac:dyDescent="0.25">
      <c r="B102" s="409"/>
      <c r="C102" s="485"/>
      <c r="D102" s="485"/>
      <c r="E102" s="516" t="s">
        <v>88</v>
      </c>
      <c r="F102" s="293" t="s">
        <v>69</v>
      </c>
      <c r="G102" s="100">
        <v>3</v>
      </c>
      <c r="H102" s="100" t="s">
        <v>13</v>
      </c>
      <c r="I102" s="100">
        <v>0</v>
      </c>
      <c r="J102" s="100">
        <v>172</v>
      </c>
      <c r="K102" s="100" t="s">
        <v>573</v>
      </c>
      <c r="L102" s="276">
        <f t="shared" ref="L102:L103" si="1">J102/$J$104*100</f>
        <v>100</v>
      </c>
      <c r="M102" s="100">
        <v>2</v>
      </c>
      <c r="N102" s="487">
        <v>3</v>
      </c>
      <c r="O102" s="488">
        <f>IF(M102=1,1,0)</f>
        <v>0</v>
      </c>
      <c r="P102" s="224">
        <f>IF(M102=2,1,0)</f>
        <v>1</v>
      </c>
      <c r="Q102" s="489">
        <f>IF(M102=3,1,0)</f>
        <v>0</v>
      </c>
      <c r="R102" s="490"/>
      <c r="S102" s="490"/>
      <c r="T102" s="485"/>
      <c r="U102" s="409"/>
    </row>
    <row r="103" spans="2:21" ht="20.100000000000001" customHeight="1" thickBot="1" x14ac:dyDescent="0.3">
      <c r="B103" s="13"/>
      <c r="C103" s="26"/>
      <c r="D103" s="26"/>
      <c r="E103" s="354" t="s">
        <v>4</v>
      </c>
      <c r="F103" s="255" t="s">
        <v>9</v>
      </c>
      <c r="G103" s="150">
        <v>2</v>
      </c>
      <c r="H103" s="150" t="s">
        <v>13</v>
      </c>
      <c r="I103" s="150">
        <v>0</v>
      </c>
      <c r="J103" s="150">
        <v>109</v>
      </c>
      <c r="K103" s="150" t="s">
        <v>13</v>
      </c>
      <c r="L103" s="17">
        <f t="shared" si="1"/>
        <v>63.372093023255815</v>
      </c>
      <c r="M103" s="150">
        <v>3</v>
      </c>
      <c r="N103" s="59">
        <v>0</v>
      </c>
      <c r="O103" s="58">
        <f>IF(M103=1,1,0)</f>
        <v>0</v>
      </c>
      <c r="P103" s="208">
        <f>IF(M103=2,1,0)</f>
        <v>0</v>
      </c>
      <c r="Q103" s="10">
        <f>IF(M103=3,1,0)</f>
        <v>1</v>
      </c>
      <c r="R103" s="198"/>
      <c r="S103" s="198"/>
      <c r="T103" s="26"/>
      <c r="U103" s="13"/>
    </row>
    <row r="104" spans="2:21" ht="20.100000000000001" hidden="1" customHeight="1" outlineLevel="1" thickBot="1" x14ac:dyDescent="0.3">
      <c r="B104" s="13"/>
      <c r="C104" s="26"/>
      <c r="D104" s="68"/>
      <c r="E104" s="68"/>
      <c r="F104" s="553"/>
      <c r="G104" s="553"/>
      <c r="H104" s="26"/>
      <c r="I104" s="64" t="s">
        <v>29</v>
      </c>
      <c r="J104" s="23">
        <f>MAX(J101:J103)</f>
        <v>172</v>
      </c>
      <c r="K104" s="70"/>
      <c r="L104" s="69"/>
      <c r="M104" s="26"/>
      <c r="N104" s="63" t="s">
        <v>33</v>
      </c>
      <c r="O104" s="20">
        <f>SUM(O101:O103)</f>
        <v>1</v>
      </c>
      <c r="P104" s="21">
        <f>SUM(P101:P103)</f>
        <v>1</v>
      </c>
      <c r="Q104" s="20">
        <f>SUM(Q101:Q103)</f>
        <v>1</v>
      </c>
      <c r="R104" s="22">
        <f>SUM(R101:R103)</f>
        <v>0</v>
      </c>
      <c r="S104" s="69"/>
      <c r="T104" s="26"/>
      <c r="U104" s="13"/>
    </row>
    <row r="105" spans="2:21" ht="20.100000000000001" customHeight="1" collapsed="1" x14ac:dyDescent="0.25">
      <c r="B105" s="13"/>
      <c r="C105" s="26"/>
      <c r="D105" s="26"/>
      <c r="E105" s="26"/>
      <c r="F105" s="26"/>
      <c r="G105" s="26"/>
      <c r="H105" s="26"/>
      <c r="I105" s="26"/>
      <c r="J105" s="26"/>
      <c r="K105" s="26"/>
      <c r="L105" s="26"/>
      <c r="M105" s="26"/>
      <c r="N105" s="26"/>
      <c r="O105" s="26"/>
      <c r="P105" s="26"/>
      <c r="Q105" s="26"/>
      <c r="R105" s="26"/>
      <c r="S105" s="26"/>
      <c r="T105" s="26"/>
      <c r="U105" s="13"/>
    </row>
    <row r="106" spans="2:21" ht="20.100000000000001" customHeight="1" x14ac:dyDescent="0.25">
      <c r="B106" s="13"/>
      <c r="U106" s="13"/>
    </row>
    <row r="107" spans="2:21" ht="20.100000000000001" customHeight="1" thickBot="1" x14ac:dyDescent="0.3">
      <c r="B107" s="13"/>
      <c r="C107" s="27"/>
      <c r="D107" s="27"/>
      <c r="E107" s="554" t="str">
        <f>IF(OR(L96="-",L96= ""),H96,L96)</f>
        <v>Wasserkraft</v>
      </c>
      <c r="F107" s="554"/>
      <c r="G107" s="554"/>
      <c r="H107" s="554"/>
      <c r="I107" s="554"/>
      <c r="J107" s="554"/>
      <c r="K107" s="554"/>
      <c r="L107" s="554"/>
      <c r="M107" s="554"/>
      <c r="N107" s="554"/>
      <c r="O107" s="197"/>
      <c r="P107" s="197"/>
      <c r="Q107" s="197"/>
      <c r="R107" s="197"/>
      <c r="S107" s="197"/>
      <c r="T107" s="27"/>
      <c r="U107" s="13"/>
    </row>
    <row r="108" spans="2:21" ht="50.1" customHeight="1" thickBot="1" x14ac:dyDescent="0.3">
      <c r="B108" s="13"/>
      <c r="C108" s="27"/>
      <c r="D108" s="197"/>
      <c r="E108" s="509" t="s">
        <v>10</v>
      </c>
      <c r="F108" s="510" t="s">
        <v>52</v>
      </c>
      <c r="G108" s="511" t="s">
        <v>14</v>
      </c>
      <c r="H108" s="512" t="s">
        <v>51</v>
      </c>
      <c r="I108" s="513" t="s">
        <v>54</v>
      </c>
      <c r="J108" s="512" t="s">
        <v>53</v>
      </c>
      <c r="K108" s="514" t="s">
        <v>28</v>
      </c>
      <c r="L108" s="512" t="s">
        <v>37</v>
      </c>
      <c r="M108" s="515" t="s">
        <v>16</v>
      </c>
      <c r="N108" s="511" t="s">
        <v>15</v>
      </c>
      <c r="O108" s="5" t="s">
        <v>30</v>
      </c>
      <c r="P108" s="7" t="s">
        <v>34</v>
      </c>
      <c r="Q108" s="7" t="s">
        <v>31</v>
      </c>
      <c r="R108" s="197"/>
      <c r="S108" s="197"/>
      <c r="T108" s="27"/>
      <c r="U108" s="13"/>
    </row>
    <row r="109" spans="2:21" s="408" customFormat="1" ht="30" x14ac:dyDescent="0.25">
      <c r="B109" s="409"/>
      <c r="C109" s="517"/>
      <c r="D109" s="518"/>
      <c r="E109" s="491" t="s">
        <v>2</v>
      </c>
      <c r="F109" s="406" t="s">
        <v>8</v>
      </c>
      <c r="G109" s="122">
        <v>3</v>
      </c>
      <c r="H109" s="122" t="s">
        <v>571</v>
      </c>
      <c r="I109" s="122">
        <v>0</v>
      </c>
      <c r="J109" s="122">
        <v>69</v>
      </c>
      <c r="K109" s="122" t="s">
        <v>13</v>
      </c>
      <c r="L109" s="492">
        <f>J109/$J$112*100</f>
        <v>60</v>
      </c>
      <c r="M109" s="122">
        <v>3</v>
      </c>
      <c r="N109" s="493">
        <v>0</v>
      </c>
      <c r="O109" s="494">
        <f>IF(M109=1,1,0)</f>
        <v>0</v>
      </c>
      <c r="P109" s="480">
        <f>IF(M109=2,1,0)</f>
        <v>0</v>
      </c>
      <c r="Q109" s="495">
        <f>IF(M109=3,1,0)</f>
        <v>1</v>
      </c>
      <c r="R109" s="519"/>
      <c r="S109" s="519"/>
      <c r="T109" s="517"/>
      <c r="U109" s="409"/>
    </row>
    <row r="110" spans="2:21" s="408" customFormat="1" ht="30" x14ac:dyDescent="0.25">
      <c r="B110" s="409"/>
      <c r="C110" s="517"/>
      <c r="D110" s="517"/>
      <c r="E110" s="520" t="s">
        <v>88</v>
      </c>
      <c r="F110" s="505" t="s">
        <v>69</v>
      </c>
      <c r="G110" s="123">
        <v>1</v>
      </c>
      <c r="H110" s="123" t="s">
        <v>569</v>
      </c>
      <c r="I110" s="123">
        <v>0</v>
      </c>
      <c r="J110" s="123">
        <v>115</v>
      </c>
      <c r="K110" s="123" t="s">
        <v>13</v>
      </c>
      <c r="L110" s="369">
        <f>J110/$J$112*100</f>
        <v>100</v>
      </c>
      <c r="M110" s="123">
        <v>1</v>
      </c>
      <c r="N110" s="506">
        <v>6</v>
      </c>
      <c r="O110" s="488">
        <f>IF(M110=1,1,0)</f>
        <v>1</v>
      </c>
      <c r="P110" s="224">
        <f>IF(M110=2,1,0)</f>
        <v>0</v>
      </c>
      <c r="Q110" s="489">
        <f>IF(M110=3,1,0)</f>
        <v>0</v>
      </c>
      <c r="R110" s="519"/>
      <c r="S110" s="519"/>
      <c r="T110" s="517"/>
      <c r="U110" s="409"/>
    </row>
    <row r="111" spans="2:21" s="408" customFormat="1" ht="30.75" thickBot="1" x14ac:dyDescent="0.3">
      <c r="B111" s="409"/>
      <c r="C111" s="517"/>
      <c r="D111" s="518"/>
      <c r="E111" s="500" t="s">
        <v>4</v>
      </c>
      <c r="F111" s="332" t="s">
        <v>9</v>
      </c>
      <c r="G111" s="107">
        <v>2</v>
      </c>
      <c r="H111" s="107" t="s">
        <v>570</v>
      </c>
      <c r="I111" s="107">
        <v>0</v>
      </c>
      <c r="J111" s="107">
        <v>108</v>
      </c>
      <c r="K111" s="107" t="s">
        <v>13</v>
      </c>
      <c r="L111" s="501">
        <f>J111/$J$112*100</f>
        <v>93.913043478260875</v>
      </c>
      <c r="M111" s="107">
        <v>2</v>
      </c>
      <c r="N111" s="502">
        <v>3</v>
      </c>
      <c r="O111" s="484">
        <f>IF(M111=1,1,0)</f>
        <v>0</v>
      </c>
      <c r="P111" s="226">
        <f>IF(M111=2,1,0)</f>
        <v>1</v>
      </c>
      <c r="Q111" s="503">
        <f>IF(M111=3,1,0)</f>
        <v>0</v>
      </c>
      <c r="R111" s="519"/>
      <c r="S111" s="519"/>
      <c r="T111" s="517"/>
      <c r="U111" s="409"/>
    </row>
    <row r="112" spans="2:21" ht="20.100000000000001" hidden="1" customHeight="1" outlineLevel="1" thickBot="1" x14ac:dyDescent="0.3">
      <c r="B112" s="13"/>
      <c r="C112" s="27"/>
      <c r="D112" s="27"/>
      <c r="E112" s="27"/>
      <c r="F112" s="531"/>
      <c r="G112" s="531"/>
      <c r="H112" s="27"/>
      <c r="I112" s="64" t="s">
        <v>29</v>
      </c>
      <c r="J112" s="23">
        <f>MAX(J109:J111)</f>
        <v>115</v>
      </c>
      <c r="K112" s="75"/>
      <c r="L112" s="203"/>
      <c r="M112" s="27"/>
      <c r="N112" s="63" t="s">
        <v>33</v>
      </c>
      <c r="O112" s="20">
        <f>SUM(O109:O111)</f>
        <v>1</v>
      </c>
      <c r="P112" s="21">
        <f>SUM(P109:P111)</f>
        <v>1</v>
      </c>
      <c r="Q112" s="20">
        <f>SUM(Q109:Q111)</f>
        <v>1</v>
      </c>
      <c r="R112" s="22">
        <f>SUM(R109:R111)</f>
        <v>0</v>
      </c>
      <c r="S112" s="74"/>
      <c r="T112" s="27"/>
      <c r="U112" s="13"/>
    </row>
    <row r="113" spans="2:21" ht="20.100000000000001" customHeight="1" collapsed="1" x14ac:dyDescent="0.25">
      <c r="B113" s="13"/>
      <c r="C113" s="27"/>
      <c r="D113" s="27"/>
      <c r="E113" s="27"/>
      <c r="F113" s="27"/>
      <c r="G113" s="27"/>
      <c r="H113" s="27"/>
      <c r="I113" s="27"/>
      <c r="J113" s="27"/>
      <c r="K113" s="27"/>
      <c r="L113" s="27"/>
      <c r="M113" s="27"/>
      <c r="N113" s="27"/>
      <c r="O113" s="27"/>
      <c r="P113" s="27"/>
      <c r="Q113" s="27"/>
      <c r="R113" s="27"/>
      <c r="S113" s="27"/>
      <c r="T113" s="27"/>
      <c r="U113" s="13"/>
    </row>
    <row r="114" spans="2:21" ht="20.100000000000001" customHeight="1" x14ac:dyDescent="0.25">
      <c r="B114" s="13"/>
      <c r="D114" s="28"/>
      <c r="E114" s="28"/>
      <c r="F114" s="28"/>
      <c r="G114" s="28"/>
      <c r="H114" s="29"/>
      <c r="I114" s="28"/>
      <c r="J114" s="28"/>
      <c r="U114" s="13"/>
    </row>
    <row r="115" spans="2:21" ht="20.100000000000001" customHeight="1" thickBot="1" x14ac:dyDescent="0.3">
      <c r="B115" s="13"/>
      <c r="C115" s="30"/>
      <c r="D115" s="30"/>
      <c r="E115" s="532" t="str">
        <f>IF(OR(L97="-",L97= ""),H97,L97)</f>
        <v>Living Forest</v>
      </c>
      <c r="F115" s="532"/>
      <c r="G115" s="532"/>
      <c r="H115" s="532"/>
      <c r="I115" s="532"/>
      <c r="J115" s="532"/>
      <c r="K115" s="532"/>
      <c r="L115" s="532"/>
      <c r="M115" s="532"/>
      <c r="N115" s="532"/>
      <c r="O115" s="196"/>
      <c r="P115" s="196"/>
      <c r="Q115" s="196"/>
      <c r="R115" s="196"/>
      <c r="S115" s="196"/>
      <c r="T115" s="30"/>
      <c r="U115" s="14"/>
    </row>
    <row r="116" spans="2:21" ht="50.1" customHeight="1" thickBot="1" x14ac:dyDescent="0.3">
      <c r="B116" s="13"/>
      <c r="C116" s="30"/>
      <c r="D116" s="196"/>
      <c r="E116" s="509" t="s">
        <v>10</v>
      </c>
      <c r="F116" s="510" t="s">
        <v>52</v>
      </c>
      <c r="G116" s="511" t="s">
        <v>14</v>
      </c>
      <c r="H116" s="512" t="s">
        <v>51</v>
      </c>
      <c r="I116" s="513" t="s">
        <v>54</v>
      </c>
      <c r="J116" s="512" t="s">
        <v>53</v>
      </c>
      <c r="K116" s="514" t="s">
        <v>28</v>
      </c>
      <c r="L116" s="512" t="s">
        <v>37</v>
      </c>
      <c r="M116" s="515" t="s">
        <v>16</v>
      </c>
      <c r="N116" s="511" t="s">
        <v>15</v>
      </c>
      <c r="O116" s="5" t="s">
        <v>30</v>
      </c>
      <c r="P116" s="7" t="s">
        <v>34</v>
      </c>
      <c r="Q116" s="7" t="s">
        <v>31</v>
      </c>
      <c r="R116" s="196"/>
      <c r="S116" s="196"/>
      <c r="T116" s="30"/>
      <c r="U116" s="14"/>
    </row>
    <row r="117" spans="2:21" ht="20.100000000000001" customHeight="1" x14ac:dyDescent="0.25">
      <c r="B117" s="13"/>
      <c r="C117" s="30"/>
      <c r="D117" s="66"/>
      <c r="E117" s="327" t="s">
        <v>2</v>
      </c>
      <c r="F117" s="272" t="s">
        <v>8</v>
      </c>
      <c r="G117" s="157">
        <v>1</v>
      </c>
      <c r="H117" s="157" t="s">
        <v>13</v>
      </c>
      <c r="I117" s="157">
        <v>2</v>
      </c>
      <c r="J117" s="157">
        <v>12</v>
      </c>
      <c r="K117" s="157" t="s">
        <v>13</v>
      </c>
      <c r="L117" s="36">
        <f>J117/$J$120*100</f>
        <v>100</v>
      </c>
      <c r="M117" s="157">
        <v>1</v>
      </c>
      <c r="N117" s="99">
        <v>6</v>
      </c>
      <c r="O117" s="209">
        <f>IF(M117=1,1,0)</f>
        <v>1</v>
      </c>
      <c r="P117" s="209">
        <f>IF(M117=2,1,0)</f>
        <v>0</v>
      </c>
      <c r="Q117" s="8">
        <f>IF(M117=3,1,0)</f>
        <v>0</v>
      </c>
      <c r="R117" s="194"/>
      <c r="S117" s="194"/>
      <c r="T117" s="30"/>
      <c r="U117" s="13"/>
    </row>
    <row r="118" spans="2:21" s="408" customFormat="1" ht="45" x14ac:dyDescent="0.25">
      <c r="B118" s="409"/>
      <c r="C118" s="496"/>
      <c r="D118" s="496"/>
      <c r="E118" s="516" t="s">
        <v>88</v>
      </c>
      <c r="F118" s="293" t="s">
        <v>69</v>
      </c>
      <c r="G118" s="100">
        <v>2</v>
      </c>
      <c r="H118" s="100" t="s">
        <v>13</v>
      </c>
      <c r="I118" s="100">
        <v>2</v>
      </c>
      <c r="J118" s="100">
        <v>9</v>
      </c>
      <c r="K118" s="100" t="s">
        <v>568</v>
      </c>
      <c r="L118" s="276">
        <f>J118/$J$120*100</f>
        <v>75</v>
      </c>
      <c r="M118" s="100">
        <v>3</v>
      </c>
      <c r="N118" s="487">
        <v>0</v>
      </c>
      <c r="O118" s="224">
        <f>IF(M118=1,1,0)</f>
        <v>0</v>
      </c>
      <c r="P118" s="224">
        <f>IF(M118=2,1,0)</f>
        <v>0</v>
      </c>
      <c r="Q118" s="489">
        <f>IF(M118=3,1,0)</f>
        <v>1</v>
      </c>
      <c r="R118" s="497"/>
      <c r="S118" s="497"/>
      <c r="T118" s="496"/>
      <c r="U118" s="499"/>
    </row>
    <row r="119" spans="2:21" s="408" customFormat="1" ht="45.75" thickBot="1" x14ac:dyDescent="0.3">
      <c r="B119" s="409"/>
      <c r="C119" s="496"/>
      <c r="D119" s="496"/>
      <c r="E119" s="500" t="s">
        <v>4</v>
      </c>
      <c r="F119" s="332" t="s">
        <v>9</v>
      </c>
      <c r="G119" s="107">
        <v>3</v>
      </c>
      <c r="H119" s="107" t="s">
        <v>13</v>
      </c>
      <c r="I119" s="107">
        <v>2</v>
      </c>
      <c r="J119" s="107">
        <v>9</v>
      </c>
      <c r="K119" s="107" t="s">
        <v>567</v>
      </c>
      <c r="L119" s="501">
        <f>J119/$J$120*100</f>
        <v>75</v>
      </c>
      <c r="M119" s="107">
        <v>2</v>
      </c>
      <c r="N119" s="502">
        <v>3</v>
      </c>
      <c r="O119" s="226">
        <f>IF(M119=1,1,0)</f>
        <v>0</v>
      </c>
      <c r="P119" s="226">
        <f>IF(M119=2,1,0)</f>
        <v>1</v>
      </c>
      <c r="Q119" s="503">
        <f>IF(M119=3,1,0)</f>
        <v>0</v>
      </c>
      <c r="R119" s="497"/>
      <c r="S119" s="497"/>
      <c r="T119" s="496"/>
      <c r="U119" s="499"/>
    </row>
    <row r="120" spans="2:21" ht="20.100000000000001" hidden="1" customHeight="1" outlineLevel="1" thickBot="1" x14ac:dyDescent="0.3">
      <c r="B120" s="13"/>
      <c r="C120" s="30"/>
      <c r="D120" s="30"/>
      <c r="E120" s="30"/>
      <c r="F120" s="533"/>
      <c r="G120" s="533"/>
      <c r="H120" s="30"/>
      <c r="I120" s="64" t="s">
        <v>29</v>
      </c>
      <c r="J120" s="23">
        <f>MAX(J117:J119)</f>
        <v>12</v>
      </c>
      <c r="K120" s="76"/>
      <c r="L120" s="194"/>
      <c r="M120" s="30"/>
      <c r="N120" s="63" t="s">
        <v>33</v>
      </c>
      <c r="O120" s="20">
        <f>SUM(O117:O119)</f>
        <v>1</v>
      </c>
      <c r="P120" s="21">
        <f>SUM(P117:P119)</f>
        <v>1</v>
      </c>
      <c r="Q120" s="20">
        <f>SUM(Q117:Q119)</f>
        <v>1</v>
      </c>
      <c r="R120" s="22">
        <f>SUM(R117:R119)</f>
        <v>0</v>
      </c>
      <c r="S120" s="77"/>
      <c r="T120" s="30"/>
      <c r="U120" s="31"/>
    </row>
    <row r="121" spans="2:21" ht="20.100000000000001" customHeight="1" collapsed="1" x14ac:dyDescent="0.25">
      <c r="B121" s="13"/>
      <c r="C121" s="30"/>
      <c r="D121" s="30"/>
      <c r="E121" s="30"/>
      <c r="F121" s="30"/>
      <c r="G121" s="30"/>
      <c r="H121" s="30"/>
      <c r="I121" s="30"/>
      <c r="J121" s="30"/>
      <c r="K121" s="30"/>
      <c r="L121" s="30"/>
      <c r="M121" s="30"/>
      <c r="N121" s="30"/>
      <c r="O121" s="30"/>
      <c r="P121" s="30"/>
      <c r="Q121" s="30"/>
      <c r="R121" s="30"/>
      <c r="S121" s="30"/>
      <c r="T121" s="30"/>
      <c r="U121" s="31"/>
    </row>
    <row r="122" spans="2:21" ht="20.100000000000001" customHeight="1" x14ac:dyDescent="0.25">
      <c r="B122" s="13"/>
      <c r="D122" s="28"/>
      <c r="E122" s="28"/>
      <c r="F122" s="28"/>
      <c r="G122" s="28"/>
      <c r="H122" s="29"/>
      <c r="I122" s="28"/>
      <c r="J122" s="28"/>
      <c r="K122" s="28"/>
      <c r="U122" s="13"/>
    </row>
    <row r="123" spans="2:21" ht="30" customHeight="1" thickBot="1" x14ac:dyDescent="0.3">
      <c r="B123" s="13"/>
      <c r="C123" s="33"/>
      <c r="D123" s="536" t="s">
        <v>48</v>
      </c>
      <c r="E123" s="536"/>
      <c r="F123" s="536"/>
      <c r="G123" s="536"/>
      <c r="H123" s="536"/>
      <c r="I123" s="536"/>
      <c r="J123" s="536"/>
      <c r="K123" s="536"/>
      <c r="L123" s="536"/>
      <c r="M123" s="536"/>
      <c r="N123" s="536"/>
      <c r="O123" s="312"/>
      <c r="P123" s="312"/>
      <c r="Q123" s="312"/>
      <c r="R123" s="312"/>
      <c r="S123" s="312"/>
      <c r="T123" s="33"/>
      <c r="U123" s="13"/>
    </row>
    <row r="124" spans="2:21" ht="50.1" customHeight="1" thickBot="1" x14ac:dyDescent="0.3">
      <c r="B124" s="13"/>
      <c r="C124" s="33"/>
      <c r="D124" s="90" t="s">
        <v>10</v>
      </c>
      <c r="E124" s="93" t="s">
        <v>65</v>
      </c>
      <c r="F124" s="91" t="s">
        <v>15</v>
      </c>
      <c r="G124" s="42" t="s">
        <v>55</v>
      </c>
      <c r="H124" s="537" t="s">
        <v>56</v>
      </c>
      <c r="I124" s="538"/>
      <c r="J124" s="202" t="s">
        <v>66</v>
      </c>
      <c r="K124" s="92" t="s">
        <v>17</v>
      </c>
      <c r="L124" s="91" t="s">
        <v>18</v>
      </c>
      <c r="M124" s="92" t="s">
        <v>19</v>
      </c>
      <c r="N124" s="93" t="s">
        <v>38</v>
      </c>
      <c r="O124" s="313"/>
      <c r="P124" s="314"/>
      <c r="Q124" s="314"/>
      <c r="R124" s="314"/>
      <c r="S124" s="33"/>
      <c r="T124" s="33"/>
      <c r="U124" s="13"/>
    </row>
    <row r="125" spans="2:21" ht="20.100000000000001" customHeight="1" x14ac:dyDescent="0.25">
      <c r="B125" s="13"/>
      <c r="C125" s="33"/>
      <c r="D125" s="508" t="s">
        <v>2</v>
      </c>
      <c r="E125" s="482" t="s">
        <v>8</v>
      </c>
      <c r="F125" s="133">
        <f>K125*6+L125*3+M125*0</f>
        <v>12</v>
      </c>
      <c r="G125" s="262">
        <v>0</v>
      </c>
      <c r="H125" s="963" t="s">
        <v>13</v>
      </c>
      <c r="I125" s="964"/>
      <c r="J125" s="133">
        <f>F125+G125</f>
        <v>12</v>
      </c>
      <c r="K125" s="133">
        <v>2</v>
      </c>
      <c r="L125" s="133">
        <v>0</v>
      </c>
      <c r="M125" s="133">
        <v>1</v>
      </c>
      <c r="N125" s="134">
        <f>(L101+L109+L117)/3</f>
        <v>86.666666666666671</v>
      </c>
      <c r="O125" s="316"/>
      <c r="P125" s="317"/>
      <c r="Q125" s="317"/>
      <c r="R125" s="317"/>
      <c r="S125" s="33"/>
      <c r="T125" s="33"/>
      <c r="U125" s="13"/>
    </row>
    <row r="126" spans="2:21" ht="20.100000000000001" customHeight="1" x14ac:dyDescent="0.25">
      <c r="B126" s="13"/>
      <c r="C126" s="33"/>
      <c r="D126" s="526" t="s">
        <v>88</v>
      </c>
      <c r="E126" s="507" t="s">
        <v>69</v>
      </c>
      <c r="F126" s="52">
        <f>K126*6+L126*3+M126*0</f>
        <v>9</v>
      </c>
      <c r="G126" s="263">
        <v>0</v>
      </c>
      <c r="H126" s="529" t="s">
        <v>13</v>
      </c>
      <c r="I126" s="529"/>
      <c r="J126" s="52">
        <f>F126+G126</f>
        <v>9</v>
      </c>
      <c r="K126" s="52">
        <v>1</v>
      </c>
      <c r="L126" s="52">
        <v>1</v>
      </c>
      <c r="M126" s="52">
        <v>1</v>
      </c>
      <c r="N126" s="104">
        <f>(L102+L110+L118)/3</f>
        <v>91.666666666666671</v>
      </c>
      <c r="O126" s="316"/>
      <c r="P126" s="317"/>
      <c r="Q126" s="317"/>
      <c r="R126" s="317"/>
      <c r="S126" s="33"/>
      <c r="T126" s="33"/>
      <c r="U126" s="13"/>
    </row>
    <row r="127" spans="2:21" ht="20.100000000000001" customHeight="1" thickBot="1" x14ac:dyDescent="0.3">
      <c r="B127" s="13"/>
      <c r="C127" s="33"/>
      <c r="D127" s="527" t="s">
        <v>4</v>
      </c>
      <c r="E127" s="528" t="s">
        <v>9</v>
      </c>
      <c r="F127" s="109">
        <f>K127*6+L127*3+M127*0</f>
        <v>6</v>
      </c>
      <c r="G127" s="264">
        <v>0</v>
      </c>
      <c r="H127" s="530" t="s">
        <v>13</v>
      </c>
      <c r="I127" s="530"/>
      <c r="J127" s="109">
        <f>F127+G127</f>
        <v>6</v>
      </c>
      <c r="K127" s="109">
        <v>0</v>
      </c>
      <c r="L127" s="109">
        <v>2</v>
      </c>
      <c r="M127" s="109">
        <v>1</v>
      </c>
      <c r="N127" s="106">
        <f>(L103+L111+L119)/3</f>
        <v>77.428378833838892</v>
      </c>
      <c r="O127" s="316"/>
      <c r="P127" s="317"/>
      <c r="Q127" s="317"/>
      <c r="R127" s="317"/>
      <c r="S127" s="33"/>
      <c r="T127" s="33"/>
      <c r="U127" s="13"/>
    </row>
    <row r="128" spans="2:21" ht="20.100000000000001" customHeight="1" x14ac:dyDescent="0.25">
      <c r="B128" s="13"/>
      <c r="C128" s="33"/>
      <c r="D128" s="33"/>
      <c r="E128" s="33"/>
      <c r="F128" s="33"/>
      <c r="G128" s="33"/>
      <c r="H128" s="33"/>
      <c r="I128" s="33"/>
      <c r="J128" s="33"/>
      <c r="K128" s="33"/>
      <c r="L128" s="33"/>
      <c r="M128" s="33"/>
      <c r="N128" s="33"/>
      <c r="O128" s="33"/>
      <c r="P128" s="33"/>
      <c r="Q128" s="33"/>
      <c r="R128" s="33"/>
      <c r="S128" s="33"/>
      <c r="T128" s="33"/>
      <c r="U128" s="13"/>
    </row>
    <row r="129" spans="2:21" ht="20.100000000000001" customHeight="1" x14ac:dyDescent="0.25">
      <c r="B129" s="13"/>
      <c r="C129" s="13"/>
      <c r="D129" s="15"/>
      <c r="E129" s="15"/>
      <c r="F129" s="14"/>
      <c r="G129" s="14"/>
      <c r="H129" s="15"/>
      <c r="I129" s="15"/>
      <c r="J129" s="15"/>
      <c r="K129" s="13"/>
      <c r="L129" s="13"/>
      <c r="M129" s="13"/>
      <c r="N129" s="13"/>
      <c r="O129" s="13"/>
      <c r="P129" s="13"/>
      <c r="Q129" s="13"/>
      <c r="R129" s="13"/>
      <c r="S129" s="13"/>
      <c r="T129" s="13"/>
      <c r="U129" s="13"/>
    </row>
    <row r="130" spans="2:21" ht="20.100000000000001" customHeight="1" x14ac:dyDescent="0.25"/>
  </sheetData>
  <mergeCells count="122">
    <mergeCell ref="D123:N123"/>
    <mergeCell ref="H124:I124"/>
    <mergeCell ref="H125:I125"/>
    <mergeCell ref="H126:I126"/>
    <mergeCell ref="H127:I127"/>
    <mergeCell ref="N96:S96"/>
    <mergeCell ref="C88:T88"/>
    <mergeCell ref="D90:D91"/>
    <mergeCell ref="E90:E91"/>
    <mergeCell ref="F90:F91"/>
    <mergeCell ref="G90:J90"/>
    <mergeCell ref="L90:S90"/>
    <mergeCell ref="N97:S97"/>
    <mergeCell ref="E99:N99"/>
    <mergeCell ref="I97:J97"/>
    <mergeCell ref="I96:J96"/>
    <mergeCell ref="F112:G112"/>
    <mergeCell ref="E115:N115"/>
    <mergeCell ref="F104:G104"/>
    <mergeCell ref="E107:N107"/>
    <mergeCell ref="F120:G120"/>
    <mergeCell ref="B10:C10"/>
    <mergeCell ref="L10:L12"/>
    <mergeCell ref="B11:C11"/>
    <mergeCell ref="B12:C12"/>
    <mergeCell ref="A1:N2"/>
    <mergeCell ref="B4:I4"/>
    <mergeCell ref="K4:M4"/>
    <mergeCell ref="B5:C5"/>
    <mergeCell ref="B6:C6"/>
    <mergeCell ref="L6:L9"/>
    <mergeCell ref="B7:C7"/>
    <mergeCell ref="B8:C8"/>
    <mergeCell ref="B9:C9"/>
    <mergeCell ref="K13:L13"/>
    <mergeCell ref="B14:H14"/>
    <mergeCell ref="B15:C15"/>
    <mergeCell ref="B16:C16"/>
    <mergeCell ref="C21:T21"/>
    <mergeCell ref="D23:D24"/>
    <mergeCell ref="E23:E24"/>
    <mergeCell ref="F23:F24"/>
    <mergeCell ref="G23:J23"/>
    <mergeCell ref="L23:S23"/>
    <mergeCell ref="B17:C17"/>
    <mergeCell ref="I24:J24"/>
    <mergeCell ref="N24:S24"/>
    <mergeCell ref="B18:C18"/>
    <mergeCell ref="K36:K39"/>
    <mergeCell ref="L36:L39"/>
    <mergeCell ref="M36:M39"/>
    <mergeCell ref="I25:J25"/>
    <mergeCell ref="I31:J31"/>
    <mergeCell ref="N31:S31"/>
    <mergeCell ref="I27:J27"/>
    <mergeCell ref="I28:J28"/>
    <mergeCell ref="I29:J29"/>
    <mergeCell ref="I30:J30"/>
    <mergeCell ref="K32:K35"/>
    <mergeCell ref="L32:L35"/>
    <mergeCell ref="M32:M35"/>
    <mergeCell ref="N32:S35"/>
    <mergeCell ref="I34:J34"/>
    <mergeCell ref="I35:J35"/>
    <mergeCell ref="I33:J33"/>
    <mergeCell ref="K25:K30"/>
    <mergeCell ref="L25:L30"/>
    <mergeCell ref="M25:M30"/>
    <mergeCell ref="N25:S30"/>
    <mergeCell ref="I39:J39"/>
    <mergeCell ref="D36:D39"/>
    <mergeCell ref="E36:E39"/>
    <mergeCell ref="F36:F39"/>
    <mergeCell ref="G36:G39"/>
    <mergeCell ref="H36:H39"/>
    <mergeCell ref="I36:J36"/>
    <mergeCell ref="D32:D35"/>
    <mergeCell ref="E32:E35"/>
    <mergeCell ref="F32:F35"/>
    <mergeCell ref="G32:G35"/>
    <mergeCell ref="H32:H35"/>
    <mergeCell ref="I32:J32"/>
    <mergeCell ref="H83:I83"/>
    <mergeCell ref="I91:J91"/>
    <mergeCell ref="N91:S91"/>
    <mergeCell ref="D92:D95"/>
    <mergeCell ref="E92:E95"/>
    <mergeCell ref="F92:F95"/>
    <mergeCell ref="G92:G95"/>
    <mergeCell ref="H92:H95"/>
    <mergeCell ref="I92:J92"/>
    <mergeCell ref="K92:K95"/>
    <mergeCell ref="L92:L95"/>
    <mergeCell ref="M92:M95"/>
    <mergeCell ref="N92:S95"/>
    <mergeCell ref="I93:J93"/>
    <mergeCell ref="I94:J94"/>
    <mergeCell ref="I95:J95"/>
    <mergeCell ref="D25:D30"/>
    <mergeCell ref="E25:E30"/>
    <mergeCell ref="F25:F30"/>
    <mergeCell ref="G25:G30"/>
    <mergeCell ref="H25:H30"/>
    <mergeCell ref="I26:J26"/>
    <mergeCell ref="H80:I80"/>
    <mergeCell ref="H81:I81"/>
    <mergeCell ref="H82:I82"/>
    <mergeCell ref="F65:G65"/>
    <mergeCell ref="E68:N68"/>
    <mergeCell ref="F74:G74"/>
    <mergeCell ref="D77:S77"/>
    <mergeCell ref="H78:I78"/>
    <mergeCell ref="H79:I79"/>
    <mergeCell ref="E41:N41"/>
    <mergeCell ref="F47:G47"/>
    <mergeCell ref="F48:G48"/>
    <mergeCell ref="E50:N50"/>
    <mergeCell ref="F56:G56"/>
    <mergeCell ref="E59:N59"/>
    <mergeCell ref="N36:S39"/>
    <mergeCell ref="I37:J37"/>
    <mergeCell ref="I38:J38"/>
  </mergeCells>
  <conditionalFormatting sqref="B6:C12">
    <cfRule type="expression" dxfId="215" priority="289">
      <formula>$I6="Nein"</formula>
    </cfRule>
    <cfRule type="expression" dxfId="214" priority="290">
      <formula>$I6="Ja"</formula>
    </cfRule>
  </conditionalFormatting>
  <conditionalFormatting sqref="D83:E83">
    <cfRule type="expression" dxfId="213" priority="287">
      <formula>$I83="Nein"</formula>
    </cfRule>
    <cfRule type="expression" dxfId="212" priority="288">
      <formula>$I83="Ja"</formula>
    </cfRule>
  </conditionalFormatting>
  <conditionalFormatting sqref="D13:I13">
    <cfRule type="expression" dxfId="211" priority="263">
      <formula>$I13="Nein"</formula>
    </cfRule>
    <cfRule type="expression" dxfId="210" priority="264">
      <formula>$I13="Ja"</formula>
    </cfRule>
  </conditionalFormatting>
  <conditionalFormatting sqref="D10:I10">
    <cfRule type="expression" dxfId="209" priority="257">
      <formula>$I10="Nein"</formula>
    </cfRule>
    <cfRule type="expression" dxfId="208" priority="258">
      <formula>$I10="Ja"</formula>
    </cfRule>
  </conditionalFormatting>
  <conditionalFormatting sqref="D7:I7">
    <cfRule type="expression" dxfId="207" priority="127">
      <formula>$I7="Nein"</formula>
    </cfRule>
    <cfRule type="expression" dxfId="206" priority="128">
      <formula>$I7="Ja"</formula>
    </cfRule>
  </conditionalFormatting>
  <conditionalFormatting sqref="D6:I6">
    <cfRule type="expression" dxfId="205" priority="125">
      <formula>$I6="Nein"</formula>
    </cfRule>
    <cfRule type="expression" dxfId="204" priority="126">
      <formula>$I6="Ja"</formula>
    </cfRule>
  </conditionalFormatting>
  <conditionalFormatting sqref="D6:I6">
    <cfRule type="expression" dxfId="203" priority="123">
      <formula>$I6="Nein"</formula>
    </cfRule>
    <cfRule type="expression" dxfId="202" priority="124">
      <formula>$I6="Ja"</formula>
    </cfRule>
  </conditionalFormatting>
  <conditionalFormatting sqref="D8:I8">
    <cfRule type="expression" dxfId="201" priority="121">
      <formula>$I8="Nein"</formula>
    </cfRule>
    <cfRule type="expression" dxfId="200" priority="122">
      <formula>$I8="Ja"</formula>
    </cfRule>
  </conditionalFormatting>
  <conditionalFormatting sqref="I9">
    <cfRule type="expression" dxfId="199" priority="119">
      <formula>$I9="Nein"</formula>
    </cfRule>
    <cfRule type="expression" dxfId="198" priority="120">
      <formula>$I9="Ja"</formula>
    </cfRule>
  </conditionalFormatting>
  <conditionalFormatting sqref="D9:H9">
    <cfRule type="expression" dxfId="197" priority="117">
      <formula>$I9="Nein"</formula>
    </cfRule>
    <cfRule type="expression" dxfId="196" priority="118">
      <formula>$I9="Ja"</formula>
    </cfRule>
  </conditionalFormatting>
  <conditionalFormatting sqref="I11">
    <cfRule type="expression" dxfId="195" priority="115">
      <formula>$I11="Nein"</formula>
    </cfRule>
    <cfRule type="expression" dxfId="194" priority="116">
      <formula>$I11="Ja"</formula>
    </cfRule>
  </conditionalFormatting>
  <conditionalFormatting sqref="D11:H11">
    <cfRule type="expression" dxfId="193" priority="113">
      <formula>$I11="Nein"</formula>
    </cfRule>
    <cfRule type="expression" dxfId="192" priority="114">
      <formula>$I11="Ja"</formula>
    </cfRule>
  </conditionalFormatting>
  <conditionalFormatting sqref="I12">
    <cfRule type="expression" dxfId="191" priority="111">
      <formula>$I12="Nein"</formula>
    </cfRule>
    <cfRule type="expression" dxfId="190" priority="112">
      <formula>$I12="Ja"</formula>
    </cfRule>
  </conditionalFormatting>
  <conditionalFormatting sqref="D12:H12">
    <cfRule type="expression" dxfId="189" priority="109">
      <formula>$I12="Nein"</formula>
    </cfRule>
    <cfRule type="expression" dxfId="188" priority="110">
      <formula>$I12="Ja"</formula>
    </cfRule>
  </conditionalFormatting>
  <conditionalFormatting sqref="D16:H16">
    <cfRule type="expression" dxfId="187" priority="107">
      <formula>$I16="Nein"</formula>
    </cfRule>
    <cfRule type="expression" dxfId="186" priority="108">
      <formula>$I16="Ja"</formula>
    </cfRule>
  </conditionalFormatting>
  <conditionalFormatting sqref="E44:F44">
    <cfRule type="expression" dxfId="185" priority="105">
      <formula>$I44="Nein"</formula>
    </cfRule>
    <cfRule type="expression" dxfId="184" priority="106">
      <formula>$I44="Ja"</formula>
    </cfRule>
  </conditionalFormatting>
  <conditionalFormatting sqref="E43:F43">
    <cfRule type="expression" dxfId="183" priority="103">
      <formula>$I43="Nein"</formula>
    </cfRule>
    <cfRule type="expression" dxfId="182" priority="104">
      <formula>$I43="Ja"</formula>
    </cfRule>
  </conditionalFormatting>
  <conditionalFormatting sqref="E43:F43">
    <cfRule type="expression" dxfId="181" priority="101">
      <formula>$I43="Nein"</formula>
    </cfRule>
    <cfRule type="expression" dxfId="180" priority="102">
      <formula>$I43="Ja"</formula>
    </cfRule>
  </conditionalFormatting>
  <conditionalFormatting sqref="E45:F45">
    <cfRule type="expression" dxfId="179" priority="99">
      <formula>$I45="Nein"</formula>
    </cfRule>
    <cfRule type="expression" dxfId="178" priority="100">
      <formula>$I45="Ja"</formula>
    </cfRule>
  </conditionalFormatting>
  <conditionalFormatting sqref="E46:F46">
    <cfRule type="expression" dxfId="177" priority="97">
      <formula>$I46="Nein"</formula>
    </cfRule>
    <cfRule type="expression" dxfId="176" priority="98">
      <formula>$I46="Ja"</formula>
    </cfRule>
  </conditionalFormatting>
  <conditionalFormatting sqref="E53:F53">
    <cfRule type="expression" dxfId="175" priority="95">
      <formula>$I53="Nein"</formula>
    </cfRule>
    <cfRule type="expression" dxfId="174" priority="96">
      <formula>$I53="Ja"</formula>
    </cfRule>
  </conditionalFormatting>
  <conditionalFormatting sqref="E52:F52">
    <cfRule type="expression" dxfId="173" priority="93">
      <formula>$I52="Nein"</formula>
    </cfRule>
    <cfRule type="expression" dxfId="172" priority="94">
      <formula>$I52="Ja"</formula>
    </cfRule>
  </conditionalFormatting>
  <conditionalFormatting sqref="E52:F52">
    <cfRule type="expression" dxfId="171" priority="91">
      <formula>$I52="Nein"</formula>
    </cfRule>
    <cfRule type="expression" dxfId="170" priority="92">
      <formula>$I52="Ja"</formula>
    </cfRule>
  </conditionalFormatting>
  <conditionalFormatting sqref="E54:F54">
    <cfRule type="expression" dxfId="169" priority="89">
      <formula>$I54="Nein"</formula>
    </cfRule>
    <cfRule type="expression" dxfId="168" priority="90">
      <formula>$I54="Ja"</formula>
    </cfRule>
  </conditionalFormatting>
  <conditionalFormatting sqref="E55:F55">
    <cfRule type="expression" dxfId="167" priority="87">
      <formula>$I55="Nein"</formula>
    </cfRule>
    <cfRule type="expression" dxfId="166" priority="88">
      <formula>$I55="Ja"</formula>
    </cfRule>
  </conditionalFormatting>
  <conditionalFormatting sqref="E62:F62">
    <cfRule type="expression" dxfId="165" priority="85">
      <formula>$I62="Nein"</formula>
    </cfRule>
    <cfRule type="expression" dxfId="164" priority="86">
      <formula>$I62="Ja"</formula>
    </cfRule>
  </conditionalFormatting>
  <conditionalFormatting sqref="E61:F61">
    <cfRule type="expression" dxfId="163" priority="83">
      <formula>$I61="Nein"</formula>
    </cfRule>
    <cfRule type="expression" dxfId="162" priority="84">
      <formula>$I61="Ja"</formula>
    </cfRule>
  </conditionalFormatting>
  <conditionalFormatting sqref="E61:F61">
    <cfRule type="expression" dxfId="161" priority="81">
      <formula>$I61="Nein"</formula>
    </cfRule>
    <cfRule type="expression" dxfId="160" priority="82">
      <formula>$I61="Ja"</formula>
    </cfRule>
  </conditionalFormatting>
  <conditionalFormatting sqref="E63:F63">
    <cfRule type="expression" dxfId="159" priority="79">
      <formula>$I63="Nein"</formula>
    </cfRule>
    <cfRule type="expression" dxfId="158" priority="80">
      <formula>$I63="Ja"</formula>
    </cfRule>
  </conditionalFormatting>
  <conditionalFormatting sqref="E64:F64">
    <cfRule type="expression" dxfId="157" priority="77">
      <formula>$I64="Nein"</formula>
    </cfRule>
    <cfRule type="expression" dxfId="156" priority="78">
      <formula>$I64="Ja"</formula>
    </cfRule>
  </conditionalFormatting>
  <conditionalFormatting sqref="E71:F71">
    <cfRule type="expression" dxfId="155" priority="75">
      <formula>$I71="Nein"</formula>
    </cfRule>
    <cfRule type="expression" dxfId="154" priority="76">
      <formula>$I71="Ja"</formula>
    </cfRule>
  </conditionalFormatting>
  <conditionalFormatting sqref="E70:F70">
    <cfRule type="expression" dxfId="153" priority="73">
      <formula>$I70="Nein"</formula>
    </cfRule>
    <cfRule type="expression" dxfId="152" priority="74">
      <formula>$I70="Ja"</formula>
    </cfRule>
  </conditionalFormatting>
  <conditionalFormatting sqref="E70:F70">
    <cfRule type="expression" dxfId="151" priority="71">
      <formula>$I70="Nein"</formula>
    </cfRule>
    <cfRule type="expression" dxfId="150" priority="72">
      <formula>$I70="Ja"</formula>
    </cfRule>
  </conditionalFormatting>
  <conditionalFormatting sqref="E72:F72">
    <cfRule type="expression" dxfId="149" priority="69">
      <formula>$I72="Nein"</formula>
    </cfRule>
    <cfRule type="expression" dxfId="148" priority="70">
      <formula>$I72="Ja"</formula>
    </cfRule>
  </conditionalFormatting>
  <conditionalFormatting sqref="E73:F73">
    <cfRule type="expression" dxfId="147" priority="67">
      <formula>$I73="Nein"</formula>
    </cfRule>
    <cfRule type="expression" dxfId="146" priority="68">
      <formula>$I73="Ja"</formula>
    </cfRule>
  </conditionalFormatting>
  <conditionalFormatting sqref="D81:E81">
    <cfRule type="expression" dxfId="145" priority="59">
      <formula>$I81="Nein"</formula>
    </cfRule>
    <cfRule type="expression" dxfId="144" priority="60">
      <formula>$I81="Ja"</formula>
    </cfRule>
  </conditionalFormatting>
  <conditionalFormatting sqref="D81:E81">
    <cfRule type="expression" dxfId="143" priority="57">
      <formula>$I81="Nein"</formula>
    </cfRule>
    <cfRule type="expression" dxfId="142" priority="58">
      <formula>$I81="Ja"</formula>
    </cfRule>
  </conditionalFormatting>
  <conditionalFormatting sqref="D82:E82">
    <cfRule type="expression" dxfId="141" priority="55">
      <formula>$I82="Nein"</formula>
    </cfRule>
    <cfRule type="expression" dxfId="140" priority="56">
      <formula>$I82="Ja"</formula>
    </cfRule>
  </conditionalFormatting>
  <conditionalFormatting sqref="D79:E79">
    <cfRule type="expression" dxfId="139" priority="53">
      <formula>$I79="Nein"</formula>
    </cfRule>
    <cfRule type="expression" dxfId="138" priority="54">
      <formula>$I79="Ja"</formula>
    </cfRule>
  </conditionalFormatting>
  <conditionalFormatting sqref="D80:E80">
    <cfRule type="expression" dxfId="137" priority="51">
      <formula>$I80="Nein"</formula>
    </cfRule>
    <cfRule type="expression" dxfId="136" priority="52">
      <formula>$I80="Ja"</formula>
    </cfRule>
  </conditionalFormatting>
  <conditionalFormatting sqref="D17:H17">
    <cfRule type="expression" dxfId="135" priority="49">
      <formula>$I17="Nein"</formula>
    </cfRule>
    <cfRule type="expression" dxfId="134" priority="50">
      <formula>$I17="Ja"</formula>
    </cfRule>
  </conditionalFormatting>
  <conditionalFormatting sqref="D96:E97">
    <cfRule type="expression" dxfId="133" priority="47">
      <formula>$J96="Ja"</formula>
    </cfRule>
    <cfRule type="expression" dxfId="132" priority="48">
      <formula>$J96="Nein"</formula>
    </cfRule>
  </conditionalFormatting>
  <conditionalFormatting sqref="D92:E92">
    <cfRule type="expression" dxfId="131" priority="45">
      <formula>$J92="Ja"</formula>
    </cfRule>
    <cfRule type="expression" dxfId="130" priority="46">
      <formula>$J92="Nein"</formula>
    </cfRule>
  </conditionalFormatting>
  <conditionalFormatting sqref="E101:F101">
    <cfRule type="expression" dxfId="129" priority="25">
      <formula>$I101="Nein"</formula>
    </cfRule>
    <cfRule type="expression" dxfId="128" priority="26">
      <formula>$I101="Ja"</formula>
    </cfRule>
  </conditionalFormatting>
  <conditionalFormatting sqref="E102:F102">
    <cfRule type="expression" dxfId="127" priority="23">
      <formula>$I102="Nein"</formula>
    </cfRule>
    <cfRule type="expression" dxfId="126" priority="24">
      <formula>$I102="Ja"</formula>
    </cfRule>
  </conditionalFormatting>
  <conditionalFormatting sqref="E103:F103">
    <cfRule type="expression" dxfId="125" priority="21">
      <formula>$I103="Nein"</formula>
    </cfRule>
    <cfRule type="expression" dxfId="124" priority="22">
      <formula>$I103="Ja"</formula>
    </cfRule>
  </conditionalFormatting>
  <conditionalFormatting sqref="E109:F109">
    <cfRule type="expression" dxfId="123" priority="19">
      <formula>$I109="Nein"</formula>
    </cfRule>
    <cfRule type="expression" dxfId="122" priority="20">
      <formula>$I109="Ja"</formula>
    </cfRule>
  </conditionalFormatting>
  <conditionalFormatting sqref="E110:F110">
    <cfRule type="expression" dxfId="121" priority="17">
      <formula>$I110="Nein"</formula>
    </cfRule>
    <cfRule type="expression" dxfId="120" priority="18">
      <formula>$I110="Ja"</formula>
    </cfRule>
  </conditionalFormatting>
  <conditionalFormatting sqref="E111:F111">
    <cfRule type="expression" dxfId="119" priority="15">
      <formula>$I111="Nein"</formula>
    </cfRule>
    <cfRule type="expression" dxfId="118" priority="16">
      <formula>$I111="Ja"</formula>
    </cfRule>
  </conditionalFormatting>
  <conditionalFormatting sqref="E117:F117">
    <cfRule type="expression" dxfId="117" priority="13">
      <formula>$I117="Nein"</formula>
    </cfRule>
    <cfRule type="expression" dxfId="116" priority="14">
      <formula>$I117="Ja"</formula>
    </cfRule>
  </conditionalFormatting>
  <conditionalFormatting sqref="E118:F118">
    <cfRule type="expression" dxfId="115" priority="11">
      <formula>$I118="Nein"</formula>
    </cfRule>
    <cfRule type="expression" dxfId="114" priority="12">
      <formula>$I118="Ja"</formula>
    </cfRule>
  </conditionalFormatting>
  <conditionalFormatting sqref="E119:F119">
    <cfRule type="expression" dxfId="113" priority="9">
      <formula>$I119="Nein"</formula>
    </cfRule>
    <cfRule type="expression" dxfId="112" priority="10">
      <formula>$I119="Ja"</formula>
    </cfRule>
  </conditionalFormatting>
  <conditionalFormatting sqref="D125:E125">
    <cfRule type="expression" dxfId="111" priority="7">
      <formula>$I125="Nein"</formula>
    </cfRule>
    <cfRule type="expression" dxfId="110" priority="8">
      <formula>$I125="Ja"</formula>
    </cfRule>
  </conditionalFormatting>
  <conditionalFormatting sqref="D126:E126">
    <cfRule type="expression" dxfId="109" priority="5">
      <formula>$I126="Nein"</formula>
    </cfRule>
    <cfRule type="expression" dxfId="108" priority="6">
      <formula>$I126="Ja"</formula>
    </cfRule>
  </conditionalFormatting>
  <conditionalFormatting sqref="D127:E127">
    <cfRule type="expression" dxfId="107" priority="3">
      <formula>$I127="Nein"</formula>
    </cfRule>
    <cfRule type="expression" dxfId="106" priority="4">
      <formula>$I127="Ja"</formula>
    </cfRule>
  </conditionalFormatting>
  <conditionalFormatting sqref="D18:H18">
    <cfRule type="expression" dxfId="1" priority="1">
      <formula>$I18="Nein"</formula>
    </cfRule>
    <cfRule type="expression" dxfId="0" priority="2">
      <formula>$I18="Ja"</formula>
    </cfRule>
  </conditionalFormatting>
  <dataValidations disablePrompts="1" count="1">
    <dataValidation type="list" allowBlank="1" showInputMessage="1" showErrorMessage="1" sqref="O16:O18 I6:I13" xr:uid="{F16F641F-63CD-4D8E-8EF6-B7B16148C6C3}">
      <formula1>"Ja,Nein"</formula1>
    </dataValidation>
  </dataValidations>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21AD1-F4DB-4F66-A72C-D64B3AB43745}">
  <dimension ref="A1:AB43"/>
  <sheetViews>
    <sheetView showGridLines="0" zoomScale="80" zoomScaleNormal="80" workbookViewId="0">
      <selection activeCell="I24" sqref="I24"/>
    </sheetView>
  </sheetViews>
  <sheetFormatPr baseColWidth="10" defaultRowHeight="20.100000000000001" customHeight="1" x14ac:dyDescent="0.25"/>
  <cols>
    <col min="1" max="1" width="6.7109375" customWidth="1"/>
    <col min="2" max="2" width="7.5703125" style="159" customWidth="1"/>
    <col min="3" max="3" width="21.42578125" customWidth="1"/>
    <col min="4" max="6" width="17.7109375" customWidth="1"/>
    <col min="7" max="7" width="18.5703125" customWidth="1"/>
    <col min="8" max="8" width="13.7109375" customWidth="1"/>
    <col min="9" max="9" width="14.42578125" customWidth="1"/>
    <col min="10" max="10" width="17.28515625" customWidth="1"/>
    <col min="11" max="23" width="13.7109375" customWidth="1"/>
  </cols>
  <sheetData>
    <row r="1" spans="1:28" ht="20.100000000000001" customHeight="1" x14ac:dyDescent="0.25">
      <c r="A1" s="966" t="s">
        <v>138</v>
      </c>
      <c r="B1" s="966"/>
      <c r="C1" s="966"/>
      <c r="D1" s="966"/>
      <c r="E1" s="966"/>
      <c r="F1" s="966"/>
      <c r="G1" s="966"/>
      <c r="H1" s="966"/>
      <c r="I1" s="966"/>
      <c r="J1" s="966"/>
      <c r="K1" s="966"/>
      <c r="L1" s="966"/>
      <c r="M1" s="966"/>
      <c r="N1" s="966"/>
      <c r="O1" s="966"/>
      <c r="P1" s="966"/>
      <c r="Q1" s="966"/>
      <c r="R1" s="966"/>
      <c r="S1" s="966"/>
      <c r="T1" s="966"/>
      <c r="U1" s="966"/>
      <c r="V1" s="966"/>
      <c r="W1" s="966"/>
      <c r="X1" s="966"/>
      <c r="Y1" s="169"/>
      <c r="Z1" s="169"/>
      <c r="AA1" s="169"/>
      <c r="AB1" s="169"/>
    </row>
    <row r="2" spans="1:28" ht="20.100000000000001" customHeight="1" x14ac:dyDescent="0.25">
      <c r="A2" s="966"/>
      <c r="B2" s="966"/>
      <c r="C2" s="966"/>
      <c r="D2" s="966"/>
      <c r="E2" s="966"/>
      <c r="F2" s="966"/>
      <c r="G2" s="966"/>
      <c r="H2" s="966"/>
      <c r="I2" s="966"/>
      <c r="J2" s="966"/>
      <c r="K2" s="966"/>
      <c r="L2" s="966"/>
      <c r="M2" s="966"/>
      <c r="N2" s="966"/>
      <c r="O2" s="966"/>
      <c r="P2" s="966"/>
      <c r="Q2" s="966"/>
      <c r="R2" s="966"/>
      <c r="S2" s="966"/>
      <c r="T2" s="966"/>
      <c r="U2" s="966"/>
      <c r="V2" s="966"/>
      <c r="W2" s="966"/>
      <c r="X2" s="966"/>
      <c r="Y2" s="169"/>
      <c r="Z2" s="169"/>
      <c r="AA2" s="169"/>
      <c r="AB2" s="169"/>
    </row>
    <row r="3" spans="1:28" s="168" customFormat="1" ht="35.1" customHeight="1" x14ac:dyDescent="0.25">
      <c r="A3" s="967" t="s">
        <v>574</v>
      </c>
      <c r="B3" s="967"/>
      <c r="C3" s="967"/>
      <c r="D3" s="967"/>
      <c r="E3" s="967"/>
      <c r="F3" s="967"/>
      <c r="G3" s="967"/>
      <c r="H3" s="967"/>
      <c r="I3" s="967"/>
      <c r="J3" s="967"/>
      <c r="K3" s="967"/>
      <c r="L3" s="967"/>
      <c r="M3" s="967"/>
      <c r="N3" s="967"/>
      <c r="O3" s="967"/>
      <c r="P3" s="967"/>
      <c r="Q3" s="967"/>
      <c r="R3" s="967"/>
      <c r="S3" s="967"/>
      <c r="T3" s="967"/>
      <c r="U3" s="967"/>
      <c r="V3" s="967"/>
      <c r="W3" s="967"/>
      <c r="X3" s="967"/>
      <c r="Y3" s="171"/>
      <c r="Z3" s="171"/>
      <c r="AA3" s="171"/>
      <c r="AB3" s="171"/>
    </row>
    <row r="4" spans="1:28" ht="20.100000000000001" customHeight="1" thickBot="1" x14ac:dyDescent="0.3">
      <c r="A4" s="169"/>
      <c r="B4" s="170"/>
      <c r="C4" s="169"/>
      <c r="D4" s="169"/>
      <c r="E4" s="169"/>
      <c r="F4" s="169"/>
      <c r="G4" s="169"/>
      <c r="H4" s="169"/>
      <c r="I4" s="169"/>
      <c r="J4" s="169"/>
      <c r="K4" s="169"/>
      <c r="L4" s="169"/>
      <c r="M4" s="169"/>
      <c r="N4" s="169"/>
      <c r="O4" s="169"/>
      <c r="P4" s="169"/>
      <c r="Q4" s="169"/>
      <c r="R4" s="169"/>
      <c r="S4" s="169"/>
      <c r="T4" s="169"/>
      <c r="U4" s="169"/>
      <c r="V4" s="169"/>
      <c r="W4" s="169"/>
      <c r="X4" s="169"/>
      <c r="Y4" s="169"/>
      <c r="Z4" s="169"/>
      <c r="AA4" s="169"/>
      <c r="AB4" s="169"/>
    </row>
    <row r="5" spans="1:28" s="4" customFormat="1" ht="35.1" customHeight="1" thickBot="1" x14ac:dyDescent="0.3">
      <c r="A5" s="172"/>
      <c r="B5" s="5" t="s">
        <v>75</v>
      </c>
      <c r="C5" s="188" t="s">
        <v>21</v>
      </c>
      <c r="D5" s="240" t="s">
        <v>100</v>
      </c>
      <c r="E5" s="240" t="s">
        <v>101</v>
      </c>
      <c r="F5" s="240" t="s">
        <v>99</v>
      </c>
      <c r="G5" s="290" t="s">
        <v>97</v>
      </c>
      <c r="H5" s="185" t="s">
        <v>78</v>
      </c>
      <c r="I5" s="186" t="s">
        <v>77</v>
      </c>
      <c r="J5" s="186" t="s">
        <v>79</v>
      </c>
      <c r="K5" s="187" t="s">
        <v>80</v>
      </c>
      <c r="L5" s="188" t="s">
        <v>89</v>
      </c>
      <c r="M5" s="186" t="s">
        <v>81</v>
      </c>
      <c r="N5" s="186" t="s">
        <v>82</v>
      </c>
      <c r="O5" s="187" t="s">
        <v>83</v>
      </c>
      <c r="P5" s="188" t="s">
        <v>84</v>
      </c>
      <c r="Q5" s="186" t="s">
        <v>85</v>
      </c>
      <c r="R5" s="186" t="s">
        <v>86</v>
      </c>
      <c r="S5" s="187" t="s">
        <v>87</v>
      </c>
      <c r="T5" s="188" t="s">
        <v>106</v>
      </c>
      <c r="U5" s="186" t="s">
        <v>107</v>
      </c>
      <c r="V5" s="186" t="s">
        <v>108</v>
      </c>
      <c r="W5" s="187" t="s">
        <v>109</v>
      </c>
      <c r="X5" s="172"/>
      <c r="Y5" s="172"/>
      <c r="Z5" s="172"/>
      <c r="AA5" s="172"/>
      <c r="AB5" s="172"/>
    </row>
    <row r="6" spans="1:28" s="6" customFormat="1" ht="35.1" customHeight="1" x14ac:dyDescent="0.25">
      <c r="A6" s="173"/>
      <c r="B6" s="442">
        <v>1</v>
      </c>
      <c r="C6" s="447" t="s">
        <v>127</v>
      </c>
      <c r="D6" s="189" t="s">
        <v>60</v>
      </c>
      <c r="E6" s="189" t="s">
        <v>7</v>
      </c>
      <c r="F6" s="189" t="s">
        <v>7</v>
      </c>
      <c r="G6" s="379" t="s">
        <v>7</v>
      </c>
      <c r="H6" s="222" t="s">
        <v>487</v>
      </c>
      <c r="I6" s="191" t="s">
        <v>576</v>
      </c>
      <c r="J6" s="191" t="s">
        <v>516</v>
      </c>
      <c r="K6" s="382" t="s">
        <v>13</v>
      </c>
      <c r="L6" s="222" t="s">
        <v>13</v>
      </c>
      <c r="M6" s="191" t="s">
        <v>13</v>
      </c>
      <c r="N6" s="191" t="s">
        <v>13</v>
      </c>
      <c r="O6" s="379" t="s">
        <v>13</v>
      </c>
      <c r="P6" s="225" t="s">
        <v>13</v>
      </c>
      <c r="Q6" s="189" t="s">
        <v>13</v>
      </c>
      <c r="R6" s="189" t="s">
        <v>13</v>
      </c>
      <c r="S6" s="379" t="s">
        <v>13</v>
      </c>
      <c r="T6" s="225" t="s">
        <v>13</v>
      </c>
      <c r="U6" s="189" t="s">
        <v>13</v>
      </c>
      <c r="V6" s="189" t="s">
        <v>13</v>
      </c>
      <c r="W6" s="190" t="s">
        <v>13</v>
      </c>
      <c r="X6" s="173"/>
      <c r="Y6" s="173"/>
      <c r="Z6" s="173"/>
      <c r="AA6" s="173"/>
      <c r="AB6" s="173"/>
    </row>
    <row r="7" spans="1:28" s="6" customFormat="1" ht="35.1" customHeight="1" x14ac:dyDescent="0.25">
      <c r="A7" s="173"/>
      <c r="B7" s="443">
        <v>2</v>
      </c>
      <c r="C7" s="448" t="s">
        <v>0</v>
      </c>
      <c r="D7" s="160" t="s">
        <v>5</v>
      </c>
      <c r="E7" s="160" t="s">
        <v>5</v>
      </c>
      <c r="F7" s="160" t="s">
        <v>5</v>
      </c>
      <c r="G7" s="381" t="s">
        <v>5</v>
      </c>
      <c r="H7" s="223" t="s">
        <v>514</v>
      </c>
      <c r="I7" s="161" t="s">
        <v>13</v>
      </c>
      <c r="J7" s="161" t="s">
        <v>577</v>
      </c>
      <c r="K7" s="384" t="s">
        <v>326</v>
      </c>
      <c r="L7" s="223" t="s">
        <v>13</v>
      </c>
      <c r="M7" s="160" t="s">
        <v>13</v>
      </c>
      <c r="N7" s="160" t="s">
        <v>13</v>
      </c>
      <c r="O7" s="381" t="s">
        <v>13</v>
      </c>
      <c r="P7" s="252" t="s">
        <v>13</v>
      </c>
      <c r="Q7" s="160" t="s">
        <v>13</v>
      </c>
      <c r="R7" s="160" t="s">
        <v>13</v>
      </c>
      <c r="S7" s="381" t="s">
        <v>13</v>
      </c>
      <c r="T7" s="252" t="s">
        <v>13</v>
      </c>
      <c r="U7" s="160" t="s">
        <v>13</v>
      </c>
      <c r="V7" s="160" t="s">
        <v>13</v>
      </c>
      <c r="W7" s="164" t="s">
        <v>13</v>
      </c>
      <c r="X7" s="173"/>
      <c r="Y7" s="173"/>
      <c r="Z7" s="173"/>
      <c r="AA7" s="173"/>
      <c r="AB7" s="173"/>
    </row>
    <row r="8" spans="1:28" s="6" customFormat="1" ht="35.1" customHeight="1" x14ac:dyDescent="0.25">
      <c r="A8" s="173"/>
      <c r="B8" s="444">
        <v>3</v>
      </c>
      <c r="C8" s="438" t="s">
        <v>114</v>
      </c>
      <c r="D8" s="162" t="s">
        <v>102</v>
      </c>
      <c r="E8" s="162" t="s">
        <v>102</v>
      </c>
      <c r="F8" s="162" t="s">
        <v>102</v>
      </c>
      <c r="G8" s="380" t="s">
        <v>102</v>
      </c>
      <c r="H8" s="261" t="s">
        <v>402</v>
      </c>
      <c r="I8" s="163" t="s">
        <v>515</v>
      </c>
      <c r="J8" s="163" t="s">
        <v>76</v>
      </c>
      <c r="K8" s="383" t="s">
        <v>430</v>
      </c>
      <c r="L8" s="261" t="s">
        <v>13</v>
      </c>
      <c r="M8" s="163" t="s">
        <v>492</v>
      </c>
      <c r="N8" s="163" t="s">
        <v>13</v>
      </c>
      <c r="O8" s="383" t="s">
        <v>13</v>
      </c>
      <c r="P8" s="261" t="s">
        <v>13</v>
      </c>
      <c r="Q8" s="163" t="s">
        <v>13</v>
      </c>
      <c r="R8" s="163" t="s">
        <v>13</v>
      </c>
      <c r="S8" s="380" t="s">
        <v>13</v>
      </c>
      <c r="T8" s="261" t="s">
        <v>13</v>
      </c>
      <c r="U8" s="163" t="s">
        <v>13</v>
      </c>
      <c r="V8" s="163" t="s">
        <v>13</v>
      </c>
      <c r="W8" s="166" t="s">
        <v>13</v>
      </c>
      <c r="X8" s="173"/>
      <c r="Y8" s="173"/>
      <c r="Z8" s="173"/>
      <c r="AA8" s="173"/>
      <c r="AB8" s="173"/>
    </row>
    <row r="9" spans="1:28" s="6" customFormat="1" ht="35.1" customHeight="1" x14ac:dyDescent="0.25">
      <c r="A9" s="173"/>
      <c r="B9" s="445">
        <v>4</v>
      </c>
      <c r="C9" s="439" t="s">
        <v>46</v>
      </c>
      <c r="D9" s="114" t="s">
        <v>6</v>
      </c>
      <c r="E9" s="114" t="s">
        <v>6</v>
      </c>
      <c r="F9" s="114" t="s">
        <v>6</v>
      </c>
      <c r="G9" s="429" t="s">
        <v>6</v>
      </c>
      <c r="H9" s="224" t="s">
        <v>326</v>
      </c>
      <c r="I9" s="101" t="s">
        <v>241</v>
      </c>
      <c r="J9" s="101" t="s">
        <v>13</v>
      </c>
      <c r="K9" s="385" t="s">
        <v>13</v>
      </c>
      <c r="L9" s="224" t="s">
        <v>491</v>
      </c>
      <c r="M9" s="101" t="s">
        <v>13</v>
      </c>
      <c r="N9" s="101" t="s">
        <v>13</v>
      </c>
      <c r="O9" s="429" t="s">
        <v>13</v>
      </c>
      <c r="P9" s="224" t="s">
        <v>13</v>
      </c>
      <c r="Q9" s="101" t="s">
        <v>429</v>
      </c>
      <c r="R9" s="114" t="s">
        <v>13</v>
      </c>
      <c r="S9" s="429" t="s">
        <v>13</v>
      </c>
      <c r="T9" s="207" t="s">
        <v>13</v>
      </c>
      <c r="U9" s="114" t="s">
        <v>13</v>
      </c>
      <c r="V9" s="114" t="s">
        <v>13</v>
      </c>
      <c r="W9" s="116" t="s">
        <v>13</v>
      </c>
      <c r="X9" s="173"/>
      <c r="Y9" s="173"/>
      <c r="Z9" s="173"/>
      <c r="AA9" s="173"/>
      <c r="AB9" s="173"/>
    </row>
    <row r="10" spans="1:28" s="6" customFormat="1" ht="35.1" customHeight="1" x14ac:dyDescent="0.25">
      <c r="A10" s="173"/>
      <c r="B10" s="445">
        <v>5</v>
      </c>
      <c r="C10" s="440" t="s">
        <v>458</v>
      </c>
      <c r="D10" s="114" t="s">
        <v>11</v>
      </c>
      <c r="E10" s="100" t="s">
        <v>11</v>
      </c>
      <c r="F10" s="114" t="s">
        <v>11</v>
      </c>
      <c r="G10" s="429" t="s">
        <v>11</v>
      </c>
      <c r="H10" s="224" t="s">
        <v>575</v>
      </c>
      <c r="I10" s="101" t="s">
        <v>13</v>
      </c>
      <c r="J10" s="101" t="s">
        <v>13</v>
      </c>
      <c r="K10" s="385" t="s">
        <v>13</v>
      </c>
      <c r="L10" s="224" t="s">
        <v>13</v>
      </c>
      <c r="M10" s="101" t="s">
        <v>515</v>
      </c>
      <c r="N10" s="101" t="s">
        <v>240</v>
      </c>
      <c r="O10" s="385" t="s">
        <v>326</v>
      </c>
      <c r="P10" s="224" t="s">
        <v>489</v>
      </c>
      <c r="Q10" s="114" t="s">
        <v>13</v>
      </c>
      <c r="R10" s="101" t="s">
        <v>13</v>
      </c>
      <c r="S10" s="429" t="s">
        <v>13</v>
      </c>
      <c r="T10" s="224" t="s">
        <v>13</v>
      </c>
      <c r="U10" s="114" t="s">
        <v>13</v>
      </c>
      <c r="V10" s="101" t="s">
        <v>13</v>
      </c>
      <c r="W10" s="116" t="s">
        <v>13</v>
      </c>
      <c r="X10" s="173"/>
      <c r="Y10" s="173"/>
      <c r="Z10" s="173"/>
      <c r="AA10" s="173"/>
      <c r="AB10" s="173"/>
    </row>
    <row r="11" spans="1:28" s="6" customFormat="1" ht="35.1" customHeight="1" x14ac:dyDescent="0.25">
      <c r="A11" s="173"/>
      <c r="B11" s="445">
        <v>6</v>
      </c>
      <c r="C11" s="440" t="s">
        <v>123</v>
      </c>
      <c r="D11" s="114" t="s">
        <v>124</v>
      </c>
      <c r="E11" s="101" t="s">
        <v>59</v>
      </c>
      <c r="F11" s="114" t="s">
        <v>59</v>
      </c>
      <c r="G11" s="429" t="s">
        <v>59</v>
      </c>
      <c r="H11" s="207" t="s">
        <v>13</v>
      </c>
      <c r="I11" s="101" t="s">
        <v>488</v>
      </c>
      <c r="J11" s="101" t="s">
        <v>13</v>
      </c>
      <c r="K11" s="385" t="s">
        <v>517</v>
      </c>
      <c r="L11" s="224" t="s">
        <v>402</v>
      </c>
      <c r="M11" s="101" t="s">
        <v>13</v>
      </c>
      <c r="N11" s="101" t="s">
        <v>13</v>
      </c>
      <c r="O11" s="385" t="s">
        <v>13</v>
      </c>
      <c r="P11" s="224" t="s">
        <v>76</v>
      </c>
      <c r="Q11" s="101" t="s">
        <v>13</v>
      </c>
      <c r="R11" s="101" t="s">
        <v>13</v>
      </c>
      <c r="S11" s="429" t="s">
        <v>13</v>
      </c>
      <c r="T11" s="224" t="s">
        <v>13</v>
      </c>
      <c r="U11" s="101" t="s">
        <v>13</v>
      </c>
      <c r="V11" s="101" t="s">
        <v>13</v>
      </c>
      <c r="W11" s="116" t="s">
        <v>13</v>
      </c>
      <c r="X11" s="173"/>
      <c r="Y11" s="173"/>
      <c r="Z11" s="173"/>
      <c r="AA11" s="173"/>
      <c r="AB11" s="173"/>
    </row>
    <row r="12" spans="1:28" s="6" customFormat="1" ht="35.1" customHeight="1" x14ac:dyDescent="0.25">
      <c r="A12" s="173"/>
      <c r="B12" s="445">
        <v>7</v>
      </c>
      <c r="C12" s="439" t="s">
        <v>4</v>
      </c>
      <c r="D12" s="114" t="s">
        <v>9</v>
      </c>
      <c r="E12" s="114" t="s">
        <v>9</v>
      </c>
      <c r="F12" s="114" t="s">
        <v>9</v>
      </c>
      <c r="G12" s="429" t="s">
        <v>9</v>
      </c>
      <c r="H12" s="224" t="s">
        <v>13</v>
      </c>
      <c r="I12" s="101" t="s">
        <v>13</v>
      </c>
      <c r="J12" s="101" t="s">
        <v>326</v>
      </c>
      <c r="K12" s="385" t="s">
        <v>372</v>
      </c>
      <c r="L12" s="224" t="s">
        <v>241</v>
      </c>
      <c r="M12" s="101" t="s">
        <v>13</v>
      </c>
      <c r="N12" s="101" t="s">
        <v>575</v>
      </c>
      <c r="O12" s="385" t="s">
        <v>13</v>
      </c>
      <c r="P12" s="224" t="s">
        <v>13</v>
      </c>
      <c r="Q12" s="101" t="s">
        <v>541</v>
      </c>
      <c r="R12" s="114" t="s">
        <v>13</v>
      </c>
      <c r="S12" s="429" t="s">
        <v>13</v>
      </c>
      <c r="T12" s="224" t="s">
        <v>13</v>
      </c>
      <c r="U12" s="114" t="s">
        <v>13</v>
      </c>
      <c r="V12" s="114" t="s">
        <v>13</v>
      </c>
      <c r="W12" s="116" t="s">
        <v>13</v>
      </c>
      <c r="X12" s="173"/>
      <c r="Y12" s="173"/>
      <c r="Z12" s="173"/>
      <c r="AA12" s="173"/>
      <c r="AB12" s="173"/>
    </row>
    <row r="13" spans="1:28" s="6" customFormat="1" ht="35.1" customHeight="1" x14ac:dyDescent="0.25">
      <c r="A13" s="173"/>
      <c r="B13" s="445">
        <v>8</v>
      </c>
      <c r="C13" s="440" t="s">
        <v>125</v>
      </c>
      <c r="D13" s="47" t="s">
        <v>126</v>
      </c>
      <c r="E13" s="101" t="s">
        <v>59</v>
      </c>
      <c r="F13" s="114" t="s">
        <v>59</v>
      </c>
      <c r="G13" s="429" t="s">
        <v>59</v>
      </c>
      <c r="H13" s="207" t="s">
        <v>13</v>
      </c>
      <c r="I13" s="114" t="s">
        <v>13</v>
      </c>
      <c r="J13" s="114" t="s">
        <v>13</v>
      </c>
      <c r="K13" s="385" t="s">
        <v>578</v>
      </c>
      <c r="L13" s="224" t="s">
        <v>515</v>
      </c>
      <c r="M13" s="114" t="s">
        <v>13</v>
      </c>
      <c r="N13" s="101" t="s">
        <v>488</v>
      </c>
      <c r="O13" s="385" t="s">
        <v>13</v>
      </c>
      <c r="P13" s="224" t="s">
        <v>326</v>
      </c>
      <c r="Q13" s="101" t="s">
        <v>13</v>
      </c>
      <c r="R13" s="101" t="s">
        <v>13</v>
      </c>
      <c r="S13" s="385" t="s">
        <v>76</v>
      </c>
      <c r="T13" s="224" t="s">
        <v>241</v>
      </c>
      <c r="U13" s="101" t="s">
        <v>13</v>
      </c>
      <c r="V13" s="114" t="s">
        <v>13</v>
      </c>
      <c r="W13" s="165" t="s">
        <v>13</v>
      </c>
      <c r="X13" s="173"/>
      <c r="Y13" s="173"/>
      <c r="Z13" s="173"/>
      <c r="AA13" s="173"/>
      <c r="AB13" s="173"/>
    </row>
    <row r="14" spans="1:28" s="6" customFormat="1" ht="35.1" customHeight="1" x14ac:dyDescent="0.25">
      <c r="A14" s="173"/>
      <c r="B14" s="445">
        <v>9</v>
      </c>
      <c r="C14" s="440" t="s">
        <v>2</v>
      </c>
      <c r="D14" s="47" t="s">
        <v>8</v>
      </c>
      <c r="E14" s="101" t="s">
        <v>8</v>
      </c>
      <c r="F14" s="114" t="s">
        <v>8</v>
      </c>
      <c r="G14" s="429" t="s">
        <v>8</v>
      </c>
      <c r="H14" s="207" t="s">
        <v>13</v>
      </c>
      <c r="I14" s="114" t="s">
        <v>13</v>
      </c>
      <c r="J14" s="114" t="s">
        <v>13</v>
      </c>
      <c r="K14" s="385" t="s">
        <v>489</v>
      </c>
      <c r="L14" s="224" t="s">
        <v>579</v>
      </c>
      <c r="M14" s="101" t="s">
        <v>13</v>
      </c>
      <c r="N14" s="101" t="s">
        <v>402</v>
      </c>
      <c r="O14" s="385" t="s">
        <v>515</v>
      </c>
      <c r="P14" s="224" t="s">
        <v>13</v>
      </c>
      <c r="Q14" s="101" t="s">
        <v>327</v>
      </c>
      <c r="R14" s="101" t="s">
        <v>76</v>
      </c>
      <c r="S14" s="385" t="s">
        <v>13</v>
      </c>
      <c r="T14" s="207" t="s">
        <v>13</v>
      </c>
      <c r="U14" s="101" t="s">
        <v>13</v>
      </c>
      <c r="V14" s="101" t="s">
        <v>13</v>
      </c>
      <c r="W14" s="116" t="s">
        <v>13</v>
      </c>
      <c r="X14" s="173"/>
      <c r="Y14" s="173"/>
      <c r="Z14" s="173"/>
      <c r="AA14" s="173"/>
      <c r="AB14" s="173"/>
    </row>
    <row r="15" spans="1:28" s="6" customFormat="1" ht="35.1" customHeight="1" x14ac:dyDescent="0.25">
      <c r="A15" s="173"/>
      <c r="B15" s="445">
        <v>10</v>
      </c>
      <c r="C15" s="440" t="s">
        <v>3</v>
      </c>
      <c r="D15" s="47" t="s">
        <v>63</v>
      </c>
      <c r="E15" s="101" t="s">
        <v>63</v>
      </c>
      <c r="F15" s="114" t="s">
        <v>59</v>
      </c>
      <c r="G15" s="429" t="s">
        <v>63</v>
      </c>
      <c r="H15" s="207" t="s">
        <v>13</v>
      </c>
      <c r="I15" s="114" t="s">
        <v>13</v>
      </c>
      <c r="J15" s="114" t="s">
        <v>13</v>
      </c>
      <c r="K15" s="385" t="s">
        <v>13</v>
      </c>
      <c r="L15" s="224" t="s">
        <v>326</v>
      </c>
      <c r="M15" s="101" t="s">
        <v>13</v>
      </c>
      <c r="N15" s="101" t="s">
        <v>13</v>
      </c>
      <c r="O15" s="385" t="s">
        <v>13</v>
      </c>
      <c r="P15" s="224" t="s">
        <v>241</v>
      </c>
      <c r="Q15" s="101" t="s">
        <v>13</v>
      </c>
      <c r="R15" s="101" t="s">
        <v>13</v>
      </c>
      <c r="S15" s="429" t="s">
        <v>13</v>
      </c>
      <c r="T15" s="224" t="s">
        <v>76</v>
      </c>
      <c r="U15" s="101" t="s">
        <v>13</v>
      </c>
      <c r="V15" s="101" t="s">
        <v>13</v>
      </c>
      <c r="W15" s="116" t="s">
        <v>13</v>
      </c>
      <c r="X15" s="173"/>
      <c r="Y15" s="173"/>
      <c r="Z15" s="173"/>
      <c r="AA15" s="173"/>
      <c r="AB15" s="173"/>
    </row>
    <row r="16" spans="1:28" s="6" customFormat="1" ht="35.1" customHeight="1" x14ac:dyDescent="0.25">
      <c r="A16" s="173"/>
      <c r="B16" s="445">
        <v>11</v>
      </c>
      <c r="C16" s="440" t="s">
        <v>47</v>
      </c>
      <c r="D16" s="47" t="s">
        <v>64</v>
      </c>
      <c r="E16" s="101" t="s">
        <v>64</v>
      </c>
      <c r="F16" s="114" t="s">
        <v>64</v>
      </c>
      <c r="G16" s="429" t="s">
        <v>64</v>
      </c>
      <c r="H16" s="207" t="s">
        <v>13</v>
      </c>
      <c r="I16" s="101" t="s">
        <v>13</v>
      </c>
      <c r="J16" s="114" t="s">
        <v>13</v>
      </c>
      <c r="K16" s="385" t="s">
        <v>13</v>
      </c>
      <c r="L16" s="224" t="s">
        <v>13</v>
      </c>
      <c r="M16" s="101" t="s">
        <v>445</v>
      </c>
      <c r="N16" s="101" t="s">
        <v>515</v>
      </c>
      <c r="O16" s="385" t="s">
        <v>491</v>
      </c>
      <c r="P16" s="224" t="s">
        <v>13</v>
      </c>
      <c r="Q16" s="101" t="s">
        <v>13</v>
      </c>
      <c r="R16" s="101" t="s">
        <v>327</v>
      </c>
      <c r="S16" s="385" t="s">
        <v>13</v>
      </c>
      <c r="T16" s="224" t="s">
        <v>13</v>
      </c>
      <c r="U16" s="101" t="s">
        <v>13</v>
      </c>
      <c r="V16" s="114" t="s">
        <v>13</v>
      </c>
      <c r="W16" s="165" t="s">
        <v>13</v>
      </c>
      <c r="X16" s="173"/>
      <c r="Y16" s="173"/>
      <c r="Z16" s="173"/>
      <c r="AA16" s="173"/>
      <c r="AB16" s="173"/>
    </row>
    <row r="17" spans="1:28" s="6" customFormat="1" ht="35.1" customHeight="1" x14ac:dyDescent="0.25">
      <c r="A17" s="173"/>
      <c r="B17" s="445">
        <v>12</v>
      </c>
      <c r="C17" s="439" t="s">
        <v>90</v>
      </c>
      <c r="D17" s="47" t="s">
        <v>92</v>
      </c>
      <c r="E17" s="101" t="s">
        <v>91</v>
      </c>
      <c r="F17" s="114" t="s">
        <v>91</v>
      </c>
      <c r="G17" s="429" t="s">
        <v>92</v>
      </c>
      <c r="H17" s="224" t="s">
        <v>13</v>
      </c>
      <c r="I17" s="101" t="s">
        <v>13</v>
      </c>
      <c r="J17" s="101" t="s">
        <v>13</v>
      </c>
      <c r="K17" s="385" t="s">
        <v>13</v>
      </c>
      <c r="L17" s="224" t="s">
        <v>13</v>
      </c>
      <c r="M17" s="101" t="s">
        <v>240</v>
      </c>
      <c r="N17" s="101" t="s">
        <v>326</v>
      </c>
      <c r="O17" s="385" t="s">
        <v>13</v>
      </c>
      <c r="P17" s="224" t="s">
        <v>429</v>
      </c>
      <c r="Q17" s="114" t="s">
        <v>13</v>
      </c>
      <c r="R17" s="114" t="s">
        <v>13</v>
      </c>
      <c r="S17" s="429" t="s">
        <v>13</v>
      </c>
      <c r="T17" s="224" t="s">
        <v>13</v>
      </c>
      <c r="U17" s="114" t="s">
        <v>13</v>
      </c>
      <c r="V17" s="114" t="s">
        <v>13</v>
      </c>
      <c r="W17" s="116" t="s">
        <v>13</v>
      </c>
      <c r="X17" s="173"/>
      <c r="Y17" s="173"/>
      <c r="Z17" s="173"/>
      <c r="AA17" s="173"/>
      <c r="AB17" s="173"/>
    </row>
    <row r="18" spans="1:28" s="6" customFormat="1" ht="35.1" customHeight="1" x14ac:dyDescent="0.25">
      <c r="A18" s="173"/>
      <c r="B18" s="445">
        <v>13</v>
      </c>
      <c r="C18" s="440" t="s">
        <v>88</v>
      </c>
      <c r="D18" s="47" t="s">
        <v>69</v>
      </c>
      <c r="E18" s="101" t="s">
        <v>69</v>
      </c>
      <c r="F18" s="114" t="s">
        <v>69</v>
      </c>
      <c r="G18" s="429" t="s">
        <v>69</v>
      </c>
      <c r="H18" s="207" t="s">
        <v>13</v>
      </c>
      <c r="I18" s="114" t="s">
        <v>13</v>
      </c>
      <c r="J18" s="114" t="s">
        <v>13</v>
      </c>
      <c r="K18" s="385" t="s">
        <v>13</v>
      </c>
      <c r="L18" s="224" t="s">
        <v>13</v>
      </c>
      <c r="M18" s="101" t="s">
        <v>575</v>
      </c>
      <c r="N18" s="101" t="s">
        <v>13</v>
      </c>
      <c r="O18" s="385" t="s">
        <v>241</v>
      </c>
      <c r="P18" s="224" t="s">
        <v>517</v>
      </c>
      <c r="Q18" s="101" t="s">
        <v>372</v>
      </c>
      <c r="R18" s="101" t="s">
        <v>13</v>
      </c>
      <c r="S18" s="385" t="s">
        <v>326</v>
      </c>
      <c r="T18" s="207" t="s">
        <v>13</v>
      </c>
      <c r="U18" s="101" t="s">
        <v>13</v>
      </c>
      <c r="V18" s="114" t="s">
        <v>13</v>
      </c>
      <c r="W18" s="165" t="s">
        <v>13</v>
      </c>
      <c r="X18" s="173"/>
      <c r="Y18" s="173"/>
      <c r="Z18" s="173"/>
      <c r="AA18" s="173"/>
      <c r="AB18" s="173"/>
    </row>
    <row r="19" spans="1:28" s="6" customFormat="1" ht="35.1" customHeight="1" x14ac:dyDescent="0.25">
      <c r="A19" s="173"/>
      <c r="B19" s="445">
        <v>14</v>
      </c>
      <c r="C19" s="440" t="s">
        <v>128</v>
      </c>
      <c r="D19" s="47" t="s">
        <v>129</v>
      </c>
      <c r="E19" s="101" t="s">
        <v>129</v>
      </c>
      <c r="F19" s="114" t="s">
        <v>129</v>
      </c>
      <c r="G19" s="429" t="s">
        <v>129</v>
      </c>
      <c r="H19" s="207" t="s">
        <v>13</v>
      </c>
      <c r="I19" s="114" t="s">
        <v>13</v>
      </c>
      <c r="J19" s="114" t="s">
        <v>13</v>
      </c>
      <c r="K19" s="429" t="s">
        <v>13</v>
      </c>
      <c r="L19" s="224" t="s">
        <v>13</v>
      </c>
      <c r="M19" s="114" t="s">
        <v>13</v>
      </c>
      <c r="N19" s="101"/>
      <c r="O19" s="385" t="s">
        <v>445</v>
      </c>
      <c r="P19" s="224" t="s">
        <v>371</v>
      </c>
      <c r="Q19" s="101" t="s">
        <v>13</v>
      </c>
      <c r="R19" s="101" t="s">
        <v>13</v>
      </c>
      <c r="S19" s="385" t="s">
        <v>13</v>
      </c>
      <c r="T19" s="224" t="s">
        <v>326</v>
      </c>
      <c r="U19" s="101" t="s">
        <v>13</v>
      </c>
      <c r="V19" s="101" t="s">
        <v>76</v>
      </c>
      <c r="W19" s="165" t="s">
        <v>13</v>
      </c>
      <c r="X19" s="173"/>
      <c r="Y19" s="173"/>
      <c r="Z19" s="173"/>
      <c r="AA19" s="173"/>
      <c r="AB19" s="173"/>
    </row>
    <row r="20" spans="1:28" s="6" customFormat="1" ht="35.1" customHeight="1" x14ac:dyDescent="0.25">
      <c r="A20" s="173"/>
      <c r="B20" s="445">
        <v>15</v>
      </c>
      <c r="C20" s="440" t="s">
        <v>130</v>
      </c>
      <c r="D20" s="47" t="s">
        <v>131</v>
      </c>
      <c r="E20" s="101" t="s">
        <v>131</v>
      </c>
      <c r="F20" s="114" t="s">
        <v>59</v>
      </c>
      <c r="G20" s="429" t="s">
        <v>59</v>
      </c>
      <c r="H20" s="207" t="s">
        <v>13</v>
      </c>
      <c r="I20" s="114" t="s">
        <v>13</v>
      </c>
      <c r="J20" s="114" t="s">
        <v>13</v>
      </c>
      <c r="K20" s="429" t="s">
        <v>13</v>
      </c>
      <c r="L20" s="224" t="s">
        <v>13</v>
      </c>
      <c r="M20" s="114" t="s">
        <v>13</v>
      </c>
      <c r="N20" s="114" t="s">
        <v>13</v>
      </c>
      <c r="O20" s="429" t="s">
        <v>13</v>
      </c>
      <c r="P20" s="207" t="s">
        <v>13</v>
      </c>
      <c r="Q20" s="101" t="s">
        <v>13</v>
      </c>
      <c r="R20" s="101" t="s">
        <v>371</v>
      </c>
      <c r="S20" s="385" t="s">
        <v>13</v>
      </c>
      <c r="T20" s="224" t="s">
        <v>13</v>
      </c>
      <c r="U20" s="101" t="s">
        <v>327</v>
      </c>
      <c r="V20" s="114" t="s">
        <v>13</v>
      </c>
      <c r="W20" s="165" t="s">
        <v>76</v>
      </c>
      <c r="X20" s="173"/>
      <c r="Y20" s="173"/>
      <c r="Z20" s="173"/>
      <c r="AA20" s="173"/>
      <c r="AB20" s="173"/>
    </row>
    <row r="21" spans="1:28" s="6" customFormat="1" ht="35.1" customHeight="1" thickBot="1" x14ac:dyDescent="0.3">
      <c r="A21" s="173"/>
      <c r="B21" s="446">
        <v>16</v>
      </c>
      <c r="C21" s="441" t="s">
        <v>95</v>
      </c>
      <c r="D21" s="150" t="s">
        <v>96</v>
      </c>
      <c r="E21" s="102" t="s">
        <v>96</v>
      </c>
      <c r="F21" s="117" t="s">
        <v>59</v>
      </c>
      <c r="G21" s="363" t="s">
        <v>59</v>
      </c>
      <c r="H21" s="208" t="s">
        <v>13</v>
      </c>
      <c r="I21" s="117" t="s">
        <v>13</v>
      </c>
      <c r="J21" s="117" t="s">
        <v>13</v>
      </c>
      <c r="K21" s="363" t="s">
        <v>13</v>
      </c>
      <c r="L21" s="226" t="s">
        <v>13</v>
      </c>
      <c r="M21" s="117" t="s">
        <v>13</v>
      </c>
      <c r="N21" s="117" t="s">
        <v>13</v>
      </c>
      <c r="O21" s="363" t="s">
        <v>13</v>
      </c>
      <c r="P21" s="208" t="s">
        <v>13</v>
      </c>
      <c r="Q21" s="102" t="s">
        <v>13</v>
      </c>
      <c r="R21" s="102" t="s">
        <v>13</v>
      </c>
      <c r="S21" s="386" t="s">
        <v>13</v>
      </c>
      <c r="T21" s="208" t="s">
        <v>13</v>
      </c>
      <c r="U21" s="102" t="s">
        <v>76</v>
      </c>
      <c r="V21" s="117" t="s">
        <v>13</v>
      </c>
      <c r="W21" s="167" t="s">
        <v>13</v>
      </c>
      <c r="X21" s="173"/>
      <c r="Y21" s="173"/>
      <c r="Z21" s="173"/>
      <c r="AA21" s="173"/>
      <c r="AB21" s="173"/>
    </row>
    <row r="22" spans="1:28" s="6" customFormat="1" ht="35.1" customHeight="1" x14ac:dyDescent="0.25">
      <c r="A22" s="173"/>
      <c r="B22" s="172"/>
      <c r="C22" s="173"/>
      <c r="D22" s="173"/>
      <c r="E22" s="173"/>
      <c r="F22" s="173"/>
      <c r="G22" s="173"/>
      <c r="H22" s="173"/>
      <c r="I22" s="173"/>
      <c r="J22" s="173"/>
      <c r="K22" s="173"/>
      <c r="L22" s="173"/>
      <c r="M22" s="173"/>
      <c r="N22" s="173"/>
      <c r="O22" s="173"/>
      <c r="P22" s="173"/>
      <c r="Q22" s="173"/>
      <c r="R22" s="173"/>
      <c r="S22" s="173"/>
      <c r="T22" s="173"/>
      <c r="U22" s="173"/>
      <c r="V22" s="173"/>
      <c r="W22" s="173"/>
      <c r="X22" s="173"/>
      <c r="Y22" s="173"/>
      <c r="Z22" s="173"/>
      <c r="AA22" s="173"/>
      <c r="AB22" s="173"/>
    </row>
    <row r="23" spans="1:28" s="6" customFormat="1" ht="35.1" customHeight="1" x14ac:dyDescent="0.25">
      <c r="A23" s="173"/>
      <c r="B23" s="172"/>
      <c r="C23" s="173"/>
      <c r="D23" s="173"/>
      <c r="E23" s="173"/>
      <c r="F23" s="173"/>
      <c r="G23" s="173"/>
      <c r="H23" s="173"/>
      <c r="I23" s="173"/>
      <c r="J23" s="173"/>
      <c r="K23" s="173"/>
      <c r="L23" s="173"/>
      <c r="M23" s="173"/>
      <c r="N23" s="173"/>
      <c r="O23" s="173"/>
      <c r="P23" s="173"/>
      <c r="Q23" s="173"/>
      <c r="R23" s="173"/>
      <c r="S23" s="173"/>
      <c r="T23" s="173"/>
      <c r="U23" s="173"/>
      <c r="V23" s="173"/>
      <c r="W23" s="173"/>
      <c r="X23" s="173"/>
      <c r="Y23" s="173"/>
      <c r="Z23" s="173"/>
      <c r="AA23" s="173"/>
      <c r="AB23" s="173"/>
    </row>
    <row r="24" spans="1:28" s="6" customFormat="1" ht="35.1" customHeight="1" x14ac:dyDescent="0.25">
      <c r="A24" s="173"/>
      <c r="B24" s="172"/>
      <c r="C24" s="173"/>
      <c r="D24" s="173"/>
      <c r="E24" s="173"/>
      <c r="F24" s="173"/>
      <c r="G24" s="173"/>
      <c r="H24" s="173"/>
      <c r="I24" s="173"/>
      <c r="J24" s="173"/>
      <c r="K24" s="173"/>
      <c r="L24" s="173"/>
      <c r="M24" s="173"/>
      <c r="N24" s="173"/>
      <c r="O24" s="173"/>
      <c r="P24" s="173"/>
      <c r="Q24" s="173"/>
      <c r="R24" s="173"/>
      <c r="S24" s="173"/>
      <c r="T24" s="173"/>
      <c r="U24" s="173"/>
      <c r="V24" s="173"/>
      <c r="W24" s="173"/>
      <c r="X24" s="173"/>
      <c r="Y24" s="173"/>
      <c r="Z24" s="173"/>
      <c r="AA24" s="173"/>
      <c r="AB24" s="173"/>
    </row>
    <row r="25" spans="1:28" ht="20.100000000000001" customHeight="1" x14ac:dyDescent="0.25">
      <c r="A25" s="169"/>
      <c r="B25" s="170"/>
      <c r="C25" s="169"/>
      <c r="D25" s="169"/>
      <c r="E25" s="169"/>
      <c r="F25" s="169"/>
      <c r="G25" s="169"/>
      <c r="H25" s="169"/>
      <c r="I25" s="169"/>
      <c r="J25" s="169"/>
      <c r="K25" s="169"/>
      <c r="L25" s="169"/>
      <c r="M25" s="169"/>
      <c r="N25" s="169"/>
      <c r="O25" s="169"/>
      <c r="P25" s="169"/>
      <c r="Q25" s="169"/>
      <c r="R25" s="169"/>
      <c r="S25" s="169"/>
      <c r="T25" s="169"/>
      <c r="U25" s="169"/>
      <c r="V25" s="169"/>
      <c r="W25" s="169"/>
      <c r="X25" s="169"/>
      <c r="Y25" s="169"/>
      <c r="Z25" s="169"/>
      <c r="AA25" s="169"/>
      <c r="AB25" s="169"/>
    </row>
    <row r="26" spans="1:28" ht="20.100000000000001" customHeight="1" x14ac:dyDescent="0.25">
      <c r="A26" s="169"/>
      <c r="B26" s="170"/>
      <c r="C26" s="169"/>
      <c r="D26" s="169"/>
      <c r="E26" s="169"/>
      <c r="F26" s="169"/>
      <c r="G26" s="169"/>
      <c r="H26" s="169"/>
      <c r="I26" s="169"/>
      <c r="J26" s="169"/>
      <c r="K26" s="169"/>
      <c r="L26" s="169"/>
      <c r="M26" s="169"/>
      <c r="N26" s="169"/>
      <c r="O26" s="169"/>
      <c r="P26" s="169"/>
      <c r="Q26" s="169"/>
      <c r="R26" s="169"/>
      <c r="S26" s="169"/>
      <c r="T26" s="169"/>
      <c r="U26" s="169"/>
      <c r="V26" s="169"/>
      <c r="W26" s="169"/>
      <c r="X26" s="169"/>
      <c r="Y26" s="169"/>
      <c r="Z26" s="169"/>
      <c r="AA26" s="169"/>
      <c r="AB26" s="169"/>
    </row>
    <row r="27" spans="1:28" ht="20.100000000000001" customHeight="1" x14ac:dyDescent="0.25">
      <c r="A27" s="169"/>
      <c r="B27" s="170"/>
      <c r="C27" s="169"/>
      <c r="D27" s="169"/>
      <c r="E27" s="169"/>
      <c r="F27" s="169"/>
      <c r="G27" s="169"/>
      <c r="H27" s="169"/>
      <c r="I27" s="169"/>
      <c r="J27" s="169"/>
      <c r="K27" s="169"/>
      <c r="L27" s="169"/>
      <c r="M27" s="169"/>
      <c r="N27" s="169"/>
      <c r="O27" s="169"/>
      <c r="P27" s="169"/>
      <c r="Q27" s="169"/>
      <c r="R27" s="169"/>
      <c r="S27" s="169"/>
      <c r="T27" s="169"/>
      <c r="U27" s="169"/>
      <c r="V27" s="169"/>
      <c r="W27" s="169"/>
      <c r="X27" s="169"/>
      <c r="Y27" s="169"/>
      <c r="Z27" s="169"/>
      <c r="AA27" s="169"/>
      <c r="AB27" s="169"/>
    </row>
    <row r="28" spans="1:28" ht="20.100000000000001" customHeight="1" x14ac:dyDescent="0.25">
      <c r="A28" s="169"/>
      <c r="B28" s="170"/>
      <c r="C28" s="169"/>
      <c r="D28" s="169"/>
      <c r="E28" s="169"/>
      <c r="F28" s="169"/>
      <c r="G28" s="169"/>
      <c r="H28" s="169"/>
      <c r="I28" s="169"/>
      <c r="J28" s="169"/>
      <c r="K28" s="169"/>
      <c r="L28" s="169"/>
      <c r="M28" s="169"/>
      <c r="N28" s="169"/>
      <c r="O28" s="169"/>
      <c r="P28" s="169"/>
      <c r="Q28" s="169"/>
      <c r="R28" s="169"/>
      <c r="S28" s="169"/>
      <c r="T28" s="169"/>
      <c r="U28" s="169"/>
      <c r="V28" s="169"/>
      <c r="W28" s="169"/>
      <c r="X28" s="169"/>
      <c r="Y28" s="169"/>
      <c r="Z28" s="169"/>
      <c r="AA28" s="169"/>
      <c r="AB28" s="169"/>
    </row>
    <row r="29" spans="1:28" ht="20.100000000000001" customHeight="1" x14ac:dyDescent="0.25">
      <c r="A29" s="169"/>
      <c r="B29" s="170"/>
      <c r="C29" s="169"/>
      <c r="D29" s="169"/>
      <c r="E29" s="169"/>
      <c r="F29" s="169"/>
      <c r="G29" s="169"/>
      <c r="H29" s="169"/>
      <c r="I29" s="169"/>
      <c r="J29" s="169"/>
      <c r="K29" s="169"/>
      <c r="L29" s="169"/>
      <c r="M29" s="169"/>
      <c r="N29" s="169"/>
      <c r="O29" s="169"/>
      <c r="P29" s="169"/>
      <c r="Q29" s="169"/>
      <c r="R29" s="169"/>
      <c r="S29" s="169"/>
      <c r="T29" s="169"/>
      <c r="U29" s="169"/>
      <c r="V29" s="169"/>
      <c r="W29" s="169"/>
      <c r="X29" s="169"/>
      <c r="Y29" s="169"/>
      <c r="Z29" s="169"/>
      <c r="AA29" s="169"/>
      <c r="AB29" s="169"/>
    </row>
    <row r="30" spans="1:28" ht="20.100000000000001" customHeight="1" x14ac:dyDescent="0.25">
      <c r="A30" s="169"/>
      <c r="B30" s="170"/>
      <c r="C30" s="169"/>
      <c r="D30" s="169"/>
      <c r="E30" s="169"/>
      <c r="F30" s="169"/>
      <c r="G30" s="169"/>
      <c r="H30" s="169"/>
      <c r="I30" s="169"/>
      <c r="J30" s="169"/>
      <c r="K30" s="169"/>
      <c r="L30" s="169"/>
      <c r="M30" s="169"/>
      <c r="N30" s="169"/>
      <c r="O30" s="169"/>
      <c r="P30" s="169"/>
      <c r="Q30" s="169"/>
      <c r="R30" s="169"/>
      <c r="S30" s="169"/>
      <c r="T30" s="169"/>
      <c r="U30" s="169"/>
      <c r="V30" s="169"/>
      <c r="W30" s="169"/>
      <c r="X30" s="169"/>
      <c r="Y30" s="169"/>
      <c r="Z30" s="169"/>
      <c r="AA30" s="169"/>
      <c r="AB30" s="169"/>
    </row>
    <row r="31" spans="1:28" ht="20.100000000000001" customHeight="1" x14ac:dyDescent="0.25">
      <c r="A31" s="169"/>
      <c r="B31" s="170"/>
      <c r="C31" s="169"/>
      <c r="D31" s="169"/>
      <c r="E31" s="169"/>
      <c r="F31" s="169"/>
      <c r="G31" s="169"/>
      <c r="H31" s="169"/>
      <c r="I31" s="169"/>
      <c r="J31" s="169"/>
      <c r="K31" s="169"/>
      <c r="L31" s="169"/>
      <c r="M31" s="169"/>
      <c r="N31" s="169"/>
      <c r="O31" s="169"/>
      <c r="P31" s="169"/>
      <c r="Q31" s="169"/>
      <c r="R31" s="169"/>
      <c r="S31" s="169"/>
      <c r="T31" s="169"/>
      <c r="U31" s="169"/>
      <c r="V31" s="169"/>
      <c r="W31" s="169"/>
      <c r="X31" s="169"/>
      <c r="Y31" s="169"/>
      <c r="Z31" s="169"/>
      <c r="AA31" s="169"/>
      <c r="AB31" s="169"/>
    </row>
    <row r="32" spans="1:28" ht="20.100000000000001" customHeight="1" x14ac:dyDescent="0.25">
      <c r="A32" s="169"/>
      <c r="B32" s="170"/>
      <c r="C32" s="169"/>
      <c r="D32" s="169"/>
      <c r="E32" s="169"/>
      <c r="F32" s="169"/>
      <c r="G32" s="169"/>
      <c r="H32" s="169"/>
      <c r="I32" s="169"/>
      <c r="J32" s="169"/>
      <c r="K32" s="169"/>
      <c r="L32" s="169"/>
      <c r="M32" s="169"/>
      <c r="N32" s="169"/>
      <c r="O32" s="169"/>
      <c r="P32" s="169"/>
      <c r="Q32" s="169"/>
      <c r="R32" s="169"/>
      <c r="S32" s="169"/>
      <c r="T32" s="169"/>
      <c r="U32" s="169"/>
      <c r="V32" s="169"/>
      <c r="W32" s="169"/>
      <c r="X32" s="169"/>
      <c r="Y32" s="169"/>
      <c r="Z32" s="169"/>
      <c r="AA32" s="169"/>
      <c r="AB32" s="169"/>
    </row>
    <row r="33" spans="1:28" ht="20.100000000000001" customHeight="1" x14ac:dyDescent="0.25">
      <c r="A33" s="169"/>
      <c r="B33" s="170"/>
      <c r="C33" s="169"/>
      <c r="D33" s="169"/>
      <c r="E33" s="169"/>
      <c r="F33" s="169"/>
      <c r="G33" s="169"/>
      <c r="H33" s="169"/>
      <c r="I33" s="169"/>
      <c r="J33" s="169"/>
      <c r="K33" s="169"/>
      <c r="L33" s="169"/>
      <c r="M33" s="169"/>
      <c r="N33" s="169"/>
      <c r="O33" s="169"/>
      <c r="P33" s="169"/>
      <c r="Q33" s="169"/>
      <c r="R33" s="169"/>
      <c r="S33" s="169"/>
      <c r="T33" s="169"/>
      <c r="U33" s="169"/>
      <c r="V33" s="169"/>
      <c r="W33" s="169"/>
      <c r="X33" s="169"/>
      <c r="Y33" s="169"/>
      <c r="Z33" s="169"/>
      <c r="AA33" s="169"/>
      <c r="AB33" s="169"/>
    </row>
    <row r="34" spans="1:28" ht="20.100000000000001" customHeight="1" x14ac:dyDescent="0.25">
      <c r="A34" s="169"/>
      <c r="B34" s="170"/>
      <c r="C34" s="169"/>
      <c r="D34" s="169"/>
      <c r="E34" s="169"/>
      <c r="F34" s="169"/>
      <c r="G34" s="169"/>
      <c r="H34" s="169"/>
      <c r="I34" s="169"/>
      <c r="J34" s="169"/>
      <c r="K34" s="169"/>
      <c r="L34" s="169"/>
      <c r="M34" s="169"/>
      <c r="N34" s="169"/>
      <c r="O34" s="169"/>
      <c r="P34" s="169"/>
      <c r="Q34" s="169"/>
      <c r="R34" s="169"/>
      <c r="S34" s="169"/>
      <c r="T34" s="169"/>
      <c r="U34" s="169"/>
      <c r="V34" s="169"/>
      <c r="W34" s="169"/>
      <c r="X34" s="169"/>
      <c r="Y34" s="169"/>
      <c r="Z34" s="169"/>
      <c r="AA34" s="169"/>
      <c r="AB34" s="169"/>
    </row>
    <row r="35" spans="1:28" ht="20.100000000000001" customHeight="1" x14ac:dyDescent="0.25">
      <c r="A35" s="169"/>
      <c r="B35" s="170"/>
      <c r="C35" s="169"/>
      <c r="D35" s="169"/>
      <c r="E35" s="169"/>
      <c r="F35" s="169"/>
      <c r="G35" s="169"/>
      <c r="H35" s="169"/>
      <c r="I35" s="169"/>
      <c r="J35" s="169"/>
      <c r="K35" s="169"/>
      <c r="L35" s="169"/>
      <c r="M35" s="169"/>
      <c r="N35" s="169"/>
      <c r="O35" s="169"/>
      <c r="P35" s="169"/>
      <c r="Q35" s="169"/>
      <c r="R35" s="169"/>
      <c r="S35" s="169"/>
      <c r="T35" s="169"/>
      <c r="U35" s="169"/>
      <c r="V35" s="169"/>
      <c r="W35" s="169"/>
      <c r="X35" s="169"/>
      <c r="Y35" s="169"/>
      <c r="Z35" s="169"/>
      <c r="AA35" s="169"/>
      <c r="AB35" s="169"/>
    </row>
    <row r="36" spans="1:28" ht="20.100000000000001" customHeight="1" x14ac:dyDescent="0.25">
      <c r="A36" s="169"/>
      <c r="B36" s="170"/>
      <c r="C36" s="169"/>
      <c r="D36" s="169"/>
      <c r="E36" s="169"/>
      <c r="F36" s="169"/>
      <c r="G36" s="169"/>
      <c r="H36" s="169"/>
      <c r="I36" s="169"/>
      <c r="J36" s="169"/>
      <c r="K36" s="169"/>
      <c r="L36" s="169"/>
      <c r="M36" s="169"/>
      <c r="N36" s="169"/>
      <c r="O36" s="169"/>
      <c r="P36" s="169"/>
      <c r="Q36" s="169"/>
      <c r="R36" s="169"/>
      <c r="S36" s="169"/>
      <c r="T36" s="169"/>
      <c r="U36" s="169"/>
      <c r="V36" s="169"/>
      <c r="W36" s="169"/>
      <c r="X36" s="169"/>
      <c r="Y36" s="169"/>
      <c r="Z36" s="169"/>
      <c r="AA36" s="169"/>
      <c r="AB36" s="169"/>
    </row>
    <row r="37" spans="1:28" ht="20.100000000000001" customHeight="1" x14ac:dyDescent="0.25">
      <c r="A37" s="169"/>
      <c r="B37" s="170"/>
      <c r="C37" s="169"/>
      <c r="D37" s="169"/>
      <c r="E37" s="169"/>
      <c r="F37" s="169"/>
      <c r="G37" s="169"/>
      <c r="H37" s="169"/>
      <c r="I37" s="169"/>
      <c r="J37" s="169"/>
      <c r="K37" s="169"/>
      <c r="L37" s="169"/>
      <c r="M37" s="169"/>
      <c r="N37" s="169"/>
      <c r="O37" s="169"/>
      <c r="P37" s="169"/>
      <c r="Q37" s="169"/>
      <c r="R37" s="169"/>
      <c r="S37" s="169"/>
      <c r="T37" s="169"/>
      <c r="U37" s="169"/>
      <c r="V37" s="169"/>
      <c r="W37" s="169"/>
      <c r="X37" s="169"/>
      <c r="Y37" s="169"/>
      <c r="Z37" s="169"/>
      <c r="AA37" s="169"/>
      <c r="AB37" s="169"/>
    </row>
    <row r="38" spans="1:28" ht="20.100000000000001" customHeight="1" x14ac:dyDescent="0.25">
      <c r="A38" s="169"/>
      <c r="B38" s="170"/>
      <c r="C38" s="169"/>
      <c r="D38" s="169"/>
      <c r="E38" s="169"/>
      <c r="F38" s="169"/>
      <c r="G38" s="169"/>
      <c r="H38" s="169"/>
      <c r="I38" s="169"/>
      <c r="J38" s="169"/>
      <c r="K38" s="169"/>
      <c r="L38" s="169"/>
      <c r="M38" s="169"/>
      <c r="N38" s="169"/>
      <c r="O38" s="169"/>
      <c r="P38" s="169"/>
      <c r="Q38" s="169"/>
      <c r="R38" s="169"/>
      <c r="S38" s="169"/>
      <c r="T38" s="169"/>
      <c r="U38" s="169"/>
      <c r="V38" s="169"/>
      <c r="W38" s="169"/>
      <c r="X38" s="169"/>
      <c r="Y38" s="169"/>
      <c r="Z38" s="169"/>
      <c r="AA38" s="169"/>
      <c r="AB38" s="169"/>
    </row>
    <row r="39" spans="1:28" ht="20.100000000000001" customHeight="1" x14ac:dyDescent="0.25">
      <c r="A39" s="169"/>
      <c r="B39" s="170"/>
      <c r="C39" s="169"/>
      <c r="D39" s="169"/>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69"/>
    </row>
    <row r="40" spans="1:28" ht="20.100000000000001" customHeight="1" x14ac:dyDescent="0.25">
      <c r="A40" s="169"/>
      <c r="B40" s="170"/>
      <c r="C40" s="169"/>
      <c r="D40" s="169"/>
      <c r="E40" s="169"/>
      <c r="F40" s="169"/>
      <c r="G40" s="169"/>
      <c r="H40" s="169"/>
      <c r="I40" s="169"/>
      <c r="J40" s="169"/>
      <c r="K40" s="169"/>
      <c r="L40" s="169"/>
      <c r="M40" s="169"/>
      <c r="N40" s="169"/>
      <c r="O40" s="169"/>
      <c r="P40" s="169"/>
      <c r="Q40" s="169"/>
      <c r="R40" s="169"/>
      <c r="S40" s="169"/>
      <c r="T40" s="169"/>
      <c r="U40" s="169"/>
      <c r="V40" s="169"/>
      <c r="W40" s="169"/>
      <c r="X40" s="169"/>
      <c r="Y40" s="169"/>
      <c r="Z40" s="169"/>
      <c r="AA40" s="169"/>
      <c r="AB40" s="169"/>
    </row>
    <row r="41" spans="1:28" ht="20.100000000000001" customHeight="1" x14ac:dyDescent="0.25">
      <c r="A41" s="169"/>
      <c r="B41" s="170"/>
      <c r="C41" s="169"/>
      <c r="D41" s="169"/>
      <c r="E41" s="169"/>
      <c r="F41" s="169"/>
      <c r="G41" s="169"/>
      <c r="H41" s="169"/>
      <c r="I41" s="169"/>
      <c r="J41" s="169"/>
      <c r="K41" s="169"/>
      <c r="L41" s="169"/>
      <c r="M41" s="169"/>
      <c r="N41" s="169"/>
      <c r="O41" s="169"/>
      <c r="P41" s="169"/>
      <c r="Q41" s="169"/>
      <c r="R41" s="169"/>
      <c r="S41" s="169"/>
      <c r="T41" s="169"/>
      <c r="U41" s="169"/>
      <c r="V41" s="169"/>
      <c r="W41" s="169"/>
      <c r="X41" s="169"/>
      <c r="Y41" s="169"/>
      <c r="Z41" s="169"/>
      <c r="AA41" s="169"/>
      <c r="AB41" s="169"/>
    </row>
    <row r="42" spans="1:28" ht="20.100000000000001" customHeight="1" x14ac:dyDescent="0.25">
      <c r="A42" s="169"/>
      <c r="B42" s="170"/>
      <c r="C42" s="169"/>
      <c r="D42" s="169"/>
      <c r="E42" s="169"/>
      <c r="F42" s="169"/>
      <c r="G42" s="169"/>
      <c r="H42" s="169"/>
      <c r="I42" s="169"/>
      <c r="J42" s="169"/>
      <c r="K42" s="169"/>
      <c r="L42" s="169"/>
      <c r="M42" s="169"/>
      <c r="N42" s="169"/>
      <c r="O42" s="169"/>
      <c r="P42" s="169"/>
      <c r="Q42" s="169"/>
      <c r="R42" s="169"/>
      <c r="S42" s="169"/>
      <c r="T42" s="169"/>
      <c r="U42" s="169"/>
      <c r="V42" s="169"/>
      <c r="W42" s="169"/>
      <c r="X42" s="169"/>
      <c r="Y42" s="169"/>
      <c r="Z42" s="169"/>
      <c r="AA42" s="169"/>
      <c r="AB42" s="169"/>
    </row>
    <row r="43" spans="1:28" ht="20.100000000000001" customHeight="1" x14ac:dyDescent="0.25">
      <c r="A43" s="169"/>
      <c r="B43" s="170"/>
      <c r="C43" s="169"/>
      <c r="D43" s="169"/>
      <c r="E43" s="169"/>
      <c r="F43" s="169"/>
      <c r="G43" s="169"/>
      <c r="H43" s="169"/>
      <c r="I43" s="169"/>
      <c r="J43" s="169"/>
      <c r="K43" s="169"/>
      <c r="L43" s="169"/>
      <c r="M43" s="169"/>
      <c r="N43" s="169"/>
      <c r="O43" s="169"/>
      <c r="P43" s="169"/>
      <c r="Q43" s="169"/>
      <c r="R43" s="169"/>
      <c r="S43" s="169"/>
      <c r="T43" s="169"/>
      <c r="U43" s="169"/>
      <c r="V43" s="169"/>
      <c r="W43" s="169"/>
      <c r="X43" s="169"/>
      <c r="Y43" s="169"/>
      <c r="Z43" s="169"/>
      <c r="AA43" s="169"/>
      <c r="AB43" s="169"/>
    </row>
  </sheetData>
  <mergeCells count="2">
    <mergeCell ref="A1:X2"/>
    <mergeCell ref="A3:X3"/>
  </mergeCells>
  <conditionalFormatting sqref="C12:G13 C15:G16 C10:G10 C19:G19">
    <cfRule type="expression" dxfId="105" priority="371">
      <formula>$I10="Nein"</formula>
    </cfRule>
    <cfRule type="expression" dxfId="104" priority="372">
      <formula>$I10="Ja"</formula>
    </cfRule>
  </conditionalFormatting>
  <conditionalFormatting sqref="C14:G14">
    <cfRule type="expression" dxfId="103" priority="369">
      <formula>$I14="Nein"</formula>
    </cfRule>
    <cfRule type="expression" dxfId="102" priority="370">
      <formula>$I14="Ja"</formula>
    </cfRule>
  </conditionalFormatting>
  <conditionalFormatting sqref="C20:G20">
    <cfRule type="expression" dxfId="101" priority="365">
      <formula>$I20="Nein"</formula>
    </cfRule>
    <cfRule type="expression" dxfId="100" priority="366">
      <formula>$I20="Ja"</formula>
    </cfRule>
  </conditionalFormatting>
  <conditionalFormatting sqref="C21:G21">
    <cfRule type="expression" dxfId="99" priority="363">
      <formula>$I21="Nein"</formula>
    </cfRule>
    <cfRule type="expression" dxfId="98" priority="364">
      <formula>$I21="Ja"</formula>
    </cfRule>
  </conditionalFormatting>
  <conditionalFormatting sqref="C21:G21">
    <cfRule type="expression" dxfId="97" priority="345">
      <formula>$I21="Nein"</formula>
    </cfRule>
    <cfRule type="expression" dxfId="96" priority="346">
      <formula>$I21="Ja"</formula>
    </cfRule>
  </conditionalFormatting>
  <conditionalFormatting sqref="C20:G20">
    <cfRule type="expression" dxfId="95" priority="343">
      <formula>$I20="Nein"</formula>
    </cfRule>
    <cfRule type="expression" dxfId="94" priority="344">
      <formula>$I20="Ja"</formula>
    </cfRule>
  </conditionalFormatting>
  <conditionalFormatting sqref="C14:G14">
    <cfRule type="expression" dxfId="93" priority="329">
      <formula>$I14="Nein"</formula>
    </cfRule>
    <cfRule type="expression" dxfId="92" priority="330">
      <formula>$I14="Ja"</formula>
    </cfRule>
  </conditionalFormatting>
  <conditionalFormatting sqref="C14:G14">
    <cfRule type="expression" dxfId="91" priority="309">
      <formula>$I14="Nein"</formula>
    </cfRule>
    <cfRule type="expression" dxfId="90" priority="310">
      <formula>$I14="Ja"</formula>
    </cfRule>
  </conditionalFormatting>
  <conditionalFormatting sqref="C14:G14">
    <cfRule type="expression" dxfId="89" priority="303">
      <formula>$I14="Nein"</formula>
    </cfRule>
    <cfRule type="expression" dxfId="88" priority="304">
      <formula>$I14="Ja"</formula>
    </cfRule>
  </conditionalFormatting>
  <conditionalFormatting sqref="C14:G14">
    <cfRule type="expression" dxfId="87" priority="297">
      <formula>$I14="Nein"</formula>
    </cfRule>
    <cfRule type="expression" dxfId="86" priority="298">
      <formula>$I14="Ja"</formula>
    </cfRule>
  </conditionalFormatting>
  <conditionalFormatting sqref="C14:G14">
    <cfRule type="expression" dxfId="85" priority="211">
      <formula>$I14="Nein"</formula>
    </cfRule>
    <cfRule type="expression" dxfId="84" priority="212">
      <formula>$I14="Ja"</formula>
    </cfRule>
  </conditionalFormatting>
  <conditionalFormatting sqref="C14:G14">
    <cfRule type="expression" dxfId="83" priority="209">
      <formula>$I14="Nein"</formula>
    </cfRule>
    <cfRule type="expression" dxfId="82" priority="210">
      <formula>$I14="Ja"</formula>
    </cfRule>
  </conditionalFormatting>
  <conditionalFormatting sqref="C14:G14">
    <cfRule type="expression" dxfId="81" priority="207">
      <formula>$I14="Nein"</formula>
    </cfRule>
    <cfRule type="expression" dxfId="80" priority="208">
      <formula>$I14="Ja"</formula>
    </cfRule>
  </conditionalFormatting>
  <conditionalFormatting sqref="C13:G13">
    <cfRule type="expression" dxfId="79" priority="193">
      <formula>$I13="Nein"</formula>
    </cfRule>
    <cfRule type="expression" dxfId="78" priority="194">
      <formula>$I13="Ja"</formula>
    </cfRule>
  </conditionalFormatting>
  <conditionalFormatting sqref="C17:G17">
    <cfRule type="expression" dxfId="77" priority="79">
      <formula>$I17="Nein"</formula>
    </cfRule>
    <cfRule type="expression" dxfId="76" priority="80">
      <formula>$I17="Ja"</formula>
    </cfRule>
  </conditionalFormatting>
  <conditionalFormatting sqref="C17:G17">
    <cfRule type="expression" dxfId="75" priority="77">
      <formula>$I17="Nein"</formula>
    </cfRule>
    <cfRule type="expression" dxfId="74" priority="78">
      <formula>$I17="Ja"</formula>
    </cfRule>
  </conditionalFormatting>
  <conditionalFormatting sqref="C17:G17">
    <cfRule type="expression" dxfId="73" priority="75">
      <formula>$I17="Nein"</formula>
    </cfRule>
    <cfRule type="expression" dxfId="72" priority="76">
      <formula>$I17="Ja"</formula>
    </cfRule>
  </conditionalFormatting>
  <conditionalFormatting sqref="C17:G17">
    <cfRule type="expression" dxfId="71" priority="73">
      <formula>$I17="Nein"</formula>
    </cfRule>
    <cfRule type="expression" dxfId="70" priority="74">
      <formula>$I17="Ja"</formula>
    </cfRule>
  </conditionalFormatting>
  <conditionalFormatting sqref="C17:G17">
    <cfRule type="expression" dxfId="69" priority="71">
      <formula>$I17="Nein"</formula>
    </cfRule>
    <cfRule type="expression" dxfId="68" priority="72">
      <formula>$I17="Ja"</formula>
    </cfRule>
  </conditionalFormatting>
  <conditionalFormatting sqref="C17:G17">
    <cfRule type="expression" dxfId="67" priority="69">
      <formula>$I17="Nein"</formula>
    </cfRule>
    <cfRule type="expression" dxfId="66" priority="70">
      <formula>$I17="Ja"</formula>
    </cfRule>
  </conditionalFormatting>
  <conditionalFormatting sqref="C17:G17">
    <cfRule type="expression" dxfId="65" priority="67">
      <formula>$I17="Nein"</formula>
    </cfRule>
    <cfRule type="expression" dxfId="64" priority="68">
      <formula>$I17="Ja"</formula>
    </cfRule>
  </conditionalFormatting>
  <conditionalFormatting sqref="C17:G17">
    <cfRule type="expression" dxfId="63" priority="65">
      <formula>$I17="Nein"</formula>
    </cfRule>
    <cfRule type="expression" dxfId="62" priority="66">
      <formula>$I17="Ja"</formula>
    </cfRule>
  </conditionalFormatting>
  <conditionalFormatting sqref="C17:G17">
    <cfRule type="expression" dxfId="61" priority="63">
      <formula>$I17="Nein"</formula>
    </cfRule>
    <cfRule type="expression" dxfId="60" priority="64">
      <formula>$I17="Ja"</formula>
    </cfRule>
  </conditionalFormatting>
  <conditionalFormatting sqref="C17:G17">
    <cfRule type="expression" dxfId="59" priority="61">
      <formula>$I17="Nein"</formula>
    </cfRule>
    <cfRule type="expression" dxfId="58" priority="62">
      <formula>$I17="Ja"</formula>
    </cfRule>
  </conditionalFormatting>
  <conditionalFormatting sqref="C17:G17">
    <cfRule type="expression" dxfId="57" priority="59">
      <formula>$I17="Nein"</formula>
    </cfRule>
    <cfRule type="expression" dxfId="56" priority="60">
      <formula>$I17="Ja"</formula>
    </cfRule>
  </conditionalFormatting>
  <conditionalFormatting sqref="C17:G17">
    <cfRule type="expression" dxfId="55" priority="57">
      <formula>$I17="Nein"</formula>
    </cfRule>
    <cfRule type="expression" dxfId="54" priority="58">
      <formula>$I17="Ja"</formula>
    </cfRule>
  </conditionalFormatting>
  <conditionalFormatting sqref="C17:G17">
    <cfRule type="expression" dxfId="53" priority="55">
      <formula>$I17="Nein"</formula>
    </cfRule>
    <cfRule type="expression" dxfId="52" priority="56">
      <formula>$I17="Ja"</formula>
    </cfRule>
  </conditionalFormatting>
  <conditionalFormatting sqref="C17:G17">
    <cfRule type="expression" dxfId="51" priority="53">
      <formula>$I17="Nein"</formula>
    </cfRule>
    <cfRule type="expression" dxfId="50" priority="54">
      <formula>$I17="Ja"</formula>
    </cfRule>
  </conditionalFormatting>
  <conditionalFormatting sqref="C17:G17">
    <cfRule type="expression" dxfId="49" priority="51">
      <formula>$I17="Nein"</formula>
    </cfRule>
    <cfRule type="expression" dxfId="48" priority="52">
      <formula>$I17="Ja"</formula>
    </cfRule>
  </conditionalFormatting>
  <conditionalFormatting sqref="C17:G17">
    <cfRule type="expression" dxfId="47" priority="49">
      <formula>$I17="Nein"</formula>
    </cfRule>
    <cfRule type="expression" dxfId="46" priority="50">
      <formula>$I17="Ja"</formula>
    </cfRule>
  </conditionalFormatting>
  <conditionalFormatting sqref="C17:G17">
    <cfRule type="expression" dxfId="45" priority="47">
      <formula>$I17="Nein"</formula>
    </cfRule>
    <cfRule type="expression" dxfId="44" priority="48">
      <formula>$I17="Ja"</formula>
    </cfRule>
  </conditionalFormatting>
  <conditionalFormatting sqref="C17:G17">
    <cfRule type="expression" dxfId="43" priority="45">
      <formula>$I17="Nein"</formula>
    </cfRule>
    <cfRule type="expression" dxfId="42" priority="46">
      <formula>$I17="Ja"</formula>
    </cfRule>
  </conditionalFormatting>
  <conditionalFormatting sqref="C17:G17">
    <cfRule type="expression" dxfId="41" priority="43">
      <formula>$I17="Nein"</formula>
    </cfRule>
    <cfRule type="expression" dxfId="40" priority="44">
      <formula>$I17="Ja"</formula>
    </cfRule>
  </conditionalFormatting>
  <conditionalFormatting sqref="C17:G17">
    <cfRule type="expression" dxfId="39" priority="41">
      <formula>$I17="Nein"</formula>
    </cfRule>
    <cfRule type="expression" dxfId="38" priority="42">
      <formula>$I17="Ja"</formula>
    </cfRule>
  </conditionalFormatting>
  <conditionalFormatting sqref="C17:G17">
    <cfRule type="expression" dxfId="37" priority="39">
      <formula>$I17="Nein"</formula>
    </cfRule>
    <cfRule type="expression" dxfId="36" priority="40">
      <formula>$I17="Ja"</formula>
    </cfRule>
  </conditionalFormatting>
  <conditionalFormatting sqref="C17:G17">
    <cfRule type="expression" dxfId="35" priority="37">
      <formula>$I17="Nein"</formula>
    </cfRule>
    <cfRule type="expression" dxfId="34" priority="38">
      <formula>$I17="Ja"</formula>
    </cfRule>
  </conditionalFormatting>
  <conditionalFormatting sqref="C17:G17">
    <cfRule type="expression" dxfId="33" priority="35">
      <formula>$I17="Nein"</formula>
    </cfRule>
    <cfRule type="expression" dxfId="32" priority="36">
      <formula>$I17="Ja"</formula>
    </cfRule>
  </conditionalFormatting>
  <conditionalFormatting sqref="C17:G17">
    <cfRule type="expression" dxfId="31" priority="33">
      <formula>$I17="Nein"</formula>
    </cfRule>
    <cfRule type="expression" dxfId="30" priority="34">
      <formula>$I17="Ja"</formula>
    </cfRule>
  </conditionalFormatting>
  <conditionalFormatting sqref="C17:G17">
    <cfRule type="expression" dxfId="29" priority="31">
      <formula>$I17="Nein"</formula>
    </cfRule>
    <cfRule type="expression" dxfId="28" priority="32">
      <formula>$I17="Ja"</formula>
    </cfRule>
  </conditionalFormatting>
  <conditionalFormatting sqref="C17:G17">
    <cfRule type="expression" dxfId="27" priority="29">
      <formula>$I17="Nein"</formula>
    </cfRule>
    <cfRule type="expression" dxfId="26" priority="30">
      <formula>$I17="Ja"</formula>
    </cfRule>
  </conditionalFormatting>
  <conditionalFormatting sqref="C15:G15">
    <cfRule type="expression" dxfId="25" priority="25">
      <formula>$I15="Nein"</formula>
    </cfRule>
    <cfRule type="expression" dxfId="24" priority="26">
      <formula>$I15="Ja"</formula>
    </cfRule>
  </conditionalFormatting>
  <conditionalFormatting sqref="C15:G15">
    <cfRule type="expression" dxfId="23" priority="23">
      <formula>$I15="Nein"</formula>
    </cfRule>
    <cfRule type="expression" dxfId="22" priority="24">
      <formula>$I15="Ja"</formula>
    </cfRule>
  </conditionalFormatting>
  <conditionalFormatting sqref="C15:G15">
    <cfRule type="expression" dxfId="21" priority="21">
      <formula>$I15="Nein"</formula>
    </cfRule>
    <cfRule type="expression" dxfId="20" priority="22">
      <formula>$I15="Ja"</formula>
    </cfRule>
  </conditionalFormatting>
  <conditionalFormatting sqref="C15:G15">
    <cfRule type="expression" dxfId="19" priority="19">
      <formula>$I15="Nein"</formula>
    </cfRule>
    <cfRule type="expression" dxfId="18" priority="20">
      <formula>$I15="Ja"</formula>
    </cfRule>
  </conditionalFormatting>
  <conditionalFormatting sqref="C15:G15">
    <cfRule type="expression" dxfId="17" priority="17">
      <formula>$I15="Nein"</formula>
    </cfRule>
    <cfRule type="expression" dxfId="16" priority="18">
      <formula>$I15="Ja"</formula>
    </cfRule>
  </conditionalFormatting>
  <conditionalFormatting sqref="C15:G15">
    <cfRule type="expression" dxfId="15" priority="15">
      <formula>$I15="Nein"</formula>
    </cfRule>
    <cfRule type="expression" dxfId="14" priority="16">
      <formula>$I15="Ja"</formula>
    </cfRule>
  </conditionalFormatting>
  <conditionalFormatting sqref="C15:G15">
    <cfRule type="expression" dxfId="13" priority="13">
      <formula>$I15="Nein"</formula>
    </cfRule>
    <cfRule type="expression" dxfId="12" priority="14">
      <formula>$I15="Ja"</formula>
    </cfRule>
  </conditionalFormatting>
  <conditionalFormatting sqref="C15:G15">
    <cfRule type="expression" dxfId="11" priority="11">
      <formula>$I15="Nein"</formula>
    </cfRule>
    <cfRule type="expression" dxfId="10" priority="12">
      <formula>$I15="Ja"</formula>
    </cfRule>
  </conditionalFormatting>
  <conditionalFormatting sqref="C14:G14">
    <cfRule type="expression" dxfId="9" priority="9">
      <formula>$I14="Nein"</formula>
    </cfRule>
    <cfRule type="expression" dxfId="8" priority="10">
      <formula>$I14="Ja"</formula>
    </cfRule>
  </conditionalFormatting>
  <conditionalFormatting sqref="C18:G18">
    <cfRule type="expression" dxfId="7" priority="5">
      <formula>$I18="Nein"</formula>
    </cfRule>
    <cfRule type="expression" dxfId="6" priority="6">
      <formula>$I18="Ja"</formula>
    </cfRule>
  </conditionalFormatting>
  <conditionalFormatting sqref="C18:G18">
    <cfRule type="expression" dxfId="5" priority="3">
      <formula>$I18="Nein"</formula>
    </cfRule>
    <cfRule type="expression" dxfId="4" priority="4">
      <formula>$I18="Ja"</formula>
    </cfRule>
  </conditionalFormatting>
  <conditionalFormatting sqref="C18:G18">
    <cfRule type="expression" dxfId="3" priority="1">
      <formula>$I18="Nein"</formula>
    </cfRule>
    <cfRule type="expression" dxfId="2" priority="2">
      <formula>$I18="Ja"</formula>
    </cfRule>
  </conditionalFormatting>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4E2E2-0BE4-4185-90D1-87188141C4B1}">
  <dimension ref="A2:B11"/>
  <sheetViews>
    <sheetView showGridLines="0" workbookViewId="0">
      <selection activeCell="A6" sqref="A6"/>
    </sheetView>
  </sheetViews>
  <sheetFormatPr baseColWidth="10" defaultRowHeight="17.100000000000001" customHeight="1" x14ac:dyDescent="0.25"/>
  <cols>
    <col min="1" max="1" width="18.7109375" style="2" customWidth="1"/>
    <col min="2" max="2" width="183.5703125" style="2" customWidth="1"/>
    <col min="3" max="16384" width="11.42578125" style="2"/>
  </cols>
  <sheetData>
    <row r="2" spans="1:2" ht="17.100000000000001" customHeight="1" thickBot="1" x14ac:dyDescent="0.3"/>
    <row r="3" spans="1:2" ht="17.100000000000001" customHeight="1" thickBot="1" x14ac:dyDescent="0.3">
      <c r="A3" s="968" t="s">
        <v>45</v>
      </c>
      <c r="B3" s="969"/>
    </row>
    <row r="4" spans="1:2" ht="17.100000000000001" customHeight="1" x14ac:dyDescent="0.25">
      <c r="A4" s="358" t="s">
        <v>272</v>
      </c>
      <c r="B4" s="359" t="s">
        <v>283</v>
      </c>
    </row>
    <row r="5" spans="1:2" ht="17.100000000000001" customHeight="1" x14ac:dyDescent="0.25">
      <c r="A5" s="3" t="s">
        <v>273</v>
      </c>
      <c r="B5" s="360" t="s">
        <v>284</v>
      </c>
    </row>
    <row r="6" spans="1:2" ht="17.100000000000001" customHeight="1" x14ac:dyDescent="0.25">
      <c r="A6" s="3" t="s">
        <v>274</v>
      </c>
      <c r="B6" s="360" t="s">
        <v>287</v>
      </c>
    </row>
    <row r="7" spans="1:2" ht="17.100000000000001" customHeight="1" x14ac:dyDescent="0.25">
      <c r="A7" s="3" t="s">
        <v>275</v>
      </c>
      <c r="B7" s="360" t="s">
        <v>280</v>
      </c>
    </row>
    <row r="8" spans="1:2" ht="17.100000000000001" customHeight="1" x14ac:dyDescent="0.25">
      <c r="A8" s="3" t="s">
        <v>276</v>
      </c>
      <c r="B8" s="360" t="s">
        <v>285</v>
      </c>
    </row>
    <row r="9" spans="1:2" ht="17.100000000000001" customHeight="1" x14ac:dyDescent="0.25">
      <c r="A9" s="3" t="s">
        <v>277</v>
      </c>
      <c r="B9" s="360" t="s">
        <v>286</v>
      </c>
    </row>
    <row r="10" spans="1:2" ht="17.100000000000001" customHeight="1" x14ac:dyDescent="0.25">
      <c r="A10" s="3" t="s">
        <v>278</v>
      </c>
      <c r="B10" s="360" t="s">
        <v>282</v>
      </c>
    </row>
    <row r="11" spans="1:2" ht="17.100000000000001" customHeight="1" thickBot="1" x14ac:dyDescent="0.3">
      <c r="A11" s="361" t="s">
        <v>279</v>
      </c>
      <c r="B11" s="362" t="s">
        <v>281</v>
      </c>
    </row>
  </sheetData>
  <mergeCells count="1">
    <mergeCell ref="A3:B3"/>
  </mergeCells>
  <phoneticPr fontId="11" type="noConversion"/>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11</vt:i4>
      </vt:variant>
    </vt:vector>
  </HeadingPairs>
  <TitlesOfParts>
    <vt:vector size="11" baseType="lpstr">
      <vt:lpstr>2022_S1</vt:lpstr>
      <vt:lpstr>2022_S2</vt:lpstr>
      <vt:lpstr>2022_S3</vt:lpstr>
      <vt:lpstr>2022_S4</vt:lpstr>
      <vt:lpstr>2022_S5</vt:lpstr>
      <vt:lpstr>2022_S6</vt:lpstr>
      <vt:lpstr>2022_S7</vt:lpstr>
      <vt:lpstr>2022_S8</vt:lpstr>
      <vt:lpstr>2022_S9</vt:lpstr>
      <vt:lpstr>2022_GESAMTWERTUNG</vt:lpstr>
      <vt:lpstr>Definitionen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Ginooo</dc:creator>
  <cp:lastModifiedBy>Devid</cp:lastModifiedBy>
  <dcterms:created xsi:type="dcterms:W3CDTF">2020-04-14T00:23:52Z</dcterms:created>
  <dcterms:modified xsi:type="dcterms:W3CDTF">2022-09-29T19:37:08Z</dcterms:modified>
</cp:coreProperties>
</file>