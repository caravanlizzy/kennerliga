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11.xml" ContentType="application/vnd.openxmlformats-officedocument.spreadsheetml.worksheet+xml"/>
  <Override PartName="/xl/worksheets/sheet3.xml" ContentType="application/vnd.openxmlformats-officedocument.spreadsheetml.worksheet+xml"/>
  <Override PartName="/xl/worksheets/sheet12.xml" ContentType="application/vnd.openxmlformats-officedocument.spreadsheetml.worksheet+xml"/>
  <Override PartName="/xl/worksheets/sheet4.xml" ContentType="application/vnd.openxmlformats-officedocument.spreadsheetml.worksheet+xml"/>
  <Override PartName="/xl/worksheets/sheet13.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0"/>
  </bookViews>
  <sheets>
    <sheet name="2021_S1" sheetId="1" state="visible" r:id="rId3"/>
    <sheet name="2021_S2" sheetId="2" state="visible" r:id="rId4"/>
    <sheet name="2021_S3" sheetId="3" state="visible" r:id="rId5"/>
    <sheet name="2021_S4" sheetId="4" state="visible" r:id="rId6"/>
    <sheet name="2021_S5" sheetId="5" state="visible" r:id="rId7"/>
    <sheet name="2021_S6" sheetId="6" state="visible" r:id="rId8"/>
    <sheet name="2021_S7" sheetId="7" state="visible" r:id="rId9"/>
    <sheet name="2021_S8" sheetId="8" state="visible" r:id="rId10"/>
    <sheet name="2021_S9" sheetId="9" state="visible" r:id="rId11"/>
    <sheet name="2021_S10" sheetId="10" state="visible" r:id="rId12"/>
    <sheet name="2021_S11" sheetId="11" state="visible" r:id="rId13"/>
    <sheet name="2021_S12" sheetId="12" state="visible" r:id="rId14"/>
    <sheet name="2021_GESAMTWERTUNG" sheetId="13" state="visible" r:id="rId15"/>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<sst xmlns="http://schemas.openxmlformats.org/spreadsheetml/2006/main" count="8399" uniqueCount="591">
  <si>
    <t xml:space="preserve">2021 Season 1</t>
  </si>
  <si>
    <t xml:space="preserve">Angemeldete Spieler für 2021_S1</t>
  </si>
  <si>
    <t xml:space="preserve">Erstellung der Ligen</t>
  </si>
  <si>
    <t xml:space="preserve">Rang
aus
20_S8</t>
  </si>
  <si>
    <t xml:space="preserve">Name</t>
  </si>
  <si>
    <t xml:space="preserve">Nikname 
Yukata</t>
  </si>
  <si>
    <t xml:space="preserve">Nikname 
Boardgamearena</t>
  </si>
  <si>
    <t xml:space="preserve">Nikname 
Boiteajeux</t>
  </si>
  <si>
    <t xml:space="preserve">Nikname 
boardgamers.space</t>
  </si>
  <si>
    <t xml:space="preserve">Nikname 
playagricola.com</t>
  </si>
  <si>
    <t xml:space="preserve">Anmeldung für 
2021_S2</t>
  </si>
  <si>
    <t xml:space="preserve">Liga</t>
  </si>
  <si>
    <t xml:space="preserve">Reihenfolge</t>
  </si>
  <si>
    <t xml:space="preserve">Devid Fulterer</t>
  </si>
  <si>
    <t xml:space="preserve">Ginooo</t>
  </si>
  <si>
    <t xml:space="preserve">Ja</t>
  </si>
  <si>
    <t xml:space="preserve">Andreas Micke</t>
  </si>
  <si>
    <t xml:space="preserve">Palladium2000</t>
  </si>
  <si>
    <t xml:space="preserve">*</t>
  </si>
  <si>
    <t xml:space="preserve">Jérôme Schätzle</t>
  </si>
  <si>
    <t xml:space="preserve">eumel247</t>
  </si>
  <si>
    <t xml:space="preserve">Daniel Zimmerman</t>
  </si>
  <si>
    <t xml:space="preserve">Zimbaland</t>
  </si>
  <si>
    <t xml:space="preserve">Alex Ulbricht</t>
  </si>
  <si>
    <t xml:space="preserve">autographus</t>
  </si>
  <si>
    <t xml:space="preserve">Pauline Schätzle</t>
  </si>
  <si>
    <t xml:space="preserve">Bienchen_2000</t>
  </si>
  <si>
    <t xml:space="preserve">Judith Maibaum</t>
  </si>
  <si>
    <t xml:space="preserve">MissM</t>
  </si>
  <si>
    <t xml:space="preserve">MissM1</t>
  </si>
  <si>
    <t xml:space="preserve">Lisa Schätzle</t>
  </si>
  <si>
    <t xml:space="preserve">Eumeline</t>
  </si>
  <si>
    <t xml:space="preserve">Lise-lotte</t>
  </si>
  <si>
    <t xml:space="preserve">Kai Maibaum</t>
  </si>
  <si>
    <t xml:space="preserve">MobMob3</t>
  </si>
  <si>
    <t xml:space="preserve">Wolfgang Mulser</t>
  </si>
  <si>
    <t xml:space="preserve">w.m.3005</t>
  </si>
  <si>
    <t xml:space="preserve">wm3005</t>
  </si>
  <si>
    <t xml:space="preserve">Nein</t>
  </si>
  <si>
    <t xml:space="preserve">Markus Hagenauer</t>
  </si>
  <si>
    <t xml:space="preserve">Markus1711</t>
  </si>
  <si>
    <t xml:space="preserve">Franziska Büchner</t>
  </si>
  <si>
    <t xml:space="preserve">Frannnyy</t>
  </si>
  <si>
    <t xml:space="preserve">Gesamtanzahl Spieler 2021_S1:</t>
  </si>
  <si>
    <t xml:space="preserve">Neuanmeldungen für 2021_S2</t>
  </si>
  <si>
    <t xml:space="preserve">Nr.</t>
  </si>
  <si>
    <t xml:space="preserve">Markus Hundshagen</t>
  </si>
  <si>
    <t xml:space="preserve">Hundsi90</t>
  </si>
  <si>
    <t xml:space="preserve">Hundsi</t>
  </si>
  <si>
    <t xml:space="preserve">Jonas Röhrig</t>
  </si>
  <si>
    <t xml:space="preserve">chefkoch07</t>
  </si>
  <si>
    <t xml:space="preserve">Liga 1</t>
  </si>
  <si>
    <t xml:space="preserve">Spieler</t>
  </si>
  <si>
    <t xml:space="preserve">Nikname auf Yucata</t>
  </si>
  <si>
    <t xml:space="preserve">1. Durchgang: </t>
  </si>
  <si>
    <t xml:space="preserve">2. Durchgang:</t>
  </si>
  <si>
    <t xml:space="preserve">3. Durchgang (falls Spiele gebannt wurden):</t>
  </si>
  <si>
    <t xml:space="preserve">Plattform</t>
  </si>
  <si>
    <t xml:space="preserve">ausgewähltes Spiel</t>
  </si>
  <si>
    <t xml:space="preserve">Optionen</t>
  </si>
  <si>
    <t xml:space="preserve">gebanntes Spiel</t>
  </si>
  <si>
    <t xml:space="preserve">neugewähltes Spiel</t>
  </si>
  <si>
    <t xml:space="preserve">boardgamers.space</t>
  </si>
  <si>
    <t xml:space="preserve">Gaia Project</t>
  </si>
  <si>
    <t xml:space="preserve">- unlisted: deaktiviert
- random player order: aktiviert
- last player rotates sectors: aktiviert
- auction factions at the beginning: deaktiviert
- Map layout: standard</t>
  </si>
  <si>
    <t xml:space="preserve">gepasst</t>
  </si>
  <si>
    <t xml:space="preserve">-</t>
  </si>
  <si>
    <t xml:space="preserve">Boardgamearena</t>
  </si>
  <si>
    <t xml:space="preserve">Clans of Caledonia</t>
  </si>
  <si>
    <t xml:space="preserve">- Plättchen aus der Kickstarter-Kampagne verwenden: An
- Ohne Clan: Aus
- Statische Importgüter (jeweils 4 SP): Aus
- Ohne Hafenplättchen: Aus
- Ohne Wertungsplättchen: Aus
- Clan-Auktion (Empfohlen nur für erfahrene Clan-Chiefs!): Aus</t>
  </si>
  <si>
    <t xml:space="preserve">Through the Ages: A new Story of Civilization</t>
  </si>
  <si>
    <t xml:space="preserve">Yucata</t>
  </si>
  <si>
    <t xml:space="preserve">Die Burgen von Burgund</t>
  </si>
  <si>
    <t xml:space="preserve">- Spielvariante: Fortgeschrittene Variante</t>
  </si>
  <si>
    <t xml:space="preserve">- Spielversion: Expertenspiel
- Friedliche Variante: Aus</t>
  </si>
  <si>
    <t xml:space="preserve">Nickname auf der Platform wo das Spiel gespielt wird</t>
  </si>
  <si>
    <t xml:space="preserve">Startposition</t>
  </si>
  <si>
    <t xml:space="preserve">Charakter/Volk
(bei asynchronen Spielen)</t>
  </si>
  <si>
    <t xml:space="preserve">Punkte
(beim Start vom Spiel)</t>
  </si>
  <si>
    <t xml:space="preserve">Punkte 
(am Ende vom Spiel)</t>
  </si>
  <si>
    <t xml:space="preserve">Tiebreaker (nur bei Gleichstand benötigt)</t>
  </si>
  <si>
    <t xml:space="preserve">Prozentuale
 Gewinnbeteiligung</t>
  </si>
  <si>
    <t xml:space="preserve">Platzierung</t>
  </si>
  <si>
    <t xml:space="preserve">Ligapunkte</t>
  </si>
  <si>
    <t xml:space="preserve">1. Platz</t>
  </si>
  <si>
    <t xml:space="preserve">2. Platz</t>
  </si>
  <si>
    <t xml:space="preserve">3. Platz</t>
  </si>
  <si>
    <t xml:space="preserve">4. Platz</t>
  </si>
  <si>
    <t xml:space="preserve">Itars</t>
  </si>
  <si>
    <t xml:space="preserve">Terrans</t>
  </si>
  <si>
    <t xml:space="preserve">Xenos</t>
  </si>
  <si>
    <t xml:space="preserve">Bescods</t>
  </si>
  <si>
    <t xml:space="preserve">Punkte Gewinner:</t>
  </si>
  <si>
    <t xml:space="preserve">Summe Platzierungen:</t>
  </si>
  <si>
    <t xml:space="preserve">Clan Fergusson</t>
  </si>
  <si>
    <t xml:space="preserve">Clan MacDonald</t>
  </si>
  <si>
    <t xml:space="preserve">Clan Cunningham</t>
  </si>
  <si>
    <t xml:space="preserve">Clan Campbell</t>
  </si>
  <si>
    <t xml:space="preserve">Tableau 2</t>
  </si>
  <si>
    <t xml:space="preserve">Tableau 9</t>
  </si>
  <si>
    <t xml:space="preserve">Tableau 1</t>
  </si>
  <si>
    <t xml:space="preserve">Gesamtstand L1</t>
  </si>
  <si>
    <t xml:space="preserve">Strafpunkte (z.B. wegen nichteinhalten einer Frist)</t>
  </si>
  <si>
    <t xml:space="preserve">Grund für Strafpunkt(e)</t>
  </si>
  <si>
    <t xml:space="preserve">Gesamt-Ligapunkte
(Ligapunkte abzüglich Strafpunkte)</t>
  </si>
  <si>
    <t xml:space="preserve">1. Plätze</t>
  </si>
  <si>
    <t xml:space="preserve">2. Plätze</t>
  </si>
  <si>
    <t xml:space="preserve">3. Plätze</t>
  </si>
  <si>
    <t xml:space="preserve">4. Plätze</t>
  </si>
  <si>
    <t xml:space="preserve">Durchschnittliche
prozentuale 
Gewinnbeteiligung</t>
  </si>
  <si>
    <t xml:space="preserve">Liga 2</t>
  </si>
  <si>
    <t xml:space="preserve">Nikname: 
Yukata</t>
  </si>
  <si>
    <t xml:space="preserve">Marco Polo II - Im Auftrag des Khan</t>
  </si>
  <si>
    <t xml:space="preserve">- Variante schwarze Würfel: Nein
- Die Karawanen-Erweiterung: Ja
- Alle Charaktere aufnehmen: Nein</t>
  </si>
  <si>
    <t xml:space="preserve">Orakel von Delphi</t>
  </si>
  <si>
    <t xml:space="preserve">- Karte: Für Fortgeschrittene (mehr Variation und Untiefen)
- Schiffsplättchen Verteilung: Auswählen
- Spieldauer: Normal (12 Zeusplättchen)
- Weierspielen: Ja</t>
  </si>
  <si>
    <t xml:space="preserve">- unlisted: aktiviert
- random player order: aktiviert
- last player rotates sectors: aktiviert
- auction factions at the beginning: deaktiviert
- Map layout: standard</t>
  </si>
  <si>
    <t xml:space="preserve">Möngke Khan</t>
  </si>
  <si>
    <t xml:space="preserve">Isabella Donati</t>
  </si>
  <si>
    <t xml:space="preserve">Abha Basu</t>
  </si>
  <si>
    <t xml:space="preserve">Tebaldo Visconti 
da Piacenza</t>
  </si>
  <si>
    <t xml:space="preserve">Schiffsplättchen:
Lege zu Beginn des Spiels 1 Zeusplättchen ab, ohne die Belohnung zu nehmen. Du hast also nur 11 Aufgaben zu erfüllen anstatt 12.</t>
  </si>
  <si>
    <t xml:space="preserve">Zu Zeus zurückgekehrt 
nach 1 zusätzlichen Runde</t>
  </si>
  <si>
    <t xml:space="preserve">2 Orakelkarten und 6 
Gunstplättchen übrig</t>
  </si>
  <si>
    <t xml:space="preserve">Schiffsplättchen:
Schiebe zu Beginn des Spiels deinen Schild um 2 Schritte nach rechts.</t>
  </si>
  <si>
    <t xml:space="preserve">Zu Zeus zurückgekehrt 
nach 0 zusätzlichen Runden</t>
  </si>
  <si>
    <t xml:space="preserve">3 Orakelkarten und 8 Gunstplättchen übrig</t>
  </si>
  <si>
    <t xml:space="preserve">Schiffsplättchen:
Deine Götter starten alle in der Reihe, die der Spieleranzahl entspricht. Nach Ausführung ihrer Sonderaktion setzt du sie wieder auf die Reihe, die der Spieleranzahl entspricht, anstatt auf die unterste Reihe.</t>
  </si>
  <si>
    <t xml:space="preserve">1 Orakelkarte und 4 
Gunstplättchen übrig</t>
  </si>
  <si>
    <t xml:space="preserve">Schiffsplättchen:
Nimm zu Beginn des Spiels 1 Ausrüstungskarte aus der Auslage und nimm 1 Orakelkarte vom Nachziehstapel.</t>
  </si>
  <si>
    <t xml:space="preserve">1 Orakelkarte und 3 Gunstplättchen übrig</t>
  </si>
  <si>
    <t xml:space="preserve">Lantids</t>
  </si>
  <si>
    <t xml:space="preserve">Ambas</t>
  </si>
  <si>
    <t xml:space="preserve">Geodens</t>
  </si>
  <si>
    <t xml:space="preserve">Clan Stewart</t>
  </si>
  <si>
    <t xml:space="preserve">Gesamtstand L2</t>
  </si>
  <si>
    <t xml:space="preserve">Liga 3</t>
  </si>
  <si>
    <t xml:space="preserve">Teotihuacan: Die Stadt der Götter </t>
  </si>
  <si>
    <t xml:space="preserve">- Aufbau erstes Spiel: Aus
- Eklipse Option: normal
- Startplättchen: normal
- Pyramidenaufbau: normal</t>
  </si>
  <si>
    <t xml:space="preserve">Lorenzo</t>
  </si>
  <si>
    <t xml:space="preserve">- Option "Erweiterte Regeln": Aktiviert</t>
  </si>
  <si>
    <t xml:space="preserve">Rajas of the Ganges</t>
  </si>
  <si>
    <t xml:space="preserve">- Variante "gemischte Runde": Deaktiviert
- Variante "Navaratnas-Variante": Deaktiviert
- Variante "Ganga Modul": Deaktiviert
- Variante "Mango-Dorf": Deaktiviert</t>
  </si>
  <si>
    <t xml:space="preserve">Auf den Spuren von Marco Polo</t>
  </si>
  <si>
    <t xml:space="preserve">- Option "Einsteigerspiel": Deaktiviert</t>
  </si>
  <si>
    <t xml:space="preserve">Raschid ad-Din Sinan</t>
  </si>
  <si>
    <t xml:space="preserve">Niccolo und Marco Polo</t>
  </si>
  <si>
    <t xml:space="preserve">Kubilai Khan</t>
  </si>
  <si>
    <t xml:space="preserve">Wilhelm von Rubruk</t>
  </si>
  <si>
    <t xml:space="preserve">Gesamtstand L3</t>
  </si>
  <si>
    <t xml:space="preserve">2021 Season 2</t>
  </si>
  <si>
    <t xml:space="preserve">Angemeldete Spieler für 2021_S2</t>
  </si>
  <si>
    <t xml:space="preserve">Rang
aus
S1</t>
  </si>
  <si>
    <t xml:space="preserve">Anmeldung für 
2021_S3</t>
  </si>
  <si>
    <t xml:space="preserve">Gesamtanzahl Spieler 2021_S2:</t>
  </si>
  <si>
    <t xml:space="preserve">Neuanmeldungen für 2021_S3</t>
  </si>
  <si>
    <t xml:space="preserve">Marco Polo II: 
Im Auftrag des Khan</t>
  </si>
  <si>
    <t xml:space="preserve">- Variante schwarzer Würfel: Nein
- Die Karawanen-Erweiterung: Ja
- Alle Charaktere aufnehmen: Nein</t>
  </si>
  <si>
    <t xml:space="preserve">Terra Mystica</t>
  </si>
  <si>
    <t xml:space="preserve">- Spielbrett: Fjorde
- Völkertableau: Völker werden in Auktion ausgewählt
- Zugreihenfolge: Variable Zugreihenfolge
- Mini-Erweiterung: An
- Landschaften Erweiterung: An</t>
  </si>
  <si>
    <t xml:space="preserve">- Plättchen aus der Kickstarter-Kampagne verwenden: An
- Ohne Clan: Aus
- Statische Importgüter (jeweils 4 SP): Aus
- Ohne Hafenplättchen: Aus
- Ohne Wertungsplättchen: Aus
- Clan-Auktion (Empfohlen nur für erfahrene Clan-Chiefs!): An</t>
  </si>
  <si>
    <t xml:space="preserve">Donata Badoer</t>
  </si>
  <si>
    <t xml:space="preserve">Gantulga Od</t>
  </si>
  <si>
    <t xml:space="preserve">De Wu</t>
  </si>
  <si>
    <t xml:space="preserve">Nomaden</t>
  </si>
  <si>
    <t xml:space="preserve">Schwarmlinge</t>
  </si>
  <si>
    <t xml:space="preserve">Hexen</t>
  </si>
  <si>
    <t xml:space="preserve">Kultisten</t>
  </si>
  <si>
    <t xml:space="preserve">Clan Buchanan</t>
  </si>
  <si>
    <t xml:space="preserve">Clan MacEwen</t>
  </si>
  <si>
    <t xml:space="preserve">Schiffsplättchen: Das Umfärben eines Orakelwürfels kostet dich 1 Gunstplättchen weniger als üblich.</t>
  </si>
  <si>
    <t xml:space="preserve">Zu Zeus zurückgekehrt 
nach 2 zusätzlichen Runden</t>
  </si>
  <si>
    <t xml:space="preserve">Schiffsplättchen: 
Du darfst deinen Orakelwürfel auch gegen den Uhrzeigersinn umfärben. Außerdem hast du 2 zusätzliche Lagerplätze.</t>
  </si>
  <si>
    <t xml:space="preserve">8 erledigte 
Zeusaufgaben</t>
  </si>
  <si>
    <t xml:space="preserve">Russian Railroads</t>
  </si>
  <si>
    <t xml:space="preserve">Roll for the Galaxy</t>
  </si>
  <si>
    <t xml:space="preserve">Startkarte: Führe einen schwarzen Gleisfortschritt durch</t>
  </si>
  <si>
    <t xml:space="preserve">Startkarte: 
Führe einen Industriefortschritt durch</t>
  </si>
  <si>
    <t xml:space="preserve">Startkarte: Nimm eine Münze</t>
  </si>
  <si>
    <t xml:space="preserve">2, Alpha Centauri</t>
  </si>
  <si>
    <t xml:space="preserve">8, Uralte Rasse</t>
  </si>
  <si>
    <t xml:space="preserve">9, Defekte Alien Fabrik</t>
  </si>
  <si>
    <t xml:space="preserve">6, Alte Erde</t>
  </si>
  <si>
    <t xml:space="preserve">Liga 3 (3-Spieler-Liga)</t>
  </si>
  <si>
    <t xml:space="preserve">Mailin und Tian Chin</t>
  </si>
  <si>
    <t xml:space="preserve">Filippo Vitello</t>
  </si>
  <si>
    <t xml:space="preserve">1, Vergessene 
Erdkolonie</t>
  </si>
  <si>
    <t xml:space="preserve">8, Defekte Alien Fabrik</t>
  </si>
  <si>
    <t xml:space="preserve">9 (Anzahl der Würfel im Becher + Galaktische Credits)</t>
  </si>
  <si>
    <t xml:space="preserve">7, Uralte Rasse</t>
  </si>
  <si>
    <t xml:space="preserve">4 (Anzahl der Würfel im Becher + Galaktische Credits)</t>
  </si>
  <si>
    <t xml:space="preserve">6 leere Felder</t>
  </si>
  <si>
    <t xml:space="preserve">8 leere Felder</t>
  </si>
  <si>
    <t xml:space="preserve">Liga 4 (2-Spieler-Liga)</t>
  </si>
  <si>
    <t xml:space="preserve">Can't Stop</t>
  </si>
  <si>
    <t xml:space="preserve">Jonas Röhrich</t>
  </si>
  <si>
    <t xml:space="preserve">Hive</t>
  </si>
  <si>
    <t xml:space="preserve">- Marienkäfer: Aus
- Moskito: Aus
- Kellerassel: Aus
- Eröffnung: Turnier</t>
  </si>
  <si>
    <t xml:space="preserve">Imhotep</t>
  </si>
  <si>
    <t xml:space="preserve">- Erweiterungen "Privat-Boote": Aus
- Erweiterungen "Die Wetten": Aus
- Erweiterungen "Die Gunst des Pharaoh": Aus
- Erweiterungen "Götterprophezeiungen": Aus
- Erweiterungen "Zusätzliche Marktkarten": Aus
- Varianten "Zorn des Pharao": Aus
- Varianten "Unbegrenzte Steine": Aus
- Seiten der Orte wählen "Markt": Seite A
- Seiten der Orte wählen "Pyramide": Seite B
- Seiten der Orte wählen "Tempel": Seite B
- Seiten der Orte wählen "Grabkammer": Seite A
- Seiten der Orte wählen "Obelisken": Seite B</t>
  </si>
  <si>
    <t xml:space="preserve">Kingdomio</t>
  </si>
  <si>
    <t xml:space="preserve">- Das Reich der Mitte: Aus
- Harmonie: Aus
- Das große Duell: (7x7-Feld)</t>
  </si>
  <si>
    <t xml:space="preserve">Gesamtstand L4</t>
  </si>
  <si>
    <t xml:space="preserve">2021 Season 3</t>
  </si>
  <si>
    <t xml:space="preserve">Angemeldete Spieler für 2021_S3</t>
  </si>
  <si>
    <t xml:space="preserve">Rang
aus
S2</t>
  </si>
  <si>
    <t xml:space="preserve">Anmeldung für 
2021_S4</t>
  </si>
  <si>
    <t xml:space="preserve">Gesamtanzahl Spieler 2021_S3:</t>
  </si>
  <si>
    <t xml:space="preserve">Neuanmeldungen für 2021_S4</t>
  </si>
  <si>
    <t xml:space="preserve">Res Arcana</t>
  </si>
  <si>
    <t xml:space="preserve">- Spielregeln: Normales Spiel mit Draft</t>
  </si>
  <si>
    <t xml:space="preserve">Race for the Galaxy</t>
  </si>
  <si>
    <t xml:space="preserve">- Erweiterung: Auf der Schwelle zum Krieg + Rebellen vs. Imperium + Aufziehender Sturm
- Ziele: Ein
- Übernahme: Zufällig
- Neue Waffen: Aktiviert
- Draft-Variante: Kein Ziehen </t>
  </si>
  <si>
    <t xml:space="preserve">Seher</t>
  </si>
  <si>
    <t xml:space="preserve">Nekromant</t>
  </si>
  <si>
    <t xml:space="preserve">Verwandlerin</t>
  </si>
  <si>
    <t xml:space="preserve">Heiler</t>
  </si>
  <si>
    <t xml:space="preserve">Schiffsplättchen: 
Lege zu Beginn des Spiels 1 Zeusplättchen ab, ohne die Belohnung zu nehmen. Du hast also nur 11 Aufgaben zu erfüllen anstatt 12.</t>
  </si>
  <si>
    <t xml:space="preserve">Schiffsplättchen:
Das Umfärben eines Orakelwürfels kostet dich 1 Gunstplättchen weniger als üblich.</t>
  </si>
  <si>
    <t xml:space="preserve">9 erledigte 
Zeusaufgaben</t>
  </si>
  <si>
    <t xml:space="preserve">4 Orakelkarten und 
1 Gunstplättchen übrig</t>
  </si>
  <si>
    <t xml:space="preserve">Schiffsplättchen:
Die Reichweite deines Schiffes ist um 2 Felder höher.</t>
  </si>
  <si>
    <t xml:space="preserve">2 Orakelkarten und 
7 Gunstplättchen übrig</t>
  </si>
  <si>
    <t xml:space="preserve">Seperatisten-Kolonie (5)</t>
  </si>
  <si>
    <t xml:space="preserve">Genmanipulierte Söldnerstreitmacht (13)</t>
  </si>
  <si>
    <t xml:space="preserve">Beschädigte Alien 
Fabrik (7)</t>
  </si>
  <si>
    <t xml:space="preserve">Plündernde 
Sternennomaden (-1)</t>
  </si>
  <si>
    <t xml:space="preserve">Boiteajeux</t>
  </si>
  <si>
    <t xml:space="preserve">Agricola</t>
  </si>
  <si>
    <t xml:space="preserve">- Variante: Turnier-modus
- Verteilung: Auswahl - 7 von 9 (Draft)</t>
  </si>
  <si>
    <t xml:space="preserve">Vanuatu</t>
  </si>
  <si>
    <t xml:space="preserve">City of the Big 
Shoulders</t>
  </si>
  <si>
    <t xml:space="preserve">- Öffentliche Ziele: Ja
- Erweiterte Regeln: Ja
- freundlicher Aktienverkauf: Nein</t>
  </si>
  <si>
    <t xml:space="preserve">Underwater Cities</t>
  </si>
  <si>
    <t xml:space="preserve">- Option: Spielerbogen für erfahrene Spieler
- Option: Regierungsaufträge</t>
  </si>
  <si>
    <t xml:space="preserve">Swift and Company</t>
  </si>
  <si>
    <t xml:space="preserve">Libby, McNeill, &amp; Libby</t>
  </si>
  <si>
    <t xml:space="preserve">A.G. Spalding and Bros.</t>
  </si>
  <si>
    <t xml:space="preserve">Anglo-American Provision Co.</t>
  </si>
  <si>
    <t xml:space="preserve">Spielplan Nr. 8</t>
  </si>
  <si>
    <t xml:space="preserve">Spielplan Nr. 5</t>
  </si>
  <si>
    <t xml:space="preserve">Startreihenfolge 1</t>
  </si>
  <si>
    <t xml:space="preserve">Spielplan Nr. 7</t>
  </si>
  <si>
    <t xml:space="preserve">Startreihenfolge 3</t>
  </si>
  <si>
    <t xml:space="preserve">Spielplan Nr. 6</t>
  </si>
  <si>
    <t xml:space="preserve">City of the Big Shoulders</t>
  </si>
  <si>
    <t xml:space="preserve">Carnegie</t>
  </si>
  <si>
    <t xml:space="preserve">Kingdomino</t>
  </si>
  <si>
    <t xml:space="preserve">- Das Reich der Mitte: Aus
- Harmonie: An (+5 Punkte für ein komplettes Königreich)</t>
  </si>
  <si>
    <t xml:space="preserve">Hawaii</t>
  </si>
  <si>
    <t xml:space="preserve">Automobiles</t>
  </si>
  <si>
    <t xml:space="preserve">- Strecke: zufällig
- Runden: 3
- Kartenset: zufällig
- Variante "beschleunigter Ablauf": An
- Variante "Einfädeln erlaubt": Aus</t>
  </si>
  <si>
    <t xml:space="preserve">2. Position</t>
  </si>
  <si>
    <t xml:space="preserve">3. Position</t>
  </si>
  <si>
    <t xml:space="preserve">4. Position</t>
  </si>
  <si>
    <t xml:space="preserve">1. Position</t>
  </si>
  <si>
    <t xml:space="preserve">2021 Season 4</t>
  </si>
  <si>
    <t xml:space="preserve">Angemeldete Spieler für 2021_S4</t>
  </si>
  <si>
    <t xml:space="preserve">Rang
aus
S3</t>
  </si>
  <si>
    <t xml:space="preserve">Anmeldung für 
2021_S5</t>
  </si>
  <si>
    <t xml:space="preserve">Gesamtanzahl Spieler 2021_S4:</t>
  </si>
  <si>
    <t xml:space="preserve">Neuanmeldungen für 2021_S5</t>
  </si>
  <si>
    <t xml:space="preserve">Kenneth Samaan</t>
  </si>
  <si>
    <t xml:space="preserve">Ks2s</t>
  </si>
  <si>
    <t xml:space="preserve">KennethSean</t>
  </si>
  <si>
    <t xml:space="preserve">Yokohama</t>
  </si>
  <si>
    <t xml:space="preserve">- Karte: für Fortgeschrittene (mehr Variation und Untiefen)
- Schiffsplättchen Verteilung: Auswählen
- Spieldauer: Normal (12 Zeusplättchen)
- Weiterspielen: Ja</t>
  </si>
  <si>
    <t xml:space="preserve">Die Burgen von 
Burgund</t>
  </si>
  <si>
    <t xml:space="preserve">- Spielvariante: Fortgeschrittene Regel</t>
  </si>
  <si>
    <t xml:space="preserve">Boardgamers.space</t>
  </si>
  <si>
    <t xml:space="preserve">Meerjungfrau</t>
  </si>
  <si>
    <t xml:space="preserve">Gelehrter</t>
  </si>
  <si>
    <t xml:space="preserve">9 Essenzen übrig</t>
  </si>
  <si>
    <t xml:space="preserve">Hexe</t>
  </si>
  <si>
    <t xml:space="preserve">Alchemist</t>
  </si>
  <si>
    <t xml:space="preserve">12 Essenzen übrig</t>
  </si>
  <si>
    <t xml:space="preserve">Tableau 5</t>
  </si>
  <si>
    <t xml:space="preserve">Tableau 3</t>
  </si>
  <si>
    <t xml:space="preserve">Gleens</t>
  </si>
  <si>
    <t xml:space="preserve">- Spielbrett: Grundspiel
- Völkertableau: Völker werden in Auktion ausgewählt
- Zugreihenfolge: Variable Zugreihenfolge
- Mini-erweiterung: An
- Lanschaften-Erweiterung: Aus</t>
  </si>
  <si>
    <t xml:space="preserve">Dungeon Petz</t>
  </si>
  <si>
    <t xml:space="preserve">- Doppelsymbolkarten: Doppelsymbolkarten
- Mehr Vorausschau: Reguläre Vorschau</t>
  </si>
  <si>
    <t xml:space="preserve">Beyond the Sun</t>
  </si>
  <si>
    <t xml:space="preserve">Halblinge</t>
  </si>
  <si>
    <t xml:space="preserve">Düsterlinge</t>
  </si>
  <si>
    <t xml:space="preserve">Vereinte Nationen von Sol</t>
  </si>
  <si>
    <t xml:space="preserve">Jünger des kosmi-
schen Tabernakels</t>
  </si>
  <si>
    <t xml:space="preserve">Die Zheng-Yi 
Bruderschaft</t>
  </si>
  <si>
    <t xml:space="preserve">Nishida-Ostergaard 
Corporation</t>
  </si>
  <si>
    <t xml:space="preserve">Pandoria</t>
  </si>
  <si>
    <t xml:space="preserve">- Spielversion: Standard
- Spielversion "Artefakte": Deaktiviert
- Volksgruppe "Basis": Aktiviert
- Volksgruppe "Erweiterung": Deaktiviert
- Volksgruppe "Promo": Deaktiviert
- Zuordnung der Völker: zufällig, einzigartig
- Spielplananordnung: Standard</t>
  </si>
  <si>
    <t xml:space="preserve">Wizard</t>
  </si>
  <si>
    <t xml:space="preserve">- Variante: Plus/minus Eins
- Spieldauer: Standard
- Voraussage: Ja</t>
  </si>
  <si>
    <t xml:space="preserve">- Spielbrett: Grundspiel
- Völkertableau: Völker werden in Auktion ausgewählt
- Zugreihenfolge: Variable Zugreihenfolge
- Mini-erweiterung: An
- Lanschaften-Erweiterung: An</t>
  </si>
  <si>
    <t xml:space="preserve">Elfen</t>
  </si>
  <si>
    <t xml:space="preserve">Zwerge</t>
  </si>
  <si>
    <t xml:space="preserve">Menschen</t>
  </si>
  <si>
    <t xml:space="preserve">2021 Season 5</t>
  </si>
  <si>
    <t xml:space="preserve">Angemeldete Spieler für 2021_S5</t>
  </si>
  <si>
    <t xml:space="preserve">Rang
aus
S4</t>
  </si>
  <si>
    <t xml:space="preserve">Anmeldung für 
2021_S6</t>
  </si>
  <si>
    <t xml:space="preserve">Gesamtanzahl Spieler 2021_S5:</t>
  </si>
  <si>
    <t xml:space="preserve">The King's Guild</t>
  </si>
  <si>
    <t xml:space="preserve">- Erweiterung: Rebellen vs Imperium + Aufziehender Sturm
- Übernahme: Keine Übernahme
- Neue Welten: Aktiviert
- Draft-Variante: Kein Ziehen</t>
  </si>
  <si>
    <t xml:space="preserve">- Doppelsymbolkarten: Doppelsymbolkarten
- Mehr Vorschau: Reguläre Vorschau</t>
  </si>
  <si>
    <t xml:space="preserve">Explorers League</t>
  </si>
  <si>
    <t xml:space="preserve">Craft Collective</t>
  </si>
  <si>
    <t xml:space="preserve">Starfall Syndicate</t>
  </si>
  <si>
    <t xml:space="preserve">Mercantile Trust</t>
  </si>
  <si>
    <t xml:space="preserve">Kunsthandwerker</t>
  </si>
  <si>
    <t xml:space="preserve">Liga 2 (3-Spieler-Liga)</t>
  </si>
  <si>
    <t xml:space="preserve">- Öffentliche Ziele: Ja
- Erweiterte Spielregeln: Ja
- freundlicher Aktienverkauf: Ja</t>
  </si>
  <si>
    <t xml:space="preserve">- Erweiterung: Deaktiviert
- Strecke: zufällig
- Runden: 5
- Kartenset: zufällig
- Variante "beschleunigter Ablauf": Aktiviert
- Variante "Einfädeln erlaubt": Deaktiviert</t>
  </si>
  <si>
    <t xml:space="preserve">N.K. Fairbank &amp; Co.</t>
  </si>
  <si>
    <t xml:space="preserve">Anglo-American 
Provision Co.</t>
  </si>
  <si>
    <t xml:space="preserve">9, Sterbende Welt</t>
  </si>
  <si>
    <t xml:space="preserve">6, Alpha Centauri</t>
  </si>
  <si>
    <t xml:space="preserve">Liga 3 (2-Spieler-Liga)</t>
  </si>
  <si>
    <t xml:space="preserve">Ken hat nicht gespielt (Spiele haben zum Teil gar nicht angefangen). Nach Absprache mit Jonas wird dieses Season so behandelt, als hätten sich Ken und Jonas nicht angemeldet, allerdings steigt Jonas automatisch in Liga 2 auf.</t>
  </si>
  <si>
    <t xml:space="preserve">2021 Season 6</t>
  </si>
  <si>
    <t xml:space="preserve">Angemeldete Spieler für 2021_S6</t>
  </si>
  <si>
    <t xml:space="preserve">Rang
aus
S5</t>
  </si>
  <si>
    <t xml:space="preserve">Anmeldung für 
2021_S7</t>
  </si>
  <si>
    <t xml:space="preserve">Gesamtanzahl Spieler 2021_S6:</t>
  </si>
  <si>
    <t xml:space="preserve">Neuanmeldungen für 2021_S7</t>
  </si>
  <si>
    <t xml:space="preserve">Daniel Zimmermann</t>
  </si>
  <si>
    <t xml:space="preserve">- Doppelsymbolkarten: Doppelsymbolkarten
- Mehr Vorausschau: Mehr Vorausschau</t>
  </si>
  <si>
    <t xml:space="preserve">Clan Robertson</t>
  </si>
  <si>
    <t xml:space="preserve">Clan MacKenzie</t>
  </si>
  <si>
    <t xml:space="preserve">Tzolk'in</t>
  </si>
  <si>
    <t xml:space="preserve">- Uxmal-Begrenzung der Maismenge: Keine Begrenzung</t>
  </si>
  <si>
    <t xml:space="preserve">Teotihuacan: Die Stadt der Götter</t>
  </si>
  <si>
    <t xml:space="preserve">2021 Season 7</t>
  </si>
  <si>
    <t xml:space="preserve">Angemeldete Spieler für 2021_S7</t>
  </si>
  <si>
    <t xml:space="preserve">Rang
aus
S6</t>
  </si>
  <si>
    <t xml:space="preserve">Anmeldung für 
2021_S8</t>
  </si>
  <si>
    <t xml:space="preserve">Gesamtanzahl Spieler 2021_S7:</t>
  </si>
  <si>
    <t xml:space="preserve">Neuanmeldungen für 2021_S8</t>
  </si>
  <si>
    <t xml:space="preserve">- Unlisted: Aktiviert
- Random player order: Aktiviert
- Last player rotates sectors: Aktiviert
- Random factions: Deaktiviert
- Map layout: Standard
- Auction mode: No auction
- Factions variants: Balanced</t>
  </si>
  <si>
    <t xml:space="preserve">City of Rome</t>
  </si>
  <si>
    <t xml:space="preserve">- Option "mit Schrein": Deaktiviert</t>
  </si>
  <si>
    <t xml:space="preserve">Hadsch Hallas</t>
  </si>
  <si>
    <t xml:space="preserve">Firaks</t>
  </si>
  <si>
    <t xml:space="preserve">- Option: Spielerbogen für erfahrene Spieler
- Option "Regierungsaufträge": Aktiviert</t>
  </si>
  <si>
    <t xml:space="preserve">La Granja</t>
  </si>
  <si>
    <t xml:space="preserve">- Hofschritte: Gleichzeitig</t>
  </si>
  <si>
    <t xml:space="preserve">- Spielvariante: Fortgeschrittene Regeln</t>
  </si>
  <si>
    <t xml:space="preserve">Marco Polo II: Im Auftrag des Khan</t>
  </si>
  <si>
    <t xml:space="preserve">- Variante Schwarze Würfel: Nein
- Die Karawanen-Erweiterung: Ja
- Alle Charaktere aufnehmen: Nein</t>
  </si>
  <si>
    <t xml:space="preserve">Piedro Tartarino</t>
  </si>
  <si>
    <t xml:space="preserve">Vidal Badoer</t>
  </si>
  <si>
    <t xml:space="preserve">Marco Polo 2 - Im Auftrag des Khan</t>
  </si>
  <si>
    <t xml:space="preserve">Viticulture</t>
  </si>
  <si>
    <t xml:space="preserve">- Freundliche Variante: aus
- Mama &amp; Papa-Auswahl: aus</t>
  </si>
  <si>
    <t xml:space="preserve">2021 Season 8</t>
  </si>
  <si>
    <t xml:space="preserve">Angemeldete Spieler für 2021_S8</t>
  </si>
  <si>
    <t xml:space="preserve">Rang
aus
S7</t>
  </si>
  <si>
    <t xml:space="preserve">Anmeldung für 
2021_S9</t>
  </si>
  <si>
    <t xml:space="preserve">Gesamtanzahl Spieler 2021_S8:</t>
  </si>
  <si>
    <t xml:space="preserve">Neuanmeldungen für 2021_S9</t>
  </si>
  <si>
    <t xml:space="preserve">Peter Ratschiller</t>
  </si>
  <si>
    <t xml:space="preserve">PeterTheRat</t>
  </si>
  <si>
    <t xml:space="preserve">Doppelsymbolkarten: Doppelsymbolkarten
Mehr Vorausschau: Mehr Vorausschau</t>
  </si>
  <si>
    <t xml:space="preserve">- Aufbau erstes Spiel: Aus
- Eklipse Option: normal
- Startplättchen: Draft
- Pyramidenaufbau: normal</t>
  </si>
  <si>
    <t xml:space="preserve">Stone Age</t>
  </si>
  <si>
    <t xml:space="preserve">- Harter Winter: An
- Wilde Tiere: An
- Iglus: An
- Die neuen Hütten: An
- Mammutherde: An
- Die Erweiterung: Aus</t>
  </si>
  <si>
    <t xml:space="preserve">- Plättchen aus der Kickstarter-Kampagne verwenden: An
- Ohne Clan: Aus
- Statische Importgüter (jeweils 4 SP): Aus
- Ohne Hafenplättchen: Aus
- Ohne Wertungsplättchen: Aus
- Clan-Auktion (Empfohlen nur für erfahrene Clan-Chiefs!): Alternative Auktion (Spielerreihenfolge hängt vom gewählten Clan ab)</t>
  </si>
  <si>
    <t xml:space="preserve">1 Kakao übrig</t>
  </si>
  <si>
    <t xml:space="preserve">2 Kakao übrig</t>
  </si>
  <si>
    <t xml:space="preserve">Spielversion: Standard
Spielversion "Artefakte": Aus
Volksgruppe "Basis": Ein
Volksgruppe "Erweiterung": Aus
Volksgruppe "Promo": Aus
Zuordnung der Völker: zufällig, einzigartig
Spielplananordung: Standard</t>
  </si>
  <si>
    <t xml:space="preserve">- Hofphasenschritte: Gleichzeitig</t>
  </si>
  <si>
    <t xml:space="preserve">- Karte: Für Fortgeschrittene (mehr Variation und Untiefen) 
- Schiffsplättchen Verteilung: Auswählen
- Spieldauer: Normal (12 Zeusplättchen)
- Weiterspielen: Ja</t>
  </si>
  <si>
    <t xml:space="preserve">- Abteilungen: Nur das Basisspiel
- Warten Option: Aus
- Geheime Spende: Aus</t>
  </si>
  <si>
    <t xml:space="preserve">Schiffsplättchen: Jedes Mal, wenn du mindestens 1 Gunstplättchen erhälst, nimmst du 1 Gunstplättchen zusätzlich. Das gilt auch schon bei der Ausgabe der Gunstplättchen bei Spielbeginn.</t>
  </si>
  <si>
    <t xml:space="preserve">Zu Zeus zurückgekehrt nach 2 zusätzlichen Runden</t>
  </si>
  <si>
    <t xml:space="preserve">Die Reichweite deines Schiffes ist um 2 Felder höher.</t>
  </si>
  <si>
    <t xml:space="preserve">11 erledigte Zeusaufgaben</t>
  </si>
  <si>
    <t xml:space="preserve">Du darfst deine Orakelwürfel auch gegen den Uhrzeigersinn umfärben. Außerdem hast du 2 zusätzliche Lagerplätze.</t>
  </si>
  <si>
    <t xml:space="preserve">Zu Zeus zurückgekehrt nach 1 zusätzlichen Runde</t>
  </si>
  <si>
    <t xml:space="preserve">Deine Götter starten alle in der Reihe, die der Spielerzahl entspricht. Nach Ausführung ihrer Sonderaktion setzt du sie wieder auf die Reihe, die der Spielerzahl entspricht, anstatt auf die unterste Reihe.</t>
  </si>
  <si>
    <t xml:space="preserve">Zu Zeus zurückgekehrt nach 0 zusätzlichen Runden</t>
  </si>
  <si>
    <t xml:space="preserve">Santorini</t>
  </si>
  <si>
    <t xml:space="preserve">- Erweiterung Goldenes Flies: Nein
- Einfache Götter: Ja
- Heldenkräfte: Nein
- Fortgeschrittene Götter: Nein
- Aufbau: Schneller Aufbau</t>
  </si>
  <si>
    <t xml:space="preserve">- Freundliche Variante: aus
- Mama &amp; Papa-Auswahl: an</t>
  </si>
  <si>
    <t xml:space="preserve">Pan</t>
  </si>
  <si>
    <t xml:space="preserve">Artemis</t>
  </si>
  <si>
    <t xml:space="preserve">Mama Margarete und Papa Jay</t>
  </si>
  <si>
    <t xml:space="preserve">Mama Alena und Papa Joel</t>
  </si>
  <si>
    <t xml:space="preserve">2021 Season 9</t>
  </si>
  <si>
    <t xml:space="preserve">Angemeldete Spieler für 2021_S9</t>
  </si>
  <si>
    <t xml:space="preserve">Rang
aus
S8</t>
  </si>
  <si>
    <t xml:space="preserve">Anmeldung für 
2021_S10</t>
  </si>
  <si>
    <t xml:space="preserve">Gesamtanzahl Spieler 2021_S9:</t>
  </si>
  <si>
    <t xml:space="preserve">Neuanmeldungen für 2021_S10</t>
  </si>
  <si>
    <t xml:space="preserve">- Spielbrett: Grundspiel
- Völkertableau: Völker werden in Auktion ausgewählt
- Zugreihenfolge: Variable Zugreihenfolge
- Mini-Erweiterung: An
- Landschaften Erweiterung: Aus
- Feuer und Eis - Endwertungskärtchen: An</t>
  </si>
  <si>
    <t xml:space="preserve">- Spielaufbau (Spieler-Tableaus): Identisches (zufälliges) Tableau für alle Spieler/Spielerinnen
- Ausgabe: Ausgabe von 2019
- Nur bestätigte Züge sehen: Ja</t>
  </si>
  <si>
    <t xml:space="preserve">Nidavellir</t>
  </si>
  <si>
    <t xml:space="preserve">- Helden: alle Helden
- Erweiterung: Keine</t>
  </si>
  <si>
    <t xml:space="preserve">Im Jahr des Drachen</t>
  </si>
  <si>
    <t xml:space="preserve">- Preis des großen Privilegs: Neue Version: 7</t>
  </si>
  <si>
    <t xml:space="preserve">- Option: Spielerbogen für erfahrene Spieler
- Option "Regierungsaufträge": An</t>
  </si>
  <si>
    <t xml:space="preserve">Konstrukteure</t>
  </si>
  <si>
    <t xml:space="preserve">Alchemisten</t>
  </si>
  <si>
    <t xml:space="preserve">Tableau 6</t>
  </si>
  <si>
    <t xml:space="preserve">Spielerbogen Nr. 7</t>
  </si>
  <si>
    <t xml:space="preserve">Spielerbogen Nr. 6</t>
  </si>
  <si>
    <t xml:space="preserve">Spielerbogen Nr. 8</t>
  </si>
  <si>
    <t xml:space="preserve">Spielerbogen Nr. 5</t>
  </si>
  <si>
    <t xml:space="preserve">- Spielbrett: Feuer &amp; Eis
- Völkertableau: Völker werden in Auktion ausgewählt
- Zugreihenfolge: Variable Zugreihenfolge
- Mini-Erweiterung: An
- Landschaften Erweiterung: An
- Feuer und Eis - Endwertungskärtchen: An</t>
  </si>
  <si>
    <t xml:space="preserve">-Hofphasenschritte: gleichzeitig</t>
  </si>
  <si>
    <t xml:space="preserve">-Aufbau erstes Spiel: Aus
-Eklipse Option: normal
-Startplättchen: normal
-Pyramidenaufbau: normal</t>
  </si>
  <si>
    <t xml:space="preserve">Mama Danyel - Papa Steven</t>
  </si>
  <si>
    <t xml:space="preserve">Mama Ariel - Papa Stephan</t>
  </si>
  <si>
    <t xml:space="preserve">Mama Christine - Papa Morten</t>
  </si>
  <si>
    <t xml:space="preserve">12 Lira</t>
  </si>
  <si>
    <t xml:space="preserve">Mama Nici - Papa Kozi</t>
  </si>
  <si>
    <t xml:space="preserve">5 Lira</t>
  </si>
  <si>
    <t xml:space="preserve">- Warten Option: Aus
- Geheime Spende: Aus</t>
  </si>
  <si>
    <t xml:space="preserve">- Preis des großen Privilegs: Alte Version 6</t>
  </si>
  <si>
    <t xml:space="preserve">2021 Season 10</t>
  </si>
  <si>
    <t xml:space="preserve">Angemeldete Spieler für 2021_S10</t>
  </si>
  <si>
    <t xml:space="preserve">Rang
aus
S9</t>
  </si>
  <si>
    <t xml:space="preserve">Anmeldung für 
2021_S11</t>
  </si>
  <si>
    <t xml:space="preserve">Gesamtanzahl Spieler 2021_S10:</t>
  </si>
  <si>
    <t xml:space="preserve">Neuanmeldungen für 2021_S11</t>
  </si>
  <si>
    <t xml:space="preserve">Northwest Passage</t>
  </si>
  <si>
    <t xml:space="preserve">- Plättchen aus der Kickstarter-Kampagne verwenden: An
- Ohne Clan: Aus
- Statische Importgüter: Aus
- Ohne Hafenplättchen: Aus
- Ohne Wertungsplättchen: Aus
- Clan-Auktion: Aus</t>
  </si>
  <si>
    <t xml:space="preserve">Dice Hospital</t>
  </si>
  <si>
    <t xml:space="preserve">-Spielaufbau: Dice Hospital
-Schwieriger Modus: deaktiviert</t>
  </si>
  <si>
    <t xml:space="preserve">Gertrude Elion</t>
  </si>
  <si>
    <t xml:space="preserve">Am Ende: keine Patienten 
im Krankenhaus</t>
  </si>
  <si>
    <t xml:space="preserve">Elizabeth Garrett Anderson</t>
  </si>
  <si>
    <t xml:space="preserve">Robert G. Edwards</t>
  </si>
  <si>
    <t xml:space="preserve">Rita Levi-Montalcini</t>
  </si>
  <si>
    <t xml:space="preserve">- Preis des großen Privilegs: Neue Version 7</t>
  </si>
  <si>
    <t xml:space="preserve">- Doppelsymbolkarten: Doppelsymbolkarten
- Mehr Vorausschau: Reguläre Vorausschau</t>
  </si>
  <si>
    <t xml:space="preserve">Mama Alyssa und 
Papa Jay</t>
  </si>
  <si>
    <t xml:space="preserve">Mama Rebecca und Papa Matthias</t>
  </si>
  <si>
    <t xml:space="preserve">Mama Emily und 
Papa Christian</t>
  </si>
  <si>
    <t xml:space="preserve">Mama Alena und 
Papa Josh</t>
  </si>
  <si>
    <t xml:space="preserve">- Erweiterung Goldenes Vlies: Nein
- Einfache Götter: Ja
- Heldenkräfte: Nein
- Fortgeschrittene Götter: Nein
- Aufbau: Schneller Aufbau</t>
  </si>
  <si>
    <t xml:space="preserve">Dungeon Lords</t>
  </si>
  <si>
    <t xml:space="preserve">- Variante: Base game
- Option "Random donjon setup": Aus</t>
  </si>
  <si>
    <t xml:space="preserve">Grand Austria Hotel</t>
  </si>
  <si>
    <t xml:space="preserve">- Option "Start-Personalkarten": zufällig
- Option "Hotels ": einfacher
- Variante "ohne Küchenhilfe": Aus
- Variante "Kostenlose Kunden austauschen": Aus</t>
  </si>
  <si>
    <t xml:space="preserve">Through the Ages: Eine neue Geschichte der Zivilisation</t>
  </si>
  <si>
    <t xml:space="preserve">Hephaestus</t>
  </si>
  <si>
    <t xml:space="preserve">Demeter</t>
  </si>
  <si>
    <t xml:space="preserve">2021 Season 11</t>
  </si>
  <si>
    <t xml:space="preserve">Angemeldete Spieler für 2021_S11</t>
  </si>
  <si>
    <t xml:space="preserve">Rang
aus
S10</t>
  </si>
  <si>
    <t xml:space="preserve">Anmeldung für 
2021_S12</t>
  </si>
  <si>
    <t xml:space="preserve">Gesamtanzahl Spieler 2021_S11:</t>
  </si>
  <si>
    <t xml:space="preserve">Neuanmeldungen für 2021_S12</t>
  </si>
  <si>
    <t xml:space="preserve">Marc Lambrecht</t>
  </si>
  <si>
    <t xml:space="preserve">haligh</t>
  </si>
  <si>
    <t xml:space="preserve">Bea Kittner</t>
  </si>
  <si>
    <t xml:space="preserve">isiundossi</t>
  </si>
  <si>
    <t xml:space="preserve">- Random player order: Aktiviert
- Last player rotates sectors: Aktiviert
- Random factions: Deaktiviert
- Map layout: Standard
- Auction mode: Choose faction, then bid
- Factions variants: Balanced</t>
  </si>
  <si>
    <t xml:space="preserve">Teotihuacan</t>
  </si>
  <si>
    <t xml:space="preserve">Boardgamerarena</t>
  </si>
  <si>
    <t xml:space="preserve">- Spielbrett: Fjorde
- Völkertableau: Völker werden in Auktion ausgewählt
- Zugreihenfolge: Variable Zugreihenfolge
- Mini-Erweiterung: An
- Landschaften Erweiterung: An
- Feuer und Eis - Endwertungskärtchen: An</t>
  </si>
  <si>
    <t xml:space="preserve">Dungeo Petz</t>
  </si>
  <si>
    <t xml:space="preserve">- Aufbau erstes Spiel: Aus
- Eklipse Option: normal
- Startplätchen: normal
- Pyramidenaufbau: normal</t>
  </si>
  <si>
    <t xml:space="preserve">- Variante: Base game
- Random donjon setup: Deaktiviert</t>
  </si>
  <si>
    <t xml:space="preserve">Bal T'aks</t>
  </si>
  <si>
    <t xml:space="preserve">Nevlas</t>
  </si>
  <si>
    <t xml:space="preserve">- Spielerbogen für erfahrene Spieler : Aktiviert
- Regierungsaufträge: Aktiviert</t>
  </si>
  <si>
    <t xml:space="preserve">New Frontiers</t>
  </si>
  <si>
    <t xml:space="preserve">- Spielaufbau: Erstes Spiel
- Ziele: Aus</t>
  </si>
  <si>
    <t xml:space="preserve">Lira: 2; Gesamtwert übrige Weine: 12</t>
  </si>
  <si>
    <t xml:space="preserve">Mama Margarete und Papa Joel</t>
  </si>
  <si>
    <t xml:space="preserve">Lira: 2; Gesamtwert übrige Weine: 7</t>
  </si>
  <si>
    <t xml:space="preserve">Mama Nici und 
Papa Gary</t>
  </si>
  <si>
    <t xml:space="preserve">Mama Christine und Papa Matthias</t>
  </si>
  <si>
    <t xml:space="preserve">Verlorene Kolonie der Erde</t>
  </si>
  <si>
    <t xml:space="preserve">Neu-Sparta</t>
  </si>
  <si>
    <t xml:space="preserve">Ausgestoßene Meuterer</t>
  </si>
  <si>
    <t xml:space="preserve">Empfindungsfähige Roboter</t>
  </si>
  <si>
    <t xml:space="preserve">On the Underground</t>
  </si>
  <si>
    <t xml:space="preserve">- Option "Keine Anzeige der verbleibenden Stationskarten": Deaktiviert</t>
  </si>
  <si>
    <t xml:space="preserve">Boardgamearne</t>
  </si>
  <si>
    <t xml:space="preserve">- Öffentliche Ziele: Ja
- Erweiterte Spielregeln: Nein
- Freundlicher Aktienverkauf: Ja</t>
  </si>
  <si>
    <t xml:space="preserve">Azul</t>
  </si>
  <si>
    <t xml:space="preserve">- Variantenoption: Deaktiviert
- Rückgängig/Bestätigen erlaubt: Aktiviert
- Schnellwertung: Aktiviert</t>
  </si>
  <si>
    <t xml:space="preserve">2021 Season 12</t>
  </si>
  <si>
    <t xml:space="preserve">Angemeldete Spieler für 2021_S12</t>
  </si>
  <si>
    <t xml:space="preserve">Rang
aus
S11</t>
  </si>
  <si>
    <t xml:space="preserve">Anmeldung für 
2022_S1</t>
  </si>
  <si>
    <t xml:space="preserve">Judith Fulterer</t>
  </si>
  <si>
    <t xml:space="preserve">Neuanmeldungen für 2022_S1</t>
  </si>
  <si>
    <t xml:space="preserve">Fabian Spaniol</t>
  </si>
  <si>
    <t xml:space="preserve">fanabi</t>
  </si>
  <si>
    <t xml:space="preserve">Florian Spiß</t>
  </si>
  <si>
    <t xml:space="preserve">Flo101</t>
  </si>
  <si>
    <t xml:space="preserve">Dungon Lords</t>
  </si>
  <si>
    <t xml:space="preserve">Snowdonia</t>
  </si>
  <si>
    <t xml:space="preserve">- Option: Standard</t>
  </si>
  <si>
    <t xml:space="preserve">- Spielaufbau: Spätere Spiele
- Ziele: An</t>
  </si>
  <si>
    <t xml:space="preserve">Galaktische Entwickler</t>
  </si>
  <si>
    <t xml:space="preserve">Freiheitskämpfer</t>
  </si>
  <si>
    <t xml:space="preserve">Edelstein-Sucher</t>
  </si>
  <si>
    <t xml:space="preserve">P.I.</t>
  </si>
  <si>
    <t xml:space="preserve">Deus</t>
  </si>
  <si>
    <t xml:space="preserve">- Kartenlayout: Standard
- Joker Variante: Aus</t>
  </si>
  <si>
    <t xml:space="preserve">- Kompetitives Level: Normal
- Zusätzliche Aktionsfelder: Deaktiviert (Standard)
- C&amp;D Karten: Ausgeschlossen
- Draftmodus: Drafte 7 aus 10 Karten, Ausbildungen mit Kleinen Anschaffungen
- Live-Wertung: Aktiviert</t>
  </si>
  <si>
    <t xml:space="preserve">0 Detektive übrig</t>
  </si>
  <si>
    <t xml:space="preserve">Lise-Lotte</t>
  </si>
  <si>
    <t xml:space="preserve">1 Detektiv übrig</t>
  </si>
  <si>
    <t xml:space="preserve">Deine Götter starten alle in der Reihe, die der Spieleranzahl entspricht. Nach Ausführen ihrer Sonderaktion setzt du sie wieder auf die Reihe, die der Spieleranzahl entspricht, anstatt auf die unterste Reihe</t>
  </si>
  <si>
    <t xml:space="preserve">Nimm zu Beginn des Spiels 1 Ausrüstungskarte aus der Auslage und nimm 1 Orakelkarte vom Nachziehstapel.</t>
  </si>
  <si>
    <t xml:space="preserve">0 Orakelkarten übrig</t>
  </si>
  <si>
    <t xml:space="preserve">Lege zu Beginn des Spiels ein Zeusplättchen ab, ohne die Belohnung zu nehmen. Du hast also nur 11 Aufgaben zu erfüllen anstatt 12.</t>
  </si>
  <si>
    <t xml:space="preserve">Jedes Mal, wenn du mindestens 1 Gunstplättchen erhältst, nimmst du 1 Gunstplättchen zusätzlich. Das gilt auch schon bei der Ausgabe der Gunstplättchen bei Spielbeginn.</t>
  </si>
  <si>
    <t xml:space="preserve">4 Orakelkarten übrig</t>
  </si>
  <si>
    <t xml:space="preserve">- Variante Schwarze Würfel: Ja
- Karawanen-Erweiterung: Nein 
- Alle Charaktere aufnehmen: Nein</t>
  </si>
  <si>
    <t xml:space="preserve">- Variantenoption: Deaktiviert
- Rückgängig machen/Bestätigen erlauben: Aktiviert
Schnellwertung: Aktiviert</t>
  </si>
  <si>
    <t xml:space="preserve">- Spielaufbau: Dice Hospital
- Schwieriger Modus: Eröffnungskrise + Landesweite Epidemie + Resistenter Supererreger</t>
  </si>
  <si>
    <t xml:space="preserve">Norman Shumway</t>
  </si>
  <si>
    <t xml:space="preserve">- Spielaufbau: Dice Hospital
- Schwieriger Modus: Deaktiviert</t>
  </si>
  <si>
    <t xml:space="preserve">Welcome To…</t>
  </si>
  <si>
    <t xml:space="preserve">- Fortgeschrittene Variante: Nein
- Expertenregeln: Nein
- Brett/Erweiterung: Normale Variante</t>
  </si>
  <si>
    <t xml:space="preserve">7 Wonders Duel</t>
  </si>
  <si>
    <t xml:space="preserve">- Erweiterung Pantheon: Nein
- Erweiterung Agora: Nein</t>
  </si>
  <si>
    <t xml:space="preserve">Patchwork</t>
  </si>
  <si>
    <t xml:space="preserve">- Edition: Halloween</t>
  </si>
  <si>
    <t xml:space="preserve">GESAMTWERTUNG 2021</t>
  </si>
  <si>
    <t xml:space="preserve">Stand nach 12 von 12 Seasons</t>
  </si>
  <si>
    <t xml:space="preserve">Rang</t>
  </si>
  <si>
    <t xml:space="preserve">Nickname 
Yucata</t>
  </si>
  <si>
    <t xml:space="preserve">Nickname 
BGA</t>
  </si>
  <si>
    <t xml:space="preserve">Nickname 
Boiteajeux</t>
  </si>
  <si>
    <t xml:space="preserve">Sieger(in) L1</t>
  </si>
  <si>
    <t xml:space="preserve">Zweite(r) L1</t>
  </si>
  <si>
    <t xml:space="preserve">Dritte(r) L1</t>
  </si>
  <si>
    <t xml:space="preserve">Vierte(r) L1</t>
  </si>
  <si>
    <t xml:space="preserve">Sieger(in) L2</t>
  </si>
  <si>
    <t xml:space="preserve">Zweite(r) L2</t>
  </si>
  <si>
    <t xml:space="preserve">Dritte(r) L2</t>
  </si>
  <si>
    <t xml:space="preserve">Vierte(r) L2</t>
  </si>
  <si>
    <t xml:space="preserve">Sieger(in) L3</t>
  </si>
  <si>
    <t xml:space="preserve">Zweite(r) L3</t>
  </si>
  <si>
    <t xml:space="preserve">Dritte(r) L3</t>
  </si>
  <si>
    <t xml:space="preserve">Vierte(r) L3</t>
  </si>
  <si>
    <t xml:space="preserve">Sieger(in) L4</t>
  </si>
  <si>
    <t xml:space="preserve">Zweite(r) L4</t>
  </si>
  <si>
    <t xml:space="preserve">Dritte(r) L4</t>
  </si>
  <si>
    <t xml:space="preserve">Vierte(r) L4</t>
  </si>
  <si>
    <t xml:space="preserve">3
(S4, S6, S11)</t>
  </si>
  <si>
    <t xml:space="preserve">3
(S1, S10, S12)</t>
  </si>
  <si>
    <t xml:space="preserve">2
(S5, S7)</t>
  </si>
  <si>
    <t xml:space="preserve">2
(S2, S8)</t>
  </si>
  <si>
    <t xml:space="preserve">2
(S3, S9)</t>
  </si>
  <si>
    <t xml:space="preserve">3
(S5, S9, S10)</t>
  </si>
  <si>
    <t xml:space="preserve">3
(S6, S7, S8)</t>
  </si>
  <si>
    <t xml:space="preserve">2
(S11, S12)</t>
  </si>
  <si>
    <t xml:space="preserve">1
(S4)</t>
  </si>
  <si>
    <t xml:space="preserve">1
(S1)</t>
  </si>
  <si>
    <t xml:space="preserve">2
(S2, S3)</t>
  </si>
  <si>
    <t xml:space="preserve">2
(S7, S12)</t>
  </si>
  <si>
    <t xml:space="preserve">1
(S11)</t>
  </si>
  <si>
    <t xml:space="preserve">2
(S6, S10)</t>
  </si>
  <si>
    <t xml:space="preserve">1
(S2)</t>
  </si>
  <si>
    <t xml:space="preserve">2
(S1, S2)</t>
  </si>
  <si>
    <t xml:space="preserve">1
(S3)</t>
  </si>
  <si>
    <t xml:space="preserve">2
(S4, S12)</t>
  </si>
  <si>
    <t xml:space="preserve">1
(S9)</t>
  </si>
  <si>
    <t xml:space="preserve">2
(S8, S10)</t>
  </si>
  <si>
    <t xml:space="preserve">1
(S7)</t>
  </si>
  <si>
    <t xml:space="preserve">3
(S2, S4, S5)</t>
  </si>
  <si>
    <t xml:space="preserve">1
(S6)</t>
  </si>
  <si>
    <t xml:space="preserve">1
(S12)</t>
  </si>
  <si>
    <t xml:space="preserve">2
(S10, S11)</t>
  </si>
  <si>
    <t xml:space="preserve">1
(S8)</t>
  </si>
  <si>
    <t xml:space="preserve">2
(S2, S7)</t>
  </si>
  <si>
    <t xml:space="preserve">2
(S4, S6)</t>
  </si>
  <si>
    <t xml:space="preserve">5
(S2, S4, S8, S9, S10)</t>
  </si>
  <si>
    <t xml:space="preserve">2
(S5, S11)</t>
  </si>
  <si>
    <t xml:space="preserve">2
(S6, S12)</t>
  </si>
  <si>
    <t xml:space="preserve">1
(S10)</t>
  </si>
  <si>
    <t xml:space="preserve">3
(S3, S8, S12)</t>
  </si>
  <si>
    <t xml:space="preserve">2
(S7, S9)</t>
  </si>
  <si>
    <t xml:space="preserve">2
(S5, S8)</t>
  </si>
  <si>
    <t xml:space="preserve">2
(S3, S10)</t>
  </si>
  <si>
    <t xml:space="preserve">2
(S1, S11)</t>
  </si>
  <si>
    <t xml:space="preserve">1
(S5)</t>
  </si>
  <si>
    <t xml:space="preserve">2
(S2, S12)</t>
  </si>
  <si>
    <t xml:space="preserve">4
(S3, S8, S9, S10)</t>
  </si>
  <si>
    <t xml:space="preserve">3
(S6, S8, S9)</t>
  </si>
  <si>
    <t xml:space="preserve">3
(S1, S2, S11)</t>
  </si>
  <si>
    <t xml:space="preserve">2
(S3, S4)</t>
  </si>
</sst>
</file>

<file path=xl/styles.xml><?xml version="1.0" encoding="utf-8"?>
<styleSheet xmlns="http://schemas.openxmlformats.org/spreadsheetml/2006/main">
  <numFmts count="7">
    <numFmt numFmtId="164" formatCode="General"/>
    <numFmt numFmtId="165" formatCode="General"/>
    <numFmt numFmtId="166" formatCode="@"/>
    <numFmt numFmtId="167" formatCode="0.000"/>
    <numFmt numFmtId="168" formatCode="0.00"/>
    <numFmt numFmtId="169" formatCode="0"/>
    <numFmt numFmtId="170" formatCode="0.0"/>
  </numFmts>
  <fonts count="16">
    <font>
      <sz val="11"/>
      <color rgb="FF000000"/>
      <name val="Calibri"/>
      <family val="2"/>
      <charset val="1"/>
    </font>
    <font>
      <sz val="10"/>
      <name val="Arial"/>
      <family val="0"/>
    </font>
    <font>
      <sz val="10"/>
      <name val="Arial"/>
      <family val="0"/>
    </font>
    <font>
      <sz val="10"/>
      <name val="Arial"/>
      <family val="0"/>
    </font>
    <font>
      <sz val="26"/>
      <color rgb="FF000000"/>
      <name val="Calibri"/>
      <family val="2"/>
      <charset val="1"/>
    </font>
    <font>
      <b val="true"/>
      <sz val="11"/>
      <color rgb="FF000000"/>
      <name val="Calibri"/>
      <family val="2"/>
      <charset val="1"/>
    </font>
    <font>
      <sz val="11"/>
      <name val="Calibri"/>
      <family val="2"/>
      <charset val="1"/>
    </font>
    <font>
      <sz val="11"/>
      <color rgb="FF00B050"/>
      <name val="Calibri"/>
      <family val="2"/>
      <charset val="1"/>
    </font>
    <font>
      <b val="true"/>
      <sz val="24"/>
      <color rgb="FF000000"/>
      <name val="Calibri"/>
      <family val="2"/>
      <charset val="1"/>
    </font>
    <font>
      <sz val="11"/>
      <color rgb="FFFF0000"/>
      <name val="Calibri"/>
      <family val="2"/>
      <charset val="1"/>
    </font>
    <font>
      <b val="true"/>
      <sz val="11"/>
      <name val="Calibri"/>
      <family val="2"/>
      <charset val="1"/>
    </font>
    <font>
      <b val="true"/>
      <sz val="18"/>
      <color rgb="FF000000"/>
      <name val="Calibri"/>
      <family val="2"/>
      <charset val="1"/>
    </font>
    <font>
      <b val="true"/>
      <sz val="14"/>
      <color rgb="FF000000"/>
      <name val="Calibri"/>
      <family val="2"/>
      <charset val="1"/>
    </font>
    <font>
      <sz val="36"/>
      <color rgb="FF000000"/>
      <name val="Calibri"/>
      <family val="2"/>
      <charset val="1"/>
    </font>
    <font>
      <b val="true"/>
      <sz val="16"/>
      <name val="Calibri"/>
      <family val="2"/>
      <charset val="1"/>
    </font>
    <font>
      <sz val="16"/>
      <name val="Calibri"/>
      <family val="2"/>
      <charset val="1"/>
    </font>
  </fonts>
  <fills count="13">
    <fill>
      <patternFill patternType="none"/>
    </fill>
    <fill>
      <patternFill patternType="gray125"/>
    </fill>
    <fill>
      <patternFill patternType="solid">
        <fgColor rgb="FFFFC000"/>
        <bgColor rgb="FFFFCC00"/>
      </patternFill>
    </fill>
    <fill>
      <patternFill patternType="solid">
        <fgColor rgb="FFFFFF00"/>
        <bgColor rgb="FFFFFF00"/>
      </patternFill>
    </fill>
    <fill>
      <patternFill patternType="solid">
        <fgColor rgb="FF00FF00"/>
        <bgColor rgb="FF09DD3B"/>
      </patternFill>
    </fill>
    <fill>
      <patternFill patternType="solid">
        <fgColor rgb="FFFF0000"/>
        <bgColor rgb="FF993300"/>
      </patternFill>
    </fill>
    <fill>
      <patternFill patternType="solid">
        <fgColor rgb="FF000000"/>
        <bgColor rgb="FF003300"/>
      </patternFill>
    </fill>
    <fill>
      <patternFill patternType="solid">
        <fgColor rgb="FF92D050"/>
        <bgColor rgb="FFB2B2B2"/>
      </patternFill>
    </fill>
    <fill>
      <patternFill patternType="solid">
        <fgColor rgb="FF00B0F0"/>
        <bgColor rgb="FF008080"/>
      </patternFill>
    </fill>
    <fill>
      <patternFill patternType="solid">
        <fgColor rgb="FFFF33CC"/>
        <bgColor rgb="FFFF00FF"/>
      </patternFill>
    </fill>
    <fill>
      <patternFill patternType="solid">
        <fgColor rgb="FFFFCC00"/>
        <bgColor rgb="FFFFC000"/>
      </patternFill>
    </fill>
    <fill>
      <patternFill patternType="solid">
        <fgColor rgb="FFB2B2B2"/>
        <bgColor rgb="FF969696"/>
      </patternFill>
    </fill>
    <fill>
      <patternFill patternType="solid">
        <fgColor rgb="FFCC6600"/>
        <bgColor rgb="FF808000"/>
      </patternFill>
    </fill>
  </fills>
  <borders count="57">
    <border diagonalUp="false" diagonalDown="false">
      <left/>
      <right/>
      <top/>
      <bottom/>
      <diagonal/>
    </border>
    <border diagonalUp="false" diagonalDown="false">
      <left style="medium"/>
      <right style="medium"/>
      <top style="medium"/>
      <bottom style="medium"/>
      <diagonal/>
    </border>
    <border diagonalUp="false" diagonalDown="false">
      <left style="medium"/>
      <right style="medium"/>
      <top/>
      <bottom/>
      <diagonal/>
    </border>
    <border diagonalUp="false" diagonalDown="false">
      <left style="medium"/>
      <right/>
      <top/>
      <bottom/>
      <diagonal/>
    </border>
    <border diagonalUp="false" diagonalDown="false">
      <left/>
      <right style="medium"/>
      <top/>
      <bottom/>
      <diagonal/>
    </border>
    <border diagonalUp="false" diagonalDown="false">
      <left style="medium"/>
      <right/>
      <top style="medium"/>
      <bottom/>
      <diagonal/>
    </border>
    <border diagonalUp="false" diagonalDown="false">
      <left/>
      <right style="medium"/>
      <top style="medium"/>
      <bottom/>
      <diagonal/>
    </border>
    <border diagonalUp="false" diagonalDown="false">
      <left style="medium"/>
      <right style="thin"/>
      <top style="medium"/>
      <bottom style="thin"/>
      <diagonal/>
    </border>
    <border diagonalUp="false" diagonalDown="false">
      <left style="thin"/>
      <right style="thin"/>
      <top style="medium"/>
      <bottom style="thin"/>
      <diagonal/>
    </border>
    <border diagonalUp="false" diagonalDown="false">
      <left style="thin"/>
      <right style="medium"/>
      <top style="medium"/>
      <bottom style="thin"/>
      <diagonal/>
    </border>
    <border diagonalUp="false" diagonalDown="false">
      <left style="thin"/>
      <right style="thin"/>
      <top style="medium"/>
      <bottom style="medium"/>
      <diagonal/>
    </border>
    <border diagonalUp="false" diagonalDown="false">
      <left style="medium"/>
      <right style="thin"/>
      <top style="thin"/>
      <bottom style="thin"/>
      <diagonal/>
    </border>
    <border diagonalUp="false" diagonalDown="false">
      <left style="thin"/>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diagonal/>
    </border>
    <border diagonalUp="false" diagonalDown="false">
      <left style="thin"/>
      <right style="medium"/>
      <top style="thin"/>
      <bottom/>
      <diagonal/>
    </border>
    <border diagonalUp="false" diagonalDown="false">
      <left style="thin"/>
      <right style="thin"/>
      <top style="medium"/>
      <bottom/>
      <diagonal/>
    </border>
    <border diagonalUp="false" diagonalDown="false">
      <left style="medium"/>
      <right style="thin"/>
      <top style="thin"/>
      <bottom style="medium"/>
      <diagonal/>
    </border>
    <border diagonalUp="false" diagonalDown="false">
      <left style="thin"/>
      <right style="thin"/>
      <top style="thin"/>
      <bottom style="medium"/>
      <diagonal/>
    </border>
    <border diagonalUp="false" diagonalDown="false">
      <left style="thin"/>
      <right style="medium"/>
      <top style="thin"/>
      <bottom style="medium"/>
      <diagonal/>
    </border>
    <border diagonalUp="false" diagonalDown="false">
      <left style="medium"/>
      <right style="medium"/>
      <top/>
      <bottom style="medium"/>
      <diagonal/>
    </border>
    <border diagonalUp="false" diagonalDown="false">
      <left style="medium"/>
      <right style="medium"/>
      <top style="medium"/>
      <bottom/>
      <diagonal/>
    </border>
    <border diagonalUp="false" diagonalDown="false">
      <left/>
      <right/>
      <top style="medium"/>
      <bottom/>
      <diagonal/>
    </border>
    <border diagonalUp="false" diagonalDown="false">
      <left style="medium"/>
      <right style="medium"/>
      <top style="medium"/>
      <bottom style="thin"/>
      <diagonal/>
    </border>
    <border diagonalUp="false" diagonalDown="false">
      <left/>
      <right style="thin"/>
      <top style="medium"/>
      <bottom style="thin"/>
      <diagonal/>
    </border>
    <border diagonalUp="false" diagonalDown="false">
      <left style="medium"/>
      <right style="medium"/>
      <top style="thin"/>
      <bottom style="medium"/>
      <diagonal/>
    </border>
    <border diagonalUp="false" diagonalDown="false">
      <left/>
      <right style="thin"/>
      <top style="thin"/>
      <bottom style="medium"/>
      <diagonal/>
    </border>
    <border diagonalUp="false" diagonalDown="false">
      <left style="thin"/>
      <right/>
      <top style="medium"/>
      <bottom style="thin"/>
      <diagonal/>
    </border>
    <border diagonalUp="false" diagonalDown="false">
      <left/>
      <right/>
      <top style="medium"/>
      <bottom style="thin"/>
      <diagonal/>
    </border>
    <border diagonalUp="false" diagonalDown="false">
      <left style="thin"/>
      <right/>
      <top style="thin"/>
      <bottom style="thin"/>
      <diagonal/>
    </border>
    <border diagonalUp="false" diagonalDown="false">
      <left/>
      <right/>
      <top style="thin"/>
      <bottom style="thin"/>
      <diagonal/>
    </border>
    <border diagonalUp="false" diagonalDown="false">
      <left style="thin"/>
      <right/>
      <top style="thin"/>
      <bottom style="medium"/>
      <diagonal/>
    </border>
    <border diagonalUp="false" diagonalDown="false">
      <left/>
      <right/>
      <top style="thin"/>
      <bottom style="medium"/>
      <diagonal/>
    </border>
    <border diagonalUp="false" diagonalDown="false">
      <left/>
      <right/>
      <top/>
      <bottom style="medium"/>
      <diagonal/>
    </border>
    <border diagonalUp="false" diagonalDown="false">
      <left/>
      <right style="thin"/>
      <top style="thin"/>
      <bottom style="thin"/>
      <diagonal/>
    </border>
    <border diagonalUp="false" diagonalDown="false">
      <left style="medium"/>
      <right style="medium"/>
      <top style="thin"/>
      <bottom style="thin"/>
      <diagonal/>
    </border>
    <border diagonalUp="false" diagonalDown="false">
      <left style="medium"/>
      <right/>
      <top/>
      <bottom style="medium"/>
      <diagonal/>
    </border>
    <border diagonalUp="false" diagonalDown="false">
      <left/>
      <right style="medium"/>
      <top/>
      <bottom style="medium"/>
      <diagonal/>
    </border>
    <border diagonalUp="false" diagonalDown="false">
      <left style="medium"/>
      <right/>
      <top style="medium"/>
      <bottom style="medium"/>
      <diagonal/>
    </border>
    <border diagonalUp="false" diagonalDown="false">
      <left/>
      <right style="medium"/>
      <top style="medium"/>
      <bottom style="medium"/>
      <diagonal/>
    </border>
    <border diagonalUp="false" diagonalDown="false">
      <left/>
      <right style="medium"/>
      <top style="medium"/>
      <bottom style="thin"/>
      <diagonal/>
    </border>
    <border diagonalUp="false" diagonalDown="false">
      <left/>
      <right style="medium"/>
      <top style="thin"/>
      <bottom style="thin"/>
      <diagonal/>
    </border>
    <border diagonalUp="false" diagonalDown="false">
      <left/>
      <right style="medium"/>
      <top style="thin"/>
      <bottom style="medium"/>
      <diagonal/>
    </border>
    <border diagonalUp="false" diagonalDown="false">
      <left/>
      <right style="thin"/>
      <top style="medium"/>
      <bottom style="medium"/>
      <diagonal/>
    </border>
    <border diagonalUp="false" diagonalDown="false">
      <left style="thin"/>
      <right style="medium"/>
      <top style="medium"/>
      <bottom style="medium"/>
      <diagonal/>
    </border>
    <border diagonalUp="false" diagonalDown="false">
      <left style="medium"/>
      <right style="thin"/>
      <top/>
      <bottom style="thin"/>
      <diagonal/>
    </border>
    <border diagonalUp="false" diagonalDown="false">
      <left style="thin"/>
      <right style="thin"/>
      <top/>
      <bottom style="medium"/>
      <diagonal/>
    </border>
    <border diagonalUp="false" diagonalDown="false">
      <left style="thin"/>
      <right style="medium"/>
      <top/>
      <bottom style="thin"/>
      <diagonal/>
    </border>
    <border diagonalUp="false" diagonalDown="false">
      <left style="medium"/>
      <right style="thin"/>
      <top style="medium"/>
      <bottom style="medium"/>
      <diagonal/>
    </border>
    <border diagonalUp="false" diagonalDown="false">
      <left style="medium"/>
      <right style="thin"/>
      <top style="medium"/>
      <bottom/>
      <diagonal/>
    </border>
    <border diagonalUp="false" diagonalDown="false">
      <left style="thin"/>
      <right style="medium"/>
      <top style="medium"/>
      <bottom/>
      <diagonal/>
    </border>
    <border diagonalUp="false" diagonalDown="false">
      <left/>
      <right style="thin"/>
      <top/>
      <bottom style="medium"/>
      <diagonal/>
    </border>
    <border diagonalUp="false" diagonalDown="false">
      <left/>
      <right style="thin"/>
      <top style="medium"/>
      <bottom/>
      <diagonal/>
    </border>
    <border diagonalUp="false" diagonalDown="false">
      <left style="medium"/>
      <right/>
      <top style="medium"/>
      <bottom style="thin"/>
      <diagonal/>
    </border>
    <border diagonalUp="false" diagonalDown="false">
      <left style="medium"/>
      <right/>
      <top style="thin"/>
      <bottom style="thin"/>
      <diagonal/>
    </border>
    <border diagonalUp="false" diagonalDown="false">
      <left style="medium"/>
      <right/>
      <top style="thin"/>
      <bottom/>
      <diagonal/>
    </border>
    <border diagonalUp="false" diagonalDown="false">
      <left style="medium"/>
      <right/>
      <top style="thin"/>
      <bottom style="mediu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624">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4" fillId="2" borderId="0" xfId="0" applyFont="true" applyBorder="true" applyAlignment="true" applyProtection="false">
      <alignment horizontal="center" vertical="center" textRotation="0" wrapText="false" indent="0" shrinkToFit="false"/>
      <protection locked="true" hidden="false"/>
    </xf>
    <xf numFmtId="164" fontId="5" fillId="3" borderId="1" xfId="0" applyFont="true" applyBorder="true" applyAlignment="true" applyProtection="false">
      <alignment horizontal="center" vertical="center" textRotation="0" wrapText="false" indent="0" shrinkToFit="false"/>
      <protection locked="true" hidden="false"/>
    </xf>
    <xf numFmtId="164" fontId="5" fillId="0" borderId="0" xfId="0" applyFont="true" applyBorder="true" applyAlignment="true" applyProtection="false">
      <alignment horizontal="general" vertical="center" textRotation="0" wrapText="false" indent="0" shrinkToFit="false"/>
      <protection locked="true" hidden="false"/>
    </xf>
    <xf numFmtId="164" fontId="5" fillId="0" borderId="0" xfId="0" applyFont="true" applyBorder="true" applyAlignment="true" applyProtection="false">
      <alignment horizontal="center" vertical="center" textRotation="0" wrapText="false" indent="0" shrinkToFit="false"/>
      <protection locked="true" hidden="false"/>
    </xf>
    <xf numFmtId="164" fontId="5" fillId="0" borderId="2" xfId="0" applyFont="true" applyBorder="true" applyAlignment="true" applyProtection="false">
      <alignment horizontal="center" vertical="center" textRotation="0" wrapText="true" indent="0" shrinkToFit="false"/>
      <protection locked="true" hidden="false"/>
    </xf>
    <xf numFmtId="164" fontId="5" fillId="0" borderId="2" xfId="0" applyFont="true" applyBorder="true" applyAlignment="true" applyProtection="false">
      <alignment horizontal="left" vertical="center" textRotation="0" wrapText="false" indent="0" shrinkToFit="false"/>
      <protection locked="true" hidden="false"/>
    </xf>
    <xf numFmtId="164" fontId="5" fillId="0" borderId="3" xfId="0" applyFont="true" applyBorder="true" applyAlignment="true" applyProtection="false">
      <alignment horizontal="general" vertical="center" textRotation="0" wrapText="true" indent="0" shrinkToFit="false"/>
      <protection locked="true" hidden="false"/>
    </xf>
    <xf numFmtId="164" fontId="5" fillId="0" borderId="2" xfId="0" applyFont="true" applyBorder="true" applyAlignment="true" applyProtection="false">
      <alignment horizontal="general" vertical="center" textRotation="0" wrapText="true" indent="0" shrinkToFit="false"/>
      <protection locked="true" hidden="false"/>
    </xf>
    <xf numFmtId="164" fontId="5" fillId="0" borderId="4" xfId="0" applyFont="true" applyBorder="true" applyAlignment="true" applyProtection="false">
      <alignment horizontal="general" vertical="center" textRotation="0" wrapText="true" indent="0" shrinkToFit="false"/>
      <protection locked="true" hidden="false"/>
    </xf>
    <xf numFmtId="164" fontId="5" fillId="0" borderId="5" xfId="0" applyFont="true" applyBorder="true" applyAlignment="true" applyProtection="false">
      <alignment horizontal="general" vertical="center" textRotation="0" wrapText="false" indent="0" shrinkToFit="false"/>
      <protection locked="true" hidden="false"/>
    </xf>
    <xf numFmtId="164" fontId="5" fillId="0" borderId="1" xfId="0" applyFont="true" applyBorder="true" applyAlignment="true" applyProtection="false">
      <alignment horizontal="center" vertical="center" textRotation="0" wrapText="true" indent="0" shrinkToFit="false"/>
      <protection locked="true" hidden="false"/>
    </xf>
    <xf numFmtId="164" fontId="5" fillId="0" borderId="6" xfId="0" applyFont="true" applyBorder="true" applyAlignment="true" applyProtection="false">
      <alignment horizontal="center" vertical="center" textRotation="0" wrapText="false" indent="0" shrinkToFit="false"/>
      <protection locked="true" hidden="false"/>
    </xf>
    <xf numFmtId="164" fontId="0" fillId="0" borderId="0" xfId="0" applyFont="false" applyBorder="true" applyAlignment="true" applyProtection="false">
      <alignment horizontal="general" vertical="center" textRotation="0" wrapText="false" indent="0" shrinkToFit="false"/>
      <protection locked="true" hidden="false"/>
    </xf>
    <xf numFmtId="164" fontId="0" fillId="4" borderId="7" xfId="0" applyFont="false" applyBorder="true" applyAlignment="true" applyProtection="false">
      <alignment horizontal="center" vertical="center" textRotation="0" wrapText="false" indent="0" shrinkToFit="false"/>
      <protection locked="true" hidden="false"/>
    </xf>
    <xf numFmtId="164" fontId="6" fillId="4" borderId="8" xfId="0" applyFont="true" applyBorder="true" applyAlignment="true" applyProtection="false">
      <alignment horizontal="general" vertical="center" textRotation="0" wrapText="false" indent="0" shrinkToFit="false"/>
      <protection locked="true" hidden="false"/>
    </xf>
    <xf numFmtId="164" fontId="6" fillId="4" borderId="8" xfId="0" applyFont="true" applyBorder="true" applyAlignment="true" applyProtection="false">
      <alignment horizontal="general" vertical="center" textRotation="0" wrapText="true" indent="0" shrinkToFit="false"/>
      <protection locked="true" hidden="false"/>
    </xf>
    <xf numFmtId="164" fontId="0" fillId="4" borderId="8" xfId="0" applyFont="true" applyBorder="true" applyAlignment="true" applyProtection="false">
      <alignment horizontal="general" vertical="center" textRotation="0" wrapText="false" indent="0" shrinkToFit="false"/>
      <protection locked="true" hidden="false"/>
    </xf>
    <xf numFmtId="164" fontId="6" fillId="4" borderId="9" xfId="0" applyFont="true" applyBorder="true" applyAlignment="true" applyProtection="false">
      <alignment horizontal="general" vertical="center" textRotation="0" wrapText="false" indent="0" shrinkToFit="false"/>
      <protection locked="true" hidden="false"/>
    </xf>
    <xf numFmtId="165" fontId="0" fillId="0" borderId="7" xfId="0" applyFont="false" applyBorder="true" applyAlignment="true" applyProtection="false">
      <alignment horizontal="general" vertical="center" textRotation="0" wrapText="false" indent="0" shrinkToFit="false"/>
      <protection locked="true" hidden="false"/>
    </xf>
    <xf numFmtId="164" fontId="0" fillId="0" borderId="10" xfId="0" applyFont="false" applyBorder="true" applyAlignment="true" applyProtection="false">
      <alignment horizontal="center" vertical="center" textRotation="0" wrapText="false" indent="0" shrinkToFit="false"/>
      <protection locked="true" hidden="false"/>
    </xf>
    <xf numFmtId="164" fontId="0" fillId="0" borderId="9" xfId="0" applyFont="false" applyBorder="true" applyAlignment="true" applyProtection="false">
      <alignment horizontal="center" vertical="center" textRotation="0" wrapText="false" indent="0" shrinkToFit="false"/>
      <protection locked="true" hidden="false"/>
    </xf>
    <xf numFmtId="164" fontId="0" fillId="0" borderId="0" xfId="0" applyFont="false" applyBorder="true" applyAlignment="true" applyProtection="false">
      <alignment horizontal="center" vertical="center" textRotation="0" wrapText="false" indent="0" shrinkToFit="false"/>
      <protection locked="true" hidden="false"/>
    </xf>
    <xf numFmtId="164" fontId="0" fillId="0" borderId="0" xfId="0" applyFont="false" applyBorder="true" applyAlignment="true" applyProtection="false">
      <alignment horizontal="center" vertical="center" textRotation="0" wrapText="false" indent="0" shrinkToFit="false"/>
      <protection locked="true" hidden="false"/>
    </xf>
    <xf numFmtId="164" fontId="0" fillId="4" borderId="11" xfId="0" applyFont="false" applyBorder="true" applyAlignment="true" applyProtection="false">
      <alignment horizontal="center" vertical="center" textRotation="0" wrapText="false" indent="0" shrinkToFit="false"/>
      <protection locked="true" hidden="false"/>
    </xf>
    <xf numFmtId="164" fontId="0" fillId="4" borderId="12" xfId="0" applyFont="true" applyBorder="true" applyAlignment="true" applyProtection="false">
      <alignment horizontal="left" vertical="center" textRotation="0" wrapText="false" indent="0" shrinkToFit="false"/>
      <protection locked="true" hidden="false"/>
    </xf>
    <xf numFmtId="164" fontId="0" fillId="4" borderId="12" xfId="0" applyFont="true" applyBorder="true" applyAlignment="true" applyProtection="false">
      <alignment horizontal="left" vertical="center" textRotation="0" wrapText="true" indent="0" shrinkToFit="false"/>
      <protection locked="true" hidden="false"/>
    </xf>
    <xf numFmtId="164" fontId="6" fillId="4" borderId="12" xfId="0" applyFont="true" applyBorder="true" applyAlignment="true" applyProtection="false">
      <alignment horizontal="left" vertical="center" textRotation="0" wrapText="false" indent="0" shrinkToFit="false"/>
      <protection locked="true" hidden="false"/>
    </xf>
    <xf numFmtId="164" fontId="0" fillId="4" borderId="12" xfId="0" applyFont="true" applyBorder="true" applyAlignment="true" applyProtection="false">
      <alignment horizontal="general" vertical="center" textRotation="0" wrapText="false" indent="0" shrinkToFit="false"/>
      <protection locked="true" hidden="false"/>
    </xf>
    <xf numFmtId="164" fontId="6" fillId="4" borderId="13" xfId="0" applyFont="true" applyBorder="true" applyAlignment="true" applyProtection="false">
      <alignment horizontal="general" vertical="center" textRotation="0" wrapText="false" indent="0" shrinkToFit="false"/>
      <protection locked="true" hidden="false"/>
    </xf>
    <xf numFmtId="165" fontId="0" fillId="0" borderId="11" xfId="0" applyFont="false" applyBorder="true" applyAlignment="true" applyProtection="false">
      <alignment horizontal="general" vertical="center" textRotation="0" wrapText="false" indent="0" shrinkToFit="false"/>
      <protection locked="true" hidden="false"/>
    </xf>
    <xf numFmtId="164" fontId="0" fillId="0" borderId="13" xfId="0" applyFont="false" applyBorder="true" applyAlignment="true" applyProtection="false">
      <alignment horizontal="center" vertical="center" textRotation="0" wrapText="false" indent="0" shrinkToFit="false"/>
      <protection locked="true" hidden="false"/>
    </xf>
    <xf numFmtId="164" fontId="6" fillId="4" borderId="12" xfId="0" applyFont="true" applyBorder="true" applyAlignment="true" applyProtection="false">
      <alignment horizontal="general" vertical="center" textRotation="0" wrapText="false" indent="0" shrinkToFit="false"/>
      <protection locked="true" hidden="false"/>
    </xf>
    <xf numFmtId="165" fontId="0" fillId="0" borderId="14" xfId="0" applyFont="false" applyBorder="true" applyAlignment="true" applyProtection="false">
      <alignment horizontal="general" vertical="center" textRotation="0" wrapText="false" indent="0" shrinkToFit="false"/>
      <protection locked="true" hidden="false"/>
    </xf>
    <xf numFmtId="164" fontId="0" fillId="0" borderId="15" xfId="0" applyFont="false" applyBorder="true" applyAlignment="true" applyProtection="false">
      <alignment horizontal="center" vertical="center" textRotation="0" wrapText="false" indent="0" shrinkToFit="false"/>
      <protection locked="true" hidden="false"/>
    </xf>
    <xf numFmtId="164" fontId="6" fillId="4" borderId="12" xfId="0" applyFont="true" applyBorder="true" applyAlignment="true" applyProtection="false">
      <alignment horizontal="general" vertical="center" textRotation="0" wrapText="true" indent="0" shrinkToFit="false"/>
      <protection locked="true" hidden="false"/>
    </xf>
    <xf numFmtId="164" fontId="0" fillId="0" borderId="16" xfId="0" applyFont="false" applyBorder="true" applyAlignment="true" applyProtection="false">
      <alignment horizontal="center" vertical="center" textRotation="0" wrapText="false" indent="0" shrinkToFit="false"/>
      <protection locked="true" hidden="false"/>
    </xf>
    <xf numFmtId="164" fontId="0" fillId="4" borderId="12" xfId="0" applyFont="true" applyBorder="true" applyAlignment="true" applyProtection="false">
      <alignment horizontal="general" vertical="center" textRotation="0" wrapText="true" indent="0" shrinkToFit="false"/>
      <protection locked="true" hidden="false"/>
    </xf>
    <xf numFmtId="164" fontId="0" fillId="5" borderId="11" xfId="0" applyFont="false" applyBorder="true" applyAlignment="true" applyProtection="false">
      <alignment horizontal="center" vertical="center" textRotation="0" wrapText="false" indent="0" shrinkToFit="false"/>
      <protection locked="true" hidden="false"/>
    </xf>
    <xf numFmtId="164" fontId="6" fillId="5" borderId="12" xfId="0" applyFont="true" applyBorder="true" applyAlignment="true" applyProtection="false">
      <alignment horizontal="general" vertical="center" textRotation="0" wrapText="false" indent="0" shrinkToFit="false"/>
      <protection locked="true" hidden="false"/>
    </xf>
    <xf numFmtId="164" fontId="0" fillId="5" borderId="12" xfId="0" applyFont="true" applyBorder="true" applyAlignment="true" applyProtection="false">
      <alignment horizontal="left" vertical="center" textRotation="0" wrapText="true" indent="0" shrinkToFit="false"/>
      <protection locked="true" hidden="false"/>
    </xf>
    <xf numFmtId="164" fontId="6" fillId="5" borderId="12" xfId="0" applyFont="true" applyBorder="true" applyAlignment="true" applyProtection="false">
      <alignment horizontal="left" vertical="center" textRotation="0" wrapText="false" indent="0" shrinkToFit="false"/>
      <protection locked="true" hidden="false"/>
    </xf>
    <xf numFmtId="164" fontId="0" fillId="5" borderId="12" xfId="0" applyFont="true" applyBorder="true" applyAlignment="true" applyProtection="false">
      <alignment horizontal="left" vertical="center" textRotation="0" wrapText="false" indent="0" shrinkToFit="false"/>
      <protection locked="true" hidden="false"/>
    </xf>
    <xf numFmtId="164" fontId="0" fillId="5" borderId="12" xfId="0" applyFont="true" applyBorder="true" applyAlignment="true" applyProtection="false">
      <alignment horizontal="general" vertical="center" textRotation="0" wrapText="false" indent="0" shrinkToFit="false"/>
      <protection locked="true" hidden="false"/>
    </xf>
    <xf numFmtId="164" fontId="6" fillId="5" borderId="13" xfId="0" applyFont="true" applyBorder="true" applyAlignment="true" applyProtection="false">
      <alignment horizontal="general" vertical="center" textRotation="0" wrapText="false" indent="0" shrinkToFit="false"/>
      <protection locked="true" hidden="false"/>
    </xf>
    <xf numFmtId="165" fontId="0" fillId="0" borderId="11" xfId="0" applyFont="false" applyBorder="true" applyAlignment="true" applyProtection="false">
      <alignment horizontal="left" vertical="center" textRotation="0" wrapText="false" indent="0" shrinkToFit="false"/>
      <protection locked="true" hidden="false"/>
    </xf>
    <xf numFmtId="164" fontId="0" fillId="4" borderId="17" xfId="0" applyFont="false" applyBorder="true" applyAlignment="true" applyProtection="false">
      <alignment horizontal="center" vertical="center" textRotation="0" wrapText="false" indent="0" shrinkToFit="false"/>
      <protection locked="true" hidden="false"/>
    </xf>
    <xf numFmtId="164" fontId="6" fillId="4" borderId="18" xfId="0" applyFont="true" applyBorder="true" applyAlignment="true" applyProtection="false">
      <alignment horizontal="general" vertical="center" textRotation="0" wrapText="false" indent="0" shrinkToFit="false"/>
      <protection locked="true" hidden="false"/>
    </xf>
    <xf numFmtId="164" fontId="0" fillId="4" borderId="18" xfId="0" applyFont="true" applyBorder="true" applyAlignment="true" applyProtection="false">
      <alignment horizontal="left" vertical="center" textRotation="0" wrapText="true" indent="0" shrinkToFit="false"/>
      <protection locked="true" hidden="false"/>
    </xf>
    <xf numFmtId="164" fontId="6" fillId="4" borderId="18" xfId="0" applyFont="true" applyBorder="true" applyAlignment="true" applyProtection="false">
      <alignment horizontal="left" vertical="center" textRotation="0" wrapText="false" indent="0" shrinkToFit="false"/>
      <protection locked="true" hidden="false"/>
    </xf>
    <xf numFmtId="164" fontId="0" fillId="4" borderId="18" xfId="0" applyFont="true" applyBorder="true" applyAlignment="true" applyProtection="false">
      <alignment horizontal="left" vertical="center" textRotation="0" wrapText="false" indent="0" shrinkToFit="false"/>
      <protection locked="true" hidden="false"/>
    </xf>
    <xf numFmtId="164" fontId="0" fillId="4" borderId="18" xfId="0" applyFont="true" applyBorder="true" applyAlignment="true" applyProtection="false">
      <alignment horizontal="general" vertical="center" textRotation="0" wrapText="false" indent="0" shrinkToFit="false"/>
      <protection locked="true" hidden="false"/>
    </xf>
    <xf numFmtId="164" fontId="6" fillId="4" borderId="19" xfId="0" applyFont="true" applyBorder="true" applyAlignment="true" applyProtection="false">
      <alignment horizontal="general" vertical="center" textRotation="0" wrapText="false" indent="0" shrinkToFit="false"/>
      <protection locked="true" hidden="false"/>
    </xf>
    <xf numFmtId="165" fontId="0" fillId="0" borderId="17" xfId="0" applyFont="false" applyBorder="true" applyAlignment="true" applyProtection="false">
      <alignment horizontal="left" vertical="center" textRotation="0" wrapText="false" indent="0" shrinkToFit="false"/>
      <protection locked="true" hidden="false"/>
    </xf>
    <xf numFmtId="164" fontId="0" fillId="0" borderId="19" xfId="0" applyFont="false" applyBorder="true" applyAlignment="true" applyProtection="false">
      <alignment horizontal="center" vertical="center" textRotation="0" wrapText="false" indent="0" shrinkToFit="false"/>
      <protection locked="true" hidden="false"/>
    </xf>
    <xf numFmtId="164" fontId="5" fillId="2" borderId="20" xfId="0" applyFont="true" applyBorder="true" applyAlignment="true" applyProtection="false">
      <alignment horizontal="right" vertical="center" textRotation="0" wrapText="false" indent="0" shrinkToFit="false"/>
      <protection locked="true" hidden="false"/>
    </xf>
    <xf numFmtId="164" fontId="5" fillId="2" borderId="20" xfId="0" applyFont="true" applyBorder="true" applyAlignment="true" applyProtection="false">
      <alignment horizontal="center" vertical="center" textRotation="0" wrapText="false" indent="0" shrinkToFit="false"/>
      <protection locked="true" hidden="false"/>
    </xf>
    <xf numFmtId="164" fontId="5" fillId="0" borderId="0" xfId="0" applyFont="true" applyBorder="true" applyAlignment="true" applyProtection="false">
      <alignment horizontal="right" vertical="center" textRotation="0" wrapText="false" indent="0" shrinkToFit="false"/>
      <protection locked="true" hidden="false"/>
    </xf>
    <xf numFmtId="164" fontId="5" fillId="0" borderId="21" xfId="0" applyFont="true" applyBorder="true" applyAlignment="true" applyProtection="false">
      <alignment horizontal="center" vertical="center" textRotation="0" wrapText="true" indent="0" shrinkToFit="false"/>
      <protection locked="true" hidden="false"/>
    </xf>
    <xf numFmtId="164" fontId="5" fillId="0" borderId="5" xfId="0" applyFont="true" applyBorder="true" applyAlignment="true" applyProtection="false">
      <alignment horizontal="left" vertical="center" textRotation="0" wrapText="false" indent="0" shrinkToFit="false"/>
      <protection locked="true" hidden="false"/>
    </xf>
    <xf numFmtId="164" fontId="5" fillId="0" borderId="5" xfId="0" applyFont="true" applyBorder="true" applyAlignment="true" applyProtection="false">
      <alignment horizontal="general" vertical="center" textRotation="0" wrapText="true" indent="0" shrinkToFit="false"/>
      <protection locked="true" hidden="false"/>
    </xf>
    <xf numFmtId="164" fontId="5" fillId="0" borderId="21" xfId="0" applyFont="true" applyBorder="true" applyAlignment="true" applyProtection="false">
      <alignment horizontal="general" vertical="center" textRotation="0" wrapText="true" indent="0" shrinkToFit="false"/>
      <protection locked="true" hidden="false"/>
    </xf>
    <xf numFmtId="164" fontId="5" fillId="0" borderId="6" xfId="0" applyFont="true" applyBorder="true" applyAlignment="true" applyProtection="false">
      <alignment horizontal="general" vertical="center" textRotation="0" wrapText="true" indent="0" shrinkToFit="false"/>
      <protection locked="true" hidden="false"/>
    </xf>
    <xf numFmtId="164" fontId="5" fillId="0" borderId="22" xfId="0" applyFont="true" applyBorder="true" applyAlignment="true" applyProtection="false">
      <alignment horizontal="general" vertical="center" textRotation="0" wrapText="true" indent="0" shrinkToFit="false"/>
      <protection locked="true" hidden="false"/>
    </xf>
    <xf numFmtId="164" fontId="0" fillId="0" borderId="23" xfId="0" applyFont="true" applyBorder="true" applyAlignment="true" applyProtection="false">
      <alignment horizontal="center" vertical="center" textRotation="0" wrapText="true" indent="0" shrinkToFit="false"/>
      <protection locked="true" hidden="false"/>
    </xf>
    <xf numFmtId="164" fontId="0" fillId="0" borderId="24" xfId="0" applyFont="true" applyBorder="true" applyAlignment="true" applyProtection="false">
      <alignment horizontal="left" vertical="center" textRotation="0" wrapText="false" indent="0" shrinkToFit="false"/>
      <protection locked="true" hidden="false"/>
    </xf>
    <xf numFmtId="164" fontId="0" fillId="0" borderId="8" xfId="0" applyFont="true" applyBorder="true" applyAlignment="true" applyProtection="false">
      <alignment horizontal="general" vertical="center" textRotation="0" wrapText="true" indent="0" shrinkToFit="false"/>
      <protection locked="true" hidden="false"/>
    </xf>
    <xf numFmtId="164" fontId="0" fillId="0" borderId="9" xfId="0" applyFont="true" applyBorder="true" applyAlignment="true" applyProtection="false">
      <alignment horizontal="general" vertical="center" textRotation="0" wrapText="true" indent="0" shrinkToFit="false"/>
      <protection locked="true" hidden="false"/>
    </xf>
    <xf numFmtId="164" fontId="0" fillId="0" borderId="25" xfId="0" applyFont="false" applyBorder="true" applyAlignment="true" applyProtection="false">
      <alignment horizontal="center" vertical="center" textRotation="0" wrapText="false" indent="0" shrinkToFit="false"/>
      <protection locked="true" hidden="false"/>
    </xf>
    <xf numFmtId="164" fontId="6" fillId="0" borderId="26" xfId="0" applyFont="true" applyBorder="true" applyAlignment="true" applyProtection="false">
      <alignment horizontal="general" vertical="center" textRotation="0" wrapText="false" indent="0" shrinkToFit="false"/>
      <protection locked="true" hidden="false"/>
    </xf>
    <xf numFmtId="164" fontId="0" fillId="0" borderId="18" xfId="0" applyFont="true" applyBorder="true" applyAlignment="true" applyProtection="false">
      <alignment horizontal="left" vertical="center" textRotation="0" wrapText="true" indent="0" shrinkToFit="false"/>
      <protection locked="true" hidden="false"/>
    </xf>
    <xf numFmtId="164" fontId="6" fillId="0" borderId="18" xfId="0" applyFont="true" applyBorder="true" applyAlignment="true" applyProtection="false">
      <alignment horizontal="left" vertical="center" textRotation="0" wrapText="false" indent="0" shrinkToFit="false"/>
      <protection locked="true" hidden="false"/>
    </xf>
    <xf numFmtId="164" fontId="0" fillId="0" borderId="18" xfId="0" applyFont="true" applyBorder="true" applyAlignment="true" applyProtection="false">
      <alignment horizontal="left" vertical="center" textRotation="0" wrapText="false" indent="0" shrinkToFit="false"/>
      <protection locked="true" hidden="false"/>
    </xf>
    <xf numFmtId="164" fontId="0" fillId="0" borderId="18" xfId="0" applyFont="true" applyBorder="true" applyAlignment="true" applyProtection="false">
      <alignment horizontal="general" vertical="center" textRotation="0" wrapText="false" indent="0" shrinkToFit="false"/>
      <protection locked="true" hidden="false"/>
    </xf>
    <xf numFmtId="164" fontId="0" fillId="0" borderId="19" xfId="0" applyFont="true" applyBorder="true" applyAlignment="true" applyProtection="false">
      <alignment horizontal="general" vertical="center" textRotation="0" wrapText="false" indent="0" shrinkToFit="false"/>
      <protection locked="true" hidden="false"/>
    </xf>
    <xf numFmtId="164" fontId="7" fillId="0" borderId="0" xfId="0" applyFont="true" applyBorder="true" applyAlignment="true" applyProtection="false">
      <alignment horizontal="center" vertical="center" textRotation="0" wrapText="false" indent="0" shrinkToFit="false"/>
      <protection locked="true" hidden="false"/>
    </xf>
    <xf numFmtId="164" fontId="0" fillId="6" borderId="0" xfId="0" applyFont="false" applyBorder="false" applyAlignment="true" applyProtection="false">
      <alignment horizontal="general" vertical="center" textRotation="0" wrapText="false" indent="0" shrinkToFit="false"/>
      <protection locked="true" hidden="false"/>
    </xf>
    <xf numFmtId="164" fontId="5" fillId="6" borderId="0" xfId="0" applyFont="true" applyBorder="false" applyAlignment="true" applyProtection="false">
      <alignment horizontal="left" vertical="center" textRotation="0" wrapText="false" indent="0" shrinkToFit="false"/>
      <protection locked="true" hidden="false"/>
    </xf>
    <xf numFmtId="164" fontId="8" fillId="3" borderId="0" xfId="0" applyFont="true" applyBorder="true" applyAlignment="true" applyProtection="false">
      <alignment horizontal="center" vertical="center" textRotation="0" wrapText="false" indent="0" shrinkToFit="false"/>
      <protection locked="true" hidden="false"/>
    </xf>
    <xf numFmtId="166" fontId="5" fillId="0" borderId="5" xfId="0" applyFont="true" applyBorder="true" applyAlignment="true" applyProtection="false">
      <alignment horizontal="center" vertical="center" textRotation="0" wrapText="false" indent="0" shrinkToFit="false"/>
      <protection locked="true" hidden="false"/>
    </xf>
    <xf numFmtId="166" fontId="5" fillId="0" borderId="21" xfId="0" applyFont="true" applyBorder="true" applyAlignment="true" applyProtection="false">
      <alignment horizontal="center" vertical="center" textRotation="0" wrapText="true" indent="0" shrinkToFit="false"/>
      <protection locked="true" hidden="false"/>
    </xf>
    <xf numFmtId="166" fontId="5" fillId="0" borderId="21" xfId="0" applyFont="true" applyBorder="true" applyAlignment="true" applyProtection="false">
      <alignment horizontal="center" vertical="center" textRotation="0" wrapText="false" indent="0" shrinkToFit="false"/>
      <protection locked="true" hidden="false"/>
    </xf>
    <xf numFmtId="166" fontId="5" fillId="0" borderId="1" xfId="0" applyFont="true" applyBorder="true" applyAlignment="true" applyProtection="false">
      <alignment horizontal="center" vertical="center" textRotation="0" wrapText="true" indent="0" shrinkToFit="false"/>
      <protection locked="true" hidden="false"/>
    </xf>
    <xf numFmtId="166" fontId="5" fillId="0" borderId="21" xfId="0" applyFont="true" applyBorder="true" applyAlignment="true" applyProtection="false">
      <alignment horizontal="general" vertical="center" textRotation="0" wrapText="false" indent="0" shrinkToFit="false"/>
      <protection locked="true" hidden="false"/>
    </xf>
    <xf numFmtId="166" fontId="5" fillId="0" borderId="6" xfId="0" applyFont="true" applyBorder="true" applyAlignment="true" applyProtection="false">
      <alignment horizontal="general" vertical="center" textRotation="0" wrapText="false" indent="0" shrinkToFit="false"/>
      <protection locked="true" hidden="false"/>
    </xf>
    <xf numFmtId="164" fontId="6" fillId="0" borderId="7" xfId="0" applyFont="true" applyBorder="true" applyAlignment="true" applyProtection="false">
      <alignment horizontal="general" vertical="center" textRotation="0" wrapText="false" indent="0" shrinkToFit="false"/>
      <protection locked="true" hidden="false"/>
    </xf>
    <xf numFmtId="164" fontId="6" fillId="0" borderId="8" xfId="0" applyFont="true" applyBorder="true" applyAlignment="true" applyProtection="false">
      <alignment horizontal="general" vertical="center" textRotation="0" wrapText="true" indent="0" shrinkToFit="false"/>
      <protection locked="true" hidden="false"/>
    </xf>
    <xf numFmtId="164" fontId="0" fillId="0" borderId="27" xfId="0" applyFont="false" applyBorder="true" applyAlignment="true" applyProtection="false">
      <alignment horizontal="center" vertical="center" textRotation="0" wrapText="false" indent="0" shrinkToFit="false"/>
      <protection locked="true" hidden="false"/>
    </xf>
    <xf numFmtId="166" fontId="0" fillId="7" borderId="7" xfId="0" applyFont="true" applyBorder="true" applyAlignment="true" applyProtection="false">
      <alignment horizontal="left" vertical="center" textRotation="0" wrapText="false" indent="0" shrinkToFit="false"/>
      <protection locked="true" hidden="false"/>
    </xf>
    <xf numFmtId="166" fontId="0" fillId="7" borderId="8" xfId="0" applyFont="true" applyBorder="true" applyAlignment="true" applyProtection="false">
      <alignment horizontal="general" vertical="center" textRotation="0" wrapText="false" indent="0" shrinkToFit="false"/>
      <protection locked="true" hidden="false"/>
    </xf>
    <xf numFmtId="166" fontId="0" fillId="7" borderId="9" xfId="0" applyFont="true" applyBorder="true" applyAlignment="true" applyProtection="false">
      <alignment horizontal="left" vertical="center" textRotation="0" wrapText="true" indent="0" shrinkToFit="false"/>
      <protection locked="true" hidden="false"/>
    </xf>
    <xf numFmtId="166" fontId="0" fillId="0" borderId="28" xfId="0" applyFont="true" applyBorder="true" applyAlignment="true" applyProtection="false">
      <alignment horizontal="general" vertical="center" textRotation="0" wrapText="false" indent="0" shrinkToFit="false"/>
      <protection locked="true" hidden="false"/>
    </xf>
    <xf numFmtId="166" fontId="0" fillId="0" borderId="7" xfId="0" applyFont="true" applyBorder="true" applyAlignment="true" applyProtection="false">
      <alignment horizontal="general" vertical="center" textRotation="0" wrapText="false" indent="0" shrinkToFit="false"/>
      <protection locked="true" hidden="false"/>
    </xf>
    <xf numFmtId="166" fontId="0" fillId="0" borderId="8" xfId="0" applyFont="true" applyBorder="true" applyAlignment="true" applyProtection="false">
      <alignment horizontal="general" vertical="center" textRotation="0" wrapText="false" indent="0" shrinkToFit="false"/>
      <protection locked="true" hidden="false"/>
    </xf>
    <xf numFmtId="166" fontId="0" fillId="0" borderId="9" xfId="0" applyFont="true" applyBorder="true" applyAlignment="true" applyProtection="false">
      <alignment horizontal="left" vertical="center" textRotation="0" wrapText="false" indent="0" shrinkToFit="false"/>
      <protection locked="true" hidden="false"/>
    </xf>
    <xf numFmtId="164" fontId="0" fillId="0" borderId="12" xfId="0" applyFont="true" applyBorder="true" applyAlignment="true" applyProtection="false">
      <alignment horizontal="left" vertical="center" textRotation="0" wrapText="true" indent="0" shrinkToFit="false"/>
      <protection locked="true" hidden="false"/>
    </xf>
    <xf numFmtId="164" fontId="0" fillId="0" borderId="29" xfId="0" applyFont="false" applyBorder="true" applyAlignment="true" applyProtection="false">
      <alignment horizontal="center" vertical="center" textRotation="0" wrapText="false" indent="0" shrinkToFit="false"/>
      <protection locked="true" hidden="false"/>
    </xf>
    <xf numFmtId="166" fontId="0" fillId="8" borderId="11" xfId="0" applyFont="true" applyBorder="true" applyAlignment="true" applyProtection="false">
      <alignment horizontal="left" vertical="center" textRotation="0" wrapText="false" indent="0" shrinkToFit="false"/>
      <protection locked="true" hidden="false"/>
    </xf>
    <xf numFmtId="166" fontId="0" fillId="8" borderId="12" xfId="0" applyFont="true" applyBorder="true" applyAlignment="true" applyProtection="false">
      <alignment horizontal="general" vertical="center" textRotation="0" wrapText="true" indent="0" shrinkToFit="false"/>
      <protection locked="true" hidden="false"/>
    </xf>
    <xf numFmtId="166" fontId="0" fillId="8" borderId="13" xfId="0" applyFont="true" applyBorder="true" applyAlignment="true" applyProtection="false">
      <alignment horizontal="left" vertical="center" textRotation="0" wrapText="true" indent="0" shrinkToFit="false"/>
      <protection locked="true" hidden="false"/>
    </xf>
    <xf numFmtId="166" fontId="0" fillId="9" borderId="18" xfId="0" applyFont="true" applyBorder="true" applyAlignment="true" applyProtection="false">
      <alignment horizontal="general" vertical="center" textRotation="0" wrapText="true" indent="0" shrinkToFit="false"/>
      <protection locked="true" hidden="false"/>
    </xf>
    <xf numFmtId="166" fontId="0" fillId="0" borderId="11" xfId="0" applyFont="true" applyBorder="true" applyAlignment="true" applyProtection="false">
      <alignment horizontal="general" vertical="center" textRotation="0" wrapText="false" indent="0" shrinkToFit="false"/>
      <protection locked="true" hidden="false"/>
    </xf>
    <xf numFmtId="166" fontId="0" fillId="0" borderId="12" xfId="0" applyFont="true" applyBorder="true" applyAlignment="true" applyProtection="false">
      <alignment horizontal="general" vertical="center" textRotation="0" wrapText="false" indent="0" shrinkToFit="false"/>
      <protection locked="true" hidden="false"/>
    </xf>
    <xf numFmtId="166" fontId="0" fillId="0" borderId="13" xfId="0" applyFont="true" applyBorder="true" applyAlignment="true" applyProtection="false">
      <alignment horizontal="left" vertical="center" textRotation="0" wrapText="false" indent="0" shrinkToFit="false"/>
      <protection locked="true" hidden="false"/>
    </xf>
    <xf numFmtId="164" fontId="6" fillId="0" borderId="11" xfId="0" applyFont="true" applyBorder="true" applyAlignment="true" applyProtection="false">
      <alignment horizontal="general" vertical="center" textRotation="0" wrapText="false" indent="0" shrinkToFit="false"/>
      <protection locked="true" hidden="false"/>
    </xf>
    <xf numFmtId="166" fontId="0" fillId="5" borderId="11" xfId="0" applyFont="true" applyBorder="true" applyAlignment="true" applyProtection="false">
      <alignment horizontal="left" vertical="center" textRotation="0" wrapText="true" indent="0" shrinkToFit="false"/>
      <protection locked="true" hidden="false"/>
    </xf>
    <xf numFmtId="166" fontId="0" fillId="5" borderId="12" xfId="0" applyFont="true" applyBorder="true" applyAlignment="true" applyProtection="false">
      <alignment horizontal="general" vertical="center" textRotation="0" wrapText="true" indent="0" shrinkToFit="false"/>
      <protection locked="true" hidden="false"/>
    </xf>
    <xf numFmtId="166" fontId="0" fillId="5" borderId="13" xfId="0" applyFont="true" applyBorder="true" applyAlignment="true" applyProtection="false">
      <alignment horizontal="left" vertical="center" textRotation="0" wrapText="true" indent="0" shrinkToFit="false"/>
      <protection locked="true" hidden="false"/>
    </xf>
    <xf numFmtId="166" fontId="0" fillId="0" borderId="30" xfId="0" applyFont="true" applyBorder="true" applyAlignment="true" applyProtection="false">
      <alignment horizontal="general" vertical="center" textRotation="0" wrapText="false" indent="0" shrinkToFit="false"/>
      <protection locked="true" hidden="false"/>
    </xf>
    <xf numFmtId="166" fontId="0" fillId="0" borderId="11" xfId="0" applyFont="true" applyBorder="true" applyAlignment="true" applyProtection="false">
      <alignment horizontal="general" vertical="center" textRotation="0" wrapText="false" indent="0" shrinkToFit="false"/>
      <protection locked="true" hidden="false"/>
    </xf>
    <xf numFmtId="166" fontId="0" fillId="0" borderId="12" xfId="0" applyFont="true" applyBorder="true" applyAlignment="true" applyProtection="false">
      <alignment horizontal="general" vertical="center" textRotation="0" wrapText="false" indent="0" shrinkToFit="false"/>
      <protection locked="true" hidden="false"/>
    </xf>
    <xf numFmtId="166" fontId="0" fillId="0" borderId="13" xfId="0" applyFont="true" applyBorder="true" applyAlignment="true" applyProtection="false">
      <alignment horizontal="left" vertical="center" textRotation="0" wrapText="true" indent="0" shrinkToFit="false"/>
      <protection locked="true" hidden="false"/>
    </xf>
    <xf numFmtId="164" fontId="0" fillId="0" borderId="18" xfId="0" applyFont="true" applyBorder="true" applyAlignment="true" applyProtection="false">
      <alignment horizontal="left" vertical="center" textRotation="0" wrapText="true" indent="0" shrinkToFit="false"/>
      <protection locked="true" hidden="false"/>
    </xf>
    <xf numFmtId="164" fontId="0" fillId="0" borderId="31" xfId="0" applyFont="false" applyBorder="true" applyAlignment="true" applyProtection="false">
      <alignment horizontal="center" vertical="center" textRotation="0" wrapText="false" indent="0" shrinkToFit="false"/>
      <protection locked="true" hidden="false"/>
    </xf>
    <xf numFmtId="166" fontId="0" fillId="9" borderId="17" xfId="0" applyFont="true" applyBorder="true" applyAlignment="true" applyProtection="false">
      <alignment horizontal="general" vertical="center" textRotation="0" wrapText="true" indent="0" shrinkToFit="false"/>
      <protection locked="true" hidden="false"/>
    </xf>
    <xf numFmtId="166" fontId="0" fillId="9" borderId="19" xfId="0" applyFont="true" applyBorder="true" applyAlignment="true" applyProtection="false">
      <alignment horizontal="left" vertical="center" textRotation="0" wrapText="true" indent="0" shrinkToFit="false"/>
      <protection locked="true" hidden="false"/>
    </xf>
    <xf numFmtId="166" fontId="0" fillId="0" borderId="32" xfId="0" applyFont="true" applyBorder="true" applyAlignment="true" applyProtection="false">
      <alignment horizontal="general" vertical="center" textRotation="0" wrapText="false" indent="0" shrinkToFit="false"/>
      <protection locked="true" hidden="false"/>
    </xf>
    <xf numFmtId="166" fontId="0" fillId="0" borderId="17" xfId="0" applyFont="true" applyBorder="true" applyAlignment="true" applyProtection="false">
      <alignment horizontal="general" vertical="center" textRotation="0" wrapText="false" indent="0" shrinkToFit="false"/>
      <protection locked="true" hidden="false"/>
    </xf>
    <xf numFmtId="166" fontId="0" fillId="0" borderId="18" xfId="0" applyFont="true" applyBorder="true" applyAlignment="true" applyProtection="false">
      <alignment horizontal="general" vertical="center" textRotation="0" wrapText="false" indent="0" shrinkToFit="false"/>
      <protection locked="true" hidden="false"/>
    </xf>
    <xf numFmtId="166" fontId="0" fillId="0" borderId="19" xfId="0" applyFont="true" applyBorder="true" applyAlignment="true" applyProtection="false">
      <alignment horizontal="left" vertical="center" textRotation="0" wrapText="true" indent="0" shrinkToFit="false"/>
      <protection locked="true" hidden="false"/>
    </xf>
    <xf numFmtId="164" fontId="0" fillId="0" borderId="0" xfId="0" applyFont="false" applyBorder="true" applyAlignment="true" applyProtection="false">
      <alignment horizontal="general" vertical="center" textRotation="0" wrapText="false" indent="0" shrinkToFit="false"/>
      <protection locked="true" hidden="false"/>
    </xf>
    <xf numFmtId="164" fontId="0" fillId="7" borderId="0" xfId="0" applyFont="false" applyBorder="false" applyAlignment="true" applyProtection="false">
      <alignment horizontal="general" vertical="center" textRotation="0" wrapText="false" indent="0" shrinkToFit="false"/>
      <protection locked="true" hidden="false"/>
    </xf>
    <xf numFmtId="165" fontId="5" fillId="7" borderId="33" xfId="0" applyFont="true" applyBorder="true" applyAlignment="true" applyProtection="false">
      <alignment horizontal="center" vertical="center" textRotation="0" wrapText="false" indent="0" shrinkToFit="false"/>
      <protection locked="true" hidden="false"/>
    </xf>
    <xf numFmtId="164" fontId="5" fillId="7" borderId="0" xfId="0" applyFont="true" applyBorder="true" applyAlignment="true" applyProtection="false">
      <alignment horizontal="center" vertical="center" textRotation="0" wrapText="false" indent="0" shrinkToFit="false"/>
      <protection locked="true" hidden="false"/>
    </xf>
    <xf numFmtId="166" fontId="5" fillId="0" borderId="5" xfId="0" applyFont="true" applyBorder="true" applyAlignment="true" applyProtection="false">
      <alignment horizontal="center" vertical="center" textRotation="0" wrapText="false" indent="0" shrinkToFit="false"/>
      <protection locked="true" hidden="false"/>
    </xf>
    <xf numFmtId="166" fontId="5" fillId="0" borderId="21" xfId="0" applyFont="true" applyBorder="true" applyAlignment="true" applyProtection="false">
      <alignment horizontal="general" vertical="center" textRotation="0" wrapText="true" indent="0" shrinkToFit="false"/>
      <protection locked="true" hidden="false"/>
    </xf>
    <xf numFmtId="166" fontId="5" fillId="0" borderId="22" xfId="0" applyFont="true" applyBorder="true" applyAlignment="true" applyProtection="false">
      <alignment horizontal="center" vertical="center" textRotation="0" wrapText="true" indent="0" shrinkToFit="false"/>
      <protection locked="true" hidden="false"/>
    </xf>
    <xf numFmtId="166" fontId="5" fillId="0" borderId="6" xfId="0" applyFont="true" applyBorder="true" applyAlignment="true" applyProtection="false">
      <alignment horizontal="center" vertical="center" textRotation="0" wrapText="false" indent="0" shrinkToFit="false"/>
      <protection locked="true" hidden="false"/>
    </xf>
    <xf numFmtId="166" fontId="5" fillId="0" borderId="21" xfId="0" applyFont="true" applyBorder="true" applyAlignment="true" applyProtection="false">
      <alignment horizontal="center" vertical="center" textRotation="0" wrapText="false" indent="0" shrinkToFit="false"/>
      <protection locked="true" hidden="false"/>
    </xf>
    <xf numFmtId="164" fontId="5" fillId="0" borderId="5" xfId="0" applyFont="true" applyBorder="true" applyAlignment="true" applyProtection="false">
      <alignment horizontal="center" vertical="center" textRotation="0" wrapText="false" indent="0" shrinkToFit="false"/>
      <protection locked="true" hidden="false"/>
    </xf>
    <xf numFmtId="164" fontId="5" fillId="0" borderId="21" xfId="0" applyFont="true" applyBorder="true" applyAlignment="true" applyProtection="false">
      <alignment horizontal="center" vertical="center" textRotation="0" wrapText="false" indent="0" shrinkToFit="false"/>
      <protection locked="true" hidden="false"/>
    </xf>
    <xf numFmtId="164" fontId="0" fillId="7" borderId="0" xfId="0" applyFont="true" applyBorder="true" applyAlignment="true" applyProtection="false">
      <alignment horizontal="general" vertical="center" textRotation="0" wrapText="false" indent="0" shrinkToFit="false"/>
      <protection locked="true" hidden="false"/>
    </xf>
    <xf numFmtId="164" fontId="0" fillId="0" borderId="8" xfId="0" applyFont="true" applyBorder="true" applyAlignment="true" applyProtection="false">
      <alignment horizontal="center" vertical="center" textRotation="0" wrapText="false" indent="0" shrinkToFit="false"/>
      <protection locked="true" hidden="false"/>
    </xf>
    <xf numFmtId="164" fontId="0" fillId="0" borderId="8" xfId="0" applyFont="true" applyBorder="true" applyAlignment="true" applyProtection="false">
      <alignment horizontal="center" vertical="center" textRotation="0" wrapText="true" indent="0" shrinkToFit="false"/>
      <protection locked="true" hidden="false"/>
    </xf>
    <xf numFmtId="167" fontId="0" fillId="0" borderId="8" xfId="0" applyFont="true" applyBorder="true" applyAlignment="true" applyProtection="false">
      <alignment horizontal="center" vertical="center" textRotation="0" wrapText="false" indent="0" shrinkToFit="false"/>
      <protection locked="true" hidden="false"/>
    </xf>
    <xf numFmtId="164" fontId="0" fillId="0" borderId="9" xfId="0" applyFont="true" applyBorder="true" applyAlignment="true" applyProtection="false">
      <alignment horizontal="center" vertical="center" textRotation="0" wrapText="false" indent="0" shrinkToFit="false"/>
      <protection locked="true" hidden="false"/>
    </xf>
    <xf numFmtId="165" fontId="0" fillId="0" borderId="24" xfId="0" applyFont="false" applyBorder="true" applyAlignment="true" applyProtection="false">
      <alignment horizontal="center" vertical="center" textRotation="0" wrapText="false" indent="0" shrinkToFit="false"/>
      <protection locked="true" hidden="false"/>
    </xf>
    <xf numFmtId="165" fontId="0" fillId="0" borderId="7" xfId="0" applyFont="false" applyBorder="true" applyAlignment="true" applyProtection="false">
      <alignment horizontal="center" vertical="center" textRotation="0" wrapText="false" indent="0" shrinkToFit="false"/>
      <protection locked="true" hidden="false"/>
    </xf>
    <xf numFmtId="165" fontId="0" fillId="0" borderId="23" xfId="0" applyFont="false" applyBorder="true" applyAlignment="true" applyProtection="false">
      <alignment horizontal="center" vertical="center" textRotation="0" wrapText="false" indent="0" shrinkToFit="false"/>
      <protection locked="true" hidden="false"/>
    </xf>
    <xf numFmtId="164" fontId="0" fillId="7" borderId="0" xfId="0" applyFont="false" applyBorder="true" applyAlignment="true" applyProtection="false">
      <alignment horizontal="center" vertical="center" textRotation="0" wrapText="false" indent="0" shrinkToFit="false"/>
      <protection locked="true" hidden="false"/>
    </xf>
    <xf numFmtId="164" fontId="0" fillId="0" borderId="12" xfId="0" applyFont="true" applyBorder="true" applyAlignment="true" applyProtection="false">
      <alignment horizontal="center" vertical="center" textRotation="0" wrapText="false" indent="0" shrinkToFit="false"/>
      <protection locked="true" hidden="false"/>
    </xf>
    <xf numFmtId="167" fontId="0" fillId="0" borderId="12" xfId="0" applyFont="true" applyBorder="true" applyAlignment="true" applyProtection="false">
      <alignment horizontal="center" vertical="center" textRotation="0" wrapText="false" indent="0" shrinkToFit="false"/>
      <protection locked="true" hidden="false"/>
    </xf>
    <xf numFmtId="164" fontId="0" fillId="0" borderId="13" xfId="0" applyFont="true" applyBorder="true" applyAlignment="true" applyProtection="false">
      <alignment horizontal="center" vertical="center" textRotation="0" wrapText="false" indent="0" shrinkToFit="false"/>
      <protection locked="true" hidden="false"/>
    </xf>
    <xf numFmtId="165" fontId="0" fillId="0" borderId="34" xfId="0" applyFont="false" applyBorder="true" applyAlignment="true" applyProtection="false">
      <alignment horizontal="center" vertical="center" textRotation="0" wrapText="false" indent="0" shrinkToFit="false"/>
      <protection locked="true" hidden="false"/>
    </xf>
    <xf numFmtId="165" fontId="0" fillId="0" borderId="11" xfId="0" applyFont="false" applyBorder="true" applyAlignment="true" applyProtection="false">
      <alignment horizontal="center" vertical="center" textRotation="0" wrapText="false" indent="0" shrinkToFit="false"/>
      <protection locked="true" hidden="false"/>
    </xf>
    <xf numFmtId="165" fontId="0" fillId="0" borderId="35" xfId="0" applyFont="false" applyBorder="true" applyAlignment="true" applyProtection="false">
      <alignment horizontal="center" vertical="center" textRotation="0" wrapText="false" indent="0" shrinkToFit="false"/>
      <protection locked="true" hidden="false"/>
    </xf>
    <xf numFmtId="164" fontId="9" fillId="0" borderId="11" xfId="0" applyFont="true" applyBorder="true" applyAlignment="true" applyProtection="false">
      <alignment horizontal="general" vertical="center" textRotation="0" wrapText="false" indent="0" shrinkToFit="false"/>
      <protection locked="true" hidden="false"/>
    </xf>
    <xf numFmtId="164" fontId="9" fillId="0" borderId="12" xfId="0" applyFont="true" applyBorder="true" applyAlignment="true" applyProtection="false">
      <alignment horizontal="left" vertical="center" textRotation="0" wrapText="true" indent="0" shrinkToFit="false"/>
      <protection locked="true" hidden="false"/>
    </xf>
    <xf numFmtId="164" fontId="9" fillId="0" borderId="12" xfId="0" applyFont="true" applyBorder="true" applyAlignment="true" applyProtection="false">
      <alignment horizontal="center" vertical="center" textRotation="0" wrapText="false" indent="0" shrinkToFit="false"/>
      <protection locked="true" hidden="false"/>
    </xf>
    <xf numFmtId="167" fontId="9" fillId="0" borderId="12" xfId="0" applyFont="true" applyBorder="true" applyAlignment="true" applyProtection="false">
      <alignment horizontal="center" vertical="center" textRotation="0" wrapText="false" indent="0" shrinkToFit="false"/>
      <protection locked="true" hidden="false"/>
    </xf>
    <xf numFmtId="164" fontId="9" fillId="0" borderId="13" xfId="0" applyFont="true" applyBorder="true" applyAlignment="true" applyProtection="false">
      <alignment horizontal="center" vertical="center" textRotation="0" wrapText="false" indent="0" shrinkToFit="false"/>
      <protection locked="true" hidden="false"/>
    </xf>
    <xf numFmtId="164" fontId="6" fillId="7" borderId="0" xfId="0" applyFont="true" applyBorder="true" applyAlignment="true" applyProtection="false">
      <alignment horizontal="general" vertical="center" textRotation="0" wrapText="false" indent="0" shrinkToFit="false"/>
      <protection locked="true" hidden="false"/>
    </xf>
    <xf numFmtId="164" fontId="0" fillId="0" borderId="18" xfId="0" applyFont="true" applyBorder="true" applyAlignment="true" applyProtection="false">
      <alignment horizontal="center" vertical="center" textRotation="0" wrapText="false" indent="0" shrinkToFit="false"/>
      <protection locked="true" hidden="false"/>
    </xf>
    <xf numFmtId="167" fontId="0" fillId="0" borderId="18" xfId="0" applyFont="true" applyBorder="true" applyAlignment="true" applyProtection="false">
      <alignment horizontal="center" vertical="center" textRotation="0" wrapText="false" indent="0" shrinkToFit="false"/>
      <protection locked="true" hidden="false"/>
    </xf>
    <xf numFmtId="164" fontId="0" fillId="0" borderId="19" xfId="0" applyFont="true" applyBorder="true" applyAlignment="true" applyProtection="false">
      <alignment horizontal="center" vertical="center" textRotation="0" wrapText="false" indent="0" shrinkToFit="false"/>
      <protection locked="true" hidden="false"/>
    </xf>
    <xf numFmtId="165" fontId="0" fillId="0" borderId="26" xfId="0" applyFont="false" applyBorder="true" applyAlignment="true" applyProtection="false">
      <alignment horizontal="center" vertical="center" textRotation="0" wrapText="false" indent="0" shrinkToFit="false"/>
      <protection locked="true" hidden="false"/>
    </xf>
    <xf numFmtId="165" fontId="0" fillId="0" borderId="17" xfId="0" applyFont="false" applyBorder="true" applyAlignment="true" applyProtection="false">
      <alignment horizontal="center" vertical="center" textRotation="0" wrapText="false" indent="0" shrinkToFit="false"/>
      <protection locked="true" hidden="false"/>
    </xf>
    <xf numFmtId="165" fontId="0" fillId="0" borderId="25" xfId="0" applyFont="false" applyBorder="true" applyAlignment="true" applyProtection="false">
      <alignment horizontal="center" vertical="center" textRotation="0" wrapText="false" indent="0" shrinkToFit="false"/>
      <protection locked="true" hidden="false"/>
    </xf>
    <xf numFmtId="164" fontId="9" fillId="7" borderId="0" xfId="0" applyFont="true" applyBorder="true" applyAlignment="true" applyProtection="false">
      <alignment horizontal="general" vertical="center" textRotation="0" wrapText="false" indent="0" shrinkToFit="false"/>
      <protection locked="true" hidden="false"/>
    </xf>
    <xf numFmtId="164" fontId="5" fillId="0" borderId="36" xfId="0" applyFont="true" applyBorder="true" applyAlignment="true" applyProtection="false">
      <alignment horizontal="right" vertical="center" textRotation="0" wrapText="false" indent="0" shrinkToFit="false"/>
      <protection locked="true" hidden="false"/>
    </xf>
    <xf numFmtId="165" fontId="5" fillId="0" borderId="20" xfId="0" applyFont="true" applyBorder="true" applyAlignment="true" applyProtection="false">
      <alignment horizontal="center" vertical="center" textRotation="0" wrapText="false" indent="0" shrinkToFit="false"/>
      <protection locked="true" hidden="false"/>
    </xf>
    <xf numFmtId="167" fontId="9" fillId="7" borderId="0" xfId="0" applyFont="true" applyBorder="true" applyAlignment="true" applyProtection="false">
      <alignment horizontal="center" vertical="center" textRotation="0" wrapText="false" indent="0" shrinkToFit="false"/>
      <protection locked="true" hidden="false"/>
    </xf>
    <xf numFmtId="164" fontId="9" fillId="7" borderId="0" xfId="0" applyFont="true" applyBorder="true" applyAlignment="true" applyProtection="false">
      <alignment horizontal="center" vertical="center" textRotation="0" wrapText="false" indent="0" shrinkToFit="false"/>
      <protection locked="true" hidden="false"/>
    </xf>
    <xf numFmtId="164" fontId="10" fillId="0" borderId="20" xfId="0" applyFont="true" applyBorder="true" applyAlignment="true" applyProtection="false">
      <alignment horizontal="center" vertical="center" textRotation="0" wrapText="false" indent="0" shrinkToFit="false"/>
      <protection locked="true" hidden="false"/>
    </xf>
    <xf numFmtId="165" fontId="6" fillId="0" borderId="20" xfId="0" applyFont="true" applyBorder="true" applyAlignment="true" applyProtection="false">
      <alignment horizontal="center" vertical="center" textRotation="0" wrapText="false" indent="0" shrinkToFit="false"/>
      <protection locked="true" hidden="false"/>
    </xf>
    <xf numFmtId="165" fontId="6" fillId="0" borderId="33" xfId="0" applyFont="true" applyBorder="true" applyAlignment="true" applyProtection="false">
      <alignment horizontal="center" vertical="center" textRotation="0" wrapText="false" indent="0" shrinkToFit="false"/>
      <protection locked="true" hidden="false"/>
    </xf>
    <xf numFmtId="164" fontId="6" fillId="7" borderId="0" xfId="0" applyFont="true" applyBorder="true" applyAlignment="true" applyProtection="false">
      <alignment horizontal="center" vertical="center" textRotation="0" wrapText="false" indent="0" shrinkToFit="false"/>
      <protection locked="true" hidden="false"/>
    </xf>
    <xf numFmtId="164" fontId="0" fillId="7" borderId="0" xfId="0" applyFont="false" applyBorder="true" applyAlignment="true" applyProtection="false">
      <alignment horizontal="general" vertical="center" textRotation="0" wrapText="false" indent="0" shrinkToFit="false"/>
      <protection locked="true" hidden="false"/>
    </xf>
    <xf numFmtId="164" fontId="5" fillId="7" borderId="0" xfId="0" applyFont="true" applyBorder="true" applyAlignment="true" applyProtection="false">
      <alignment horizontal="right" vertical="center" textRotation="0" wrapText="false" indent="0" shrinkToFit="false"/>
      <protection locked="true" hidden="false"/>
    </xf>
    <xf numFmtId="164" fontId="0" fillId="8" borderId="0" xfId="0" applyFont="false" applyBorder="false" applyAlignment="true" applyProtection="false">
      <alignment horizontal="general" vertical="center" textRotation="0" wrapText="false" indent="0" shrinkToFit="false"/>
      <protection locked="true" hidden="false"/>
    </xf>
    <xf numFmtId="165" fontId="5" fillId="8" borderId="33" xfId="0" applyFont="true" applyBorder="true" applyAlignment="true" applyProtection="false">
      <alignment horizontal="center" vertical="center" textRotation="0" wrapText="false" indent="0" shrinkToFit="false"/>
      <protection locked="true" hidden="false"/>
    </xf>
    <xf numFmtId="164" fontId="5" fillId="8" borderId="0" xfId="0" applyFont="true" applyBorder="true" applyAlignment="true" applyProtection="false">
      <alignment horizontal="center" vertical="center" textRotation="0" wrapText="false" indent="0" shrinkToFit="false"/>
      <protection locked="true" hidden="false"/>
    </xf>
    <xf numFmtId="164" fontId="0" fillId="8" borderId="0" xfId="0" applyFont="true" applyBorder="true" applyAlignment="true" applyProtection="false">
      <alignment horizontal="general" vertical="center" textRotation="0" wrapText="false" indent="0" shrinkToFit="false"/>
      <protection locked="true" hidden="false"/>
    </xf>
    <xf numFmtId="164" fontId="0" fillId="0" borderId="7" xfId="0" applyFont="true" applyBorder="true" applyAlignment="true" applyProtection="false">
      <alignment horizontal="general" vertical="center" textRotation="0" wrapText="false" indent="0" shrinkToFit="false"/>
      <protection locked="true" hidden="false"/>
    </xf>
    <xf numFmtId="164" fontId="0" fillId="0" borderId="8" xfId="0" applyFont="true" applyBorder="true" applyAlignment="true" applyProtection="false">
      <alignment horizontal="general" vertical="center" textRotation="0" wrapText="true" indent="0" shrinkToFit="false"/>
      <protection locked="true" hidden="false"/>
    </xf>
    <xf numFmtId="164" fontId="0" fillId="8" borderId="0" xfId="0" applyFont="false" applyBorder="true" applyAlignment="true" applyProtection="false">
      <alignment horizontal="center" vertical="center" textRotation="0" wrapText="false" indent="0" shrinkToFit="false"/>
      <protection locked="true" hidden="false"/>
    </xf>
    <xf numFmtId="164" fontId="6" fillId="8" borderId="0" xfId="0" applyFont="true" applyBorder="true" applyAlignment="true" applyProtection="false">
      <alignment horizontal="general" vertical="center" textRotation="0" wrapText="false" indent="0" shrinkToFit="false"/>
      <protection locked="true" hidden="false"/>
    </xf>
    <xf numFmtId="164" fontId="9" fillId="0" borderId="11" xfId="0" applyFont="true" applyBorder="true" applyAlignment="true" applyProtection="false">
      <alignment horizontal="left" vertical="center" textRotation="0" wrapText="false" indent="0" shrinkToFit="false"/>
      <protection locked="true" hidden="false"/>
    </xf>
    <xf numFmtId="164" fontId="9" fillId="0" borderId="12" xfId="0" applyFont="true" applyBorder="true" applyAlignment="true" applyProtection="false">
      <alignment horizontal="center" vertical="center" textRotation="0" wrapText="true" indent="0" shrinkToFit="false"/>
      <protection locked="true" hidden="false"/>
    </xf>
    <xf numFmtId="164" fontId="0" fillId="0" borderId="11" xfId="0" applyFont="true" applyBorder="true" applyAlignment="true" applyProtection="false">
      <alignment horizontal="general" vertical="center" textRotation="0" wrapText="false" indent="0" shrinkToFit="false"/>
      <protection locked="true" hidden="false"/>
    </xf>
    <xf numFmtId="164" fontId="0" fillId="0" borderId="12" xfId="0" applyFont="true" applyBorder="true" applyAlignment="true" applyProtection="false">
      <alignment horizontal="center" vertical="center" textRotation="0" wrapText="true" indent="0" shrinkToFit="false"/>
      <protection locked="true" hidden="false"/>
    </xf>
    <xf numFmtId="164" fontId="0" fillId="0" borderId="17" xfId="0" applyFont="true" applyBorder="true" applyAlignment="true" applyProtection="false">
      <alignment horizontal="left" vertical="center" textRotation="0" wrapText="false" indent="0" shrinkToFit="false"/>
      <protection locked="true" hidden="false"/>
    </xf>
    <xf numFmtId="164" fontId="0" fillId="0" borderId="18" xfId="0" applyFont="true" applyBorder="true" applyAlignment="true" applyProtection="false">
      <alignment horizontal="center" vertical="center" textRotation="0" wrapText="true" indent="0" shrinkToFit="false"/>
      <protection locked="true" hidden="false"/>
    </xf>
    <xf numFmtId="167" fontId="0" fillId="0" borderId="18" xfId="0" applyFont="true" applyBorder="true" applyAlignment="true" applyProtection="false">
      <alignment horizontal="center" vertical="center" textRotation="0" wrapText="false" indent="0" shrinkToFit="false"/>
      <protection locked="true" hidden="false"/>
    </xf>
    <xf numFmtId="164" fontId="5" fillId="0" borderId="36" xfId="0" applyFont="true" applyBorder="true" applyAlignment="true" applyProtection="false">
      <alignment horizontal="general" vertical="center" textRotation="0" wrapText="false" indent="0" shrinkToFit="false"/>
      <protection locked="true" hidden="false"/>
    </xf>
    <xf numFmtId="167" fontId="0" fillId="8" borderId="0" xfId="0" applyFont="false" applyBorder="true" applyAlignment="true" applyProtection="false">
      <alignment horizontal="center" vertical="center" textRotation="0" wrapText="false" indent="0" shrinkToFit="false"/>
      <protection locked="true" hidden="false"/>
    </xf>
    <xf numFmtId="165" fontId="6" fillId="0" borderId="37" xfId="0" applyFont="true" applyBorder="true" applyAlignment="true" applyProtection="false">
      <alignment horizontal="center" vertical="center" textRotation="0" wrapText="false" indent="0" shrinkToFit="false"/>
      <protection locked="true" hidden="false"/>
    </xf>
    <xf numFmtId="164" fontId="6" fillId="8" borderId="0" xfId="0" applyFont="true" applyBorder="true" applyAlignment="true" applyProtection="false">
      <alignment horizontal="center" vertical="center" textRotation="0" wrapText="false" indent="0" shrinkToFit="false"/>
      <protection locked="true" hidden="false"/>
    </xf>
    <xf numFmtId="164" fontId="0" fillId="8" borderId="0" xfId="0" applyFont="false" applyBorder="true" applyAlignment="true" applyProtection="false">
      <alignment horizontal="general" vertical="center" textRotation="0" wrapText="false" indent="0" shrinkToFit="false"/>
      <protection locked="true" hidden="false"/>
    </xf>
    <xf numFmtId="164" fontId="0" fillId="0" borderId="0" xfId="0" applyFont="false" applyBorder="true" applyAlignment="true" applyProtection="false">
      <alignment horizontal="left" vertical="center" textRotation="0" wrapText="false" indent="0" shrinkToFit="false"/>
      <protection locked="true" hidden="false"/>
    </xf>
    <xf numFmtId="168" fontId="0" fillId="0" borderId="0" xfId="0" applyFont="false" applyBorder="true" applyAlignment="true" applyProtection="false">
      <alignment horizontal="left" vertical="center" textRotation="0" wrapText="false" indent="0" shrinkToFit="false"/>
      <protection locked="true" hidden="false"/>
    </xf>
    <xf numFmtId="164" fontId="0" fillId="5" borderId="0" xfId="0" applyFont="false" applyBorder="false" applyAlignment="true" applyProtection="false">
      <alignment horizontal="general" vertical="center" textRotation="0" wrapText="false" indent="0" shrinkToFit="false"/>
      <protection locked="true" hidden="false"/>
    </xf>
    <xf numFmtId="165" fontId="5" fillId="5" borderId="33" xfId="0" applyFont="true" applyBorder="true" applyAlignment="true" applyProtection="false">
      <alignment horizontal="center" vertical="center" textRotation="0" wrapText="false" indent="0" shrinkToFit="false"/>
      <protection locked="true" hidden="false"/>
    </xf>
    <xf numFmtId="164" fontId="5" fillId="5" borderId="0" xfId="0" applyFont="true" applyBorder="true" applyAlignment="true" applyProtection="false">
      <alignment horizontal="center" vertical="center" textRotation="0" wrapText="false" indent="0" shrinkToFit="false"/>
      <protection locked="true" hidden="false"/>
    </xf>
    <xf numFmtId="164" fontId="11" fillId="6" borderId="0" xfId="0" applyFont="true" applyBorder="true" applyAlignment="true" applyProtection="false">
      <alignment horizontal="general" vertical="center" textRotation="0" wrapText="false" indent="0" shrinkToFit="false"/>
      <protection locked="true" hidden="false"/>
    </xf>
    <xf numFmtId="164" fontId="11" fillId="0" borderId="0" xfId="0" applyFont="true" applyBorder="true" applyAlignment="true" applyProtection="false">
      <alignment horizontal="general" vertical="center" textRotation="0" wrapText="false" indent="0" shrinkToFit="false"/>
      <protection locked="true" hidden="false"/>
    </xf>
    <xf numFmtId="164" fontId="5" fillId="0" borderId="6" xfId="0" applyFont="true" applyBorder="true" applyAlignment="true" applyProtection="false">
      <alignment horizontal="center" vertical="center" textRotation="0" wrapText="false" indent="0" shrinkToFit="false"/>
      <protection locked="true" hidden="false"/>
    </xf>
    <xf numFmtId="164" fontId="0" fillId="5" borderId="0" xfId="0" applyFont="true" applyBorder="true" applyAlignment="true" applyProtection="false">
      <alignment horizontal="general" vertical="center" textRotation="0" wrapText="false" indent="0" shrinkToFit="false"/>
      <protection locked="true" hidden="false"/>
    </xf>
    <xf numFmtId="164" fontId="9" fillId="0" borderId="7" xfId="0" applyFont="true" applyBorder="true" applyAlignment="true" applyProtection="false">
      <alignment horizontal="general" vertical="center" textRotation="0" wrapText="false" indent="0" shrinkToFit="false"/>
      <protection locked="true" hidden="false"/>
    </xf>
    <xf numFmtId="164" fontId="9" fillId="0" borderId="8" xfId="0" applyFont="true" applyBorder="true" applyAlignment="true" applyProtection="false">
      <alignment horizontal="general" vertical="center" textRotation="0" wrapText="true" indent="0" shrinkToFit="false"/>
      <protection locked="true" hidden="false"/>
    </xf>
    <xf numFmtId="164" fontId="9" fillId="0" borderId="8" xfId="0" applyFont="true" applyBorder="true" applyAlignment="true" applyProtection="false">
      <alignment horizontal="center" vertical="center" textRotation="0" wrapText="false" indent="0" shrinkToFit="false"/>
      <protection locked="true" hidden="false"/>
    </xf>
    <xf numFmtId="164" fontId="9" fillId="0" borderId="8" xfId="0" applyFont="true" applyBorder="true" applyAlignment="true" applyProtection="false">
      <alignment horizontal="center" vertical="center" textRotation="0" wrapText="true" indent="0" shrinkToFit="false"/>
      <protection locked="true" hidden="false"/>
    </xf>
    <xf numFmtId="169" fontId="9" fillId="0" borderId="8" xfId="0" applyFont="true" applyBorder="true" applyAlignment="true" applyProtection="false">
      <alignment horizontal="center" vertical="center" textRotation="0" wrapText="false" indent="0" shrinkToFit="false"/>
      <protection locked="true" hidden="false"/>
    </xf>
    <xf numFmtId="167" fontId="9" fillId="0" borderId="8" xfId="0" applyFont="true" applyBorder="true" applyAlignment="true" applyProtection="false">
      <alignment horizontal="center" vertical="center" textRotation="0" wrapText="false" indent="0" shrinkToFit="false"/>
      <protection locked="true" hidden="false"/>
    </xf>
    <xf numFmtId="164" fontId="9" fillId="0" borderId="9" xfId="0" applyFont="true" applyBorder="true" applyAlignment="true" applyProtection="false">
      <alignment horizontal="center" vertical="center" textRotation="0" wrapText="false" indent="0" shrinkToFit="false"/>
      <protection locked="true" hidden="false"/>
    </xf>
    <xf numFmtId="164" fontId="0" fillId="5" borderId="0" xfId="0" applyFont="false" applyBorder="true" applyAlignment="true" applyProtection="false">
      <alignment horizontal="center" vertical="center" textRotation="0" wrapText="false" indent="0" shrinkToFit="false"/>
      <protection locked="true" hidden="false"/>
    </xf>
    <xf numFmtId="164" fontId="0" fillId="6" borderId="0" xfId="0" applyFont="false" applyBorder="true" applyAlignment="true" applyProtection="false">
      <alignment horizontal="general" vertical="center" textRotation="0" wrapText="false" indent="0" shrinkToFit="false"/>
      <protection locked="true" hidden="false"/>
    </xf>
    <xf numFmtId="164" fontId="6" fillId="5" borderId="0" xfId="0" applyFont="true" applyBorder="true" applyAlignment="true" applyProtection="false">
      <alignment horizontal="general" vertical="center" textRotation="0" wrapText="false" indent="0" shrinkToFit="false"/>
      <protection locked="true" hidden="false"/>
    </xf>
    <xf numFmtId="164" fontId="0" fillId="0" borderId="11" xfId="0" applyFont="true" applyBorder="true" applyAlignment="true" applyProtection="false">
      <alignment horizontal="left" vertical="center" textRotation="0" wrapText="false" indent="0" shrinkToFit="false"/>
      <protection locked="true" hidden="false"/>
    </xf>
    <xf numFmtId="169" fontId="0" fillId="0" borderId="12" xfId="0" applyFont="true" applyBorder="true" applyAlignment="true" applyProtection="false">
      <alignment horizontal="center" vertical="center" textRotation="0" wrapText="false" indent="0" shrinkToFit="false"/>
      <protection locked="true" hidden="false"/>
    </xf>
    <xf numFmtId="164" fontId="0" fillId="6" borderId="0" xfId="0" applyFont="false" applyBorder="true" applyAlignment="true" applyProtection="false">
      <alignment horizontal="left" vertical="center" textRotation="0" wrapText="false" indent="0" shrinkToFit="false"/>
      <protection locked="true" hidden="false"/>
    </xf>
    <xf numFmtId="169" fontId="0" fillId="0" borderId="18" xfId="0" applyFont="true" applyBorder="true" applyAlignment="true" applyProtection="false">
      <alignment horizontal="center" vertical="center" textRotation="0" wrapText="false" indent="0" shrinkToFit="false"/>
      <protection locked="true" hidden="false"/>
    </xf>
    <xf numFmtId="164" fontId="5" fillId="0" borderId="20" xfId="0" applyFont="true" applyBorder="true" applyAlignment="true" applyProtection="false">
      <alignment horizontal="general" vertical="center" textRotation="0" wrapText="false" indent="0" shrinkToFit="false"/>
      <protection locked="true" hidden="false"/>
    </xf>
    <xf numFmtId="167" fontId="0" fillId="5" borderId="0" xfId="0" applyFont="false" applyBorder="true" applyAlignment="true" applyProtection="false">
      <alignment horizontal="center" vertical="center" textRotation="0" wrapText="false" indent="0" shrinkToFit="false"/>
      <protection locked="true" hidden="false"/>
    </xf>
    <xf numFmtId="164" fontId="6" fillId="5" borderId="0" xfId="0" applyFont="true" applyBorder="true" applyAlignment="true" applyProtection="false">
      <alignment horizontal="center" vertical="center" textRotation="0" wrapText="false" indent="0" shrinkToFit="false"/>
      <protection locked="true" hidden="false"/>
    </xf>
    <xf numFmtId="164" fontId="0" fillId="5" borderId="0" xfId="0" applyFont="false" applyBorder="true" applyAlignment="true" applyProtection="false">
      <alignment horizontal="general" vertical="center" textRotation="0" wrapText="false" indent="0" shrinkToFit="false"/>
      <protection locked="true" hidden="false"/>
    </xf>
    <xf numFmtId="164" fontId="0" fillId="9" borderId="0" xfId="0" applyFont="false" applyBorder="false" applyAlignment="true" applyProtection="false">
      <alignment horizontal="general" vertical="center" textRotation="0" wrapText="false" indent="0" shrinkToFit="false"/>
      <protection locked="true" hidden="false"/>
    </xf>
    <xf numFmtId="165" fontId="5" fillId="9" borderId="33" xfId="0" applyFont="true" applyBorder="true" applyAlignment="true" applyProtection="false">
      <alignment horizontal="center" vertical="center" textRotation="0" wrapText="false" indent="0" shrinkToFit="false"/>
      <protection locked="true" hidden="false"/>
    </xf>
    <xf numFmtId="164" fontId="5" fillId="9" borderId="0" xfId="0" applyFont="true" applyBorder="true" applyAlignment="true" applyProtection="false">
      <alignment horizontal="center" vertical="center" textRotation="0" wrapText="false" indent="0" shrinkToFit="false"/>
      <protection locked="true" hidden="false"/>
    </xf>
    <xf numFmtId="164" fontId="0" fillId="9" borderId="0" xfId="0" applyFont="true" applyBorder="true" applyAlignment="true" applyProtection="false">
      <alignment horizontal="general" vertical="center" textRotation="0" wrapText="false" indent="0" shrinkToFit="false"/>
      <protection locked="true" hidden="false"/>
    </xf>
    <xf numFmtId="164" fontId="6" fillId="0" borderId="8" xfId="0" applyFont="true" applyBorder="true" applyAlignment="true" applyProtection="false">
      <alignment horizontal="center" vertical="center" textRotation="0" wrapText="false" indent="0" shrinkToFit="false"/>
      <protection locked="true" hidden="false"/>
    </xf>
    <xf numFmtId="164" fontId="6" fillId="0" borderId="8" xfId="0" applyFont="true" applyBorder="true" applyAlignment="true" applyProtection="false">
      <alignment horizontal="center" vertical="center" textRotation="0" wrapText="true" indent="0" shrinkToFit="false"/>
      <protection locked="true" hidden="false"/>
    </xf>
    <xf numFmtId="167" fontId="6" fillId="0" borderId="8" xfId="0" applyFont="true" applyBorder="true" applyAlignment="true" applyProtection="false">
      <alignment horizontal="center" vertical="center" textRotation="0" wrapText="false" indent="0" shrinkToFit="false"/>
      <protection locked="true" hidden="false"/>
    </xf>
    <xf numFmtId="164" fontId="6" fillId="0" borderId="9" xfId="0" applyFont="true" applyBorder="true" applyAlignment="true" applyProtection="false">
      <alignment horizontal="center" vertical="center" textRotation="0" wrapText="false" indent="0" shrinkToFit="false"/>
      <protection locked="true" hidden="false"/>
    </xf>
    <xf numFmtId="164" fontId="0" fillId="9" borderId="0" xfId="0" applyFont="false" applyBorder="true" applyAlignment="true" applyProtection="false">
      <alignment horizontal="center" vertical="center" textRotation="0" wrapText="false" indent="0" shrinkToFit="false"/>
      <protection locked="true" hidden="false"/>
    </xf>
    <xf numFmtId="164" fontId="6" fillId="0" borderId="11" xfId="0" applyFont="true" applyBorder="true" applyAlignment="true" applyProtection="false">
      <alignment horizontal="left" vertical="center" textRotation="0" wrapText="false" indent="0" shrinkToFit="false"/>
      <protection locked="true" hidden="false"/>
    </xf>
    <xf numFmtId="164" fontId="6" fillId="0" borderId="12" xfId="0" applyFont="true" applyBorder="true" applyAlignment="true" applyProtection="false">
      <alignment horizontal="left" vertical="center" textRotation="0" wrapText="true" indent="0" shrinkToFit="false"/>
      <protection locked="true" hidden="false"/>
    </xf>
    <xf numFmtId="164" fontId="6" fillId="0" borderId="12" xfId="0" applyFont="true" applyBorder="true" applyAlignment="true" applyProtection="false">
      <alignment horizontal="center" vertical="center" textRotation="0" wrapText="false" indent="0" shrinkToFit="false"/>
      <protection locked="true" hidden="false"/>
    </xf>
    <xf numFmtId="167" fontId="6" fillId="0" borderId="12" xfId="0" applyFont="true" applyBorder="true" applyAlignment="true" applyProtection="false">
      <alignment horizontal="center" vertical="center" textRotation="0" wrapText="false" indent="0" shrinkToFit="false"/>
      <protection locked="true" hidden="false"/>
    </xf>
    <xf numFmtId="164" fontId="6" fillId="0" borderId="13" xfId="0" applyFont="true" applyBorder="true" applyAlignment="true" applyProtection="false">
      <alignment horizontal="center" vertical="center" textRotation="0" wrapText="false" indent="0" shrinkToFit="false"/>
      <protection locked="true" hidden="false"/>
    </xf>
    <xf numFmtId="164" fontId="6" fillId="9" borderId="0" xfId="0" applyFont="true" applyBorder="true" applyAlignment="true" applyProtection="false">
      <alignment horizontal="general" vertical="center" textRotation="0" wrapText="false" indent="0" shrinkToFit="false"/>
      <protection locked="true" hidden="false"/>
    </xf>
    <xf numFmtId="164" fontId="6" fillId="0" borderId="17" xfId="0" applyFont="true" applyBorder="true" applyAlignment="true" applyProtection="false">
      <alignment horizontal="left" vertical="center" textRotation="0" wrapText="false" indent="0" shrinkToFit="false"/>
      <protection locked="true" hidden="false"/>
    </xf>
    <xf numFmtId="164" fontId="6" fillId="0" borderId="18" xfId="0" applyFont="true" applyBorder="true" applyAlignment="true" applyProtection="false">
      <alignment horizontal="left" vertical="center" textRotation="0" wrapText="true" indent="0" shrinkToFit="false"/>
      <protection locked="true" hidden="false"/>
    </xf>
    <xf numFmtId="164" fontId="6" fillId="0" borderId="18" xfId="0" applyFont="true" applyBorder="true" applyAlignment="true" applyProtection="false">
      <alignment horizontal="center" vertical="center" textRotation="0" wrapText="false" indent="0" shrinkToFit="false"/>
      <protection locked="true" hidden="false"/>
    </xf>
    <xf numFmtId="167" fontId="6" fillId="0" borderId="18" xfId="0" applyFont="true" applyBorder="true" applyAlignment="true" applyProtection="false">
      <alignment horizontal="center" vertical="center" textRotation="0" wrapText="false" indent="0" shrinkToFit="false"/>
      <protection locked="true" hidden="false"/>
    </xf>
    <xf numFmtId="164" fontId="6" fillId="0" borderId="19" xfId="0" applyFont="true" applyBorder="true" applyAlignment="true" applyProtection="false">
      <alignment horizontal="center" vertical="center" textRotation="0" wrapText="false" indent="0" shrinkToFit="false"/>
      <protection locked="true" hidden="false"/>
    </xf>
    <xf numFmtId="167" fontId="0" fillId="9" borderId="0" xfId="0" applyFont="false" applyBorder="true" applyAlignment="true" applyProtection="false">
      <alignment horizontal="center" vertical="center" textRotation="0" wrapText="false" indent="0" shrinkToFit="false"/>
      <protection locked="true" hidden="false"/>
    </xf>
    <xf numFmtId="164" fontId="6" fillId="9" borderId="0" xfId="0" applyFont="true" applyBorder="true" applyAlignment="true" applyProtection="false">
      <alignment horizontal="center" vertical="center" textRotation="0" wrapText="false" indent="0" shrinkToFit="false"/>
      <protection locked="true" hidden="false"/>
    </xf>
    <xf numFmtId="164" fontId="0" fillId="9" borderId="0" xfId="0" applyFont="false" applyBorder="true" applyAlignment="true" applyProtection="false">
      <alignment horizontal="general" vertical="center" textRotation="0" wrapText="false" indent="0" shrinkToFit="false"/>
      <protection locked="true" hidden="false"/>
    </xf>
    <xf numFmtId="164" fontId="0" fillId="2" borderId="0" xfId="0" applyFont="false" applyBorder="false" applyAlignment="true" applyProtection="false">
      <alignment horizontal="general" vertical="center" textRotation="0" wrapText="false" indent="0" shrinkToFit="false"/>
      <protection locked="true" hidden="false"/>
    </xf>
    <xf numFmtId="164" fontId="11" fillId="2" borderId="33" xfId="0" applyFont="true" applyBorder="true" applyAlignment="true" applyProtection="false">
      <alignment horizontal="center" vertical="center" textRotation="0" wrapText="false" indent="0" shrinkToFit="false"/>
      <protection locked="true" hidden="false"/>
    </xf>
    <xf numFmtId="166" fontId="5" fillId="2" borderId="5" xfId="0" applyFont="true" applyBorder="true" applyAlignment="true" applyProtection="false">
      <alignment horizontal="center" vertical="center" textRotation="0" wrapText="false" indent="0" shrinkToFit="false"/>
      <protection locked="true" hidden="false"/>
    </xf>
    <xf numFmtId="166" fontId="5" fillId="2" borderId="21" xfId="0" applyFont="true" applyBorder="true" applyAlignment="true" applyProtection="false">
      <alignment horizontal="center" vertical="center" textRotation="0" wrapText="true" indent="0" shrinkToFit="false"/>
      <protection locked="true" hidden="false"/>
    </xf>
    <xf numFmtId="166" fontId="5" fillId="2" borderId="22" xfId="0" applyFont="true" applyBorder="true" applyAlignment="true" applyProtection="false">
      <alignment horizontal="center" vertical="center" textRotation="0" wrapText="false" indent="0" shrinkToFit="false"/>
      <protection locked="true" hidden="false"/>
    </xf>
    <xf numFmtId="164" fontId="5" fillId="2" borderId="21" xfId="0" applyFont="true" applyBorder="true" applyAlignment="true" applyProtection="false">
      <alignment horizontal="center" vertical="center" textRotation="0" wrapText="true" indent="0" shrinkToFit="false"/>
      <protection locked="true" hidden="false"/>
    </xf>
    <xf numFmtId="164" fontId="5" fillId="2" borderId="21" xfId="0" applyFont="true" applyBorder="true" applyAlignment="true" applyProtection="false">
      <alignment horizontal="center" vertical="center" textRotation="0" wrapText="false" indent="0" shrinkToFit="false"/>
      <protection locked="true" hidden="false"/>
    </xf>
    <xf numFmtId="166" fontId="5" fillId="2" borderId="6" xfId="0" applyFont="true" applyBorder="true" applyAlignment="true" applyProtection="false">
      <alignment horizontal="center" vertical="center" textRotation="0" wrapText="true" indent="0" shrinkToFit="false"/>
      <protection locked="true" hidden="false"/>
    </xf>
    <xf numFmtId="166" fontId="5" fillId="2" borderId="21" xfId="0" applyFont="true" applyBorder="true" applyAlignment="true" applyProtection="false">
      <alignment horizontal="center" vertical="center" textRotation="0" wrapText="false" indent="0" shrinkToFit="false"/>
      <protection locked="true" hidden="false"/>
    </xf>
    <xf numFmtId="166" fontId="5" fillId="6" borderId="21" xfId="0" applyFont="true" applyBorder="true" applyAlignment="true" applyProtection="false">
      <alignment horizontal="center" vertical="center" textRotation="0" wrapText="true" indent="0" shrinkToFit="false"/>
      <protection locked="true" hidden="false"/>
    </xf>
    <xf numFmtId="164" fontId="5" fillId="6" borderId="22" xfId="0" applyFont="true" applyBorder="true" applyAlignment="true" applyProtection="false">
      <alignment horizontal="center" vertical="center" textRotation="0" wrapText="true" indent="0" shrinkToFit="false"/>
      <protection locked="true" hidden="false"/>
    </xf>
    <xf numFmtId="164" fontId="6" fillId="4" borderId="7" xfId="0" applyFont="true" applyBorder="true" applyAlignment="true" applyProtection="false">
      <alignment horizontal="general" vertical="center" textRotation="0" wrapText="false" indent="0" shrinkToFit="false"/>
      <protection locked="true" hidden="false"/>
    </xf>
    <xf numFmtId="164" fontId="6" fillId="4" borderId="8" xfId="0" applyFont="true" applyBorder="true" applyAlignment="true" applyProtection="false">
      <alignment horizontal="left" vertical="center" textRotation="0" wrapText="true" indent="0" shrinkToFit="false"/>
      <protection locked="true" hidden="false"/>
    </xf>
    <xf numFmtId="165" fontId="0" fillId="4" borderId="8" xfId="0" applyFont="true" applyBorder="true" applyAlignment="true" applyProtection="false">
      <alignment horizontal="center" vertical="center" textRotation="0" wrapText="false" indent="0" shrinkToFit="false"/>
      <protection locked="true" hidden="false"/>
    </xf>
    <xf numFmtId="166" fontId="0" fillId="4" borderId="8" xfId="0" applyFont="true" applyBorder="true" applyAlignment="true" applyProtection="false">
      <alignment horizontal="center" vertical="center" textRotation="0" wrapText="false" indent="0" shrinkToFit="false"/>
      <protection locked="true" hidden="false"/>
    </xf>
    <xf numFmtId="167" fontId="0" fillId="4" borderId="9" xfId="0" applyFont="true" applyBorder="true" applyAlignment="true" applyProtection="false">
      <alignment horizontal="center" vertical="center" textRotation="0" wrapText="false" indent="0" shrinkToFit="false"/>
      <protection locked="true" hidden="false"/>
    </xf>
    <xf numFmtId="166" fontId="5" fillId="0" borderId="0" xfId="0" applyFont="true" applyBorder="true" applyAlignment="true" applyProtection="false">
      <alignment horizontal="center" vertical="center" textRotation="0" wrapText="false" indent="0" shrinkToFit="false"/>
      <protection locked="true" hidden="false"/>
    </xf>
    <xf numFmtId="164" fontId="6" fillId="2" borderId="11" xfId="0" applyFont="true" applyBorder="true" applyAlignment="true" applyProtection="false">
      <alignment horizontal="general" vertical="center" textRotation="0" wrapText="false" indent="0" shrinkToFit="false"/>
      <protection locked="true" hidden="false"/>
    </xf>
    <xf numFmtId="164" fontId="6" fillId="2" borderId="12" xfId="0" applyFont="true" applyBorder="true" applyAlignment="true" applyProtection="false">
      <alignment horizontal="general" vertical="center" textRotation="0" wrapText="true" indent="0" shrinkToFit="false"/>
      <protection locked="true" hidden="false"/>
    </xf>
    <xf numFmtId="165" fontId="0" fillId="2" borderId="12" xfId="0" applyFont="true" applyBorder="true" applyAlignment="true" applyProtection="false">
      <alignment horizontal="center" vertical="center" textRotation="0" wrapText="false" indent="0" shrinkToFit="false"/>
      <protection locked="true" hidden="false"/>
    </xf>
    <xf numFmtId="166" fontId="0" fillId="2" borderId="12" xfId="0" applyFont="true" applyBorder="true" applyAlignment="true" applyProtection="false">
      <alignment horizontal="center" vertical="center" textRotation="0" wrapText="false" indent="0" shrinkToFit="false"/>
      <protection locked="true" hidden="false"/>
    </xf>
    <xf numFmtId="167" fontId="0" fillId="2" borderId="13" xfId="0" applyFont="true" applyBorder="true" applyAlignment="true" applyProtection="false">
      <alignment horizontal="center" vertical="center" textRotation="0" wrapText="false" indent="0" shrinkToFit="false"/>
      <protection locked="true" hidden="false"/>
    </xf>
    <xf numFmtId="164" fontId="6" fillId="0" borderId="0" xfId="0" applyFont="true" applyBorder="true" applyAlignment="true" applyProtection="false">
      <alignment horizontal="center" vertical="center" textRotation="0" wrapText="false" indent="0" shrinkToFit="false"/>
      <protection locked="true" hidden="false"/>
    </xf>
    <xf numFmtId="164" fontId="0" fillId="2" borderId="11" xfId="0" applyFont="true" applyBorder="true" applyAlignment="true" applyProtection="false">
      <alignment horizontal="left" vertical="center" textRotation="0" wrapText="false" indent="0" shrinkToFit="false"/>
      <protection locked="true" hidden="false"/>
    </xf>
    <xf numFmtId="164" fontId="0" fillId="2" borderId="12" xfId="0" applyFont="true" applyBorder="true" applyAlignment="true" applyProtection="false">
      <alignment horizontal="left" vertical="center" textRotation="0" wrapText="true" indent="0" shrinkToFit="false"/>
      <protection locked="true" hidden="false"/>
    </xf>
    <xf numFmtId="164" fontId="6" fillId="5" borderId="17" xfId="0" applyFont="true" applyBorder="true" applyAlignment="true" applyProtection="false">
      <alignment horizontal="left" vertical="center" textRotation="0" wrapText="false" indent="0" shrinkToFit="false"/>
      <protection locked="true" hidden="false"/>
    </xf>
    <xf numFmtId="164" fontId="6" fillId="5" borderId="18" xfId="0" applyFont="true" applyBorder="true" applyAlignment="true" applyProtection="false">
      <alignment horizontal="left" vertical="center" textRotation="0" wrapText="true" indent="0" shrinkToFit="false"/>
      <protection locked="true" hidden="false"/>
    </xf>
    <xf numFmtId="165" fontId="0" fillId="5" borderId="18" xfId="0" applyFont="true" applyBorder="true" applyAlignment="true" applyProtection="false">
      <alignment horizontal="center" vertical="center" textRotation="0" wrapText="false" indent="0" shrinkToFit="false"/>
      <protection locked="true" hidden="false"/>
    </xf>
    <xf numFmtId="166" fontId="0" fillId="5" borderId="18" xfId="0" applyFont="true" applyBorder="true" applyAlignment="true" applyProtection="false">
      <alignment horizontal="center" vertical="center" textRotation="0" wrapText="false" indent="0" shrinkToFit="false"/>
      <protection locked="true" hidden="false"/>
    </xf>
    <xf numFmtId="167" fontId="0" fillId="5" borderId="19" xfId="0" applyFont="true" applyBorder="true" applyAlignment="true" applyProtection="false">
      <alignment horizontal="center" vertical="center" textRotation="0" wrapText="false" indent="0" shrinkToFit="false"/>
      <protection locked="true" hidden="false"/>
    </xf>
    <xf numFmtId="164" fontId="11" fillId="6" borderId="0" xfId="0" applyFont="true" applyBorder="tru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11" fillId="0" borderId="0" xfId="0" applyFont="true" applyBorder="true" applyAlignment="true" applyProtection="false">
      <alignment horizontal="center" vertical="center" textRotation="0" wrapText="false" indent="0" shrinkToFit="false"/>
      <protection locked="true" hidden="false"/>
    </xf>
    <xf numFmtId="164" fontId="5" fillId="0" borderId="0" xfId="0" applyFont="true" applyBorder="true" applyAlignment="true" applyProtection="false">
      <alignment horizontal="left" vertical="center" textRotation="0" wrapText="false" indent="0" shrinkToFit="false"/>
      <protection locked="true" hidden="false"/>
    </xf>
    <xf numFmtId="166" fontId="5" fillId="0" borderId="38" xfId="0" applyFont="true" applyBorder="true" applyAlignment="true" applyProtection="false">
      <alignment horizontal="center" vertical="center" textRotation="0" wrapText="false" indent="0" shrinkToFit="false"/>
      <protection locked="true" hidden="false"/>
    </xf>
    <xf numFmtId="166" fontId="5" fillId="0" borderId="39" xfId="0" applyFont="true" applyBorder="true" applyAlignment="true" applyProtection="false">
      <alignment horizontal="center" vertical="center" textRotation="0" wrapText="true" indent="0" shrinkToFit="false"/>
      <protection locked="true" hidden="false"/>
    </xf>
    <xf numFmtId="166" fontId="5" fillId="0" borderId="2" xfId="0" applyFont="true" applyBorder="true" applyAlignment="true" applyProtection="false">
      <alignment horizontal="general" vertical="center" textRotation="0" wrapText="false" indent="0" shrinkToFit="false"/>
      <protection locked="true" hidden="false"/>
    </xf>
    <xf numFmtId="166" fontId="5" fillId="0" borderId="4" xfId="0" applyFont="true" applyBorder="true" applyAlignment="true" applyProtection="false">
      <alignment horizontal="general" vertical="center" textRotation="0" wrapText="false" indent="0" shrinkToFit="false"/>
      <protection locked="true" hidden="false"/>
    </xf>
    <xf numFmtId="166" fontId="5" fillId="0" borderId="1" xfId="0" applyFont="true" applyBorder="true" applyAlignment="true" applyProtection="false">
      <alignment horizontal="center" vertical="center" textRotation="0" wrapText="false" indent="0" shrinkToFit="false"/>
      <protection locked="true" hidden="false"/>
    </xf>
    <xf numFmtId="164" fontId="0" fillId="0" borderId="27" xfId="0" applyFont="false" applyBorder="true" applyAlignment="true" applyProtection="false">
      <alignment horizontal="center" vertical="center" textRotation="0" wrapText="false" indent="0" shrinkToFit="false"/>
      <protection locked="true" hidden="false"/>
    </xf>
    <xf numFmtId="166" fontId="0" fillId="7" borderId="7" xfId="0" applyFont="true" applyBorder="true" applyAlignment="true" applyProtection="false">
      <alignment horizontal="general" vertical="center" textRotation="0" wrapText="false" indent="0" shrinkToFit="false"/>
      <protection locked="true" hidden="false"/>
    </xf>
    <xf numFmtId="166" fontId="0" fillId="7" borderId="8" xfId="0" applyFont="true" applyBorder="true" applyAlignment="true" applyProtection="false">
      <alignment horizontal="general" vertical="center" textRotation="0" wrapText="true" indent="0" shrinkToFit="false"/>
      <protection locked="true" hidden="false"/>
    </xf>
    <xf numFmtId="166" fontId="0" fillId="7" borderId="27" xfId="0" applyFont="true" applyBorder="true" applyAlignment="true" applyProtection="false">
      <alignment horizontal="left" vertical="center" textRotation="0" wrapText="true" indent="0" shrinkToFit="false"/>
      <protection locked="true" hidden="false"/>
    </xf>
    <xf numFmtId="166" fontId="0" fillId="5" borderId="23" xfId="0" applyFont="true" applyBorder="true" applyAlignment="true" applyProtection="false">
      <alignment horizontal="general" vertical="center" textRotation="0" wrapText="false" indent="0" shrinkToFit="false"/>
      <protection locked="true" hidden="false"/>
    </xf>
    <xf numFmtId="166" fontId="0" fillId="0" borderId="24" xfId="0" applyFont="true" applyBorder="true" applyAlignment="true" applyProtection="false">
      <alignment horizontal="general" vertical="center" textRotation="0" wrapText="false" indent="0" shrinkToFit="false"/>
      <protection locked="true" hidden="false"/>
    </xf>
    <xf numFmtId="164" fontId="0" fillId="0" borderId="29" xfId="0" applyFont="false" applyBorder="true" applyAlignment="true" applyProtection="false">
      <alignment horizontal="center" vertical="center" textRotation="0" wrapText="false" indent="0" shrinkToFit="false"/>
      <protection locked="true" hidden="false"/>
    </xf>
    <xf numFmtId="166" fontId="0" fillId="8" borderId="11" xfId="0" applyFont="true" applyBorder="true" applyAlignment="true" applyProtection="false">
      <alignment horizontal="general" vertical="center" textRotation="0" wrapText="false" indent="0" shrinkToFit="false"/>
      <protection locked="true" hidden="false"/>
    </xf>
    <xf numFmtId="166" fontId="0" fillId="8" borderId="29" xfId="0" applyFont="true" applyBorder="true" applyAlignment="true" applyProtection="false">
      <alignment horizontal="left" vertical="center" textRotation="0" wrapText="true" indent="0" shrinkToFit="false"/>
      <protection locked="true" hidden="false"/>
    </xf>
    <xf numFmtId="166" fontId="0" fillId="0" borderId="35" xfId="0" applyFont="true" applyBorder="true" applyAlignment="true" applyProtection="false">
      <alignment horizontal="general" vertical="center" textRotation="0" wrapText="false" indent="0" shrinkToFit="false"/>
      <protection locked="true" hidden="false"/>
    </xf>
    <xf numFmtId="166" fontId="0" fillId="0" borderId="34" xfId="0" applyFont="true" applyBorder="true" applyAlignment="true" applyProtection="false">
      <alignment horizontal="general" vertical="center" textRotation="0" wrapText="false" indent="0" shrinkToFit="false"/>
      <protection locked="true" hidden="false"/>
    </xf>
    <xf numFmtId="164" fontId="6" fillId="0" borderId="12" xfId="0" applyFont="true" applyBorder="true" applyAlignment="true" applyProtection="false">
      <alignment horizontal="general" vertical="center" textRotation="0" wrapText="true" indent="0" shrinkToFit="false"/>
      <protection locked="true" hidden="false"/>
    </xf>
    <xf numFmtId="166" fontId="0" fillId="5" borderId="11" xfId="0" applyFont="true" applyBorder="true" applyAlignment="true" applyProtection="false">
      <alignment horizontal="left" vertical="center" textRotation="0" wrapText="false" indent="0" shrinkToFit="false"/>
      <protection locked="true" hidden="false"/>
    </xf>
    <xf numFmtId="166" fontId="0" fillId="5" borderId="12" xfId="0" applyFont="true" applyBorder="true" applyAlignment="true" applyProtection="false">
      <alignment horizontal="general" vertical="center" textRotation="0" wrapText="false" indent="0" shrinkToFit="false"/>
      <protection locked="true" hidden="false"/>
    </xf>
    <xf numFmtId="166" fontId="0" fillId="5" borderId="29" xfId="0" applyFont="true" applyBorder="true" applyAlignment="true" applyProtection="false">
      <alignment horizontal="left" vertical="center" textRotation="0" wrapText="true" indent="0" shrinkToFit="false"/>
      <protection locked="true" hidden="false"/>
    </xf>
    <xf numFmtId="166" fontId="0" fillId="7" borderId="35" xfId="0" applyFont="true" applyBorder="true" applyAlignment="true" applyProtection="false">
      <alignment horizontal="general" vertical="center" textRotation="0" wrapText="true" indent="0" shrinkToFit="false"/>
      <protection locked="true" hidden="false"/>
    </xf>
    <xf numFmtId="164" fontId="6" fillId="0" borderId="17" xfId="0" applyFont="true" applyBorder="true" applyAlignment="true" applyProtection="false">
      <alignment horizontal="general" vertical="center" textRotation="0" wrapText="false" indent="0" shrinkToFit="false"/>
      <protection locked="true" hidden="false"/>
    </xf>
    <xf numFmtId="164" fontId="0" fillId="0" borderId="31" xfId="0" applyFont="false" applyBorder="true" applyAlignment="true" applyProtection="false">
      <alignment horizontal="center" vertical="center" textRotation="0" wrapText="false" indent="0" shrinkToFit="false"/>
      <protection locked="true" hidden="false"/>
    </xf>
    <xf numFmtId="166" fontId="0" fillId="9" borderId="11" xfId="0" applyFont="true" applyBorder="true" applyAlignment="true" applyProtection="false">
      <alignment horizontal="left" vertical="center" textRotation="0" wrapText="false" indent="0" shrinkToFit="false"/>
      <protection locked="true" hidden="false"/>
    </xf>
    <xf numFmtId="166" fontId="0" fillId="9" borderId="12" xfId="0" applyFont="true" applyBorder="true" applyAlignment="true" applyProtection="false">
      <alignment horizontal="general" vertical="center" textRotation="0" wrapText="true" indent="0" shrinkToFit="false"/>
      <protection locked="true" hidden="false"/>
    </xf>
    <xf numFmtId="166" fontId="0" fillId="9" borderId="29" xfId="0" applyFont="true" applyBorder="true" applyAlignment="true" applyProtection="false">
      <alignment horizontal="left" vertical="center" textRotation="0" wrapText="true" indent="0" shrinkToFit="false"/>
      <protection locked="true" hidden="false"/>
    </xf>
    <xf numFmtId="166" fontId="0" fillId="0" borderId="25" xfId="0" applyFont="true" applyBorder="true" applyAlignment="true" applyProtection="false">
      <alignment horizontal="general" vertical="center" textRotation="0" wrapText="false" indent="0" shrinkToFit="false"/>
      <protection locked="true" hidden="false"/>
    </xf>
    <xf numFmtId="166" fontId="0" fillId="0" borderId="26" xfId="0" applyFont="true" applyBorder="true" applyAlignment="true" applyProtection="false">
      <alignment horizontal="general" vertical="center" textRotation="0" wrapText="false" indent="0" shrinkToFit="false"/>
      <protection locked="true" hidden="false"/>
    </xf>
    <xf numFmtId="166" fontId="0" fillId="0" borderId="18" xfId="0" applyFont="true" applyBorder="true" applyAlignment="true" applyProtection="false">
      <alignment horizontal="general" vertical="center" textRotation="0" wrapText="false" indent="0" shrinkToFit="false"/>
      <protection locked="true" hidden="false"/>
    </xf>
    <xf numFmtId="166" fontId="0" fillId="0" borderId="19" xfId="0" applyFont="true" applyBorder="true" applyAlignment="true" applyProtection="false">
      <alignment horizontal="left" vertical="center" textRotation="0" wrapText="false" indent="0" shrinkToFit="false"/>
      <protection locked="true" hidden="false"/>
    </xf>
    <xf numFmtId="164" fontId="6" fillId="0" borderId="8" xfId="0" applyFont="true" applyBorder="true" applyAlignment="true" applyProtection="false">
      <alignment horizontal="center" vertical="center" textRotation="0" wrapText="false" indent="0" shrinkToFit="false"/>
      <protection locked="true" hidden="false"/>
    </xf>
    <xf numFmtId="164" fontId="9" fillId="0" borderId="12" xfId="0" applyFont="true" applyBorder="true" applyAlignment="true" applyProtection="false">
      <alignment horizontal="center" vertical="center" textRotation="0" wrapText="false" indent="0" shrinkToFit="false"/>
      <protection locked="true" hidden="false"/>
    </xf>
    <xf numFmtId="164" fontId="6" fillId="0" borderId="12" xfId="0" applyFont="true" applyBorder="true" applyAlignment="true" applyProtection="false">
      <alignment horizontal="center" vertical="center" textRotation="0" wrapText="false" indent="0" shrinkToFit="false"/>
      <protection locked="true" hidden="false"/>
    </xf>
    <xf numFmtId="164" fontId="6" fillId="0" borderId="18" xfId="0" applyFont="true" applyBorder="true" applyAlignment="true" applyProtection="false">
      <alignment horizontal="center" vertical="center" textRotation="0" wrapText="false" indent="0" shrinkToFit="false"/>
      <protection locked="true" hidden="false"/>
    </xf>
    <xf numFmtId="164" fontId="6" fillId="0" borderId="18" xfId="0" applyFont="true" applyBorder="true" applyAlignment="true" applyProtection="false">
      <alignment horizontal="center" vertical="center" textRotation="0" wrapText="true" indent="0" shrinkToFit="false"/>
      <protection locked="true" hidden="false"/>
    </xf>
    <xf numFmtId="167" fontId="6" fillId="7" borderId="0" xfId="0" applyFont="true" applyBorder="true" applyAlignment="true" applyProtection="false">
      <alignment horizontal="center" vertical="center" textRotation="0" wrapText="false" indent="0" shrinkToFit="false"/>
      <protection locked="true" hidden="false"/>
    </xf>
    <xf numFmtId="164" fontId="0" fillId="0" borderId="8" xfId="0" applyFont="true" applyBorder="true" applyAlignment="true" applyProtection="false">
      <alignment horizontal="center" vertical="center" textRotation="0" wrapText="false" indent="0" shrinkToFit="false"/>
      <protection locked="true" hidden="false"/>
    </xf>
    <xf numFmtId="164" fontId="0" fillId="0" borderId="22" xfId="0" applyFont="true" applyBorder="true" applyAlignment="true" applyProtection="false">
      <alignment horizontal="center" vertical="center" textRotation="0" wrapText="true" indent="0" shrinkToFit="false"/>
      <protection locked="true" hidden="false"/>
    </xf>
    <xf numFmtId="164" fontId="0" fillId="0" borderId="12" xfId="0" applyFont="true" applyBorder="true" applyAlignment="true" applyProtection="false">
      <alignment horizontal="general" vertical="center" textRotation="0" wrapText="true" indent="0" shrinkToFit="false"/>
      <protection locked="true" hidden="false"/>
    </xf>
    <xf numFmtId="164" fontId="0" fillId="0" borderId="12" xfId="0" applyFont="true" applyBorder="true" applyAlignment="true" applyProtection="false">
      <alignment horizontal="center" vertical="center" textRotation="0" wrapText="false" indent="0" shrinkToFit="false"/>
      <protection locked="true" hidden="false"/>
    </xf>
    <xf numFmtId="164" fontId="0" fillId="0" borderId="0" xfId="0" applyFont="true" applyBorder="true" applyAlignment="true" applyProtection="false">
      <alignment horizontal="center" vertical="center" textRotation="0" wrapText="true" indent="0" shrinkToFit="false"/>
      <protection locked="true" hidden="false"/>
    </xf>
    <xf numFmtId="164" fontId="0" fillId="0" borderId="17" xfId="0" applyFont="true" applyBorder="true" applyAlignment="true" applyProtection="false">
      <alignment horizontal="general" vertical="center" textRotation="0" wrapText="false" indent="0" shrinkToFit="false"/>
      <protection locked="true" hidden="false"/>
    </xf>
    <xf numFmtId="164" fontId="0" fillId="0" borderId="18" xfId="0" applyFont="true" applyBorder="true" applyAlignment="true" applyProtection="false">
      <alignment horizontal="center" vertical="center" textRotation="0" wrapText="false" indent="0" shrinkToFit="false"/>
      <protection locked="true" hidden="false"/>
    </xf>
    <xf numFmtId="164" fontId="6" fillId="0" borderId="12" xfId="0" applyFont="true" applyBorder="true" applyAlignment="true" applyProtection="false">
      <alignment horizontal="center" vertical="center" textRotation="0" wrapText="true" indent="0" shrinkToFit="false"/>
      <protection locked="true" hidden="false"/>
    </xf>
    <xf numFmtId="164" fontId="9" fillId="0" borderId="17" xfId="0" applyFont="true" applyBorder="true" applyAlignment="true" applyProtection="false">
      <alignment horizontal="general" vertical="center" textRotation="0" wrapText="false" indent="0" shrinkToFit="false"/>
      <protection locked="true" hidden="false"/>
    </xf>
    <xf numFmtId="164" fontId="9" fillId="0" borderId="18" xfId="0" applyFont="true" applyBorder="true" applyAlignment="true" applyProtection="false">
      <alignment horizontal="left" vertical="center" textRotation="0" wrapText="true" indent="0" shrinkToFit="false"/>
      <protection locked="true" hidden="false"/>
    </xf>
    <xf numFmtId="164" fontId="9" fillId="0" borderId="18" xfId="0" applyFont="true" applyBorder="true" applyAlignment="true" applyProtection="false">
      <alignment horizontal="center" vertical="center" textRotation="0" wrapText="false" indent="0" shrinkToFit="false"/>
      <protection locked="true" hidden="false"/>
    </xf>
    <xf numFmtId="164" fontId="9" fillId="0" borderId="18" xfId="0" applyFont="true" applyBorder="true" applyAlignment="true" applyProtection="false">
      <alignment horizontal="center" vertical="center" textRotation="0" wrapText="true" indent="0" shrinkToFit="false"/>
      <protection locked="true" hidden="false"/>
    </xf>
    <xf numFmtId="164" fontId="9" fillId="0" borderId="18" xfId="0" applyFont="true" applyBorder="true" applyAlignment="true" applyProtection="false">
      <alignment horizontal="center" vertical="center" textRotation="0" wrapText="false" indent="0" shrinkToFit="false"/>
      <protection locked="true" hidden="false"/>
    </xf>
    <xf numFmtId="167" fontId="9" fillId="0" borderId="18" xfId="0" applyFont="true" applyBorder="true" applyAlignment="true" applyProtection="false">
      <alignment horizontal="center" vertical="center" textRotation="0" wrapText="false" indent="0" shrinkToFit="false"/>
      <protection locked="true" hidden="false"/>
    </xf>
    <xf numFmtId="164" fontId="9" fillId="0" borderId="19" xfId="0" applyFont="true" applyBorder="true" applyAlignment="true" applyProtection="false">
      <alignment horizontal="center" vertical="center" textRotation="0" wrapText="false" indent="0" shrinkToFit="false"/>
      <protection locked="true" hidden="false"/>
    </xf>
    <xf numFmtId="164" fontId="9" fillId="0" borderId="8" xfId="0" applyFont="true" applyBorder="true" applyAlignment="true" applyProtection="false">
      <alignment horizontal="center" vertical="center" textRotation="0" wrapText="false" indent="0" shrinkToFit="false"/>
      <protection locked="true" hidden="false"/>
    </xf>
    <xf numFmtId="164" fontId="6" fillId="4" borderId="7" xfId="0" applyFont="true" applyBorder="true" applyAlignment="true" applyProtection="false">
      <alignment horizontal="left" vertical="center" textRotation="0" wrapText="false" indent="0" shrinkToFit="false"/>
      <protection locked="true" hidden="false"/>
    </xf>
    <xf numFmtId="169" fontId="6" fillId="4" borderId="8" xfId="0" applyFont="true" applyBorder="true" applyAlignment="true" applyProtection="false">
      <alignment horizontal="center" vertical="center" textRotation="0" wrapText="false" indent="0" shrinkToFit="false"/>
      <protection locked="true" hidden="false"/>
    </xf>
    <xf numFmtId="164" fontId="6" fillId="4" borderId="8" xfId="0" applyFont="true" applyBorder="true" applyAlignment="true" applyProtection="false">
      <alignment horizontal="center" vertical="center" textRotation="0" wrapText="false" indent="0" shrinkToFit="false"/>
      <protection locked="true" hidden="false"/>
    </xf>
    <xf numFmtId="167" fontId="6" fillId="4" borderId="9" xfId="0" applyFont="true" applyBorder="true" applyAlignment="true" applyProtection="false">
      <alignment horizontal="center" vertical="center" textRotation="0" wrapText="true" indent="0" shrinkToFit="false"/>
      <protection locked="true" hidden="false"/>
    </xf>
    <xf numFmtId="169" fontId="6" fillId="2" borderId="12" xfId="0" applyFont="true" applyBorder="true" applyAlignment="true" applyProtection="false">
      <alignment horizontal="center" vertical="center" textRotation="0" wrapText="false" indent="0" shrinkToFit="false"/>
      <protection locked="true" hidden="false"/>
    </xf>
    <xf numFmtId="164" fontId="6" fillId="2" borderId="12" xfId="0" applyFont="true" applyBorder="true" applyAlignment="true" applyProtection="false">
      <alignment horizontal="center" vertical="center" textRotation="0" wrapText="false" indent="0" shrinkToFit="false"/>
      <protection locked="true" hidden="false"/>
    </xf>
    <xf numFmtId="164" fontId="6" fillId="2" borderId="12" xfId="0" applyFont="true" applyBorder="true" applyAlignment="true" applyProtection="false">
      <alignment horizontal="general" vertical="center" textRotation="0" wrapText="false" indent="0" shrinkToFit="false"/>
      <protection locked="true" hidden="false"/>
    </xf>
    <xf numFmtId="167" fontId="6" fillId="2" borderId="13" xfId="0" applyFont="true" applyBorder="true" applyAlignment="true" applyProtection="false">
      <alignment horizontal="center" vertical="center" textRotation="0" wrapText="true" indent="0" shrinkToFit="false"/>
      <protection locked="true" hidden="false"/>
    </xf>
    <xf numFmtId="164" fontId="0" fillId="0" borderId="0" xfId="0" applyFont="true" applyBorder="true" applyAlignment="true" applyProtection="false">
      <alignment horizontal="general" vertical="center" textRotation="0" wrapText="false" indent="0" shrinkToFit="false"/>
      <protection locked="true" hidden="false"/>
    </xf>
    <xf numFmtId="170" fontId="0" fillId="0" borderId="0" xfId="0" applyFont="false" applyBorder="true" applyAlignment="true" applyProtection="false">
      <alignment horizontal="center" vertical="center" textRotation="0" wrapText="false" indent="0" shrinkToFit="false"/>
      <protection locked="true" hidden="false"/>
    </xf>
    <xf numFmtId="169" fontId="0" fillId="0" borderId="0" xfId="0" applyFont="false" applyBorder="true" applyAlignment="true" applyProtection="false">
      <alignment horizontal="center" vertical="center" textRotation="0" wrapText="false" indent="0" shrinkToFit="false"/>
      <protection locked="true" hidden="false"/>
    </xf>
    <xf numFmtId="164" fontId="6" fillId="5" borderId="17" xfId="0" applyFont="true" applyBorder="true" applyAlignment="true" applyProtection="false">
      <alignment horizontal="general" vertical="center" textRotation="0" wrapText="false" indent="0" shrinkToFit="false"/>
      <protection locked="true" hidden="false"/>
    </xf>
    <xf numFmtId="169" fontId="6" fillId="5" borderId="18" xfId="0" applyFont="true" applyBorder="true" applyAlignment="true" applyProtection="false">
      <alignment horizontal="center" vertical="center" textRotation="0" wrapText="false" indent="0" shrinkToFit="false"/>
      <protection locked="true" hidden="false"/>
    </xf>
    <xf numFmtId="164" fontId="6" fillId="5" borderId="18" xfId="0" applyFont="true" applyBorder="true" applyAlignment="true" applyProtection="false">
      <alignment horizontal="center" vertical="center" textRotation="0" wrapText="false" indent="0" shrinkToFit="false"/>
      <protection locked="true" hidden="false"/>
    </xf>
    <xf numFmtId="164" fontId="6" fillId="5" borderId="18" xfId="0" applyFont="true" applyBorder="true" applyAlignment="true" applyProtection="false">
      <alignment horizontal="general" vertical="center" textRotation="0" wrapText="false" indent="0" shrinkToFit="false"/>
      <protection locked="true" hidden="false"/>
    </xf>
    <xf numFmtId="167" fontId="6" fillId="5" borderId="19" xfId="0" applyFont="true" applyBorder="true" applyAlignment="true" applyProtection="false">
      <alignment horizontal="center" vertical="center" textRotation="0" wrapText="true" indent="0" shrinkToFit="false"/>
      <protection locked="true" hidden="false"/>
    </xf>
    <xf numFmtId="164" fontId="0" fillId="2" borderId="0" xfId="0" applyFont="false" applyBorder="true" applyAlignment="true" applyProtection="false">
      <alignment horizontal="center" vertical="center" textRotation="0" wrapText="false" indent="0" shrinkToFit="false"/>
      <protection locked="true" hidden="false"/>
    </xf>
    <xf numFmtId="164" fontId="0" fillId="0" borderId="9" xfId="0" applyFont="false" applyBorder="true" applyAlignment="true" applyProtection="false">
      <alignment horizontal="center" vertical="center" textRotation="0" wrapText="false" indent="0" shrinkToFit="false"/>
      <protection locked="true" hidden="false"/>
    </xf>
    <xf numFmtId="166" fontId="0" fillId="7" borderId="24" xfId="0" applyFont="true" applyBorder="true" applyAlignment="true" applyProtection="false">
      <alignment horizontal="general" vertical="center" textRotation="0" wrapText="false" indent="0" shrinkToFit="false"/>
      <protection locked="true" hidden="false"/>
    </xf>
    <xf numFmtId="166" fontId="0" fillId="0" borderId="40" xfId="0" applyFont="true" applyBorder="true" applyAlignment="true" applyProtection="false">
      <alignment horizontal="general" vertical="center" textRotation="0" wrapText="true" indent="0" shrinkToFit="false"/>
      <protection locked="true" hidden="false"/>
    </xf>
    <xf numFmtId="164" fontId="0" fillId="0" borderId="13" xfId="0" applyFont="false" applyBorder="true" applyAlignment="true" applyProtection="false">
      <alignment horizontal="center" vertical="center" textRotation="0" wrapText="false" indent="0" shrinkToFit="false"/>
      <protection locked="true" hidden="false"/>
    </xf>
    <xf numFmtId="166" fontId="0" fillId="8" borderId="34" xfId="0" applyFont="true" applyBorder="true" applyAlignment="true" applyProtection="false">
      <alignment horizontal="general" vertical="center" textRotation="0" wrapText="false" indent="0" shrinkToFit="false"/>
      <protection locked="true" hidden="false"/>
    </xf>
    <xf numFmtId="166" fontId="0" fillId="0" borderId="41" xfId="0" applyFont="true" applyBorder="true" applyAlignment="true" applyProtection="false">
      <alignment horizontal="general" vertical="center" textRotation="0" wrapText="true" indent="0" shrinkToFit="false"/>
      <protection locked="true" hidden="false"/>
    </xf>
    <xf numFmtId="166" fontId="0" fillId="5" borderId="34" xfId="0" applyFont="true" applyBorder="true" applyAlignment="true" applyProtection="false">
      <alignment horizontal="general" vertical="center" textRotation="0" wrapText="true" indent="0" shrinkToFit="false"/>
      <protection locked="true" hidden="false"/>
    </xf>
    <xf numFmtId="164" fontId="0" fillId="0" borderId="19" xfId="0" applyFont="false" applyBorder="true" applyAlignment="true" applyProtection="false">
      <alignment horizontal="center" vertical="center" textRotation="0" wrapText="false" indent="0" shrinkToFit="false"/>
      <protection locked="true" hidden="false"/>
    </xf>
    <xf numFmtId="166" fontId="0" fillId="9" borderId="26" xfId="0" applyFont="true" applyBorder="true" applyAlignment="true" applyProtection="false">
      <alignment horizontal="general" vertical="center" textRotation="0" wrapText="true" indent="0" shrinkToFit="false"/>
      <protection locked="true" hidden="false"/>
    </xf>
    <xf numFmtId="166" fontId="0" fillId="0" borderId="42" xfId="0" applyFont="true" applyBorder="true" applyAlignment="true" applyProtection="false">
      <alignment horizontal="general" vertical="center" textRotation="0" wrapText="false" indent="0" shrinkToFit="false"/>
      <protection locked="true" hidden="false"/>
    </xf>
    <xf numFmtId="166" fontId="0" fillId="0" borderId="17" xfId="0" applyFont="true" applyBorder="true" applyAlignment="true" applyProtection="false">
      <alignment horizontal="general" vertical="center" textRotation="0" wrapText="true" indent="0" shrinkToFit="false"/>
      <protection locked="true" hidden="false"/>
    </xf>
    <xf numFmtId="166" fontId="0" fillId="0" borderId="18" xfId="0" applyFont="true" applyBorder="true" applyAlignment="true" applyProtection="false">
      <alignment horizontal="general" vertical="center" textRotation="0" wrapText="true" indent="0" shrinkToFit="false"/>
      <protection locked="true" hidden="false"/>
    </xf>
    <xf numFmtId="164" fontId="9" fillId="0" borderId="12" xfId="0" applyFont="true" applyBorder="true" applyAlignment="true" applyProtection="false">
      <alignment horizontal="general" vertical="center" textRotation="0" wrapText="true" indent="0" shrinkToFit="false"/>
      <protection locked="true" hidden="false"/>
    </xf>
    <xf numFmtId="169" fontId="6" fillId="0" borderId="8" xfId="0" applyFont="true" applyBorder="true" applyAlignment="true" applyProtection="false">
      <alignment horizontal="center" vertical="center" textRotation="0" wrapText="false" indent="0" shrinkToFit="false"/>
      <protection locked="true" hidden="false"/>
    </xf>
    <xf numFmtId="169" fontId="9" fillId="0" borderId="12" xfId="0" applyFont="true" applyBorder="true" applyAlignment="true" applyProtection="false">
      <alignment horizontal="center" vertical="center" textRotation="0" wrapText="false" indent="0" shrinkToFit="false"/>
      <protection locked="true" hidden="false"/>
    </xf>
    <xf numFmtId="169" fontId="6" fillId="0" borderId="12" xfId="0" applyFont="true" applyBorder="true" applyAlignment="true" applyProtection="false">
      <alignment horizontal="center" vertical="center" textRotation="0" wrapText="false" indent="0" shrinkToFit="false"/>
      <protection locked="true" hidden="false"/>
    </xf>
    <xf numFmtId="169" fontId="6" fillId="0" borderId="18" xfId="0" applyFont="true" applyBorder="true" applyAlignment="true" applyProtection="false">
      <alignment horizontal="center" vertical="center" textRotation="0" wrapText="false" indent="0" shrinkToFit="false"/>
      <protection locked="true" hidden="false"/>
    </xf>
    <xf numFmtId="164" fontId="0" fillId="4" borderId="8" xfId="0" applyFont="true" applyBorder="true" applyAlignment="true" applyProtection="false">
      <alignment horizontal="left" vertical="center" textRotation="0" wrapText="true" indent="0" shrinkToFit="false"/>
      <protection locked="true" hidden="false"/>
    </xf>
    <xf numFmtId="164" fontId="0" fillId="2" borderId="12" xfId="0" applyFont="true" applyBorder="true" applyAlignment="true" applyProtection="false">
      <alignment horizontal="general" vertical="center" textRotation="0" wrapText="true" indent="0" shrinkToFit="false"/>
      <protection locked="true" hidden="false"/>
    </xf>
    <xf numFmtId="164" fontId="0" fillId="5" borderId="18" xfId="0" applyFont="true" applyBorder="true" applyAlignment="true" applyProtection="false">
      <alignment horizontal="left" vertical="center" textRotation="0" wrapText="true" indent="0" shrinkToFit="false"/>
      <protection locked="true" hidden="false"/>
    </xf>
    <xf numFmtId="164" fontId="6" fillId="4" borderId="8" xfId="0" applyFont="true" applyBorder="true" applyAlignment="true" applyProtection="false">
      <alignment horizontal="left" vertical="center" textRotation="0" wrapText="false" indent="0" shrinkToFit="false"/>
      <protection locked="true" hidden="false"/>
    </xf>
    <xf numFmtId="164" fontId="0" fillId="4" borderId="8" xfId="0" applyFont="true" applyBorder="true" applyAlignment="true" applyProtection="false">
      <alignment horizontal="left" vertical="center" textRotation="0" wrapText="false" indent="0" shrinkToFit="false"/>
      <protection locked="true" hidden="false"/>
    </xf>
    <xf numFmtId="165" fontId="0" fillId="0" borderId="14" xfId="0" applyFont="false" applyBorder="true" applyAlignment="true" applyProtection="false">
      <alignment horizontal="left" vertical="center" textRotation="0" wrapText="false" indent="0" shrinkToFit="false"/>
      <protection locked="true" hidden="false"/>
    </xf>
    <xf numFmtId="164" fontId="0" fillId="5" borderId="12" xfId="0" applyFont="true" applyBorder="true" applyAlignment="true" applyProtection="false">
      <alignment horizontal="general" vertical="center" textRotation="0" wrapText="true" indent="0" shrinkToFit="false"/>
      <protection locked="true" hidden="false"/>
    </xf>
    <xf numFmtId="165" fontId="0" fillId="0" borderId="7" xfId="0" applyFont="false" applyBorder="true" applyAlignment="true" applyProtection="false">
      <alignment horizontal="left" vertical="center" textRotation="0" wrapText="false" indent="0" shrinkToFit="false"/>
      <protection locked="true" hidden="false"/>
    </xf>
    <xf numFmtId="164" fontId="0" fillId="0" borderId="1" xfId="0" applyFont="true" applyBorder="true" applyAlignment="true" applyProtection="false">
      <alignment horizontal="center" vertical="center" textRotation="0" wrapText="true" indent="0" shrinkToFit="false"/>
      <protection locked="true" hidden="false"/>
    </xf>
    <xf numFmtId="164" fontId="0" fillId="0" borderId="43" xfId="0" applyFont="true" applyBorder="true" applyAlignment="true" applyProtection="false">
      <alignment horizontal="left" vertical="center" textRotation="0" wrapText="false" indent="0" shrinkToFit="false"/>
      <protection locked="true" hidden="false"/>
    </xf>
    <xf numFmtId="164" fontId="0" fillId="0" borderId="10" xfId="0" applyFont="true" applyBorder="true" applyAlignment="true" applyProtection="false">
      <alignment horizontal="general" vertical="center" textRotation="0" wrapText="true" indent="0" shrinkToFit="false"/>
      <protection locked="true" hidden="false"/>
    </xf>
    <xf numFmtId="164" fontId="0" fillId="0" borderId="44" xfId="0" applyFont="true" applyBorder="true" applyAlignment="true" applyProtection="false">
      <alignment horizontal="general" vertical="center" textRotation="0" wrapText="true" indent="0" shrinkToFit="false"/>
      <protection locked="true" hidden="false"/>
    </xf>
    <xf numFmtId="164" fontId="0" fillId="0" borderId="8" xfId="0" applyFont="true" applyBorder="true" applyAlignment="true" applyProtection="false">
      <alignment horizontal="left" vertical="center" textRotation="0" wrapText="true" indent="0" shrinkToFit="false"/>
      <protection locked="true" hidden="false"/>
    </xf>
    <xf numFmtId="166" fontId="0" fillId="0" borderId="23" xfId="0" applyFont="true" applyBorder="true" applyAlignment="true" applyProtection="false">
      <alignment horizontal="general" vertical="center" textRotation="0" wrapText="false" indent="0" shrinkToFit="false"/>
      <protection locked="true" hidden="false"/>
    </xf>
    <xf numFmtId="166" fontId="0" fillId="0" borderId="35" xfId="0" applyFont="true" applyBorder="true" applyAlignment="true" applyProtection="false">
      <alignment horizontal="general" vertical="center" textRotation="0" wrapText="true" indent="0" shrinkToFit="false"/>
      <protection locked="true" hidden="false"/>
    </xf>
    <xf numFmtId="166" fontId="0" fillId="8" borderId="35" xfId="0" applyFont="true" applyBorder="true" applyAlignment="true" applyProtection="false">
      <alignment horizontal="general" vertical="center" textRotation="0" wrapText="false" indent="0" shrinkToFit="false"/>
      <protection locked="true" hidden="false"/>
    </xf>
    <xf numFmtId="166" fontId="0" fillId="0" borderId="34" xfId="0" applyFont="true" applyBorder="true" applyAlignment="true" applyProtection="false">
      <alignment horizontal="general" vertical="center" textRotation="0" wrapText="false" indent="0" shrinkToFit="false"/>
      <protection locked="true" hidden="false"/>
    </xf>
    <xf numFmtId="166" fontId="0" fillId="9" borderId="31" xfId="0" applyFont="true" applyBorder="true" applyAlignment="true" applyProtection="false">
      <alignment horizontal="left" vertical="center" textRotation="0" wrapText="true" indent="0" shrinkToFit="false"/>
      <protection locked="true" hidden="false"/>
    </xf>
    <xf numFmtId="166" fontId="0" fillId="0" borderId="25" xfId="0" applyFont="true" applyBorder="true" applyAlignment="true" applyProtection="false">
      <alignment horizontal="general" vertical="center" textRotation="0" wrapText="false" indent="0" shrinkToFit="false"/>
      <protection locked="true" hidden="false"/>
    </xf>
    <xf numFmtId="166" fontId="0" fillId="0" borderId="26" xfId="0" applyFont="true" applyBorder="true" applyAlignment="true" applyProtection="false">
      <alignment horizontal="general" vertical="center" textRotation="0" wrapText="false" indent="0" shrinkToFit="false"/>
      <protection locked="true" hidden="false"/>
    </xf>
    <xf numFmtId="164" fontId="9" fillId="0" borderId="8" xfId="0" applyFont="true" applyBorder="true" applyAlignment="true" applyProtection="false">
      <alignment horizontal="left" vertical="center" textRotation="0" wrapText="true" indent="0" shrinkToFit="false"/>
      <protection locked="true" hidden="false"/>
    </xf>
    <xf numFmtId="167" fontId="6" fillId="0" borderId="18" xfId="0" applyFont="true" applyBorder="true" applyAlignment="true" applyProtection="false">
      <alignment horizontal="center" vertical="center" textRotation="0" wrapText="false" indent="0" shrinkToFit="false"/>
      <protection locked="true" hidden="false"/>
    </xf>
    <xf numFmtId="164" fontId="6" fillId="0" borderId="8" xfId="0" applyFont="true" applyBorder="true" applyAlignment="true" applyProtection="false">
      <alignment horizontal="left" vertical="center" textRotation="0" wrapText="true" indent="0" shrinkToFit="false"/>
      <protection locked="true" hidden="false"/>
    </xf>
    <xf numFmtId="164" fontId="6" fillId="2" borderId="11" xfId="0" applyFont="true" applyBorder="true" applyAlignment="true" applyProtection="false">
      <alignment horizontal="left" vertical="center" textRotation="0" wrapText="false" indent="0" shrinkToFit="false"/>
      <protection locked="true" hidden="false"/>
    </xf>
    <xf numFmtId="164" fontId="6" fillId="2" borderId="12" xfId="0" applyFont="true" applyBorder="true" applyAlignment="true" applyProtection="false">
      <alignment horizontal="left" vertical="center" textRotation="0" wrapText="true" indent="0" shrinkToFit="false"/>
      <protection locked="true" hidden="false"/>
    </xf>
    <xf numFmtId="164" fontId="6" fillId="5" borderId="18" xfId="0" applyFont="true" applyBorder="true" applyAlignment="true" applyProtection="false">
      <alignment horizontal="general" vertical="center" textRotation="0" wrapText="true" indent="0" shrinkToFit="false"/>
      <protection locked="true" hidden="false"/>
    </xf>
    <xf numFmtId="164" fontId="6" fillId="0" borderId="18" xfId="0" applyFont="true" applyBorder="true" applyAlignment="true" applyProtection="false">
      <alignment horizontal="general" vertical="center" textRotation="0" wrapText="true" indent="0" shrinkToFit="false"/>
      <protection locked="true" hidden="false"/>
    </xf>
    <xf numFmtId="166" fontId="0" fillId="9" borderId="17" xfId="0" applyFont="true" applyBorder="true" applyAlignment="true" applyProtection="false">
      <alignment horizontal="left" vertical="center" textRotation="0" wrapText="false" indent="0" shrinkToFit="false"/>
      <protection locked="true" hidden="false"/>
    </xf>
    <xf numFmtId="164" fontId="6" fillId="0" borderId="7" xfId="0" applyFont="true" applyBorder="true" applyAlignment="true" applyProtection="false">
      <alignment horizontal="left" vertical="center" textRotation="0" wrapText="false" indent="0" shrinkToFit="false"/>
      <protection locked="true" hidden="false"/>
    </xf>
    <xf numFmtId="164" fontId="6" fillId="0" borderId="22" xfId="0" applyFont="true" applyBorder="true" applyAlignment="true" applyProtection="false">
      <alignment horizontal="center" vertical="center" textRotation="0" wrapText="true" indent="0" shrinkToFit="false"/>
      <protection locked="true" hidden="false"/>
    </xf>
    <xf numFmtId="164" fontId="6" fillId="0" borderId="0" xfId="0" applyFont="true" applyBorder="true" applyAlignment="true" applyProtection="false">
      <alignment horizontal="center" vertical="center" textRotation="0" wrapText="true" indent="0" shrinkToFit="false"/>
      <protection locked="true" hidden="false"/>
    </xf>
    <xf numFmtId="164" fontId="9" fillId="0" borderId="18" xfId="0" applyFont="true" applyBorder="true" applyAlignment="true" applyProtection="false">
      <alignment horizontal="general" vertical="center" textRotation="0" wrapText="true" indent="0" shrinkToFit="false"/>
      <protection locked="true" hidden="false"/>
    </xf>
    <xf numFmtId="166" fontId="0" fillId="5" borderId="17" xfId="0" applyFont="true" applyBorder="true" applyAlignment="true" applyProtection="false">
      <alignment horizontal="left" vertical="center" textRotation="0" wrapText="true" indent="0" shrinkToFit="false"/>
      <protection locked="true" hidden="false"/>
    </xf>
    <xf numFmtId="166" fontId="0" fillId="5" borderId="18" xfId="0" applyFont="true" applyBorder="true" applyAlignment="true" applyProtection="false">
      <alignment horizontal="general" vertical="center" textRotation="0" wrapText="true" indent="0" shrinkToFit="false"/>
      <protection locked="true" hidden="false"/>
    </xf>
    <xf numFmtId="166" fontId="0" fillId="5" borderId="19" xfId="0" applyFont="true" applyBorder="true" applyAlignment="true" applyProtection="false">
      <alignment horizontal="left" vertical="center" textRotation="0" wrapText="true" indent="0" shrinkToFit="false"/>
      <protection locked="true" hidden="false"/>
    </xf>
    <xf numFmtId="166" fontId="0" fillId="0" borderId="42" xfId="0" applyFont="true" applyBorder="true" applyAlignment="true" applyProtection="false">
      <alignment horizontal="general" vertical="center" textRotation="0" wrapText="true" indent="0" shrinkToFit="false"/>
      <protection locked="true" hidden="false"/>
    </xf>
    <xf numFmtId="166" fontId="0" fillId="0" borderId="17" xfId="0" applyFont="true" applyBorder="true" applyAlignment="true" applyProtection="false">
      <alignment horizontal="general" vertical="center" textRotation="0" wrapText="false" indent="0" shrinkToFit="false"/>
      <protection locked="true" hidden="false"/>
    </xf>
    <xf numFmtId="164" fontId="6" fillId="0" borderId="8" xfId="0" applyFont="true" applyBorder="true" applyAlignment="true" applyProtection="false">
      <alignment horizontal="center" vertical="center" textRotation="0" wrapText="true" indent="0" shrinkToFit="false"/>
      <protection locked="true" hidden="false"/>
    </xf>
    <xf numFmtId="164" fontId="11" fillId="2" borderId="0" xfId="0" applyFont="true" applyBorder="true" applyAlignment="true" applyProtection="false">
      <alignment horizontal="general" vertical="center" textRotation="0" wrapText="false" indent="0" shrinkToFit="false"/>
      <protection locked="true" hidden="false"/>
    </xf>
    <xf numFmtId="166" fontId="5" fillId="2" borderId="0" xfId="0" applyFont="true" applyBorder="true" applyAlignment="true" applyProtection="false">
      <alignment horizontal="center" vertical="center" textRotation="0" wrapText="true" indent="0" shrinkToFit="false"/>
      <protection locked="true" hidden="false"/>
    </xf>
    <xf numFmtId="164" fontId="5" fillId="2" borderId="0" xfId="0" applyFont="true" applyBorder="true" applyAlignment="true" applyProtection="false">
      <alignment horizontal="center" vertical="center" textRotation="0" wrapText="true" indent="0" shrinkToFit="false"/>
      <protection locked="true" hidden="false"/>
    </xf>
    <xf numFmtId="164" fontId="0" fillId="2" borderId="0" xfId="0" applyFont="false" applyBorder="true" applyAlignment="true" applyProtection="false">
      <alignment horizontal="general" vertical="center" textRotation="0" wrapText="false" indent="0" shrinkToFit="false"/>
      <protection locked="true" hidden="false"/>
    </xf>
    <xf numFmtId="164" fontId="6" fillId="2" borderId="0" xfId="0" applyFont="true" applyBorder="true" applyAlignment="true" applyProtection="false">
      <alignment horizontal="general" vertical="center" textRotation="0" wrapText="false" indent="0" shrinkToFit="false"/>
      <protection locked="true" hidden="false"/>
    </xf>
    <xf numFmtId="164" fontId="6" fillId="2" borderId="0" xfId="0" applyFont="true" applyBorder="true" applyAlignment="true" applyProtection="false">
      <alignment horizontal="center" vertical="center" textRotation="0" wrapText="false" indent="0" shrinkToFit="false"/>
      <protection locked="true" hidden="false"/>
    </xf>
    <xf numFmtId="164" fontId="0" fillId="0" borderId="7" xfId="0" applyFont="true" applyBorder="true" applyAlignment="true" applyProtection="false">
      <alignment horizontal="left" vertical="center" textRotation="0" wrapText="false" indent="0" shrinkToFit="false"/>
      <protection locked="true" hidden="false"/>
    </xf>
    <xf numFmtId="166" fontId="0" fillId="5" borderId="34" xfId="0" applyFont="true" applyBorder="true" applyAlignment="true" applyProtection="false">
      <alignment horizontal="left" vertical="center" textRotation="0" wrapText="false" indent="0" shrinkToFit="false"/>
      <protection locked="true" hidden="false"/>
    </xf>
    <xf numFmtId="166" fontId="0" fillId="6" borderId="35" xfId="0" applyFont="false" applyBorder="true" applyAlignment="true" applyProtection="false">
      <alignment horizontal="general" vertical="center" textRotation="0" wrapText="true" indent="0" shrinkToFit="false"/>
      <protection locked="true" hidden="false"/>
    </xf>
    <xf numFmtId="166" fontId="0" fillId="6" borderId="34" xfId="0" applyFont="false" applyBorder="true" applyAlignment="true" applyProtection="false">
      <alignment horizontal="general" vertical="center" textRotation="0" wrapText="false" indent="0" shrinkToFit="false"/>
      <protection locked="true" hidden="false"/>
    </xf>
    <xf numFmtId="166" fontId="0" fillId="6" borderId="12" xfId="0" applyFont="false" applyBorder="true" applyAlignment="true" applyProtection="false">
      <alignment horizontal="general" vertical="center" textRotation="0" wrapText="false" indent="0" shrinkToFit="false"/>
      <protection locked="true" hidden="false"/>
    </xf>
    <xf numFmtId="166" fontId="0" fillId="6" borderId="13" xfId="0" applyFont="false" applyBorder="true" applyAlignment="true" applyProtection="false">
      <alignment horizontal="left" vertical="center" textRotation="0" wrapText="false" indent="0" shrinkToFit="false"/>
      <protection locked="true" hidden="false"/>
    </xf>
    <xf numFmtId="164" fontId="0" fillId="0" borderId="18" xfId="0" applyFont="true" applyBorder="true" applyAlignment="true" applyProtection="false">
      <alignment horizontal="general" vertical="center" textRotation="0" wrapText="true" indent="0" shrinkToFit="false"/>
      <protection locked="true" hidden="false"/>
    </xf>
    <xf numFmtId="166" fontId="0" fillId="9" borderId="26" xfId="0" applyFont="true" applyBorder="true" applyAlignment="true" applyProtection="false">
      <alignment horizontal="left" vertical="center" textRotation="0" wrapText="false" indent="0" shrinkToFit="false"/>
      <protection locked="true" hidden="false"/>
    </xf>
    <xf numFmtId="166" fontId="0" fillId="6" borderId="25" xfId="0" applyFont="false" applyBorder="true" applyAlignment="true" applyProtection="false">
      <alignment horizontal="general" vertical="center" textRotation="0" wrapText="false" indent="0" shrinkToFit="false"/>
      <protection locked="true" hidden="false"/>
    </xf>
    <xf numFmtId="166" fontId="0" fillId="6" borderId="26" xfId="0" applyFont="false" applyBorder="true" applyAlignment="true" applyProtection="false">
      <alignment horizontal="general" vertical="center" textRotation="0" wrapText="false" indent="0" shrinkToFit="false"/>
      <protection locked="true" hidden="false"/>
    </xf>
    <xf numFmtId="166" fontId="0" fillId="6" borderId="18" xfId="0" applyFont="false" applyBorder="true" applyAlignment="true" applyProtection="false">
      <alignment horizontal="general" vertical="center" textRotation="0" wrapText="false" indent="0" shrinkToFit="false"/>
      <protection locked="true" hidden="false"/>
    </xf>
    <xf numFmtId="166" fontId="0" fillId="6" borderId="19" xfId="0" applyFont="false" applyBorder="true" applyAlignment="true" applyProtection="false">
      <alignment horizontal="left" vertical="center" textRotation="0" wrapText="false" indent="0" shrinkToFit="false"/>
      <protection locked="true" hidden="false"/>
    </xf>
    <xf numFmtId="164" fontId="9" fillId="0" borderId="7" xfId="0" applyFont="true" applyBorder="true" applyAlignment="true" applyProtection="false">
      <alignment horizontal="left" vertical="center" textRotation="0" wrapText="false" indent="0" shrinkToFit="false"/>
      <protection locked="true" hidden="false"/>
    </xf>
    <xf numFmtId="167" fontId="6" fillId="2" borderId="0" xfId="0" applyFont="true" applyBorder="true" applyAlignment="true" applyProtection="false">
      <alignment horizontal="center" vertical="center" textRotation="0" wrapText="true" indent="0" shrinkToFit="false"/>
      <protection locked="true" hidden="false"/>
    </xf>
    <xf numFmtId="164" fontId="6" fillId="5" borderId="12" xfId="0" applyFont="true" applyBorder="true" applyAlignment="true" applyProtection="false">
      <alignment horizontal="general" vertical="center" textRotation="0" wrapText="true" indent="0" shrinkToFit="false"/>
      <protection locked="true" hidden="false"/>
    </xf>
    <xf numFmtId="164" fontId="6" fillId="0" borderId="0" xfId="0" applyFont="true" applyBorder="true" applyAlignment="true" applyProtection="false">
      <alignment horizontal="general" vertical="center" textRotation="0" wrapText="false" indent="0" shrinkToFit="false"/>
      <protection locked="true" hidden="false"/>
    </xf>
    <xf numFmtId="164" fontId="0" fillId="0" borderId="0" xfId="0" applyFont="false" applyBorder="true" applyAlignment="true" applyProtection="false">
      <alignment horizontal="left" vertical="center" textRotation="0" wrapText="true" indent="0" shrinkToFit="false"/>
      <protection locked="true" hidden="false"/>
    </xf>
    <xf numFmtId="164" fontId="6" fillId="0" borderId="0" xfId="0" applyFont="true" applyBorder="true" applyAlignment="true" applyProtection="false">
      <alignment horizontal="left" vertical="center" textRotation="0" wrapText="false" indent="0" shrinkToFit="false"/>
      <protection locked="true" hidden="false"/>
    </xf>
    <xf numFmtId="166" fontId="0" fillId="5" borderId="35" xfId="0" applyFont="true" applyBorder="true" applyAlignment="true" applyProtection="false">
      <alignment horizontal="general" vertical="center" textRotation="0" wrapText="true" indent="0" shrinkToFit="false"/>
      <protection locked="true" hidden="false"/>
    </xf>
    <xf numFmtId="169" fontId="9" fillId="0" borderId="8" xfId="0" applyFont="true" applyBorder="true" applyAlignment="true" applyProtection="false">
      <alignment horizontal="center" vertical="center" textRotation="0" wrapText="true" indent="0" shrinkToFit="false"/>
      <protection locked="true" hidden="false"/>
    </xf>
    <xf numFmtId="169" fontId="6" fillId="0" borderId="12" xfId="0" applyFont="true" applyBorder="true" applyAlignment="true" applyProtection="false">
      <alignment horizontal="center" vertical="center" textRotation="0" wrapText="true" indent="0" shrinkToFit="false"/>
      <protection locked="true" hidden="false"/>
    </xf>
    <xf numFmtId="169" fontId="6" fillId="0" borderId="18" xfId="0" applyFont="true" applyBorder="true" applyAlignment="true" applyProtection="false">
      <alignment horizontal="center" vertical="center" textRotation="0" wrapText="true" indent="0" shrinkToFit="false"/>
      <protection locked="true" hidden="false"/>
    </xf>
    <xf numFmtId="164" fontId="0" fillId="4" borderId="7" xfId="0" applyFont="true" applyBorder="true" applyAlignment="true" applyProtection="false">
      <alignment horizontal="left" vertical="center" textRotation="0" wrapText="false" indent="0" shrinkToFit="false"/>
      <protection locked="true" hidden="false"/>
    </xf>
    <xf numFmtId="166" fontId="0" fillId="7" borderId="9" xfId="0" applyFont="true" applyBorder="true" applyAlignment="true" applyProtection="false">
      <alignment horizontal="left" vertical="center" textRotation="0" wrapText="false" indent="0" shrinkToFit="false"/>
      <protection locked="true" hidden="false"/>
    </xf>
    <xf numFmtId="166" fontId="0" fillId="9" borderId="41" xfId="0" applyFont="true" applyBorder="true" applyAlignment="true" applyProtection="false">
      <alignment horizontal="general" vertical="center" textRotation="0" wrapText="true" indent="0" shrinkToFit="false"/>
      <protection locked="true" hidden="false"/>
    </xf>
    <xf numFmtId="166" fontId="0" fillId="7" borderId="41" xfId="0" applyFont="true" applyBorder="true" applyAlignment="true" applyProtection="false">
      <alignment horizontal="general" vertical="center" textRotation="0" wrapText="true" indent="0" shrinkToFit="false"/>
      <protection locked="true" hidden="false"/>
    </xf>
    <xf numFmtId="166" fontId="0" fillId="7" borderId="42" xfId="0" applyFont="true" applyBorder="true" applyAlignment="true" applyProtection="false">
      <alignment horizontal="general" vertical="center" textRotation="0" wrapText="true" indent="0" shrinkToFit="false"/>
      <protection locked="true" hidden="false"/>
    </xf>
    <xf numFmtId="169" fontId="9" fillId="0" borderId="18" xfId="0" applyFont="true" applyBorder="true" applyAlignment="true" applyProtection="false">
      <alignment horizontal="center" vertical="center" textRotation="0" wrapText="false" indent="0" shrinkToFit="false"/>
      <protection locked="true" hidden="false"/>
    </xf>
    <xf numFmtId="164" fontId="0" fillId="5" borderId="18" xfId="0" applyFont="true" applyBorder="true" applyAlignment="true" applyProtection="false">
      <alignment horizontal="general" vertical="center" textRotation="0" wrapText="true" indent="0" shrinkToFit="false"/>
      <protection locked="true" hidden="false"/>
    </xf>
    <xf numFmtId="164" fontId="0" fillId="4" borderId="18" xfId="0" applyFont="true" applyBorder="true" applyAlignment="true" applyProtection="false">
      <alignment horizontal="general" vertical="center" textRotation="0" wrapText="true" indent="0" shrinkToFit="false"/>
      <protection locked="true" hidden="false"/>
    </xf>
    <xf numFmtId="166" fontId="0" fillId="5" borderId="34" xfId="0" applyFont="true" applyBorder="true" applyAlignment="true" applyProtection="false">
      <alignment horizontal="general" vertical="center" textRotation="0" wrapText="false" indent="0" shrinkToFit="false"/>
      <protection locked="true" hidden="false"/>
    </xf>
    <xf numFmtId="166" fontId="0" fillId="5" borderId="25" xfId="0" applyFont="true" applyBorder="true" applyAlignment="true" applyProtection="false">
      <alignment horizontal="general" vertical="center" textRotation="0" wrapText="false" indent="0" shrinkToFit="false"/>
      <protection locked="true" hidden="false"/>
    </xf>
    <xf numFmtId="169" fontId="6" fillId="0" borderId="8" xfId="0" applyFont="true" applyBorder="true" applyAlignment="true" applyProtection="false">
      <alignment horizontal="center" vertical="center" textRotation="0" wrapText="true" indent="0" shrinkToFit="false"/>
      <protection locked="true" hidden="false"/>
    </xf>
    <xf numFmtId="169" fontId="9" fillId="0" borderId="18" xfId="0" applyFont="true" applyBorder="true" applyAlignment="true" applyProtection="false">
      <alignment horizontal="center" vertical="center" textRotation="0" wrapText="true" indent="0" shrinkToFit="false"/>
      <protection locked="true" hidden="false"/>
    </xf>
    <xf numFmtId="164" fontId="9" fillId="0" borderId="22" xfId="0" applyFont="true" applyBorder="true" applyAlignment="true" applyProtection="false">
      <alignment horizontal="center" vertical="center" textRotation="0" wrapText="true" indent="0" shrinkToFit="false"/>
      <protection locked="true" hidden="false"/>
    </xf>
    <xf numFmtId="164" fontId="9" fillId="0" borderId="17" xfId="0" applyFont="true" applyBorder="true" applyAlignment="true" applyProtection="false">
      <alignment horizontal="left" vertical="center" textRotation="0" wrapText="false" indent="0" shrinkToFit="false"/>
      <protection locked="true" hidden="false"/>
    </xf>
    <xf numFmtId="170" fontId="6" fillId="4" borderId="8" xfId="0" applyFont="true" applyBorder="true" applyAlignment="true" applyProtection="false">
      <alignment horizontal="center" vertical="center" textRotation="0" wrapText="false" indent="0" shrinkToFit="false"/>
      <protection locked="true" hidden="false"/>
    </xf>
    <xf numFmtId="170" fontId="6" fillId="2" borderId="12" xfId="0" applyFont="true" applyBorder="true" applyAlignment="true" applyProtection="false">
      <alignment horizontal="center" vertical="center" textRotation="0" wrapText="false" indent="0" shrinkToFit="false"/>
      <protection locked="true" hidden="false"/>
    </xf>
    <xf numFmtId="166" fontId="0" fillId="0" borderId="24" xfId="0" applyFont="true" applyBorder="true" applyAlignment="true" applyProtection="false">
      <alignment horizontal="general" vertical="center" textRotation="0" wrapText="false" indent="0" shrinkToFit="false"/>
      <protection locked="true" hidden="false"/>
    </xf>
    <xf numFmtId="166" fontId="0" fillId="0" borderId="8" xfId="0" applyFont="true" applyBorder="true" applyAlignment="true" applyProtection="false">
      <alignment horizontal="general" vertical="center" textRotation="0" wrapText="true" indent="0" shrinkToFit="false"/>
      <protection locked="true" hidden="false"/>
    </xf>
    <xf numFmtId="166" fontId="0" fillId="0" borderId="9" xfId="0" applyFont="true" applyBorder="true" applyAlignment="true" applyProtection="false">
      <alignment horizontal="left" vertical="center" textRotation="0" wrapText="false" indent="0" shrinkToFit="false"/>
      <protection locked="true" hidden="false"/>
    </xf>
    <xf numFmtId="166" fontId="0" fillId="0" borderId="13" xfId="0" applyFont="true" applyBorder="true" applyAlignment="true" applyProtection="false">
      <alignment horizontal="left" vertical="center" textRotation="0" wrapText="false" indent="0" shrinkToFit="false"/>
      <protection locked="true" hidden="false"/>
    </xf>
    <xf numFmtId="166" fontId="0" fillId="5" borderId="26" xfId="0" applyFont="true" applyBorder="true" applyAlignment="true" applyProtection="false">
      <alignment horizontal="general" vertical="center" textRotation="0" wrapText="true" indent="0" shrinkToFit="false"/>
      <protection locked="true" hidden="false"/>
    </xf>
    <xf numFmtId="166" fontId="0" fillId="0" borderId="19" xfId="0" applyFont="true" applyBorder="true" applyAlignment="true" applyProtection="false">
      <alignment horizontal="left" vertical="center" textRotation="0" wrapText="false" indent="0" shrinkToFit="false"/>
      <protection locked="true" hidden="false"/>
    </xf>
    <xf numFmtId="164" fontId="5" fillId="0" borderId="21" xfId="0" applyFont="true" applyBorder="true" applyAlignment="true" applyProtection="false">
      <alignment horizontal="center" vertical="center" textRotation="0" wrapText="true" indent="0" shrinkToFit="false"/>
      <protection locked="true" hidden="false"/>
    </xf>
    <xf numFmtId="165" fontId="0" fillId="0" borderId="17" xfId="0" applyFont="false" applyBorder="true" applyAlignment="true" applyProtection="false">
      <alignment horizontal="general" vertical="center" textRotation="0" wrapText="false" indent="0" shrinkToFit="false"/>
      <protection locked="true" hidden="false"/>
    </xf>
    <xf numFmtId="165" fontId="0" fillId="0" borderId="45" xfId="0" applyFont="false" applyBorder="true" applyAlignment="true" applyProtection="false">
      <alignment horizontal="general" vertical="center" textRotation="0" wrapText="false" indent="0" shrinkToFit="false"/>
      <protection locked="true" hidden="false"/>
    </xf>
    <xf numFmtId="164" fontId="0" fillId="0" borderId="46" xfId="0" applyFont="false" applyBorder="true" applyAlignment="true" applyProtection="false">
      <alignment horizontal="center" vertical="center" textRotation="0" wrapText="false" indent="0" shrinkToFit="false"/>
      <protection locked="true" hidden="false"/>
    </xf>
    <xf numFmtId="164" fontId="0" fillId="0" borderId="47" xfId="0" applyFont="false" applyBorder="true" applyAlignment="true" applyProtection="false">
      <alignment horizontal="center" vertical="center" textRotation="0" wrapText="false" indent="0" shrinkToFit="false"/>
      <protection locked="true" hidden="false"/>
    </xf>
    <xf numFmtId="164" fontId="0" fillId="5" borderId="17" xfId="0" applyFont="false" applyBorder="true" applyAlignment="true" applyProtection="false">
      <alignment horizontal="center" vertical="center" textRotation="0" wrapText="false" indent="0" shrinkToFit="false"/>
      <protection locked="true" hidden="false"/>
    </xf>
    <xf numFmtId="164" fontId="0" fillId="5" borderId="18" xfId="0" applyFont="true" applyBorder="true" applyAlignment="true" applyProtection="false">
      <alignment horizontal="left" vertical="center" textRotation="0" wrapText="false" indent="0" shrinkToFit="false"/>
      <protection locked="true" hidden="false"/>
    </xf>
    <xf numFmtId="164" fontId="6" fillId="5" borderId="19" xfId="0" applyFont="true" applyBorder="true" applyAlignment="true" applyProtection="false">
      <alignment horizontal="general" vertical="center" textRotation="0" wrapText="false" indent="0" shrinkToFit="false"/>
      <protection locked="true" hidden="false"/>
    </xf>
    <xf numFmtId="164" fontId="0" fillId="0" borderId="38" xfId="0" applyFont="true" applyBorder="true" applyAlignment="true" applyProtection="false">
      <alignment horizontal="center" vertical="center" textRotation="0" wrapText="true" indent="0" shrinkToFit="false"/>
      <protection locked="true" hidden="false"/>
    </xf>
    <xf numFmtId="164" fontId="6" fillId="0" borderId="48" xfId="0" applyFont="true" applyBorder="true" applyAlignment="true" applyProtection="false">
      <alignment horizontal="general" vertical="center" textRotation="0" wrapText="false" indent="0" shrinkToFit="false"/>
      <protection locked="true" hidden="false"/>
    </xf>
    <xf numFmtId="164" fontId="6" fillId="0" borderId="10" xfId="0" applyFont="true" applyBorder="true" applyAlignment="true" applyProtection="false">
      <alignment horizontal="general" vertical="center" textRotation="0" wrapText="true" indent="0" shrinkToFit="false"/>
      <protection locked="true" hidden="false"/>
    </xf>
    <xf numFmtId="164" fontId="0" fillId="0" borderId="10" xfId="0" applyFont="true" applyBorder="true" applyAlignment="true" applyProtection="false">
      <alignment horizontal="general" vertical="center" textRotation="0" wrapText="false" indent="0" shrinkToFit="false"/>
      <protection locked="true" hidden="false"/>
    </xf>
    <xf numFmtId="164" fontId="6" fillId="0" borderId="44" xfId="0" applyFont="true" applyBorder="true" applyAlignment="true" applyProtection="false">
      <alignment horizontal="general" vertical="center" textRotation="0" wrapText="true" indent="0" shrinkToFit="false"/>
      <protection locked="true" hidden="false"/>
    </xf>
    <xf numFmtId="166" fontId="0" fillId="8" borderId="23" xfId="0" applyFont="true" applyBorder="true" applyAlignment="true" applyProtection="false">
      <alignment horizontal="general" vertical="center" textRotation="0" wrapText="false" indent="0" shrinkToFit="false"/>
      <protection locked="true" hidden="false"/>
    </xf>
    <xf numFmtId="166" fontId="0" fillId="8" borderId="12" xfId="0" applyFont="true" applyBorder="true" applyAlignment="true" applyProtection="false">
      <alignment horizontal="general" vertical="center" textRotation="0" wrapText="false" indent="0" shrinkToFit="false"/>
      <protection locked="true" hidden="false"/>
    </xf>
    <xf numFmtId="166" fontId="0" fillId="8" borderId="13" xfId="0" applyFont="true" applyBorder="true" applyAlignment="true" applyProtection="false">
      <alignment horizontal="left" vertical="center" textRotation="0" wrapText="false" indent="0" shrinkToFit="false"/>
      <protection locked="true" hidden="false"/>
    </xf>
    <xf numFmtId="166" fontId="0" fillId="0" borderId="12" xfId="0" applyFont="true" applyBorder="true" applyAlignment="true" applyProtection="false">
      <alignment horizontal="general" vertical="center" textRotation="0" wrapText="true" indent="0" shrinkToFit="false"/>
      <protection locked="true" hidden="false"/>
    </xf>
    <xf numFmtId="166" fontId="0" fillId="8" borderId="25" xfId="0" applyFont="true" applyBorder="true" applyAlignment="true" applyProtection="false">
      <alignment horizontal="general" vertical="center" textRotation="0" wrapText="false" indent="0" shrinkToFit="false"/>
      <protection locked="true" hidden="false"/>
    </xf>
    <xf numFmtId="167" fontId="9" fillId="0" borderId="18" xfId="0" applyFont="true" applyBorder="true" applyAlignment="true" applyProtection="false">
      <alignment horizontal="center" vertical="center" textRotation="0" wrapText="false" indent="0" shrinkToFit="false"/>
      <protection locked="true" hidden="false"/>
    </xf>
    <xf numFmtId="166" fontId="0" fillId="5" borderId="17" xfId="0" applyFont="true" applyBorder="true" applyAlignment="true" applyProtection="false">
      <alignment horizontal="left" vertical="center" textRotation="0" wrapText="false" indent="0" shrinkToFit="false"/>
      <protection locked="true" hidden="false"/>
    </xf>
    <xf numFmtId="166" fontId="0" fillId="5" borderId="31" xfId="0" applyFont="true" applyBorder="true" applyAlignment="true" applyProtection="false">
      <alignment horizontal="left" vertical="center" textRotation="0" wrapText="true" indent="0" shrinkToFit="false"/>
      <protection locked="true" hidden="false"/>
    </xf>
    <xf numFmtId="166" fontId="0" fillId="0" borderId="25" xfId="0" applyFont="true" applyBorder="true" applyAlignment="true" applyProtection="false">
      <alignment horizontal="general" vertical="center" textRotation="0" wrapText="true" indent="0" shrinkToFit="false"/>
      <protection locked="true" hidden="false"/>
    </xf>
    <xf numFmtId="164" fontId="12" fillId="2" borderId="0" xfId="0" applyFont="true" applyBorder="true" applyAlignment="true" applyProtection="false">
      <alignment horizontal="center" vertical="center" textRotation="0" wrapText="false" indent="0" shrinkToFit="false"/>
      <protection locked="true" hidden="false"/>
    </xf>
    <xf numFmtId="164" fontId="0" fillId="0" borderId="7" xfId="0" applyFont="false" applyBorder="true" applyAlignment="true" applyProtection="false">
      <alignment horizontal="center" vertical="center" textRotation="0" wrapText="false" indent="0" shrinkToFit="false"/>
      <protection locked="true" hidden="false"/>
    </xf>
    <xf numFmtId="164" fontId="6" fillId="0" borderId="8" xfId="0" applyFont="true" applyBorder="true" applyAlignment="true" applyProtection="false">
      <alignment horizontal="general" vertical="center" textRotation="0" wrapText="false" indent="0" shrinkToFit="false"/>
      <protection locked="true" hidden="false"/>
    </xf>
    <xf numFmtId="164" fontId="0" fillId="0" borderId="8" xfId="0" applyFont="true" applyBorder="true" applyAlignment="true" applyProtection="false">
      <alignment horizontal="general" vertical="center" textRotation="0" wrapText="false" indent="0" shrinkToFit="false"/>
      <protection locked="true" hidden="false"/>
    </xf>
    <xf numFmtId="164" fontId="6" fillId="0" borderId="9" xfId="0" applyFont="true" applyBorder="true" applyAlignment="true" applyProtection="false">
      <alignment horizontal="general" vertical="center" textRotation="0" wrapText="false" indent="0" shrinkToFit="false"/>
      <protection locked="true" hidden="false"/>
    </xf>
    <xf numFmtId="164" fontId="0" fillId="0" borderId="11" xfId="0" applyFont="false" applyBorder="true" applyAlignment="true" applyProtection="false">
      <alignment horizontal="center" vertical="center" textRotation="0" wrapText="false" indent="0" shrinkToFit="false"/>
      <protection locked="true" hidden="false"/>
    </xf>
    <xf numFmtId="164" fontId="0" fillId="0" borderId="12" xfId="0" applyFont="true" applyBorder="true" applyAlignment="true" applyProtection="false">
      <alignment horizontal="left" vertical="center" textRotation="0" wrapText="false" indent="0" shrinkToFit="false"/>
      <protection locked="true" hidden="false"/>
    </xf>
    <xf numFmtId="164" fontId="6" fillId="0" borderId="12" xfId="0" applyFont="true" applyBorder="true" applyAlignment="true" applyProtection="false">
      <alignment horizontal="left" vertical="center" textRotation="0" wrapText="false" indent="0" shrinkToFit="false"/>
      <protection locked="true" hidden="false"/>
    </xf>
    <xf numFmtId="164" fontId="0" fillId="0" borderId="12" xfId="0" applyFont="true" applyBorder="true" applyAlignment="true" applyProtection="false">
      <alignment horizontal="general" vertical="center" textRotation="0" wrapText="false" indent="0" shrinkToFit="false"/>
      <protection locked="true" hidden="false"/>
    </xf>
    <xf numFmtId="164" fontId="6" fillId="0" borderId="13" xfId="0" applyFont="true" applyBorder="true" applyAlignment="true" applyProtection="false">
      <alignment horizontal="general" vertical="center" textRotation="0" wrapText="false" indent="0" shrinkToFit="false"/>
      <protection locked="true" hidden="false"/>
    </xf>
    <xf numFmtId="164" fontId="6" fillId="0" borderId="12" xfId="0" applyFont="true" applyBorder="true" applyAlignment="true" applyProtection="false">
      <alignment horizontal="general" vertical="center" textRotation="0" wrapText="false" indent="0" shrinkToFit="false"/>
      <protection locked="true" hidden="false"/>
    </xf>
    <xf numFmtId="164" fontId="0" fillId="0" borderId="17" xfId="0" applyFont="false" applyBorder="true" applyAlignment="true" applyProtection="false">
      <alignment horizontal="center" vertical="center" textRotation="0" wrapText="false" indent="0" shrinkToFit="false"/>
      <protection locked="true" hidden="false"/>
    </xf>
    <xf numFmtId="164" fontId="6" fillId="0" borderId="18" xfId="0" applyFont="true" applyBorder="true" applyAlignment="true" applyProtection="false">
      <alignment horizontal="general" vertical="center" textRotation="0" wrapText="false" indent="0" shrinkToFit="false"/>
      <protection locked="true" hidden="false"/>
    </xf>
    <xf numFmtId="164" fontId="0" fillId="0" borderId="18" xfId="0" applyFont="true" applyBorder="true" applyAlignment="true" applyProtection="false">
      <alignment horizontal="general" vertical="center" textRotation="0" wrapText="false" indent="0" shrinkToFit="false"/>
      <protection locked="true" hidden="false"/>
    </xf>
    <xf numFmtId="164" fontId="6" fillId="0" borderId="19" xfId="0" applyFont="true" applyBorder="true" applyAlignment="true" applyProtection="false">
      <alignment horizontal="general" vertical="center" textRotation="0" wrapText="false" indent="0" shrinkToFit="false"/>
      <protection locked="true" hidden="false"/>
    </xf>
    <xf numFmtId="164" fontId="0" fillId="0" borderId="7" xfId="0" applyFont="true" applyBorder="true" applyAlignment="true" applyProtection="false">
      <alignment horizontal="center" vertical="center" textRotation="0" wrapText="true" indent="0" shrinkToFit="false"/>
      <protection locked="true" hidden="false"/>
    </xf>
    <xf numFmtId="164" fontId="6" fillId="0" borderId="8" xfId="0" applyFont="true" applyBorder="true" applyAlignment="true" applyProtection="false">
      <alignment horizontal="left" vertical="center" textRotation="0" wrapText="false" indent="0" shrinkToFit="false"/>
      <protection locked="true" hidden="false"/>
    </xf>
    <xf numFmtId="164" fontId="0" fillId="0" borderId="8" xfId="0" applyFont="true" applyBorder="true" applyAlignment="true" applyProtection="false">
      <alignment horizontal="left" vertical="center" textRotation="0" wrapText="false" indent="0" shrinkToFit="false"/>
      <protection locked="true" hidden="false"/>
    </xf>
    <xf numFmtId="164" fontId="0" fillId="0" borderId="9" xfId="0" applyFont="true" applyBorder="true" applyAlignment="true" applyProtection="false">
      <alignment horizontal="general" vertical="center" textRotation="0" wrapText="false" indent="0" shrinkToFit="false"/>
      <protection locked="true" hidden="false"/>
    </xf>
    <xf numFmtId="164" fontId="0" fillId="0" borderId="11" xfId="0" applyFont="true" applyBorder="true" applyAlignment="true" applyProtection="false">
      <alignment horizontal="center" vertical="center" textRotation="0" wrapText="true" indent="0" shrinkToFit="false"/>
      <protection locked="true" hidden="false"/>
    </xf>
    <xf numFmtId="164" fontId="6" fillId="0" borderId="13" xfId="0" applyFont="true" applyBorder="true" applyAlignment="true" applyProtection="false">
      <alignment horizontal="general" vertical="center" textRotation="0" wrapText="true" indent="0" shrinkToFit="false"/>
      <protection locked="true" hidden="false"/>
    </xf>
    <xf numFmtId="164" fontId="0" fillId="0" borderId="17" xfId="0" applyFont="true" applyBorder="true" applyAlignment="true" applyProtection="false">
      <alignment horizontal="center" vertical="center" textRotation="0" wrapText="true" indent="0" shrinkToFit="false"/>
      <protection locked="true" hidden="false"/>
    </xf>
    <xf numFmtId="164" fontId="6" fillId="0" borderId="18" xfId="0" applyFont="true" applyBorder="true" applyAlignment="true" applyProtection="false">
      <alignment horizontal="left" vertical="center" textRotation="0" wrapText="false" indent="0" shrinkToFit="false"/>
      <protection locked="true" hidden="false"/>
    </xf>
    <xf numFmtId="164" fontId="0" fillId="0" borderId="18" xfId="0" applyFont="true" applyBorder="true" applyAlignment="true" applyProtection="false">
      <alignment horizontal="left" vertical="center" textRotation="0" wrapText="false" indent="0" shrinkToFit="false"/>
      <protection locked="true" hidden="false"/>
    </xf>
    <xf numFmtId="164" fontId="6" fillId="0" borderId="19" xfId="0" applyFont="true" applyBorder="true" applyAlignment="true" applyProtection="false">
      <alignment horizontal="general" vertical="center" textRotation="0" wrapText="true" indent="0" shrinkToFit="false"/>
      <protection locked="true" hidden="false"/>
    </xf>
    <xf numFmtId="166" fontId="0" fillId="0" borderId="8" xfId="0" applyFont="true" applyBorder="true" applyAlignment="true" applyProtection="false">
      <alignment horizontal="general" vertical="center" textRotation="0" wrapText="false" indent="0" shrinkToFit="false"/>
      <protection locked="true" hidden="false"/>
    </xf>
    <xf numFmtId="169" fontId="9" fillId="0" borderId="12" xfId="0" applyFont="true" applyBorder="true" applyAlignment="true" applyProtection="false">
      <alignment horizontal="center" vertical="center" textRotation="0" wrapText="true" indent="0" shrinkToFit="false"/>
      <protection locked="true" hidden="false"/>
    </xf>
    <xf numFmtId="166" fontId="0" fillId="9" borderId="35" xfId="0" applyFont="true" applyBorder="true" applyAlignment="true" applyProtection="false">
      <alignment horizontal="general" vertical="center" textRotation="0" wrapText="true" indent="0" shrinkToFit="false"/>
      <protection locked="true" hidden="false"/>
    </xf>
    <xf numFmtId="164" fontId="6" fillId="2" borderId="0" xfId="0" applyFont="true" applyBorder="true" applyAlignment="true" applyProtection="false">
      <alignment horizontal="general" vertical="center" textRotation="0" wrapText="true" indent="0" shrinkToFit="false"/>
      <protection locked="true" hidden="false"/>
    </xf>
    <xf numFmtId="164" fontId="0" fillId="0" borderId="8" xfId="0" applyFont="true" applyBorder="true" applyAlignment="true" applyProtection="false">
      <alignment horizontal="left" vertical="center" textRotation="0" wrapText="false" indent="0" shrinkToFit="false"/>
      <protection locked="true" hidden="false"/>
    </xf>
    <xf numFmtId="164" fontId="0" fillId="0" borderId="18" xfId="0" applyFont="true" applyBorder="true" applyAlignment="true" applyProtection="false">
      <alignment horizontal="general" vertical="center" textRotation="0" wrapText="true" indent="0" shrinkToFit="false"/>
      <protection locked="true" hidden="false"/>
    </xf>
    <xf numFmtId="164" fontId="0" fillId="0" borderId="19" xfId="0" applyFont="true" applyBorder="true" applyAlignment="true" applyProtection="false">
      <alignment horizontal="general" vertical="center" textRotation="0" wrapText="true" indent="0" shrinkToFit="false"/>
      <protection locked="true" hidden="false"/>
    </xf>
    <xf numFmtId="166" fontId="0" fillId="9" borderId="23" xfId="0" applyFont="true" applyBorder="true" applyAlignment="true" applyProtection="false">
      <alignment horizontal="general" vertical="center" textRotation="0" wrapText="false" indent="0" shrinkToFit="false"/>
      <protection locked="true" hidden="false"/>
    </xf>
    <xf numFmtId="166" fontId="0" fillId="0" borderId="23" xfId="0" applyFont="true" applyBorder="true" applyAlignment="true" applyProtection="false">
      <alignment horizontal="general" vertical="center" textRotation="0" wrapText="true" indent="0" shrinkToFit="false"/>
      <protection locked="true" hidden="false"/>
    </xf>
    <xf numFmtId="166" fontId="0" fillId="9" borderId="35" xfId="0" applyFont="true" applyBorder="true" applyAlignment="true" applyProtection="false">
      <alignment horizontal="general" vertical="center" textRotation="0" wrapText="false" indent="0" shrinkToFit="false"/>
      <protection locked="true" hidden="false"/>
    </xf>
    <xf numFmtId="166" fontId="0" fillId="6" borderId="41" xfId="0" applyFont="true" applyBorder="true" applyAlignment="true" applyProtection="false">
      <alignment horizontal="general" vertical="center" textRotation="0" wrapText="true" indent="0" shrinkToFit="false"/>
      <protection locked="true" hidden="false"/>
    </xf>
    <xf numFmtId="166" fontId="0" fillId="6" borderId="11" xfId="0" applyFont="true" applyBorder="true" applyAlignment="true" applyProtection="false">
      <alignment horizontal="general" vertical="center" textRotation="0" wrapText="false" indent="0" shrinkToFit="false"/>
      <protection locked="true" hidden="false"/>
    </xf>
    <xf numFmtId="166" fontId="0" fillId="6" borderId="42" xfId="0" applyFont="true" applyBorder="true" applyAlignment="true" applyProtection="false">
      <alignment horizontal="general" vertical="center" textRotation="0" wrapText="true" indent="0" shrinkToFit="false"/>
      <protection locked="true" hidden="false"/>
    </xf>
    <xf numFmtId="166" fontId="0" fillId="6" borderId="17" xfId="0" applyFont="true" applyBorder="true" applyAlignment="true" applyProtection="false">
      <alignment horizontal="general" vertical="center" textRotation="0" wrapText="true" indent="0" shrinkToFit="false"/>
      <protection locked="true" hidden="false"/>
    </xf>
    <xf numFmtId="166" fontId="0" fillId="6" borderId="18" xfId="0" applyFont="true" applyBorder="true" applyAlignment="true" applyProtection="false">
      <alignment horizontal="general" vertical="center" textRotation="0" wrapText="true" indent="0" shrinkToFit="false"/>
      <protection locked="true" hidden="false"/>
    </xf>
    <xf numFmtId="166" fontId="0" fillId="6" borderId="19" xfId="0" applyFont="true" applyBorder="true" applyAlignment="true" applyProtection="false">
      <alignment horizontal="left" vertical="center" textRotation="0" wrapText="true" indent="0" shrinkToFit="false"/>
      <protection locked="true" hidden="false"/>
    </xf>
    <xf numFmtId="164" fontId="11" fillId="2" borderId="0" xfId="0" applyFont="true" applyBorder="true" applyAlignment="true" applyProtection="false">
      <alignment horizontal="center" vertical="center" textRotation="0" wrapText="false" indent="0" shrinkToFit="false"/>
      <protection locked="true" hidden="false"/>
    </xf>
    <xf numFmtId="166" fontId="5" fillId="2" borderId="49" xfId="0" applyFont="true" applyBorder="true" applyAlignment="true" applyProtection="false">
      <alignment horizontal="center" vertical="center" textRotation="0" wrapText="false" indent="0" shrinkToFit="false"/>
      <protection locked="true" hidden="false"/>
    </xf>
    <xf numFmtId="166" fontId="5" fillId="2" borderId="16" xfId="0" applyFont="true" applyBorder="true" applyAlignment="true" applyProtection="false">
      <alignment horizontal="center" vertical="center" textRotation="0" wrapText="true" indent="0" shrinkToFit="false"/>
      <protection locked="true" hidden="false"/>
    </xf>
    <xf numFmtId="166" fontId="5" fillId="2" borderId="16" xfId="0" applyFont="true" applyBorder="true" applyAlignment="true" applyProtection="false">
      <alignment horizontal="center" vertical="center" textRotation="0" wrapText="false" indent="0" shrinkToFit="false"/>
      <protection locked="true" hidden="false"/>
    </xf>
    <xf numFmtId="164" fontId="5" fillId="2" borderId="16" xfId="0" applyFont="true" applyBorder="true" applyAlignment="true" applyProtection="false">
      <alignment horizontal="center" vertical="center" textRotation="0" wrapText="true" indent="0" shrinkToFit="false"/>
      <protection locked="true" hidden="false"/>
    </xf>
    <xf numFmtId="164" fontId="5" fillId="2" borderId="16" xfId="0" applyFont="true" applyBorder="true" applyAlignment="true" applyProtection="false">
      <alignment horizontal="center" vertical="center" textRotation="0" wrapText="false" indent="0" shrinkToFit="false"/>
      <protection locked="true" hidden="false"/>
    </xf>
    <xf numFmtId="166" fontId="5" fillId="2" borderId="50" xfId="0" applyFont="true" applyBorder="true" applyAlignment="true" applyProtection="false">
      <alignment horizontal="center" vertical="center" textRotation="0" wrapText="true" indent="0" shrinkToFit="false"/>
      <protection locked="true" hidden="false"/>
    </xf>
    <xf numFmtId="164" fontId="0" fillId="0" borderId="48" xfId="0" applyFont="true" applyBorder="true" applyAlignment="true" applyProtection="false">
      <alignment horizontal="center" vertical="center" textRotation="0" wrapText="true" indent="0" shrinkToFit="false"/>
      <protection locked="true" hidden="false"/>
    </xf>
    <xf numFmtId="164" fontId="0" fillId="0" borderId="10" xfId="0" applyFont="true" applyBorder="true" applyAlignment="true" applyProtection="false">
      <alignment horizontal="left" vertical="center" textRotation="0" wrapText="false" indent="0" shrinkToFit="false"/>
      <protection locked="true" hidden="false"/>
    </xf>
    <xf numFmtId="166" fontId="0" fillId="8" borderId="23" xfId="0" applyFont="true" applyBorder="true" applyAlignment="true" applyProtection="false">
      <alignment horizontal="general" vertical="center" textRotation="0" wrapText="true" indent="0" shrinkToFit="false"/>
      <protection locked="true" hidden="false"/>
    </xf>
    <xf numFmtId="166" fontId="10" fillId="0" borderId="5" xfId="0" applyFont="true" applyBorder="true" applyAlignment="true" applyProtection="false">
      <alignment horizontal="center" vertical="center" textRotation="0" wrapText="false" indent="0" shrinkToFit="false"/>
      <protection locked="true" hidden="false"/>
    </xf>
    <xf numFmtId="166" fontId="10" fillId="0" borderId="21" xfId="0" applyFont="true" applyBorder="true" applyAlignment="true" applyProtection="false">
      <alignment horizontal="general" vertical="center" textRotation="0" wrapText="true" indent="0" shrinkToFit="false"/>
      <protection locked="true" hidden="false"/>
    </xf>
    <xf numFmtId="166" fontId="10" fillId="0" borderId="21" xfId="0" applyFont="true" applyBorder="true" applyAlignment="true" applyProtection="false">
      <alignment horizontal="center" vertical="center" textRotation="0" wrapText="false" indent="0" shrinkToFit="false"/>
      <protection locked="true" hidden="false"/>
    </xf>
    <xf numFmtId="166" fontId="10" fillId="0" borderId="21" xfId="0" applyFont="true" applyBorder="true" applyAlignment="true" applyProtection="false">
      <alignment horizontal="center" vertical="center" textRotation="0" wrapText="true" indent="0" shrinkToFit="false"/>
      <protection locked="true" hidden="false"/>
    </xf>
    <xf numFmtId="164" fontId="10" fillId="0" borderId="21" xfId="0" applyFont="true" applyBorder="true" applyAlignment="true" applyProtection="false">
      <alignment horizontal="center" vertical="center" textRotation="0" wrapText="true" indent="0" shrinkToFit="false"/>
      <protection locked="true" hidden="false"/>
    </xf>
    <xf numFmtId="166" fontId="10" fillId="0" borderId="22" xfId="0" applyFont="true" applyBorder="true" applyAlignment="true" applyProtection="false">
      <alignment horizontal="center" vertical="center" textRotation="0" wrapText="true" indent="0" shrinkToFit="false"/>
      <protection locked="true" hidden="false"/>
    </xf>
    <xf numFmtId="166" fontId="10" fillId="0" borderId="6" xfId="0" applyFont="true" applyBorder="true" applyAlignment="true" applyProtection="false">
      <alignment horizontal="center" vertical="center" textRotation="0" wrapText="false" indent="0" shrinkToFit="false"/>
      <protection locked="true" hidden="false"/>
    </xf>
    <xf numFmtId="166" fontId="10" fillId="0" borderId="21" xfId="0" applyFont="true" applyBorder="true" applyAlignment="true" applyProtection="false">
      <alignment horizontal="center" vertical="center" textRotation="0" wrapText="false" indent="0" shrinkToFit="false"/>
      <protection locked="true" hidden="false"/>
    </xf>
    <xf numFmtId="164" fontId="0" fillId="0" borderId="0" xfId="0" applyFont="false" applyBorder="true" applyAlignment="true" applyProtection="false">
      <alignment horizontal="general" vertical="center" textRotation="0" wrapText="true" indent="0" shrinkToFit="false"/>
      <protection locked="true" hidden="false"/>
    </xf>
    <xf numFmtId="164" fontId="6" fillId="0" borderId="0" xfId="0" applyFont="true" applyBorder="true" applyAlignment="true" applyProtection="false">
      <alignment horizontal="general" vertical="center" textRotation="0" wrapText="true" indent="0" shrinkToFit="false"/>
      <protection locked="true" hidden="false"/>
    </xf>
    <xf numFmtId="169" fontId="0" fillId="0" borderId="8" xfId="0" applyFont="true" applyBorder="true" applyAlignment="true" applyProtection="false">
      <alignment horizontal="center" vertical="center" textRotation="0" wrapText="true" indent="0" shrinkToFit="false"/>
      <protection locked="true" hidden="false"/>
    </xf>
    <xf numFmtId="169" fontId="0" fillId="0" borderId="12" xfId="0" applyFont="true" applyBorder="true" applyAlignment="true" applyProtection="false">
      <alignment horizontal="center" vertical="center" textRotation="0" wrapText="true" indent="0" shrinkToFit="false"/>
      <protection locked="true" hidden="false"/>
    </xf>
    <xf numFmtId="164" fontId="0" fillId="5" borderId="17" xfId="0" applyFont="true" applyBorder="true" applyAlignment="true" applyProtection="false">
      <alignment horizontal="general" vertical="center" textRotation="0" wrapText="false" indent="0" shrinkToFit="false"/>
      <protection locked="true" hidden="false"/>
    </xf>
    <xf numFmtId="164" fontId="9" fillId="0" borderId="0" xfId="0" applyFont="true" applyBorder="true" applyAlignment="true" applyProtection="false">
      <alignment horizontal="center" vertical="center" textRotation="0" wrapText="true" indent="0" shrinkToFit="false"/>
      <protection locked="true" hidden="false"/>
    </xf>
    <xf numFmtId="164" fontId="0" fillId="4" borderId="8" xfId="0" applyFont="true" applyBorder="true" applyAlignment="true" applyProtection="false">
      <alignment horizontal="general" vertical="center" textRotation="0" wrapText="true" indent="0" shrinkToFit="false"/>
      <protection locked="true" hidden="false"/>
    </xf>
    <xf numFmtId="164" fontId="0" fillId="0" borderId="7" xfId="0" applyFont="true" applyBorder="true" applyAlignment="true" applyProtection="false">
      <alignment horizontal="center" vertical="center" textRotation="0" wrapText="true" indent="0" shrinkToFit="false"/>
      <protection locked="true" hidden="false"/>
    </xf>
    <xf numFmtId="164" fontId="0" fillId="0" borderId="9" xfId="0" applyFont="true" applyBorder="true" applyAlignment="true" applyProtection="false">
      <alignment horizontal="general" vertical="center" textRotation="0" wrapText="true" indent="0" shrinkToFit="false"/>
      <protection locked="true" hidden="false"/>
    </xf>
    <xf numFmtId="164" fontId="0" fillId="0" borderId="11" xfId="0" applyFont="true" applyBorder="true" applyAlignment="true" applyProtection="false">
      <alignment horizontal="center" vertical="center" textRotation="0" wrapText="true" indent="0" shrinkToFit="false"/>
      <protection locked="true" hidden="false"/>
    </xf>
    <xf numFmtId="164" fontId="0" fillId="0" borderId="13" xfId="0" applyFont="true" applyBorder="true" applyAlignment="true" applyProtection="false">
      <alignment horizontal="general" vertical="center" textRotation="0" wrapText="true" indent="0" shrinkToFit="false"/>
      <protection locked="true" hidden="false"/>
    </xf>
    <xf numFmtId="164" fontId="0" fillId="0" borderId="17" xfId="0" applyFont="true" applyBorder="true" applyAlignment="true" applyProtection="false">
      <alignment horizontal="center" vertical="center" textRotation="0" wrapText="true" indent="0" shrinkToFit="false"/>
      <protection locked="true" hidden="false"/>
    </xf>
    <xf numFmtId="164" fontId="0" fillId="0" borderId="19" xfId="0" applyFont="true" applyBorder="true" applyAlignment="true" applyProtection="false">
      <alignment horizontal="general" vertical="center" textRotation="0" wrapText="false" indent="0" shrinkToFit="false"/>
      <protection locked="true" hidden="false"/>
    </xf>
    <xf numFmtId="164" fontId="0" fillId="5" borderId="17" xfId="0" applyFont="true" applyBorder="true" applyAlignment="true" applyProtection="false">
      <alignment horizontal="left" vertical="center" textRotation="0" wrapText="false" indent="0" shrinkToFit="false"/>
      <protection locked="true" hidden="false"/>
    </xf>
    <xf numFmtId="164" fontId="0" fillId="0" borderId="12" xfId="0" applyFont="true" applyBorder="true" applyAlignment="true" applyProtection="false">
      <alignment horizontal="left" vertical="center" textRotation="0" wrapText="false" indent="0" shrinkToFit="false"/>
      <protection locked="true" hidden="false"/>
    </xf>
    <xf numFmtId="164" fontId="0" fillId="0" borderId="12" xfId="0" applyFont="true" applyBorder="true" applyAlignment="true" applyProtection="false">
      <alignment horizontal="general" vertical="center" textRotation="0" wrapText="true" indent="0" shrinkToFit="false"/>
      <protection locked="true" hidden="false"/>
    </xf>
    <xf numFmtId="164" fontId="0" fillId="0" borderId="13" xfId="0" applyFont="true" applyBorder="true" applyAlignment="true" applyProtection="false">
      <alignment horizontal="general" vertical="center" textRotation="0" wrapText="true" indent="0" shrinkToFit="false"/>
      <protection locked="true" hidden="false"/>
    </xf>
    <xf numFmtId="166" fontId="0" fillId="7" borderId="35" xfId="0" applyFont="true" applyBorder="true" applyAlignment="true" applyProtection="false">
      <alignment horizontal="general" vertical="center" textRotation="0" wrapText="false" indent="0" shrinkToFit="false"/>
      <protection locked="true" hidden="false"/>
    </xf>
    <xf numFmtId="166" fontId="0" fillId="7" borderId="25" xfId="0" applyFont="true" applyBorder="true" applyAlignment="true" applyProtection="false">
      <alignment horizontal="general" vertical="center" textRotation="0" wrapText="false" indent="0" shrinkToFit="false"/>
      <protection locked="true" hidden="false"/>
    </xf>
    <xf numFmtId="169" fontId="0" fillId="0" borderId="8" xfId="0" applyFont="true" applyBorder="true" applyAlignment="true" applyProtection="false">
      <alignment horizontal="center" vertical="center" textRotation="0" wrapText="false" indent="0" shrinkToFit="false"/>
      <protection locked="true" hidden="false"/>
    </xf>
    <xf numFmtId="167" fontId="0" fillId="2" borderId="13" xfId="0" applyFont="false" applyBorder="true" applyAlignment="true" applyProtection="false">
      <alignment horizontal="center" vertical="center" textRotation="0" wrapText="false" indent="0" shrinkToFit="false"/>
      <protection locked="true" hidden="false"/>
    </xf>
    <xf numFmtId="164" fontId="6" fillId="2" borderId="0" xfId="0" applyFont="true" applyBorder="true" applyAlignment="true" applyProtection="false">
      <alignment horizontal="left" vertical="center" textRotation="0" wrapText="true" indent="0" shrinkToFit="false"/>
      <protection locked="true" hidden="false"/>
    </xf>
    <xf numFmtId="169" fontId="6" fillId="2" borderId="0" xfId="0" applyFont="true" applyBorder="true" applyAlignment="true" applyProtection="false">
      <alignment horizontal="center" vertical="center" textRotation="0" wrapText="false" indent="0" shrinkToFit="false"/>
      <protection locked="true" hidden="false"/>
    </xf>
    <xf numFmtId="164" fontId="6" fillId="5" borderId="51" xfId="0" applyFont="true" applyBorder="true" applyAlignment="true" applyProtection="false">
      <alignment horizontal="general" vertical="center" textRotation="0" wrapText="false" indent="0" shrinkToFit="false"/>
      <protection locked="true" hidden="false"/>
    </xf>
    <xf numFmtId="164" fontId="6" fillId="5" borderId="46" xfId="0" applyFont="true" applyBorder="tru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13" fillId="3" borderId="0" xfId="0" applyFont="true" applyBorder="true" applyAlignment="true" applyProtection="false">
      <alignment horizontal="center" vertical="center" textRotation="0" wrapText="false" indent="0" shrinkToFit="false"/>
      <protection locked="true" hidden="false"/>
    </xf>
    <xf numFmtId="164" fontId="0" fillId="3" borderId="0" xfId="0" applyFont="false" applyBorder="false" applyAlignment="false" applyProtection="false">
      <alignment horizontal="general" vertical="bottom" textRotation="0" wrapText="false" indent="0" shrinkToFit="false"/>
      <protection locked="true" hidden="false"/>
    </xf>
    <xf numFmtId="164" fontId="14" fillId="3" borderId="0" xfId="0" applyFont="true" applyBorder="true" applyAlignment="true" applyProtection="false">
      <alignment horizontal="center" vertical="center" textRotation="0" wrapText="false" indent="0" shrinkToFit="false"/>
      <protection locked="true" hidden="false"/>
    </xf>
    <xf numFmtId="164" fontId="15" fillId="3" borderId="0" xfId="0" applyFont="true" applyBorder="false" applyAlignment="true" applyProtection="false">
      <alignment horizontal="general" vertical="center" textRotation="0" wrapText="false" indent="0" shrinkToFit="false"/>
      <protection locked="true" hidden="false"/>
    </xf>
    <xf numFmtId="164" fontId="15" fillId="0" borderId="0" xfId="0" applyFont="true" applyBorder="false" applyAlignment="true" applyProtection="false">
      <alignment horizontal="general" vertical="center" textRotation="0" wrapText="false" indent="0" shrinkToFit="false"/>
      <protection locked="true" hidden="false"/>
    </xf>
    <xf numFmtId="164" fontId="0" fillId="3" borderId="0" xfId="0" applyFont="false" applyBorder="false" applyAlignment="true" applyProtection="false">
      <alignment horizontal="center" vertical="bottom" textRotation="0" wrapText="false" indent="0" shrinkToFit="false"/>
      <protection locked="true" hidden="false"/>
    </xf>
    <xf numFmtId="164" fontId="5" fillId="3" borderId="0" xfId="0" applyFont="true" applyBorder="false" applyAlignment="true" applyProtection="false">
      <alignment horizontal="center" vertical="center" textRotation="0" wrapText="false" indent="0" shrinkToFit="false"/>
      <protection locked="true" hidden="false"/>
    </xf>
    <xf numFmtId="164" fontId="5" fillId="0" borderId="5" xfId="0" applyFont="true" applyBorder="true" applyAlignment="true" applyProtection="false">
      <alignment horizontal="center" vertical="center" textRotation="0" wrapText="false" indent="0" shrinkToFit="false"/>
      <protection locked="true" hidden="false"/>
    </xf>
    <xf numFmtId="164" fontId="5" fillId="0" borderId="49" xfId="0" applyFont="true" applyBorder="true" applyAlignment="true" applyProtection="false">
      <alignment horizontal="center" vertical="center" textRotation="0" wrapText="false" indent="0" shrinkToFit="false"/>
      <protection locked="true" hidden="false"/>
    </xf>
    <xf numFmtId="164" fontId="5" fillId="0" borderId="16" xfId="0" applyFont="true" applyBorder="true" applyAlignment="true" applyProtection="false">
      <alignment horizontal="center" vertical="center" textRotation="0" wrapText="true" indent="0" shrinkToFit="false"/>
      <protection locked="true" hidden="false"/>
    </xf>
    <xf numFmtId="164" fontId="5" fillId="0" borderId="50" xfId="0" applyFont="true" applyBorder="true" applyAlignment="true" applyProtection="false">
      <alignment horizontal="center" vertical="center" textRotation="0" wrapText="true" indent="0" shrinkToFit="false"/>
      <protection locked="true" hidden="false"/>
    </xf>
    <xf numFmtId="164" fontId="5" fillId="0" borderId="52" xfId="0" applyFont="true" applyBorder="true" applyAlignment="true" applyProtection="false">
      <alignment horizontal="center" vertical="center" textRotation="0" wrapText="false" indent="0" shrinkToFit="false"/>
      <protection locked="true" hidden="false"/>
    </xf>
    <xf numFmtId="164" fontId="5" fillId="0" borderId="16" xfId="0" applyFont="true" applyBorder="true" applyAlignment="true" applyProtection="false">
      <alignment horizontal="center" vertical="center" textRotation="0" wrapText="false" indent="0" shrinkToFit="false"/>
      <protection locked="true" hidden="false"/>
    </xf>
    <xf numFmtId="164" fontId="5" fillId="0" borderId="50" xfId="0" applyFont="true" applyBorder="true" applyAlignment="true" applyProtection="false">
      <alignment horizontal="center" vertical="center" textRotation="0" wrapText="false" indent="0" shrinkToFit="false"/>
      <protection locked="true" hidden="false"/>
    </xf>
    <xf numFmtId="164" fontId="5" fillId="0" borderId="0" xfId="0" applyFont="true" applyBorder="false" applyAlignment="true" applyProtection="false">
      <alignment horizontal="center" vertical="center" textRotation="0" wrapText="false" indent="0" shrinkToFit="false"/>
      <protection locked="true" hidden="false"/>
    </xf>
    <xf numFmtId="164" fontId="0" fillId="3" borderId="0" xfId="0" applyFont="false" applyBorder="false" applyAlignment="true" applyProtection="false">
      <alignment horizontal="center" vertical="center" textRotation="0" wrapText="false" indent="0" shrinkToFit="false"/>
      <protection locked="true" hidden="false"/>
    </xf>
    <xf numFmtId="164" fontId="5" fillId="10" borderId="53" xfId="0" applyFont="true" applyBorder="true" applyAlignment="true" applyProtection="false">
      <alignment horizontal="center" vertical="center" textRotation="0" wrapText="false" indent="0" shrinkToFit="false"/>
      <protection locked="true" hidden="false"/>
    </xf>
    <xf numFmtId="164" fontId="5" fillId="10" borderId="7" xfId="0" applyFont="true" applyBorder="true" applyAlignment="true" applyProtection="false">
      <alignment horizontal="center" vertical="center" textRotation="0" wrapText="false" indent="0" shrinkToFit="false"/>
      <protection locked="true" hidden="false"/>
    </xf>
    <xf numFmtId="164" fontId="0" fillId="10" borderId="8" xfId="0" applyFont="true" applyBorder="true" applyAlignment="true" applyProtection="false">
      <alignment horizontal="center" vertical="center" textRotation="0" wrapText="false" indent="0" shrinkToFit="false"/>
      <protection locked="true" hidden="false"/>
    </xf>
    <xf numFmtId="164" fontId="0" fillId="10" borderId="27" xfId="0" applyFont="true" applyBorder="true" applyAlignment="true" applyProtection="false">
      <alignment horizontal="center" vertical="center" textRotation="0" wrapText="false" indent="0" shrinkToFit="false"/>
      <protection locked="true" hidden="false"/>
    </xf>
    <xf numFmtId="164" fontId="0" fillId="10" borderId="7" xfId="0" applyFont="true" applyBorder="true" applyAlignment="true" applyProtection="false">
      <alignment horizontal="center" vertical="center" textRotation="0" wrapText="true" indent="0" shrinkToFit="false"/>
      <protection locked="true" hidden="false"/>
    </xf>
    <xf numFmtId="164" fontId="0" fillId="10" borderId="8" xfId="0" applyFont="true" applyBorder="true" applyAlignment="true" applyProtection="false">
      <alignment horizontal="center" vertical="center" textRotation="0" wrapText="true" indent="0" shrinkToFit="false"/>
      <protection locked="true" hidden="false"/>
    </xf>
    <xf numFmtId="164" fontId="0" fillId="10" borderId="27" xfId="0" applyFont="true" applyBorder="true" applyAlignment="true" applyProtection="false">
      <alignment horizontal="center" vertical="center" textRotation="0" wrapText="true" indent="0" shrinkToFit="false"/>
      <protection locked="true" hidden="false"/>
    </xf>
    <xf numFmtId="164" fontId="0" fillId="10" borderId="9" xfId="0" applyFont="true" applyBorder="true" applyAlignment="true" applyProtection="false">
      <alignment horizontal="center" vertical="center" textRotation="0" wrapText="false" indent="0" shrinkToFit="false"/>
      <protection locked="true" hidden="false"/>
    </xf>
    <xf numFmtId="164" fontId="0" fillId="10" borderId="24" xfId="0" applyFont="true" applyBorder="true" applyAlignment="true" applyProtection="false">
      <alignment horizontal="center" vertical="center" textRotation="0" wrapText="false" indent="0" shrinkToFit="false"/>
      <protection locked="true" hidden="false"/>
    </xf>
    <xf numFmtId="164" fontId="0" fillId="10" borderId="7" xfId="0" applyFont="true" applyBorder="tru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5" fillId="11" borderId="54" xfId="0" applyFont="true" applyBorder="true" applyAlignment="true" applyProtection="false">
      <alignment horizontal="center" vertical="center" textRotation="0" wrapText="false" indent="0" shrinkToFit="false"/>
      <protection locked="true" hidden="false"/>
    </xf>
    <xf numFmtId="164" fontId="5" fillId="11" borderId="11" xfId="0" applyFont="true" applyBorder="true" applyAlignment="true" applyProtection="false">
      <alignment horizontal="center" vertical="center" textRotation="0" wrapText="false" indent="0" shrinkToFit="false"/>
      <protection locked="true" hidden="false"/>
    </xf>
    <xf numFmtId="164" fontId="0" fillId="11" borderId="12" xfId="0" applyFont="true" applyBorder="true" applyAlignment="true" applyProtection="false">
      <alignment horizontal="center" vertical="center" textRotation="0" wrapText="false" indent="0" shrinkToFit="false"/>
      <protection locked="true" hidden="false"/>
    </xf>
    <xf numFmtId="164" fontId="0" fillId="11" borderId="29" xfId="0" applyFont="true" applyBorder="true" applyAlignment="true" applyProtection="false">
      <alignment horizontal="center" vertical="center" textRotation="0" wrapText="false" indent="0" shrinkToFit="false"/>
      <protection locked="true" hidden="false"/>
    </xf>
    <xf numFmtId="164" fontId="0" fillId="11" borderId="11" xfId="0" applyFont="true" applyBorder="true" applyAlignment="true" applyProtection="false">
      <alignment horizontal="center" vertical="center" textRotation="0" wrapText="true" indent="0" shrinkToFit="false"/>
      <protection locked="true" hidden="false"/>
    </xf>
    <xf numFmtId="164" fontId="0" fillId="11" borderId="12" xfId="0" applyFont="true" applyBorder="true" applyAlignment="true" applyProtection="false">
      <alignment horizontal="center" vertical="center" textRotation="0" wrapText="true" indent="0" shrinkToFit="false"/>
      <protection locked="true" hidden="false"/>
    </xf>
    <xf numFmtId="164" fontId="0" fillId="11" borderId="29" xfId="0" applyFont="true" applyBorder="true" applyAlignment="true" applyProtection="false">
      <alignment horizontal="center" vertical="center" textRotation="0" wrapText="true" indent="0" shrinkToFit="false"/>
      <protection locked="true" hidden="false"/>
    </xf>
    <xf numFmtId="164" fontId="0" fillId="11" borderId="13" xfId="0" applyFont="true" applyBorder="true" applyAlignment="true" applyProtection="false">
      <alignment horizontal="center" vertical="center" textRotation="0" wrapText="false" indent="0" shrinkToFit="false"/>
      <protection locked="true" hidden="false"/>
    </xf>
    <xf numFmtId="164" fontId="0" fillId="11" borderId="34" xfId="0" applyFont="true" applyBorder="true" applyAlignment="true" applyProtection="false">
      <alignment horizontal="center" vertical="center" textRotation="0" wrapText="false" indent="0" shrinkToFit="false"/>
      <protection locked="true" hidden="false"/>
    </xf>
    <xf numFmtId="164" fontId="0" fillId="11" borderId="11" xfId="0" applyFont="true" applyBorder="true" applyAlignment="true" applyProtection="false">
      <alignment horizontal="center" vertical="center" textRotation="0" wrapText="false" indent="0" shrinkToFit="false"/>
      <protection locked="true" hidden="false"/>
    </xf>
    <xf numFmtId="164" fontId="5" fillId="12" borderId="54" xfId="0" applyFont="true" applyBorder="true" applyAlignment="true" applyProtection="false">
      <alignment horizontal="center" vertical="center" textRotation="0" wrapText="false" indent="0" shrinkToFit="false"/>
      <protection locked="true" hidden="false"/>
    </xf>
    <xf numFmtId="164" fontId="5" fillId="12" borderId="11" xfId="0" applyFont="true" applyBorder="true" applyAlignment="true" applyProtection="false">
      <alignment horizontal="center" vertical="center" textRotation="0" wrapText="false" indent="0" shrinkToFit="false"/>
      <protection locked="true" hidden="false"/>
    </xf>
    <xf numFmtId="164" fontId="0" fillId="12" borderId="12" xfId="0" applyFont="true" applyBorder="true" applyAlignment="true" applyProtection="false">
      <alignment horizontal="center" vertical="center" textRotation="0" wrapText="false" indent="0" shrinkToFit="false"/>
      <protection locked="true" hidden="false"/>
    </xf>
    <xf numFmtId="164" fontId="0" fillId="12" borderId="29" xfId="0" applyFont="true" applyBorder="true" applyAlignment="true" applyProtection="false">
      <alignment horizontal="center" vertical="center" textRotation="0" wrapText="false" indent="0" shrinkToFit="false"/>
      <protection locked="true" hidden="false"/>
    </xf>
    <xf numFmtId="164" fontId="0" fillId="12" borderId="11" xfId="0" applyFont="true" applyBorder="true" applyAlignment="true" applyProtection="false">
      <alignment horizontal="center" vertical="center" textRotation="0" wrapText="true" indent="0" shrinkToFit="false"/>
      <protection locked="true" hidden="false"/>
    </xf>
    <xf numFmtId="164" fontId="0" fillId="12" borderId="12" xfId="0" applyFont="true" applyBorder="true" applyAlignment="true" applyProtection="false">
      <alignment horizontal="center" vertical="center" textRotation="0" wrapText="true" indent="0" shrinkToFit="false"/>
      <protection locked="true" hidden="false"/>
    </xf>
    <xf numFmtId="164" fontId="0" fillId="12" borderId="29" xfId="0" applyFont="true" applyBorder="true" applyAlignment="true" applyProtection="false">
      <alignment horizontal="center" vertical="center" textRotation="0" wrapText="true" indent="0" shrinkToFit="false"/>
      <protection locked="true" hidden="false"/>
    </xf>
    <xf numFmtId="164" fontId="0" fillId="12" borderId="13" xfId="0" applyFont="true" applyBorder="true" applyAlignment="true" applyProtection="false">
      <alignment horizontal="center" vertical="center" textRotation="0" wrapText="true" indent="0" shrinkToFit="false"/>
      <protection locked="true" hidden="false"/>
    </xf>
    <xf numFmtId="164" fontId="0" fillId="12" borderId="34" xfId="0" applyFont="true" applyBorder="true" applyAlignment="true" applyProtection="false">
      <alignment horizontal="center" vertical="center" textRotation="0" wrapText="true" indent="0" shrinkToFit="false"/>
      <protection locked="true" hidden="false"/>
    </xf>
    <xf numFmtId="164" fontId="0" fillId="12" borderId="13" xfId="0" applyFont="true" applyBorder="true" applyAlignment="true" applyProtection="false">
      <alignment horizontal="center" vertical="center" textRotation="0" wrapText="false" indent="0" shrinkToFit="false"/>
      <protection locked="true" hidden="false"/>
    </xf>
    <xf numFmtId="164" fontId="5" fillId="0" borderId="54" xfId="0" applyFont="true" applyBorder="true" applyAlignment="true" applyProtection="false">
      <alignment horizontal="center" vertical="center" textRotation="0" wrapText="false" indent="0" shrinkToFit="false"/>
      <protection locked="true" hidden="false"/>
    </xf>
    <xf numFmtId="164" fontId="5" fillId="0" borderId="11" xfId="0" applyFont="true" applyBorder="true" applyAlignment="true" applyProtection="false">
      <alignment horizontal="center" vertical="center" textRotation="0" wrapText="false" indent="0" shrinkToFit="false"/>
      <protection locked="true" hidden="false"/>
    </xf>
    <xf numFmtId="164" fontId="0" fillId="0" borderId="12" xfId="0" applyFont="true" applyBorder="true" applyAlignment="true" applyProtection="false">
      <alignment horizontal="center" vertical="center" textRotation="0" wrapText="false" indent="0" shrinkToFit="false"/>
      <protection locked="true" hidden="false"/>
    </xf>
    <xf numFmtId="164" fontId="0" fillId="0" borderId="12" xfId="0" applyFont="true" applyBorder="true" applyAlignment="true" applyProtection="false">
      <alignment horizontal="center" vertical="center" textRotation="0" wrapText="true" indent="0" shrinkToFit="false"/>
      <protection locked="true" hidden="false"/>
    </xf>
    <xf numFmtId="164" fontId="0" fillId="0" borderId="29" xfId="0" applyFont="true" applyBorder="true" applyAlignment="true" applyProtection="false">
      <alignment horizontal="center" vertical="center" textRotation="0" wrapText="true" indent="0" shrinkToFit="false"/>
      <protection locked="true" hidden="false"/>
    </xf>
    <xf numFmtId="164" fontId="0" fillId="0" borderId="34" xfId="0" applyFont="true" applyBorder="true" applyAlignment="true" applyProtection="false">
      <alignment horizontal="center" vertical="center" textRotation="0" wrapText="true" indent="0" shrinkToFit="false"/>
      <protection locked="true" hidden="false"/>
    </xf>
    <xf numFmtId="164" fontId="0" fillId="0" borderId="11" xfId="0" applyFont="true" applyBorder="true" applyAlignment="true" applyProtection="false">
      <alignment horizontal="center" vertical="center" textRotation="0" wrapText="false" indent="0" shrinkToFit="false"/>
      <protection locked="true" hidden="false"/>
    </xf>
    <xf numFmtId="164" fontId="5" fillId="0" borderId="54" xfId="0" applyFont="true" applyBorder="true" applyAlignment="true" applyProtection="false">
      <alignment horizontal="center" vertical="center" textRotation="0" wrapText="false" indent="0" shrinkToFit="false"/>
      <protection locked="true" hidden="false"/>
    </xf>
    <xf numFmtId="164" fontId="0" fillId="0" borderId="13" xfId="0" applyFont="true" applyBorder="true" applyAlignment="true" applyProtection="false">
      <alignment horizontal="center" vertical="center" textRotation="0" wrapText="true" indent="0" shrinkToFit="false"/>
      <protection locked="true" hidden="false"/>
    </xf>
    <xf numFmtId="164" fontId="5" fillId="0" borderId="11" xfId="0" applyFont="true" applyBorder="true" applyAlignment="true" applyProtection="false">
      <alignment horizontal="center" vertical="center" textRotation="0" wrapText="false" indent="0" shrinkToFit="false"/>
      <protection locked="true" hidden="false"/>
    </xf>
    <xf numFmtId="164" fontId="0" fillId="0" borderId="29" xfId="0" applyFont="true" applyBorder="true" applyAlignment="true" applyProtection="false">
      <alignment horizontal="center" vertical="center" textRotation="0" wrapText="true" indent="0" shrinkToFit="false"/>
      <protection locked="true" hidden="false"/>
    </xf>
    <xf numFmtId="164" fontId="0" fillId="0" borderId="13" xfId="0" applyFont="true" applyBorder="true" applyAlignment="true" applyProtection="false">
      <alignment horizontal="center" vertical="center" textRotation="0" wrapText="true" indent="0" shrinkToFit="false"/>
      <protection locked="true" hidden="false"/>
    </xf>
    <xf numFmtId="164" fontId="0" fillId="0" borderId="34" xfId="0" applyFont="true" applyBorder="true" applyAlignment="true" applyProtection="false">
      <alignment horizontal="center" vertical="center" textRotation="0" wrapText="true" indent="0" shrinkToFit="false"/>
      <protection locked="true" hidden="false"/>
    </xf>
    <xf numFmtId="164" fontId="10" fillId="0" borderId="11" xfId="0" applyFont="true" applyBorder="true" applyAlignment="true" applyProtection="false">
      <alignment horizontal="center" vertical="center" textRotation="0" wrapText="false" indent="0" shrinkToFit="false"/>
      <protection locked="true" hidden="false"/>
    </xf>
    <xf numFmtId="164" fontId="5" fillId="0" borderId="55" xfId="0" applyFont="true" applyBorder="true" applyAlignment="true" applyProtection="false">
      <alignment horizontal="center" vertical="center" textRotation="0" wrapText="false" indent="0" shrinkToFit="false"/>
      <protection locked="true" hidden="false"/>
    </xf>
    <xf numFmtId="164" fontId="5" fillId="0" borderId="56" xfId="0" applyFont="true" applyBorder="true" applyAlignment="true" applyProtection="false">
      <alignment horizontal="center" vertical="center" textRotation="0" wrapText="false" indent="0" shrinkToFit="false"/>
      <protection locked="true" hidden="false"/>
    </xf>
    <xf numFmtId="164" fontId="10" fillId="0" borderId="17" xfId="0" applyFont="true" applyBorder="true" applyAlignment="true" applyProtection="false">
      <alignment horizontal="center" vertical="center" textRotation="0" wrapText="false" indent="0" shrinkToFit="false"/>
      <protection locked="true" hidden="false"/>
    </xf>
    <xf numFmtId="164" fontId="0" fillId="0" borderId="18" xfId="0" applyFont="true" applyBorder="true" applyAlignment="true" applyProtection="false">
      <alignment horizontal="center" vertical="center" textRotation="0" wrapText="false" indent="0" shrinkToFit="false"/>
      <protection locked="true" hidden="false"/>
    </xf>
    <xf numFmtId="164" fontId="0" fillId="0" borderId="31" xfId="0" applyFont="true" applyBorder="true" applyAlignment="true" applyProtection="false">
      <alignment horizontal="center" vertical="center" textRotation="0" wrapText="true" indent="0" shrinkToFit="false"/>
      <protection locked="true" hidden="false"/>
    </xf>
    <xf numFmtId="164" fontId="0" fillId="0" borderId="19" xfId="0" applyFont="true" applyBorder="true" applyAlignment="true" applyProtection="false">
      <alignment horizontal="center" vertical="center" textRotation="0" wrapText="true" indent="0" shrinkToFit="false"/>
      <protection locked="true" hidden="false"/>
    </xf>
    <xf numFmtId="164" fontId="5" fillId="3" borderId="0" xfId="0" applyFont="true" applyBorder="true" applyAlignment="true" applyProtection="false">
      <alignment horizontal="center" vertical="center" textRotation="0" wrapText="false" indent="0" shrinkToFit="false"/>
      <protection locked="true" hidden="false"/>
    </xf>
    <xf numFmtId="164" fontId="0" fillId="3" borderId="0" xfId="0" applyFont="false" applyBorder="true" applyAlignment="true" applyProtection="false">
      <alignment horizontal="center" vertical="center"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210">
    <dxf>
      <fill>
        <patternFill>
          <bgColor rgb="FFFF0000"/>
        </patternFill>
      </fill>
    </dxf>
    <dxf>
      <fill>
        <patternFill>
          <bgColor rgb="FF09DD3B"/>
        </patternFill>
      </fill>
    </dxf>
    <dxf>
      <fill>
        <patternFill>
          <bgColor rgb="FFFF0000"/>
        </patternFill>
      </fill>
    </dxf>
    <dxf>
      <fill>
        <patternFill>
          <bgColor rgb="FF09DD3B"/>
        </patternFill>
      </fill>
    </dxf>
    <dxf>
      <fill>
        <patternFill>
          <bgColor rgb="FFFF0000"/>
        </patternFill>
      </fill>
    </dxf>
    <dxf>
      <fill>
        <patternFill>
          <bgColor rgb="FF09DD3B"/>
        </patternFill>
      </fill>
    </dxf>
    <dxf>
      <fill>
        <patternFill>
          <bgColor rgb="FFFF0000"/>
        </patternFill>
      </fill>
    </dxf>
    <dxf>
      <fill>
        <patternFill>
          <bgColor rgb="FF09DD3B"/>
        </patternFill>
      </fill>
    </dxf>
    <dxf>
      <fill>
        <patternFill>
          <bgColor rgb="FFFF0000"/>
        </patternFill>
      </fill>
    </dxf>
    <dxf>
      <fill>
        <patternFill>
          <bgColor rgb="FF09DD3B"/>
        </patternFill>
      </fill>
    </dxf>
    <dxf>
      <fill>
        <patternFill>
          <bgColor rgb="FFFF0000"/>
        </patternFill>
      </fill>
    </dxf>
    <dxf>
      <fill>
        <patternFill>
          <bgColor rgb="FF09DD3B"/>
        </patternFill>
      </fill>
    </dxf>
    <dxf>
      <fill>
        <patternFill>
          <bgColor rgb="FFFF0000"/>
        </patternFill>
      </fill>
    </dxf>
    <dxf>
      <fill>
        <patternFill>
          <bgColor rgb="FF09DD3B"/>
        </patternFill>
      </fill>
    </dxf>
    <dxf>
      <fill>
        <patternFill>
          <bgColor rgb="FFFF0000"/>
        </patternFill>
      </fill>
    </dxf>
    <dxf>
      <fill>
        <patternFill>
          <bgColor rgb="FF09DD3B"/>
        </patternFill>
      </fill>
    </dxf>
    <dxf>
      <fill>
        <patternFill>
          <bgColor rgb="FFFF0000"/>
        </patternFill>
      </fill>
    </dxf>
    <dxf>
      <fill>
        <patternFill>
          <bgColor rgb="FF09DD3B"/>
        </patternFill>
      </fill>
    </dxf>
    <dxf>
      <fill>
        <patternFill>
          <bgColor rgb="FFFF0000"/>
        </patternFill>
      </fill>
    </dxf>
    <dxf>
      <fill>
        <patternFill>
          <bgColor rgb="FF09DD3B"/>
        </patternFill>
      </fill>
    </dxf>
    <dxf>
      <fill>
        <patternFill>
          <bgColor rgb="FFFF0000"/>
        </patternFill>
      </fill>
    </dxf>
    <dxf>
      <fill>
        <patternFill>
          <bgColor rgb="FF09DD3B"/>
        </patternFill>
      </fill>
    </dxf>
    <dxf>
      <fill>
        <patternFill>
          <bgColor rgb="FFFF0000"/>
        </patternFill>
      </fill>
    </dxf>
    <dxf>
      <fill>
        <patternFill>
          <bgColor rgb="FF09DD3B"/>
        </patternFill>
      </fill>
    </dxf>
    <dxf>
      <fill>
        <patternFill>
          <bgColor rgb="FFFF0000"/>
        </patternFill>
      </fill>
    </dxf>
    <dxf>
      <fill>
        <patternFill>
          <bgColor rgb="FF09DD3B"/>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s>
  <colors>
    <indexedColors>
      <rgbColor rgb="FF000000"/>
      <rgbColor rgb="FFFFFFFF"/>
      <rgbColor rgb="FFFF0000"/>
      <rgbColor rgb="FF00FF00"/>
      <rgbColor rgb="FF0000FF"/>
      <rgbColor rgb="FFFFFF00"/>
      <rgbColor rgb="FFFF33CC"/>
      <rgbColor rgb="FF00FFFF"/>
      <rgbColor rgb="FF800000"/>
      <rgbColor rgb="FF008000"/>
      <rgbColor rgb="FF000080"/>
      <rgbColor rgb="FF808000"/>
      <rgbColor rgb="FF800080"/>
      <rgbColor rgb="FF008080"/>
      <rgbColor rgb="FFB2B2B2"/>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B0F0"/>
      <rgbColor rgb="FFCCFFFF"/>
      <rgbColor rgb="FFCCFFCC"/>
      <rgbColor rgb="FFFFFF99"/>
      <rgbColor rgb="FF99CCFF"/>
      <rgbColor rgb="FFFF99CC"/>
      <rgbColor rgb="FFCC99FF"/>
      <rgbColor rgb="FFFFCC99"/>
      <rgbColor rgb="FF3366FF"/>
      <rgbColor rgb="FF09DD3B"/>
      <rgbColor rgb="FF92D050"/>
      <rgbColor rgb="FFFFCC00"/>
      <rgbColor rgb="FFFFC000"/>
      <rgbColor rgb="FFCC6600"/>
      <rgbColor rgb="FF666699"/>
      <rgbColor rgb="FF969696"/>
      <rgbColor rgb="FF003366"/>
      <rgbColor rgb="FF00B050"/>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89"/>
  <sheetViews>
    <sheetView showFormulas="false" showGridLines="false" showRowColHeaders="true" showZeros="true" rightToLeft="false" tabSelected="false" showOutlineSymbols="true" defaultGridColor="true" view="normal" topLeftCell="A171" colorId="64" zoomScale="100" zoomScaleNormal="100" zoomScalePageLayoutView="100" workbookViewId="0">
      <selection pane="topLeft" activeCell="I30" activeCellId="0" sqref="I30"/>
    </sheetView>
  </sheetViews>
  <sheetFormatPr defaultColWidth="11.47265625" defaultRowHeight="14.5" zeroHeight="false" outlineLevelRow="1" outlineLevelCol="1"/>
  <cols>
    <col collapsed="false" customWidth="true" hidden="false" outlineLevel="0" max="3" min="1" style="1" width="3.72"/>
    <col collapsed="false" customWidth="true" hidden="false" outlineLevel="0" max="14" min="4" style="1" width="20.72"/>
    <col collapsed="false" customWidth="true" hidden="true" outlineLevel="1" max="18" min="15" style="1" width="20.72"/>
    <col collapsed="false" customWidth="true" hidden="false" outlineLevel="0" max="19" min="19" style="1" width="20.72"/>
    <col collapsed="false" customWidth="true" hidden="false" outlineLevel="0" max="21" min="20" style="1" width="3.72"/>
    <col collapsed="false" customWidth="true" hidden="false" outlineLevel="0" max="22" min="22" style="1" width="15.81"/>
    <col collapsed="false" customWidth="true" hidden="false" outlineLevel="0" max="24" min="23" style="1" width="20.72"/>
    <col collapsed="false" customWidth="false" hidden="false" outlineLevel="0" max="1024" min="25" style="1" width="11.45"/>
  </cols>
  <sheetData>
    <row r="1" customFormat="false" ht="14.5" hidden="false" customHeight="false" outlineLevel="0" collapsed="false">
      <c r="A1" s="2" t="s">
        <v>0</v>
      </c>
      <c r="B1" s="2"/>
      <c r="C1" s="2"/>
      <c r="D1" s="2"/>
      <c r="E1" s="2"/>
      <c r="F1" s="2"/>
      <c r="G1" s="2"/>
      <c r="H1" s="2"/>
      <c r="I1" s="2"/>
      <c r="J1" s="2"/>
      <c r="K1" s="2"/>
      <c r="L1" s="2"/>
      <c r="M1" s="2"/>
      <c r="N1" s="2"/>
    </row>
    <row r="2" customFormat="false" ht="14.5" hidden="false" customHeight="false" outlineLevel="0" collapsed="false">
      <c r="A2" s="2"/>
      <c r="B2" s="2"/>
      <c r="C2" s="2"/>
      <c r="D2" s="2"/>
      <c r="E2" s="2"/>
      <c r="F2" s="2"/>
      <c r="G2" s="2"/>
      <c r="H2" s="2"/>
      <c r="I2" s="2"/>
      <c r="J2" s="2"/>
      <c r="K2" s="2"/>
      <c r="L2" s="2"/>
      <c r="M2" s="2"/>
      <c r="N2" s="2"/>
    </row>
    <row r="3" customFormat="false" ht="20.15" hidden="false" customHeight="true" outlineLevel="0" collapsed="false"/>
    <row r="4" customFormat="false" ht="15" hidden="false" customHeight="false" outlineLevel="0" collapsed="false">
      <c r="B4" s="3" t="s">
        <v>1</v>
      </c>
      <c r="C4" s="3"/>
      <c r="D4" s="3"/>
      <c r="E4" s="3"/>
      <c r="F4" s="3"/>
      <c r="G4" s="3"/>
      <c r="H4" s="3"/>
      <c r="I4" s="3"/>
      <c r="J4" s="3"/>
      <c r="L4" s="3" t="s">
        <v>2</v>
      </c>
      <c r="M4" s="3"/>
      <c r="N4" s="3"/>
      <c r="Q4" s="4"/>
      <c r="R4" s="4"/>
      <c r="S4" s="4"/>
      <c r="T4" s="5"/>
      <c r="U4" s="4"/>
      <c r="V4" s="4"/>
      <c r="W4" s="4"/>
      <c r="X4" s="4"/>
    </row>
    <row r="5" customFormat="false" ht="50.15" hidden="false" customHeight="true" outlineLevel="0" collapsed="false">
      <c r="B5" s="6" t="s">
        <v>3</v>
      </c>
      <c r="C5" s="6"/>
      <c r="D5" s="7" t="s">
        <v>4</v>
      </c>
      <c r="E5" s="8" t="s">
        <v>5</v>
      </c>
      <c r="F5" s="9" t="s">
        <v>6</v>
      </c>
      <c r="G5" s="10" t="s">
        <v>7</v>
      </c>
      <c r="H5" s="10" t="s">
        <v>8</v>
      </c>
      <c r="I5" s="10" t="s">
        <v>9</v>
      </c>
      <c r="J5" s="9" t="s">
        <v>10</v>
      </c>
      <c r="L5" s="11" t="s">
        <v>4</v>
      </c>
      <c r="M5" s="12" t="s">
        <v>11</v>
      </c>
      <c r="N5" s="13" t="s">
        <v>12</v>
      </c>
      <c r="P5" s="14"/>
      <c r="Q5" s="5"/>
      <c r="S5" s="4"/>
      <c r="T5" s="4"/>
      <c r="U5" s="4"/>
      <c r="V5" s="5"/>
      <c r="W5" s="5"/>
    </row>
    <row r="6" customFormat="false" ht="20.15" hidden="false" customHeight="true" outlineLevel="0" collapsed="false">
      <c r="B6" s="15" t="n">
        <v>1</v>
      </c>
      <c r="C6" s="15"/>
      <c r="D6" s="16" t="s">
        <v>13</v>
      </c>
      <c r="E6" s="17" t="s">
        <v>14</v>
      </c>
      <c r="F6" s="17" t="s">
        <v>14</v>
      </c>
      <c r="G6" s="17" t="s">
        <v>14</v>
      </c>
      <c r="H6" s="18" t="s">
        <v>14</v>
      </c>
      <c r="I6" s="18" t="s">
        <v>14</v>
      </c>
      <c r="J6" s="19" t="s">
        <v>15</v>
      </c>
      <c r="L6" s="20" t="str">
        <f aca="false">D6</f>
        <v>Devid Fulterer</v>
      </c>
      <c r="M6" s="21" t="n">
        <v>1</v>
      </c>
      <c r="N6" s="22" t="n">
        <v>1</v>
      </c>
      <c r="P6" s="14"/>
      <c r="Q6" s="23"/>
      <c r="S6" s="14"/>
      <c r="T6" s="14"/>
      <c r="U6" s="14"/>
      <c r="V6" s="24"/>
      <c r="W6" s="24"/>
    </row>
    <row r="7" customFormat="false" ht="20.15" hidden="false" customHeight="true" outlineLevel="0" collapsed="false">
      <c r="B7" s="25" t="n">
        <v>2</v>
      </c>
      <c r="C7" s="25"/>
      <c r="D7" s="26" t="s">
        <v>16</v>
      </c>
      <c r="E7" s="27" t="s">
        <v>17</v>
      </c>
      <c r="F7" s="28" t="s">
        <v>17</v>
      </c>
      <c r="G7" s="26" t="s">
        <v>17</v>
      </c>
      <c r="H7" s="29" t="s">
        <v>17</v>
      </c>
      <c r="I7" s="29" t="s">
        <v>18</v>
      </c>
      <c r="J7" s="30" t="s">
        <v>15</v>
      </c>
      <c r="L7" s="31" t="str">
        <f aca="false">D7</f>
        <v>Andreas Micke</v>
      </c>
      <c r="M7" s="21"/>
      <c r="N7" s="32" t="n">
        <v>2</v>
      </c>
      <c r="P7" s="14"/>
      <c r="Q7" s="23"/>
      <c r="S7" s="14"/>
      <c r="T7" s="14"/>
      <c r="U7" s="14"/>
      <c r="V7" s="24"/>
      <c r="W7" s="24"/>
    </row>
    <row r="8" customFormat="false" ht="20.15" hidden="false" customHeight="true" outlineLevel="0" collapsed="false">
      <c r="B8" s="25" t="n">
        <v>3</v>
      </c>
      <c r="C8" s="25"/>
      <c r="D8" s="33" t="s">
        <v>19</v>
      </c>
      <c r="E8" s="27" t="s">
        <v>20</v>
      </c>
      <c r="F8" s="28" t="s">
        <v>20</v>
      </c>
      <c r="G8" s="26" t="s">
        <v>20</v>
      </c>
      <c r="H8" s="29" t="s">
        <v>20</v>
      </c>
      <c r="I8" s="29" t="s">
        <v>18</v>
      </c>
      <c r="J8" s="30" t="s">
        <v>15</v>
      </c>
      <c r="L8" s="31" t="str">
        <f aca="false">D8</f>
        <v>Jérôme Schätzle</v>
      </c>
      <c r="M8" s="21"/>
      <c r="N8" s="32" t="n">
        <v>3</v>
      </c>
      <c r="P8" s="14"/>
      <c r="Q8" s="23"/>
      <c r="S8" s="14"/>
      <c r="T8" s="14"/>
      <c r="U8" s="14"/>
      <c r="V8" s="24"/>
      <c r="W8" s="24"/>
    </row>
    <row r="9" customFormat="false" ht="20.15" hidden="false" customHeight="true" outlineLevel="0" collapsed="false">
      <c r="B9" s="25" t="n">
        <v>4</v>
      </c>
      <c r="C9" s="25"/>
      <c r="D9" s="26" t="s">
        <v>21</v>
      </c>
      <c r="E9" s="27" t="s">
        <v>22</v>
      </c>
      <c r="F9" s="28" t="s">
        <v>22</v>
      </c>
      <c r="G9" s="26" t="s">
        <v>18</v>
      </c>
      <c r="H9" s="29" t="s">
        <v>22</v>
      </c>
      <c r="I9" s="29" t="s">
        <v>18</v>
      </c>
      <c r="J9" s="30" t="s">
        <v>15</v>
      </c>
      <c r="L9" s="34" t="str">
        <f aca="false">D9</f>
        <v>Daniel Zimmerman</v>
      </c>
      <c r="M9" s="21"/>
      <c r="N9" s="35" t="n">
        <v>4</v>
      </c>
      <c r="P9" s="14"/>
      <c r="Q9" s="23"/>
      <c r="S9" s="14"/>
      <c r="T9" s="14"/>
      <c r="U9" s="14"/>
      <c r="V9" s="24"/>
      <c r="W9" s="24"/>
    </row>
    <row r="10" customFormat="false" ht="20.15" hidden="false" customHeight="true" outlineLevel="0" collapsed="false">
      <c r="B10" s="25" t="n">
        <v>5</v>
      </c>
      <c r="C10" s="25"/>
      <c r="D10" s="33" t="s">
        <v>23</v>
      </c>
      <c r="E10" s="36" t="s">
        <v>24</v>
      </c>
      <c r="F10" s="29" t="s">
        <v>24</v>
      </c>
      <c r="G10" s="29" t="s">
        <v>18</v>
      </c>
      <c r="H10" s="29" t="s">
        <v>24</v>
      </c>
      <c r="I10" s="36" t="s">
        <v>18</v>
      </c>
      <c r="J10" s="30" t="s">
        <v>15</v>
      </c>
      <c r="L10" s="20" t="str">
        <f aca="false">D10</f>
        <v>Alex Ulbricht</v>
      </c>
      <c r="M10" s="37" t="n">
        <v>2</v>
      </c>
      <c r="N10" s="22" t="n">
        <v>1</v>
      </c>
      <c r="P10" s="14"/>
      <c r="Q10" s="23"/>
      <c r="S10" s="14"/>
      <c r="T10" s="14"/>
      <c r="U10" s="14"/>
      <c r="V10" s="24"/>
      <c r="W10" s="24"/>
    </row>
    <row r="11" customFormat="false" ht="20.15" hidden="false" customHeight="true" outlineLevel="0" collapsed="false">
      <c r="B11" s="25" t="n">
        <v>6</v>
      </c>
      <c r="C11" s="25"/>
      <c r="D11" s="26" t="s">
        <v>25</v>
      </c>
      <c r="E11" s="27" t="s">
        <v>26</v>
      </c>
      <c r="F11" s="28" t="s">
        <v>26</v>
      </c>
      <c r="G11" s="26" t="s">
        <v>26</v>
      </c>
      <c r="H11" s="29" t="s">
        <v>26</v>
      </c>
      <c r="I11" s="36" t="s">
        <v>18</v>
      </c>
      <c r="J11" s="30" t="s">
        <v>15</v>
      </c>
      <c r="L11" s="31" t="str">
        <f aca="false">D11</f>
        <v>Pauline Schätzle</v>
      </c>
      <c r="M11" s="37"/>
      <c r="N11" s="32" t="n">
        <v>2</v>
      </c>
      <c r="P11" s="14"/>
      <c r="Q11" s="23"/>
      <c r="S11" s="14"/>
      <c r="T11" s="14"/>
      <c r="U11" s="14"/>
      <c r="V11" s="24"/>
      <c r="W11" s="24"/>
    </row>
    <row r="12" customFormat="false" ht="20.15" hidden="false" customHeight="true" outlineLevel="0" collapsed="false">
      <c r="B12" s="25" t="n">
        <v>7</v>
      </c>
      <c r="C12" s="25"/>
      <c r="D12" s="33" t="s">
        <v>27</v>
      </c>
      <c r="E12" s="36" t="s">
        <v>28</v>
      </c>
      <c r="F12" s="29" t="s">
        <v>29</v>
      </c>
      <c r="G12" s="29" t="s">
        <v>28</v>
      </c>
      <c r="H12" s="29" t="s">
        <v>28</v>
      </c>
      <c r="I12" s="36" t="s">
        <v>18</v>
      </c>
      <c r="J12" s="30" t="s">
        <v>15</v>
      </c>
      <c r="L12" s="31" t="str">
        <f aca="false">D12</f>
        <v>Judith Maibaum</v>
      </c>
      <c r="M12" s="37"/>
      <c r="N12" s="32" t="n">
        <v>3</v>
      </c>
      <c r="P12" s="14"/>
      <c r="Q12" s="23"/>
      <c r="S12" s="14"/>
      <c r="T12" s="14"/>
      <c r="U12" s="14"/>
      <c r="V12" s="24"/>
      <c r="W12" s="24"/>
    </row>
    <row r="13" customFormat="false" ht="20.15" hidden="false" customHeight="true" outlineLevel="0" collapsed="false">
      <c r="B13" s="25" t="n">
        <v>8</v>
      </c>
      <c r="C13" s="25"/>
      <c r="D13" s="33" t="s">
        <v>30</v>
      </c>
      <c r="E13" s="27" t="s">
        <v>31</v>
      </c>
      <c r="F13" s="28" t="s">
        <v>32</v>
      </c>
      <c r="G13" s="26" t="s">
        <v>18</v>
      </c>
      <c r="H13" s="29" t="s">
        <v>32</v>
      </c>
      <c r="I13" s="36" t="s">
        <v>18</v>
      </c>
      <c r="J13" s="30" t="s">
        <v>15</v>
      </c>
      <c r="L13" s="34" t="str">
        <f aca="false">D13</f>
        <v>Lisa Schätzle</v>
      </c>
      <c r="M13" s="37"/>
      <c r="N13" s="35" t="n">
        <v>4</v>
      </c>
      <c r="P13" s="14"/>
      <c r="Q13" s="23"/>
      <c r="S13" s="14"/>
      <c r="T13" s="14"/>
      <c r="U13" s="14"/>
      <c r="V13" s="24"/>
      <c r="W13" s="24"/>
    </row>
    <row r="14" customFormat="false" ht="20.15" hidden="false" customHeight="true" outlineLevel="0" collapsed="false">
      <c r="B14" s="25" t="n">
        <v>9</v>
      </c>
      <c r="C14" s="25"/>
      <c r="D14" s="33" t="s">
        <v>33</v>
      </c>
      <c r="E14" s="38" t="s">
        <v>34</v>
      </c>
      <c r="F14" s="29" t="s">
        <v>34</v>
      </c>
      <c r="G14" s="29" t="s">
        <v>34</v>
      </c>
      <c r="H14" s="29" t="s">
        <v>18</v>
      </c>
      <c r="I14" s="29" t="s">
        <v>18</v>
      </c>
      <c r="J14" s="30" t="s">
        <v>15</v>
      </c>
      <c r="L14" s="20" t="str">
        <f aca="false">D14</f>
        <v>Kai Maibaum</v>
      </c>
      <c r="M14" s="21" t="n">
        <v>3</v>
      </c>
      <c r="N14" s="22" t="n">
        <v>1</v>
      </c>
      <c r="P14" s="14"/>
      <c r="Q14" s="23"/>
      <c r="S14" s="14"/>
      <c r="T14" s="14"/>
      <c r="U14" s="14"/>
      <c r="V14" s="24"/>
      <c r="W14" s="24"/>
    </row>
    <row r="15" customFormat="false" ht="20.15" hidden="false" customHeight="true" outlineLevel="0" collapsed="false">
      <c r="B15" s="39" t="n">
        <v>10</v>
      </c>
      <c r="C15" s="39"/>
      <c r="D15" s="40" t="s">
        <v>35</v>
      </c>
      <c r="E15" s="41" t="s">
        <v>36</v>
      </c>
      <c r="F15" s="42" t="s">
        <v>37</v>
      </c>
      <c r="G15" s="43" t="s">
        <v>37</v>
      </c>
      <c r="H15" s="44" t="s">
        <v>18</v>
      </c>
      <c r="I15" s="44" t="s">
        <v>18</v>
      </c>
      <c r="J15" s="45" t="s">
        <v>38</v>
      </c>
      <c r="L15" s="31" t="str">
        <f aca="false">D15</f>
        <v>Wolfgang Mulser</v>
      </c>
      <c r="M15" s="21"/>
      <c r="N15" s="32" t="n">
        <v>2</v>
      </c>
      <c r="P15" s="14"/>
      <c r="Q15" s="23"/>
      <c r="S15" s="14"/>
      <c r="T15" s="14"/>
      <c r="U15" s="14"/>
      <c r="V15" s="24"/>
      <c r="W15" s="24"/>
    </row>
    <row r="16" customFormat="false" ht="20.15" hidden="false" customHeight="true" outlineLevel="0" collapsed="false">
      <c r="B16" s="25" t="n">
        <v>11</v>
      </c>
      <c r="C16" s="25"/>
      <c r="D16" s="33" t="s">
        <v>39</v>
      </c>
      <c r="E16" s="36" t="s">
        <v>40</v>
      </c>
      <c r="F16" s="29" t="s">
        <v>40</v>
      </c>
      <c r="G16" s="29" t="s">
        <v>40</v>
      </c>
      <c r="H16" s="29" t="s">
        <v>18</v>
      </c>
      <c r="I16" s="29" t="s">
        <v>18</v>
      </c>
      <c r="J16" s="30" t="s">
        <v>15</v>
      </c>
      <c r="L16" s="46" t="str">
        <f aca="false">D16</f>
        <v>Markus Hagenauer</v>
      </c>
      <c r="M16" s="21"/>
      <c r="N16" s="32" t="n">
        <v>3</v>
      </c>
      <c r="P16" s="14"/>
      <c r="Q16" s="23"/>
      <c r="S16" s="14"/>
      <c r="T16" s="14"/>
      <c r="U16" s="14"/>
      <c r="V16" s="24"/>
      <c r="W16" s="24"/>
    </row>
    <row r="17" customFormat="false" ht="20.15" hidden="false" customHeight="true" outlineLevel="0" collapsed="false">
      <c r="B17" s="47" t="n">
        <v>12</v>
      </c>
      <c r="C17" s="47"/>
      <c r="D17" s="48" t="s">
        <v>41</v>
      </c>
      <c r="E17" s="49" t="s">
        <v>42</v>
      </c>
      <c r="F17" s="50" t="s">
        <v>42</v>
      </c>
      <c r="G17" s="51" t="s">
        <v>18</v>
      </c>
      <c r="H17" s="52" t="s">
        <v>18</v>
      </c>
      <c r="I17" s="52" t="s">
        <v>18</v>
      </c>
      <c r="J17" s="53" t="s">
        <v>15</v>
      </c>
      <c r="L17" s="54" t="str">
        <f aca="false">D17</f>
        <v>Franziska Büchner</v>
      </c>
      <c r="M17" s="21"/>
      <c r="N17" s="55" t="n">
        <v>4</v>
      </c>
      <c r="P17" s="14"/>
      <c r="Q17" s="23"/>
      <c r="S17" s="14"/>
      <c r="T17" s="14"/>
      <c r="U17" s="14"/>
      <c r="V17" s="24"/>
      <c r="W17" s="24"/>
    </row>
    <row r="18" customFormat="false" ht="20.15" hidden="false" customHeight="true" outlineLevel="0" collapsed="false">
      <c r="L18" s="56" t="s">
        <v>43</v>
      </c>
      <c r="M18" s="56"/>
      <c r="N18" s="57" t="n">
        <v>12</v>
      </c>
      <c r="P18" s="4"/>
      <c r="Q18" s="4"/>
      <c r="S18" s="4"/>
      <c r="T18" s="4"/>
      <c r="U18" s="4"/>
      <c r="V18" s="4"/>
    </row>
    <row r="19" customFormat="false" ht="15" hidden="false" customHeight="false" outlineLevel="0" collapsed="false">
      <c r="B19" s="3" t="s">
        <v>44</v>
      </c>
      <c r="C19" s="3"/>
      <c r="D19" s="3"/>
      <c r="E19" s="3"/>
      <c r="F19" s="3"/>
      <c r="G19" s="3"/>
      <c r="H19" s="3"/>
      <c r="I19" s="3"/>
      <c r="M19" s="58"/>
      <c r="N19" s="58"/>
      <c r="O19" s="58"/>
      <c r="P19" s="5"/>
      <c r="Q19" s="4"/>
      <c r="R19" s="4"/>
      <c r="T19" s="4"/>
      <c r="U19" s="4"/>
      <c r="V19" s="4"/>
      <c r="W19" s="4"/>
    </row>
    <row r="20" customFormat="false" ht="29.5" hidden="false" customHeight="true" outlineLevel="0" collapsed="false">
      <c r="B20" s="59" t="s">
        <v>45</v>
      </c>
      <c r="C20" s="59"/>
      <c r="D20" s="60" t="s">
        <v>4</v>
      </c>
      <c r="E20" s="61" t="s">
        <v>5</v>
      </c>
      <c r="F20" s="62" t="s">
        <v>6</v>
      </c>
      <c r="G20" s="63" t="s">
        <v>7</v>
      </c>
      <c r="H20" s="64" t="s">
        <v>8</v>
      </c>
      <c r="I20" s="62" t="s">
        <v>9</v>
      </c>
      <c r="M20" s="58"/>
      <c r="N20" s="58"/>
      <c r="O20" s="58"/>
      <c r="P20" s="5"/>
      <c r="Q20" s="4"/>
      <c r="R20" s="4"/>
      <c r="T20" s="4"/>
      <c r="U20" s="4"/>
      <c r="V20" s="4"/>
      <c r="W20" s="4"/>
    </row>
    <row r="21" customFormat="false" ht="20.15" hidden="false" customHeight="true" outlineLevel="0" collapsed="false">
      <c r="B21" s="65" t="n">
        <v>1</v>
      </c>
      <c r="C21" s="65"/>
      <c r="D21" s="66" t="s">
        <v>46</v>
      </c>
      <c r="E21" s="67" t="s">
        <v>47</v>
      </c>
      <c r="F21" s="67" t="s">
        <v>48</v>
      </c>
      <c r="G21" s="67" t="s">
        <v>48</v>
      </c>
      <c r="H21" s="67" t="s">
        <v>18</v>
      </c>
      <c r="I21" s="68" t="s">
        <v>18</v>
      </c>
      <c r="M21" s="58"/>
      <c r="N21" s="58"/>
      <c r="O21" s="58"/>
      <c r="P21" s="5"/>
      <c r="Q21" s="4"/>
      <c r="R21" s="4"/>
      <c r="T21" s="4"/>
      <c r="U21" s="4"/>
      <c r="V21" s="4"/>
      <c r="W21" s="4"/>
    </row>
    <row r="22" customFormat="false" ht="20.15" hidden="false" customHeight="true" outlineLevel="0" collapsed="false">
      <c r="B22" s="69" t="n">
        <v>2</v>
      </c>
      <c r="C22" s="69"/>
      <c r="D22" s="70" t="s">
        <v>49</v>
      </c>
      <c r="E22" s="71" t="s">
        <v>50</v>
      </c>
      <c r="F22" s="72" t="s">
        <v>50</v>
      </c>
      <c r="G22" s="73" t="s">
        <v>18</v>
      </c>
      <c r="H22" s="74" t="s">
        <v>18</v>
      </c>
      <c r="I22" s="75" t="s">
        <v>18</v>
      </c>
      <c r="M22" s="58"/>
      <c r="N22" s="58"/>
      <c r="O22" s="58"/>
      <c r="P22" s="5"/>
      <c r="Q22" s="4"/>
      <c r="R22" s="4"/>
      <c r="T22" s="4"/>
      <c r="U22" s="4"/>
      <c r="V22" s="4"/>
      <c r="W22" s="4"/>
    </row>
    <row r="23" customFormat="false" ht="20.15" hidden="false" customHeight="true" outlineLevel="0" collapsed="false">
      <c r="D23" s="76"/>
      <c r="E23" s="76"/>
      <c r="F23" s="76"/>
      <c r="M23" s="58"/>
      <c r="N23" s="58"/>
      <c r="O23" s="58"/>
      <c r="P23" s="5"/>
      <c r="Q23" s="4"/>
      <c r="R23" s="4"/>
      <c r="T23" s="4"/>
      <c r="U23" s="4"/>
      <c r="V23" s="4"/>
      <c r="W23" s="4"/>
    </row>
    <row r="24" customFormat="false" ht="20.15" hidden="false" customHeight="true" outlineLevel="0" collapsed="false">
      <c r="B24" s="77"/>
      <c r="C24" s="77"/>
      <c r="D24" s="78"/>
      <c r="E24" s="78"/>
      <c r="F24" s="78"/>
      <c r="G24" s="78"/>
      <c r="H24" s="77"/>
      <c r="I24" s="77"/>
      <c r="J24" s="77"/>
      <c r="K24" s="77"/>
      <c r="L24" s="77"/>
      <c r="M24" s="77"/>
      <c r="N24" s="77"/>
      <c r="O24" s="77"/>
      <c r="P24" s="77"/>
      <c r="Q24" s="77"/>
      <c r="R24" s="77"/>
      <c r="S24" s="77"/>
      <c r="T24" s="77"/>
      <c r="U24" s="77"/>
    </row>
    <row r="25" customFormat="false" ht="30" hidden="false" customHeight="true" outlineLevel="0" collapsed="false">
      <c r="B25" s="77"/>
      <c r="C25" s="79" t="s">
        <v>51</v>
      </c>
      <c r="D25" s="79"/>
      <c r="E25" s="79"/>
      <c r="F25" s="79"/>
      <c r="G25" s="79"/>
      <c r="H25" s="79"/>
      <c r="I25" s="79"/>
      <c r="J25" s="79"/>
      <c r="K25" s="79"/>
      <c r="L25" s="79"/>
      <c r="M25" s="79"/>
      <c r="N25" s="79"/>
      <c r="O25" s="79"/>
      <c r="P25" s="79"/>
      <c r="Q25" s="79"/>
      <c r="R25" s="79"/>
      <c r="S25" s="79"/>
      <c r="T25" s="79"/>
      <c r="U25" s="77"/>
    </row>
    <row r="26" customFormat="false" ht="20.15" hidden="false" customHeight="true" outlineLevel="0" collapsed="false">
      <c r="B26" s="77"/>
      <c r="U26" s="77"/>
    </row>
    <row r="27" customFormat="false" ht="20.15" hidden="false" customHeight="true" outlineLevel="0" collapsed="false">
      <c r="B27" s="77"/>
      <c r="D27" s="80" t="s">
        <v>52</v>
      </c>
      <c r="E27" s="81" t="s">
        <v>53</v>
      </c>
      <c r="F27" s="82" t="s">
        <v>12</v>
      </c>
      <c r="G27" s="81" t="s">
        <v>54</v>
      </c>
      <c r="H27" s="81"/>
      <c r="I27" s="81"/>
      <c r="J27" s="81"/>
      <c r="K27" s="81" t="s">
        <v>55</v>
      </c>
      <c r="L27" s="83" t="s">
        <v>56</v>
      </c>
      <c r="M27" s="83"/>
      <c r="N27" s="83"/>
      <c r="O27" s="83"/>
      <c r="P27" s="83"/>
      <c r="Q27" s="83"/>
      <c r="R27" s="83"/>
      <c r="S27" s="83"/>
      <c r="U27" s="77"/>
    </row>
    <row r="28" customFormat="false" ht="20.15" hidden="false" customHeight="true" outlineLevel="0" collapsed="false">
      <c r="B28" s="77"/>
      <c r="D28" s="80"/>
      <c r="E28" s="81"/>
      <c r="F28" s="81"/>
      <c r="G28" s="84" t="s">
        <v>57</v>
      </c>
      <c r="H28" s="84" t="s">
        <v>58</v>
      </c>
      <c r="I28" s="82" t="s">
        <v>59</v>
      </c>
      <c r="J28" s="82"/>
      <c r="K28" s="84" t="s">
        <v>60</v>
      </c>
      <c r="L28" s="84" t="s">
        <v>57</v>
      </c>
      <c r="M28" s="85" t="s">
        <v>61</v>
      </c>
      <c r="N28" s="82" t="s">
        <v>59</v>
      </c>
      <c r="O28" s="82"/>
      <c r="P28" s="82"/>
      <c r="Q28" s="82"/>
      <c r="R28" s="82"/>
      <c r="S28" s="82"/>
      <c r="U28" s="77"/>
    </row>
    <row r="29" customFormat="false" ht="80.15" hidden="false" customHeight="true" outlineLevel="0" collapsed="false">
      <c r="B29" s="77"/>
      <c r="D29" s="86" t="s">
        <v>13</v>
      </c>
      <c r="E29" s="87" t="s">
        <v>14</v>
      </c>
      <c r="F29" s="88" t="n">
        <v>1</v>
      </c>
      <c r="G29" s="89" t="s">
        <v>62</v>
      </c>
      <c r="H29" s="90" t="s">
        <v>63</v>
      </c>
      <c r="I29" s="91" t="s">
        <v>64</v>
      </c>
      <c r="J29" s="91"/>
      <c r="K29" s="92" t="s">
        <v>65</v>
      </c>
      <c r="L29" s="93" t="s">
        <v>66</v>
      </c>
      <c r="M29" s="94" t="s">
        <v>66</v>
      </c>
      <c r="N29" s="95" t="s">
        <v>66</v>
      </c>
      <c r="O29" s="95"/>
      <c r="P29" s="95"/>
      <c r="Q29" s="95"/>
      <c r="R29" s="95"/>
      <c r="S29" s="95"/>
      <c r="U29" s="77"/>
    </row>
    <row r="30" customFormat="false" ht="125.15" hidden="false" customHeight="true" outlineLevel="0" collapsed="false">
      <c r="B30" s="77"/>
      <c r="D30" s="46" t="s">
        <v>16</v>
      </c>
      <c r="E30" s="96" t="s">
        <v>17</v>
      </c>
      <c r="F30" s="97" t="n">
        <v>2</v>
      </c>
      <c r="G30" s="98" t="s">
        <v>67</v>
      </c>
      <c r="H30" s="99" t="s">
        <v>68</v>
      </c>
      <c r="I30" s="100" t="s">
        <v>69</v>
      </c>
      <c r="J30" s="100"/>
      <c r="K30" s="101" t="s">
        <v>70</v>
      </c>
      <c r="L30" s="102" t="s">
        <v>66</v>
      </c>
      <c r="M30" s="103" t="s">
        <v>66</v>
      </c>
      <c r="N30" s="104" t="s">
        <v>66</v>
      </c>
      <c r="O30" s="104"/>
      <c r="P30" s="104"/>
      <c r="Q30" s="104"/>
      <c r="R30" s="104"/>
      <c r="S30" s="104"/>
      <c r="U30" s="77"/>
    </row>
    <row r="31" customFormat="false" ht="35.15" hidden="false" customHeight="true" outlineLevel="0" collapsed="false">
      <c r="B31" s="77"/>
      <c r="D31" s="105" t="s">
        <v>19</v>
      </c>
      <c r="E31" s="96" t="s">
        <v>20</v>
      </c>
      <c r="F31" s="97" t="n">
        <v>3</v>
      </c>
      <c r="G31" s="106" t="s">
        <v>71</v>
      </c>
      <c r="H31" s="107" t="s">
        <v>72</v>
      </c>
      <c r="I31" s="108" t="s">
        <v>73</v>
      </c>
      <c r="J31" s="108"/>
      <c r="K31" s="109" t="s">
        <v>65</v>
      </c>
      <c r="L31" s="110" t="s">
        <v>66</v>
      </c>
      <c r="M31" s="111" t="s">
        <v>66</v>
      </c>
      <c r="N31" s="112" t="s">
        <v>66</v>
      </c>
      <c r="O31" s="112"/>
      <c r="P31" s="112"/>
      <c r="Q31" s="112"/>
      <c r="R31" s="112"/>
      <c r="S31" s="112"/>
      <c r="U31" s="77"/>
    </row>
    <row r="32" customFormat="false" ht="50.15" hidden="false" customHeight="true" outlineLevel="0" collapsed="false">
      <c r="B32" s="77"/>
      <c r="D32" s="54" t="s">
        <v>21</v>
      </c>
      <c r="E32" s="113" t="s">
        <v>22</v>
      </c>
      <c r="F32" s="114" t="n">
        <v>4</v>
      </c>
      <c r="G32" s="115" t="s">
        <v>67</v>
      </c>
      <c r="H32" s="101" t="s">
        <v>70</v>
      </c>
      <c r="I32" s="116" t="s">
        <v>74</v>
      </c>
      <c r="J32" s="116"/>
      <c r="K32" s="117" t="s">
        <v>65</v>
      </c>
      <c r="L32" s="118" t="s">
        <v>66</v>
      </c>
      <c r="M32" s="119" t="s">
        <v>66</v>
      </c>
      <c r="N32" s="120" t="s">
        <v>66</v>
      </c>
      <c r="O32" s="120"/>
      <c r="P32" s="120"/>
      <c r="Q32" s="120"/>
      <c r="R32" s="120"/>
      <c r="S32" s="120"/>
      <c r="U32" s="77"/>
    </row>
    <row r="33" customFormat="false" ht="20.15" hidden="false" customHeight="true" outlineLevel="0" collapsed="false">
      <c r="B33" s="77"/>
      <c r="D33" s="121"/>
      <c r="E33" s="121"/>
      <c r="U33" s="77"/>
    </row>
    <row r="34" customFormat="false" ht="20.15" hidden="false" customHeight="true" outlineLevel="0" collapsed="false">
      <c r="B34" s="77"/>
      <c r="C34" s="122"/>
      <c r="D34" s="122"/>
      <c r="E34" s="123" t="str">
        <f aca="false">IF(OR(M29="-",M29= ""),H29,M29)</f>
        <v>Gaia Project</v>
      </c>
      <c r="F34" s="123"/>
      <c r="G34" s="123"/>
      <c r="H34" s="123"/>
      <c r="I34" s="123"/>
      <c r="J34" s="123"/>
      <c r="K34" s="123"/>
      <c r="L34" s="123"/>
      <c r="M34" s="123"/>
      <c r="N34" s="123"/>
      <c r="O34" s="124"/>
      <c r="P34" s="124"/>
      <c r="Q34" s="124"/>
      <c r="R34" s="124"/>
      <c r="S34" s="124"/>
      <c r="T34" s="122"/>
      <c r="U34" s="77"/>
    </row>
    <row r="35" customFormat="false" ht="50.15" hidden="false" customHeight="true" outlineLevel="0" collapsed="false">
      <c r="B35" s="77"/>
      <c r="C35" s="122"/>
      <c r="D35" s="124"/>
      <c r="E35" s="125" t="s">
        <v>52</v>
      </c>
      <c r="F35" s="126" t="s">
        <v>75</v>
      </c>
      <c r="G35" s="82" t="s">
        <v>76</v>
      </c>
      <c r="H35" s="81" t="s">
        <v>77</v>
      </c>
      <c r="I35" s="59" t="s">
        <v>78</v>
      </c>
      <c r="J35" s="81" t="s">
        <v>79</v>
      </c>
      <c r="K35" s="127" t="s">
        <v>80</v>
      </c>
      <c r="L35" s="81" t="s">
        <v>81</v>
      </c>
      <c r="M35" s="128" t="s">
        <v>82</v>
      </c>
      <c r="N35" s="129" t="s">
        <v>83</v>
      </c>
      <c r="O35" s="130" t="s">
        <v>84</v>
      </c>
      <c r="P35" s="131" t="s">
        <v>85</v>
      </c>
      <c r="Q35" s="131" t="s">
        <v>86</v>
      </c>
      <c r="R35" s="131" t="s">
        <v>87</v>
      </c>
      <c r="S35" s="124"/>
      <c r="T35" s="122"/>
      <c r="U35" s="77"/>
    </row>
    <row r="36" customFormat="false" ht="20.15" hidden="false" customHeight="true" outlineLevel="0" collapsed="false">
      <c r="B36" s="77"/>
      <c r="C36" s="122"/>
      <c r="D36" s="132"/>
      <c r="E36" s="86" t="s">
        <v>13</v>
      </c>
      <c r="F36" s="87" t="s">
        <v>14</v>
      </c>
      <c r="G36" s="133" t="n">
        <v>4</v>
      </c>
      <c r="H36" s="134" t="s">
        <v>88</v>
      </c>
      <c r="I36" s="133" t="n">
        <v>10</v>
      </c>
      <c r="J36" s="133" t="n">
        <v>163</v>
      </c>
      <c r="K36" s="133" t="s">
        <v>66</v>
      </c>
      <c r="L36" s="135" t="n">
        <f aca="false">IF(J36="",0,(J36/J40)*100)</f>
        <v>84.8958333333333</v>
      </c>
      <c r="M36" s="133" t="n">
        <v>2</v>
      </c>
      <c r="N36" s="136" t="n">
        <v>3</v>
      </c>
      <c r="O36" s="137" t="n">
        <f aca="false">IF(M36=1,1,0)</f>
        <v>0</v>
      </c>
      <c r="P36" s="138" t="n">
        <f aca="false">IF(M36=2,1,0)</f>
        <v>1</v>
      </c>
      <c r="Q36" s="138" t="n">
        <f aca="false">IF(M36=3,1,0)</f>
        <v>0</v>
      </c>
      <c r="R36" s="139" t="n">
        <f aca="false">IF(M36=4,1,0)</f>
        <v>0</v>
      </c>
      <c r="S36" s="140"/>
      <c r="T36" s="122"/>
      <c r="U36" s="77"/>
    </row>
    <row r="37" customFormat="false" ht="20.15" hidden="false" customHeight="true" outlineLevel="0" collapsed="false">
      <c r="B37" s="77"/>
      <c r="C37" s="122"/>
      <c r="D37" s="132"/>
      <c r="E37" s="46" t="s">
        <v>16</v>
      </c>
      <c r="F37" s="96" t="s">
        <v>17</v>
      </c>
      <c r="G37" s="141" t="n">
        <v>1</v>
      </c>
      <c r="H37" s="141" t="s">
        <v>89</v>
      </c>
      <c r="I37" s="141" t="n">
        <v>10</v>
      </c>
      <c r="J37" s="141" t="n">
        <v>145</v>
      </c>
      <c r="K37" s="141" t="s">
        <v>66</v>
      </c>
      <c r="L37" s="142" t="n">
        <f aca="false">IF(J37="",0,(J37/J40)*100)</f>
        <v>75.5208333333333</v>
      </c>
      <c r="M37" s="141" t="n">
        <v>3</v>
      </c>
      <c r="N37" s="143" t="n">
        <v>1</v>
      </c>
      <c r="O37" s="144" t="n">
        <f aca="false">IF(M37=1,1,0)</f>
        <v>0</v>
      </c>
      <c r="P37" s="145" t="n">
        <f aca="false">IF(M37=2,1,0)</f>
        <v>0</v>
      </c>
      <c r="Q37" s="145" t="n">
        <f aca="false">IF(M37=3,1,0)</f>
        <v>1</v>
      </c>
      <c r="R37" s="146" t="n">
        <f aca="false">IF(M37=4,1,0)</f>
        <v>0</v>
      </c>
      <c r="S37" s="140"/>
      <c r="T37" s="122"/>
      <c r="U37" s="77"/>
    </row>
    <row r="38" customFormat="false" ht="20.15" hidden="false" customHeight="true" outlineLevel="0" collapsed="false">
      <c r="B38" s="77"/>
      <c r="C38" s="122"/>
      <c r="D38" s="132"/>
      <c r="E38" s="147" t="s">
        <v>19</v>
      </c>
      <c r="F38" s="148" t="s">
        <v>20</v>
      </c>
      <c r="G38" s="149" t="n">
        <v>2</v>
      </c>
      <c r="H38" s="149" t="s">
        <v>90</v>
      </c>
      <c r="I38" s="149" t="n">
        <v>10</v>
      </c>
      <c r="J38" s="149" t="n">
        <v>192</v>
      </c>
      <c r="K38" s="149" t="s">
        <v>66</v>
      </c>
      <c r="L38" s="150" t="n">
        <f aca="false">IF(J38="",0,(J38/J40)*100)</f>
        <v>100</v>
      </c>
      <c r="M38" s="149" t="n">
        <v>1</v>
      </c>
      <c r="N38" s="151" t="n">
        <v>6</v>
      </c>
      <c r="O38" s="144" t="n">
        <f aca="false">IF(M38=1,1,0)</f>
        <v>1</v>
      </c>
      <c r="P38" s="145" t="n">
        <f aca="false">IF(M38=2,1,0)</f>
        <v>0</v>
      </c>
      <c r="Q38" s="145" t="n">
        <f aca="false">IF(M38=3,1,0)</f>
        <v>0</v>
      </c>
      <c r="R38" s="146" t="n">
        <f aca="false">IF(M38=4,1,0)</f>
        <v>0</v>
      </c>
      <c r="S38" s="140"/>
      <c r="T38" s="122"/>
      <c r="U38" s="77"/>
    </row>
    <row r="39" customFormat="false" ht="20.15" hidden="false" customHeight="true" outlineLevel="0" collapsed="false">
      <c r="B39" s="77"/>
      <c r="C39" s="122"/>
      <c r="D39" s="152"/>
      <c r="E39" s="54" t="s">
        <v>21</v>
      </c>
      <c r="F39" s="113" t="s">
        <v>22</v>
      </c>
      <c r="G39" s="153" t="n">
        <v>3</v>
      </c>
      <c r="H39" s="153" t="s">
        <v>91</v>
      </c>
      <c r="I39" s="153" t="n">
        <v>10</v>
      </c>
      <c r="J39" s="153" t="n">
        <v>127</v>
      </c>
      <c r="K39" s="153" t="s">
        <v>66</v>
      </c>
      <c r="L39" s="154" t="n">
        <f aca="false">IF(J39="",0,(J39/J40)*100)</f>
        <v>66.1458333333333</v>
      </c>
      <c r="M39" s="153" t="n">
        <v>4</v>
      </c>
      <c r="N39" s="155" t="n">
        <v>0</v>
      </c>
      <c r="O39" s="156" t="n">
        <f aca="false">IF(M39=1,1,0)</f>
        <v>0</v>
      </c>
      <c r="P39" s="157" t="n">
        <f aca="false">IF(M39=2,1,0)</f>
        <v>0</v>
      </c>
      <c r="Q39" s="157" t="n">
        <f aca="false">IF(M39=3,1,0)</f>
        <v>0</v>
      </c>
      <c r="R39" s="158" t="n">
        <f aca="false">IF(M39=4,1,0)</f>
        <v>1</v>
      </c>
      <c r="S39" s="140"/>
      <c r="T39" s="122"/>
      <c r="U39" s="77"/>
    </row>
    <row r="40" customFormat="false" ht="20.15" hidden="true" customHeight="true" outlineLevel="1" collapsed="false">
      <c r="B40" s="77"/>
      <c r="C40" s="122"/>
      <c r="D40" s="159"/>
      <c r="E40" s="159"/>
      <c r="F40" s="140"/>
      <c r="G40" s="140"/>
      <c r="H40" s="122"/>
      <c r="I40" s="160" t="s">
        <v>92</v>
      </c>
      <c r="J40" s="161" t="n">
        <f aca="false">MAX(J36:J39)</f>
        <v>192</v>
      </c>
      <c r="K40" s="162"/>
      <c r="L40" s="163"/>
      <c r="M40" s="122"/>
      <c r="N40" s="164" t="s">
        <v>93</v>
      </c>
      <c r="O40" s="165" t="n">
        <f aca="false">SUM(O36:O39)</f>
        <v>1</v>
      </c>
      <c r="P40" s="166" t="n">
        <f aca="false">SUM(P36:P39)</f>
        <v>1</v>
      </c>
      <c r="Q40" s="165" t="n">
        <f aca="false">SUM(Q36:Q39)</f>
        <v>1</v>
      </c>
      <c r="R40" s="165" t="n">
        <f aca="false">SUM(R36:R39)</f>
        <v>1</v>
      </c>
      <c r="S40" s="167"/>
      <c r="T40" s="122"/>
      <c r="U40" s="77"/>
    </row>
    <row r="41" customFormat="false" ht="20.15" hidden="false" customHeight="true" outlineLevel="0" collapsed="false">
      <c r="B41" s="77"/>
      <c r="C41" s="122"/>
      <c r="D41" s="168"/>
      <c r="E41" s="168"/>
      <c r="F41" s="169"/>
      <c r="G41" s="169"/>
      <c r="H41" s="124"/>
      <c r="I41" s="122"/>
      <c r="J41" s="122"/>
      <c r="K41" s="122"/>
      <c r="L41" s="122"/>
      <c r="M41" s="122"/>
      <c r="N41" s="122"/>
      <c r="O41" s="122"/>
      <c r="P41" s="122"/>
      <c r="Q41" s="122"/>
      <c r="R41" s="122"/>
      <c r="S41" s="122"/>
      <c r="T41" s="122"/>
      <c r="U41" s="77"/>
    </row>
    <row r="42" customFormat="false" ht="20.15" hidden="false" customHeight="true" outlineLevel="0" collapsed="false">
      <c r="B42" s="77"/>
      <c r="U42" s="77"/>
    </row>
    <row r="43" customFormat="false" ht="20.15" hidden="false" customHeight="true" outlineLevel="0" collapsed="false">
      <c r="B43" s="77"/>
      <c r="C43" s="170"/>
      <c r="D43" s="170"/>
      <c r="E43" s="171" t="str">
        <f aca="false">IF(OR(M30="-",M30= ""),H30,M30)</f>
        <v>Clans of Caledonia</v>
      </c>
      <c r="F43" s="171"/>
      <c r="G43" s="171"/>
      <c r="H43" s="171"/>
      <c r="I43" s="171"/>
      <c r="J43" s="171"/>
      <c r="K43" s="171"/>
      <c r="L43" s="171"/>
      <c r="M43" s="171"/>
      <c r="N43" s="171"/>
      <c r="O43" s="172"/>
      <c r="P43" s="172"/>
      <c r="Q43" s="172"/>
      <c r="R43" s="172"/>
      <c r="S43" s="172"/>
      <c r="T43" s="170"/>
      <c r="U43" s="77"/>
    </row>
    <row r="44" customFormat="false" ht="50.15" hidden="false" customHeight="true" outlineLevel="0" collapsed="false">
      <c r="B44" s="77"/>
      <c r="C44" s="170"/>
      <c r="D44" s="172"/>
      <c r="E44" s="125" t="s">
        <v>52</v>
      </c>
      <c r="F44" s="126" t="s">
        <v>75</v>
      </c>
      <c r="G44" s="82" t="s">
        <v>76</v>
      </c>
      <c r="H44" s="81" t="s">
        <v>77</v>
      </c>
      <c r="I44" s="59" t="s">
        <v>78</v>
      </c>
      <c r="J44" s="81" t="s">
        <v>79</v>
      </c>
      <c r="K44" s="127" t="s">
        <v>80</v>
      </c>
      <c r="L44" s="81" t="s">
        <v>81</v>
      </c>
      <c r="M44" s="128" t="s">
        <v>82</v>
      </c>
      <c r="N44" s="129" t="s">
        <v>83</v>
      </c>
      <c r="O44" s="130" t="s">
        <v>84</v>
      </c>
      <c r="P44" s="131" t="s">
        <v>85</v>
      </c>
      <c r="Q44" s="131" t="s">
        <v>86</v>
      </c>
      <c r="R44" s="131" t="s">
        <v>87</v>
      </c>
      <c r="S44" s="172"/>
      <c r="T44" s="170"/>
      <c r="U44" s="77"/>
    </row>
    <row r="45" customFormat="false" ht="20.15" hidden="false" customHeight="true" outlineLevel="0" collapsed="false">
      <c r="B45" s="77"/>
      <c r="C45" s="170"/>
      <c r="D45" s="173"/>
      <c r="E45" s="174" t="s">
        <v>13</v>
      </c>
      <c r="F45" s="175" t="s">
        <v>14</v>
      </c>
      <c r="G45" s="133" t="n">
        <v>4</v>
      </c>
      <c r="H45" s="134" t="s">
        <v>94</v>
      </c>
      <c r="I45" s="133" t="n">
        <v>0</v>
      </c>
      <c r="J45" s="134" t="n">
        <v>151</v>
      </c>
      <c r="K45" s="134" t="s">
        <v>66</v>
      </c>
      <c r="L45" s="135" t="n">
        <f aca="false">IF(J45="",0,(J45/J49)*100)</f>
        <v>94.9685534591195</v>
      </c>
      <c r="M45" s="133" t="n">
        <v>4</v>
      </c>
      <c r="N45" s="136" t="n">
        <v>0</v>
      </c>
      <c r="O45" s="137" t="n">
        <f aca="false">IF(M45=1,1,0)</f>
        <v>0</v>
      </c>
      <c r="P45" s="138" t="n">
        <f aca="false">IF(M45=2,1,0)</f>
        <v>0</v>
      </c>
      <c r="Q45" s="138" t="n">
        <f aca="false">IF(M45=3,1,0)</f>
        <v>0</v>
      </c>
      <c r="R45" s="139" t="n">
        <f aca="false">IF(M45=4,1,0)</f>
        <v>1</v>
      </c>
      <c r="S45" s="176"/>
      <c r="T45" s="170"/>
      <c r="U45" s="77"/>
    </row>
    <row r="46" customFormat="false" ht="20.15" hidden="false" customHeight="true" outlineLevel="0" collapsed="false">
      <c r="B46" s="77"/>
      <c r="C46" s="170"/>
      <c r="D46" s="177"/>
      <c r="E46" s="178" t="s">
        <v>16</v>
      </c>
      <c r="F46" s="148" t="s">
        <v>17</v>
      </c>
      <c r="G46" s="149" t="n">
        <v>1</v>
      </c>
      <c r="H46" s="179" t="s">
        <v>95</v>
      </c>
      <c r="I46" s="149" t="n">
        <v>0</v>
      </c>
      <c r="J46" s="179" t="n">
        <v>159</v>
      </c>
      <c r="K46" s="179" t="s">
        <v>66</v>
      </c>
      <c r="L46" s="150" t="n">
        <f aca="false">IF(J46="",0,(J46/J49)*100)</f>
        <v>100</v>
      </c>
      <c r="M46" s="149" t="n">
        <v>1</v>
      </c>
      <c r="N46" s="151" t="n">
        <v>6</v>
      </c>
      <c r="O46" s="144" t="n">
        <f aca="false">IF(M46=1,1,0)</f>
        <v>1</v>
      </c>
      <c r="P46" s="145" t="n">
        <f aca="false">IF(M46=2,1,0)</f>
        <v>0</v>
      </c>
      <c r="Q46" s="145" t="n">
        <f aca="false">IF(M46=3,1,0)</f>
        <v>0</v>
      </c>
      <c r="R46" s="146" t="n">
        <f aca="false">IF(M46=4,1,0)</f>
        <v>0</v>
      </c>
      <c r="S46" s="176"/>
      <c r="T46" s="170"/>
      <c r="U46" s="77"/>
    </row>
    <row r="47" customFormat="false" ht="20.15" hidden="false" customHeight="true" outlineLevel="0" collapsed="false">
      <c r="B47" s="77"/>
      <c r="C47" s="170"/>
      <c r="D47" s="173"/>
      <c r="E47" s="180" t="s">
        <v>19</v>
      </c>
      <c r="F47" s="96" t="s">
        <v>20</v>
      </c>
      <c r="G47" s="141" t="n">
        <v>2</v>
      </c>
      <c r="H47" s="181" t="s">
        <v>96</v>
      </c>
      <c r="I47" s="141" t="n">
        <v>0</v>
      </c>
      <c r="J47" s="181" t="n">
        <v>156</v>
      </c>
      <c r="K47" s="181" t="s">
        <v>66</v>
      </c>
      <c r="L47" s="142" t="n">
        <f aca="false">IF(J47="",0,(J47/J49)*100)</f>
        <v>98.1132075471698</v>
      </c>
      <c r="M47" s="141" t="n">
        <v>2</v>
      </c>
      <c r="N47" s="143" t="n">
        <v>3</v>
      </c>
      <c r="O47" s="144" t="n">
        <f aca="false">IF(M47=1,1,0)</f>
        <v>0</v>
      </c>
      <c r="P47" s="145" t="n">
        <f aca="false">IF(M47=2,1,0)</f>
        <v>1</v>
      </c>
      <c r="Q47" s="145" t="n">
        <f aca="false">IF(M47=3,1,0)</f>
        <v>0</v>
      </c>
      <c r="R47" s="146" t="n">
        <f aca="false">IF(M47=4,1,0)</f>
        <v>0</v>
      </c>
      <c r="S47" s="176"/>
      <c r="T47" s="170"/>
      <c r="U47" s="77"/>
    </row>
    <row r="48" customFormat="false" ht="20.15" hidden="false" customHeight="true" outlineLevel="0" collapsed="false">
      <c r="B48" s="77"/>
      <c r="C48" s="170"/>
      <c r="D48" s="173"/>
      <c r="E48" s="182" t="s">
        <v>21</v>
      </c>
      <c r="F48" s="113" t="s">
        <v>22</v>
      </c>
      <c r="G48" s="153" t="n">
        <v>3</v>
      </c>
      <c r="H48" s="183" t="s">
        <v>97</v>
      </c>
      <c r="I48" s="153" t="n">
        <v>0</v>
      </c>
      <c r="J48" s="183" t="n">
        <v>153</v>
      </c>
      <c r="K48" s="153" t="s">
        <v>66</v>
      </c>
      <c r="L48" s="184" t="n">
        <f aca="false">IF(J48="",0,(J48/J49)*100)</f>
        <v>96.2264150943396</v>
      </c>
      <c r="M48" s="153" t="n">
        <v>3</v>
      </c>
      <c r="N48" s="155" t="n">
        <v>1</v>
      </c>
      <c r="O48" s="156" t="n">
        <f aca="false">IF(M48=1,1,0)</f>
        <v>0</v>
      </c>
      <c r="P48" s="157" t="n">
        <f aca="false">IF(M48=2,1,0)</f>
        <v>0</v>
      </c>
      <c r="Q48" s="157" t="n">
        <f aca="false">IF(M48=3,1,0)</f>
        <v>1</v>
      </c>
      <c r="R48" s="158" t="n">
        <f aca="false">IF(M48=4,1,0)</f>
        <v>0</v>
      </c>
      <c r="S48" s="176"/>
      <c r="T48" s="170"/>
      <c r="U48" s="77"/>
    </row>
    <row r="49" customFormat="false" ht="20.15" hidden="true" customHeight="true" outlineLevel="1" collapsed="false">
      <c r="B49" s="77"/>
      <c r="C49" s="170"/>
      <c r="D49" s="173"/>
      <c r="E49" s="173"/>
      <c r="F49" s="172"/>
      <c r="G49" s="172"/>
      <c r="H49" s="170"/>
      <c r="I49" s="185" t="s">
        <v>92</v>
      </c>
      <c r="J49" s="161" t="n">
        <f aca="false">MAX(J45:J48)</f>
        <v>159</v>
      </c>
      <c r="K49" s="186"/>
      <c r="L49" s="176"/>
      <c r="M49" s="170"/>
      <c r="N49" s="164" t="s">
        <v>93</v>
      </c>
      <c r="O49" s="165" t="n">
        <f aca="false">SUM(O45:O48)</f>
        <v>1</v>
      </c>
      <c r="P49" s="166" t="n">
        <f aca="false">SUM(P45:P48)</f>
        <v>1</v>
      </c>
      <c r="Q49" s="165" t="n">
        <f aca="false">SUM(Q45:Q48)</f>
        <v>1</v>
      </c>
      <c r="R49" s="187" t="n">
        <f aca="false">SUM(R45:R48)</f>
        <v>1</v>
      </c>
      <c r="S49" s="188"/>
      <c r="T49" s="170"/>
      <c r="U49" s="77"/>
    </row>
    <row r="50" customFormat="false" ht="20.15" hidden="false" customHeight="true" outlineLevel="0" collapsed="false">
      <c r="B50" s="77"/>
      <c r="C50" s="170"/>
      <c r="D50" s="189"/>
      <c r="E50" s="189"/>
      <c r="F50" s="170"/>
      <c r="G50" s="170"/>
      <c r="H50" s="170"/>
      <c r="I50" s="170"/>
      <c r="J50" s="170"/>
      <c r="K50" s="170"/>
      <c r="L50" s="170"/>
      <c r="M50" s="170"/>
      <c r="N50" s="170"/>
      <c r="O50" s="170"/>
      <c r="P50" s="170"/>
      <c r="Q50" s="170"/>
      <c r="R50" s="170"/>
      <c r="S50" s="170"/>
      <c r="T50" s="170"/>
      <c r="U50" s="77"/>
    </row>
    <row r="51" customFormat="false" ht="20.15" hidden="false" customHeight="true" outlineLevel="0" collapsed="false">
      <c r="B51" s="77"/>
      <c r="D51" s="190"/>
      <c r="E51" s="190"/>
      <c r="F51" s="190"/>
      <c r="G51" s="190"/>
      <c r="H51" s="191"/>
      <c r="I51" s="190"/>
      <c r="J51" s="190"/>
      <c r="K51" s="14"/>
      <c r="L51" s="14"/>
      <c r="M51" s="14"/>
      <c r="N51" s="14"/>
      <c r="O51" s="14"/>
      <c r="P51" s="14"/>
      <c r="Q51" s="14"/>
      <c r="R51" s="14"/>
      <c r="S51" s="14"/>
      <c r="U51" s="77"/>
    </row>
    <row r="52" customFormat="false" ht="20.15" hidden="false" customHeight="true" outlineLevel="0" collapsed="false">
      <c r="B52" s="77"/>
      <c r="C52" s="192"/>
      <c r="D52" s="192"/>
      <c r="E52" s="193" t="str">
        <f aca="false">IF(OR(M31="-",M31= ""),H31,M31)</f>
        <v>Die Burgen von Burgund</v>
      </c>
      <c r="F52" s="193"/>
      <c r="G52" s="193"/>
      <c r="H52" s="193"/>
      <c r="I52" s="193"/>
      <c r="J52" s="193"/>
      <c r="K52" s="193"/>
      <c r="L52" s="193"/>
      <c r="M52" s="193"/>
      <c r="N52" s="193"/>
      <c r="O52" s="194"/>
      <c r="P52" s="194"/>
      <c r="Q52" s="194"/>
      <c r="R52" s="194"/>
      <c r="S52" s="194"/>
      <c r="T52" s="192"/>
      <c r="U52" s="195"/>
      <c r="V52" s="196"/>
      <c r="W52" s="196"/>
    </row>
    <row r="53" customFormat="false" ht="50.15" hidden="false" customHeight="true" outlineLevel="0" collapsed="false">
      <c r="B53" s="77"/>
      <c r="C53" s="192"/>
      <c r="D53" s="194"/>
      <c r="E53" s="125" t="s">
        <v>52</v>
      </c>
      <c r="F53" s="126" t="s">
        <v>75</v>
      </c>
      <c r="G53" s="82" t="s">
        <v>76</v>
      </c>
      <c r="H53" s="81" t="s">
        <v>77</v>
      </c>
      <c r="I53" s="59" t="s">
        <v>78</v>
      </c>
      <c r="J53" s="81" t="s">
        <v>79</v>
      </c>
      <c r="K53" s="127" t="s">
        <v>80</v>
      </c>
      <c r="L53" s="81" t="s">
        <v>81</v>
      </c>
      <c r="M53" s="128" t="s">
        <v>82</v>
      </c>
      <c r="N53" s="129" t="s">
        <v>83</v>
      </c>
      <c r="O53" s="130" t="s">
        <v>84</v>
      </c>
      <c r="P53" s="131" t="s">
        <v>85</v>
      </c>
      <c r="Q53" s="131" t="s">
        <v>86</v>
      </c>
      <c r="R53" s="197" t="s">
        <v>87</v>
      </c>
      <c r="S53" s="194"/>
      <c r="T53" s="192"/>
      <c r="U53" s="195"/>
      <c r="V53" s="196"/>
      <c r="W53" s="196"/>
    </row>
    <row r="54" customFormat="false" ht="20.15" hidden="false" customHeight="true" outlineLevel="0" collapsed="false">
      <c r="B54" s="77"/>
      <c r="C54" s="192"/>
      <c r="D54" s="198"/>
      <c r="E54" s="199" t="s">
        <v>13</v>
      </c>
      <c r="F54" s="200" t="s">
        <v>14</v>
      </c>
      <c r="G54" s="201" t="n">
        <v>4</v>
      </c>
      <c r="H54" s="202" t="s">
        <v>98</v>
      </c>
      <c r="I54" s="201" t="n">
        <v>0</v>
      </c>
      <c r="J54" s="203" t="n">
        <v>244</v>
      </c>
      <c r="K54" s="201" t="s">
        <v>66</v>
      </c>
      <c r="L54" s="204" t="n">
        <f aca="false">IF(J54="",0,(J54/J58)*100)</f>
        <v>100</v>
      </c>
      <c r="M54" s="201" t="n">
        <v>1</v>
      </c>
      <c r="N54" s="205" t="n">
        <v>6</v>
      </c>
      <c r="O54" s="137" t="n">
        <f aca="false">IF(M54=1,1,0)</f>
        <v>1</v>
      </c>
      <c r="P54" s="138" t="n">
        <f aca="false">IF(M54=2,1,0)</f>
        <v>0</v>
      </c>
      <c r="Q54" s="138" t="n">
        <f aca="false">IF(M54=3,1,0)</f>
        <v>0</v>
      </c>
      <c r="R54" s="139" t="n">
        <f aca="false">IF(M54=4,1,0)</f>
        <v>0</v>
      </c>
      <c r="S54" s="206"/>
      <c r="T54" s="192"/>
      <c r="U54" s="207"/>
      <c r="V54" s="121"/>
      <c r="W54" s="121"/>
    </row>
    <row r="55" customFormat="false" ht="20.15" hidden="false" customHeight="true" outlineLevel="0" collapsed="false">
      <c r="B55" s="77"/>
      <c r="C55" s="192"/>
      <c r="D55" s="208"/>
      <c r="E55" s="209" t="s">
        <v>16</v>
      </c>
      <c r="F55" s="96" t="s">
        <v>17</v>
      </c>
      <c r="G55" s="141" t="n">
        <v>1</v>
      </c>
      <c r="H55" s="141" t="s">
        <v>99</v>
      </c>
      <c r="I55" s="141" t="n">
        <v>0</v>
      </c>
      <c r="J55" s="210" t="n">
        <v>217</v>
      </c>
      <c r="K55" s="141" t="s">
        <v>66</v>
      </c>
      <c r="L55" s="142" t="n">
        <f aca="false">IF(J55="",0,(J55/J58)*100)</f>
        <v>88.9344262295082</v>
      </c>
      <c r="M55" s="141" t="n">
        <v>4</v>
      </c>
      <c r="N55" s="143" t="n">
        <v>0</v>
      </c>
      <c r="O55" s="144" t="n">
        <f aca="false">IF(M55=1,1,0)</f>
        <v>0</v>
      </c>
      <c r="P55" s="145" t="n">
        <f aca="false">IF(M55=2,1,0)</f>
        <v>0</v>
      </c>
      <c r="Q55" s="145" t="n">
        <f aca="false">IF(M55=3,1,0)</f>
        <v>0</v>
      </c>
      <c r="R55" s="146" t="n">
        <f aca="false">IF(M55=4,1,0)</f>
        <v>1</v>
      </c>
      <c r="S55" s="206"/>
      <c r="T55" s="192"/>
      <c r="U55" s="211"/>
      <c r="V55" s="121"/>
      <c r="W55" s="121"/>
    </row>
    <row r="56" customFormat="false" ht="20.15" hidden="false" customHeight="true" outlineLevel="0" collapsed="false">
      <c r="B56" s="77"/>
      <c r="C56" s="192"/>
      <c r="D56" s="198"/>
      <c r="E56" s="180" t="s">
        <v>19</v>
      </c>
      <c r="F56" s="96" t="s">
        <v>20</v>
      </c>
      <c r="G56" s="141" t="n">
        <v>2</v>
      </c>
      <c r="H56" s="181" t="s">
        <v>100</v>
      </c>
      <c r="I56" s="141" t="n">
        <v>0</v>
      </c>
      <c r="J56" s="210" t="n">
        <v>219</v>
      </c>
      <c r="K56" s="141" t="s">
        <v>66</v>
      </c>
      <c r="L56" s="142" t="n">
        <f aca="false">IF(J56="",0,(J56/J58)*100)</f>
        <v>89.7540983606558</v>
      </c>
      <c r="M56" s="141" t="n">
        <v>3</v>
      </c>
      <c r="N56" s="143" t="n">
        <v>1</v>
      </c>
      <c r="O56" s="144" t="n">
        <f aca="false">IF(M56=1,1,0)</f>
        <v>0</v>
      </c>
      <c r="P56" s="145" t="n">
        <f aca="false">IF(M56=2,1,0)</f>
        <v>0</v>
      </c>
      <c r="Q56" s="145" t="n">
        <f aca="false">IF(M56=3,1,0)</f>
        <v>1</v>
      </c>
      <c r="R56" s="146" t="n">
        <f aca="false">IF(M56=4,1,0)</f>
        <v>0</v>
      </c>
      <c r="S56" s="206"/>
      <c r="T56" s="192"/>
      <c r="U56" s="211"/>
      <c r="V56" s="121"/>
      <c r="W56" s="121"/>
    </row>
    <row r="57" customFormat="false" ht="20.15" hidden="false" customHeight="true" outlineLevel="0" collapsed="false">
      <c r="B57" s="77"/>
      <c r="C57" s="192"/>
      <c r="D57" s="198"/>
      <c r="E57" s="182" t="s">
        <v>21</v>
      </c>
      <c r="F57" s="113" t="s">
        <v>22</v>
      </c>
      <c r="G57" s="153" t="n">
        <v>3</v>
      </c>
      <c r="H57" s="183" t="s">
        <v>100</v>
      </c>
      <c r="I57" s="153" t="n">
        <v>0</v>
      </c>
      <c r="J57" s="212" t="n">
        <v>224</v>
      </c>
      <c r="K57" s="153" t="s">
        <v>66</v>
      </c>
      <c r="L57" s="154" t="n">
        <f aca="false">IF(J57="",0,(J57/J58)*100)</f>
        <v>91.8032786885246</v>
      </c>
      <c r="M57" s="153" t="n">
        <v>2</v>
      </c>
      <c r="N57" s="155" t="n">
        <v>3</v>
      </c>
      <c r="O57" s="156" t="n">
        <f aca="false">IF(M57=1,1,0)</f>
        <v>0</v>
      </c>
      <c r="P57" s="157" t="n">
        <f aca="false">IF(M57=2,1,0)</f>
        <v>1</v>
      </c>
      <c r="Q57" s="157" t="n">
        <f aca="false">IF(M57=3,1,0)</f>
        <v>0</v>
      </c>
      <c r="R57" s="158" t="n">
        <f aca="false">IF(M57=4,1,0)</f>
        <v>0</v>
      </c>
      <c r="S57" s="206"/>
      <c r="T57" s="192"/>
      <c r="U57" s="211"/>
      <c r="V57" s="121"/>
      <c r="W57" s="121"/>
    </row>
    <row r="58" customFormat="false" ht="20.15" hidden="true" customHeight="true" outlineLevel="1" collapsed="false">
      <c r="B58" s="77"/>
      <c r="C58" s="192"/>
      <c r="D58" s="198"/>
      <c r="E58" s="198"/>
      <c r="F58" s="206"/>
      <c r="G58" s="206"/>
      <c r="H58" s="192"/>
      <c r="I58" s="213" t="s">
        <v>92</v>
      </c>
      <c r="J58" s="161" t="n">
        <f aca="false">MAX(J54:J57)</f>
        <v>244</v>
      </c>
      <c r="K58" s="214"/>
      <c r="L58" s="206"/>
      <c r="M58" s="192"/>
      <c r="N58" s="164" t="s">
        <v>93</v>
      </c>
      <c r="O58" s="165" t="n">
        <f aca="false">SUM(O54:O57)</f>
        <v>1</v>
      </c>
      <c r="P58" s="166" t="n">
        <f aca="false">SUM(P54:P57)</f>
        <v>1</v>
      </c>
      <c r="Q58" s="165" t="n">
        <f aca="false">SUM(Q54:Q57)</f>
        <v>1</v>
      </c>
      <c r="R58" s="187" t="n">
        <f aca="false">SUM(R54:R57)</f>
        <v>1</v>
      </c>
      <c r="S58" s="215"/>
      <c r="T58" s="192"/>
      <c r="U58" s="211"/>
      <c r="V58" s="121"/>
      <c r="W58" s="121"/>
    </row>
    <row r="59" customFormat="false" ht="20.15" hidden="false" customHeight="true" outlineLevel="0" collapsed="false">
      <c r="B59" s="77"/>
      <c r="C59" s="192"/>
      <c r="D59" s="216"/>
      <c r="E59" s="216"/>
      <c r="F59" s="192"/>
      <c r="G59" s="192"/>
      <c r="H59" s="192"/>
      <c r="I59" s="192"/>
      <c r="J59" s="192"/>
      <c r="K59" s="192"/>
      <c r="L59" s="192"/>
      <c r="M59" s="192"/>
      <c r="N59" s="192"/>
      <c r="O59" s="192"/>
      <c r="P59" s="192"/>
      <c r="Q59" s="192"/>
      <c r="R59" s="192"/>
      <c r="S59" s="192"/>
      <c r="T59" s="192"/>
      <c r="U59" s="211"/>
      <c r="V59" s="121"/>
      <c r="W59" s="121"/>
    </row>
    <row r="60" customFormat="false" ht="20.15" hidden="false" customHeight="true" outlineLevel="0" collapsed="false">
      <c r="B60" s="77"/>
      <c r="D60" s="190"/>
      <c r="E60" s="190"/>
      <c r="F60" s="190"/>
      <c r="G60" s="190"/>
      <c r="H60" s="191"/>
      <c r="I60" s="190"/>
      <c r="J60" s="190"/>
      <c r="K60" s="190"/>
      <c r="L60" s="14"/>
      <c r="M60" s="14"/>
      <c r="N60" s="14"/>
      <c r="O60" s="14"/>
      <c r="P60" s="14"/>
      <c r="Q60" s="14"/>
      <c r="R60" s="14"/>
      <c r="S60" s="14"/>
      <c r="U60" s="207"/>
      <c r="V60" s="121"/>
      <c r="W60" s="121"/>
    </row>
    <row r="61" customFormat="false" ht="20.15" hidden="false" customHeight="true" outlineLevel="0" collapsed="false">
      <c r="B61" s="77"/>
      <c r="C61" s="217"/>
      <c r="D61" s="217"/>
      <c r="E61" s="218" t="str">
        <f aca="false">IF(OR(M32="-",M32= ""),H32,M32)</f>
        <v>Through the Ages: A new Story of Civilization</v>
      </c>
      <c r="F61" s="218"/>
      <c r="G61" s="218"/>
      <c r="H61" s="218"/>
      <c r="I61" s="218"/>
      <c r="J61" s="218"/>
      <c r="K61" s="218"/>
      <c r="L61" s="218"/>
      <c r="M61" s="218"/>
      <c r="N61" s="218"/>
      <c r="O61" s="219"/>
      <c r="P61" s="219"/>
      <c r="Q61" s="219"/>
      <c r="R61" s="219"/>
      <c r="S61" s="219"/>
      <c r="T61" s="217"/>
      <c r="U61" s="77"/>
    </row>
    <row r="62" customFormat="false" ht="50.15" hidden="false" customHeight="true" outlineLevel="0" collapsed="false">
      <c r="B62" s="77"/>
      <c r="C62" s="217"/>
      <c r="D62" s="219"/>
      <c r="E62" s="125" t="s">
        <v>52</v>
      </c>
      <c r="F62" s="126" t="s">
        <v>75</v>
      </c>
      <c r="G62" s="82" t="s">
        <v>76</v>
      </c>
      <c r="H62" s="81" t="s">
        <v>77</v>
      </c>
      <c r="I62" s="59" t="s">
        <v>78</v>
      </c>
      <c r="J62" s="81" t="s">
        <v>79</v>
      </c>
      <c r="K62" s="127" t="s">
        <v>80</v>
      </c>
      <c r="L62" s="81" t="s">
        <v>81</v>
      </c>
      <c r="M62" s="128" t="s">
        <v>82</v>
      </c>
      <c r="N62" s="129" t="s">
        <v>83</v>
      </c>
      <c r="O62" s="130" t="s">
        <v>84</v>
      </c>
      <c r="P62" s="131" t="s">
        <v>85</v>
      </c>
      <c r="Q62" s="131" t="s">
        <v>86</v>
      </c>
      <c r="R62" s="197" t="s">
        <v>87</v>
      </c>
      <c r="S62" s="219"/>
      <c r="T62" s="217"/>
      <c r="U62" s="77"/>
    </row>
    <row r="63" customFormat="false" ht="20.15" hidden="false" customHeight="true" outlineLevel="0" collapsed="false">
      <c r="B63" s="77"/>
      <c r="C63" s="217"/>
      <c r="D63" s="220"/>
      <c r="E63" s="86" t="s">
        <v>13</v>
      </c>
      <c r="F63" s="87" t="s">
        <v>14</v>
      </c>
      <c r="G63" s="221" t="n">
        <v>3</v>
      </c>
      <c r="H63" s="222" t="s">
        <v>66</v>
      </c>
      <c r="I63" s="221" t="n">
        <v>0</v>
      </c>
      <c r="J63" s="221" t="n">
        <v>-4</v>
      </c>
      <c r="K63" s="221" t="s">
        <v>66</v>
      </c>
      <c r="L63" s="223" t="n">
        <f aca="false">IF(J63="",0,(J63/J67)*100)</f>
        <v>-1.85185185185185</v>
      </c>
      <c r="M63" s="221" t="n">
        <v>4</v>
      </c>
      <c r="N63" s="224" t="n">
        <v>0</v>
      </c>
      <c r="O63" s="137" t="n">
        <f aca="false">IF(M63=1,1,0)</f>
        <v>0</v>
      </c>
      <c r="P63" s="138" t="n">
        <f aca="false">IF(M63=2,1,0)</f>
        <v>0</v>
      </c>
      <c r="Q63" s="138" t="n">
        <f aca="false">IF(M63=3,1,0)</f>
        <v>0</v>
      </c>
      <c r="R63" s="139" t="n">
        <f aca="false">IF(M63=4,1,0)</f>
        <v>1</v>
      </c>
      <c r="S63" s="225"/>
      <c r="T63" s="217"/>
      <c r="U63" s="77"/>
    </row>
    <row r="64" customFormat="false" ht="20.15" hidden="false" customHeight="true" outlineLevel="0" collapsed="false">
      <c r="B64" s="77"/>
      <c r="C64" s="217"/>
      <c r="D64" s="220"/>
      <c r="E64" s="226" t="s">
        <v>16</v>
      </c>
      <c r="F64" s="227" t="s">
        <v>17</v>
      </c>
      <c r="G64" s="228" t="n">
        <v>2</v>
      </c>
      <c r="H64" s="228" t="s">
        <v>66</v>
      </c>
      <c r="I64" s="228" t="n">
        <v>0</v>
      </c>
      <c r="J64" s="228" t="n">
        <v>135</v>
      </c>
      <c r="K64" s="228" t="s">
        <v>66</v>
      </c>
      <c r="L64" s="229" t="n">
        <f aca="false">IF(J64="",0,(J64/J67)*100)</f>
        <v>62.5</v>
      </c>
      <c r="M64" s="228" t="n">
        <v>3</v>
      </c>
      <c r="N64" s="230" t="n">
        <v>1</v>
      </c>
      <c r="O64" s="144" t="n">
        <f aca="false">IF(M64=1,1,0)</f>
        <v>0</v>
      </c>
      <c r="P64" s="145" t="n">
        <f aca="false">IF(M64=2,1,0)</f>
        <v>0</v>
      </c>
      <c r="Q64" s="145" t="n">
        <f aca="false">IF(M64=3,1,0)</f>
        <v>1</v>
      </c>
      <c r="R64" s="146" t="n">
        <f aca="false">IF(M64=4,1,0)</f>
        <v>0</v>
      </c>
      <c r="S64" s="225"/>
      <c r="T64" s="217"/>
      <c r="U64" s="77"/>
    </row>
    <row r="65" customFormat="false" ht="20.15" hidden="false" customHeight="true" outlineLevel="0" collapsed="false">
      <c r="B65" s="77"/>
      <c r="C65" s="217"/>
      <c r="D65" s="220"/>
      <c r="E65" s="147" t="s">
        <v>19</v>
      </c>
      <c r="F65" s="148" t="s">
        <v>20</v>
      </c>
      <c r="G65" s="149" t="n">
        <v>4</v>
      </c>
      <c r="H65" s="149" t="s">
        <v>66</v>
      </c>
      <c r="I65" s="149" t="n">
        <v>0</v>
      </c>
      <c r="J65" s="149" t="n">
        <v>216</v>
      </c>
      <c r="K65" s="149" t="s">
        <v>66</v>
      </c>
      <c r="L65" s="150" t="n">
        <f aca="false">IF(J65="",0,(J65/J67)*100)</f>
        <v>100</v>
      </c>
      <c r="M65" s="149" t="n">
        <v>1</v>
      </c>
      <c r="N65" s="151" t="n">
        <v>6</v>
      </c>
      <c r="O65" s="144" t="n">
        <f aca="false">IF(M65=1,1,0)</f>
        <v>1</v>
      </c>
      <c r="P65" s="145" t="n">
        <f aca="false">IF(M65=2,1,0)</f>
        <v>0</v>
      </c>
      <c r="Q65" s="145" t="n">
        <f aca="false">IF(M65=3,1,0)</f>
        <v>0</v>
      </c>
      <c r="R65" s="146" t="n">
        <f aca="false">IF(M65=4,1,0)</f>
        <v>0</v>
      </c>
      <c r="S65" s="225"/>
      <c r="T65" s="217"/>
      <c r="U65" s="77"/>
    </row>
    <row r="66" customFormat="false" ht="20.15" hidden="false" customHeight="true" outlineLevel="0" collapsed="false">
      <c r="B66" s="77"/>
      <c r="C66" s="217"/>
      <c r="D66" s="231"/>
      <c r="E66" s="232" t="s">
        <v>21</v>
      </c>
      <c r="F66" s="233" t="s">
        <v>22</v>
      </c>
      <c r="G66" s="234" t="n">
        <v>1</v>
      </c>
      <c r="H66" s="234" t="s">
        <v>66</v>
      </c>
      <c r="I66" s="234" t="n">
        <v>0</v>
      </c>
      <c r="J66" s="234" t="n">
        <v>176</v>
      </c>
      <c r="K66" s="234" t="s">
        <v>66</v>
      </c>
      <c r="L66" s="235" t="n">
        <f aca="false">IF(J66="",0,(J66/J67)*100)</f>
        <v>81.4814814814815</v>
      </c>
      <c r="M66" s="234" t="n">
        <v>2</v>
      </c>
      <c r="N66" s="236" t="n">
        <v>3</v>
      </c>
      <c r="O66" s="156" t="n">
        <f aca="false">IF(M66=1,1,0)</f>
        <v>0</v>
      </c>
      <c r="P66" s="157" t="n">
        <f aca="false">IF(M66=2,1,0)</f>
        <v>1</v>
      </c>
      <c r="Q66" s="157" t="n">
        <f aca="false">IF(M66=3,1,0)</f>
        <v>0</v>
      </c>
      <c r="R66" s="158" t="n">
        <f aca="false">IF(M66=4,1,0)</f>
        <v>0</v>
      </c>
      <c r="S66" s="225"/>
      <c r="T66" s="217"/>
      <c r="U66" s="77"/>
    </row>
    <row r="67" customFormat="false" ht="20.15" hidden="true" customHeight="true" outlineLevel="1" collapsed="false">
      <c r="B67" s="77"/>
      <c r="C67" s="217"/>
      <c r="D67" s="220"/>
      <c r="E67" s="220"/>
      <c r="F67" s="225"/>
      <c r="G67" s="225"/>
      <c r="H67" s="217"/>
      <c r="I67" s="185" t="s">
        <v>92</v>
      </c>
      <c r="J67" s="161" t="n">
        <f aca="false">MAX(J63:J66)</f>
        <v>216</v>
      </c>
      <c r="K67" s="237"/>
      <c r="L67" s="225"/>
      <c r="M67" s="217"/>
      <c r="N67" s="164" t="s">
        <v>93</v>
      </c>
      <c r="O67" s="165" t="n">
        <f aca="false">SUM(O63:O66)</f>
        <v>1</v>
      </c>
      <c r="P67" s="166" t="n">
        <f aca="false">SUM(P63:P66)</f>
        <v>1</v>
      </c>
      <c r="Q67" s="165" t="n">
        <f aca="false">SUM(Q63:Q66)</f>
        <v>1</v>
      </c>
      <c r="R67" s="187" t="n">
        <f aca="false">SUM(R63:R66)</f>
        <v>1</v>
      </c>
      <c r="S67" s="238"/>
      <c r="T67" s="217"/>
      <c r="U67" s="77"/>
    </row>
    <row r="68" customFormat="false" ht="20.15" hidden="false" customHeight="true" outlineLevel="0" collapsed="false">
      <c r="B68" s="77"/>
      <c r="C68" s="217"/>
      <c r="D68" s="239"/>
      <c r="E68" s="239"/>
      <c r="F68" s="217"/>
      <c r="G68" s="217"/>
      <c r="H68" s="217"/>
      <c r="I68" s="217"/>
      <c r="J68" s="217"/>
      <c r="K68" s="217"/>
      <c r="L68" s="217"/>
      <c r="M68" s="217"/>
      <c r="N68" s="217"/>
      <c r="O68" s="217"/>
      <c r="P68" s="217"/>
      <c r="Q68" s="217"/>
      <c r="R68" s="217"/>
      <c r="S68" s="217"/>
      <c r="T68" s="217"/>
      <c r="U68" s="77"/>
    </row>
    <row r="69" customFormat="false" ht="20.15" hidden="false" customHeight="true" outlineLevel="0" collapsed="false">
      <c r="B69" s="77"/>
      <c r="D69" s="5"/>
      <c r="E69" s="5"/>
      <c r="F69" s="5"/>
      <c r="G69" s="5"/>
      <c r="H69" s="5"/>
      <c r="I69" s="5"/>
      <c r="J69" s="5"/>
      <c r="K69" s="14"/>
      <c r="L69" s="14"/>
      <c r="M69" s="14"/>
      <c r="N69" s="14"/>
      <c r="O69" s="14"/>
      <c r="P69" s="14"/>
      <c r="Q69" s="14"/>
      <c r="R69" s="14"/>
      <c r="S69" s="14"/>
      <c r="U69" s="77"/>
    </row>
    <row r="70" customFormat="false" ht="30" hidden="false" customHeight="true" outlineLevel="0" collapsed="false">
      <c r="B70" s="77"/>
      <c r="C70" s="240"/>
      <c r="D70" s="241" t="s">
        <v>101</v>
      </c>
      <c r="E70" s="241"/>
      <c r="F70" s="241"/>
      <c r="G70" s="241"/>
      <c r="H70" s="241"/>
      <c r="I70" s="241"/>
      <c r="J70" s="241"/>
      <c r="K70" s="241"/>
      <c r="L70" s="241"/>
      <c r="M70" s="241"/>
      <c r="N70" s="241"/>
      <c r="O70" s="241"/>
      <c r="P70" s="241"/>
      <c r="Q70" s="241"/>
      <c r="R70" s="241"/>
      <c r="S70" s="241"/>
      <c r="T70" s="240"/>
      <c r="U70" s="77"/>
    </row>
    <row r="71" customFormat="false" ht="50.15" hidden="false" customHeight="true" outlineLevel="0" collapsed="false">
      <c r="B71" s="77"/>
      <c r="C71" s="240"/>
      <c r="D71" s="242" t="s">
        <v>52</v>
      </c>
      <c r="E71" s="243" t="s">
        <v>53</v>
      </c>
      <c r="F71" s="244" t="s">
        <v>83</v>
      </c>
      <c r="G71" s="245" t="s">
        <v>102</v>
      </c>
      <c r="H71" s="246" t="s">
        <v>103</v>
      </c>
      <c r="I71" s="246"/>
      <c r="J71" s="247" t="s">
        <v>104</v>
      </c>
      <c r="K71" s="248" t="s">
        <v>105</v>
      </c>
      <c r="L71" s="244" t="s">
        <v>106</v>
      </c>
      <c r="M71" s="248" t="s">
        <v>107</v>
      </c>
      <c r="N71" s="244" t="s">
        <v>108</v>
      </c>
      <c r="O71" s="249"/>
      <c r="P71" s="250"/>
      <c r="Q71" s="250"/>
      <c r="R71" s="250"/>
      <c r="S71" s="243" t="s">
        <v>109</v>
      </c>
      <c r="T71" s="240"/>
      <c r="U71" s="77"/>
    </row>
    <row r="72" customFormat="false" ht="20.15" hidden="false" customHeight="true" outlineLevel="0" collapsed="false">
      <c r="B72" s="77"/>
      <c r="C72" s="240"/>
      <c r="D72" s="251" t="s">
        <v>19</v>
      </c>
      <c r="E72" s="252" t="s">
        <v>20</v>
      </c>
      <c r="F72" s="253" t="n">
        <f aca="false">(K72*6+L72*3+M72*1+N72*0)</f>
        <v>16</v>
      </c>
      <c r="G72" s="253" t="n">
        <v>0</v>
      </c>
      <c r="H72" s="254" t="s">
        <v>66</v>
      </c>
      <c r="I72" s="254"/>
      <c r="J72" s="253" t="n">
        <f aca="false">F72+G72</f>
        <v>16</v>
      </c>
      <c r="K72" s="253" t="n">
        <v>2</v>
      </c>
      <c r="L72" s="253" t="n">
        <v>1</v>
      </c>
      <c r="M72" s="253" t="n">
        <v>1</v>
      </c>
      <c r="N72" s="253" t="n">
        <v>0</v>
      </c>
      <c r="O72" s="253"/>
      <c r="P72" s="253"/>
      <c r="Q72" s="253"/>
      <c r="R72" s="253"/>
      <c r="S72" s="255" t="n">
        <f aca="false">(L38+L47+L56+L65)/4</f>
        <v>96.9668264769564</v>
      </c>
      <c r="T72" s="240"/>
      <c r="U72" s="77"/>
      <c r="W72" s="256"/>
      <c r="X72" s="256"/>
      <c r="Y72" s="256"/>
      <c r="Z72" s="256"/>
    </row>
    <row r="73" customFormat="false" ht="20.15" hidden="false" customHeight="true" outlineLevel="0" collapsed="false">
      <c r="B73" s="77"/>
      <c r="C73" s="240"/>
      <c r="D73" s="257" t="s">
        <v>13</v>
      </c>
      <c r="E73" s="258" t="s">
        <v>14</v>
      </c>
      <c r="F73" s="259" t="n">
        <f aca="false">(K73*6+L73*3+M73*1+N73*0)</f>
        <v>9</v>
      </c>
      <c r="G73" s="259" t="n">
        <v>0</v>
      </c>
      <c r="H73" s="260" t="s">
        <v>66</v>
      </c>
      <c r="I73" s="260"/>
      <c r="J73" s="259" t="n">
        <f aca="false">F73+G73</f>
        <v>9</v>
      </c>
      <c r="K73" s="259" t="n">
        <v>1</v>
      </c>
      <c r="L73" s="259" t="n">
        <v>1</v>
      </c>
      <c r="M73" s="259" t="n">
        <v>0</v>
      </c>
      <c r="N73" s="259" t="n">
        <v>2</v>
      </c>
      <c r="O73" s="259"/>
      <c r="P73" s="259"/>
      <c r="Q73" s="259"/>
      <c r="R73" s="259"/>
      <c r="S73" s="261" t="n">
        <f aca="false">(L36+L45+L54+L63)/4</f>
        <v>69.5031337351502</v>
      </c>
      <c r="T73" s="240"/>
      <c r="U73" s="77"/>
      <c r="W73" s="262"/>
      <c r="X73" s="262"/>
      <c r="Y73" s="262"/>
      <c r="Z73" s="262"/>
    </row>
    <row r="74" customFormat="false" ht="20.15" hidden="false" customHeight="true" outlineLevel="0" collapsed="false">
      <c r="B74" s="77"/>
      <c r="C74" s="240"/>
      <c r="D74" s="263" t="s">
        <v>16</v>
      </c>
      <c r="E74" s="264" t="s">
        <v>17</v>
      </c>
      <c r="F74" s="259" t="n">
        <f aca="false">(K74*6+L74*3+M74*1+N74*0)</f>
        <v>8</v>
      </c>
      <c r="G74" s="259" t="n">
        <v>0</v>
      </c>
      <c r="H74" s="260" t="s">
        <v>66</v>
      </c>
      <c r="I74" s="260"/>
      <c r="J74" s="259" t="n">
        <f aca="false">F74+G74</f>
        <v>8</v>
      </c>
      <c r="K74" s="259" t="n">
        <v>1</v>
      </c>
      <c r="L74" s="259" t="n">
        <v>0</v>
      </c>
      <c r="M74" s="259" t="n">
        <v>2</v>
      </c>
      <c r="N74" s="259" t="n">
        <v>1</v>
      </c>
      <c r="O74" s="259"/>
      <c r="P74" s="259"/>
      <c r="Q74" s="259"/>
      <c r="R74" s="259"/>
      <c r="S74" s="261" t="n">
        <f aca="false">(L37+L46+L55+L64)/4</f>
        <v>81.7388148907104</v>
      </c>
      <c r="T74" s="240"/>
      <c r="U74" s="77"/>
      <c r="W74" s="262"/>
      <c r="X74" s="262"/>
      <c r="Y74" s="262"/>
      <c r="Z74" s="262"/>
    </row>
    <row r="75" customFormat="false" ht="20.15" hidden="false" customHeight="true" outlineLevel="0" collapsed="false">
      <c r="B75" s="77"/>
      <c r="C75" s="240"/>
      <c r="D75" s="265" t="s">
        <v>21</v>
      </c>
      <c r="E75" s="266" t="s">
        <v>22</v>
      </c>
      <c r="F75" s="267" t="n">
        <f aca="false">(K75*6+L75*3+M75*1+N75*0)</f>
        <v>7</v>
      </c>
      <c r="G75" s="267" t="n">
        <v>0</v>
      </c>
      <c r="H75" s="268" t="s">
        <v>66</v>
      </c>
      <c r="I75" s="268"/>
      <c r="J75" s="267" t="n">
        <f aca="false">F75+G75</f>
        <v>7</v>
      </c>
      <c r="K75" s="267" t="n">
        <v>0</v>
      </c>
      <c r="L75" s="267" t="n">
        <v>2</v>
      </c>
      <c r="M75" s="267" t="n">
        <v>1</v>
      </c>
      <c r="N75" s="267" t="n">
        <v>1</v>
      </c>
      <c r="O75" s="267"/>
      <c r="P75" s="267"/>
      <c r="Q75" s="267"/>
      <c r="R75" s="267"/>
      <c r="S75" s="269" t="n">
        <f aca="false">(L39+L48+L57+L66)/4</f>
        <v>83.9142521494198</v>
      </c>
      <c r="T75" s="240"/>
      <c r="U75" s="77"/>
      <c r="W75" s="262"/>
      <c r="X75" s="262"/>
      <c r="Y75" s="262"/>
      <c r="Z75" s="262"/>
      <c r="AB75" s="262"/>
      <c r="AC75" s="262"/>
      <c r="AD75" s="262"/>
      <c r="AE75" s="262"/>
    </row>
    <row r="76" customFormat="false" ht="20.15" hidden="false" customHeight="true" outlineLevel="0" collapsed="false">
      <c r="B76" s="77"/>
      <c r="C76" s="240"/>
      <c r="D76" s="240"/>
      <c r="E76" s="240"/>
      <c r="F76" s="240"/>
      <c r="G76" s="240"/>
      <c r="H76" s="240"/>
      <c r="I76" s="240"/>
      <c r="J76" s="240"/>
      <c r="K76" s="240"/>
      <c r="L76" s="240"/>
      <c r="M76" s="240"/>
      <c r="N76" s="240"/>
      <c r="O76" s="240"/>
      <c r="P76" s="240"/>
      <c r="Q76" s="240"/>
      <c r="R76" s="240"/>
      <c r="S76" s="240"/>
      <c r="T76" s="240"/>
      <c r="U76" s="77"/>
      <c r="W76" s="262"/>
      <c r="X76" s="262"/>
      <c r="Y76" s="262"/>
      <c r="Z76" s="262"/>
    </row>
    <row r="77" customFormat="false" ht="20.15" hidden="false" customHeight="true" outlineLevel="0" collapsed="false">
      <c r="B77" s="77"/>
      <c r="C77" s="77"/>
      <c r="D77" s="270"/>
      <c r="E77" s="270"/>
      <c r="F77" s="195"/>
      <c r="G77" s="195"/>
      <c r="H77" s="270"/>
      <c r="I77" s="270"/>
      <c r="J77" s="270"/>
      <c r="K77" s="207"/>
      <c r="L77" s="207"/>
      <c r="M77" s="207"/>
      <c r="N77" s="207"/>
      <c r="O77" s="207"/>
      <c r="P77" s="207"/>
      <c r="Q77" s="207"/>
      <c r="R77" s="207"/>
      <c r="S77" s="207"/>
      <c r="T77" s="77"/>
      <c r="U77" s="77"/>
    </row>
    <row r="78" customFormat="false" ht="20.15" hidden="false" customHeight="true" outlineLevel="0" collapsed="false">
      <c r="C78" s="271"/>
      <c r="D78" s="272"/>
      <c r="O78" s="14"/>
      <c r="P78" s="14"/>
      <c r="Q78" s="14"/>
      <c r="R78" s="14"/>
      <c r="S78" s="14"/>
      <c r="U78" s="271"/>
    </row>
    <row r="79" customFormat="false" ht="20.15" hidden="false" customHeight="true" outlineLevel="0" collapsed="false">
      <c r="D79" s="273"/>
      <c r="O79" s="14"/>
      <c r="P79" s="14"/>
      <c r="Q79" s="14"/>
      <c r="R79" s="14"/>
      <c r="S79" s="14"/>
    </row>
    <row r="80" customFormat="false" ht="20.15" hidden="false" customHeight="true" outlineLevel="0" collapsed="false">
      <c r="B80" s="77"/>
      <c r="C80" s="77"/>
      <c r="D80" s="78"/>
      <c r="E80" s="78"/>
      <c r="F80" s="78"/>
      <c r="G80" s="78"/>
      <c r="H80" s="77"/>
      <c r="I80" s="77"/>
      <c r="J80" s="77"/>
      <c r="K80" s="77"/>
      <c r="L80" s="77"/>
      <c r="M80" s="77"/>
      <c r="N80" s="77"/>
      <c r="O80" s="77"/>
      <c r="P80" s="77"/>
      <c r="Q80" s="77"/>
      <c r="R80" s="77"/>
      <c r="S80" s="77"/>
      <c r="T80" s="77"/>
      <c r="U80" s="77"/>
    </row>
    <row r="81" customFormat="false" ht="30" hidden="false" customHeight="true" outlineLevel="0" collapsed="false">
      <c r="B81" s="77"/>
      <c r="C81" s="79" t="s">
        <v>110</v>
      </c>
      <c r="D81" s="79"/>
      <c r="E81" s="79"/>
      <c r="F81" s="79"/>
      <c r="G81" s="79"/>
      <c r="H81" s="79"/>
      <c r="I81" s="79"/>
      <c r="J81" s="79"/>
      <c r="K81" s="79"/>
      <c r="L81" s="79"/>
      <c r="M81" s="79"/>
      <c r="N81" s="79"/>
      <c r="O81" s="79"/>
      <c r="P81" s="79"/>
      <c r="Q81" s="79"/>
      <c r="R81" s="79"/>
      <c r="S81" s="79"/>
      <c r="T81" s="79"/>
      <c r="U81" s="77"/>
    </row>
    <row r="82" customFormat="false" ht="20.15" hidden="false" customHeight="true" outlineLevel="0" collapsed="false">
      <c r="B82" s="77"/>
      <c r="D82" s="121"/>
      <c r="E82" s="121"/>
      <c r="U82" s="77"/>
    </row>
    <row r="83" customFormat="false" ht="20.15" hidden="false" customHeight="true" outlineLevel="0" collapsed="false">
      <c r="B83" s="77"/>
      <c r="D83" s="274" t="s">
        <v>52</v>
      </c>
      <c r="E83" s="83" t="s">
        <v>111</v>
      </c>
      <c r="F83" s="82" t="s">
        <v>12</v>
      </c>
      <c r="G83" s="275" t="s">
        <v>54</v>
      </c>
      <c r="H83" s="275"/>
      <c r="I83" s="275"/>
      <c r="J83" s="275"/>
      <c r="K83" s="81" t="s">
        <v>55</v>
      </c>
      <c r="L83" s="83" t="s">
        <v>56</v>
      </c>
      <c r="M83" s="83"/>
      <c r="N83" s="83"/>
      <c r="O83" s="83"/>
      <c r="P83" s="83"/>
      <c r="Q83" s="83"/>
      <c r="R83" s="83"/>
      <c r="S83" s="83"/>
      <c r="U83" s="77"/>
    </row>
    <row r="84" customFormat="false" ht="20.15" hidden="false" customHeight="true" outlineLevel="0" collapsed="false">
      <c r="B84" s="77"/>
      <c r="D84" s="274"/>
      <c r="E84" s="83"/>
      <c r="F84" s="82"/>
      <c r="G84" s="85" t="s">
        <v>57</v>
      </c>
      <c r="H84" s="84" t="s">
        <v>58</v>
      </c>
      <c r="I84" s="82" t="s">
        <v>59</v>
      </c>
      <c r="J84" s="82"/>
      <c r="K84" s="84" t="s">
        <v>60</v>
      </c>
      <c r="L84" s="276" t="s">
        <v>57</v>
      </c>
      <c r="M84" s="277" t="s">
        <v>61</v>
      </c>
      <c r="N84" s="278" t="s">
        <v>59</v>
      </c>
      <c r="O84" s="278"/>
      <c r="P84" s="278"/>
      <c r="Q84" s="278"/>
      <c r="R84" s="278"/>
      <c r="S84" s="278"/>
      <c r="U84" s="77"/>
    </row>
    <row r="85" customFormat="false" ht="50.15" hidden="false" customHeight="true" outlineLevel="0" collapsed="false">
      <c r="B85" s="77"/>
      <c r="D85" s="86" t="s">
        <v>23</v>
      </c>
      <c r="E85" s="87" t="s">
        <v>24</v>
      </c>
      <c r="F85" s="279" t="n">
        <v>1</v>
      </c>
      <c r="G85" s="280" t="s">
        <v>67</v>
      </c>
      <c r="H85" s="281" t="s">
        <v>112</v>
      </c>
      <c r="I85" s="282" t="s">
        <v>113</v>
      </c>
      <c r="J85" s="282"/>
      <c r="K85" s="283" t="s">
        <v>63</v>
      </c>
      <c r="L85" s="284" t="s">
        <v>66</v>
      </c>
      <c r="M85" s="94" t="s">
        <v>66</v>
      </c>
      <c r="N85" s="95" t="s">
        <v>66</v>
      </c>
      <c r="O85" s="95"/>
      <c r="P85" s="95"/>
      <c r="Q85" s="95"/>
      <c r="R85" s="95"/>
      <c r="S85" s="95"/>
      <c r="U85" s="77"/>
    </row>
    <row r="86" customFormat="false" ht="80.15" hidden="false" customHeight="true" outlineLevel="0" collapsed="false">
      <c r="B86" s="77"/>
      <c r="D86" s="46" t="s">
        <v>25</v>
      </c>
      <c r="E86" s="96" t="s">
        <v>26</v>
      </c>
      <c r="F86" s="285" t="n">
        <v>2</v>
      </c>
      <c r="G86" s="286" t="s">
        <v>71</v>
      </c>
      <c r="H86" s="99" t="s">
        <v>114</v>
      </c>
      <c r="I86" s="287" t="s">
        <v>115</v>
      </c>
      <c r="J86" s="287"/>
      <c r="K86" s="288" t="s">
        <v>65</v>
      </c>
      <c r="L86" s="289" t="s">
        <v>66</v>
      </c>
      <c r="M86" s="103" t="s">
        <v>66</v>
      </c>
      <c r="N86" s="104" t="s">
        <v>66</v>
      </c>
      <c r="O86" s="104"/>
      <c r="P86" s="104"/>
      <c r="Q86" s="104"/>
      <c r="R86" s="104"/>
      <c r="S86" s="104"/>
      <c r="U86" s="77"/>
    </row>
    <row r="87" customFormat="false" ht="80.15" hidden="false" customHeight="true" outlineLevel="0" collapsed="false">
      <c r="B87" s="77"/>
      <c r="D87" s="105" t="s">
        <v>27</v>
      </c>
      <c r="E87" s="290" t="s">
        <v>28</v>
      </c>
      <c r="F87" s="285" t="n">
        <v>3</v>
      </c>
      <c r="G87" s="291" t="s">
        <v>62</v>
      </c>
      <c r="H87" s="292" t="s">
        <v>63</v>
      </c>
      <c r="I87" s="293" t="s">
        <v>116</v>
      </c>
      <c r="J87" s="293"/>
      <c r="K87" s="294" t="s">
        <v>112</v>
      </c>
      <c r="L87" s="289" t="s">
        <v>66</v>
      </c>
      <c r="M87" s="103" t="s">
        <v>66</v>
      </c>
      <c r="N87" s="104" t="s">
        <v>66</v>
      </c>
      <c r="O87" s="104"/>
      <c r="P87" s="104"/>
      <c r="Q87" s="104"/>
      <c r="R87" s="104"/>
      <c r="S87" s="104"/>
      <c r="U87" s="77"/>
    </row>
    <row r="88" customFormat="false" ht="125.15" hidden="false" customHeight="true" outlineLevel="0" collapsed="false">
      <c r="B88" s="77"/>
      <c r="D88" s="295" t="s">
        <v>30</v>
      </c>
      <c r="E88" s="113" t="s">
        <v>31</v>
      </c>
      <c r="F88" s="296" t="n">
        <v>4</v>
      </c>
      <c r="G88" s="297" t="s">
        <v>67</v>
      </c>
      <c r="H88" s="298" t="s">
        <v>68</v>
      </c>
      <c r="I88" s="299" t="s">
        <v>69</v>
      </c>
      <c r="J88" s="299"/>
      <c r="K88" s="300" t="s">
        <v>65</v>
      </c>
      <c r="L88" s="301" t="s">
        <v>66</v>
      </c>
      <c r="M88" s="302" t="s">
        <v>66</v>
      </c>
      <c r="N88" s="303" t="s">
        <v>66</v>
      </c>
      <c r="O88" s="303"/>
      <c r="P88" s="303"/>
      <c r="Q88" s="303"/>
      <c r="R88" s="303"/>
      <c r="S88" s="303"/>
      <c r="U88" s="77"/>
    </row>
    <row r="89" customFormat="false" ht="20.15" hidden="false" customHeight="true" outlineLevel="0" collapsed="false">
      <c r="B89" s="77"/>
      <c r="D89" s="121"/>
      <c r="E89" s="121"/>
      <c r="U89" s="77"/>
    </row>
    <row r="90" customFormat="false" ht="20.15" hidden="false" customHeight="true" outlineLevel="0" collapsed="false">
      <c r="B90" s="77"/>
      <c r="C90" s="122"/>
      <c r="D90" s="122"/>
      <c r="E90" s="123" t="str">
        <f aca="false">IF(OR(L85="-",L85= ""),H85,L85)</f>
        <v>Marco Polo II - Im Auftrag des Khan</v>
      </c>
      <c r="F90" s="123"/>
      <c r="G90" s="123"/>
      <c r="H90" s="123"/>
      <c r="I90" s="123"/>
      <c r="J90" s="123"/>
      <c r="K90" s="123"/>
      <c r="L90" s="123"/>
      <c r="M90" s="123"/>
      <c r="N90" s="123"/>
      <c r="O90" s="124"/>
      <c r="P90" s="124"/>
      <c r="Q90" s="124"/>
      <c r="R90" s="124"/>
      <c r="S90" s="124"/>
      <c r="T90" s="122"/>
      <c r="U90" s="77"/>
    </row>
    <row r="91" customFormat="false" ht="50.15" hidden="false" customHeight="true" outlineLevel="0" collapsed="false">
      <c r="B91" s="77"/>
      <c r="C91" s="122"/>
      <c r="D91" s="124"/>
      <c r="E91" s="125" t="s">
        <v>52</v>
      </c>
      <c r="F91" s="126" t="s">
        <v>75</v>
      </c>
      <c r="G91" s="82" t="s">
        <v>76</v>
      </c>
      <c r="H91" s="81" t="s">
        <v>77</v>
      </c>
      <c r="I91" s="59" t="s">
        <v>78</v>
      </c>
      <c r="J91" s="81" t="s">
        <v>79</v>
      </c>
      <c r="K91" s="127" t="s">
        <v>80</v>
      </c>
      <c r="L91" s="81" t="s">
        <v>81</v>
      </c>
      <c r="M91" s="128" t="s">
        <v>82</v>
      </c>
      <c r="N91" s="129" t="s">
        <v>83</v>
      </c>
      <c r="O91" s="130" t="s">
        <v>84</v>
      </c>
      <c r="P91" s="131" t="s">
        <v>85</v>
      </c>
      <c r="Q91" s="131" t="s">
        <v>86</v>
      </c>
      <c r="R91" s="197" t="s">
        <v>87</v>
      </c>
      <c r="S91" s="124"/>
      <c r="T91" s="122"/>
      <c r="U91" s="77"/>
    </row>
    <row r="92" customFormat="false" ht="20.15" hidden="false" customHeight="true" outlineLevel="0" collapsed="false">
      <c r="B92" s="77"/>
      <c r="C92" s="122"/>
      <c r="D92" s="152"/>
      <c r="E92" s="86" t="s">
        <v>23</v>
      </c>
      <c r="F92" s="87" t="s">
        <v>24</v>
      </c>
      <c r="G92" s="304" t="n">
        <v>1</v>
      </c>
      <c r="H92" s="221" t="s">
        <v>117</v>
      </c>
      <c r="I92" s="221" t="n">
        <v>0</v>
      </c>
      <c r="J92" s="221" t="n">
        <v>135</v>
      </c>
      <c r="K92" s="221" t="s">
        <v>66</v>
      </c>
      <c r="L92" s="223" t="n">
        <f aca="false">IF(J92="",0,(J92/J96)*100)</f>
        <v>88.2352941176471</v>
      </c>
      <c r="M92" s="221" t="n">
        <v>3</v>
      </c>
      <c r="N92" s="224" t="n">
        <v>1</v>
      </c>
      <c r="O92" s="137" t="n">
        <f aca="false">IF(M92=1,1,0)</f>
        <v>0</v>
      </c>
      <c r="P92" s="138" t="n">
        <f aca="false">IF(M92=2,1,0)</f>
        <v>0</v>
      </c>
      <c r="Q92" s="138" t="n">
        <f aca="false">IF(M92=3,1,0)</f>
        <v>1</v>
      </c>
      <c r="R92" s="139" t="n">
        <f aca="false">IF(M92=4,1,0)</f>
        <v>0</v>
      </c>
      <c r="S92" s="140"/>
      <c r="T92" s="122"/>
      <c r="U92" s="77"/>
    </row>
    <row r="93" customFormat="false" ht="20.15" hidden="false" customHeight="true" outlineLevel="0" collapsed="false">
      <c r="B93" s="77"/>
      <c r="C93" s="122"/>
      <c r="D93" s="132"/>
      <c r="E93" s="178" t="s">
        <v>25</v>
      </c>
      <c r="F93" s="148" t="s">
        <v>26</v>
      </c>
      <c r="G93" s="305" t="n">
        <v>3</v>
      </c>
      <c r="H93" s="149" t="s">
        <v>118</v>
      </c>
      <c r="I93" s="149" t="n">
        <v>0</v>
      </c>
      <c r="J93" s="149" t="n">
        <v>153</v>
      </c>
      <c r="K93" s="179" t="s">
        <v>66</v>
      </c>
      <c r="L93" s="150" t="n">
        <f aca="false">IF(J93="",0,(J93/J96)*100)</f>
        <v>100</v>
      </c>
      <c r="M93" s="149" t="n">
        <v>1</v>
      </c>
      <c r="N93" s="151" t="n">
        <v>6</v>
      </c>
      <c r="O93" s="144" t="n">
        <f aca="false">IF(M93=1,1,0)</f>
        <v>1</v>
      </c>
      <c r="P93" s="145" t="n">
        <f aca="false">IF(M93=2,1,0)</f>
        <v>0</v>
      </c>
      <c r="Q93" s="145" t="n">
        <f aca="false">IF(M93=3,1,0)</f>
        <v>0</v>
      </c>
      <c r="R93" s="146" t="n">
        <f aca="false">IF(M93=4,1,0)</f>
        <v>0</v>
      </c>
      <c r="S93" s="140"/>
      <c r="T93" s="122"/>
      <c r="U93" s="77"/>
    </row>
    <row r="94" customFormat="false" ht="20.15" hidden="false" customHeight="true" outlineLevel="0" collapsed="false">
      <c r="B94" s="77"/>
      <c r="C94" s="122"/>
      <c r="D94" s="132"/>
      <c r="E94" s="105" t="s">
        <v>27</v>
      </c>
      <c r="F94" s="290" t="s">
        <v>29</v>
      </c>
      <c r="G94" s="306" t="n">
        <v>2</v>
      </c>
      <c r="H94" s="228" t="s">
        <v>119</v>
      </c>
      <c r="I94" s="228" t="n">
        <v>0</v>
      </c>
      <c r="J94" s="228" t="n">
        <v>139</v>
      </c>
      <c r="K94" s="228" t="s">
        <v>66</v>
      </c>
      <c r="L94" s="229" t="n">
        <f aca="false">IF(J94="",0,(J94/J96)*100)</f>
        <v>90.8496732026144</v>
      </c>
      <c r="M94" s="228" t="n">
        <v>2</v>
      </c>
      <c r="N94" s="230" t="n">
        <v>3</v>
      </c>
      <c r="O94" s="144" t="n">
        <f aca="false">IF(M94=1,1,0)</f>
        <v>0</v>
      </c>
      <c r="P94" s="145" t="n">
        <f aca="false">IF(M94=2,1,0)</f>
        <v>1</v>
      </c>
      <c r="Q94" s="145" t="n">
        <f aca="false">IF(M94=3,1,0)</f>
        <v>0</v>
      </c>
      <c r="R94" s="146" t="n">
        <f aca="false">IF(M94=4,1,0)</f>
        <v>0</v>
      </c>
      <c r="S94" s="140"/>
      <c r="T94" s="122"/>
      <c r="U94" s="77"/>
    </row>
    <row r="95" customFormat="false" ht="35.15" hidden="false" customHeight="true" outlineLevel="0" collapsed="false">
      <c r="B95" s="77"/>
      <c r="C95" s="122"/>
      <c r="D95" s="132"/>
      <c r="E95" s="295" t="s">
        <v>30</v>
      </c>
      <c r="F95" s="233" t="s">
        <v>32</v>
      </c>
      <c r="G95" s="307" t="n">
        <v>4</v>
      </c>
      <c r="H95" s="308" t="s">
        <v>120</v>
      </c>
      <c r="I95" s="234" t="n">
        <v>0</v>
      </c>
      <c r="J95" s="234" t="n">
        <v>116</v>
      </c>
      <c r="K95" s="308" t="s">
        <v>66</v>
      </c>
      <c r="L95" s="235" t="n">
        <f aca="false">IF(J95="",0,(J95/J96)*100)</f>
        <v>75.8169934640523</v>
      </c>
      <c r="M95" s="234" t="n">
        <v>4</v>
      </c>
      <c r="N95" s="236" t="n">
        <v>0</v>
      </c>
      <c r="O95" s="156" t="n">
        <f aca="false">IF(M95=1,1,0)</f>
        <v>0</v>
      </c>
      <c r="P95" s="157" t="n">
        <f aca="false">IF(M95=2,1,0)</f>
        <v>0</v>
      </c>
      <c r="Q95" s="157" t="n">
        <f aca="false">IF(M95=3,1,0)</f>
        <v>0</v>
      </c>
      <c r="R95" s="158" t="n">
        <f aca="false">IF(M95=4,1,0)</f>
        <v>1</v>
      </c>
      <c r="S95" s="140"/>
      <c r="T95" s="122"/>
      <c r="U95" s="77"/>
    </row>
    <row r="96" customFormat="false" ht="20.15" hidden="true" customHeight="true" outlineLevel="1" collapsed="false">
      <c r="B96" s="77"/>
      <c r="C96" s="122"/>
      <c r="D96" s="152"/>
      <c r="E96" s="152"/>
      <c r="F96" s="140"/>
      <c r="G96" s="140"/>
      <c r="H96" s="122"/>
      <c r="I96" s="213" t="s">
        <v>92</v>
      </c>
      <c r="J96" s="161" t="n">
        <f aca="false">MAX(J92:J95)</f>
        <v>153</v>
      </c>
      <c r="K96" s="309"/>
      <c r="L96" s="167"/>
      <c r="M96" s="122"/>
      <c r="N96" s="164" t="s">
        <v>93</v>
      </c>
      <c r="O96" s="165" t="n">
        <f aca="false">SUM(O92:O95)</f>
        <v>1</v>
      </c>
      <c r="P96" s="166" t="n">
        <f aca="false">SUM(P92:P95)</f>
        <v>1</v>
      </c>
      <c r="Q96" s="165" t="n">
        <f aca="false">SUM(Q92:Q95)</f>
        <v>1</v>
      </c>
      <c r="R96" s="187" t="n">
        <f aca="false">SUM(R92:R95)</f>
        <v>1</v>
      </c>
      <c r="S96" s="167"/>
      <c r="T96" s="122"/>
      <c r="U96" s="77"/>
    </row>
    <row r="97" customFormat="false" ht="20.15" hidden="false" customHeight="true" outlineLevel="0" collapsed="false">
      <c r="B97" s="77"/>
      <c r="C97" s="122"/>
      <c r="D97" s="168"/>
      <c r="E97" s="168"/>
      <c r="F97" s="122"/>
      <c r="G97" s="122"/>
      <c r="H97" s="122"/>
      <c r="I97" s="122"/>
      <c r="J97" s="122"/>
      <c r="K97" s="122"/>
      <c r="L97" s="122"/>
      <c r="M97" s="122"/>
      <c r="N97" s="122"/>
      <c r="O97" s="122"/>
      <c r="P97" s="122"/>
      <c r="Q97" s="122"/>
      <c r="R97" s="122"/>
      <c r="S97" s="122"/>
      <c r="T97" s="122"/>
      <c r="U97" s="77"/>
    </row>
    <row r="98" customFormat="false" ht="20.15" hidden="false" customHeight="true" outlineLevel="0" collapsed="false">
      <c r="B98" s="77"/>
      <c r="U98" s="77"/>
    </row>
    <row r="99" customFormat="false" ht="20.15" hidden="false" customHeight="true" outlineLevel="0" collapsed="false">
      <c r="B99" s="77"/>
      <c r="C99" s="170"/>
      <c r="D99" s="170"/>
      <c r="E99" s="171" t="str">
        <f aca="false">IF(OR(L86="-",L86= ""),H86,L86)</f>
        <v>Orakel von Delphi</v>
      </c>
      <c r="F99" s="171"/>
      <c r="G99" s="171"/>
      <c r="H99" s="171"/>
      <c r="I99" s="171"/>
      <c r="J99" s="171"/>
      <c r="K99" s="171"/>
      <c r="L99" s="171"/>
      <c r="M99" s="171"/>
      <c r="N99" s="171"/>
      <c r="O99" s="172"/>
      <c r="P99" s="172"/>
      <c r="Q99" s="172"/>
      <c r="R99" s="172"/>
      <c r="S99" s="172"/>
      <c r="T99" s="170"/>
      <c r="U99" s="77"/>
    </row>
    <row r="100" customFormat="false" ht="50.15" hidden="false" customHeight="true" outlineLevel="0" collapsed="false">
      <c r="B100" s="77"/>
      <c r="C100" s="170"/>
      <c r="D100" s="172"/>
      <c r="E100" s="125" t="s">
        <v>52</v>
      </c>
      <c r="F100" s="126" t="s">
        <v>75</v>
      </c>
      <c r="G100" s="82" t="s">
        <v>76</v>
      </c>
      <c r="H100" s="81" t="s">
        <v>77</v>
      </c>
      <c r="I100" s="59" t="s">
        <v>78</v>
      </c>
      <c r="J100" s="81" t="s">
        <v>79</v>
      </c>
      <c r="K100" s="127" t="s">
        <v>80</v>
      </c>
      <c r="L100" s="81" t="s">
        <v>81</v>
      </c>
      <c r="M100" s="128" t="s">
        <v>82</v>
      </c>
      <c r="N100" s="129" t="s">
        <v>83</v>
      </c>
      <c r="O100" s="130" t="s">
        <v>84</v>
      </c>
      <c r="P100" s="131" t="s">
        <v>85</v>
      </c>
      <c r="Q100" s="131" t="s">
        <v>86</v>
      </c>
      <c r="R100" s="197" t="s">
        <v>87</v>
      </c>
      <c r="S100" s="172"/>
      <c r="T100" s="170"/>
      <c r="U100" s="77"/>
    </row>
    <row r="101" customFormat="false" ht="125.15" hidden="false" customHeight="true" outlineLevel="0" collapsed="false">
      <c r="B101" s="77"/>
      <c r="C101" s="170"/>
      <c r="D101" s="177"/>
      <c r="E101" s="174" t="s">
        <v>23</v>
      </c>
      <c r="F101" s="175" t="s">
        <v>24</v>
      </c>
      <c r="G101" s="310" t="n">
        <v>1</v>
      </c>
      <c r="H101" s="134" t="s">
        <v>121</v>
      </c>
      <c r="I101" s="133" t="s">
        <v>66</v>
      </c>
      <c r="J101" s="134" t="s">
        <v>122</v>
      </c>
      <c r="K101" s="311" t="s">
        <v>123</v>
      </c>
      <c r="L101" s="135" t="n">
        <f aca="false">(L92+L111+L120)/3</f>
        <v>85.6568155352029</v>
      </c>
      <c r="M101" s="133" t="n">
        <v>3</v>
      </c>
      <c r="N101" s="136" t="n">
        <v>1</v>
      </c>
      <c r="O101" s="137" t="n">
        <f aca="false">IF(M101=1,1,0)</f>
        <v>0</v>
      </c>
      <c r="P101" s="138" t="n">
        <f aca="false">IF(M101=2,1,0)</f>
        <v>0</v>
      </c>
      <c r="Q101" s="138" t="n">
        <f aca="false">IF(M101=3,1,0)</f>
        <v>1</v>
      </c>
      <c r="R101" s="139" t="n">
        <f aca="false">IF(M101=4,1,0)</f>
        <v>0</v>
      </c>
      <c r="S101" s="176"/>
      <c r="T101" s="170"/>
      <c r="U101" s="77"/>
    </row>
    <row r="102" customFormat="false" ht="80.15" hidden="false" customHeight="true" outlineLevel="0" collapsed="false">
      <c r="B102" s="77"/>
      <c r="C102" s="170"/>
      <c r="D102" s="173"/>
      <c r="E102" s="178" t="s">
        <v>25</v>
      </c>
      <c r="F102" s="148" t="s">
        <v>26</v>
      </c>
      <c r="G102" s="305" t="n">
        <v>2</v>
      </c>
      <c r="H102" s="179" t="s">
        <v>124</v>
      </c>
      <c r="I102" s="149" t="s">
        <v>66</v>
      </c>
      <c r="J102" s="179" t="s">
        <v>125</v>
      </c>
      <c r="K102" s="179" t="s">
        <v>126</v>
      </c>
      <c r="L102" s="150" t="n">
        <v>100</v>
      </c>
      <c r="M102" s="149" t="n">
        <v>1</v>
      </c>
      <c r="N102" s="151" t="n">
        <v>6</v>
      </c>
      <c r="O102" s="144" t="n">
        <f aca="false">IF(M102=1,1,0)</f>
        <v>1</v>
      </c>
      <c r="P102" s="145" t="n">
        <f aca="false">IF(M102=2,1,0)</f>
        <v>0</v>
      </c>
      <c r="Q102" s="145" t="n">
        <f aca="false">IF(M102=3,1,0)</f>
        <v>0</v>
      </c>
      <c r="R102" s="146" t="n">
        <f aca="false">IF(M102=4,1,0)</f>
        <v>0</v>
      </c>
      <c r="S102" s="176"/>
      <c r="T102" s="170"/>
      <c r="U102" s="77"/>
    </row>
    <row r="103" customFormat="false" ht="185.15" hidden="false" customHeight="true" outlineLevel="0" collapsed="false">
      <c r="B103" s="77"/>
      <c r="C103" s="170"/>
      <c r="D103" s="177"/>
      <c r="E103" s="180" t="s">
        <v>27</v>
      </c>
      <c r="F103" s="312" t="s">
        <v>28</v>
      </c>
      <c r="G103" s="313" t="n">
        <v>4</v>
      </c>
      <c r="H103" s="181" t="s">
        <v>127</v>
      </c>
      <c r="I103" s="141" t="s">
        <v>66</v>
      </c>
      <c r="J103" s="181" t="s">
        <v>125</v>
      </c>
      <c r="K103" s="314" t="s">
        <v>128</v>
      </c>
      <c r="L103" s="142" t="n">
        <f aca="false">(L94+L112+L121)/3</f>
        <v>95.0611805271422</v>
      </c>
      <c r="M103" s="141" t="n">
        <v>2</v>
      </c>
      <c r="N103" s="143" t="n">
        <v>3</v>
      </c>
      <c r="O103" s="144" t="n">
        <f aca="false">IF(M103=1,1,0)</f>
        <v>0</v>
      </c>
      <c r="P103" s="145" t="n">
        <f aca="false">IF(M103=2,1,0)</f>
        <v>1</v>
      </c>
      <c r="Q103" s="145" t="n">
        <f aca="false">IF(M103=3,1,0)</f>
        <v>0</v>
      </c>
      <c r="R103" s="146" t="n">
        <f aca="false">IF(M103=4,1,0)</f>
        <v>0</v>
      </c>
      <c r="S103" s="176"/>
      <c r="T103" s="170"/>
      <c r="U103" s="77"/>
    </row>
    <row r="104" customFormat="false" ht="110.15" hidden="false" customHeight="true" outlineLevel="0" collapsed="false">
      <c r="B104" s="77"/>
      <c r="C104" s="170"/>
      <c r="D104" s="173"/>
      <c r="E104" s="315" t="s">
        <v>30</v>
      </c>
      <c r="F104" s="113" t="s">
        <v>31</v>
      </c>
      <c r="G104" s="316" t="n">
        <v>3</v>
      </c>
      <c r="H104" s="183" t="s">
        <v>129</v>
      </c>
      <c r="I104" s="153" t="s">
        <v>66</v>
      </c>
      <c r="J104" s="183" t="s">
        <v>122</v>
      </c>
      <c r="K104" s="183" t="s">
        <v>130</v>
      </c>
      <c r="L104" s="184" t="n">
        <f aca="false">(L95+L110+L122)/3</f>
        <v>72.2739362911207</v>
      </c>
      <c r="M104" s="153" t="n">
        <v>4</v>
      </c>
      <c r="N104" s="155" t="n">
        <v>0</v>
      </c>
      <c r="O104" s="156" t="n">
        <f aca="false">IF(M104=1,1,0)</f>
        <v>0</v>
      </c>
      <c r="P104" s="157" t="n">
        <f aca="false">IF(M104=2,1,0)</f>
        <v>0</v>
      </c>
      <c r="Q104" s="157" t="n">
        <f aca="false">IF(M104=3,1,0)</f>
        <v>0</v>
      </c>
      <c r="R104" s="158" t="n">
        <f aca="false">IF(M104=4,1,0)</f>
        <v>1</v>
      </c>
      <c r="S104" s="176"/>
      <c r="T104" s="170"/>
      <c r="U104" s="77"/>
    </row>
    <row r="105" customFormat="false" ht="20.15" hidden="true" customHeight="true" outlineLevel="1" collapsed="false">
      <c r="B105" s="77"/>
      <c r="C105" s="170"/>
      <c r="D105" s="173"/>
      <c r="E105" s="173"/>
      <c r="F105" s="172"/>
      <c r="G105" s="172"/>
      <c r="H105" s="170"/>
      <c r="I105" s="213" t="s">
        <v>92</v>
      </c>
      <c r="J105" s="161" t="n">
        <f aca="false">MAX(J101:J104)</f>
        <v>0</v>
      </c>
      <c r="K105" s="186"/>
      <c r="L105" s="176"/>
      <c r="M105" s="170"/>
      <c r="N105" s="164" t="s">
        <v>93</v>
      </c>
      <c r="O105" s="165" t="n">
        <f aca="false">SUM(O101:O104)</f>
        <v>1</v>
      </c>
      <c r="P105" s="166" t="n">
        <f aca="false">SUM(P101:P104)</f>
        <v>1</v>
      </c>
      <c r="Q105" s="165" t="n">
        <f aca="false">SUM(Q101:Q104)</f>
        <v>1</v>
      </c>
      <c r="R105" s="187" t="n">
        <f aca="false">SUM(R101:R104)</f>
        <v>1</v>
      </c>
      <c r="S105" s="188"/>
      <c r="T105" s="170"/>
      <c r="U105" s="77"/>
    </row>
    <row r="106" customFormat="false" ht="20.15" hidden="false" customHeight="true" outlineLevel="0" collapsed="false">
      <c r="B106" s="77"/>
      <c r="C106" s="170"/>
      <c r="D106" s="189"/>
      <c r="E106" s="189"/>
      <c r="F106" s="170"/>
      <c r="G106" s="170"/>
      <c r="H106" s="170"/>
      <c r="I106" s="170"/>
      <c r="J106" s="170"/>
      <c r="K106" s="170"/>
      <c r="L106" s="170"/>
      <c r="M106" s="170"/>
      <c r="N106" s="170"/>
      <c r="O106" s="170"/>
      <c r="P106" s="170"/>
      <c r="Q106" s="170"/>
      <c r="R106" s="170"/>
      <c r="S106" s="170"/>
      <c r="T106" s="170"/>
      <c r="U106" s="77"/>
    </row>
    <row r="107" customFormat="false" ht="20.15" hidden="false" customHeight="true" outlineLevel="0" collapsed="false">
      <c r="B107" s="77"/>
      <c r="D107" s="190"/>
      <c r="E107" s="190"/>
      <c r="F107" s="190"/>
      <c r="G107" s="190"/>
      <c r="H107" s="191"/>
      <c r="I107" s="190"/>
      <c r="J107" s="190"/>
      <c r="K107" s="14"/>
      <c r="L107" s="14"/>
      <c r="M107" s="14"/>
      <c r="N107" s="14"/>
      <c r="O107" s="14"/>
      <c r="P107" s="14"/>
      <c r="Q107" s="14"/>
      <c r="R107" s="14"/>
      <c r="S107" s="14"/>
      <c r="U107" s="77"/>
    </row>
    <row r="108" customFormat="false" ht="20.15" hidden="false" customHeight="true" outlineLevel="0" collapsed="false">
      <c r="B108" s="77"/>
      <c r="C108" s="192"/>
      <c r="D108" s="192"/>
      <c r="E108" s="193" t="str">
        <f aca="false">IF(OR(L87="-",L87= ""),H87,L87)</f>
        <v>Gaia Project</v>
      </c>
      <c r="F108" s="193"/>
      <c r="G108" s="193"/>
      <c r="H108" s="193"/>
      <c r="I108" s="193"/>
      <c r="J108" s="193"/>
      <c r="K108" s="193"/>
      <c r="L108" s="193"/>
      <c r="M108" s="193"/>
      <c r="N108" s="193"/>
      <c r="O108" s="194"/>
      <c r="P108" s="194"/>
      <c r="Q108" s="194"/>
      <c r="R108" s="194"/>
      <c r="S108" s="194"/>
      <c r="T108" s="192"/>
      <c r="U108" s="195"/>
    </row>
    <row r="109" customFormat="false" ht="50.15" hidden="false" customHeight="true" outlineLevel="0" collapsed="false">
      <c r="B109" s="77"/>
      <c r="C109" s="192"/>
      <c r="D109" s="194"/>
      <c r="E109" s="125" t="s">
        <v>52</v>
      </c>
      <c r="F109" s="126" t="s">
        <v>75</v>
      </c>
      <c r="G109" s="82" t="s">
        <v>76</v>
      </c>
      <c r="H109" s="81" t="s">
        <v>77</v>
      </c>
      <c r="I109" s="59" t="s">
        <v>78</v>
      </c>
      <c r="J109" s="81" t="s">
        <v>79</v>
      </c>
      <c r="K109" s="127" t="s">
        <v>80</v>
      </c>
      <c r="L109" s="81" t="s">
        <v>81</v>
      </c>
      <c r="M109" s="128" t="s">
        <v>82</v>
      </c>
      <c r="N109" s="129" t="s">
        <v>83</v>
      </c>
      <c r="O109" s="130" t="s">
        <v>84</v>
      </c>
      <c r="P109" s="131" t="s">
        <v>85</v>
      </c>
      <c r="Q109" s="131" t="s">
        <v>86</v>
      </c>
      <c r="R109" s="197" t="s">
        <v>87</v>
      </c>
      <c r="S109" s="194"/>
      <c r="T109" s="192"/>
      <c r="U109" s="195"/>
    </row>
    <row r="110" customFormat="false" ht="20.15" hidden="false" customHeight="true" outlineLevel="0" collapsed="false">
      <c r="B110" s="77"/>
      <c r="C110" s="192"/>
      <c r="D110" s="208"/>
      <c r="E110" s="86" t="s">
        <v>23</v>
      </c>
      <c r="F110" s="87" t="s">
        <v>24</v>
      </c>
      <c r="G110" s="304" t="n">
        <v>2</v>
      </c>
      <c r="H110" s="222" t="s">
        <v>131</v>
      </c>
      <c r="I110" s="221" t="n">
        <v>10</v>
      </c>
      <c r="J110" s="222" t="n">
        <v>116</v>
      </c>
      <c r="K110" s="221" t="s">
        <v>66</v>
      </c>
      <c r="L110" s="223" t="n">
        <f aca="false">IF(J110="",0,(J110/J114)*100)</f>
        <v>66.2857142857143</v>
      </c>
      <c r="M110" s="221" t="n">
        <v>4</v>
      </c>
      <c r="N110" s="224" t="n">
        <v>0</v>
      </c>
      <c r="O110" s="137" t="n">
        <f aca="false">IF(M110=1,1,0)</f>
        <v>0</v>
      </c>
      <c r="P110" s="138" t="n">
        <f aca="false">IF(M110=2,1,0)</f>
        <v>0</v>
      </c>
      <c r="Q110" s="138" t="n">
        <f aca="false">IF(M110=3,1,0)</f>
        <v>0</v>
      </c>
      <c r="R110" s="139" t="n">
        <f aca="false">IF(M110=4,1,0)</f>
        <v>1</v>
      </c>
      <c r="S110" s="206"/>
      <c r="T110" s="192"/>
      <c r="U110" s="207"/>
    </row>
    <row r="111" customFormat="false" ht="20.15" hidden="false" customHeight="true" outlineLevel="0" collapsed="false">
      <c r="B111" s="77"/>
      <c r="C111" s="192"/>
      <c r="D111" s="198"/>
      <c r="E111" s="226" t="s">
        <v>25</v>
      </c>
      <c r="F111" s="227" t="s">
        <v>26</v>
      </c>
      <c r="G111" s="306" t="n">
        <v>1</v>
      </c>
      <c r="H111" s="317" t="s">
        <v>90</v>
      </c>
      <c r="I111" s="228" t="n">
        <v>10</v>
      </c>
      <c r="J111" s="317" t="n">
        <v>137</v>
      </c>
      <c r="K111" s="317" t="s">
        <v>66</v>
      </c>
      <c r="L111" s="229" t="n">
        <f aca="false">IF(J111="",0,(J111/J114)*100)</f>
        <v>78.2857142857143</v>
      </c>
      <c r="M111" s="228" t="n">
        <v>3</v>
      </c>
      <c r="N111" s="230" t="n">
        <v>1</v>
      </c>
      <c r="O111" s="144" t="n">
        <f aca="false">IF(M111=1,1,0)</f>
        <v>0</v>
      </c>
      <c r="P111" s="145" t="n">
        <f aca="false">IF(M111=2,1,0)</f>
        <v>0</v>
      </c>
      <c r="Q111" s="145" t="n">
        <f aca="false">IF(M111=3,1,0)</f>
        <v>1</v>
      </c>
      <c r="R111" s="146" t="n">
        <f aca="false">IF(M111=4,1,0)</f>
        <v>0</v>
      </c>
      <c r="S111" s="206"/>
      <c r="T111" s="192"/>
      <c r="U111" s="211"/>
    </row>
    <row r="112" customFormat="false" ht="20.15" hidden="false" customHeight="true" outlineLevel="0" collapsed="false">
      <c r="B112" s="77"/>
      <c r="C112" s="192"/>
      <c r="D112" s="198"/>
      <c r="E112" s="105" t="s">
        <v>27</v>
      </c>
      <c r="F112" s="290" t="s">
        <v>28</v>
      </c>
      <c r="G112" s="306" t="n">
        <v>3</v>
      </c>
      <c r="H112" s="317" t="s">
        <v>132</v>
      </c>
      <c r="I112" s="228" t="n">
        <v>10</v>
      </c>
      <c r="J112" s="317" t="n">
        <v>170</v>
      </c>
      <c r="K112" s="228" t="s">
        <v>66</v>
      </c>
      <c r="L112" s="229" t="n">
        <f aca="false">IF(J112="",0,(J112/J114)*100)</f>
        <v>97.1428571428571</v>
      </c>
      <c r="M112" s="228" t="n">
        <v>2</v>
      </c>
      <c r="N112" s="230" t="n">
        <v>3</v>
      </c>
      <c r="O112" s="144" t="n">
        <f aca="false">IF(M112=1,1,0)</f>
        <v>0</v>
      </c>
      <c r="P112" s="145" t="n">
        <f aca="false">IF(M112=2,1,0)</f>
        <v>1</v>
      </c>
      <c r="Q112" s="145" t="n">
        <f aca="false">IF(M112=3,1,0)</f>
        <v>0</v>
      </c>
      <c r="R112" s="146" t="n">
        <f aca="false">IF(M112=4,1,0)</f>
        <v>0</v>
      </c>
      <c r="S112" s="206"/>
      <c r="T112" s="192"/>
      <c r="U112" s="211"/>
    </row>
    <row r="113" customFormat="false" ht="20.15" hidden="false" customHeight="true" outlineLevel="0" collapsed="false">
      <c r="B113" s="77"/>
      <c r="C113" s="192"/>
      <c r="D113" s="198"/>
      <c r="E113" s="318" t="s">
        <v>30</v>
      </c>
      <c r="F113" s="319" t="s">
        <v>32</v>
      </c>
      <c r="G113" s="320" t="n">
        <v>4</v>
      </c>
      <c r="H113" s="321" t="s">
        <v>133</v>
      </c>
      <c r="I113" s="322" t="n">
        <v>10</v>
      </c>
      <c r="J113" s="321" t="n">
        <v>175</v>
      </c>
      <c r="K113" s="321" t="s">
        <v>66</v>
      </c>
      <c r="L113" s="323" t="n">
        <f aca="false">IF(J113="",0,(J113/J114)*100)</f>
        <v>100</v>
      </c>
      <c r="M113" s="322" t="n">
        <v>1</v>
      </c>
      <c r="N113" s="324" t="n">
        <v>6</v>
      </c>
      <c r="O113" s="156" t="n">
        <f aca="false">IF(M113=1,1,0)</f>
        <v>1</v>
      </c>
      <c r="P113" s="157" t="n">
        <f aca="false">IF(M113=2,1,0)</f>
        <v>0</v>
      </c>
      <c r="Q113" s="157" t="n">
        <f aca="false">IF(M113=3,1,0)</f>
        <v>0</v>
      </c>
      <c r="R113" s="158" t="n">
        <f aca="false">IF(M113=4,1,0)</f>
        <v>0</v>
      </c>
      <c r="S113" s="206"/>
      <c r="T113" s="192"/>
      <c r="U113" s="211"/>
    </row>
    <row r="114" customFormat="false" ht="20.15" hidden="true" customHeight="true" outlineLevel="1" collapsed="false">
      <c r="B114" s="77"/>
      <c r="C114" s="192"/>
      <c r="D114" s="198"/>
      <c r="E114" s="198"/>
      <c r="F114" s="206"/>
      <c r="G114" s="206"/>
      <c r="H114" s="192"/>
      <c r="I114" s="213" t="s">
        <v>92</v>
      </c>
      <c r="J114" s="161" t="n">
        <f aca="false">MAX(J110:J113)</f>
        <v>175</v>
      </c>
      <c r="K114" s="214"/>
      <c r="L114" s="206"/>
      <c r="M114" s="192"/>
      <c r="N114" s="164" t="s">
        <v>93</v>
      </c>
      <c r="O114" s="165" t="n">
        <f aca="false">SUM(O110:O113)</f>
        <v>1</v>
      </c>
      <c r="P114" s="166" t="n">
        <f aca="false">SUM(P110:P113)</f>
        <v>1</v>
      </c>
      <c r="Q114" s="165" t="n">
        <f aca="false">SUM(Q110:Q113)</f>
        <v>1</v>
      </c>
      <c r="R114" s="187" t="n">
        <f aca="false">SUM(R110:R113)</f>
        <v>1</v>
      </c>
      <c r="S114" s="215"/>
      <c r="T114" s="192"/>
      <c r="U114" s="211"/>
    </row>
    <row r="115" customFormat="false" ht="20.15" hidden="false" customHeight="true" outlineLevel="0" collapsed="false">
      <c r="B115" s="77"/>
      <c r="C115" s="192"/>
      <c r="D115" s="216"/>
      <c r="E115" s="216"/>
      <c r="F115" s="192"/>
      <c r="G115" s="192"/>
      <c r="H115" s="192"/>
      <c r="I115" s="192"/>
      <c r="J115" s="192"/>
      <c r="K115" s="192"/>
      <c r="L115" s="192"/>
      <c r="M115" s="192"/>
      <c r="N115" s="192"/>
      <c r="O115" s="192"/>
      <c r="P115" s="192"/>
      <c r="Q115" s="192"/>
      <c r="R115" s="192"/>
      <c r="S115" s="192"/>
      <c r="T115" s="192"/>
      <c r="U115" s="211"/>
    </row>
    <row r="116" customFormat="false" ht="20.15" hidden="false" customHeight="true" outlineLevel="0" collapsed="false">
      <c r="B116" s="77"/>
      <c r="D116" s="190"/>
      <c r="E116" s="190"/>
      <c r="F116" s="190"/>
      <c r="G116" s="190"/>
      <c r="H116" s="191"/>
      <c r="I116" s="190"/>
      <c r="J116" s="190"/>
      <c r="K116" s="190"/>
      <c r="L116" s="14"/>
      <c r="M116" s="14"/>
      <c r="N116" s="14"/>
      <c r="O116" s="14"/>
      <c r="P116" s="14"/>
      <c r="Q116" s="14"/>
      <c r="R116" s="14"/>
      <c r="S116" s="14"/>
      <c r="U116" s="207"/>
    </row>
    <row r="117" customFormat="false" ht="20.15" hidden="false" customHeight="true" outlineLevel="0" collapsed="false">
      <c r="B117" s="77"/>
      <c r="C117" s="217"/>
      <c r="D117" s="217"/>
      <c r="E117" s="218" t="str">
        <f aca="false">IF(OR(L88="-",L88= ""),H88,L88)</f>
        <v>Clans of Caledonia</v>
      </c>
      <c r="F117" s="218"/>
      <c r="G117" s="218"/>
      <c r="H117" s="218"/>
      <c r="I117" s="218"/>
      <c r="J117" s="218"/>
      <c r="K117" s="218"/>
      <c r="L117" s="218"/>
      <c r="M117" s="218"/>
      <c r="N117" s="218"/>
      <c r="O117" s="219"/>
      <c r="P117" s="219"/>
      <c r="Q117" s="219"/>
      <c r="R117" s="219"/>
      <c r="S117" s="219"/>
      <c r="T117" s="217"/>
      <c r="U117" s="77"/>
    </row>
    <row r="118" customFormat="false" ht="50.15" hidden="false" customHeight="true" outlineLevel="0" collapsed="false">
      <c r="B118" s="77"/>
      <c r="C118" s="217"/>
      <c r="D118" s="219"/>
      <c r="E118" s="125" t="s">
        <v>52</v>
      </c>
      <c r="F118" s="126" t="s">
        <v>75</v>
      </c>
      <c r="G118" s="82" t="s">
        <v>76</v>
      </c>
      <c r="H118" s="81" t="s">
        <v>77</v>
      </c>
      <c r="I118" s="59" t="s">
        <v>78</v>
      </c>
      <c r="J118" s="81" t="s">
        <v>79</v>
      </c>
      <c r="K118" s="127" t="s">
        <v>80</v>
      </c>
      <c r="L118" s="81" t="s">
        <v>81</v>
      </c>
      <c r="M118" s="128" t="s">
        <v>82</v>
      </c>
      <c r="N118" s="129" t="s">
        <v>83</v>
      </c>
      <c r="O118" s="130" t="s">
        <v>84</v>
      </c>
      <c r="P118" s="131" t="s">
        <v>85</v>
      </c>
      <c r="Q118" s="131" t="s">
        <v>86</v>
      </c>
      <c r="R118" s="197" t="s">
        <v>87</v>
      </c>
      <c r="S118" s="219"/>
      <c r="T118" s="217"/>
      <c r="U118" s="77"/>
    </row>
    <row r="119" customFormat="false" ht="20.15" hidden="false" customHeight="true" outlineLevel="0" collapsed="false">
      <c r="B119" s="77"/>
      <c r="C119" s="217"/>
      <c r="D119" s="220"/>
      <c r="E119" s="199" t="s">
        <v>23</v>
      </c>
      <c r="F119" s="200" t="s">
        <v>24</v>
      </c>
      <c r="G119" s="325" t="n">
        <v>1</v>
      </c>
      <c r="H119" s="201" t="s">
        <v>96</v>
      </c>
      <c r="I119" s="201" t="n">
        <v>0</v>
      </c>
      <c r="J119" s="201" t="n">
        <v>178</v>
      </c>
      <c r="K119" s="201" t="s">
        <v>66</v>
      </c>
      <c r="L119" s="204" t="n">
        <f aca="false">IF(J119="",0,(J119/J123)*100)</f>
        <v>100</v>
      </c>
      <c r="M119" s="201" t="n">
        <v>1</v>
      </c>
      <c r="N119" s="205" t="n">
        <v>6</v>
      </c>
      <c r="O119" s="137" t="n">
        <f aca="false">IF(M119=1,1,0)</f>
        <v>1</v>
      </c>
      <c r="P119" s="138" t="n">
        <f aca="false">IF(M119=2,1,0)</f>
        <v>0</v>
      </c>
      <c r="Q119" s="138" t="n">
        <f aca="false">IF(M119=3,1,0)</f>
        <v>0</v>
      </c>
      <c r="R119" s="139" t="n">
        <f aca="false">IF(M119=4,1,0)</f>
        <v>0</v>
      </c>
      <c r="S119" s="225"/>
      <c r="T119" s="217"/>
      <c r="U119" s="77"/>
    </row>
    <row r="120" customFormat="false" ht="20.15" hidden="false" customHeight="true" outlineLevel="0" collapsed="false">
      <c r="B120" s="77"/>
      <c r="C120" s="217"/>
      <c r="D120" s="220"/>
      <c r="E120" s="226" t="s">
        <v>25</v>
      </c>
      <c r="F120" s="227" t="s">
        <v>26</v>
      </c>
      <c r="G120" s="306" t="n">
        <v>4</v>
      </c>
      <c r="H120" s="228" t="s">
        <v>97</v>
      </c>
      <c r="I120" s="228" t="n">
        <v>0</v>
      </c>
      <c r="J120" s="228" t="n">
        <v>161</v>
      </c>
      <c r="K120" s="317" t="s">
        <v>66</v>
      </c>
      <c r="L120" s="229" t="n">
        <f aca="false">IF(J120="",0,(J120/J123)*100)</f>
        <v>90.4494382022472</v>
      </c>
      <c r="M120" s="228" t="n">
        <v>3</v>
      </c>
      <c r="N120" s="230" t="n">
        <v>1</v>
      </c>
      <c r="O120" s="144" t="n">
        <f aca="false">IF(M120=1,1,0)</f>
        <v>0</v>
      </c>
      <c r="P120" s="145" t="n">
        <f aca="false">IF(M120=2,1,0)</f>
        <v>0</v>
      </c>
      <c r="Q120" s="145" t="n">
        <f aca="false">IF(M120=3,1,0)</f>
        <v>1</v>
      </c>
      <c r="R120" s="146" t="n">
        <f aca="false">IF(M120=4,1,0)</f>
        <v>0</v>
      </c>
      <c r="S120" s="225"/>
      <c r="T120" s="217"/>
      <c r="U120" s="77"/>
    </row>
    <row r="121" customFormat="false" ht="20.15" hidden="false" customHeight="true" outlineLevel="0" collapsed="false">
      <c r="B121" s="77"/>
      <c r="C121" s="217"/>
      <c r="D121" s="220"/>
      <c r="E121" s="105" t="s">
        <v>27</v>
      </c>
      <c r="F121" s="290" t="s">
        <v>29</v>
      </c>
      <c r="G121" s="306" t="n">
        <v>2</v>
      </c>
      <c r="H121" s="228" t="s">
        <v>94</v>
      </c>
      <c r="I121" s="228" t="n">
        <v>0</v>
      </c>
      <c r="J121" s="228" t="n">
        <v>173</v>
      </c>
      <c r="K121" s="228" t="s">
        <v>66</v>
      </c>
      <c r="L121" s="229" t="n">
        <f aca="false">IF(J121="",0,(J121/J123)*100)</f>
        <v>97.1910112359551</v>
      </c>
      <c r="M121" s="228" t="n">
        <v>2</v>
      </c>
      <c r="N121" s="230" t="n">
        <v>3</v>
      </c>
      <c r="O121" s="144" t="n">
        <f aca="false">IF(M121=1,1,0)</f>
        <v>0</v>
      </c>
      <c r="P121" s="145" t="n">
        <f aca="false">IF(M121=2,1,0)</f>
        <v>1</v>
      </c>
      <c r="Q121" s="145" t="n">
        <f aca="false">IF(M121=3,1,0)</f>
        <v>0</v>
      </c>
      <c r="R121" s="146" t="n">
        <f aca="false">IF(M121=4,1,0)</f>
        <v>0</v>
      </c>
      <c r="S121" s="225"/>
      <c r="T121" s="217"/>
      <c r="U121" s="77"/>
    </row>
    <row r="122" customFormat="false" ht="20.15" hidden="false" customHeight="true" outlineLevel="0" collapsed="false">
      <c r="B122" s="77"/>
      <c r="C122" s="217"/>
      <c r="D122" s="231"/>
      <c r="E122" s="295" t="s">
        <v>30</v>
      </c>
      <c r="F122" s="233" t="s">
        <v>32</v>
      </c>
      <c r="G122" s="307" t="n">
        <v>3</v>
      </c>
      <c r="H122" s="234" t="s">
        <v>134</v>
      </c>
      <c r="I122" s="234" t="n">
        <v>0</v>
      </c>
      <c r="J122" s="234" t="n">
        <v>133</v>
      </c>
      <c r="K122" s="308" t="s">
        <v>66</v>
      </c>
      <c r="L122" s="235" t="n">
        <f aca="false">IF(J122="",0,(J122/J123)*100)</f>
        <v>74.7191011235955</v>
      </c>
      <c r="M122" s="234" t="n">
        <v>4</v>
      </c>
      <c r="N122" s="236" t="n">
        <v>0</v>
      </c>
      <c r="O122" s="156" t="n">
        <f aca="false">IF(M122=1,1,0)</f>
        <v>0</v>
      </c>
      <c r="P122" s="157" t="n">
        <f aca="false">IF(M122=2,1,0)</f>
        <v>0</v>
      </c>
      <c r="Q122" s="157" t="n">
        <f aca="false">IF(M122=3,1,0)</f>
        <v>0</v>
      </c>
      <c r="R122" s="158" t="n">
        <f aca="false">IF(M122=4,1,0)</f>
        <v>1</v>
      </c>
      <c r="S122" s="225"/>
      <c r="T122" s="217"/>
      <c r="U122" s="77"/>
    </row>
    <row r="123" customFormat="false" ht="20.15" hidden="true" customHeight="true" outlineLevel="1" collapsed="false">
      <c r="B123" s="77"/>
      <c r="C123" s="217"/>
      <c r="D123" s="220"/>
      <c r="E123" s="220"/>
      <c r="F123" s="225"/>
      <c r="G123" s="225"/>
      <c r="H123" s="217"/>
      <c r="I123" s="213" t="s">
        <v>92</v>
      </c>
      <c r="J123" s="161" t="n">
        <f aca="false">MAX(J119:J122)</f>
        <v>178</v>
      </c>
      <c r="K123" s="237"/>
      <c r="L123" s="225"/>
      <c r="M123" s="217"/>
      <c r="N123" s="164" t="s">
        <v>93</v>
      </c>
      <c r="O123" s="165" t="n">
        <f aca="false">SUM(O119:O122)</f>
        <v>1</v>
      </c>
      <c r="P123" s="166" t="n">
        <f aca="false">SUM(P119:P122)</f>
        <v>1</v>
      </c>
      <c r="Q123" s="165" t="n">
        <f aca="false">SUM(Q119:Q122)</f>
        <v>1</v>
      </c>
      <c r="R123" s="187" t="n">
        <f aca="false">SUM(R119:R122)</f>
        <v>1</v>
      </c>
      <c r="S123" s="238"/>
      <c r="T123" s="217"/>
      <c r="U123" s="77"/>
    </row>
    <row r="124" customFormat="false" ht="20.15" hidden="false" customHeight="true" outlineLevel="0" collapsed="false">
      <c r="B124" s="77"/>
      <c r="C124" s="217"/>
      <c r="D124" s="239"/>
      <c r="E124" s="239"/>
      <c r="F124" s="217"/>
      <c r="G124" s="217"/>
      <c r="H124" s="217"/>
      <c r="I124" s="217"/>
      <c r="J124" s="217"/>
      <c r="K124" s="217"/>
      <c r="L124" s="217"/>
      <c r="M124" s="217"/>
      <c r="N124" s="217"/>
      <c r="O124" s="217"/>
      <c r="P124" s="217"/>
      <c r="Q124" s="217"/>
      <c r="R124" s="217"/>
      <c r="S124" s="217"/>
      <c r="T124" s="217"/>
      <c r="U124" s="77"/>
    </row>
    <row r="125" customFormat="false" ht="20.15" hidden="false" customHeight="true" outlineLevel="0" collapsed="false">
      <c r="B125" s="77"/>
      <c r="D125" s="5"/>
      <c r="E125" s="5"/>
      <c r="F125" s="5"/>
      <c r="G125" s="5"/>
      <c r="H125" s="5"/>
      <c r="I125" s="5"/>
      <c r="J125" s="5"/>
      <c r="K125" s="14"/>
      <c r="L125" s="14"/>
      <c r="M125" s="14"/>
      <c r="N125" s="14"/>
      <c r="O125" s="14"/>
      <c r="P125" s="14"/>
      <c r="Q125" s="14"/>
      <c r="R125" s="14"/>
      <c r="S125" s="14"/>
      <c r="U125" s="77"/>
    </row>
    <row r="126" customFormat="false" ht="30" hidden="false" customHeight="true" outlineLevel="0" collapsed="false">
      <c r="B126" s="77"/>
      <c r="C126" s="240"/>
      <c r="D126" s="241" t="s">
        <v>135</v>
      </c>
      <c r="E126" s="241"/>
      <c r="F126" s="241"/>
      <c r="G126" s="241"/>
      <c r="H126" s="241"/>
      <c r="I126" s="241"/>
      <c r="J126" s="241"/>
      <c r="K126" s="241"/>
      <c r="L126" s="241"/>
      <c r="M126" s="241"/>
      <c r="N126" s="241"/>
      <c r="O126" s="241"/>
      <c r="P126" s="241"/>
      <c r="Q126" s="241"/>
      <c r="R126" s="241"/>
      <c r="S126" s="241"/>
      <c r="T126" s="240"/>
      <c r="U126" s="77"/>
    </row>
    <row r="127" customFormat="false" ht="50.15" hidden="false" customHeight="true" outlineLevel="0" collapsed="false">
      <c r="B127" s="77"/>
      <c r="C127" s="240"/>
      <c r="D127" s="242" t="s">
        <v>52</v>
      </c>
      <c r="E127" s="243" t="s">
        <v>53</v>
      </c>
      <c r="F127" s="244" t="s">
        <v>83</v>
      </c>
      <c r="G127" s="245" t="s">
        <v>102</v>
      </c>
      <c r="H127" s="246" t="s">
        <v>103</v>
      </c>
      <c r="I127" s="246"/>
      <c r="J127" s="247" t="s">
        <v>104</v>
      </c>
      <c r="K127" s="248" t="s">
        <v>105</v>
      </c>
      <c r="L127" s="244" t="s">
        <v>106</v>
      </c>
      <c r="M127" s="248" t="s">
        <v>107</v>
      </c>
      <c r="N127" s="244" t="s">
        <v>108</v>
      </c>
      <c r="O127" s="249"/>
      <c r="P127" s="250"/>
      <c r="Q127" s="250"/>
      <c r="R127" s="250"/>
      <c r="S127" s="243" t="s">
        <v>109</v>
      </c>
      <c r="T127" s="240"/>
      <c r="U127" s="77"/>
    </row>
    <row r="128" customFormat="false" ht="20.15" hidden="false" customHeight="true" outlineLevel="0" collapsed="false">
      <c r="B128" s="77"/>
      <c r="C128" s="240"/>
      <c r="D128" s="326" t="s">
        <v>25</v>
      </c>
      <c r="E128" s="252" t="s">
        <v>26</v>
      </c>
      <c r="F128" s="327" t="n">
        <f aca="false">K128*6+L128*3+M128*1+N128*0</f>
        <v>14</v>
      </c>
      <c r="G128" s="328" t="n">
        <v>0</v>
      </c>
      <c r="H128" s="328" t="s">
        <v>66</v>
      </c>
      <c r="I128" s="328"/>
      <c r="J128" s="327" t="n">
        <f aca="false">F128+G128</f>
        <v>14</v>
      </c>
      <c r="K128" s="327" t="n">
        <v>2</v>
      </c>
      <c r="L128" s="327" t="n">
        <v>0</v>
      </c>
      <c r="M128" s="327" t="n">
        <v>2</v>
      </c>
      <c r="N128" s="327" t="n">
        <v>0</v>
      </c>
      <c r="O128" s="16"/>
      <c r="P128" s="328"/>
      <c r="Q128" s="328"/>
      <c r="R128" s="328"/>
      <c r="S128" s="329" t="n">
        <f aca="false">(L93+L102+L111+L120)/4</f>
        <v>92.1837881219904</v>
      </c>
      <c r="T128" s="240"/>
      <c r="U128" s="77"/>
    </row>
    <row r="129" customFormat="false" ht="20.15" hidden="false" customHeight="true" outlineLevel="0" collapsed="false">
      <c r="B129" s="77"/>
      <c r="C129" s="240"/>
      <c r="D129" s="257" t="s">
        <v>27</v>
      </c>
      <c r="E129" s="258" t="s">
        <v>28</v>
      </c>
      <c r="F129" s="330" t="n">
        <f aca="false">K129*6+L129*3+M129*1+N129*0</f>
        <v>12</v>
      </c>
      <c r="G129" s="331" t="n">
        <v>0</v>
      </c>
      <c r="H129" s="331" t="s">
        <v>66</v>
      </c>
      <c r="I129" s="331"/>
      <c r="J129" s="330" t="n">
        <f aca="false">F129+G129</f>
        <v>12</v>
      </c>
      <c r="K129" s="330" t="n">
        <v>0</v>
      </c>
      <c r="L129" s="330" t="n">
        <v>4</v>
      </c>
      <c r="M129" s="330" t="n">
        <v>0</v>
      </c>
      <c r="N129" s="330" t="n">
        <v>0</v>
      </c>
      <c r="O129" s="332"/>
      <c r="P129" s="331"/>
      <c r="Q129" s="331"/>
      <c r="R129" s="331"/>
      <c r="S129" s="333" t="n">
        <f aca="false">(L94+L103+L112+L121)/4</f>
        <v>95.0611805271422</v>
      </c>
      <c r="T129" s="240"/>
      <c r="U129" s="77"/>
      <c r="W129" s="334"/>
      <c r="X129" s="334"/>
      <c r="Y129" s="23"/>
      <c r="Z129" s="23"/>
      <c r="AA129" s="335"/>
      <c r="AB129" s="335"/>
      <c r="AC129" s="336"/>
      <c r="AD129" s="336"/>
      <c r="AE129" s="336"/>
    </row>
    <row r="130" customFormat="false" ht="20.15" hidden="false" customHeight="true" outlineLevel="0" collapsed="false">
      <c r="B130" s="77"/>
      <c r="C130" s="240"/>
      <c r="D130" s="257" t="s">
        <v>23</v>
      </c>
      <c r="E130" s="258" t="s">
        <v>24</v>
      </c>
      <c r="F130" s="330" t="n">
        <f aca="false">K130*6+L130*3+M130*1+N130*0</f>
        <v>8</v>
      </c>
      <c r="G130" s="331" t="n">
        <v>0</v>
      </c>
      <c r="H130" s="331" t="s">
        <v>66</v>
      </c>
      <c r="I130" s="331"/>
      <c r="J130" s="330" t="n">
        <f aca="false">F130+G130</f>
        <v>8</v>
      </c>
      <c r="K130" s="330" t="n">
        <v>1</v>
      </c>
      <c r="L130" s="330" t="n">
        <v>0</v>
      </c>
      <c r="M130" s="330" t="n">
        <v>2</v>
      </c>
      <c r="N130" s="330" t="n">
        <v>1</v>
      </c>
      <c r="O130" s="332"/>
      <c r="P130" s="331"/>
      <c r="Q130" s="331"/>
      <c r="R130" s="331"/>
      <c r="S130" s="333" t="n">
        <f aca="false">(L92+L101+L110+L119)/4</f>
        <v>85.0444559846411</v>
      </c>
      <c r="T130" s="240"/>
      <c r="U130" s="77"/>
    </row>
    <row r="131" customFormat="false" ht="20.15" hidden="false" customHeight="true" outlineLevel="0" collapsed="false">
      <c r="B131" s="77"/>
      <c r="C131" s="240"/>
      <c r="D131" s="337" t="s">
        <v>30</v>
      </c>
      <c r="E131" s="266" t="s">
        <v>31</v>
      </c>
      <c r="F131" s="338" t="n">
        <f aca="false">K131*6+L131*3+M131*1+N131*0</f>
        <v>6</v>
      </c>
      <c r="G131" s="339" t="n">
        <v>0</v>
      </c>
      <c r="H131" s="339" t="s">
        <v>66</v>
      </c>
      <c r="I131" s="339"/>
      <c r="J131" s="338" t="n">
        <f aca="false">F131+G131</f>
        <v>6</v>
      </c>
      <c r="K131" s="338" t="n">
        <v>1</v>
      </c>
      <c r="L131" s="338" t="n">
        <v>0</v>
      </c>
      <c r="M131" s="338" t="n">
        <v>0</v>
      </c>
      <c r="N131" s="338" t="n">
        <v>3</v>
      </c>
      <c r="O131" s="340"/>
      <c r="P131" s="339"/>
      <c r="Q131" s="339"/>
      <c r="R131" s="339"/>
      <c r="S131" s="341" t="n">
        <f aca="false">(L95++L104+L113+L122)/4</f>
        <v>80.7025077196921</v>
      </c>
      <c r="T131" s="240"/>
      <c r="U131" s="77"/>
    </row>
    <row r="132" customFormat="false" ht="20.15" hidden="false" customHeight="true" outlineLevel="0" collapsed="false">
      <c r="B132" s="77"/>
      <c r="C132" s="240"/>
      <c r="D132" s="240"/>
      <c r="E132" s="240"/>
      <c r="F132" s="342"/>
      <c r="G132" s="342"/>
      <c r="H132" s="342"/>
      <c r="I132" s="342"/>
      <c r="J132" s="342"/>
      <c r="K132" s="342"/>
      <c r="L132" s="342"/>
      <c r="M132" s="342"/>
      <c r="N132" s="342"/>
      <c r="O132" s="342"/>
      <c r="P132" s="342"/>
      <c r="Q132" s="342"/>
      <c r="R132" s="342"/>
      <c r="S132" s="342"/>
      <c r="T132" s="240"/>
      <c r="U132" s="77"/>
    </row>
    <row r="133" customFormat="false" ht="20.15" hidden="false" customHeight="true" outlineLevel="0" collapsed="false">
      <c r="B133" s="77"/>
      <c r="C133" s="77"/>
      <c r="D133" s="270"/>
      <c r="E133" s="270"/>
      <c r="F133" s="195"/>
      <c r="G133" s="195"/>
      <c r="H133" s="270"/>
      <c r="I133" s="270"/>
      <c r="J133" s="270"/>
      <c r="K133" s="207"/>
      <c r="L133" s="207"/>
      <c r="M133" s="207"/>
      <c r="N133" s="207"/>
      <c r="O133" s="207"/>
      <c r="P133" s="207"/>
      <c r="Q133" s="207"/>
      <c r="R133" s="207"/>
      <c r="S133" s="207"/>
      <c r="T133" s="77"/>
      <c r="U133" s="77"/>
    </row>
    <row r="134" customFormat="false" ht="20.15" hidden="false" customHeight="true" outlineLevel="0" collapsed="false"/>
    <row r="135" customFormat="false" ht="20.15" hidden="false" customHeight="true" outlineLevel="0" collapsed="false"/>
    <row r="136" customFormat="false" ht="20.15" hidden="false" customHeight="true" outlineLevel="0" collapsed="false">
      <c r="B136" s="77"/>
      <c r="C136" s="77"/>
      <c r="D136" s="78"/>
      <c r="E136" s="78"/>
      <c r="F136" s="78"/>
      <c r="G136" s="78"/>
      <c r="H136" s="77"/>
      <c r="I136" s="77"/>
      <c r="J136" s="77"/>
      <c r="K136" s="77"/>
      <c r="L136" s="77"/>
      <c r="M136" s="77"/>
      <c r="N136" s="77"/>
      <c r="O136" s="77"/>
      <c r="P136" s="77"/>
      <c r="Q136" s="77"/>
      <c r="R136" s="77"/>
      <c r="S136" s="77"/>
      <c r="T136" s="77"/>
      <c r="U136" s="77"/>
    </row>
    <row r="137" customFormat="false" ht="30" hidden="false" customHeight="true" outlineLevel="0" collapsed="false">
      <c r="B137" s="77"/>
      <c r="C137" s="79" t="s">
        <v>136</v>
      </c>
      <c r="D137" s="79"/>
      <c r="E137" s="79"/>
      <c r="F137" s="79"/>
      <c r="G137" s="79"/>
      <c r="H137" s="79"/>
      <c r="I137" s="79"/>
      <c r="J137" s="79"/>
      <c r="K137" s="79"/>
      <c r="L137" s="79"/>
      <c r="M137" s="79"/>
      <c r="N137" s="79"/>
      <c r="O137" s="79"/>
      <c r="P137" s="79"/>
      <c r="Q137" s="79"/>
      <c r="R137" s="79"/>
      <c r="S137" s="79"/>
      <c r="T137" s="79"/>
      <c r="U137" s="77"/>
    </row>
    <row r="138" customFormat="false" ht="20.15" hidden="false" customHeight="true" outlineLevel="0" collapsed="false">
      <c r="B138" s="77"/>
      <c r="D138" s="121"/>
      <c r="E138" s="121"/>
      <c r="U138" s="77"/>
    </row>
    <row r="139" customFormat="false" ht="20.15" hidden="false" customHeight="true" outlineLevel="0" collapsed="false">
      <c r="B139" s="77"/>
      <c r="D139" s="80" t="s">
        <v>52</v>
      </c>
      <c r="E139" s="81" t="s">
        <v>111</v>
      </c>
      <c r="F139" s="82" t="s">
        <v>12</v>
      </c>
      <c r="G139" s="275" t="s">
        <v>54</v>
      </c>
      <c r="H139" s="275"/>
      <c r="I139" s="275"/>
      <c r="J139" s="275"/>
      <c r="K139" s="81" t="s">
        <v>55</v>
      </c>
      <c r="L139" s="83" t="s">
        <v>56</v>
      </c>
      <c r="M139" s="83"/>
      <c r="N139" s="83"/>
      <c r="O139" s="83"/>
      <c r="P139" s="83"/>
      <c r="Q139" s="83"/>
      <c r="R139" s="83"/>
      <c r="S139" s="83"/>
      <c r="U139" s="77"/>
    </row>
    <row r="140" customFormat="false" ht="20.15" hidden="false" customHeight="true" outlineLevel="0" collapsed="false">
      <c r="B140" s="77"/>
      <c r="D140" s="80"/>
      <c r="E140" s="81"/>
      <c r="F140" s="81"/>
      <c r="G140" s="85" t="s">
        <v>57</v>
      </c>
      <c r="H140" s="84" t="s">
        <v>58</v>
      </c>
      <c r="I140" s="82" t="s">
        <v>59</v>
      </c>
      <c r="J140" s="82"/>
      <c r="K140" s="84" t="s">
        <v>60</v>
      </c>
      <c r="L140" s="276" t="s">
        <v>57</v>
      </c>
      <c r="M140" s="277" t="s">
        <v>61</v>
      </c>
      <c r="N140" s="278" t="s">
        <v>59</v>
      </c>
      <c r="O140" s="278"/>
      <c r="P140" s="278"/>
      <c r="Q140" s="278"/>
      <c r="R140" s="278"/>
      <c r="S140" s="278"/>
      <c r="U140" s="77"/>
    </row>
    <row r="141" customFormat="false" ht="65.15" hidden="false" customHeight="true" outlineLevel="0" collapsed="false">
      <c r="B141" s="77"/>
      <c r="D141" s="86" t="s">
        <v>33</v>
      </c>
      <c r="E141" s="175" t="s">
        <v>34</v>
      </c>
      <c r="F141" s="343" t="n">
        <v>1</v>
      </c>
      <c r="G141" s="344" t="s">
        <v>67</v>
      </c>
      <c r="H141" s="281" t="s">
        <v>137</v>
      </c>
      <c r="I141" s="91" t="s">
        <v>138</v>
      </c>
      <c r="J141" s="91"/>
      <c r="K141" s="345" t="s">
        <v>65</v>
      </c>
      <c r="L141" s="93" t="s">
        <v>66</v>
      </c>
      <c r="M141" s="94" t="s">
        <v>66</v>
      </c>
      <c r="N141" s="95" t="s">
        <v>66</v>
      </c>
      <c r="O141" s="95"/>
      <c r="P141" s="95"/>
      <c r="Q141" s="95"/>
      <c r="R141" s="95"/>
      <c r="S141" s="95"/>
      <c r="U141" s="77"/>
    </row>
    <row r="142" customFormat="false" ht="35.15" hidden="false" customHeight="true" outlineLevel="0" collapsed="false">
      <c r="B142" s="77"/>
      <c r="D142" s="105" t="s">
        <v>35</v>
      </c>
      <c r="E142" s="96" t="s">
        <v>36</v>
      </c>
      <c r="F142" s="346" t="n">
        <v>2</v>
      </c>
      <c r="G142" s="347" t="s">
        <v>71</v>
      </c>
      <c r="H142" s="99" t="s">
        <v>139</v>
      </c>
      <c r="I142" s="100" t="s">
        <v>140</v>
      </c>
      <c r="J142" s="100"/>
      <c r="K142" s="348" t="s">
        <v>65</v>
      </c>
      <c r="L142" s="102" t="s">
        <v>66</v>
      </c>
      <c r="M142" s="103" t="s">
        <v>66</v>
      </c>
      <c r="N142" s="104" t="s">
        <v>66</v>
      </c>
      <c r="O142" s="104"/>
      <c r="P142" s="104"/>
      <c r="Q142" s="104"/>
      <c r="R142" s="104"/>
      <c r="S142" s="104"/>
      <c r="U142" s="77"/>
    </row>
    <row r="143" customFormat="false" ht="65.15" hidden="false" customHeight="true" outlineLevel="0" collapsed="false">
      <c r="B143" s="77"/>
      <c r="D143" s="105" t="s">
        <v>39</v>
      </c>
      <c r="E143" s="290" t="s">
        <v>40</v>
      </c>
      <c r="F143" s="346" t="n">
        <v>3</v>
      </c>
      <c r="G143" s="349" t="s">
        <v>71</v>
      </c>
      <c r="H143" s="107" t="s">
        <v>141</v>
      </c>
      <c r="I143" s="108" t="s">
        <v>142</v>
      </c>
      <c r="J143" s="108"/>
      <c r="K143" s="348" t="s">
        <v>65</v>
      </c>
      <c r="L143" s="102" t="s">
        <v>66</v>
      </c>
      <c r="M143" s="103" t="s">
        <v>66</v>
      </c>
      <c r="N143" s="104" t="s">
        <v>66</v>
      </c>
      <c r="O143" s="104"/>
      <c r="P143" s="104"/>
      <c r="Q143" s="104"/>
      <c r="R143" s="104"/>
      <c r="S143" s="104"/>
      <c r="U143" s="77"/>
    </row>
    <row r="144" customFormat="false" ht="35.15" hidden="false" customHeight="true" outlineLevel="0" collapsed="false">
      <c r="B144" s="77"/>
      <c r="D144" s="295" t="s">
        <v>41</v>
      </c>
      <c r="E144" s="113" t="s">
        <v>42</v>
      </c>
      <c r="F144" s="350" t="n">
        <v>4</v>
      </c>
      <c r="G144" s="351" t="s">
        <v>71</v>
      </c>
      <c r="H144" s="101" t="s">
        <v>143</v>
      </c>
      <c r="I144" s="116" t="s">
        <v>144</v>
      </c>
      <c r="J144" s="116"/>
      <c r="K144" s="352" t="s">
        <v>65</v>
      </c>
      <c r="L144" s="353" t="s">
        <v>66</v>
      </c>
      <c r="M144" s="354" t="s">
        <v>66</v>
      </c>
      <c r="N144" s="120" t="s">
        <v>66</v>
      </c>
      <c r="O144" s="120"/>
      <c r="P144" s="120"/>
      <c r="Q144" s="120"/>
      <c r="R144" s="120"/>
      <c r="S144" s="120"/>
      <c r="U144" s="77"/>
    </row>
    <row r="145" customFormat="false" ht="20.15" hidden="false" customHeight="true" outlineLevel="0" collapsed="false">
      <c r="B145" s="77"/>
      <c r="D145" s="121"/>
      <c r="E145" s="121"/>
      <c r="U145" s="77"/>
    </row>
    <row r="146" customFormat="false" ht="20.15" hidden="false" customHeight="true" outlineLevel="0" collapsed="false">
      <c r="B146" s="77"/>
      <c r="C146" s="122"/>
      <c r="D146" s="122"/>
      <c r="E146" s="123" t="str">
        <f aca="false">IF(OR(L141="-",L141= ""),H141,L141)</f>
        <v>Teotihuacan: Die Stadt der Götter </v>
      </c>
      <c r="F146" s="123"/>
      <c r="G146" s="123"/>
      <c r="H146" s="123"/>
      <c r="I146" s="123"/>
      <c r="J146" s="123"/>
      <c r="K146" s="123"/>
      <c r="L146" s="123"/>
      <c r="M146" s="123"/>
      <c r="N146" s="123"/>
      <c r="O146" s="124"/>
      <c r="P146" s="124"/>
      <c r="Q146" s="124"/>
      <c r="R146" s="124"/>
      <c r="S146" s="124"/>
      <c r="T146" s="122"/>
      <c r="U146" s="77"/>
    </row>
    <row r="147" customFormat="false" ht="50.15" hidden="false" customHeight="true" outlineLevel="0" collapsed="false">
      <c r="B147" s="77"/>
      <c r="C147" s="122"/>
      <c r="D147" s="124"/>
      <c r="E147" s="125" t="s">
        <v>52</v>
      </c>
      <c r="F147" s="126" t="s">
        <v>75</v>
      </c>
      <c r="G147" s="82" t="s">
        <v>76</v>
      </c>
      <c r="H147" s="81" t="s">
        <v>77</v>
      </c>
      <c r="I147" s="59" t="s">
        <v>78</v>
      </c>
      <c r="J147" s="81" t="s">
        <v>79</v>
      </c>
      <c r="K147" s="127" t="s">
        <v>80</v>
      </c>
      <c r="L147" s="81" t="s">
        <v>81</v>
      </c>
      <c r="M147" s="128" t="s">
        <v>82</v>
      </c>
      <c r="N147" s="129" t="s">
        <v>83</v>
      </c>
      <c r="O147" s="130" t="s">
        <v>84</v>
      </c>
      <c r="P147" s="131" t="s">
        <v>85</v>
      </c>
      <c r="Q147" s="131" t="s">
        <v>86</v>
      </c>
      <c r="R147" s="197" t="s">
        <v>87</v>
      </c>
      <c r="S147" s="124"/>
      <c r="T147" s="122"/>
      <c r="U147" s="77"/>
    </row>
    <row r="148" customFormat="false" ht="20.15" hidden="false" customHeight="true" outlineLevel="0" collapsed="false">
      <c r="B148" s="77"/>
      <c r="C148" s="122"/>
      <c r="D148" s="152"/>
      <c r="E148" s="199" t="s">
        <v>33</v>
      </c>
      <c r="F148" s="200" t="s">
        <v>34</v>
      </c>
      <c r="G148" s="325" t="n">
        <v>4</v>
      </c>
      <c r="H148" s="201" t="s">
        <v>66</v>
      </c>
      <c r="I148" s="201" t="n">
        <v>0</v>
      </c>
      <c r="J148" s="201" t="n">
        <v>170</v>
      </c>
      <c r="K148" s="201" t="s">
        <v>66</v>
      </c>
      <c r="L148" s="204" t="n">
        <f aca="false">IF(J148="",0,(J148/J152)*100)</f>
        <v>100</v>
      </c>
      <c r="M148" s="201" t="n">
        <v>1</v>
      </c>
      <c r="N148" s="205" t="n">
        <v>6</v>
      </c>
      <c r="O148" s="137" t="n">
        <f aca="false">IF(M148=1,1,0)</f>
        <v>1</v>
      </c>
      <c r="P148" s="138" t="n">
        <f aca="false">IF(M148=2,1,0)</f>
        <v>0</v>
      </c>
      <c r="Q148" s="138" t="n">
        <f aca="false">IF(M148=3,1,0)</f>
        <v>0</v>
      </c>
      <c r="R148" s="139" t="n">
        <f aca="false">IF(M148=4,1,0)</f>
        <v>0</v>
      </c>
      <c r="S148" s="140"/>
      <c r="T148" s="122"/>
      <c r="U148" s="77"/>
    </row>
    <row r="149" customFormat="false" ht="20.15" hidden="false" customHeight="true" outlineLevel="0" collapsed="false">
      <c r="B149" s="77"/>
      <c r="C149" s="122"/>
      <c r="D149" s="132"/>
      <c r="E149" s="105" t="s">
        <v>35</v>
      </c>
      <c r="F149" s="227" t="s">
        <v>37</v>
      </c>
      <c r="G149" s="306" t="n">
        <v>1</v>
      </c>
      <c r="H149" s="228" t="s">
        <v>66</v>
      </c>
      <c r="I149" s="228" t="n">
        <v>0</v>
      </c>
      <c r="J149" s="228" t="n">
        <v>132</v>
      </c>
      <c r="K149" s="317" t="s">
        <v>66</v>
      </c>
      <c r="L149" s="229" t="n">
        <f aca="false">IF(J149="",0,(J149/J152)*100)</f>
        <v>77.6470588235294</v>
      </c>
      <c r="M149" s="228" t="n">
        <v>3</v>
      </c>
      <c r="N149" s="230" t="n">
        <v>1</v>
      </c>
      <c r="O149" s="144" t="n">
        <f aca="false">IF(M149=1,1,0)</f>
        <v>0</v>
      </c>
      <c r="P149" s="145" t="n">
        <f aca="false">IF(M149=2,1,0)</f>
        <v>0</v>
      </c>
      <c r="Q149" s="145" t="n">
        <f aca="false">IF(M149=3,1,0)</f>
        <v>1</v>
      </c>
      <c r="R149" s="146" t="n">
        <f aca="false">IF(M149=4,1,0)</f>
        <v>0</v>
      </c>
      <c r="S149" s="140"/>
      <c r="T149" s="122"/>
      <c r="U149" s="77"/>
    </row>
    <row r="150" customFormat="false" ht="20.15" hidden="false" customHeight="true" outlineLevel="0" collapsed="false">
      <c r="B150" s="77"/>
      <c r="C150" s="122"/>
      <c r="D150" s="132"/>
      <c r="E150" s="105" t="s">
        <v>39</v>
      </c>
      <c r="F150" s="290" t="s">
        <v>40</v>
      </c>
      <c r="G150" s="306" t="n">
        <v>2</v>
      </c>
      <c r="H150" s="228" t="s">
        <v>66</v>
      </c>
      <c r="I150" s="228" t="n">
        <v>0</v>
      </c>
      <c r="J150" s="228" t="n">
        <v>140</v>
      </c>
      <c r="K150" s="228" t="s">
        <v>66</v>
      </c>
      <c r="L150" s="229" t="n">
        <f aca="false">IF(J150="",0,(J150/J152)*100)</f>
        <v>82.3529411764706</v>
      </c>
      <c r="M150" s="228" t="n">
        <v>2</v>
      </c>
      <c r="N150" s="230" t="n">
        <v>3</v>
      </c>
      <c r="O150" s="144" t="n">
        <f aca="false">IF(M150=1,1,0)</f>
        <v>0</v>
      </c>
      <c r="P150" s="145" t="n">
        <f aca="false">IF(M150=2,1,0)</f>
        <v>1</v>
      </c>
      <c r="Q150" s="145" t="n">
        <f aca="false">IF(M150=3,1,0)</f>
        <v>0</v>
      </c>
      <c r="R150" s="146" t="n">
        <f aca="false">IF(M150=4,1,0)</f>
        <v>0</v>
      </c>
      <c r="S150" s="140"/>
      <c r="T150" s="122"/>
      <c r="U150" s="77"/>
    </row>
    <row r="151" customFormat="false" ht="20.15" hidden="false" customHeight="true" outlineLevel="0" collapsed="false">
      <c r="B151" s="77"/>
      <c r="C151" s="122"/>
      <c r="D151" s="132"/>
      <c r="E151" s="295" t="s">
        <v>41</v>
      </c>
      <c r="F151" s="233" t="s">
        <v>42</v>
      </c>
      <c r="G151" s="307" t="n">
        <v>3</v>
      </c>
      <c r="H151" s="234" t="s">
        <v>66</v>
      </c>
      <c r="I151" s="234" t="n">
        <v>0</v>
      </c>
      <c r="J151" s="234" t="n">
        <v>131</v>
      </c>
      <c r="K151" s="308" t="s">
        <v>66</v>
      </c>
      <c r="L151" s="235" t="n">
        <f aca="false">IF(J151="",0,(J151/J152)*100)</f>
        <v>77.0588235294118</v>
      </c>
      <c r="M151" s="234" t="n">
        <v>4</v>
      </c>
      <c r="N151" s="236" t="n">
        <v>0</v>
      </c>
      <c r="O151" s="156" t="n">
        <f aca="false">IF(M151=1,1,0)</f>
        <v>0</v>
      </c>
      <c r="P151" s="157" t="n">
        <f aca="false">IF(M151=2,1,0)</f>
        <v>0</v>
      </c>
      <c r="Q151" s="157" t="n">
        <f aca="false">IF(M151=3,1,0)</f>
        <v>0</v>
      </c>
      <c r="R151" s="158" t="n">
        <f aca="false">IF(M151=4,1,0)</f>
        <v>1</v>
      </c>
      <c r="S151" s="140"/>
      <c r="T151" s="122"/>
      <c r="U151" s="77"/>
    </row>
    <row r="152" customFormat="false" ht="20.15" hidden="true" customHeight="true" outlineLevel="1" collapsed="false">
      <c r="B152" s="77"/>
      <c r="C152" s="122"/>
      <c r="D152" s="152"/>
      <c r="E152" s="152"/>
      <c r="F152" s="140"/>
      <c r="G152" s="140"/>
      <c r="H152" s="122"/>
      <c r="I152" s="213" t="s">
        <v>92</v>
      </c>
      <c r="J152" s="161" t="n">
        <f aca="false">MAX(J148:J151)</f>
        <v>170</v>
      </c>
      <c r="K152" s="309"/>
      <c r="L152" s="167"/>
      <c r="M152" s="122"/>
      <c r="N152" s="164" t="s">
        <v>93</v>
      </c>
      <c r="O152" s="165" t="n">
        <f aca="false">SUM(O148:O151)</f>
        <v>1</v>
      </c>
      <c r="P152" s="166" t="n">
        <f aca="false">SUM(P148:P151)</f>
        <v>1</v>
      </c>
      <c r="Q152" s="165" t="n">
        <f aca="false">SUM(Q148:Q151)</f>
        <v>1</v>
      </c>
      <c r="R152" s="187" t="n">
        <f aca="false">SUM(R148:R151)</f>
        <v>1</v>
      </c>
      <c r="S152" s="167"/>
      <c r="T152" s="122"/>
      <c r="U152" s="77"/>
    </row>
    <row r="153" customFormat="false" ht="20.15" hidden="false" customHeight="true" outlineLevel="0" collapsed="false">
      <c r="B153" s="77"/>
      <c r="C153" s="122"/>
      <c r="D153" s="168"/>
      <c r="E153" s="168"/>
      <c r="F153" s="122"/>
      <c r="G153" s="122"/>
      <c r="H153" s="122"/>
      <c r="I153" s="122"/>
      <c r="J153" s="122"/>
      <c r="K153" s="122"/>
      <c r="L153" s="122"/>
      <c r="M153" s="122"/>
      <c r="N153" s="122"/>
      <c r="O153" s="122"/>
      <c r="P153" s="122"/>
      <c r="Q153" s="122"/>
      <c r="R153" s="122"/>
      <c r="S153" s="122"/>
      <c r="T153" s="122"/>
      <c r="U153" s="77"/>
    </row>
    <row r="154" customFormat="false" ht="20.15" hidden="false" customHeight="true" outlineLevel="0" collapsed="false">
      <c r="B154" s="77"/>
      <c r="U154" s="77"/>
    </row>
    <row r="155" customFormat="false" ht="20.15" hidden="false" customHeight="true" outlineLevel="0" collapsed="false">
      <c r="B155" s="77"/>
      <c r="C155" s="170"/>
      <c r="D155" s="170"/>
      <c r="E155" s="171" t="str">
        <f aca="false">IF(OR(L142="-",L142= ""),H142,L142)</f>
        <v>Lorenzo</v>
      </c>
      <c r="F155" s="171"/>
      <c r="G155" s="171"/>
      <c r="H155" s="171"/>
      <c r="I155" s="171"/>
      <c r="J155" s="171"/>
      <c r="K155" s="171"/>
      <c r="L155" s="171"/>
      <c r="M155" s="171"/>
      <c r="N155" s="171"/>
      <c r="O155" s="172"/>
      <c r="P155" s="172"/>
      <c r="Q155" s="172"/>
      <c r="R155" s="172"/>
      <c r="S155" s="172"/>
      <c r="T155" s="170"/>
      <c r="U155" s="77"/>
    </row>
    <row r="156" customFormat="false" ht="50.15" hidden="false" customHeight="true" outlineLevel="0" collapsed="false">
      <c r="B156" s="77"/>
      <c r="C156" s="170"/>
      <c r="D156" s="172"/>
      <c r="E156" s="125" t="s">
        <v>52</v>
      </c>
      <c r="F156" s="126" t="s">
        <v>75</v>
      </c>
      <c r="G156" s="82" t="s">
        <v>76</v>
      </c>
      <c r="H156" s="81" t="s">
        <v>77</v>
      </c>
      <c r="I156" s="59" t="s">
        <v>78</v>
      </c>
      <c r="J156" s="81" t="s">
        <v>79</v>
      </c>
      <c r="K156" s="127" t="s">
        <v>80</v>
      </c>
      <c r="L156" s="81" t="s">
        <v>81</v>
      </c>
      <c r="M156" s="128" t="s">
        <v>82</v>
      </c>
      <c r="N156" s="129" t="s">
        <v>83</v>
      </c>
      <c r="O156" s="130" t="s">
        <v>84</v>
      </c>
      <c r="P156" s="131" t="s">
        <v>85</v>
      </c>
      <c r="Q156" s="131" t="s">
        <v>86</v>
      </c>
      <c r="R156" s="197" t="s">
        <v>87</v>
      </c>
      <c r="S156" s="172"/>
      <c r="T156" s="170"/>
      <c r="U156" s="77"/>
    </row>
    <row r="157" customFormat="false" ht="20.15" hidden="false" customHeight="true" outlineLevel="0" collapsed="false">
      <c r="B157" s="77"/>
      <c r="C157" s="170"/>
      <c r="D157" s="177"/>
      <c r="E157" s="86" t="s">
        <v>33</v>
      </c>
      <c r="F157" s="87" t="s">
        <v>34</v>
      </c>
      <c r="G157" s="304" t="n">
        <v>3</v>
      </c>
      <c r="H157" s="221" t="s">
        <v>66</v>
      </c>
      <c r="I157" s="221" t="n">
        <v>0</v>
      </c>
      <c r="J157" s="221" t="n">
        <v>104</v>
      </c>
      <c r="K157" s="221" t="s">
        <v>66</v>
      </c>
      <c r="L157" s="223" t="n">
        <f aca="false">IF(J157="",0,(J157/J161)*100)</f>
        <v>75.3623188405797</v>
      </c>
      <c r="M157" s="221" t="n">
        <v>3</v>
      </c>
      <c r="N157" s="224" t="n">
        <v>1</v>
      </c>
      <c r="O157" s="137" t="n">
        <f aca="false">IF(M157=1,1,0)</f>
        <v>0</v>
      </c>
      <c r="P157" s="138" t="n">
        <f aca="false">IF(M157=2,1,0)</f>
        <v>0</v>
      </c>
      <c r="Q157" s="138" t="n">
        <f aca="false">IF(M157=3,1,0)</f>
        <v>1</v>
      </c>
      <c r="R157" s="139" t="n">
        <f aca="false">IF(M157=4,1,0)</f>
        <v>0</v>
      </c>
      <c r="S157" s="176"/>
      <c r="T157" s="170"/>
      <c r="U157" s="77"/>
    </row>
    <row r="158" customFormat="false" ht="20.15" hidden="false" customHeight="true" outlineLevel="0" collapsed="false">
      <c r="B158" s="77"/>
      <c r="C158" s="170"/>
      <c r="D158" s="173"/>
      <c r="E158" s="147" t="s">
        <v>35</v>
      </c>
      <c r="F158" s="148" t="s">
        <v>36</v>
      </c>
      <c r="G158" s="305" t="n">
        <v>2</v>
      </c>
      <c r="H158" s="149" t="s">
        <v>66</v>
      </c>
      <c r="I158" s="149" t="n">
        <v>0</v>
      </c>
      <c r="J158" s="149" t="n">
        <v>138</v>
      </c>
      <c r="K158" s="179" t="s">
        <v>66</v>
      </c>
      <c r="L158" s="150" t="n">
        <f aca="false">IF(J158="",0,(J158/J161)*100)</f>
        <v>100</v>
      </c>
      <c r="M158" s="149" t="n">
        <v>1</v>
      </c>
      <c r="N158" s="151" t="n">
        <v>6</v>
      </c>
      <c r="O158" s="144" t="n">
        <f aca="false">IF(M158=1,1,0)</f>
        <v>1</v>
      </c>
      <c r="P158" s="145" t="n">
        <f aca="false">IF(M158=2,1,0)</f>
        <v>0</v>
      </c>
      <c r="Q158" s="145" t="n">
        <f aca="false">IF(M158=3,1,0)</f>
        <v>0</v>
      </c>
      <c r="R158" s="146" t="n">
        <f aca="false">IF(M158=4,1,0)</f>
        <v>0</v>
      </c>
      <c r="S158" s="176"/>
      <c r="T158" s="170"/>
      <c r="U158" s="77"/>
    </row>
    <row r="159" customFormat="false" ht="20.15" hidden="false" customHeight="true" outlineLevel="0" collapsed="false">
      <c r="B159" s="77"/>
      <c r="C159" s="170"/>
      <c r="D159" s="177"/>
      <c r="E159" s="105" t="s">
        <v>39</v>
      </c>
      <c r="F159" s="290" t="s">
        <v>40</v>
      </c>
      <c r="G159" s="306" t="n">
        <v>4</v>
      </c>
      <c r="H159" s="228" t="s">
        <v>66</v>
      </c>
      <c r="I159" s="228" t="n">
        <v>0</v>
      </c>
      <c r="J159" s="228" t="n">
        <v>115</v>
      </c>
      <c r="K159" s="228" t="s">
        <v>66</v>
      </c>
      <c r="L159" s="229" t="n">
        <f aca="false">IF(J159="",0,(J159/J161)*100)</f>
        <v>83.3333333333333</v>
      </c>
      <c r="M159" s="228" t="n">
        <v>2</v>
      </c>
      <c r="N159" s="230" t="n">
        <v>3</v>
      </c>
      <c r="O159" s="144" t="n">
        <f aca="false">IF(M159=1,1,0)</f>
        <v>0</v>
      </c>
      <c r="P159" s="145" t="n">
        <f aca="false">IF(M159=2,1,0)</f>
        <v>1</v>
      </c>
      <c r="Q159" s="145" t="n">
        <f aca="false">IF(M159=3,1,0)</f>
        <v>0</v>
      </c>
      <c r="R159" s="146" t="n">
        <f aca="false">IF(M159=4,1,0)</f>
        <v>0</v>
      </c>
      <c r="S159" s="176"/>
      <c r="T159" s="170"/>
      <c r="U159" s="77"/>
    </row>
    <row r="160" customFormat="false" ht="20.15" hidden="false" customHeight="true" outlineLevel="0" collapsed="false">
      <c r="B160" s="77"/>
      <c r="C160" s="170"/>
      <c r="D160" s="173"/>
      <c r="E160" s="295" t="s">
        <v>41</v>
      </c>
      <c r="F160" s="233" t="s">
        <v>42</v>
      </c>
      <c r="G160" s="307" t="n">
        <v>1</v>
      </c>
      <c r="H160" s="234" t="s">
        <v>66</v>
      </c>
      <c r="I160" s="234" t="n">
        <v>0</v>
      </c>
      <c r="J160" s="234" t="n">
        <v>73</v>
      </c>
      <c r="K160" s="308" t="s">
        <v>66</v>
      </c>
      <c r="L160" s="235" t="n">
        <f aca="false">IF(J160="",0,(J160/J161)*100)</f>
        <v>52.8985507246377</v>
      </c>
      <c r="M160" s="234" t="n">
        <v>4</v>
      </c>
      <c r="N160" s="236" t="n">
        <v>0</v>
      </c>
      <c r="O160" s="156" t="n">
        <f aca="false">IF(M160=1,1,0)</f>
        <v>0</v>
      </c>
      <c r="P160" s="157" t="n">
        <f aca="false">IF(M160=2,1,0)</f>
        <v>0</v>
      </c>
      <c r="Q160" s="157" t="n">
        <f aca="false">IF(M160=3,1,0)</f>
        <v>0</v>
      </c>
      <c r="R160" s="158" t="n">
        <f aca="false">IF(M160=4,1,0)</f>
        <v>1</v>
      </c>
      <c r="S160" s="176"/>
      <c r="T160" s="170"/>
      <c r="U160" s="77"/>
    </row>
    <row r="161" customFormat="false" ht="20.15" hidden="true" customHeight="true" outlineLevel="1" collapsed="false">
      <c r="B161" s="77"/>
      <c r="C161" s="170"/>
      <c r="D161" s="173"/>
      <c r="E161" s="173"/>
      <c r="F161" s="172"/>
      <c r="G161" s="172"/>
      <c r="H161" s="170"/>
      <c r="I161" s="213" t="s">
        <v>92</v>
      </c>
      <c r="J161" s="161" t="n">
        <f aca="false">MAX(J157:J160)</f>
        <v>138</v>
      </c>
      <c r="K161" s="186"/>
      <c r="L161" s="176"/>
      <c r="M161" s="170"/>
      <c r="N161" s="164" t="s">
        <v>93</v>
      </c>
      <c r="O161" s="165" t="n">
        <f aca="false">SUM(O157:O160)</f>
        <v>1</v>
      </c>
      <c r="P161" s="166" t="n">
        <f aca="false">SUM(P157:P160)</f>
        <v>1</v>
      </c>
      <c r="Q161" s="165" t="n">
        <f aca="false">SUM(Q157:Q160)</f>
        <v>1</v>
      </c>
      <c r="R161" s="187" t="n">
        <f aca="false">SUM(R157:R160)</f>
        <v>1</v>
      </c>
      <c r="S161" s="188"/>
      <c r="T161" s="170"/>
      <c r="U161" s="77"/>
    </row>
    <row r="162" customFormat="false" ht="20.15" hidden="false" customHeight="true" outlineLevel="0" collapsed="false">
      <c r="B162" s="77"/>
      <c r="C162" s="170"/>
      <c r="D162" s="189"/>
      <c r="E162" s="189"/>
      <c r="F162" s="170"/>
      <c r="G162" s="170"/>
      <c r="H162" s="170"/>
      <c r="I162" s="170"/>
      <c r="J162" s="170"/>
      <c r="K162" s="170"/>
      <c r="L162" s="170"/>
      <c r="M162" s="170"/>
      <c r="N162" s="170"/>
      <c r="O162" s="170"/>
      <c r="P162" s="170"/>
      <c r="Q162" s="170"/>
      <c r="R162" s="170"/>
      <c r="S162" s="170"/>
      <c r="T162" s="170"/>
      <c r="U162" s="77"/>
    </row>
    <row r="163" customFormat="false" ht="20.15" hidden="false" customHeight="true" outlineLevel="0" collapsed="false">
      <c r="B163" s="77"/>
      <c r="D163" s="190"/>
      <c r="E163" s="190"/>
      <c r="F163" s="190"/>
      <c r="G163" s="190"/>
      <c r="H163" s="191"/>
      <c r="I163" s="190"/>
      <c r="J163" s="190"/>
      <c r="K163" s="14"/>
      <c r="L163" s="14"/>
      <c r="M163" s="14"/>
      <c r="N163" s="14"/>
      <c r="O163" s="14"/>
      <c r="P163" s="14"/>
      <c r="Q163" s="14"/>
      <c r="R163" s="14"/>
      <c r="S163" s="14"/>
      <c r="U163" s="77"/>
    </row>
    <row r="164" customFormat="false" ht="20.15" hidden="false" customHeight="true" outlineLevel="0" collapsed="false">
      <c r="B164" s="77"/>
      <c r="C164" s="192"/>
      <c r="D164" s="192"/>
      <c r="E164" s="193" t="str">
        <f aca="false">IF(OR(L143="-",L143= ""),H143,L143)</f>
        <v>Rajas of the Ganges</v>
      </c>
      <c r="F164" s="193"/>
      <c r="G164" s="193"/>
      <c r="H164" s="193"/>
      <c r="I164" s="193"/>
      <c r="J164" s="193"/>
      <c r="K164" s="193"/>
      <c r="L164" s="193"/>
      <c r="M164" s="193"/>
      <c r="N164" s="193"/>
      <c r="O164" s="194"/>
      <c r="P164" s="194"/>
      <c r="Q164" s="194"/>
      <c r="R164" s="194"/>
      <c r="S164" s="194"/>
      <c r="T164" s="192"/>
      <c r="U164" s="195"/>
    </row>
    <row r="165" customFormat="false" ht="50.15" hidden="false" customHeight="true" outlineLevel="0" collapsed="false">
      <c r="B165" s="77"/>
      <c r="C165" s="192"/>
      <c r="D165" s="194"/>
      <c r="E165" s="125" t="s">
        <v>52</v>
      </c>
      <c r="F165" s="126" t="s">
        <v>75</v>
      </c>
      <c r="G165" s="82" t="s">
        <v>76</v>
      </c>
      <c r="H165" s="81" t="s">
        <v>77</v>
      </c>
      <c r="I165" s="59" t="s">
        <v>78</v>
      </c>
      <c r="J165" s="81" t="s">
        <v>79</v>
      </c>
      <c r="K165" s="127" t="s">
        <v>80</v>
      </c>
      <c r="L165" s="81" t="s">
        <v>81</v>
      </c>
      <c r="M165" s="128" t="s">
        <v>82</v>
      </c>
      <c r="N165" s="129" t="s">
        <v>83</v>
      </c>
      <c r="O165" s="130" t="s">
        <v>84</v>
      </c>
      <c r="P165" s="131" t="s">
        <v>85</v>
      </c>
      <c r="Q165" s="131" t="s">
        <v>86</v>
      </c>
      <c r="R165" s="197" t="s">
        <v>87</v>
      </c>
      <c r="S165" s="194"/>
      <c r="T165" s="192"/>
      <c r="U165" s="195"/>
    </row>
    <row r="166" customFormat="false" ht="20.15" hidden="false" customHeight="true" outlineLevel="0" collapsed="false">
      <c r="B166" s="77"/>
      <c r="C166" s="192"/>
      <c r="D166" s="208"/>
      <c r="E166" s="86" t="s">
        <v>33</v>
      </c>
      <c r="F166" s="87" t="s">
        <v>34</v>
      </c>
      <c r="G166" s="304" t="n">
        <v>4</v>
      </c>
      <c r="H166" s="222" t="s">
        <v>66</v>
      </c>
      <c r="I166" s="221" t="n">
        <v>-58</v>
      </c>
      <c r="J166" s="222" t="n">
        <v>-26</v>
      </c>
      <c r="K166" s="222" t="s">
        <v>66</v>
      </c>
      <c r="L166" s="223" t="n">
        <f aca="false">($I$166-J166)/($I$166-$J$168)*100</f>
        <v>54.2372881355932</v>
      </c>
      <c r="M166" s="221" t="n">
        <v>3</v>
      </c>
      <c r="N166" s="224" t="n">
        <v>1</v>
      </c>
      <c r="O166" s="137" t="n">
        <f aca="false">IF(M166=1,1,0)</f>
        <v>0</v>
      </c>
      <c r="P166" s="138" t="n">
        <f aca="false">IF(M166=2,1,0)</f>
        <v>0</v>
      </c>
      <c r="Q166" s="138" t="n">
        <f aca="false">IF(M166=3,1,0)</f>
        <v>1</v>
      </c>
      <c r="R166" s="139" t="n">
        <f aca="false">IF(M166=4,1,0)</f>
        <v>0</v>
      </c>
      <c r="S166" s="206"/>
      <c r="T166" s="192"/>
      <c r="U166" s="207"/>
    </row>
    <row r="167" customFormat="false" ht="20.15" hidden="false" customHeight="true" outlineLevel="0" collapsed="false">
      <c r="B167" s="77"/>
      <c r="C167" s="192"/>
      <c r="D167" s="198"/>
      <c r="E167" s="105" t="s">
        <v>35</v>
      </c>
      <c r="F167" s="227" t="s">
        <v>36</v>
      </c>
      <c r="G167" s="306" t="n">
        <v>1</v>
      </c>
      <c r="H167" s="317" t="s">
        <v>66</v>
      </c>
      <c r="I167" s="228" t="n">
        <v>-59</v>
      </c>
      <c r="J167" s="317" t="n">
        <v>-14</v>
      </c>
      <c r="K167" s="317" t="s">
        <v>66</v>
      </c>
      <c r="L167" s="229" t="n">
        <f aca="false">($I$166-J167)/($I$166-$J$168)*100</f>
        <v>74.5762711864407</v>
      </c>
      <c r="M167" s="228" t="n">
        <v>2</v>
      </c>
      <c r="N167" s="230" t="n">
        <v>3</v>
      </c>
      <c r="O167" s="144" t="n">
        <f aca="false">IF(M167=1,1,0)</f>
        <v>0</v>
      </c>
      <c r="P167" s="145" t="n">
        <f aca="false">IF(M167=2,1,0)</f>
        <v>1</v>
      </c>
      <c r="Q167" s="145" t="n">
        <f aca="false">IF(M167=3,1,0)</f>
        <v>0</v>
      </c>
      <c r="R167" s="146" t="n">
        <f aca="false">IF(M167=4,1,0)</f>
        <v>0</v>
      </c>
      <c r="S167" s="206"/>
      <c r="T167" s="192"/>
      <c r="U167" s="211"/>
    </row>
    <row r="168" customFormat="false" ht="20.15" hidden="false" customHeight="true" outlineLevel="0" collapsed="false">
      <c r="B168" s="77"/>
      <c r="C168" s="192"/>
      <c r="D168" s="198"/>
      <c r="E168" s="147" t="s">
        <v>39</v>
      </c>
      <c r="F168" s="355" t="s">
        <v>40</v>
      </c>
      <c r="G168" s="305" t="n">
        <v>2</v>
      </c>
      <c r="H168" s="179" t="s">
        <v>66</v>
      </c>
      <c r="I168" s="149" t="n">
        <v>-59</v>
      </c>
      <c r="J168" s="179" t="n">
        <v>1</v>
      </c>
      <c r="K168" s="179" t="s">
        <v>66</v>
      </c>
      <c r="L168" s="150" t="n">
        <f aca="false">($I$166-J168)/($I$166-$J$168)*100</f>
        <v>100</v>
      </c>
      <c r="M168" s="149" t="n">
        <v>1</v>
      </c>
      <c r="N168" s="151" t="n">
        <v>6</v>
      </c>
      <c r="O168" s="144" t="n">
        <f aca="false">IF(M168=1,1,0)</f>
        <v>1</v>
      </c>
      <c r="P168" s="145" t="n">
        <f aca="false">IF(M168=2,1,0)</f>
        <v>0</v>
      </c>
      <c r="Q168" s="145" t="n">
        <f aca="false">IF(M168=3,1,0)</f>
        <v>0</v>
      </c>
      <c r="R168" s="146" t="n">
        <f aca="false">IF(M168=4,1,0)</f>
        <v>0</v>
      </c>
      <c r="S168" s="206"/>
      <c r="T168" s="192"/>
      <c r="U168" s="211"/>
    </row>
    <row r="169" customFormat="false" ht="20.15" hidden="false" customHeight="true" outlineLevel="0" collapsed="false">
      <c r="B169" s="77"/>
      <c r="C169" s="192"/>
      <c r="D169" s="198"/>
      <c r="E169" s="295" t="s">
        <v>41</v>
      </c>
      <c r="F169" s="233" t="s">
        <v>42</v>
      </c>
      <c r="G169" s="307" t="n">
        <v>3</v>
      </c>
      <c r="H169" s="308" t="s">
        <v>66</v>
      </c>
      <c r="I169" s="234" t="n">
        <v>-58</v>
      </c>
      <c r="J169" s="308" t="n">
        <v>-28</v>
      </c>
      <c r="K169" s="308" t="s">
        <v>66</v>
      </c>
      <c r="L169" s="235" t="n">
        <f aca="false">($I$166-J169)/($I$166-$J$168)*100</f>
        <v>50.8474576271186</v>
      </c>
      <c r="M169" s="234" t="n">
        <v>4</v>
      </c>
      <c r="N169" s="236" t="n">
        <v>0</v>
      </c>
      <c r="O169" s="156" t="n">
        <f aca="false">IF(M169=1,1,0)</f>
        <v>0</v>
      </c>
      <c r="P169" s="157" t="n">
        <f aca="false">IF(M169=2,1,0)</f>
        <v>0</v>
      </c>
      <c r="Q169" s="157" t="n">
        <f aca="false">IF(M169=3,1,0)</f>
        <v>0</v>
      </c>
      <c r="R169" s="158" t="n">
        <f aca="false">IF(M169=4,1,0)</f>
        <v>1</v>
      </c>
      <c r="S169" s="206"/>
      <c r="T169" s="192"/>
      <c r="U169" s="211"/>
    </row>
    <row r="170" customFormat="false" ht="20.15" hidden="true" customHeight="true" outlineLevel="1" collapsed="false">
      <c r="B170" s="77"/>
      <c r="C170" s="192"/>
      <c r="D170" s="198"/>
      <c r="E170" s="198"/>
      <c r="F170" s="206"/>
      <c r="G170" s="206"/>
      <c r="H170" s="192"/>
      <c r="I170" s="213" t="s">
        <v>92</v>
      </c>
      <c r="J170" s="161" t="n">
        <f aca="false">MAX(J166:J169)</f>
        <v>1</v>
      </c>
      <c r="K170" s="214"/>
      <c r="L170" s="206"/>
      <c r="M170" s="192"/>
      <c r="N170" s="164" t="s">
        <v>93</v>
      </c>
      <c r="O170" s="165" t="n">
        <f aca="false">SUM(O166:O169)</f>
        <v>1</v>
      </c>
      <c r="P170" s="166" t="n">
        <f aca="false">SUM(P166:P169)</f>
        <v>1</v>
      </c>
      <c r="Q170" s="165" t="n">
        <f aca="false">SUM(Q166:Q169)</f>
        <v>1</v>
      </c>
      <c r="R170" s="187" t="n">
        <f aca="false">SUM(R166:R169)</f>
        <v>1</v>
      </c>
      <c r="S170" s="215"/>
      <c r="T170" s="192"/>
      <c r="U170" s="211"/>
    </row>
    <row r="171" customFormat="false" ht="20.15" hidden="false" customHeight="true" outlineLevel="0" collapsed="false">
      <c r="B171" s="77"/>
      <c r="C171" s="192"/>
      <c r="D171" s="216"/>
      <c r="E171" s="216"/>
      <c r="F171" s="192"/>
      <c r="G171" s="192"/>
      <c r="H171" s="192"/>
      <c r="I171" s="192"/>
      <c r="J171" s="192"/>
      <c r="K171" s="192"/>
      <c r="L171" s="192"/>
      <c r="M171" s="192"/>
      <c r="N171" s="192"/>
      <c r="O171" s="192"/>
      <c r="P171" s="192"/>
      <c r="Q171" s="192"/>
      <c r="R171" s="192"/>
      <c r="S171" s="192"/>
      <c r="T171" s="192"/>
      <c r="U171" s="211"/>
    </row>
    <row r="172" customFormat="false" ht="20.15" hidden="false" customHeight="true" outlineLevel="0" collapsed="false">
      <c r="B172" s="77"/>
      <c r="D172" s="190"/>
      <c r="E172" s="190"/>
      <c r="F172" s="190"/>
      <c r="G172" s="190"/>
      <c r="H172" s="191"/>
      <c r="I172" s="190"/>
      <c r="J172" s="190"/>
      <c r="K172" s="190"/>
      <c r="L172" s="14"/>
      <c r="M172" s="14"/>
      <c r="N172" s="14"/>
      <c r="O172" s="14"/>
      <c r="P172" s="14"/>
      <c r="Q172" s="14"/>
      <c r="R172" s="14"/>
      <c r="S172" s="14"/>
      <c r="U172" s="207"/>
    </row>
    <row r="173" customFormat="false" ht="20.15" hidden="false" customHeight="true" outlineLevel="0" collapsed="false">
      <c r="B173" s="77"/>
      <c r="C173" s="217"/>
      <c r="D173" s="217"/>
      <c r="E173" s="218" t="str">
        <f aca="false">IF(OR(M144="-",M144= ""),H144,M144)</f>
        <v>Auf den Spuren von Marco Polo</v>
      </c>
      <c r="F173" s="218"/>
      <c r="G173" s="218"/>
      <c r="H173" s="218"/>
      <c r="I173" s="218"/>
      <c r="J173" s="218"/>
      <c r="K173" s="218"/>
      <c r="L173" s="218"/>
      <c r="M173" s="218"/>
      <c r="N173" s="218"/>
      <c r="O173" s="219"/>
      <c r="P173" s="219"/>
      <c r="Q173" s="219"/>
      <c r="R173" s="219"/>
      <c r="S173" s="219"/>
      <c r="T173" s="217"/>
      <c r="U173" s="77"/>
    </row>
    <row r="174" customFormat="false" ht="50.15" hidden="false" customHeight="true" outlineLevel="0" collapsed="false">
      <c r="B174" s="77"/>
      <c r="C174" s="217"/>
      <c r="D174" s="219"/>
      <c r="E174" s="125" t="s">
        <v>52</v>
      </c>
      <c r="F174" s="126" t="s">
        <v>75</v>
      </c>
      <c r="G174" s="82" t="s">
        <v>76</v>
      </c>
      <c r="H174" s="81" t="s">
        <v>77</v>
      </c>
      <c r="I174" s="59" t="s">
        <v>78</v>
      </c>
      <c r="J174" s="81" t="s">
        <v>79</v>
      </c>
      <c r="K174" s="127" t="s">
        <v>80</v>
      </c>
      <c r="L174" s="81" t="s">
        <v>81</v>
      </c>
      <c r="M174" s="128" t="s">
        <v>82</v>
      </c>
      <c r="N174" s="129" t="s">
        <v>83</v>
      </c>
      <c r="O174" s="130" t="s">
        <v>84</v>
      </c>
      <c r="P174" s="131" t="s">
        <v>85</v>
      </c>
      <c r="Q174" s="131" t="s">
        <v>86</v>
      </c>
      <c r="R174" s="197" t="s">
        <v>87</v>
      </c>
      <c r="S174" s="219"/>
      <c r="T174" s="217"/>
      <c r="U174" s="77"/>
    </row>
    <row r="175" customFormat="false" ht="20.15" hidden="false" customHeight="true" outlineLevel="0" collapsed="false">
      <c r="B175" s="77"/>
      <c r="C175" s="217"/>
      <c r="D175" s="220"/>
      <c r="E175" s="86" t="s">
        <v>33</v>
      </c>
      <c r="F175" s="87" t="s">
        <v>34</v>
      </c>
      <c r="G175" s="304" t="n">
        <v>3</v>
      </c>
      <c r="H175" s="222" t="s">
        <v>145</v>
      </c>
      <c r="I175" s="221" t="n">
        <v>0</v>
      </c>
      <c r="J175" s="356" t="n">
        <v>55</v>
      </c>
      <c r="K175" s="222" t="s">
        <v>66</v>
      </c>
      <c r="L175" s="223" t="n">
        <f aca="false">IF(J175="",0,(J175/J179)*100)</f>
        <v>79.7101449275362</v>
      </c>
      <c r="M175" s="221" t="n">
        <v>3</v>
      </c>
      <c r="N175" s="224" t="n">
        <v>1</v>
      </c>
      <c r="O175" s="137" t="n">
        <f aca="false">IF(M175=1,1,0)</f>
        <v>0</v>
      </c>
      <c r="P175" s="138" t="n">
        <f aca="false">IF(M175=2,1,0)</f>
        <v>0</v>
      </c>
      <c r="Q175" s="138" t="n">
        <f aca="false">IF(M175=3,1,0)</f>
        <v>1</v>
      </c>
      <c r="R175" s="139" t="n">
        <f aca="false">IF(M175=4,1,0)</f>
        <v>0</v>
      </c>
      <c r="S175" s="225"/>
      <c r="T175" s="217"/>
      <c r="U175" s="77"/>
    </row>
    <row r="176" customFormat="false" ht="20.15" hidden="false" customHeight="true" outlineLevel="0" collapsed="false">
      <c r="B176" s="77"/>
      <c r="C176" s="217"/>
      <c r="D176" s="220"/>
      <c r="E176" s="147" t="s">
        <v>35</v>
      </c>
      <c r="F176" s="148" t="s">
        <v>36</v>
      </c>
      <c r="G176" s="305" t="n">
        <v>4</v>
      </c>
      <c r="H176" s="149" t="s">
        <v>146</v>
      </c>
      <c r="I176" s="149" t="n">
        <v>0</v>
      </c>
      <c r="J176" s="357" t="n">
        <v>69</v>
      </c>
      <c r="K176" s="179" t="s">
        <v>66</v>
      </c>
      <c r="L176" s="150" t="n">
        <f aca="false">IF(J176="",0,(J176/J179)*100)</f>
        <v>100</v>
      </c>
      <c r="M176" s="149" t="n">
        <v>1</v>
      </c>
      <c r="N176" s="151" t="n">
        <v>6</v>
      </c>
      <c r="O176" s="144" t="n">
        <f aca="false">IF(M176=1,1,0)</f>
        <v>1</v>
      </c>
      <c r="P176" s="145" t="n">
        <f aca="false">IF(M176=2,1,0)</f>
        <v>0</v>
      </c>
      <c r="Q176" s="145" t="n">
        <f aca="false">IF(M176=3,1,0)</f>
        <v>0</v>
      </c>
      <c r="R176" s="146" t="n">
        <f aca="false">IF(M176=4,1,0)</f>
        <v>0</v>
      </c>
      <c r="S176" s="225"/>
      <c r="T176" s="217"/>
      <c r="U176" s="77"/>
    </row>
    <row r="177" customFormat="false" ht="20.15" hidden="false" customHeight="true" outlineLevel="0" collapsed="false">
      <c r="B177" s="77"/>
      <c r="C177" s="217"/>
      <c r="D177" s="220"/>
      <c r="E177" s="105" t="s">
        <v>39</v>
      </c>
      <c r="F177" s="290" t="s">
        <v>40</v>
      </c>
      <c r="G177" s="306" t="n">
        <v>1</v>
      </c>
      <c r="H177" s="228" t="s">
        <v>147</v>
      </c>
      <c r="I177" s="228" t="n">
        <v>0</v>
      </c>
      <c r="J177" s="358" t="n">
        <v>62</v>
      </c>
      <c r="K177" s="228" t="s">
        <v>66</v>
      </c>
      <c r="L177" s="229" t="n">
        <f aca="false">IF(J177="",0,(J177/J179)*100)</f>
        <v>89.8550724637681</v>
      </c>
      <c r="M177" s="228" t="n">
        <v>2</v>
      </c>
      <c r="N177" s="230" t="n">
        <v>3</v>
      </c>
      <c r="O177" s="144" t="n">
        <f aca="false">IF(M177=1,1,0)</f>
        <v>0</v>
      </c>
      <c r="P177" s="145" t="n">
        <f aca="false">IF(M177=2,1,0)</f>
        <v>1</v>
      </c>
      <c r="Q177" s="145" t="n">
        <f aca="false">IF(M177=3,1,0)</f>
        <v>0</v>
      </c>
      <c r="R177" s="146" t="n">
        <f aca="false">IF(M177=4,1,0)</f>
        <v>0</v>
      </c>
      <c r="S177" s="225"/>
      <c r="T177" s="217"/>
      <c r="U177" s="77"/>
    </row>
    <row r="178" customFormat="false" ht="20.15" hidden="false" customHeight="true" outlineLevel="0" collapsed="false">
      <c r="B178" s="77"/>
      <c r="C178" s="217"/>
      <c r="D178" s="231"/>
      <c r="E178" s="295" t="s">
        <v>41</v>
      </c>
      <c r="F178" s="233" t="s">
        <v>42</v>
      </c>
      <c r="G178" s="307" t="n">
        <v>2</v>
      </c>
      <c r="H178" s="234" t="s">
        <v>148</v>
      </c>
      <c r="I178" s="234" t="n">
        <v>0</v>
      </c>
      <c r="J178" s="359" t="n">
        <v>37</v>
      </c>
      <c r="K178" s="308" t="s">
        <v>66</v>
      </c>
      <c r="L178" s="235" t="n">
        <f aca="false">IF(J178="",0,(J178/J179)*100)</f>
        <v>53.6231884057971</v>
      </c>
      <c r="M178" s="234" t="n">
        <v>4</v>
      </c>
      <c r="N178" s="236" t="n">
        <v>0</v>
      </c>
      <c r="O178" s="156" t="n">
        <f aca="false">IF(M178=1,1,0)</f>
        <v>0</v>
      </c>
      <c r="P178" s="157" t="n">
        <f aca="false">IF(M178=2,1,0)</f>
        <v>0</v>
      </c>
      <c r="Q178" s="157" t="n">
        <f aca="false">IF(M178=3,1,0)</f>
        <v>0</v>
      </c>
      <c r="R178" s="158" t="n">
        <f aca="false">IF(M178=4,1,0)</f>
        <v>1</v>
      </c>
      <c r="S178" s="225"/>
      <c r="T178" s="217"/>
      <c r="U178" s="77"/>
    </row>
    <row r="179" customFormat="false" ht="20.15" hidden="true" customHeight="true" outlineLevel="1" collapsed="false">
      <c r="B179" s="77"/>
      <c r="C179" s="217"/>
      <c r="D179" s="220"/>
      <c r="E179" s="220"/>
      <c r="F179" s="225"/>
      <c r="G179" s="225"/>
      <c r="H179" s="217"/>
      <c r="I179" s="213" t="s">
        <v>92</v>
      </c>
      <c r="J179" s="161" t="n">
        <f aca="false">MAX(J175:J178)</f>
        <v>69</v>
      </c>
      <c r="K179" s="237"/>
      <c r="L179" s="225"/>
      <c r="M179" s="217"/>
      <c r="N179" s="164" t="s">
        <v>93</v>
      </c>
      <c r="O179" s="165" t="n">
        <f aca="false">SUM(O175:O178)</f>
        <v>1</v>
      </c>
      <c r="P179" s="166" t="n">
        <f aca="false">SUM(P175:P178)</f>
        <v>1</v>
      </c>
      <c r="Q179" s="165" t="n">
        <f aca="false">SUM(Q175:Q178)</f>
        <v>1</v>
      </c>
      <c r="R179" s="187" t="n">
        <f aca="false">SUM(R175:R178)</f>
        <v>1</v>
      </c>
      <c r="S179" s="238"/>
      <c r="T179" s="217"/>
      <c r="U179" s="77"/>
    </row>
    <row r="180" customFormat="false" ht="20.15" hidden="false" customHeight="true" outlineLevel="0" collapsed="false">
      <c r="B180" s="77"/>
      <c r="C180" s="217"/>
      <c r="D180" s="239"/>
      <c r="E180" s="239"/>
      <c r="F180" s="217"/>
      <c r="G180" s="217"/>
      <c r="H180" s="217"/>
      <c r="I180" s="217"/>
      <c r="J180" s="217"/>
      <c r="K180" s="217"/>
      <c r="L180" s="217"/>
      <c r="M180" s="217"/>
      <c r="N180" s="217"/>
      <c r="O180" s="217"/>
      <c r="P180" s="217"/>
      <c r="Q180" s="217"/>
      <c r="R180" s="217"/>
      <c r="S180" s="217"/>
      <c r="T180" s="217"/>
      <c r="U180" s="77"/>
    </row>
    <row r="181" customFormat="false" ht="20.15" hidden="false" customHeight="true" outlineLevel="0" collapsed="false">
      <c r="B181" s="77"/>
      <c r="D181" s="5"/>
      <c r="E181" s="5"/>
      <c r="F181" s="5"/>
      <c r="G181" s="5"/>
      <c r="H181" s="5"/>
      <c r="I181" s="5"/>
      <c r="J181" s="5"/>
      <c r="K181" s="14"/>
      <c r="L181" s="14"/>
      <c r="M181" s="14"/>
      <c r="N181" s="14"/>
      <c r="O181" s="14"/>
      <c r="P181" s="14"/>
      <c r="Q181" s="14"/>
      <c r="R181" s="14"/>
      <c r="S181" s="14"/>
      <c r="U181" s="77"/>
    </row>
    <row r="182" customFormat="false" ht="30" hidden="false" customHeight="true" outlineLevel="0" collapsed="false">
      <c r="B182" s="77"/>
      <c r="C182" s="240"/>
      <c r="D182" s="241" t="s">
        <v>149</v>
      </c>
      <c r="E182" s="241"/>
      <c r="F182" s="241"/>
      <c r="G182" s="241"/>
      <c r="H182" s="241"/>
      <c r="I182" s="241"/>
      <c r="J182" s="241"/>
      <c r="K182" s="241"/>
      <c r="L182" s="241"/>
      <c r="M182" s="241"/>
      <c r="N182" s="241"/>
      <c r="O182" s="241"/>
      <c r="P182" s="241"/>
      <c r="Q182" s="241"/>
      <c r="R182" s="241"/>
      <c r="S182" s="241"/>
      <c r="T182" s="240"/>
      <c r="U182" s="77"/>
    </row>
    <row r="183" customFormat="false" ht="50.15" hidden="false" customHeight="true" outlineLevel="0" collapsed="false">
      <c r="B183" s="77"/>
      <c r="C183" s="240"/>
      <c r="D183" s="242" t="s">
        <v>52</v>
      </c>
      <c r="E183" s="243" t="s">
        <v>53</v>
      </c>
      <c r="F183" s="244" t="s">
        <v>83</v>
      </c>
      <c r="G183" s="245" t="s">
        <v>102</v>
      </c>
      <c r="H183" s="246" t="s">
        <v>103</v>
      </c>
      <c r="I183" s="246"/>
      <c r="J183" s="247" t="s">
        <v>104</v>
      </c>
      <c r="K183" s="248" t="s">
        <v>105</v>
      </c>
      <c r="L183" s="244" t="s">
        <v>106</v>
      </c>
      <c r="M183" s="248" t="s">
        <v>107</v>
      </c>
      <c r="N183" s="244" t="s">
        <v>108</v>
      </c>
      <c r="O183" s="249"/>
      <c r="P183" s="250"/>
      <c r="Q183" s="250"/>
      <c r="R183" s="250"/>
      <c r="S183" s="243" t="s">
        <v>109</v>
      </c>
      <c r="T183" s="240"/>
      <c r="U183" s="77"/>
    </row>
    <row r="184" customFormat="false" ht="20.15" hidden="false" customHeight="true" outlineLevel="0" collapsed="false">
      <c r="B184" s="77"/>
      <c r="C184" s="240"/>
      <c r="D184" s="251" t="s">
        <v>35</v>
      </c>
      <c r="E184" s="360" t="s">
        <v>36</v>
      </c>
      <c r="F184" s="327" t="n">
        <f aca="false">K184*6+L184*3+M184*1+N184*0</f>
        <v>16</v>
      </c>
      <c r="G184" s="328" t="n">
        <v>0</v>
      </c>
      <c r="H184" s="328" t="s">
        <v>66</v>
      </c>
      <c r="I184" s="328"/>
      <c r="J184" s="327" t="n">
        <f aca="false">F184+G184</f>
        <v>16</v>
      </c>
      <c r="K184" s="327" t="n">
        <v>2</v>
      </c>
      <c r="L184" s="327" t="n">
        <v>1</v>
      </c>
      <c r="M184" s="327" t="n">
        <v>1</v>
      </c>
      <c r="N184" s="327" t="n">
        <v>0</v>
      </c>
      <c r="O184" s="16"/>
      <c r="P184" s="328"/>
      <c r="Q184" s="328"/>
      <c r="R184" s="328"/>
      <c r="S184" s="329" t="n">
        <f aca="false">(L149+L158+L167+L176)/4</f>
        <v>88.0558325024925</v>
      </c>
      <c r="T184" s="240"/>
      <c r="U184" s="77"/>
    </row>
    <row r="185" customFormat="false" ht="20.15" hidden="false" customHeight="true" outlineLevel="0" collapsed="false">
      <c r="B185" s="77"/>
      <c r="C185" s="240"/>
      <c r="D185" s="257" t="s">
        <v>39</v>
      </c>
      <c r="E185" s="258" t="s">
        <v>40</v>
      </c>
      <c r="F185" s="330" t="n">
        <f aca="false">K185*6+L185*3+M185*1+N185*0</f>
        <v>15</v>
      </c>
      <c r="G185" s="331" t="n">
        <v>0</v>
      </c>
      <c r="H185" s="331" t="s">
        <v>66</v>
      </c>
      <c r="I185" s="331"/>
      <c r="J185" s="330" t="n">
        <f aca="false">F185+G185</f>
        <v>15</v>
      </c>
      <c r="K185" s="330" t="n">
        <v>1</v>
      </c>
      <c r="L185" s="330" t="n">
        <v>3</v>
      </c>
      <c r="M185" s="330" t="n">
        <v>0</v>
      </c>
      <c r="N185" s="330" t="n">
        <v>0</v>
      </c>
      <c r="O185" s="332"/>
      <c r="P185" s="331"/>
      <c r="Q185" s="331"/>
      <c r="R185" s="331"/>
      <c r="S185" s="333" t="n">
        <f aca="false">(L150+L159+L168+L177)/4</f>
        <v>88.885336743393</v>
      </c>
      <c r="T185" s="240"/>
      <c r="U185" s="77"/>
    </row>
    <row r="186" customFormat="false" ht="20.15" hidden="false" customHeight="true" outlineLevel="0" collapsed="false">
      <c r="B186" s="77"/>
      <c r="C186" s="240"/>
      <c r="D186" s="257" t="s">
        <v>33</v>
      </c>
      <c r="E186" s="361" t="s">
        <v>34</v>
      </c>
      <c r="F186" s="330" t="n">
        <f aca="false">K186*6+L186*3+M186*1+N186*0</f>
        <v>9</v>
      </c>
      <c r="G186" s="331" t="n">
        <v>0</v>
      </c>
      <c r="H186" s="331" t="s">
        <v>66</v>
      </c>
      <c r="I186" s="331"/>
      <c r="J186" s="330" t="n">
        <f aca="false">F186+G186</f>
        <v>9</v>
      </c>
      <c r="K186" s="330" t="n">
        <v>1</v>
      </c>
      <c r="L186" s="330" t="n">
        <v>0</v>
      </c>
      <c r="M186" s="330" t="n">
        <v>3</v>
      </c>
      <c r="N186" s="330" t="n">
        <v>0</v>
      </c>
      <c r="O186" s="332"/>
      <c r="P186" s="331"/>
      <c r="Q186" s="331"/>
      <c r="R186" s="331"/>
      <c r="S186" s="333" t="n">
        <f aca="false">(L148+L157+L166+L175)/4</f>
        <v>77.3274379759273</v>
      </c>
      <c r="T186" s="240"/>
      <c r="U186" s="77"/>
    </row>
    <row r="187" customFormat="false" ht="20.15" hidden="false" customHeight="true" outlineLevel="0" collapsed="false">
      <c r="B187" s="77"/>
      <c r="C187" s="240"/>
      <c r="D187" s="337" t="s">
        <v>41</v>
      </c>
      <c r="E187" s="362" t="s">
        <v>42</v>
      </c>
      <c r="F187" s="338" t="n">
        <f aca="false">K187*6+L187*3+M187*1+N187*0</f>
        <v>0</v>
      </c>
      <c r="G187" s="339" t="n">
        <v>0</v>
      </c>
      <c r="H187" s="339" t="s">
        <v>66</v>
      </c>
      <c r="I187" s="339"/>
      <c r="J187" s="338" t="n">
        <f aca="false">F187+G187</f>
        <v>0</v>
      </c>
      <c r="K187" s="338" t="n">
        <v>0</v>
      </c>
      <c r="L187" s="338" t="n">
        <v>0</v>
      </c>
      <c r="M187" s="338" t="n">
        <v>0</v>
      </c>
      <c r="N187" s="338" t="n">
        <v>4</v>
      </c>
      <c r="O187" s="340"/>
      <c r="P187" s="339"/>
      <c r="Q187" s="339"/>
      <c r="R187" s="339"/>
      <c r="S187" s="341" t="n">
        <f aca="false">(L151+L160+L169+L178)/4</f>
        <v>58.6070050717413</v>
      </c>
      <c r="T187" s="240"/>
      <c r="U187" s="77"/>
    </row>
    <row r="188" customFormat="false" ht="20.15" hidden="false" customHeight="true" outlineLevel="0" collapsed="false">
      <c r="B188" s="77"/>
      <c r="C188" s="240"/>
      <c r="D188" s="240"/>
      <c r="E188" s="240"/>
      <c r="F188" s="240"/>
      <c r="G188" s="240"/>
      <c r="H188" s="240"/>
      <c r="I188" s="240"/>
      <c r="J188" s="240"/>
      <c r="K188" s="240"/>
      <c r="L188" s="240"/>
      <c r="M188" s="240"/>
      <c r="N188" s="240"/>
      <c r="O188" s="240"/>
      <c r="P188" s="240"/>
      <c r="Q188" s="240"/>
      <c r="R188" s="240"/>
      <c r="S188" s="240"/>
      <c r="T188" s="240"/>
      <c r="U188" s="77"/>
    </row>
    <row r="189" customFormat="false" ht="20.15" hidden="false" customHeight="true" outlineLevel="0" collapsed="false">
      <c r="B189" s="77"/>
      <c r="C189" s="77"/>
      <c r="D189" s="270"/>
      <c r="E189" s="270"/>
      <c r="F189" s="195"/>
      <c r="G189" s="195"/>
      <c r="H189" s="270"/>
      <c r="I189" s="270"/>
      <c r="J189" s="270"/>
      <c r="K189" s="207"/>
      <c r="L189" s="207"/>
      <c r="M189" s="207"/>
      <c r="N189" s="207"/>
      <c r="O189" s="207"/>
      <c r="P189" s="207"/>
      <c r="Q189" s="207"/>
      <c r="R189" s="207"/>
      <c r="S189" s="207"/>
      <c r="T189" s="77"/>
      <c r="U189" s="77"/>
    </row>
  </sheetData>
  <mergeCells count="116">
    <mergeCell ref="A1:N2"/>
    <mergeCell ref="B4:J4"/>
    <mergeCell ref="L4:N4"/>
    <mergeCell ref="B5:C5"/>
    <mergeCell ref="B6:C6"/>
    <mergeCell ref="M6:M9"/>
    <mergeCell ref="B7:C7"/>
    <mergeCell ref="B8:C8"/>
    <mergeCell ref="B9:C9"/>
    <mergeCell ref="B10:C10"/>
    <mergeCell ref="M10:M13"/>
    <mergeCell ref="B11:C11"/>
    <mergeCell ref="B12:C12"/>
    <mergeCell ref="B13:C13"/>
    <mergeCell ref="B14:C14"/>
    <mergeCell ref="M14:M17"/>
    <mergeCell ref="B15:C15"/>
    <mergeCell ref="B16:C16"/>
    <mergeCell ref="B17:C17"/>
    <mergeCell ref="L18:M18"/>
    <mergeCell ref="B19:I19"/>
    <mergeCell ref="B20:C20"/>
    <mergeCell ref="B21:C21"/>
    <mergeCell ref="B22:C22"/>
    <mergeCell ref="C25:T25"/>
    <mergeCell ref="D27:D28"/>
    <mergeCell ref="E27:E28"/>
    <mergeCell ref="F27:F28"/>
    <mergeCell ref="G27:J27"/>
    <mergeCell ref="L27:S27"/>
    <mergeCell ref="I28:J28"/>
    <mergeCell ref="N28:S28"/>
    <mergeCell ref="I29:J29"/>
    <mergeCell ref="N29:S29"/>
    <mergeCell ref="I30:J30"/>
    <mergeCell ref="N30:S30"/>
    <mergeCell ref="I31:J31"/>
    <mergeCell ref="N31:S31"/>
    <mergeCell ref="I32:J32"/>
    <mergeCell ref="N32:S32"/>
    <mergeCell ref="E34:N34"/>
    <mergeCell ref="F40:G40"/>
    <mergeCell ref="F41:G41"/>
    <mergeCell ref="E43:N43"/>
    <mergeCell ref="F49:G49"/>
    <mergeCell ref="E52:N52"/>
    <mergeCell ref="F58:G58"/>
    <mergeCell ref="E61:N61"/>
    <mergeCell ref="F67:G67"/>
    <mergeCell ref="D70:S70"/>
    <mergeCell ref="H71:I71"/>
    <mergeCell ref="H72:I72"/>
    <mergeCell ref="H73:I73"/>
    <mergeCell ref="H74:I74"/>
    <mergeCell ref="H75:I75"/>
    <mergeCell ref="C81:T81"/>
    <mergeCell ref="D83:D84"/>
    <mergeCell ref="E83:E84"/>
    <mergeCell ref="F83:F84"/>
    <mergeCell ref="G83:J83"/>
    <mergeCell ref="L83:S83"/>
    <mergeCell ref="I84:J84"/>
    <mergeCell ref="N84:S84"/>
    <mergeCell ref="I85:J85"/>
    <mergeCell ref="N85:S85"/>
    <mergeCell ref="I86:J86"/>
    <mergeCell ref="N86:S86"/>
    <mergeCell ref="I87:J87"/>
    <mergeCell ref="N87:S87"/>
    <mergeCell ref="I88:J88"/>
    <mergeCell ref="N88:S88"/>
    <mergeCell ref="E90:N90"/>
    <mergeCell ref="F96:G96"/>
    <mergeCell ref="E99:N99"/>
    <mergeCell ref="F105:G105"/>
    <mergeCell ref="E108:N108"/>
    <mergeCell ref="F114:G114"/>
    <mergeCell ref="E117:N117"/>
    <mergeCell ref="F123:G123"/>
    <mergeCell ref="D126:S126"/>
    <mergeCell ref="H127:I127"/>
    <mergeCell ref="H128:I128"/>
    <mergeCell ref="H129:I129"/>
    <mergeCell ref="Y129:Z129"/>
    <mergeCell ref="H130:I130"/>
    <mergeCell ref="H131:I131"/>
    <mergeCell ref="C137:T137"/>
    <mergeCell ref="D139:D140"/>
    <mergeCell ref="E139:E140"/>
    <mergeCell ref="F139:F140"/>
    <mergeCell ref="G139:J139"/>
    <mergeCell ref="L139:S139"/>
    <mergeCell ref="I140:J140"/>
    <mergeCell ref="N140:S140"/>
    <mergeCell ref="I141:J141"/>
    <mergeCell ref="N141:S141"/>
    <mergeCell ref="I142:J142"/>
    <mergeCell ref="N142:S142"/>
    <mergeCell ref="I143:J143"/>
    <mergeCell ref="N143:S143"/>
    <mergeCell ref="I144:J144"/>
    <mergeCell ref="N144:S144"/>
    <mergeCell ref="E146:N146"/>
    <mergeCell ref="F152:G152"/>
    <mergeCell ref="E155:N155"/>
    <mergeCell ref="F161:G161"/>
    <mergeCell ref="E164:N164"/>
    <mergeCell ref="F170:G170"/>
    <mergeCell ref="E173:N173"/>
    <mergeCell ref="F179:G179"/>
    <mergeCell ref="D182:S182"/>
    <mergeCell ref="H183:I183"/>
    <mergeCell ref="H184:I184"/>
    <mergeCell ref="H185:I185"/>
    <mergeCell ref="H186:I186"/>
    <mergeCell ref="H187:I187"/>
  </mergeCells>
  <dataValidations count="1">
    <dataValidation allowBlank="true" operator="between" showDropDown="false" showErrorMessage="true" showInputMessage="true" sqref="J6:J17"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417"/>
  <sheetViews>
    <sheetView showFormulas="false" showGridLines="false" showRowColHeaders="true" showZeros="true" rightToLeft="false" tabSelected="false" showOutlineSymbols="true" defaultGridColor="true" view="normal" topLeftCell="A179" colorId="64" zoomScale="100" zoomScaleNormal="100" zoomScalePageLayoutView="100" workbookViewId="0">
      <selection pane="topLeft" activeCell="A179" activeCellId="0" sqref="A179"/>
    </sheetView>
  </sheetViews>
  <sheetFormatPr defaultColWidth="11.47265625" defaultRowHeight="14.5" zeroHeight="false" outlineLevelRow="1" outlineLevelCol="1"/>
  <cols>
    <col collapsed="false" customWidth="true" hidden="false" outlineLevel="0" max="3" min="1" style="1" width="3.72"/>
    <col collapsed="false" customWidth="true" hidden="false" outlineLevel="0" max="14" min="4" style="1" width="20.72"/>
    <col collapsed="false" customWidth="true" hidden="true" outlineLevel="1" max="18" min="15" style="1" width="20.72"/>
    <col collapsed="false" customWidth="true" hidden="false" outlineLevel="0" max="19" min="19" style="1" width="20.72"/>
    <col collapsed="false" customWidth="true" hidden="false" outlineLevel="0" max="21" min="20" style="1" width="3.72"/>
    <col collapsed="false" customWidth="true" hidden="false" outlineLevel="0" max="22" min="22" style="1" width="15.81"/>
    <col collapsed="false" customWidth="true" hidden="false" outlineLevel="0" max="24" min="23" style="1" width="20.72"/>
    <col collapsed="false" customWidth="false" hidden="false" outlineLevel="0" max="1024" min="25" style="1" width="11.45"/>
  </cols>
  <sheetData>
    <row r="1" customFormat="false" ht="14.5" hidden="false" customHeight="false" outlineLevel="0" collapsed="false">
      <c r="A1" s="2" t="s">
        <v>150</v>
      </c>
      <c r="B1" s="2"/>
      <c r="C1" s="2"/>
      <c r="D1" s="2"/>
      <c r="E1" s="2"/>
      <c r="F1" s="2"/>
      <c r="G1" s="2"/>
      <c r="H1" s="2"/>
      <c r="I1" s="2"/>
      <c r="J1" s="2"/>
      <c r="K1" s="2"/>
      <c r="L1" s="2"/>
      <c r="M1" s="2"/>
      <c r="N1" s="2"/>
    </row>
    <row r="2" customFormat="false" ht="14.5" hidden="false" customHeight="false" outlineLevel="0" collapsed="false">
      <c r="A2" s="2"/>
      <c r="B2" s="2"/>
      <c r="C2" s="2"/>
      <c r="D2" s="2"/>
      <c r="E2" s="2"/>
      <c r="F2" s="2"/>
      <c r="G2" s="2"/>
      <c r="H2" s="2"/>
      <c r="I2" s="2"/>
      <c r="J2" s="2"/>
      <c r="K2" s="2"/>
      <c r="L2" s="2"/>
      <c r="M2" s="2"/>
      <c r="N2" s="2"/>
    </row>
    <row r="3" customFormat="false" ht="20.15" hidden="false" customHeight="true" outlineLevel="0" collapsed="false"/>
    <row r="4" customFormat="false" ht="20.15" hidden="false" customHeight="true" outlineLevel="0" collapsed="false">
      <c r="B4" s="3" t="s">
        <v>151</v>
      </c>
      <c r="C4" s="3"/>
      <c r="D4" s="3"/>
      <c r="E4" s="3"/>
      <c r="F4" s="3"/>
      <c r="G4" s="3"/>
      <c r="H4" s="3"/>
      <c r="I4" s="3"/>
      <c r="J4" s="3"/>
      <c r="L4" s="3" t="s">
        <v>2</v>
      </c>
      <c r="M4" s="3"/>
      <c r="N4" s="3"/>
      <c r="Q4" s="4"/>
      <c r="R4" s="4"/>
      <c r="S4" s="4"/>
      <c r="T4" s="5"/>
      <c r="U4" s="4"/>
      <c r="V4" s="4"/>
      <c r="W4" s="4"/>
      <c r="X4" s="4"/>
    </row>
    <row r="5" customFormat="false" ht="50.15" hidden="false" customHeight="true" outlineLevel="0" collapsed="false">
      <c r="B5" s="6" t="s">
        <v>152</v>
      </c>
      <c r="C5" s="6"/>
      <c r="D5" s="7" t="s">
        <v>4</v>
      </c>
      <c r="E5" s="8" t="s">
        <v>5</v>
      </c>
      <c r="F5" s="9" t="s">
        <v>6</v>
      </c>
      <c r="G5" s="10" t="s">
        <v>7</v>
      </c>
      <c r="H5" s="10" t="s">
        <v>8</v>
      </c>
      <c r="I5" s="10" t="s">
        <v>9</v>
      </c>
      <c r="J5" s="9" t="s">
        <v>153</v>
      </c>
      <c r="L5" s="11" t="s">
        <v>4</v>
      </c>
      <c r="M5" s="12" t="s">
        <v>11</v>
      </c>
      <c r="N5" s="13" t="s">
        <v>12</v>
      </c>
      <c r="P5" s="14"/>
      <c r="Q5" s="5"/>
      <c r="S5" s="4"/>
      <c r="T5" s="4"/>
      <c r="U5" s="4"/>
      <c r="V5" s="5"/>
      <c r="W5" s="5"/>
    </row>
    <row r="6" customFormat="false" ht="20.15" hidden="false" customHeight="true" outlineLevel="0" collapsed="false">
      <c r="B6" s="15" t="n">
        <v>1</v>
      </c>
      <c r="C6" s="15"/>
      <c r="D6" s="16" t="s">
        <v>19</v>
      </c>
      <c r="E6" s="360" t="s">
        <v>20</v>
      </c>
      <c r="F6" s="363" t="s">
        <v>20</v>
      </c>
      <c r="G6" s="364" t="s">
        <v>20</v>
      </c>
      <c r="H6" s="18" t="s">
        <v>20</v>
      </c>
      <c r="I6" s="18" t="s">
        <v>18</v>
      </c>
      <c r="J6" s="19" t="s">
        <v>15</v>
      </c>
      <c r="L6" s="20" t="str">
        <f aca="false">D6</f>
        <v>Jérôme Schätzle</v>
      </c>
      <c r="M6" s="21" t="n">
        <v>1</v>
      </c>
      <c r="N6" s="22" t="n">
        <v>1</v>
      </c>
      <c r="P6" s="14"/>
      <c r="Q6" s="23"/>
      <c r="S6" s="14"/>
      <c r="T6" s="14"/>
      <c r="U6" s="14"/>
      <c r="V6" s="24"/>
      <c r="W6" s="24"/>
    </row>
    <row r="7" customFormat="false" ht="20.15" hidden="false" customHeight="true" outlineLevel="0" collapsed="false">
      <c r="B7" s="25" t="n">
        <v>2</v>
      </c>
      <c r="C7" s="25"/>
      <c r="D7" s="33" t="s">
        <v>13</v>
      </c>
      <c r="E7" s="36" t="s">
        <v>14</v>
      </c>
      <c r="F7" s="36" t="s">
        <v>14</v>
      </c>
      <c r="G7" s="36" t="s">
        <v>14</v>
      </c>
      <c r="H7" s="29" t="s">
        <v>14</v>
      </c>
      <c r="I7" s="29" t="s">
        <v>14</v>
      </c>
      <c r="J7" s="30" t="s">
        <v>15</v>
      </c>
      <c r="L7" s="31" t="str">
        <f aca="false">D7</f>
        <v>Devid Fulterer</v>
      </c>
      <c r="M7" s="21"/>
      <c r="N7" s="32" t="n">
        <v>2</v>
      </c>
      <c r="P7" s="14"/>
      <c r="Q7" s="23"/>
      <c r="S7" s="14"/>
      <c r="T7" s="14"/>
      <c r="U7" s="14"/>
      <c r="V7" s="24"/>
      <c r="W7" s="24"/>
    </row>
    <row r="8" customFormat="false" ht="20.15" hidden="false" customHeight="true" outlineLevel="0" collapsed="false">
      <c r="B8" s="25" t="n">
        <v>3</v>
      </c>
      <c r="C8" s="25"/>
      <c r="D8" s="26" t="s">
        <v>16</v>
      </c>
      <c r="E8" s="27" t="s">
        <v>17</v>
      </c>
      <c r="F8" s="28" t="s">
        <v>17</v>
      </c>
      <c r="G8" s="26" t="s">
        <v>17</v>
      </c>
      <c r="H8" s="29" t="s">
        <v>17</v>
      </c>
      <c r="I8" s="29" t="s">
        <v>18</v>
      </c>
      <c r="J8" s="30" t="s">
        <v>15</v>
      </c>
      <c r="L8" s="31" t="str">
        <f aca="false">D8</f>
        <v>Andreas Micke</v>
      </c>
      <c r="M8" s="21"/>
      <c r="N8" s="32" t="n">
        <v>3</v>
      </c>
      <c r="P8" s="14"/>
      <c r="Q8" s="23"/>
      <c r="S8" s="14"/>
      <c r="T8" s="14"/>
      <c r="U8" s="14"/>
      <c r="V8" s="24"/>
      <c r="W8" s="24"/>
    </row>
    <row r="9" customFormat="false" ht="20.15" hidden="false" customHeight="true" outlineLevel="0" collapsed="false">
      <c r="B9" s="25" t="n">
        <v>4</v>
      </c>
      <c r="C9" s="25"/>
      <c r="D9" s="26" t="s">
        <v>25</v>
      </c>
      <c r="E9" s="27" t="s">
        <v>26</v>
      </c>
      <c r="F9" s="28" t="s">
        <v>26</v>
      </c>
      <c r="G9" s="26" t="s">
        <v>26</v>
      </c>
      <c r="H9" s="29" t="s">
        <v>26</v>
      </c>
      <c r="I9" s="36" t="s">
        <v>18</v>
      </c>
      <c r="J9" s="30" t="s">
        <v>15</v>
      </c>
      <c r="L9" s="34" t="str">
        <f aca="false">D9</f>
        <v>Pauline Schätzle</v>
      </c>
      <c r="M9" s="21"/>
      <c r="N9" s="35" t="n">
        <v>4</v>
      </c>
      <c r="P9" s="14"/>
      <c r="Q9" s="23"/>
      <c r="S9" s="14"/>
      <c r="T9" s="14"/>
      <c r="U9" s="14"/>
      <c r="V9" s="24"/>
      <c r="W9" s="24"/>
    </row>
    <row r="10" customFormat="false" ht="20.15" hidden="false" customHeight="true" outlineLevel="0" collapsed="false">
      <c r="B10" s="25" t="n">
        <v>5</v>
      </c>
      <c r="C10" s="25"/>
      <c r="D10" s="26" t="s">
        <v>21</v>
      </c>
      <c r="E10" s="27" t="s">
        <v>22</v>
      </c>
      <c r="F10" s="28" t="s">
        <v>22</v>
      </c>
      <c r="G10" s="26" t="s">
        <v>18</v>
      </c>
      <c r="H10" s="29" t="s">
        <v>22</v>
      </c>
      <c r="I10" s="29" t="s">
        <v>18</v>
      </c>
      <c r="J10" s="30" t="s">
        <v>15</v>
      </c>
      <c r="L10" s="20" t="str">
        <f aca="false">D10</f>
        <v>Daniel Zimmerman</v>
      </c>
      <c r="M10" s="37" t="n">
        <v>2</v>
      </c>
      <c r="N10" s="22" t="n">
        <v>1</v>
      </c>
      <c r="P10" s="14"/>
      <c r="Q10" s="23"/>
      <c r="S10" s="14"/>
      <c r="T10" s="14"/>
      <c r="U10" s="14"/>
      <c r="V10" s="24"/>
      <c r="W10" s="24"/>
    </row>
    <row r="11" customFormat="false" ht="20.15" hidden="false" customHeight="true" outlineLevel="0" collapsed="false">
      <c r="B11" s="25" t="n">
        <v>6</v>
      </c>
      <c r="C11" s="25"/>
      <c r="D11" s="33" t="s">
        <v>27</v>
      </c>
      <c r="E11" s="36" t="s">
        <v>28</v>
      </c>
      <c r="F11" s="29" t="s">
        <v>29</v>
      </c>
      <c r="G11" s="29" t="s">
        <v>28</v>
      </c>
      <c r="H11" s="29" t="s">
        <v>28</v>
      </c>
      <c r="I11" s="36" t="s">
        <v>18</v>
      </c>
      <c r="J11" s="30" t="s">
        <v>15</v>
      </c>
      <c r="L11" s="31" t="str">
        <f aca="false">D11</f>
        <v>Judith Maibaum</v>
      </c>
      <c r="M11" s="37"/>
      <c r="N11" s="32" t="n">
        <v>2</v>
      </c>
      <c r="P11" s="14"/>
      <c r="Q11" s="23"/>
      <c r="S11" s="14"/>
      <c r="T11" s="14"/>
      <c r="U11" s="14"/>
      <c r="V11" s="24"/>
      <c r="W11" s="24"/>
    </row>
    <row r="12" customFormat="false" ht="20.15" hidden="false" customHeight="true" outlineLevel="0" collapsed="false">
      <c r="B12" s="25" t="n">
        <v>7</v>
      </c>
      <c r="C12" s="25"/>
      <c r="D12" s="33" t="s">
        <v>23</v>
      </c>
      <c r="E12" s="36" t="s">
        <v>24</v>
      </c>
      <c r="F12" s="29" t="s">
        <v>24</v>
      </c>
      <c r="G12" s="29" t="s">
        <v>18</v>
      </c>
      <c r="H12" s="29" t="s">
        <v>24</v>
      </c>
      <c r="I12" s="36" t="s">
        <v>18</v>
      </c>
      <c r="J12" s="30" t="s">
        <v>15</v>
      </c>
      <c r="L12" s="31" t="str">
        <f aca="false">D12</f>
        <v>Alex Ulbricht</v>
      </c>
      <c r="M12" s="37"/>
      <c r="N12" s="32" t="n">
        <v>3</v>
      </c>
      <c r="P12" s="14"/>
      <c r="Q12" s="23"/>
      <c r="S12" s="14"/>
      <c r="T12" s="14"/>
      <c r="U12" s="14"/>
      <c r="V12" s="24"/>
      <c r="W12" s="24"/>
    </row>
    <row r="13" customFormat="false" ht="20.15" hidden="false" customHeight="true" outlineLevel="0" collapsed="false">
      <c r="B13" s="25" t="n">
        <v>8</v>
      </c>
      <c r="C13" s="25"/>
      <c r="D13" s="33" t="s">
        <v>39</v>
      </c>
      <c r="E13" s="36" t="s">
        <v>40</v>
      </c>
      <c r="F13" s="29" t="s">
        <v>40</v>
      </c>
      <c r="G13" s="29" t="s">
        <v>40</v>
      </c>
      <c r="H13" s="29" t="s">
        <v>18</v>
      </c>
      <c r="I13" s="29" t="s">
        <v>18</v>
      </c>
      <c r="J13" s="30" t="s">
        <v>15</v>
      </c>
      <c r="L13" s="34" t="str">
        <f aca="false">D13</f>
        <v>Markus Hagenauer</v>
      </c>
      <c r="M13" s="37"/>
      <c r="N13" s="35" t="n">
        <v>4</v>
      </c>
      <c r="P13" s="14"/>
      <c r="Q13" s="23"/>
      <c r="S13" s="14"/>
      <c r="T13" s="14"/>
      <c r="U13" s="14"/>
      <c r="V13" s="24"/>
      <c r="W13" s="24"/>
    </row>
    <row r="14" customFormat="false" ht="20.15" hidden="false" customHeight="true" outlineLevel="0" collapsed="false">
      <c r="B14" s="25" t="n">
        <v>9</v>
      </c>
      <c r="C14" s="25"/>
      <c r="D14" s="33" t="s">
        <v>30</v>
      </c>
      <c r="E14" s="27" t="s">
        <v>31</v>
      </c>
      <c r="F14" s="28" t="s">
        <v>32</v>
      </c>
      <c r="G14" s="26" t="s">
        <v>18</v>
      </c>
      <c r="H14" s="29" t="s">
        <v>32</v>
      </c>
      <c r="I14" s="36" t="s">
        <v>18</v>
      </c>
      <c r="J14" s="30" t="s">
        <v>15</v>
      </c>
      <c r="L14" s="20" t="str">
        <f aca="false">D14</f>
        <v>Lisa Schätzle</v>
      </c>
      <c r="M14" s="37" t="n">
        <v>3</v>
      </c>
      <c r="N14" s="22" t="n">
        <v>1</v>
      </c>
      <c r="P14" s="14"/>
      <c r="Q14" s="23"/>
      <c r="S14" s="14"/>
      <c r="T14" s="14"/>
      <c r="U14" s="14"/>
      <c r="V14" s="24"/>
      <c r="W14" s="24"/>
    </row>
    <row r="15" customFormat="false" ht="20.15" hidden="false" customHeight="true" outlineLevel="0" collapsed="false">
      <c r="B15" s="25" t="n">
        <v>10</v>
      </c>
      <c r="C15" s="25"/>
      <c r="D15" s="33" t="s">
        <v>33</v>
      </c>
      <c r="E15" s="38" t="s">
        <v>34</v>
      </c>
      <c r="F15" s="29" t="s">
        <v>34</v>
      </c>
      <c r="G15" s="29" t="s">
        <v>34</v>
      </c>
      <c r="H15" s="29" t="s">
        <v>18</v>
      </c>
      <c r="I15" s="29" t="s">
        <v>18</v>
      </c>
      <c r="J15" s="30" t="s">
        <v>15</v>
      </c>
      <c r="L15" s="31" t="str">
        <f aca="false">D15</f>
        <v>Kai Maibaum</v>
      </c>
      <c r="M15" s="37"/>
      <c r="N15" s="32" t="n">
        <v>2</v>
      </c>
      <c r="P15" s="14"/>
      <c r="Q15" s="23"/>
      <c r="S15" s="14"/>
      <c r="T15" s="14"/>
      <c r="U15" s="14"/>
      <c r="V15" s="24"/>
      <c r="W15" s="24"/>
    </row>
    <row r="16" customFormat="false" ht="20.15" hidden="false" customHeight="true" outlineLevel="0" collapsed="false">
      <c r="B16" s="39" t="n">
        <v>11</v>
      </c>
      <c r="C16" s="39"/>
      <c r="D16" s="40" t="s">
        <v>41</v>
      </c>
      <c r="E16" s="41" t="s">
        <v>42</v>
      </c>
      <c r="F16" s="42" t="s">
        <v>42</v>
      </c>
      <c r="G16" s="43" t="s">
        <v>18</v>
      </c>
      <c r="H16" s="44" t="s">
        <v>18</v>
      </c>
      <c r="I16" s="44" t="s">
        <v>18</v>
      </c>
      <c r="J16" s="45" t="s">
        <v>38</v>
      </c>
      <c r="L16" s="365" t="str">
        <f aca="false">D16</f>
        <v>Franziska Büchner</v>
      </c>
      <c r="M16" s="37"/>
      <c r="N16" s="35" t="n">
        <v>3</v>
      </c>
      <c r="P16" s="14"/>
      <c r="Q16" s="23"/>
      <c r="S16" s="14"/>
      <c r="T16" s="14"/>
      <c r="U16" s="14"/>
      <c r="V16" s="24"/>
      <c r="W16" s="24"/>
    </row>
    <row r="17" customFormat="false" ht="20.15" hidden="false" customHeight="true" outlineLevel="0" collapsed="false">
      <c r="B17" s="39" t="n">
        <v>12</v>
      </c>
      <c r="C17" s="39"/>
      <c r="D17" s="43" t="s">
        <v>46</v>
      </c>
      <c r="E17" s="366" t="s">
        <v>47</v>
      </c>
      <c r="F17" s="366" t="s">
        <v>48</v>
      </c>
      <c r="G17" s="366" t="s">
        <v>48</v>
      </c>
      <c r="H17" s="366" t="s">
        <v>18</v>
      </c>
      <c r="I17" s="366" t="s">
        <v>18</v>
      </c>
      <c r="J17" s="45" t="s">
        <v>38</v>
      </c>
      <c r="L17" s="367" t="str">
        <f aca="false">D17</f>
        <v>Markus Hundshagen</v>
      </c>
      <c r="M17" s="21" t="n">
        <v>4</v>
      </c>
      <c r="N17" s="22" t="n">
        <v>1</v>
      </c>
      <c r="P17" s="14"/>
      <c r="Q17" s="23"/>
      <c r="S17" s="14"/>
      <c r="T17" s="14"/>
      <c r="U17" s="14"/>
      <c r="V17" s="24"/>
      <c r="W17" s="24"/>
    </row>
    <row r="18" customFormat="false" ht="20.15" hidden="false" customHeight="true" outlineLevel="0" collapsed="false">
      <c r="B18" s="47" t="n">
        <v>13</v>
      </c>
      <c r="C18" s="47"/>
      <c r="D18" s="48" t="s">
        <v>49</v>
      </c>
      <c r="E18" s="49" t="s">
        <v>50</v>
      </c>
      <c r="F18" s="50" t="s">
        <v>50</v>
      </c>
      <c r="G18" s="51" t="s">
        <v>18</v>
      </c>
      <c r="H18" s="52" t="s">
        <v>18</v>
      </c>
      <c r="I18" s="52" t="s">
        <v>18</v>
      </c>
      <c r="J18" s="53" t="s">
        <v>15</v>
      </c>
      <c r="L18" s="54" t="str">
        <f aca="false">D18</f>
        <v>Jonas Röhrig</v>
      </c>
      <c r="M18" s="21"/>
      <c r="N18" s="55" t="n">
        <v>2</v>
      </c>
      <c r="P18" s="14"/>
      <c r="Q18" s="23"/>
      <c r="S18" s="14"/>
      <c r="T18" s="14"/>
      <c r="U18" s="14"/>
      <c r="V18" s="24"/>
      <c r="W18" s="24"/>
    </row>
    <row r="19" customFormat="false" ht="20.15" hidden="false" customHeight="true" outlineLevel="0" collapsed="false">
      <c r="B19" s="14"/>
      <c r="C19" s="14"/>
      <c r="D19" s="14"/>
      <c r="E19" s="14"/>
      <c r="F19" s="14"/>
      <c r="G19" s="14"/>
      <c r="H19" s="14"/>
      <c r="I19" s="14"/>
      <c r="J19" s="14"/>
      <c r="L19" s="56" t="s">
        <v>154</v>
      </c>
      <c r="M19" s="56"/>
      <c r="N19" s="57" t="n">
        <v>13</v>
      </c>
      <c r="P19" s="4"/>
      <c r="Q19" s="4"/>
      <c r="S19" s="4"/>
      <c r="T19" s="4"/>
      <c r="U19" s="4"/>
      <c r="V19" s="4"/>
    </row>
    <row r="20" customFormat="false" ht="20.15" hidden="false" customHeight="true" outlineLevel="0" collapsed="false">
      <c r="B20" s="3" t="s">
        <v>155</v>
      </c>
      <c r="C20" s="3"/>
      <c r="D20" s="3"/>
      <c r="E20" s="3"/>
      <c r="F20" s="3"/>
      <c r="G20" s="3"/>
      <c r="H20" s="3"/>
      <c r="I20" s="3"/>
      <c r="M20" s="58"/>
      <c r="N20" s="58"/>
      <c r="O20" s="58"/>
      <c r="P20" s="5"/>
      <c r="Q20" s="4"/>
      <c r="R20" s="4"/>
      <c r="T20" s="4"/>
      <c r="U20" s="4"/>
      <c r="V20" s="4"/>
      <c r="W20" s="4"/>
    </row>
    <row r="21" customFormat="false" ht="29.5" hidden="false" customHeight="true" outlineLevel="0" collapsed="false">
      <c r="B21" s="59" t="s">
        <v>45</v>
      </c>
      <c r="C21" s="59"/>
      <c r="D21" s="60" t="s">
        <v>4</v>
      </c>
      <c r="E21" s="61" t="s">
        <v>5</v>
      </c>
      <c r="F21" s="62" t="s">
        <v>6</v>
      </c>
      <c r="G21" s="63" t="s">
        <v>7</v>
      </c>
      <c r="H21" s="64" t="s">
        <v>8</v>
      </c>
      <c r="I21" s="62" t="s">
        <v>9</v>
      </c>
      <c r="M21" s="58"/>
      <c r="N21" s="58"/>
      <c r="O21" s="58"/>
      <c r="P21" s="5"/>
      <c r="Q21" s="4"/>
      <c r="R21" s="4"/>
      <c r="T21" s="4"/>
      <c r="U21" s="4"/>
      <c r="V21" s="4"/>
      <c r="W21" s="4"/>
    </row>
    <row r="22" customFormat="false" ht="20.15" hidden="false" customHeight="true" outlineLevel="0" collapsed="false">
      <c r="B22" s="368" t="n">
        <v>1</v>
      </c>
      <c r="C22" s="368"/>
      <c r="D22" s="369"/>
      <c r="E22" s="370"/>
      <c r="F22" s="370"/>
      <c r="G22" s="370"/>
      <c r="H22" s="370"/>
      <c r="I22" s="371"/>
      <c r="M22" s="58"/>
      <c r="N22" s="58"/>
      <c r="O22" s="58"/>
      <c r="P22" s="5"/>
      <c r="Q22" s="4"/>
      <c r="R22" s="4"/>
      <c r="T22" s="4"/>
      <c r="U22" s="4"/>
      <c r="V22" s="4"/>
      <c r="W22" s="4"/>
    </row>
    <row r="23" customFormat="false" ht="20.15" hidden="false" customHeight="true" outlineLevel="0" collapsed="false">
      <c r="D23" s="76"/>
      <c r="E23" s="76"/>
      <c r="F23" s="76"/>
      <c r="M23" s="58"/>
      <c r="N23" s="58"/>
      <c r="O23" s="58"/>
      <c r="P23" s="5"/>
      <c r="Q23" s="4"/>
      <c r="R23" s="4"/>
      <c r="T23" s="4"/>
      <c r="U23" s="4"/>
      <c r="V23" s="4"/>
      <c r="W23" s="4"/>
    </row>
    <row r="24" customFormat="false" ht="20.15" hidden="false" customHeight="true" outlineLevel="0" collapsed="false">
      <c r="B24" s="77"/>
      <c r="C24" s="77"/>
      <c r="D24" s="78"/>
      <c r="E24" s="78"/>
      <c r="F24" s="78"/>
      <c r="G24" s="78"/>
      <c r="H24" s="77"/>
      <c r="I24" s="77"/>
      <c r="J24" s="77"/>
      <c r="K24" s="77"/>
      <c r="L24" s="77"/>
      <c r="M24" s="77"/>
      <c r="N24" s="77"/>
      <c r="O24" s="77"/>
      <c r="P24" s="77"/>
      <c r="Q24" s="77"/>
      <c r="R24" s="77"/>
      <c r="S24" s="77"/>
      <c r="T24" s="77"/>
      <c r="U24" s="77"/>
    </row>
    <row r="25" customFormat="false" ht="30" hidden="false" customHeight="true" outlineLevel="0" collapsed="false">
      <c r="B25" s="77"/>
      <c r="C25" s="79" t="s">
        <v>51</v>
      </c>
      <c r="D25" s="79"/>
      <c r="E25" s="79"/>
      <c r="F25" s="79"/>
      <c r="G25" s="79"/>
      <c r="H25" s="79"/>
      <c r="I25" s="79"/>
      <c r="J25" s="79"/>
      <c r="K25" s="79"/>
      <c r="L25" s="79"/>
      <c r="M25" s="79"/>
      <c r="N25" s="79"/>
      <c r="O25" s="79"/>
      <c r="P25" s="79"/>
      <c r="Q25" s="79"/>
      <c r="R25" s="79"/>
      <c r="S25" s="79"/>
      <c r="T25" s="79"/>
      <c r="U25" s="77"/>
    </row>
    <row r="26" customFormat="false" ht="20.15" hidden="false" customHeight="true" outlineLevel="0" collapsed="false">
      <c r="B26" s="77"/>
      <c r="U26" s="77"/>
    </row>
    <row r="27" customFormat="false" ht="20.15" hidden="false" customHeight="true" outlineLevel="0" collapsed="false">
      <c r="B27" s="77"/>
      <c r="D27" s="80" t="s">
        <v>52</v>
      </c>
      <c r="E27" s="81" t="s">
        <v>53</v>
      </c>
      <c r="F27" s="82" t="s">
        <v>12</v>
      </c>
      <c r="G27" s="83" t="s">
        <v>54</v>
      </c>
      <c r="H27" s="83"/>
      <c r="I27" s="83"/>
      <c r="J27" s="83"/>
      <c r="K27" s="81" t="s">
        <v>55</v>
      </c>
      <c r="L27" s="83" t="s">
        <v>56</v>
      </c>
      <c r="M27" s="83"/>
      <c r="N27" s="83"/>
      <c r="O27" s="83"/>
      <c r="P27" s="83"/>
      <c r="Q27" s="83"/>
      <c r="R27" s="83"/>
      <c r="S27" s="83"/>
      <c r="U27" s="77"/>
    </row>
    <row r="28" customFormat="false" ht="20.15" hidden="false" customHeight="true" outlineLevel="0" collapsed="false">
      <c r="B28" s="77"/>
      <c r="D28" s="80"/>
      <c r="E28" s="81"/>
      <c r="F28" s="81"/>
      <c r="G28" s="84" t="s">
        <v>57</v>
      </c>
      <c r="H28" s="84" t="s">
        <v>58</v>
      </c>
      <c r="I28" s="278" t="s">
        <v>59</v>
      </c>
      <c r="J28" s="278"/>
      <c r="K28" s="84" t="s">
        <v>60</v>
      </c>
      <c r="L28" s="84" t="s">
        <v>57</v>
      </c>
      <c r="M28" s="85" t="s">
        <v>61</v>
      </c>
      <c r="N28" s="82" t="s">
        <v>59</v>
      </c>
      <c r="O28" s="82"/>
      <c r="P28" s="82"/>
      <c r="Q28" s="82"/>
      <c r="R28" s="82"/>
      <c r="S28" s="82"/>
      <c r="U28" s="77"/>
    </row>
    <row r="29" customFormat="false" ht="50.15" hidden="false" customHeight="true" outlineLevel="0" collapsed="false">
      <c r="B29" s="77"/>
      <c r="D29" s="86" t="s">
        <v>19</v>
      </c>
      <c r="E29" s="372" t="s">
        <v>20</v>
      </c>
      <c r="F29" s="343" t="n">
        <v>1</v>
      </c>
      <c r="G29" s="89" t="s">
        <v>67</v>
      </c>
      <c r="H29" s="281" t="s">
        <v>156</v>
      </c>
      <c r="I29" s="282" t="s">
        <v>157</v>
      </c>
      <c r="J29" s="282"/>
      <c r="K29" s="373" t="s">
        <v>65</v>
      </c>
      <c r="L29" s="284" t="s">
        <v>66</v>
      </c>
      <c r="M29" s="94" t="s">
        <v>66</v>
      </c>
      <c r="N29" s="95" t="s">
        <v>66</v>
      </c>
      <c r="O29" s="95"/>
      <c r="P29" s="95"/>
      <c r="Q29" s="95"/>
      <c r="R29" s="95"/>
      <c r="S29" s="95"/>
      <c r="U29" s="77"/>
    </row>
    <row r="30" customFormat="false" ht="95.15" hidden="false" customHeight="true" outlineLevel="0" collapsed="false">
      <c r="B30" s="77"/>
      <c r="D30" s="105" t="s">
        <v>13</v>
      </c>
      <c r="E30" s="290" t="s">
        <v>14</v>
      </c>
      <c r="F30" s="346" t="n">
        <v>2</v>
      </c>
      <c r="G30" s="98" t="s">
        <v>67</v>
      </c>
      <c r="H30" s="99" t="s">
        <v>158</v>
      </c>
      <c r="I30" s="287" t="s">
        <v>159</v>
      </c>
      <c r="J30" s="287"/>
      <c r="K30" s="374" t="s">
        <v>65</v>
      </c>
      <c r="L30" s="289" t="s">
        <v>66</v>
      </c>
      <c r="M30" s="103" t="s">
        <v>66</v>
      </c>
      <c r="N30" s="104" t="s">
        <v>66</v>
      </c>
      <c r="O30" s="104"/>
      <c r="P30" s="104"/>
      <c r="Q30" s="104"/>
      <c r="R30" s="104"/>
      <c r="S30" s="104"/>
      <c r="U30" s="77"/>
    </row>
    <row r="31" customFormat="false" ht="125.15" hidden="false" customHeight="true" outlineLevel="0" collapsed="false">
      <c r="B31" s="77"/>
      <c r="D31" s="46" t="s">
        <v>16</v>
      </c>
      <c r="E31" s="96" t="s">
        <v>17</v>
      </c>
      <c r="F31" s="346" t="n">
        <v>3</v>
      </c>
      <c r="G31" s="106" t="s">
        <v>67</v>
      </c>
      <c r="H31" s="107" t="s">
        <v>68</v>
      </c>
      <c r="I31" s="293" t="s">
        <v>160</v>
      </c>
      <c r="J31" s="293"/>
      <c r="K31" s="375" t="s">
        <v>158</v>
      </c>
      <c r="L31" s="376" t="s">
        <v>66</v>
      </c>
      <c r="M31" s="111" t="s">
        <v>66</v>
      </c>
      <c r="N31" s="112" t="s">
        <v>66</v>
      </c>
      <c r="O31" s="112"/>
      <c r="P31" s="112"/>
      <c r="Q31" s="112"/>
      <c r="R31" s="112"/>
      <c r="S31" s="112"/>
      <c r="U31" s="77"/>
    </row>
    <row r="32" customFormat="false" ht="80.15" hidden="false" customHeight="true" outlineLevel="0" collapsed="false">
      <c r="B32" s="77"/>
      <c r="D32" s="54" t="s">
        <v>25</v>
      </c>
      <c r="E32" s="113" t="s">
        <v>26</v>
      </c>
      <c r="F32" s="350" t="n">
        <v>4</v>
      </c>
      <c r="G32" s="115" t="s">
        <v>71</v>
      </c>
      <c r="H32" s="101" t="s">
        <v>114</v>
      </c>
      <c r="I32" s="377" t="s">
        <v>115</v>
      </c>
      <c r="J32" s="377"/>
      <c r="K32" s="378" t="s">
        <v>65</v>
      </c>
      <c r="L32" s="379" t="s">
        <v>66</v>
      </c>
      <c r="M32" s="119" t="s">
        <v>66</v>
      </c>
      <c r="N32" s="120" t="s">
        <v>66</v>
      </c>
      <c r="O32" s="120"/>
      <c r="P32" s="120"/>
      <c r="Q32" s="120"/>
      <c r="R32" s="120"/>
      <c r="S32" s="120"/>
      <c r="U32" s="77"/>
    </row>
    <row r="33" customFormat="false" ht="20.15" hidden="false" customHeight="true" outlineLevel="0" collapsed="false">
      <c r="B33" s="77"/>
      <c r="D33" s="121"/>
      <c r="E33" s="121"/>
      <c r="U33" s="77"/>
    </row>
    <row r="34" customFormat="false" ht="20.15" hidden="false" customHeight="true" outlineLevel="0" collapsed="false">
      <c r="B34" s="77"/>
      <c r="C34" s="122"/>
      <c r="D34" s="122"/>
      <c r="E34" s="123" t="str">
        <f aca="false">IF(OR(M29="-",M29= ""),H29,M29)</f>
        <v>Marco Polo II: 
Im Auftrag des Khan</v>
      </c>
      <c r="F34" s="123"/>
      <c r="G34" s="123"/>
      <c r="H34" s="123"/>
      <c r="I34" s="123"/>
      <c r="J34" s="123"/>
      <c r="K34" s="123"/>
      <c r="L34" s="123"/>
      <c r="M34" s="123"/>
      <c r="N34" s="123"/>
      <c r="O34" s="124"/>
      <c r="P34" s="124"/>
      <c r="Q34" s="124"/>
      <c r="R34" s="124"/>
      <c r="S34" s="124"/>
      <c r="T34" s="122"/>
      <c r="U34" s="77"/>
    </row>
    <row r="35" customFormat="false" ht="50.15" hidden="false" customHeight="true" outlineLevel="0" collapsed="false">
      <c r="B35" s="77"/>
      <c r="C35" s="122"/>
      <c r="D35" s="124"/>
      <c r="E35" s="125" t="s">
        <v>52</v>
      </c>
      <c r="F35" s="126" t="s">
        <v>75</v>
      </c>
      <c r="G35" s="82" t="s">
        <v>76</v>
      </c>
      <c r="H35" s="81" t="s">
        <v>77</v>
      </c>
      <c r="I35" s="59" t="s">
        <v>78</v>
      </c>
      <c r="J35" s="81" t="s">
        <v>79</v>
      </c>
      <c r="K35" s="127" t="s">
        <v>80</v>
      </c>
      <c r="L35" s="81" t="s">
        <v>81</v>
      </c>
      <c r="M35" s="128" t="s">
        <v>82</v>
      </c>
      <c r="N35" s="129" t="s">
        <v>83</v>
      </c>
      <c r="O35" s="130" t="s">
        <v>84</v>
      </c>
      <c r="P35" s="131" t="s">
        <v>85</v>
      </c>
      <c r="Q35" s="131" t="s">
        <v>86</v>
      </c>
      <c r="R35" s="131" t="s">
        <v>87</v>
      </c>
      <c r="S35" s="124"/>
      <c r="T35" s="122"/>
      <c r="U35" s="77"/>
    </row>
    <row r="36" customFormat="false" ht="20.15" hidden="false" customHeight="true" outlineLevel="0" collapsed="false">
      <c r="B36" s="77"/>
      <c r="C36" s="122"/>
      <c r="D36" s="132"/>
      <c r="E36" s="199" t="s">
        <v>19</v>
      </c>
      <c r="F36" s="380" t="s">
        <v>20</v>
      </c>
      <c r="G36" s="201" t="n">
        <v>4</v>
      </c>
      <c r="H36" s="202" t="s">
        <v>119</v>
      </c>
      <c r="I36" s="201" t="n">
        <v>0</v>
      </c>
      <c r="J36" s="201" t="n">
        <v>162</v>
      </c>
      <c r="K36" s="201" t="s">
        <v>66</v>
      </c>
      <c r="L36" s="204" t="n">
        <f aca="false">IF(J36="",0,(J36/J40)*100)</f>
        <v>100</v>
      </c>
      <c r="M36" s="201" t="n">
        <v>1</v>
      </c>
      <c r="N36" s="205" t="n">
        <v>6</v>
      </c>
      <c r="O36" s="137" t="n">
        <f aca="false">IF(M36=1,1,0)</f>
        <v>1</v>
      </c>
      <c r="P36" s="138" t="n">
        <f aca="false">IF(M36=2,1,0)</f>
        <v>0</v>
      </c>
      <c r="Q36" s="138" t="n">
        <f aca="false">IF(M36=3,1,0)</f>
        <v>0</v>
      </c>
      <c r="R36" s="139" t="n">
        <f aca="false">IF(M36=4,1,0)</f>
        <v>0</v>
      </c>
      <c r="S36" s="140"/>
      <c r="T36" s="122"/>
      <c r="U36" s="77"/>
    </row>
    <row r="37" customFormat="false" ht="20.15" hidden="false" customHeight="true" outlineLevel="0" collapsed="false">
      <c r="B37" s="77"/>
      <c r="C37" s="122"/>
      <c r="D37" s="132"/>
      <c r="E37" s="105" t="s">
        <v>13</v>
      </c>
      <c r="F37" s="290" t="s">
        <v>14</v>
      </c>
      <c r="G37" s="228" t="n">
        <v>2</v>
      </c>
      <c r="H37" s="228" t="s">
        <v>161</v>
      </c>
      <c r="I37" s="228" t="n">
        <v>0</v>
      </c>
      <c r="J37" s="228" t="n">
        <v>109</v>
      </c>
      <c r="K37" s="228" t="s">
        <v>66</v>
      </c>
      <c r="L37" s="229" t="n">
        <f aca="false">IF(J37="",0,(J37/J40)*100)</f>
        <v>67.283950617284</v>
      </c>
      <c r="M37" s="228" t="n">
        <v>4</v>
      </c>
      <c r="N37" s="230" t="n">
        <v>0</v>
      </c>
      <c r="O37" s="144" t="n">
        <f aca="false">IF(M37=1,1,0)</f>
        <v>0</v>
      </c>
      <c r="P37" s="145" t="n">
        <f aca="false">IF(M37=2,1,0)</f>
        <v>0</v>
      </c>
      <c r="Q37" s="145" t="n">
        <f aca="false">IF(M37=3,1,0)</f>
        <v>0</v>
      </c>
      <c r="R37" s="146" t="n">
        <f aca="false">IF(M37=4,1,0)</f>
        <v>1</v>
      </c>
      <c r="S37" s="140"/>
      <c r="T37" s="122"/>
      <c r="U37" s="77"/>
    </row>
    <row r="38" customFormat="false" ht="20.15" hidden="false" customHeight="true" outlineLevel="0" collapsed="false">
      <c r="B38" s="77"/>
      <c r="C38" s="122"/>
      <c r="D38" s="132"/>
      <c r="E38" s="226" t="s">
        <v>16</v>
      </c>
      <c r="F38" s="227" t="s">
        <v>17</v>
      </c>
      <c r="G38" s="228" t="n">
        <v>1</v>
      </c>
      <c r="H38" s="228" t="s">
        <v>162</v>
      </c>
      <c r="I38" s="228" t="n">
        <v>0</v>
      </c>
      <c r="J38" s="228" t="n">
        <v>133</v>
      </c>
      <c r="K38" s="228" t="s">
        <v>66</v>
      </c>
      <c r="L38" s="229" t="n">
        <f aca="false">IF(J38="",0,(J38/J40)*100)</f>
        <v>82.0987654320988</v>
      </c>
      <c r="M38" s="228" t="n">
        <v>2</v>
      </c>
      <c r="N38" s="230" t="n">
        <v>3</v>
      </c>
      <c r="O38" s="144" t="n">
        <f aca="false">IF(M38=1,1,0)</f>
        <v>0</v>
      </c>
      <c r="P38" s="145" t="n">
        <f aca="false">IF(M38=2,1,0)</f>
        <v>1</v>
      </c>
      <c r="Q38" s="145" t="n">
        <f aca="false">IF(M38=3,1,0)</f>
        <v>0</v>
      </c>
      <c r="R38" s="146" t="n">
        <f aca="false">IF(M38=4,1,0)</f>
        <v>0</v>
      </c>
      <c r="S38" s="140"/>
      <c r="T38" s="122"/>
      <c r="U38" s="77"/>
    </row>
    <row r="39" customFormat="false" ht="20.15" hidden="false" customHeight="true" outlineLevel="0" collapsed="false">
      <c r="B39" s="77"/>
      <c r="C39" s="122"/>
      <c r="D39" s="152"/>
      <c r="E39" s="232" t="s">
        <v>25</v>
      </c>
      <c r="F39" s="233" t="s">
        <v>26</v>
      </c>
      <c r="G39" s="234" t="n">
        <v>3</v>
      </c>
      <c r="H39" s="234" t="s">
        <v>163</v>
      </c>
      <c r="I39" s="234" t="n">
        <v>0</v>
      </c>
      <c r="J39" s="234" t="n">
        <v>110</v>
      </c>
      <c r="K39" s="234" t="s">
        <v>66</v>
      </c>
      <c r="L39" s="381" t="n">
        <f aca="false">IF(J39="",0,(J39/J40)*100)</f>
        <v>67.9012345679012</v>
      </c>
      <c r="M39" s="234" t="n">
        <v>3</v>
      </c>
      <c r="N39" s="236" t="n">
        <v>1</v>
      </c>
      <c r="O39" s="156" t="n">
        <f aca="false">IF(M39=1,1,0)</f>
        <v>0</v>
      </c>
      <c r="P39" s="157" t="n">
        <f aca="false">IF(M39=2,1,0)</f>
        <v>0</v>
      </c>
      <c r="Q39" s="157" t="n">
        <f aca="false">IF(M39=3,1,0)</f>
        <v>1</v>
      </c>
      <c r="R39" s="158" t="n">
        <f aca="false">IF(M39=4,1,0)</f>
        <v>0</v>
      </c>
      <c r="S39" s="140"/>
      <c r="T39" s="122"/>
      <c r="U39" s="77"/>
    </row>
    <row r="40" customFormat="false" ht="20.15" hidden="true" customHeight="true" outlineLevel="1" collapsed="false">
      <c r="B40" s="77"/>
      <c r="C40" s="122"/>
      <c r="D40" s="159"/>
      <c r="E40" s="159"/>
      <c r="F40" s="140"/>
      <c r="G40" s="140"/>
      <c r="H40" s="122"/>
      <c r="I40" s="160" t="s">
        <v>92</v>
      </c>
      <c r="J40" s="161" t="n">
        <f aca="false">MAX(J36:J39)</f>
        <v>162</v>
      </c>
      <c r="K40" s="162"/>
      <c r="L40" s="163"/>
      <c r="M40" s="122"/>
      <c r="N40" s="164" t="s">
        <v>93</v>
      </c>
      <c r="O40" s="165" t="n">
        <f aca="false">SUM(O36:O39)</f>
        <v>1</v>
      </c>
      <c r="P40" s="166" t="n">
        <f aca="false">SUM(P36:P39)</f>
        <v>1</v>
      </c>
      <c r="Q40" s="165" t="n">
        <f aca="false">SUM(Q36:Q39)</f>
        <v>1</v>
      </c>
      <c r="R40" s="165" t="n">
        <f aca="false">SUM(R36:R39)</f>
        <v>1</v>
      </c>
      <c r="S40" s="167"/>
      <c r="T40" s="122"/>
      <c r="U40" s="77"/>
    </row>
    <row r="41" customFormat="false" ht="20.15" hidden="false" customHeight="true" outlineLevel="0" collapsed="false">
      <c r="B41" s="77"/>
      <c r="C41" s="122"/>
      <c r="D41" s="168"/>
      <c r="E41" s="168"/>
      <c r="F41" s="169"/>
      <c r="G41" s="169"/>
      <c r="H41" s="124"/>
      <c r="I41" s="122"/>
      <c r="J41" s="122"/>
      <c r="K41" s="122"/>
      <c r="L41" s="122"/>
      <c r="M41" s="122"/>
      <c r="N41" s="122"/>
      <c r="O41" s="122"/>
      <c r="P41" s="122"/>
      <c r="Q41" s="122"/>
      <c r="R41" s="122"/>
      <c r="S41" s="122"/>
      <c r="T41" s="122"/>
      <c r="U41" s="77"/>
    </row>
    <row r="42" customFormat="false" ht="20.15" hidden="false" customHeight="true" outlineLevel="0" collapsed="false">
      <c r="B42" s="77"/>
      <c r="U42" s="77"/>
    </row>
    <row r="43" customFormat="false" ht="20.15" hidden="false" customHeight="true" outlineLevel="0" collapsed="false">
      <c r="B43" s="77"/>
      <c r="C43" s="170"/>
      <c r="D43" s="170"/>
      <c r="E43" s="171" t="str">
        <f aca="false">IF(OR(M30="-",M30= ""),H30,M30)</f>
        <v>Terra Mystica</v>
      </c>
      <c r="F43" s="171"/>
      <c r="G43" s="171"/>
      <c r="H43" s="171"/>
      <c r="I43" s="171"/>
      <c r="J43" s="171"/>
      <c r="K43" s="171"/>
      <c r="L43" s="171"/>
      <c r="M43" s="171"/>
      <c r="N43" s="171"/>
      <c r="O43" s="172"/>
      <c r="P43" s="172"/>
      <c r="Q43" s="172"/>
      <c r="R43" s="172"/>
      <c r="S43" s="172"/>
      <c r="T43" s="170"/>
      <c r="U43" s="77"/>
    </row>
    <row r="44" customFormat="false" ht="50.15" hidden="false" customHeight="true" outlineLevel="0" collapsed="false">
      <c r="B44" s="77"/>
      <c r="C44" s="170"/>
      <c r="D44" s="172"/>
      <c r="E44" s="125" t="s">
        <v>52</v>
      </c>
      <c r="F44" s="126" t="s">
        <v>75</v>
      </c>
      <c r="G44" s="82" t="s">
        <v>76</v>
      </c>
      <c r="H44" s="81" t="s">
        <v>77</v>
      </c>
      <c r="I44" s="59" t="s">
        <v>78</v>
      </c>
      <c r="J44" s="81" t="s">
        <v>79</v>
      </c>
      <c r="K44" s="127" t="s">
        <v>80</v>
      </c>
      <c r="L44" s="81" t="s">
        <v>81</v>
      </c>
      <c r="M44" s="128" t="s">
        <v>82</v>
      </c>
      <c r="N44" s="129" t="s">
        <v>83</v>
      </c>
      <c r="O44" s="130" t="s">
        <v>84</v>
      </c>
      <c r="P44" s="131" t="s">
        <v>85</v>
      </c>
      <c r="Q44" s="131" t="s">
        <v>86</v>
      </c>
      <c r="R44" s="131" t="s">
        <v>87</v>
      </c>
      <c r="S44" s="172"/>
      <c r="T44" s="170"/>
      <c r="U44" s="77"/>
    </row>
    <row r="45" customFormat="false" ht="20.15" hidden="false" customHeight="true" outlineLevel="0" collapsed="false">
      <c r="B45" s="77"/>
      <c r="C45" s="170"/>
      <c r="D45" s="173"/>
      <c r="E45" s="199" t="s">
        <v>19</v>
      </c>
      <c r="F45" s="380" t="s">
        <v>20</v>
      </c>
      <c r="G45" s="201" t="n">
        <v>3</v>
      </c>
      <c r="H45" s="202" t="s">
        <v>164</v>
      </c>
      <c r="I45" s="201" t="n">
        <v>20</v>
      </c>
      <c r="J45" s="202" t="n">
        <v>144</v>
      </c>
      <c r="K45" s="202" t="s">
        <v>66</v>
      </c>
      <c r="L45" s="204" t="n">
        <f aca="false">IF(J45="",0,(J45/J49)*100)</f>
        <v>100</v>
      </c>
      <c r="M45" s="201" t="n">
        <v>1</v>
      </c>
      <c r="N45" s="205" t="n">
        <v>6</v>
      </c>
      <c r="O45" s="137" t="n">
        <f aca="false">IF(M45=1,1,0)</f>
        <v>1</v>
      </c>
      <c r="P45" s="138" t="n">
        <f aca="false">IF(M45=2,1,0)</f>
        <v>0</v>
      </c>
      <c r="Q45" s="138" t="n">
        <f aca="false">IF(M45=3,1,0)</f>
        <v>0</v>
      </c>
      <c r="R45" s="139" t="n">
        <f aca="false">IF(M45=4,1,0)</f>
        <v>0</v>
      </c>
      <c r="S45" s="176"/>
      <c r="T45" s="170"/>
      <c r="U45" s="77"/>
    </row>
    <row r="46" customFormat="false" ht="20.15" hidden="false" customHeight="true" outlineLevel="0" collapsed="false">
      <c r="B46" s="77"/>
      <c r="C46" s="170"/>
      <c r="D46" s="177"/>
      <c r="E46" s="105" t="s">
        <v>13</v>
      </c>
      <c r="F46" s="290" t="s">
        <v>14</v>
      </c>
      <c r="G46" s="228" t="n">
        <v>4</v>
      </c>
      <c r="H46" s="317" t="s">
        <v>165</v>
      </c>
      <c r="I46" s="228" t="n">
        <v>30</v>
      </c>
      <c r="J46" s="317" t="n">
        <v>123</v>
      </c>
      <c r="K46" s="317" t="s">
        <v>66</v>
      </c>
      <c r="L46" s="229" t="n">
        <f aca="false">IF(J46="",0,(J46/J49)*100)</f>
        <v>85.4166666666667</v>
      </c>
      <c r="M46" s="228" t="n">
        <v>3</v>
      </c>
      <c r="N46" s="230" t="n">
        <v>1</v>
      </c>
      <c r="O46" s="144" t="n">
        <f aca="false">IF(M46=1,1,0)</f>
        <v>0</v>
      </c>
      <c r="P46" s="145" t="n">
        <f aca="false">IF(M46=2,1,0)</f>
        <v>0</v>
      </c>
      <c r="Q46" s="145" t="n">
        <f aca="false">IF(M46=3,1,0)</f>
        <v>1</v>
      </c>
      <c r="R46" s="146" t="n">
        <f aca="false">IF(M46=4,1,0)</f>
        <v>0</v>
      </c>
      <c r="S46" s="176"/>
      <c r="T46" s="170"/>
      <c r="U46" s="77"/>
    </row>
    <row r="47" customFormat="false" ht="20.15" hidden="false" customHeight="true" outlineLevel="0" collapsed="false">
      <c r="B47" s="77"/>
      <c r="C47" s="170"/>
      <c r="D47" s="173"/>
      <c r="E47" s="226" t="s">
        <v>16</v>
      </c>
      <c r="F47" s="227" t="s">
        <v>17</v>
      </c>
      <c r="G47" s="228" t="n">
        <v>2</v>
      </c>
      <c r="H47" s="317" t="s">
        <v>166</v>
      </c>
      <c r="I47" s="228" t="n">
        <v>15</v>
      </c>
      <c r="J47" s="317" t="n">
        <v>128</v>
      </c>
      <c r="K47" s="317" t="s">
        <v>66</v>
      </c>
      <c r="L47" s="229" t="n">
        <f aca="false">IF(J47="",0,(J47/J49)*100)</f>
        <v>88.8888888888889</v>
      </c>
      <c r="M47" s="228" t="n">
        <v>2</v>
      </c>
      <c r="N47" s="230" t="n">
        <v>3</v>
      </c>
      <c r="O47" s="144" t="n">
        <f aca="false">IF(M47=1,1,0)</f>
        <v>0</v>
      </c>
      <c r="P47" s="145" t="n">
        <f aca="false">IF(M47=2,1,0)</f>
        <v>1</v>
      </c>
      <c r="Q47" s="145" t="n">
        <f aca="false">IF(M47=3,1,0)</f>
        <v>0</v>
      </c>
      <c r="R47" s="146" t="n">
        <f aca="false">IF(M47=4,1,0)</f>
        <v>0</v>
      </c>
      <c r="S47" s="176"/>
      <c r="T47" s="170"/>
      <c r="U47" s="77"/>
    </row>
    <row r="48" customFormat="false" ht="20.15" hidden="false" customHeight="true" outlineLevel="0" collapsed="false">
      <c r="B48" s="77"/>
      <c r="C48" s="170"/>
      <c r="D48" s="173"/>
      <c r="E48" s="232" t="s">
        <v>25</v>
      </c>
      <c r="F48" s="233" t="s">
        <v>26</v>
      </c>
      <c r="G48" s="234" t="n">
        <v>1</v>
      </c>
      <c r="H48" s="308" t="s">
        <v>167</v>
      </c>
      <c r="I48" s="234" t="n">
        <v>18</v>
      </c>
      <c r="J48" s="308" t="n">
        <v>122</v>
      </c>
      <c r="K48" s="234" t="s">
        <v>66</v>
      </c>
      <c r="L48" s="235" t="n">
        <f aca="false">IF(J48="",0,(J48/J49)*100)</f>
        <v>84.7222222222222</v>
      </c>
      <c r="M48" s="234" t="n">
        <v>4</v>
      </c>
      <c r="N48" s="236" t="n">
        <v>0</v>
      </c>
      <c r="O48" s="156" t="n">
        <f aca="false">IF(M48=1,1,0)</f>
        <v>0</v>
      </c>
      <c r="P48" s="157" t="n">
        <f aca="false">IF(M48=2,1,0)</f>
        <v>0</v>
      </c>
      <c r="Q48" s="157" t="n">
        <f aca="false">IF(M48=3,1,0)</f>
        <v>0</v>
      </c>
      <c r="R48" s="158" t="n">
        <f aca="false">IF(M48=4,1,0)</f>
        <v>1</v>
      </c>
      <c r="S48" s="176"/>
      <c r="T48" s="170"/>
      <c r="U48" s="77"/>
    </row>
    <row r="49" customFormat="false" ht="20.15" hidden="true" customHeight="true" outlineLevel="1" collapsed="false">
      <c r="B49" s="77"/>
      <c r="C49" s="170"/>
      <c r="D49" s="173"/>
      <c r="E49" s="173"/>
      <c r="F49" s="172"/>
      <c r="G49" s="172"/>
      <c r="H49" s="170"/>
      <c r="I49" s="185" t="s">
        <v>92</v>
      </c>
      <c r="J49" s="161" t="n">
        <f aca="false">MAX(J45:J48)</f>
        <v>144</v>
      </c>
      <c r="K49" s="186"/>
      <c r="L49" s="176"/>
      <c r="M49" s="170"/>
      <c r="N49" s="164" t="s">
        <v>93</v>
      </c>
      <c r="O49" s="165" t="n">
        <f aca="false">SUM(O45:O48)</f>
        <v>1</v>
      </c>
      <c r="P49" s="166" t="n">
        <f aca="false">SUM(P45:P48)</f>
        <v>1</v>
      </c>
      <c r="Q49" s="165" t="n">
        <f aca="false">SUM(Q45:Q48)</f>
        <v>1</v>
      </c>
      <c r="R49" s="187" t="n">
        <f aca="false">SUM(R45:R48)</f>
        <v>1</v>
      </c>
      <c r="S49" s="188"/>
      <c r="T49" s="170"/>
      <c r="U49" s="77"/>
    </row>
    <row r="50" customFormat="false" ht="20.15" hidden="false" customHeight="true" outlineLevel="0" collapsed="false">
      <c r="B50" s="77"/>
      <c r="C50" s="170"/>
      <c r="D50" s="189"/>
      <c r="E50" s="189"/>
      <c r="F50" s="170"/>
      <c r="G50" s="170"/>
      <c r="H50" s="170"/>
      <c r="I50" s="170"/>
      <c r="J50" s="170"/>
      <c r="K50" s="170"/>
      <c r="L50" s="170"/>
      <c r="M50" s="170"/>
      <c r="N50" s="170"/>
      <c r="O50" s="170"/>
      <c r="P50" s="170"/>
      <c r="Q50" s="170"/>
      <c r="R50" s="170"/>
      <c r="S50" s="170"/>
      <c r="T50" s="170"/>
      <c r="U50" s="77"/>
    </row>
    <row r="51" customFormat="false" ht="20.15" hidden="false" customHeight="true" outlineLevel="0" collapsed="false">
      <c r="B51" s="77"/>
      <c r="D51" s="190"/>
      <c r="E51" s="190"/>
      <c r="F51" s="190"/>
      <c r="G51" s="190"/>
      <c r="H51" s="191"/>
      <c r="I51" s="190"/>
      <c r="J51" s="190"/>
      <c r="K51" s="14"/>
      <c r="L51" s="14"/>
      <c r="M51" s="14"/>
      <c r="N51" s="14"/>
      <c r="O51" s="14"/>
      <c r="P51" s="14"/>
      <c r="Q51" s="14"/>
      <c r="R51" s="14"/>
      <c r="S51" s="14"/>
      <c r="U51" s="77"/>
    </row>
    <row r="52" customFormat="false" ht="20.15" hidden="false" customHeight="true" outlineLevel="0" collapsed="false">
      <c r="B52" s="77"/>
      <c r="C52" s="192"/>
      <c r="D52" s="192"/>
      <c r="E52" s="193" t="str">
        <f aca="false">IF(OR(M31="-",M31= ""),H31,M31)</f>
        <v>Clans of Caledonia</v>
      </c>
      <c r="F52" s="193"/>
      <c r="G52" s="193"/>
      <c r="H52" s="193"/>
      <c r="I52" s="193"/>
      <c r="J52" s="193"/>
      <c r="K52" s="193"/>
      <c r="L52" s="193"/>
      <c r="M52" s="193"/>
      <c r="N52" s="193"/>
      <c r="O52" s="194"/>
      <c r="P52" s="194"/>
      <c r="Q52" s="194"/>
      <c r="R52" s="194"/>
      <c r="S52" s="194"/>
      <c r="T52" s="192"/>
      <c r="U52" s="195"/>
      <c r="V52" s="196"/>
      <c r="W52" s="196"/>
    </row>
    <row r="53" customFormat="false" ht="50.15" hidden="false" customHeight="true" outlineLevel="0" collapsed="false">
      <c r="B53" s="77"/>
      <c r="C53" s="192"/>
      <c r="D53" s="194"/>
      <c r="E53" s="125" t="s">
        <v>52</v>
      </c>
      <c r="F53" s="126" t="s">
        <v>75</v>
      </c>
      <c r="G53" s="82" t="s">
        <v>76</v>
      </c>
      <c r="H53" s="81" t="s">
        <v>77</v>
      </c>
      <c r="I53" s="59" t="s">
        <v>78</v>
      </c>
      <c r="J53" s="81" t="s">
        <v>79</v>
      </c>
      <c r="K53" s="127" t="s">
        <v>80</v>
      </c>
      <c r="L53" s="81" t="s">
        <v>81</v>
      </c>
      <c r="M53" s="128" t="s">
        <v>82</v>
      </c>
      <c r="N53" s="129" t="s">
        <v>83</v>
      </c>
      <c r="O53" s="130" t="s">
        <v>84</v>
      </c>
      <c r="P53" s="131" t="s">
        <v>85</v>
      </c>
      <c r="Q53" s="131" t="s">
        <v>86</v>
      </c>
      <c r="R53" s="197" t="s">
        <v>87</v>
      </c>
      <c r="S53" s="194"/>
      <c r="T53" s="192"/>
      <c r="U53" s="195"/>
      <c r="V53" s="196"/>
      <c r="W53" s="196"/>
    </row>
    <row r="54" customFormat="false" ht="20.15" hidden="false" customHeight="true" outlineLevel="0" collapsed="false">
      <c r="B54" s="77"/>
      <c r="C54" s="192"/>
      <c r="D54" s="198"/>
      <c r="E54" s="86" t="s">
        <v>19</v>
      </c>
      <c r="F54" s="382" t="s">
        <v>20</v>
      </c>
      <c r="G54" s="221" t="n">
        <v>2</v>
      </c>
      <c r="H54" s="222" t="s">
        <v>94</v>
      </c>
      <c r="I54" s="221" t="n">
        <v>-12</v>
      </c>
      <c r="J54" s="356" t="n">
        <v>128</v>
      </c>
      <c r="K54" s="221" t="s">
        <v>66</v>
      </c>
      <c r="L54" s="223" t="n">
        <f aca="false">IF(J54="",0,(J54/J58)*100)</f>
        <v>82.5806451612903</v>
      </c>
      <c r="M54" s="221" t="n">
        <v>4</v>
      </c>
      <c r="N54" s="224" t="n">
        <v>0</v>
      </c>
      <c r="O54" s="137" t="n">
        <f aca="false">IF(M54=1,1,0)</f>
        <v>0</v>
      </c>
      <c r="P54" s="138" t="n">
        <f aca="false">IF(M54=2,1,0)</f>
        <v>0</v>
      </c>
      <c r="Q54" s="138" t="n">
        <f aca="false">IF(M54=3,1,0)</f>
        <v>0</v>
      </c>
      <c r="R54" s="139" t="n">
        <f aca="false">IF(M54=4,1,0)</f>
        <v>1</v>
      </c>
      <c r="S54" s="206"/>
      <c r="T54" s="192"/>
      <c r="U54" s="207"/>
      <c r="V54" s="121"/>
      <c r="W54" s="121"/>
    </row>
    <row r="55" customFormat="false" ht="20.15" hidden="false" customHeight="true" outlineLevel="0" collapsed="false">
      <c r="B55" s="77"/>
      <c r="C55" s="192"/>
      <c r="D55" s="208"/>
      <c r="E55" s="105" t="s">
        <v>13</v>
      </c>
      <c r="F55" s="290" t="s">
        <v>14</v>
      </c>
      <c r="G55" s="228" t="n">
        <v>3</v>
      </c>
      <c r="H55" s="228" t="s">
        <v>168</v>
      </c>
      <c r="I55" s="228" t="n">
        <v>-5</v>
      </c>
      <c r="J55" s="358" t="n">
        <v>132</v>
      </c>
      <c r="K55" s="228" t="s">
        <v>66</v>
      </c>
      <c r="L55" s="229" t="n">
        <f aca="false">IF(J55="",0,(J55/J58)*100)</f>
        <v>85.1612903225806</v>
      </c>
      <c r="M55" s="228" t="n">
        <v>3</v>
      </c>
      <c r="N55" s="230" t="n">
        <v>1</v>
      </c>
      <c r="O55" s="144" t="n">
        <f aca="false">IF(M55=1,1,0)</f>
        <v>0</v>
      </c>
      <c r="P55" s="145" t="n">
        <f aca="false">IF(M55=2,1,0)</f>
        <v>0</v>
      </c>
      <c r="Q55" s="145" t="n">
        <f aca="false">IF(M55=3,1,0)</f>
        <v>1</v>
      </c>
      <c r="R55" s="146" t="n">
        <f aca="false">IF(M55=4,1,0)</f>
        <v>0</v>
      </c>
      <c r="S55" s="206"/>
      <c r="T55" s="192"/>
      <c r="U55" s="211"/>
      <c r="V55" s="121"/>
      <c r="W55" s="121"/>
    </row>
    <row r="56" customFormat="false" ht="20.15" hidden="false" customHeight="true" outlineLevel="0" collapsed="false">
      <c r="B56" s="77"/>
      <c r="C56" s="192"/>
      <c r="D56" s="198"/>
      <c r="E56" s="178" t="s">
        <v>16</v>
      </c>
      <c r="F56" s="148" t="s">
        <v>17</v>
      </c>
      <c r="G56" s="149" t="n">
        <v>1</v>
      </c>
      <c r="H56" s="179" t="s">
        <v>169</v>
      </c>
      <c r="I56" s="149" t="n">
        <v>-15</v>
      </c>
      <c r="J56" s="357" t="n">
        <v>155</v>
      </c>
      <c r="K56" s="149" t="s">
        <v>66</v>
      </c>
      <c r="L56" s="150" t="n">
        <f aca="false">IF(J56="",0,(J56/J58)*100)</f>
        <v>100</v>
      </c>
      <c r="M56" s="149" t="n">
        <v>1</v>
      </c>
      <c r="N56" s="151" t="n">
        <v>6</v>
      </c>
      <c r="O56" s="144" t="n">
        <f aca="false">IF(M56=1,1,0)</f>
        <v>1</v>
      </c>
      <c r="P56" s="145" t="n">
        <f aca="false">IF(M56=2,1,0)</f>
        <v>0</v>
      </c>
      <c r="Q56" s="145" t="n">
        <f aca="false">IF(M56=3,1,0)</f>
        <v>0</v>
      </c>
      <c r="R56" s="146" t="n">
        <f aca="false">IF(M56=4,1,0)</f>
        <v>0</v>
      </c>
      <c r="S56" s="206"/>
      <c r="T56" s="192"/>
      <c r="U56" s="211"/>
      <c r="V56" s="121"/>
      <c r="W56" s="121"/>
    </row>
    <row r="57" customFormat="false" ht="20.15" hidden="false" customHeight="true" outlineLevel="0" collapsed="false">
      <c r="B57" s="77"/>
      <c r="C57" s="192"/>
      <c r="D57" s="198"/>
      <c r="E57" s="232" t="s">
        <v>25</v>
      </c>
      <c r="F57" s="233" t="s">
        <v>26</v>
      </c>
      <c r="G57" s="234" t="n">
        <v>4</v>
      </c>
      <c r="H57" s="308" t="s">
        <v>134</v>
      </c>
      <c r="I57" s="234" t="n">
        <v>0</v>
      </c>
      <c r="J57" s="359" t="n">
        <v>147</v>
      </c>
      <c r="K57" s="234" t="s">
        <v>66</v>
      </c>
      <c r="L57" s="381" t="n">
        <f aca="false">IF(J57="",0,(J57/J58)*100)</f>
        <v>94.8387096774194</v>
      </c>
      <c r="M57" s="234" t="n">
        <v>2</v>
      </c>
      <c r="N57" s="236" t="n">
        <v>3</v>
      </c>
      <c r="O57" s="156" t="n">
        <f aca="false">IF(M57=1,1,0)</f>
        <v>0</v>
      </c>
      <c r="P57" s="157" t="n">
        <f aca="false">IF(M57=2,1,0)</f>
        <v>1</v>
      </c>
      <c r="Q57" s="157" t="n">
        <f aca="false">IF(M57=3,1,0)</f>
        <v>0</v>
      </c>
      <c r="R57" s="158" t="n">
        <f aca="false">IF(M57=4,1,0)</f>
        <v>0</v>
      </c>
      <c r="S57" s="206"/>
      <c r="T57" s="192"/>
      <c r="U57" s="211"/>
      <c r="V57" s="121"/>
      <c r="W57" s="121"/>
    </row>
    <row r="58" customFormat="false" ht="20.15" hidden="true" customHeight="true" outlineLevel="1" collapsed="false">
      <c r="B58" s="77"/>
      <c r="C58" s="192"/>
      <c r="D58" s="198"/>
      <c r="E58" s="198"/>
      <c r="F58" s="206"/>
      <c r="G58" s="206"/>
      <c r="H58" s="192"/>
      <c r="I58" s="213" t="s">
        <v>92</v>
      </c>
      <c r="J58" s="161" t="n">
        <f aca="false">MAX(J54:J57)</f>
        <v>155</v>
      </c>
      <c r="K58" s="214"/>
      <c r="L58" s="206"/>
      <c r="M58" s="192"/>
      <c r="N58" s="164" t="s">
        <v>93</v>
      </c>
      <c r="O58" s="165" t="n">
        <f aca="false">SUM(O54:O57)</f>
        <v>1</v>
      </c>
      <c r="P58" s="166" t="n">
        <f aca="false">SUM(P54:P57)</f>
        <v>1</v>
      </c>
      <c r="Q58" s="165" t="n">
        <f aca="false">SUM(Q54:Q57)</f>
        <v>1</v>
      </c>
      <c r="R58" s="187" t="n">
        <f aca="false">SUM(R54:R57)</f>
        <v>1</v>
      </c>
      <c r="S58" s="215"/>
      <c r="T58" s="192"/>
      <c r="U58" s="211"/>
      <c r="V58" s="121"/>
      <c r="W58" s="121"/>
    </row>
    <row r="59" customFormat="false" ht="20.15" hidden="false" customHeight="true" outlineLevel="0" collapsed="false">
      <c r="B59" s="77"/>
      <c r="C59" s="192"/>
      <c r="D59" s="216"/>
      <c r="E59" s="216"/>
      <c r="F59" s="192"/>
      <c r="G59" s="192"/>
      <c r="H59" s="192"/>
      <c r="I59" s="192"/>
      <c r="J59" s="192"/>
      <c r="K59" s="192"/>
      <c r="L59" s="192"/>
      <c r="M59" s="192"/>
      <c r="N59" s="192"/>
      <c r="O59" s="192"/>
      <c r="P59" s="192"/>
      <c r="Q59" s="192"/>
      <c r="R59" s="192"/>
      <c r="S59" s="192"/>
      <c r="T59" s="192"/>
      <c r="U59" s="211"/>
      <c r="V59" s="121"/>
      <c r="W59" s="121"/>
    </row>
    <row r="60" customFormat="false" ht="20.15" hidden="false" customHeight="true" outlineLevel="0" collapsed="false">
      <c r="B60" s="77"/>
      <c r="D60" s="190"/>
      <c r="E60" s="190"/>
      <c r="F60" s="190"/>
      <c r="G60" s="190"/>
      <c r="H60" s="191"/>
      <c r="I60" s="190"/>
      <c r="J60" s="190"/>
      <c r="K60" s="190"/>
      <c r="L60" s="14"/>
      <c r="M60" s="14"/>
      <c r="N60" s="14"/>
      <c r="O60" s="14"/>
      <c r="P60" s="14"/>
      <c r="Q60" s="14"/>
      <c r="R60" s="14"/>
      <c r="S60" s="14"/>
      <c r="U60" s="207"/>
      <c r="V60" s="121"/>
      <c r="W60" s="121"/>
    </row>
    <row r="61" customFormat="false" ht="20.15" hidden="false" customHeight="true" outlineLevel="0" collapsed="false">
      <c r="B61" s="77"/>
      <c r="C61" s="217"/>
      <c r="D61" s="217"/>
      <c r="E61" s="218" t="str">
        <f aca="false">IF(OR(M32="-",M32= ""),H32,M32)</f>
        <v>Orakel von Delphi</v>
      </c>
      <c r="F61" s="218"/>
      <c r="G61" s="218"/>
      <c r="H61" s="218"/>
      <c r="I61" s="218"/>
      <c r="J61" s="218"/>
      <c r="K61" s="218"/>
      <c r="L61" s="218"/>
      <c r="M61" s="218"/>
      <c r="N61" s="218"/>
      <c r="O61" s="219"/>
      <c r="P61" s="219"/>
      <c r="Q61" s="219"/>
      <c r="R61" s="219"/>
      <c r="S61" s="219"/>
      <c r="T61" s="217"/>
      <c r="U61" s="77"/>
    </row>
    <row r="62" customFormat="false" ht="50.15" hidden="false" customHeight="true" outlineLevel="0" collapsed="false">
      <c r="B62" s="77"/>
      <c r="C62" s="217"/>
      <c r="D62" s="219"/>
      <c r="E62" s="125" t="s">
        <v>52</v>
      </c>
      <c r="F62" s="126" t="s">
        <v>75</v>
      </c>
      <c r="G62" s="82" t="s">
        <v>76</v>
      </c>
      <c r="H62" s="81" t="s">
        <v>77</v>
      </c>
      <c r="I62" s="59" t="s">
        <v>78</v>
      </c>
      <c r="J62" s="81" t="s">
        <v>79</v>
      </c>
      <c r="K62" s="127" t="s">
        <v>80</v>
      </c>
      <c r="L62" s="81" t="s">
        <v>81</v>
      </c>
      <c r="M62" s="128" t="s">
        <v>82</v>
      </c>
      <c r="N62" s="129" t="s">
        <v>83</v>
      </c>
      <c r="O62" s="130" t="s">
        <v>84</v>
      </c>
      <c r="P62" s="131" t="s">
        <v>85</v>
      </c>
      <c r="Q62" s="131" t="s">
        <v>86</v>
      </c>
      <c r="R62" s="197" t="s">
        <v>87</v>
      </c>
      <c r="S62" s="219"/>
      <c r="T62" s="217"/>
      <c r="U62" s="77"/>
    </row>
    <row r="63" customFormat="false" ht="80.15" hidden="false" customHeight="true" outlineLevel="0" collapsed="false">
      <c r="B63" s="77"/>
      <c r="C63" s="217"/>
      <c r="D63" s="220"/>
      <c r="E63" s="199" t="s">
        <v>19</v>
      </c>
      <c r="F63" s="380" t="s">
        <v>20</v>
      </c>
      <c r="G63" s="201" t="n">
        <v>1</v>
      </c>
      <c r="H63" s="202" t="s">
        <v>170</v>
      </c>
      <c r="I63" s="201" t="s">
        <v>66</v>
      </c>
      <c r="J63" s="202" t="s">
        <v>125</v>
      </c>
      <c r="K63" s="201" t="s">
        <v>66</v>
      </c>
      <c r="L63" s="204" t="n">
        <v>100</v>
      </c>
      <c r="M63" s="201" t="n">
        <v>1</v>
      </c>
      <c r="N63" s="205" t="n">
        <v>6</v>
      </c>
      <c r="O63" s="137" t="n">
        <f aca="false">IF(M63=1,1,0)</f>
        <v>1</v>
      </c>
      <c r="P63" s="138" t="n">
        <f aca="false">IF(M63=2,1,0)</f>
        <v>0</v>
      </c>
      <c r="Q63" s="138" t="n">
        <f aca="false">IF(M63=3,1,0)</f>
        <v>0</v>
      </c>
      <c r="R63" s="139" t="n">
        <f aca="false">IF(M63=4,1,0)</f>
        <v>0</v>
      </c>
      <c r="S63" s="225"/>
      <c r="T63" s="217"/>
      <c r="U63" s="77"/>
    </row>
    <row r="64" customFormat="false" ht="185.15" hidden="false" customHeight="true" outlineLevel="0" collapsed="false">
      <c r="B64" s="77"/>
      <c r="C64" s="217"/>
      <c r="D64" s="220"/>
      <c r="E64" s="105" t="s">
        <v>13</v>
      </c>
      <c r="F64" s="290" t="s">
        <v>14</v>
      </c>
      <c r="G64" s="228" t="n">
        <v>3</v>
      </c>
      <c r="H64" s="181" t="s">
        <v>127</v>
      </c>
      <c r="I64" s="228" t="s">
        <v>66</v>
      </c>
      <c r="J64" s="317" t="s">
        <v>122</v>
      </c>
      <c r="K64" s="228" t="s">
        <v>66</v>
      </c>
      <c r="L64" s="229" t="n">
        <f aca="false">(L39+L46+L55)/3</f>
        <v>79.4930638523829</v>
      </c>
      <c r="M64" s="228" t="n">
        <v>3</v>
      </c>
      <c r="N64" s="230" t="n">
        <v>1</v>
      </c>
      <c r="O64" s="144" t="n">
        <f aca="false">IF(M64=1,1,0)</f>
        <v>0</v>
      </c>
      <c r="P64" s="145" t="n">
        <f aca="false">IF(M64=2,1,0)</f>
        <v>0</v>
      </c>
      <c r="Q64" s="145" t="n">
        <f aca="false">IF(M64=3,1,0)</f>
        <v>1</v>
      </c>
      <c r="R64" s="146" t="n">
        <f aca="false">IF(M64=4,1,0)</f>
        <v>0</v>
      </c>
      <c r="S64" s="225"/>
      <c r="T64" s="217"/>
      <c r="U64" s="77"/>
    </row>
    <row r="65" customFormat="false" ht="110.15" hidden="false" customHeight="true" outlineLevel="0" collapsed="false">
      <c r="B65" s="77"/>
      <c r="C65" s="217"/>
      <c r="D65" s="220"/>
      <c r="E65" s="226" t="s">
        <v>16</v>
      </c>
      <c r="F65" s="227" t="s">
        <v>17</v>
      </c>
      <c r="G65" s="228" t="n">
        <v>2</v>
      </c>
      <c r="H65" s="181" t="s">
        <v>129</v>
      </c>
      <c r="I65" s="228" t="s">
        <v>66</v>
      </c>
      <c r="J65" s="317" t="s">
        <v>171</v>
      </c>
      <c r="K65" s="228" t="s">
        <v>66</v>
      </c>
      <c r="L65" s="229" t="n">
        <f aca="false">(L38+L47+L57)/3</f>
        <v>88.608787999469</v>
      </c>
      <c r="M65" s="228" t="n">
        <v>2</v>
      </c>
      <c r="N65" s="230" t="n">
        <v>3</v>
      </c>
      <c r="O65" s="144" t="n">
        <f aca="false">IF(M65=1,1,0)</f>
        <v>0</v>
      </c>
      <c r="P65" s="145" t="n">
        <f aca="false">IF(M65=2,1,0)</f>
        <v>1</v>
      </c>
      <c r="Q65" s="145" t="n">
        <f aca="false">IF(M65=3,1,0)</f>
        <v>0</v>
      </c>
      <c r="R65" s="146" t="n">
        <f aca="false">IF(M65=4,1,0)</f>
        <v>0</v>
      </c>
      <c r="S65" s="225"/>
      <c r="T65" s="217"/>
      <c r="U65" s="77"/>
    </row>
    <row r="66" customFormat="false" ht="125.15" hidden="false" customHeight="true" outlineLevel="0" collapsed="false">
      <c r="B66" s="77"/>
      <c r="C66" s="217"/>
      <c r="D66" s="231"/>
      <c r="E66" s="232" t="s">
        <v>25</v>
      </c>
      <c r="F66" s="233" t="s">
        <v>26</v>
      </c>
      <c r="G66" s="234" t="n">
        <v>4</v>
      </c>
      <c r="H66" s="308" t="s">
        <v>172</v>
      </c>
      <c r="I66" s="234" t="s">
        <v>66</v>
      </c>
      <c r="J66" s="308" t="s">
        <v>173</v>
      </c>
      <c r="K66" s="234" t="s">
        <v>66</v>
      </c>
      <c r="L66" s="235" t="n">
        <f aca="false">(L37+L48+L54)/3</f>
        <v>78.1956060002655</v>
      </c>
      <c r="M66" s="234" t="n">
        <v>4</v>
      </c>
      <c r="N66" s="236" t="n">
        <v>0</v>
      </c>
      <c r="O66" s="156" t="n">
        <f aca="false">IF(M66=1,1,0)</f>
        <v>0</v>
      </c>
      <c r="P66" s="157" t="n">
        <f aca="false">IF(M66=2,1,0)</f>
        <v>0</v>
      </c>
      <c r="Q66" s="157" t="n">
        <f aca="false">IF(M66=3,1,0)</f>
        <v>0</v>
      </c>
      <c r="R66" s="158" t="n">
        <f aca="false">IF(M66=4,1,0)</f>
        <v>1</v>
      </c>
      <c r="S66" s="225"/>
      <c r="T66" s="217"/>
      <c r="U66" s="77"/>
    </row>
    <row r="67" customFormat="false" ht="20.15" hidden="true" customHeight="true" outlineLevel="1" collapsed="false">
      <c r="B67" s="77"/>
      <c r="C67" s="217"/>
      <c r="D67" s="220"/>
      <c r="E67" s="220"/>
      <c r="F67" s="225"/>
      <c r="G67" s="225"/>
      <c r="H67" s="217"/>
      <c r="I67" s="185" t="s">
        <v>92</v>
      </c>
      <c r="J67" s="161" t="n">
        <f aca="false">MAX(J63:J66)</f>
        <v>0</v>
      </c>
      <c r="K67" s="237"/>
      <c r="L67" s="225"/>
      <c r="M67" s="217"/>
      <c r="N67" s="164" t="s">
        <v>93</v>
      </c>
      <c r="O67" s="165" t="n">
        <f aca="false">SUM(O63:O66)</f>
        <v>1</v>
      </c>
      <c r="P67" s="166" t="n">
        <f aca="false">SUM(P63:P66)</f>
        <v>1</v>
      </c>
      <c r="Q67" s="165" t="n">
        <f aca="false">SUM(Q63:Q66)</f>
        <v>1</v>
      </c>
      <c r="R67" s="187" t="n">
        <f aca="false">SUM(R63:R66)</f>
        <v>1</v>
      </c>
      <c r="S67" s="238"/>
      <c r="T67" s="217"/>
      <c r="U67" s="77"/>
    </row>
    <row r="68" customFormat="false" ht="20.15" hidden="false" customHeight="true" outlineLevel="0" collapsed="false">
      <c r="B68" s="77"/>
      <c r="C68" s="217"/>
      <c r="D68" s="239"/>
      <c r="E68" s="239"/>
      <c r="F68" s="217"/>
      <c r="G68" s="217"/>
      <c r="H68" s="217"/>
      <c r="I68" s="217"/>
      <c r="J68" s="217"/>
      <c r="K68" s="217"/>
      <c r="L68" s="217"/>
      <c r="M68" s="217"/>
      <c r="N68" s="217"/>
      <c r="O68" s="217"/>
      <c r="P68" s="217"/>
      <c r="Q68" s="217"/>
      <c r="R68" s="217"/>
      <c r="S68" s="217"/>
      <c r="T68" s="217"/>
      <c r="U68" s="77"/>
    </row>
    <row r="69" customFormat="false" ht="20.15" hidden="false" customHeight="true" outlineLevel="0" collapsed="false">
      <c r="B69" s="77"/>
      <c r="D69" s="5"/>
      <c r="E69" s="5"/>
      <c r="F69" s="5"/>
      <c r="G69" s="5"/>
      <c r="H69" s="5"/>
      <c r="I69" s="5"/>
      <c r="J69" s="5"/>
      <c r="K69" s="14"/>
      <c r="L69" s="14"/>
      <c r="M69" s="14"/>
      <c r="N69" s="14"/>
      <c r="O69" s="14"/>
      <c r="P69" s="14"/>
      <c r="Q69" s="14"/>
      <c r="R69" s="14"/>
      <c r="S69" s="14"/>
      <c r="U69" s="77"/>
    </row>
    <row r="70" customFormat="false" ht="30" hidden="false" customHeight="true" outlineLevel="0" collapsed="false">
      <c r="B70" s="77"/>
      <c r="C70" s="240"/>
      <c r="D70" s="241" t="s">
        <v>101</v>
      </c>
      <c r="E70" s="241"/>
      <c r="F70" s="241"/>
      <c r="G70" s="241"/>
      <c r="H70" s="241"/>
      <c r="I70" s="241"/>
      <c r="J70" s="241"/>
      <c r="K70" s="241"/>
      <c r="L70" s="241"/>
      <c r="M70" s="241"/>
      <c r="N70" s="241"/>
      <c r="O70" s="241"/>
      <c r="P70" s="241"/>
      <c r="Q70" s="241"/>
      <c r="R70" s="241"/>
      <c r="S70" s="241"/>
      <c r="T70" s="240"/>
      <c r="U70" s="77"/>
    </row>
    <row r="71" customFormat="false" ht="50.15" hidden="false" customHeight="true" outlineLevel="0" collapsed="false">
      <c r="B71" s="77"/>
      <c r="C71" s="240"/>
      <c r="D71" s="242" t="s">
        <v>52</v>
      </c>
      <c r="E71" s="243" t="s">
        <v>53</v>
      </c>
      <c r="F71" s="244" t="s">
        <v>83</v>
      </c>
      <c r="G71" s="245" t="s">
        <v>102</v>
      </c>
      <c r="H71" s="246" t="s">
        <v>103</v>
      </c>
      <c r="I71" s="246"/>
      <c r="J71" s="247" t="s">
        <v>104</v>
      </c>
      <c r="K71" s="248" t="s">
        <v>105</v>
      </c>
      <c r="L71" s="244" t="s">
        <v>106</v>
      </c>
      <c r="M71" s="248" t="s">
        <v>107</v>
      </c>
      <c r="N71" s="244" t="s">
        <v>108</v>
      </c>
      <c r="O71" s="249"/>
      <c r="P71" s="250"/>
      <c r="Q71" s="250"/>
      <c r="R71" s="250"/>
      <c r="S71" s="243" t="s">
        <v>109</v>
      </c>
      <c r="T71" s="240"/>
      <c r="U71" s="77"/>
    </row>
    <row r="72" customFormat="false" ht="20.15" hidden="false" customHeight="true" outlineLevel="0" collapsed="false">
      <c r="B72" s="77"/>
      <c r="C72" s="240"/>
      <c r="D72" s="251" t="s">
        <v>19</v>
      </c>
      <c r="E72" s="252" t="s">
        <v>20</v>
      </c>
      <c r="F72" s="253" t="n">
        <f aca="false">(K72*6+L72*3+M72*1+N72*0)</f>
        <v>18</v>
      </c>
      <c r="G72" s="253" t="n">
        <v>0</v>
      </c>
      <c r="H72" s="254" t="s">
        <v>66</v>
      </c>
      <c r="I72" s="254"/>
      <c r="J72" s="253" t="n">
        <f aca="false">F72+G72</f>
        <v>18</v>
      </c>
      <c r="K72" s="253" t="n">
        <v>3</v>
      </c>
      <c r="L72" s="253" t="n">
        <v>0</v>
      </c>
      <c r="M72" s="253" t="n">
        <v>0</v>
      </c>
      <c r="N72" s="253" t="n">
        <v>1</v>
      </c>
      <c r="O72" s="253"/>
      <c r="P72" s="253"/>
      <c r="Q72" s="253"/>
      <c r="R72" s="253"/>
      <c r="S72" s="255" t="n">
        <f aca="false">(L36+L45+L54+L63)/4</f>
        <v>95.6451612903226</v>
      </c>
      <c r="T72" s="240"/>
      <c r="U72" s="77"/>
      <c r="W72" s="256"/>
      <c r="X72" s="256"/>
      <c r="Y72" s="256"/>
      <c r="Z72" s="256"/>
    </row>
    <row r="73" customFormat="false" ht="20.15" hidden="false" customHeight="true" outlineLevel="0" collapsed="false">
      <c r="B73" s="77"/>
      <c r="C73" s="240"/>
      <c r="D73" s="383" t="s">
        <v>16</v>
      </c>
      <c r="E73" s="384" t="s">
        <v>17</v>
      </c>
      <c r="F73" s="259" t="n">
        <f aca="false">(K73*6+L73*3+M73*1+N73*0)</f>
        <v>15</v>
      </c>
      <c r="G73" s="259" t="n">
        <v>0</v>
      </c>
      <c r="H73" s="260" t="s">
        <v>66</v>
      </c>
      <c r="I73" s="260"/>
      <c r="J73" s="259" t="n">
        <f aca="false">F73+G73</f>
        <v>15</v>
      </c>
      <c r="K73" s="259" t="n">
        <v>1</v>
      </c>
      <c r="L73" s="259" t="n">
        <v>3</v>
      </c>
      <c r="M73" s="259" t="n">
        <v>0</v>
      </c>
      <c r="N73" s="259" t="n">
        <v>0</v>
      </c>
      <c r="O73" s="259"/>
      <c r="P73" s="259"/>
      <c r="Q73" s="259"/>
      <c r="R73" s="259"/>
      <c r="S73" s="261" t="n">
        <f aca="false">(L38+L47+L56+L65)/4</f>
        <v>89.8991105801142</v>
      </c>
      <c r="T73" s="240"/>
      <c r="U73" s="77"/>
      <c r="W73" s="262"/>
      <c r="X73" s="262"/>
      <c r="Y73" s="262"/>
      <c r="Z73" s="262"/>
    </row>
    <row r="74" customFormat="false" ht="20.15" hidden="false" customHeight="true" outlineLevel="0" collapsed="false">
      <c r="B74" s="77"/>
      <c r="C74" s="240"/>
      <c r="D74" s="383" t="s">
        <v>25</v>
      </c>
      <c r="E74" s="384" t="s">
        <v>26</v>
      </c>
      <c r="F74" s="259" t="n">
        <f aca="false">(K74*6+L74*3+M74*1+N74*0)</f>
        <v>4</v>
      </c>
      <c r="G74" s="259" t="n">
        <v>0</v>
      </c>
      <c r="H74" s="260" t="s">
        <v>66</v>
      </c>
      <c r="I74" s="260"/>
      <c r="J74" s="259" t="n">
        <f aca="false">F74+G74</f>
        <v>4</v>
      </c>
      <c r="K74" s="259" t="n">
        <v>0</v>
      </c>
      <c r="L74" s="259" t="n">
        <v>1</v>
      </c>
      <c r="M74" s="259" t="n">
        <v>1</v>
      </c>
      <c r="N74" s="259" t="n">
        <v>2</v>
      </c>
      <c r="O74" s="259"/>
      <c r="P74" s="259"/>
      <c r="Q74" s="259"/>
      <c r="R74" s="259"/>
      <c r="S74" s="261" t="n">
        <f aca="false">(L39+L48+L57+L66)/4</f>
        <v>81.4144431169521</v>
      </c>
      <c r="T74" s="240"/>
      <c r="U74" s="77"/>
      <c r="W74" s="262"/>
      <c r="X74" s="262"/>
      <c r="Y74" s="262"/>
      <c r="Z74" s="262"/>
    </row>
    <row r="75" customFormat="false" ht="20.15" hidden="false" customHeight="true" outlineLevel="0" collapsed="false">
      <c r="B75" s="77"/>
      <c r="C75" s="240"/>
      <c r="D75" s="337" t="s">
        <v>13</v>
      </c>
      <c r="E75" s="385" t="s">
        <v>14</v>
      </c>
      <c r="F75" s="267" t="n">
        <f aca="false">(K75*6+L75*3+M75*1+N75*0)</f>
        <v>3</v>
      </c>
      <c r="G75" s="267" t="n">
        <v>0</v>
      </c>
      <c r="H75" s="268" t="s">
        <v>66</v>
      </c>
      <c r="I75" s="268"/>
      <c r="J75" s="267" t="n">
        <f aca="false">F75+G75</f>
        <v>3</v>
      </c>
      <c r="K75" s="267" t="n">
        <v>0</v>
      </c>
      <c r="L75" s="267" t="n">
        <v>0</v>
      </c>
      <c r="M75" s="267" t="n">
        <v>3</v>
      </c>
      <c r="N75" s="267" t="n">
        <v>1</v>
      </c>
      <c r="O75" s="267"/>
      <c r="P75" s="267"/>
      <c r="Q75" s="267"/>
      <c r="R75" s="267"/>
      <c r="S75" s="269" t="n">
        <f aca="false">(L37+L46+L55+L64)/4</f>
        <v>79.3387428647285</v>
      </c>
      <c r="T75" s="240"/>
      <c r="U75" s="77"/>
      <c r="W75" s="262"/>
      <c r="X75" s="262"/>
      <c r="Y75" s="262"/>
      <c r="Z75" s="262"/>
      <c r="AB75" s="262"/>
      <c r="AC75" s="262"/>
      <c r="AD75" s="262"/>
      <c r="AE75" s="262"/>
    </row>
    <row r="76" customFormat="false" ht="20.15" hidden="false" customHeight="true" outlineLevel="0" collapsed="false">
      <c r="B76" s="77"/>
      <c r="C76" s="240"/>
      <c r="D76" s="240"/>
      <c r="E76" s="240"/>
      <c r="F76" s="240"/>
      <c r="G76" s="240"/>
      <c r="H76" s="240"/>
      <c r="I76" s="240"/>
      <c r="J76" s="240"/>
      <c r="K76" s="240"/>
      <c r="L76" s="240"/>
      <c r="M76" s="240"/>
      <c r="N76" s="240"/>
      <c r="O76" s="240"/>
      <c r="P76" s="240"/>
      <c r="Q76" s="240"/>
      <c r="R76" s="240"/>
      <c r="S76" s="240"/>
      <c r="T76" s="240"/>
      <c r="U76" s="77"/>
      <c r="W76" s="262"/>
      <c r="X76" s="262"/>
      <c r="Y76" s="262"/>
      <c r="Z76" s="262"/>
    </row>
    <row r="77" customFormat="false" ht="20.15" hidden="false" customHeight="true" outlineLevel="0" collapsed="false">
      <c r="B77" s="77"/>
      <c r="C77" s="77"/>
      <c r="D77" s="270"/>
      <c r="E77" s="270"/>
      <c r="F77" s="195"/>
      <c r="G77" s="195"/>
      <c r="H77" s="270"/>
      <c r="I77" s="270"/>
      <c r="J77" s="270"/>
      <c r="K77" s="207"/>
      <c r="L77" s="207"/>
      <c r="M77" s="207"/>
      <c r="N77" s="207"/>
      <c r="O77" s="207"/>
      <c r="P77" s="207"/>
      <c r="Q77" s="207"/>
      <c r="R77" s="207"/>
      <c r="S77" s="207"/>
      <c r="T77" s="77"/>
      <c r="U77" s="77"/>
    </row>
    <row r="78" customFormat="false" ht="20.15" hidden="false" customHeight="true" outlineLevel="0" collapsed="false">
      <c r="C78" s="271"/>
      <c r="D78" s="272"/>
      <c r="O78" s="14"/>
      <c r="P78" s="14"/>
      <c r="Q78" s="14"/>
      <c r="R78" s="14"/>
      <c r="S78" s="14"/>
      <c r="U78" s="271"/>
    </row>
    <row r="79" customFormat="false" ht="20.15" hidden="false" customHeight="true" outlineLevel="0" collapsed="false">
      <c r="D79" s="273"/>
      <c r="O79" s="14"/>
      <c r="P79" s="14"/>
      <c r="Q79" s="14"/>
      <c r="R79" s="14"/>
      <c r="S79" s="14"/>
    </row>
    <row r="80" customFormat="false" ht="20.15" hidden="false" customHeight="true" outlineLevel="0" collapsed="false">
      <c r="B80" s="77"/>
      <c r="C80" s="77"/>
      <c r="D80" s="78"/>
      <c r="E80" s="78"/>
      <c r="F80" s="78"/>
      <c r="G80" s="78"/>
      <c r="H80" s="77"/>
      <c r="I80" s="77"/>
      <c r="J80" s="77"/>
      <c r="K80" s="77"/>
      <c r="L80" s="77"/>
      <c r="M80" s="77"/>
      <c r="N80" s="77"/>
      <c r="O80" s="77"/>
      <c r="P80" s="77"/>
      <c r="Q80" s="77"/>
      <c r="R80" s="77"/>
      <c r="S80" s="77"/>
      <c r="T80" s="77"/>
      <c r="U80" s="77"/>
    </row>
    <row r="81" customFormat="false" ht="30" hidden="false" customHeight="true" outlineLevel="0" collapsed="false">
      <c r="B81" s="77"/>
      <c r="C81" s="79" t="s">
        <v>110</v>
      </c>
      <c r="D81" s="79"/>
      <c r="E81" s="79"/>
      <c r="F81" s="79"/>
      <c r="G81" s="79"/>
      <c r="H81" s="79"/>
      <c r="I81" s="79"/>
      <c r="J81" s="79"/>
      <c r="K81" s="79"/>
      <c r="L81" s="79"/>
      <c r="M81" s="79"/>
      <c r="N81" s="79"/>
      <c r="O81" s="79"/>
      <c r="P81" s="79"/>
      <c r="Q81" s="79"/>
      <c r="R81" s="79"/>
      <c r="S81" s="79"/>
      <c r="T81" s="79"/>
      <c r="U81" s="77"/>
    </row>
    <row r="82" customFormat="false" ht="20.15" hidden="false" customHeight="true" outlineLevel="0" collapsed="false">
      <c r="B82" s="77"/>
      <c r="D82" s="121"/>
      <c r="E82" s="121"/>
      <c r="U82" s="77"/>
    </row>
    <row r="83" customFormat="false" ht="20.15" hidden="false" customHeight="true" outlineLevel="0" collapsed="false">
      <c r="B83" s="77"/>
      <c r="D83" s="274" t="s">
        <v>52</v>
      </c>
      <c r="E83" s="83" t="s">
        <v>111</v>
      </c>
      <c r="F83" s="82" t="s">
        <v>12</v>
      </c>
      <c r="G83" s="83" t="s">
        <v>54</v>
      </c>
      <c r="H83" s="83"/>
      <c r="I83" s="83"/>
      <c r="J83" s="83"/>
      <c r="K83" s="81" t="s">
        <v>55</v>
      </c>
      <c r="L83" s="83" t="s">
        <v>56</v>
      </c>
      <c r="M83" s="83"/>
      <c r="N83" s="83"/>
      <c r="O83" s="83"/>
      <c r="P83" s="83"/>
      <c r="Q83" s="83"/>
      <c r="R83" s="83"/>
      <c r="S83" s="83"/>
      <c r="U83" s="77"/>
    </row>
    <row r="84" customFormat="false" ht="20.15" hidden="false" customHeight="true" outlineLevel="0" collapsed="false">
      <c r="B84" s="77"/>
      <c r="D84" s="274"/>
      <c r="E84" s="83"/>
      <c r="F84" s="82"/>
      <c r="G84" s="85" t="s">
        <v>57</v>
      </c>
      <c r="H84" s="84" t="s">
        <v>58</v>
      </c>
      <c r="I84" s="278" t="s">
        <v>59</v>
      </c>
      <c r="J84" s="278"/>
      <c r="K84" s="84" t="s">
        <v>60</v>
      </c>
      <c r="L84" s="276" t="s">
        <v>57</v>
      </c>
      <c r="M84" s="277" t="s">
        <v>61</v>
      </c>
      <c r="N84" s="278" t="s">
        <v>59</v>
      </c>
      <c r="O84" s="278"/>
      <c r="P84" s="278"/>
      <c r="Q84" s="278"/>
      <c r="R84" s="278"/>
      <c r="S84" s="278"/>
      <c r="U84" s="77"/>
    </row>
    <row r="85" customFormat="false" ht="50.15" hidden="false" customHeight="true" outlineLevel="0" collapsed="false">
      <c r="B85" s="77"/>
      <c r="D85" s="367" t="s">
        <v>21</v>
      </c>
      <c r="E85" s="372" t="s">
        <v>22</v>
      </c>
      <c r="F85" s="343" t="n">
        <v>1</v>
      </c>
      <c r="G85" s="280" t="s">
        <v>67</v>
      </c>
      <c r="H85" s="281" t="s">
        <v>70</v>
      </c>
      <c r="I85" s="91" t="s">
        <v>74</v>
      </c>
      <c r="J85" s="91"/>
      <c r="K85" s="373" t="s">
        <v>65</v>
      </c>
      <c r="L85" s="284" t="s">
        <v>66</v>
      </c>
      <c r="M85" s="94" t="s">
        <v>66</v>
      </c>
      <c r="N85" s="95" t="s">
        <v>66</v>
      </c>
      <c r="O85" s="95"/>
      <c r="P85" s="95"/>
      <c r="Q85" s="95"/>
      <c r="R85" s="95"/>
      <c r="S85" s="95"/>
      <c r="U85" s="77"/>
    </row>
    <row r="86" customFormat="false" ht="20.15" hidden="false" customHeight="true" outlineLevel="0" collapsed="false">
      <c r="B86" s="77"/>
      <c r="D86" s="105" t="s">
        <v>27</v>
      </c>
      <c r="E86" s="290" t="s">
        <v>28</v>
      </c>
      <c r="F86" s="346" t="n">
        <v>2</v>
      </c>
      <c r="G86" s="286" t="s">
        <v>67</v>
      </c>
      <c r="H86" s="99" t="s">
        <v>174</v>
      </c>
      <c r="I86" s="100" t="s">
        <v>66</v>
      </c>
      <c r="J86" s="100"/>
      <c r="K86" s="288" t="s">
        <v>65</v>
      </c>
      <c r="L86" s="289" t="s">
        <v>66</v>
      </c>
      <c r="M86" s="103" t="s">
        <v>66</v>
      </c>
      <c r="N86" s="104" t="s">
        <v>66</v>
      </c>
      <c r="O86" s="104"/>
      <c r="P86" s="104"/>
      <c r="Q86" s="104"/>
      <c r="R86" s="104"/>
      <c r="S86" s="104"/>
      <c r="U86" s="77"/>
    </row>
    <row r="87" customFormat="false" ht="20.15" hidden="false" customHeight="true" outlineLevel="0" collapsed="false">
      <c r="B87" s="77"/>
      <c r="D87" s="105" t="s">
        <v>23</v>
      </c>
      <c r="E87" s="290" t="s">
        <v>24</v>
      </c>
      <c r="F87" s="346" t="n">
        <v>3</v>
      </c>
      <c r="G87" s="291" t="s">
        <v>67</v>
      </c>
      <c r="H87" s="292" t="s">
        <v>175</v>
      </c>
      <c r="I87" s="108" t="s">
        <v>66</v>
      </c>
      <c r="J87" s="108"/>
      <c r="K87" s="374" t="s">
        <v>65</v>
      </c>
      <c r="L87" s="289" t="s">
        <v>66</v>
      </c>
      <c r="M87" s="103" t="s">
        <v>66</v>
      </c>
      <c r="N87" s="104" t="s">
        <v>66</v>
      </c>
      <c r="O87" s="104"/>
      <c r="P87" s="104"/>
      <c r="Q87" s="104"/>
      <c r="R87" s="104"/>
      <c r="S87" s="104"/>
      <c r="U87" s="77"/>
    </row>
    <row r="88" customFormat="false" ht="65.15" hidden="false" customHeight="true" outlineLevel="0" collapsed="false">
      <c r="B88" s="77"/>
      <c r="D88" s="295" t="s">
        <v>39</v>
      </c>
      <c r="E88" s="386" t="s">
        <v>40</v>
      </c>
      <c r="F88" s="350" t="n">
        <v>4</v>
      </c>
      <c r="G88" s="387" t="s">
        <v>71</v>
      </c>
      <c r="H88" s="101" t="s">
        <v>141</v>
      </c>
      <c r="I88" s="116" t="s">
        <v>142</v>
      </c>
      <c r="J88" s="116"/>
      <c r="K88" s="300" t="s">
        <v>65</v>
      </c>
      <c r="L88" s="301" t="s">
        <v>66</v>
      </c>
      <c r="M88" s="302" t="s">
        <v>66</v>
      </c>
      <c r="N88" s="303" t="s">
        <v>66</v>
      </c>
      <c r="O88" s="303"/>
      <c r="P88" s="303"/>
      <c r="Q88" s="303"/>
      <c r="R88" s="303"/>
      <c r="S88" s="303"/>
      <c r="U88" s="77"/>
    </row>
    <row r="89" customFormat="false" ht="20.15" hidden="false" customHeight="true" outlineLevel="0" collapsed="false">
      <c r="B89" s="77"/>
      <c r="D89" s="121"/>
      <c r="E89" s="121"/>
      <c r="U89" s="77"/>
    </row>
    <row r="90" customFormat="false" ht="20.15" hidden="false" customHeight="true" outlineLevel="0" collapsed="false">
      <c r="B90" s="77"/>
      <c r="C90" s="122"/>
      <c r="D90" s="122"/>
      <c r="E90" s="123" t="str">
        <f aca="false">IF(OR(L85="-",L85= ""),H85,L85)</f>
        <v>Through the Ages: A new Story of Civilization</v>
      </c>
      <c r="F90" s="123"/>
      <c r="G90" s="123"/>
      <c r="H90" s="123"/>
      <c r="I90" s="123"/>
      <c r="J90" s="123"/>
      <c r="K90" s="123"/>
      <c r="L90" s="123"/>
      <c r="M90" s="123"/>
      <c r="N90" s="123"/>
      <c r="O90" s="124"/>
      <c r="P90" s="124"/>
      <c r="Q90" s="124"/>
      <c r="R90" s="124"/>
      <c r="S90" s="124"/>
      <c r="T90" s="122"/>
      <c r="U90" s="77"/>
    </row>
    <row r="91" customFormat="false" ht="50.15" hidden="false" customHeight="true" outlineLevel="0" collapsed="false">
      <c r="B91" s="77"/>
      <c r="C91" s="122"/>
      <c r="D91" s="124"/>
      <c r="E91" s="125" t="s">
        <v>52</v>
      </c>
      <c r="F91" s="126" t="s">
        <v>75</v>
      </c>
      <c r="G91" s="82" t="s">
        <v>76</v>
      </c>
      <c r="H91" s="81" t="s">
        <v>77</v>
      </c>
      <c r="I91" s="59" t="s">
        <v>78</v>
      </c>
      <c r="J91" s="81" t="s">
        <v>79</v>
      </c>
      <c r="K91" s="127" t="s">
        <v>80</v>
      </c>
      <c r="L91" s="81" t="s">
        <v>81</v>
      </c>
      <c r="M91" s="128" t="s">
        <v>82</v>
      </c>
      <c r="N91" s="129" t="s">
        <v>83</v>
      </c>
      <c r="O91" s="130" t="s">
        <v>84</v>
      </c>
      <c r="P91" s="131" t="s">
        <v>85</v>
      </c>
      <c r="Q91" s="131" t="s">
        <v>86</v>
      </c>
      <c r="R91" s="197" t="s">
        <v>87</v>
      </c>
      <c r="S91" s="124"/>
      <c r="T91" s="122"/>
      <c r="U91" s="77"/>
    </row>
    <row r="92" customFormat="false" ht="20.15" hidden="false" customHeight="true" outlineLevel="0" collapsed="false">
      <c r="B92" s="77"/>
      <c r="C92" s="122"/>
      <c r="D92" s="152"/>
      <c r="E92" s="388" t="s">
        <v>21</v>
      </c>
      <c r="F92" s="382" t="s">
        <v>22</v>
      </c>
      <c r="G92" s="304" t="n">
        <v>4</v>
      </c>
      <c r="H92" s="221" t="s">
        <v>66</v>
      </c>
      <c r="I92" s="221" t="n">
        <v>0</v>
      </c>
      <c r="J92" s="221" t="n">
        <v>172</v>
      </c>
      <c r="K92" s="221" t="s">
        <v>66</v>
      </c>
      <c r="L92" s="223" t="n">
        <f aca="false">IF(J92="",0,(J92/J96)*100)</f>
        <v>78.8990825688073</v>
      </c>
      <c r="M92" s="221" t="n">
        <v>2</v>
      </c>
      <c r="N92" s="224" t="n">
        <v>3</v>
      </c>
      <c r="O92" s="137" t="n">
        <f aca="false">IF(M92=1,1,0)</f>
        <v>0</v>
      </c>
      <c r="P92" s="138" t="n">
        <f aca="false">IF(M92=2,1,0)</f>
        <v>1</v>
      </c>
      <c r="Q92" s="138" t="n">
        <f aca="false">IF(M92=3,1,0)</f>
        <v>0</v>
      </c>
      <c r="R92" s="139" t="n">
        <f aca="false">IF(M92=4,1,0)</f>
        <v>0</v>
      </c>
      <c r="S92" s="140"/>
      <c r="T92" s="122"/>
      <c r="U92" s="77"/>
    </row>
    <row r="93" customFormat="false" ht="20.15" hidden="false" customHeight="true" outlineLevel="0" collapsed="false">
      <c r="B93" s="77"/>
      <c r="C93" s="122"/>
      <c r="D93" s="132"/>
      <c r="E93" s="105" t="s">
        <v>27</v>
      </c>
      <c r="F93" s="290" t="s">
        <v>29</v>
      </c>
      <c r="G93" s="306" t="n">
        <v>3</v>
      </c>
      <c r="H93" s="228" t="s">
        <v>66</v>
      </c>
      <c r="I93" s="228" t="n">
        <v>0</v>
      </c>
      <c r="J93" s="228" t="n">
        <v>135</v>
      </c>
      <c r="K93" s="317" t="s">
        <v>66</v>
      </c>
      <c r="L93" s="229" t="n">
        <f aca="false">IF(J93="",0,(J93/J96)*100)</f>
        <v>61.9266055045872</v>
      </c>
      <c r="M93" s="228" t="n">
        <v>3</v>
      </c>
      <c r="N93" s="230" t="n">
        <v>1</v>
      </c>
      <c r="O93" s="144" t="n">
        <f aca="false">IF(M93=1,1,0)</f>
        <v>0</v>
      </c>
      <c r="P93" s="145" t="n">
        <f aca="false">IF(M93=2,1,0)</f>
        <v>0</v>
      </c>
      <c r="Q93" s="145" t="n">
        <f aca="false">IF(M93=3,1,0)</f>
        <v>1</v>
      </c>
      <c r="R93" s="146" t="n">
        <f aca="false">IF(M93=4,1,0)</f>
        <v>0</v>
      </c>
      <c r="S93" s="140"/>
      <c r="T93" s="122"/>
      <c r="U93" s="77"/>
    </row>
    <row r="94" customFormat="false" ht="20.15" hidden="false" customHeight="true" outlineLevel="0" collapsed="false">
      <c r="B94" s="77"/>
      <c r="C94" s="122"/>
      <c r="D94" s="132"/>
      <c r="E94" s="147" t="s">
        <v>23</v>
      </c>
      <c r="F94" s="355" t="s">
        <v>24</v>
      </c>
      <c r="G94" s="305" t="n">
        <v>1</v>
      </c>
      <c r="H94" s="149" t="s">
        <v>66</v>
      </c>
      <c r="I94" s="149" t="n">
        <v>0</v>
      </c>
      <c r="J94" s="149" t="n">
        <v>218</v>
      </c>
      <c r="K94" s="149" t="s">
        <v>66</v>
      </c>
      <c r="L94" s="150" t="n">
        <f aca="false">IF(J94="",0,(J94/J96)*100)</f>
        <v>100</v>
      </c>
      <c r="M94" s="149" t="n">
        <v>1</v>
      </c>
      <c r="N94" s="151" t="n">
        <v>6</v>
      </c>
      <c r="O94" s="144" t="n">
        <f aca="false">IF(M94=1,1,0)</f>
        <v>1</v>
      </c>
      <c r="P94" s="145" t="n">
        <f aca="false">IF(M94=2,1,0)</f>
        <v>0</v>
      </c>
      <c r="Q94" s="145" t="n">
        <f aca="false">IF(M94=3,1,0)</f>
        <v>0</v>
      </c>
      <c r="R94" s="146" t="n">
        <f aca="false">IF(M94=4,1,0)</f>
        <v>0</v>
      </c>
      <c r="S94" s="140"/>
      <c r="T94" s="122"/>
      <c r="U94" s="77"/>
    </row>
    <row r="95" customFormat="false" ht="20.15" hidden="false" customHeight="true" outlineLevel="0" collapsed="false">
      <c r="B95" s="77"/>
      <c r="C95" s="122"/>
      <c r="D95" s="132"/>
      <c r="E95" s="295" t="s">
        <v>39</v>
      </c>
      <c r="F95" s="386" t="s">
        <v>40</v>
      </c>
      <c r="G95" s="307" t="n">
        <v>2</v>
      </c>
      <c r="H95" s="308" t="s">
        <v>66</v>
      </c>
      <c r="I95" s="234" t="n">
        <v>0</v>
      </c>
      <c r="J95" s="234" t="n">
        <v>134</v>
      </c>
      <c r="K95" s="308" t="s">
        <v>66</v>
      </c>
      <c r="L95" s="235" t="n">
        <f aca="false">IF(J95="",0,(J95/J96)*100)</f>
        <v>61.4678899082569</v>
      </c>
      <c r="M95" s="234" t="n">
        <v>4</v>
      </c>
      <c r="N95" s="236" t="n">
        <v>0</v>
      </c>
      <c r="O95" s="156" t="n">
        <f aca="false">IF(M95=1,1,0)</f>
        <v>0</v>
      </c>
      <c r="P95" s="157" t="n">
        <f aca="false">IF(M95=2,1,0)</f>
        <v>0</v>
      </c>
      <c r="Q95" s="157" t="n">
        <f aca="false">IF(M95=3,1,0)</f>
        <v>0</v>
      </c>
      <c r="R95" s="158" t="n">
        <f aca="false">IF(M95=4,1,0)</f>
        <v>1</v>
      </c>
      <c r="S95" s="140"/>
      <c r="T95" s="122"/>
      <c r="U95" s="77"/>
    </row>
    <row r="96" customFormat="false" ht="20.15" hidden="true" customHeight="true" outlineLevel="1" collapsed="false">
      <c r="B96" s="77"/>
      <c r="C96" s="122"/>
      <c r="D96" s="152"/>
      <c r="E96" s="152"/>
      <c r="F96" s="140"/>
      <c r="G96" s="140"/>
      <c r="H96" s="122"/>
      <c r="I96" s="213" t="s">
        <v>92</v>
      </c>
      <c r="J96" s="161" t="n">
        <f aca="false">MAX(J92:J95)</f>
        <v>218</v>
      </c>
      <c r="K96" s="309"/>
      <c r="L96" s="167"/>
      <c r="M96" s="122"/>
      <c r="N96" s="164" t="s">
        <v>93</v>
      </c>
      <c r="O96" s="165" t="n">
        <f aca="false">SUM(O92:O95)</f>
        <v>1</v>
      </c>
      <c r="P96" s="166" t="n">
        <f aca="false">SUM(P92:P95)</f>
        <v>1</v>
      </c>
      <c r="Q96" s="165" t="n">
        <f aca="false">SUM(Q92:Q95)</f>
        <v>1</v>
      </c>
      <c r="R96" s="187" t="n">
        <f aca="false">SUM(R92:R95)</f>
        <v>1</v>
      </c>
      <c r="S96" s="167"/>
      <c r="T96" s="122"/>
      <c r="U96" s="77"/>
    </row>
    <row r="97" customFormat="false" ht="20.15" hidden="false" customHeight="true" outlineLevel="0" collapsed="false">
      <c r="B97" s="77"/>
      <c r="C97" s="122"/>
      <c r="D97" s="168"/>
      <c r="E97" s="168"/>
      <c r="F97" s="122"/>
      <c r="G97" s="122"/>
      <c r="H97" s="122"/>
      <c r="I97" s="122"/>
      <c r="J97" s="122"/>
      <c r="K97" s="122"/>
      <c r="L97" s="122"/>
      <c r="M97" s="122"/>
      <c r="N97" s="122"/>
      <c r="O97" s="122"/>
      <c r="P97" s="122"/>
      <c r="Q97" s="122"/>
      <c r="R97" s="122"/>
      <c r="S97" s="122"/>
      <c r="T97" s="122"/>
      <c r="U97" s="77"/>
    </row>
    <row r="98" customFormat="false" ht="20.15" hidden="false" customHeight="true" outlineLevel="0" collapsed="false">
      <c r="B98" s="77"/>
      <c r="U98" s="77"/>
    </row>
    <row r="99" customFormat="false" ht="20.15" hidden="false" customHeight="true" outlineLevel="0" collapsed="false">
      <c r="B99" s="77"/>
      <c r="C99" s="170"/>
      <c r="D99" s="170"/>
      <c r="E99" s="171" t="str">
        <f aca="false">IF(OR(L86="-",L86= ""),H86,L86)</f>
        <v>Russian Railroads</v>
      </c>
      <c r="F99" s="171"/>
      <c r="G99" s="171"/>
      <c r="H99" s="171"/>
      <c r="I99" s="171"/>
      <c r="J99" s="171"/>
      <c r="K99" s="171"/>
      <c r="L99" s="171"/>
      <c r="M99" s="171"/>
      <c r="N99" s="171"/>
      <c r="O99" s="172"/>
      <c r="P99" s="172"/>
      <c r="Q99" s="172"/>
      <c r="R99" s="172"/>
      <c r="S99" s="172"/>
      <c r="T99" s="170"/>
      <c r="U99" s="77"/>
    </row>
    <row r="100" customFormat="false" ht="50.15" hidden="false" customHeight="true" outlineLevel="0" collapsed="false">
      <c r="B100" s="77"/>
      <c r="C100" s="170"/>
      <c r="D100" s="172"/>
      <c r="E100" s="125" t="s">
        <v>52</v>
      </c>
      <c r="F100" s="126" t="s">
        <v>75</v>
      </c>
      <c r="G100" s="82" t="s">
        <v>76</v>
      </c>
      <c r="H100" s="81" t="s">
        <v>77</v>
      </c>
      <c r="I100" s="59" t="s">
        <v>78</v>
      </c>
      <c r="J100" s="81" t="s">
        <v>79</v>
      </c>
      <c r="K100" s="127" t="s">
        <v>80</v>
      </c>
      <c r="L100" s="81" t="s">
        <v>81</v>
      </c>
      <c r="M100" s="128" t="s">
        <v>82</v>
      </c>
      <c r="N100" s="129" t="s">
        <v>83</v>
      </c>
      <c r="O100" s="130" t="s">
        <v>84</v>
      </c>
      <c r="P100" s="131" t="s">
        <v>85</v>
      </c>
      <c r="Q100" s="131" t="s">
        <v>86</v>
      </c>
      <c r="R100" s="197" t="s">
        <v>87</v>
      </c>
      <c r="S100" s="172"/>
      <c r="T100" s="170"/>
      <c r="U100" s="77"/>
    </row>
    <row r="101" customFormat="false" ht="50.15" hidden="false" customHeight="true" outlineLevel="0" collapsed="false">
      <c r="B101" s="77"/>
      <c r="C101" s="170"/>
      <c r="D101" s="177"/>
      <c r="E101" s="388" t="s">
        <v>21</v>
      </c>
      <c r="F101" s="382" t="s">
        <v>22</v>
      </c>
      <c r="G101" s="304" t="n">
        <v>2</v>
      </c>
      <c r="H101" s="222" t="s">
        <v>176</v>
      </c>
      <c r="I101" s="221" t="n">
        <v>0</v>
      </c>
      <c r="J101" s="222" t="n">
        <v>387</v>
      </c>
      <c r="K101" s="389" t="s">
        <v>66</v>
      </c>
      <c r="L101" s="223" t="n">
        <f aca="false">IF(J101="",0,(J101/J105)*100)</f>
        <v>83.7662337662338</v>
      </c>
      <c r="M101" s="221" t="n">
        <v>3</v>
      </c>
      <c r="N101" s="224" t="n">
        <v>1</v>
      </c>
      <c r="O101" s="137" t="n">
        <f aca="false">IF(M101=1,1,0)</f>
        <v>0</v>
      </c>
      <c r="P101" s="138" t="n">
        <f aca="false">IF(M101=2,1,0)</f>
        <v>0</v>
      </c>
      <c r="Q101" s="138" t="n">
        <f aca="false">IF(M101=3,1,0)</f>
        <v>1</v>
      </c>
      <c r="R101" s="139" t="n">
        <f aca="false">IF(M101=4,1,0)</f>
        <v>0</v>
      </c>
      <c r="S101" s="176"/>
      <c r="T101" s="170"/>
      <c r="U101" s="77"/>
    </row>
    <row r="102" customFormat="false" ht="65.15" hidden="false" customHeight="true" outlineLevel="0" collapsed="false">
      <c r="B102" s="77"/>
      <c r="C102" s="170"/>
      <c r="D102" s="173"/>
      <c r="E102" s="105" t="s">
        <v>27</v>
      </c>
      <c r="F102" s="290" t="s">
        <v>29</v>
      </c>
      <c r="G102" s="306" t="n">
        <v>3</v>
      </c>
      <c r="H102" s="317" t="s">
        <v>177</v>
      </c>
      <c r="I102" s="228" t="n">
        <v>0</v>
      </c>
      <c r="J102" s="317" t="n">
        <v>444</v>
      </c>
      <c r="K102" s="317" t="s">
        <v>66</v>
      </c>
      <c r="L102" s="229" t="n">
        <f aca="false">IF(J102="",0,(J102/J105)*100)</f>
        <v>96.1038961038961</v>
      </c>
      <c r="M102" s="228" t="n">
        <v>2</v>
      </c>
      <c r="N102" s="230" t="n">
        <v>3</v>
      </c>
      <c r="O102" s="144" t="n">
        <f aca="false">IF(M102=1,1,0)</f>
        <v>0</v>
      </c>
      <c r="P102" s="145" t="n">
        <f aca="false">IF(M102=2,1,0)</f>
        <v>1</v>
      </c>
      <c r="Q102" s="145" t="n">
        <f aca="false">IF(M102=3,1,0)</f>
        <v>0</v>
      </c>
      <c r="R102" s="146" t="n">
        <f aca="false">IF(M102=4,1,0)</f>
        <v>0</v>
      </c>
      <c r="S102" s="176"/>
      <c r="T102" s="170"/>
      <c r="U102" s="77"/>
    </row>
    <row r="103" customFormat="false" ht="20.15" hidden="false" customHeight="true" outlineLevel="0" collapsed="false">
      <c r="B103" s="77"/>
      <c r="C103" s="170"/>
      <c r="D103" s="177"/>
      <c r="E103" s="105" t="s">
        <v>23</v>
      </c>
      <c r="F103" s="290" t="s">
        <v>24</v>
      </c>
      <c r="G103" s="306" t="n">
        <v>1</v>
      </c>
      <c r="H103" s="317" t="s">
        <v>66</v>
      </c>
      <c r="I103" s="228" t="n">
        <v>0</v>
      </c>
      <c r="J103" s="317" t="n">
        <v>344</v>
      </c>
      <c r="K103" s="390" t="s">
        <v>66</v>
      </c>
      <c r="L103" s="229" t="n">
        <f aca="false">IF(J103="",0,(J103/J105)*100)</f>
        <v>74.4588744588745</v>
      </c>
      <c r="M103" s="228" t="n">
        <v>4</v>
      </c>
      <c r="N103" s="230" t="n">
        <v>0</v>
      </c>
      <c r="O103" s="144" t="n">
        <f aca="false">IF(M103=1,1,0)</f>
        <v>0</v>
      </c>
      <c r="P103" s="145" t="n">
        <f aca="false">IF(M103=2,1,0)</f>
        <v>0</v>
      </c>
      <c r="Q103" s="145" t="n">
        <f aca="false">IF(M103=3,1,0)</f>
        <v>0</v>
      </c>
      <c r="R103" s="146" t="n">
        <f aca="false">IF(M103=4,1,0)</f>
        <v>1</v>
      </c>
      <c r="S103" s="176"/>
      <c r="T103" s="170"/>
      <c r="U103" s="77"/>
    </row>
    <row r="104" customFormat="false" ht="35.15" hidden="false" customHeight="true" outlineLevel="0" collapsed="false">
      <c r="B104" s="77"/>
      <c r="C104" s="170"/>
      <c r="D104" s="173"/>
      <c r="E104" s="318" t="s">
        <v>39</v>
      </c>
      <c r="F104" s="391" t="s">
        <v>40</v>
      </c>
      <c r="G104" s="320" t="n">
        <v>4</v>
      </c>
      <c r="H104" s="321" t="s">
        <v>178</v>
      </c>
      <c r="I104" s="322" t="n">
        <v>0</v>
      </c>
      <c r="J104" s="321" t="n">
        <v>462</v>
      </c>
      <c r="K104" s="321" t="s">
        <v>66</v>
      </c>
      <c r="L104" s="323" t="n">
        <f aca="false">IF(J104="",0,(J104/J105)*100)</f>
        <v>100</v>
      </c>
      <c r="M104" s="322" t="n">
        <v>1</v>
      </c>
      <c r="N104" s="324" t="n">
        <v>6</v>
      </c>
      <c r="O104" s="156" t="n">
        <f aca="false">IF(M104=1,1,0)</f>
        <v>1</v>
      </c>
      <c r="P104" s="157" t="n">
        <f aca="false">IF(M104=2,1,0)</f>
        <v>0</v>
      </c>
      <c r="Q104" s="157" t="n">
        <f aca="false">IF(M104=3,1,0)</f>
        <v>0</v>
      </c>
      <c r="R104" s="158" t="n">
        <f aca="false">IF(M104=4,1,0)</f>
        <v>0</v>
      </c>
      <c r="S104" s="176"/>
      <c r="T104" s="170"/>
      <c r="U104" s="77"/>
    </row>
    <row r="105" customFormat="false" ht="20.15" hidden="true" customHeight="true" outlineLevel="1" collapsed="false">
      <c r="B105" s="77"/>
      <c r="C105" s="170"/>
      <c r="D105" s="173"/>
      <c r="E105" s="173"/>
      <c r="F105" s="172"/>
      <c r="G105" s="172"/>
      <c r="H105" s="170"/>
      <c r="I105" s="213" t="s">
        <v>92</v>
      </c>
      <c r="J105" s="161" t="n">
        <f aca="false">MAX(J101:J104)</f>
        <v>462</v>
      </c>
      <c r="K105" s="186"/>
      <c r="L105" s="176"/>
      <c r="M105" s="170"/>
      <c r="N105" s="164" t="s">
        <v>93</v>
      </c>
      <c r="O105" s="165" t="n">
        <f aca="false">SUM(O101:O104)</f>
        <v>1</v>
      </c>
      <c r="P105" s="166" t="n">
        <f aca="false">SUM(P101:P104)</f>
        <v>1</v>
      </c>
      <c r="Q105" s="165" t="n">
        <f aca="false">SUM(Q101:Q104)</f>
        <v>1</v>
      </c>
      <c r="R105" s="187" t="n">
        <f aca="false">SUM(R101:R104)</f>
        <v>1</v>
      </c>
      <c r="S105" s="188"/>
      <c r="T105" s="170"/>
      <c r="U105" s="77"/>
    </row>
    <row r="106" customFormat="false" ht="20.15" hidden="false" customHeight="true" outlineLevel="0" collapsed="false">
      <c r="B106" s="77"/>
      <c r="C106" s="170"/>
      <c r="D106" s="189"/>
      <c r="E106" s="189"/>
      <c r="F106" s="170"/>
      <c r="G106" s="170"/>
      <c r="H106" s="170"/>
      <c r="I106" s="170"/>
      <c r="J106" s="170"/>
      <c r="K106" s="170"/>
      <c r="L106" s="170"/>
      <c r="M106" s="170"/>
      <c r="N106" s="170"/>
      <c r="O106" s="170"/>
      <c r="P106" s="170"/>
      <c r="Q106" s="170"/>
      <c r="R106" s="170"/>
      <c r="S106" s="170"/>
      <c r="T106" s="170"/>
      <c r="U106" s="77"/>
    </row>
    <row r="107" customFormat="false" ht="20.15" hidden="false" customHeight="true" outlineLevel="0" collapsed="false">
      <c r="B107" s="77"/>
      <c r="D107" s="190"/>
      <c r="E107" s="190"/>
      <c r="F107" s="190"/>
      <c r="G107" s="190"/>
      <c r="H107" s="191"/>
      <c r="I107" s="190"/>
      <c r="J107" s="190"/>
      <c r="K107" s="14"/>
      <c r="L107" s="14"/>
      <c r="M107" s="14"/>
      <c r="N107" s="14"/>
      <c r="O107" s="14"/>
      <c r="P107" s="14"/>
      <c r="Q107" s="14"/>
      <c r="R107" s="14"/>
      <c r="S107" s="14"/>
      <c r="U107" s="77"/>
    </row>
    <row r="108" customFormat="false" ht="20.15" hidden="false" customHeight="true" outlineLevel="0" collapsed="false">
      <c r="B108" s="77"/>
      <c r="C108" s="192"/>
      <c r="D108" s="192"/>
      <c r="E108" s="193" t="str">
        <f aca="false">IF(OR(L87="-",L87= ""),H87,L87)</f>
        <v>Roll for the Galaxy</v>
      </c>
      <c r="F108" s="193"/>
      <c r="G108" s="193"/>
      <c r="H108" s="193"/>
      <c r="I108" s="193"/>
      <c r="J108" s="193"/>
      <c r="K108" s="193"/>
      <c r="L108" s="193"/>
      <c r="M108" s="193"/>
      <c r="N108" s="193"/>
      <c r="O108" s="194"/>
      <c r="P108" s="194"/>
      <c r="Q108" s="194"/>
      <c r="R108" s="194"/>
      <c r="S108" s="194"/>
      <c r="T108" s="192"/>
      <c r="U108" s="195"/>
    </row>
    <row r="109" customFormat="false" ht="50.15" hidden="false" customHeight="true" outlineLevel="0" collapsed="false">
      <c r="B109" s="77"/>
      <c r="C109" s="192"/>
      <c r="D109" s="194"/>
      <c r="E109" s="125" t="s">
        <v>52</v>
      </c>
      <c r="F109" s="126" t="s">
        <v>75</v>
      </c>
      <c r="G109" s="82" t="s">
        <v>76</v>
      </c>
      <c r="H109" s="81" t="s">
        <v>77</v>
      </c>
      <c r="I109" s="59" t="s">
        <v>78</v>
      </c>
      <c r="J109" s="81" t="s">
        <v>79</v>
      </c>
      <c r="K109" s="127" t="s">
        <v>80</v>
      </c>
      <c r="L109" s="81" t="s">
        <v>81</v>
      </c>
      <c r="M109" s="128" t="s">
        <v>82</v>
      </c>
      <c r="N109" s="129" t="s">
        <v>83</v>
      </c>
      <c r="O109" s="130" t="s">
        <v>84</v>
      </c>
      <c r="P109" s="131" t="s">
        <v>85</v>
      </c>
      <c r="Q109" s="131" t="s">
        <v>86</v>
      </c>
      <c r="R109" s="197" t="s">
        <v>87</v>
      </c>
      <c r="S109" s="194"/>
      <c r="T109" s="192"/>
      <c r="U109" s="195"/>
    </row>
    <row r="110" customFormat="false" ht="20.15" hidden="false" customHeight="true" outlineLevel="0" collapsed="false">
      <c r="B110" s="77"/>
      <c r="C110" s="192"/>
      <c r="D110" s="208"/>
      <c r="E110" s="388" t="s">
        <v>21</v>
      </c>
      <c r="F110" s="382" t="s">
        <v>22</v>
      </c>
      <c r="G110" s="304" t="s">
        <v>66</v>
      </c>
      <c r="H110" s="222" t="s">
        <v>179</v>
      </c>
      <c r="I110" s="221" t="n">
        <v>3</v>
      </c>
      <c r="J110" s="222" t="n">
        <v>31</v>
      </c>
      <c r="K110" s="221" t="s">
        <v>66</v>
      </c>
      <c r="L110" s="223" t="n">
        <f aca="false">IF(J110="",0,(J110/J114)*100)</f>
        <v>83.7837837837838</v>
      </c>
      <c r="M110" s="221" t="n">
        <v>3</v>
      </c>
      <c r="N110" s="224" t="n">
        <v>1</v>
      </c>
      <c r="O110" s="137" t="n">
        <f aca="false">IF(M110=1,1,0)</f>
        <v>0</v>
      </c>
      <c r="P110" s="138" t="n">
        <f aca="false">IF(M110=2,1,0)</f>
        <v>0</v>
      </c>
      <c r="Q110" s="138" t="n">
        <f aca="false">IF(M110=3,1,0)</f>
        <v>1</v>
      </c>
      <c r="R110" s="139" t="n">
        <f aca="false">IF(M110=4,1,0)</f>
        <v>0</v>
      </c>
      <c r="S110" s="206"/>
      <c r="T110" s="192"/>
      <c r="U110" s="207"/>
    </row>
    <row r="111" customFormat="false" ht="20.15" hidden="false" customHeight="true" outlineLevel="0" collapsed="false">
      <c r="B111" s="77"/>
      <c r="C111" s="192"/>
      <c r="D111" s="198"/>
      <c r="E111" s="105" t="s">
        <v>27</v>
      </c>
      <c r="F111" s="290" t="s">
        <v>29</v>
      </c>
      <c r="G111" s="306" t="s">
        <v>66</v>
      </c>
      <c r="H111" s="317" t="s">
        <v>180</v>
      </c>
      <c r="I111" s="228" t="n">
        <v>3</v>
      </c>
      <c r="J111" s="317" t="n">
        <v>27</v>
      </c>
      <c r="K111" s="317" t="s">
        <v>66</v>
      </c>
      <c r="L111" s="229" t="n">
        <f aca="false">IF(J111="",0,(J111/J114)*100)</f>
        <v>72.972972972973</v>
      </c>
      <c r="M111" s="228" t="n">
        <v>4</v>
      </c>
      <c r="N111" s="230" t="n">
        <v>0</v>
      </c>
      <c r="O111" s="144" t="n">
        <f aca="false">IF(M111=1,1,0)</f>
        <v>0</v>
      </c>
      <c r="P111" s="145" t="n">
        <f aca="false">IF(M111=2,1,0)</f>
        <v>0</v>
      </c>
      <c r="Q111" s="145" t="n">
        <f aca="false">IF(M111=3,1,0)</f>
        <v>0</v>
      </c>
      <c r="R111" s="146" t="n">
        <f aca="false">IF(M111=4,1,0)</f>
        <v>1</v>
      </c>
      <c r="S111" s="206"/>
      <c r="T111" s="192"/>
      <c r="U111" s="211"/>
    </row>
    <row r="112" customFormat="false" ht="35.15" hidden="false" customHeight="true" outlineLevel="0" collapsed="false">
      <c r="B112" s="77"/>
      <c r="C112" s="192"/>
      <c r="D112" s="198"/>
      <c r="E112" s="147" t="s">
        <v>23</v>
      </c>
      <c r="F112" s="355" t="s">
        <v>24</v>
      </c>
      <c r="G112" s="305" t="s">
        <v>66</v>
      </c>
      <c r="H112" s="179" t="s">
        <v>181</v>
      </c>
      <c r="I112" s="149" t="n">
        <v>4</v>
      </c>
      <c r="J112" s="179" t="n">
        <v>37</v>
      </c>
      <c r="K112" s="149" t="s">
        <v>66</v>
      </c>
      <c r="L112" s="150" t="n">
        <f aca="false">IF(J112="",0,(J112/J114)*100)</f>
        <v>100</v>
      </c>
      <c r="M112" s="149" t="n">
        <v>1</v>
      </c>
      <c r="N112" s="151" t="n">
        <v>6</v>
      </c>
      <c r="O112" s="144" t="n">
        <f aca="false">IF(M112=1,1,0)</f>
        <v>1</v>
      </c>
      <c r="P112" s="145" t="n">
        <f aca="false">IF(M112=2,1,0)</f>
        <v>0</v>
      </c>
      <c r="Q112" s="145" t="n">
        <f aca="false">IF(M112=3,1,0)</f>
        <v>0</v>
      </c>
      <c r="R112" s="146" t="n">
        <f aca="false">IF(M112=4,1,0)</f>
        <v>0</v>
      </c>
      <c r="S112" s="206"/>
      <c r="T112" s="192"/>
      <c r="U112" s="211"/>
    </row>
    <row r="113" customFormat="false" ht="20.15" hidden="false" customHeight="true" outlineLevel="0" collapsed="false">
      <c r="B113" s="77"/>
      <c r="C113" s="192"/>
      <c r="D113" s="198"/>
      <c r="E113" s="295" t="s">
        <v>39</v>
      </c>
      <c r="F113" s="386" t="s">
        <v>40</v>
      </c>
      <c r="G113" s="307" t="s">
        <v>66</v>
      </c>
      <c r="H113" s="308" t="s">
        <v>182</v>
      </c>
      <c r="I113" s="234" t="n">
        <v>8</v>
      </c>
      <c r="J113" s="308" t="n">
        <v>34</v>
      </c>
      <c r="K113" s="308" t="s">
        <v>66</v>
      </c>
      <c r="L113" s="235" t="n">
        <f aca="false">IF(J113="",0,(J113/J114)*100)</f>
        <v>91.8918918918919</v>
      </c>
      <c r="M113" s="234" t="n">
        <v>2</v>
      </c>
      <c r="N113" s="236" t="n">
        <v>3</v>
      </c>
      <c r="O113" s="156" t="n">
        <f aca="false">IF(M113=1,1,0)</f>
        <v>0</v>
      </c>
      <c r="P113" s="157" t="n">
        <f aca="false">IF(M113=2,1,0)</f>
        <v>1</v>
      </c>
      <c r="Q113" s="157" t="n">
        <f aca="false">IF(M113=3,1,0)</f>
        <v>0</v>
      </c>
      <c r="R113" s="158" t="n">
        <f aca="false">IF(M113=4,1,0)</f>
        <v>0</v>
      </c>
      <c r="S113" s="206"/>
      <c r="T113" s="192"/>
      <c r="U113" s="211"/>
    </row>
    <row r="114" customFormat="false" ht="20.15" hidden="true" customHeight="true" outlineLevel="1" collapsed="false">
      <c r="B114" s="77"/>
      <c r="C114" s="192"/>
      <c r="D114" s="198"/>
      <c r="E114" s="198"/>
      <c r="F114" s="206"/>
      <c r="G114" s="206"/>
      <c r="H114" s="192"/>
      <c r="I114" s="213" t="s">
        <v>92</v>
      </c>
      <c r="J114" s="161" t="n">
        <f aca="false">MAX(J110:J113)</f>
        <v>37</v>
      </c>
      <c r="K114" s="214"/>
      <c r="L114" s="206"/>
      <c r="M114" s="192"/>
      <c r="N114" s="164" t="s">
        <v>93</v>
      </c>
      <c r="O114" s="165" t="n">
        <f aca="false">SUM(O110:O113)</f>
        <v>1</v>
      </c>
      <c r="P114" s="166" t="n">
        <f aca="false">SUM(P110:P113)</f>
        <v>1</v>
      </c>
      <c r="Q114" s="165" t="n">
        <f aca="false">SUM(Q110:Q113)</f>
        <v>1</v>
      </c>
      <c r="R114" s="187" t="n">
        <f aca="false">SUM(R110:R113)</f>
        <v>1</v>
      </c>
      <c r="S114" s="215"/>
      <c r="T114" s="192"/>
      <c r="U114" s="211"/>
    </row>
    <row r="115" customFormat="false" ht="20.15" hidden="false" customHeight="true" outlineLevel="0" collapsed="false">
      <c r="B115" s="77"/>
      <c r="C115" s="192"/>
      <c r="D115" s="216"/>
      <c r="E115" s="216"/>
      <c r="F115" s="192"/>
      <c r="G115" s="192"/>
      <c r="H115" s="192"/>
      <c r="I115" s="192"/>
      <c r="J115" s="192"/>
      <c r="K115" s="192"/>
      <c r="L115" s="192"/>
      <c r="M115" s="192"/>
      <c r="N115" s="192"/>
      <c r="O115" s="192"/>
      <c r="P115" s="192"/>
      <c r="Q115" s="192"/>
      <c r="R115" s="192"/>
      <c r="S115" s="192"/>
      <c r="T115" s="192"/>
      <c r="U115" s="211"/>
    </row>
    <row r="116" customFormat="false" ht="20.15" hidden="false" customHeight="true" outlineLevel="0" collapsed="false">
      <c r="B116" s="77"/>
      <c r="D116" s="190"/>
      <c r="E116" s="190"/>
      <c r="F116" s="190"/>
      <c r="G116" s="190"/>
      <c r="H116" s="191"/>
      <c r="I116" s="190"/>
      <c r="J116" s="190"/>
      <c r="K116" s="190"/>
      <c r="L116" s="14"/>
      <c r="M116" s="14"/>
      <c r="N116" s="14"/>
      <c r="O116" s="14"/>
      <c r="P116" s="14"/>
      <c r="Q116" s="14"/>
      <c r="R116" s="14"/>
      <c r="S116" s="14"/>
      <c r="U116" s="207"/>
    </row>
    <row r="117" customFormat="false" ht="20.15" hidden="false" customHeight="true" outlineLevel="0" collapsed="false">
      <c r="B117" s="77"/>
      <c r="C117" s="217"/>
      <c r="D117" s="217"/>
      <c r="E117" s="218" t="str">
        <f aca="false">IF(OR(L88="-",L88= ""),H88,L88)</f>
        <v>Rajas of the Ganges</v>
      </c>
      <c r="F117" s="218"/>
      <c r="G117" s="218"/>
      <c r="H117" s="218"/>
      <c r="I117" s="218"/>
      <c r="J117" s="218"/>
      <c r="K117" s="218"/>
      <c r="L117" s="218"/>
      <c r="M117" s="218"/>
      <c r="N117" s="218"/>
      <c r="O117" s="219"/>
      <c r="P117" s="219"/>
      <c r="Q117" s="219"/>
      <c r="R117" s="219"/>
      <c r="S117" s="219"/>
      <c r="T117" s="217"/>
      <c r="U117" s="77"/>
    </row>
    <row r="118" customFormat="false" ht="50.15" hidden="false" customHeight="true" outlineLevel="0" collapsed="false">
      <c r="B118" s="77"/>
      <c r="C118" s="217"/>
      <c r="D118" s="219"/>
      <c r="E118" s="125" t="s">
        <v>52</v>
      </c>
      <c r="F118" s="126" t="s">
        <v>75</v>
      </c>
      <c r="G118" s="82" t="s">
        <v>76</v>
      </c>
      <c r="H118" s="81" t="s">
        <v>77</v>
      </c>
      <c r="I118" s="59" t="s">
        <v>78</v>
      </c>
      <c r="J118" s="81" t="s">
        <v>79</v>
      </c>
      <c r="K118" s="127" t="s">
        <v>80</v>
      </c>
      <c r="L118" s="81" t="s">
        <v>81</v>
      </c>
      <c r="M118" s="128" t="s">
        <v>82</v>
      </c>
      <c r="N118" s="129" t="s">
        <v>83</v>
      </c>
      <c r="O118" s="130" t="s">
        <v>84</v>
      </c>
      <c r="P118" s="131" t="s">
        <v>85</v>
      </c>
      <c r="Q118" s="131" t="s">
        <v>86</v>
      </c>
      <c r="R118" s="197" t="s">
        <v>87</v>
      </c>
      <c r="S118" s="219"/>
      <c r="T118" s="217"/>
      <c r="U118" s="77"/>
    </row>
    <row r="119" customFormat="false" ht="20.15" hidden="false" customHeight="true" outlineLevel="0" collapsed="false">
      <c r="B119" s="77"/>
      <c r="C119" s="217"/>
      <c r="D119" s="220"/>
      <c r="E119" s="388" t="s">
        <v>21</v>
      </c>
      <c r="F119" s="382" t="s">
        <v>22</v>
      </c>
      <c r="G119" s="304" t="n">
        <v>1</v>
      </c>
      <c r="H119" s="221" t="s">
        <v>66</v>
      </c>
      <c r="I119" s="221" t="n">
        <v>-59</v>
      </c>
      <c r="J119" s="221" t="n">
        <v>-30</v>
      </c>
      <c r="K119" s="221" t="s">
        <v>66</v>
      </c>
      <c r="L119" s="223" t="n">
        <f aca="false">($I$121-J119)/($I$121-$J$120)*100</f>
        <v>48.2758620689655</v>
      </c>
      <c r="M119" s="221" t="n">
        <v>4</v>
      </c>
      <c r="N119" s="224" t="n">
        <v>0</v>
      </c>
      <c r="O119" s="137" t="n">
        <f aca="false">IF(M119=1,1,0)</f>
        <v>0</v>
      </c>
      <c r="P119" s="138" t="n">
        <f aca="false">IF(M119=2,1,0)</f>
        <v>0</v>
      </c>
      <c r="Q119" s="138" t="n">
        <f aca="false">IF(M119=3,1,0)</f>
        <v>0</v>
      </c>
      <c r="R119" s="139" t="n">
        <f aca="false">IF(M119=4,1,0)</f>
        <v>1</v>
      </c>
      <c r="S119" s="225"/>
      <c r="T119" s="217"/>
      <c r="U119" s="77"/>
    </row>
    <row r="120" customFormat="false" ht="20.15" hidden="false" customHeight="true" outlineLevel="0" collapsed="false">
      <c r="B120" s="77"/>
      <c r="C120" s="217"/>
      <c r="D120" s="220"/>
      <c r="E120" s="147" t="s">
        <v>27</v>
      </c>
      <c r="F120" s="355" t="s">
        <v>28</v>
      </c>
      <c r="G120" s="305" t="n">
        <v>2</v>
      </c>
      <c r="H120" s="149" t="s">
        <v>66</v>
      </c>
      <c r="I120" s="149" t="n">
        <v>-59</v>
      </c>
      <c r="J120" s="149" t="n">
        <v>0</v>
      </c>
      <c r="K120" s="179" t="s">
        <v>66</v>
      </c>
      <c r="L120" s="150" t="n">
        <f aca="false">($I$121-J120)/($I$121-$J$120)*100</f>
        <v>100</v>
      </c>
      <c r="M120" s="149" t="n">
        <v>1</v>
      </c>
      <c r="N120" s="151" t="n">
        <v>6</v>
      </c>
      <c r="O120" s="144" t="n">
        <f aca="false">IF(M120=1,1,0)</f>
        <v>1</v>
      </c>
      <c r="P120" s="145" t="n">
        <f aca="false">IF(M120=2,1,0)</f>
        <v>0</v>
      </c>
      <c r="Q120" s="145" t="n">
        <f aca="false">IF(M120=3,1,0)</f>
        <v>0</v>
      </c>
      <c r="R120" s="146" t="n">
        <f aca="false">IF(M120=4,1,0)</f>
        <v>0</v>
      </c>
      <c r="S120" s="225"/>
      <c r="T120" s="217"/>
      <c r="U120" s="77"/>
    </row>
    <row r="121" customFormat="false" ht="20.15" hidden="false" customHeight="true" outlineLevel="0" collapsed="false">
      <c r="B121" s="77"/>
      <c r="C121" s="217"/>
      <c r="D121" s="220"/>
      <c r="E121" s="105" t="s">
        <v>23</v>
      </c>
      <c r="F121" s="290" t="s">
        <v>24</v>
      </c>
      <c r="G121" s="306" t="n">
        <v>4</v>
      </c>
      <c r="H121" s="228" t="s">
        <v>66</v>
      </c>
      <c r="I121" s="228" t="n">
        <v>-58</v>
      </c>
      <c r="J121" s="228" t="n">
        <v>-21</v>
      </c>
      <c r="K121" s="228" t="s">
        <v>66</v>
      </c>
      <c r="L121" s="229" t="n">
        <f aca="false">($I$121-J121)/($I$121-$J$120)*100</f>
        <v>63.7931034482759</v>
      </c>
      <c r="M121" s="228" t="n">
        <v>3</v>
      </c>
      <c r="N121" s="230" t="n">
        <v>1</v>
      </c>
      <c r="O121" s="144" t="n">
        <f aca="false">IF(M121=1,1,0)</f>
        <v>0</v>
      </c>
      <c r="P121" s="145" t="n">
        <f aca="false">IF(M121=2,1,0)</f>
        <v>0</v>
      </c>
      <c r="Q121" s="145" t="n">
        <f aca="false">IF(M121=3,1,0)</f>
        <v>1</v>
      </c>
      <c r="R121" s="146" t="n">
        <f aca="false">IF(M121=4,1,0)</f>
        <v>0</v>
      </c>
      <c r="S121" s="225"/>
      <c r="T121" s="217"/>
      <c r="U121" s="77"/>
    </row>
    <row r="122" customFormat="false" ht="20.15" hidden="false" customHeight="true" outlineLevel="0" collapsed="false">
      <c r="B122" s="77"/>
      <c r="C122" s="217"/>
      <c r="D122" s="231"/>
      <c r="E122" s="295" t="s">
        <v>39</v>
      </c>
      <c r="F122" s="386" t="s">
        <v>40</v>
      </c>
      <c r="G122" s="307" t="n">
        <v>3</v>
      </c>
      <c r="H122" s="234" t="s">
        <v>66</v>
      </c>
      <c r="I122" s="234" t="n">
        <v>-58</v>
      </c>
      <c r="J122" s="234" t="n">
        <v>-8</v>
      </c>
      <c r="K122" s="308" t="s">
        <v>66</v>
      </c>
      <c r="L122" s="235" t="n">
        <f aca="false">($I$121-J122)/($I$121-$J$120)*100</f>
        <v>86.2068965517241</v>
      </c>
      <c r="M122" s="234" t="n">
        <v>2</v>
      </c>
      <c r="N122" s="236" t="n">
        <v>3</v>
      </c>
      <c r="O122" s="156" t="n">
        <f aca="false">IF(M122=1,1,0)</f>
        <v>0</v>
      </c>
      <c r="P122" s="157" t="n">
        <f aca="false">IF(M122=2,1,0)</f>
        <v>1</v>
      </c>
      <c r="Q122" s="157" t="n">
        <f aca="false">IF(M122=3,1,0)</f>
        <v>0</v>
      </c>
      <c r="R122" s="158" t="n">
        <f aca="false">IF(M122=4,1,0)</f>
        <v>0</v>
      </c>
      <c r="S122" s="225"/>
      <c r="T122" s="217"/>
      <c r="U122" s="77"/>
    </row>
    <row r="123" customFormat="false" ht="20.15" hidden="true" customHeight="true" outlineLevel="1" collapsed="false">
      <c r="B123" s="77"/>
      <c r="C123" s="217"/>
      <c r="D123" s="220"/>
      <c r="E123" s="220"/>
      <c r="F123" s="225"/>
      <c r="G123" s="225"/>
      <c r="H123" s="217"/>
      <c r="I123" s="213" t="s">
        <v>92</v>
      </c>
      <c r="J123" s="161" t="n">
        <f aca="false">MAX(J119:J122)</f>
        <v>0</v>
      </c>
      <c r="K123" s="237"/>
      <c r="L123" s="225"/>
      <c r="M123" s="217"/>
      <c r="N123" s="164" t="s">
        <v>93</v>
      </c>
      <c r="O123" s="165" t="n">
        <f aca="false">SUM(O119:O122)</f>
        <v>1</v>
      </c>
      <c r="P123" s="166" t="n">
        <f aca="false">SUM(P119:P122)</f>
        <v>1</v>
      </c>
      <c r="Q123" s="165" t="n">
        <f aca="false">SUM(Q119:Q122)</f>
        <v>1</v>
      </c>
      <c r="R123" s="187" t="n">
        <f aca="false">SUM(R119:R122)</f>
        <v>1</v>
      </c>
      <c r="S123" s="238"/>
      <c r="T123" s="217"/>
      <c r="U123" s="77"/>
    </row>
    <row r="124" customFormat="false" ht="20.15" hidden="false" customHeight="true" outlineLevel="0" collapsed="false">
      <c r="B124" s="77"/>
      <c r="C124" s="217"/>
      <c r="D124" s="239"/>
      <c r="E124" s="239"/>
      <c r="F124" s="217"/>
      <c r="G124" s="217"/>
      <c r="H124" s="217"/>
      <c r="I124" s="217"/>
      <c r="J124" s="217"/>
      <c r="K124" s="217"/>
      <c r="L124" s="217"/>
      <c r="M124" s="217"/>
      <c r="N124" s="217"/>
      <c r="O124" s="217"/>
      <c r="P124" s="217"/>
      <c r="Q124" s="217"/>
      <c r="R124" s="217"/>
      <c r="S124" s="217"/>
      <c r="T124" s="217"/>
      <c r="U124" s="77"/>
    </row>
    <row r="125" customFormat="false" ht="20.15" hidden="false" customHeight="true" outlineLevel="0" collapsed="false">
      <c r="B125" s="77"/>
      <c r="D125" s="5"/>
      <c r="E125" s="5"/>
      <c r="F125" s="5"/>
      <c r="G125" s="5"/>
      <c r="H125" s="5"/>
      <c r="I125" s="5"/>
      <c r="J125" s="5"/>
      <c r="K125" s="14"/>
      <c r="L125" s="14"/>
      <c r="M125" s="14"/>
      <c r="N125" s="14"/>
      <c r="O125" s="14"/>
      <c r="P125" s="14"/>
      <c r="Q125" s="14"/>
      <c r="R125" s="14"/>
      <c r="S125" s="14"/>
      <c r="U125" s="77"/>
    </row>
    <row r="126" customFormat="false" ht="30" hidden="false" customHeight="true" outlineLevel="0" collapsed="false">
      <c r="B126" s="77"/>
      <c r="C126" s="240"/>
      <c r="D126" s="241" t="s">
        <v>135</v>
      </c>
      <c r="E126" s="241"/>
      <c r="F126" s="241"/>
      <c r="G126" s="241"/>
      <c r="H126" s="241"/>
      <c r="I126" s="241"/>
      <c r="J126" s="241"/>
      <c r="K126" s="241"/>
      <c r="L126" s="241"/>
      <c r="M126" s="241"/>
      <c r="N126" s="241"/>
      <c r="O126" s="241"/>
      <c r="P126" s="241"/>
      <c r="Q126" s="241"/>
      <c r="R126" s="241"/>
      <c r="S126" s="241"/>
      <c r="T126" s="240"/>
      <c r="U126" s="77"/>
    </row>
    <row r="127" customFormat="false" ht="50.15" hidden="false" customHeight="true" outlineLevel="0" collapsed="false">
      <c r="B127" s="77"/>
      <c r="C127" s="240"/>
      <c r="D127" s="242" t="s">
        <v>52</v>
      </c>
      <c r="E127" s="243" t="s">
        <v>53</v>
      </c>
      <c r="F127" s="244" t="s">
        <v>83</v>
      </c>
      <c r="G127" s="245" t="s">
        <v>102</v>
      </c>
      <c r="H127" s="246" t="s">
        <v>103</v>
      </c>
      <c r="I127" s="246"/>
      <c r="J127" s="247" t="s">
        <v>104</v>
      </c>
      <c r="K127" s="248" t="s">
        <v>105</v>
      </c>
      <c r="L127" s="244" t="s">
        <v>106</v>
      </c>
      <c r="M127" s="248" t="s">
        <v>107</v>
      </c>
      <c r="N127" s="244" t="s">
        <v>108</v>
      </c>
      <c r="O127" s="249"/>
      <c r="P127" s="250"/>
      <c r="Q127" s="250"/>
      <c r="R127" s="250"/>
      <c r="S127" s="243" t="s">
        <v>109</v>
      </c>
      <c r="T127" s="240"/>
      <c r="U127" s="77"/>
    </row>
    <row r="128" customFormat="false" ht="20.15" hidden="false" customHeight="true" outlineLevel="0" collapsed="false">
      <c r="B128" s="77"/>
      <c r="C128" s="240"/>
      <c r="D128" s="251" t="s">
        <v>23</v>
      </c>
      <c r="E128" s="17" t="s">
        <v>24</v>
      </c>
      <c r="F128" s="327" t="n">
        <f aca="false">K128*6+L128*3+M128*1+N128*0</f>
        <v>13</v>
      </c>
      <c r="G128" s="328" t="n">
        <v>0</v>
      </c>
      <c r="H128" s="328" t="s">
        <v>66</v>
      </c>
      <c r="I128" s="328"/>
      <c r="J128" s="327" t="n">
        <f aca="false">F128+G128</f>
        <v>13</v>
      </c>
      <c r="K128" s="327" t="n">
        <v>2</v>
      </c>
      <c r="L128" s="327" t="n">
        <v>0</v>
      </c>
      <c r="M128" s="327" t="n">
        <v>1</v>
      </c>
      <c r="N128" s="327" t="n">
        <v>1</v>
      </c>
      <c r="O128" s="16"/>
      <c r="P128" s="328"/>
      <c r="Q128" s="328"/>
      <c r="R128" s="328"/>
      <c r="S128" s="329" t="n">
        <f aca="false">(L94+L103+L112+L121)/4</f>
        <v>84.5629944767876</v>
      </c>
      <c r="T128" s="240"/>
      <c r="U128" s="77"/>
    </row>
    <row r="129" customFormat="false" ht="20.15" hidden="false" customHeight="true" outlineLevel="0" collapsed="false">
      <c r="B129" s="77"/>
      <c r="C129" s="240"/>
      <c r="D129" s="257" t="s">
        <v>39</v>
      </c>
      <c r="E129" s="258" t="s">
        <v>40</v>
      </c>
      <c r="F129" s="330" t="n">
        <f aca="false">K129*6+L129*3+M129*1+N129*0</f>
        <v>12</v>
      </c>
      <c r="G129" s="331" t="n">
        <v>0</v>
      </c>
      <c r="H129" s="331" t="s">
        <v>66</v>
      </c>
      <c r="I129" s="331"/>
      <c r="J129" s="330" t="n">
        <f aca="false">F129+G129</f>
        <v>12</v>
      </c>
      <c r="K129" s="330" t="n">
        <v>1</v>
      </c>
      <c r="L129" s="330" t="n">
        <v>2</v>
      </c>
      <c r="M129" s="330" t="n">
        <v>0</v>
      </c>
      <c r="N129" s="330" t="n">
        <v>1</v>
      </c>
      <c r="O129" s="332"/>
      <c r="P129" s="331"/>
      <c r="Q129" s="331"/>
      <c r="R129" s="331"/>
      <c r="S129" s="333" t="n">
        <f aca="false">(L95+L104+L113+L122)/4</f>
        <v>84.8916695879682</v>
      </c>
      <c r="T129" s="240"/>
      <c r="U129" s="77"/>
      <c r="W129" s="334"/>
      <c r="X129" s="334"/>
      <c r="Y129" s="23"/>
      <c r="Z129" s="23"/>
      <c r="AA129" s="335"/>
      <c r="AB129" s="335"/>
      <c r="AC129" s="336"/>
      <c r="AD129" s="336"/>
      <c r="AE129" s="336"/>
    </row>
    <row r="130" customFormat="false" ht="20.15" hidden="false" customHeight="true" outlineLevel="0" collapsed="false">
      <c r="B130" s="77"/>
      <c r="C130" s="240"/>
      <c r="D130" s="257" t="s">
        <v>27</v>
      </c>
      <c r="E130" s="258" t="s">
        <v>28</v>
      </c>
      <c r="F130" s="330" t="n">
        <f aca="false">K130*6+L130*3+M130*1+N130*0</f>
        <v>10</v>
      </c>
      <c r="G130" s="331" t="n">
        <v>0</v>
      </c>
      <c r="H130" s="331" t="s">
        <v>66</v>
      </c>
      <c r="I130" s="331"/>
      <c r="J130" s="330" t="n">
        <f aca="false">F130+G130</f>
        <v>10</v>
      </c>
      <c r="K130" s="330" t="n">
        <v>1</v>
      </c>
      <c r="L130" s="330" t="n">
        <v>1</v>
      </c>
      <c r="M130" s="330" t="n">
        <v>1</v>
      </c>
      <c r="N130" s="330" t="n">
        <v>1</v>
      </c>
      <c r="O130" s="332"/>
      <c r="P130" s="331"/>
      <c r="Q130" s="331"/>
      <c r="R130" s="331"/>
      <c r="S130" s="333" t="n">
        <f aca="false">(L93+L102+L111+L120)/4</f>
        <v>82.7508686453641</v>
      </c>
      <c r="T130" s="240"/>
      <c r="U130" s="77"/>
    </row>
    <row r="131" customFormat="false" ht="20.15" hidden="false" customHeight="true" outlineLevel="0" collapsed="false">
      <c r="B131" s="77"/>
      <c r="C131" s="240"/>
      <c r="D131" s="265" t="s">
        <v>21</v>
      </c>
      <c r="E131" s="266" t="s">
        <v>22</v>
      </c>
      <c r="F131" s="338" t="n">
        <f aca="false">K131*6+L131*3+M131*1+N131*0</f>
        <v>5</v>
      </c>
      <c r="G131" s="339" t="n">
        <v>0</v>
      </c>
      <c r="H131" s="339" t="s">
        <v>66</v>
      </c>
      <c r="I131" s="339"/>
      <c r="J131" s="338" t="n">
        <f aca="false">F131+G131</f>
        <v>5</v>
      </c>
      <c r="K131" s="338" t="n">
        <v>0</v>
      </c>
      <c r="L131" s="338" t="n">
        <v>1</v>
      </c>
      <c r="M131" s="338" t="n">
        <v>2</v>
      </c>
      <c r="N131" s="338" t="n">
        <v>1</v>
      </c>
      <c r="O131" s="340"/>
      <c r="P131" s="339"/>
      <c r="Q131" s="339"/>
      <c r="R131" s="339"/>
      <c r="S131" s="341" t="n">
        <f aca="false">(L92++L101+L110+L119)/4</f>
        <v>73.6812405469476</v>
      </c>
      <c r="T131" s="240"/>
      <c r="U131" s="77"/>
    </row>
    <row r="132" customFormat="false" ht="20.15" hidden="false" customHeight="true" outlineLevel="0" collapsed="false">
      <c r="B132" s="77"/>
      <c r="C132" s="240"/>
      <c r="D132" s="240"/>
      <c r="E132" s="240"/>
      <c r="F132" s="342"/>
      <c r="G132" s="342"/>
      <c r="H132" s="342"/>
      <c r="I132" s="342"/>
      <c r="J132" s="342"/>
      <c r="K132" s="342"/>
      <c r="L132" s="342"/>
      <c r="M132" s="342"/>
      <c r="N132" s="342"/>
      <c r="O132" s="342"/>
      <c r="P132" s="342"/>
      <c r="Q132" s="342"/>
      <c r="R132" s="342"/>
      <c r="S132" s="342"/>
      <c r="T132" s="240"/>
      <c r="U132" s="77"/>
    </row>
    <row r="133" customFormat="false" ht="20.15" hidden="false" customHeight="true" outlineLevel="0" collapsed="false">
      <c r="B133" s="77"/>
      <c r="C133" s="77"/>
      <c r="D133" s="270"/>
      <c r="E133" s="270"/>
      <c r="F133" s="195"/>
      <c r="G133" s="195"/>
      <c r="H133" s="270"/>
      <c r="I133" s="270"/>
      <c r="J133" s="270"/>
      <c r="K133" s="207"/>
      <c r="L133" s="207"/>
      <c r="M133" s="207"/>
      <c r="N133" s="207"/>
      <c r="O133" s="207"/>
      <c r="P133" s="207"/>
      <c r="Q133" s="207"/>
      <c r="R133" s="207"/>
      <c r="S133" s="207"/>
      <c r="T133" s="77"/>
      <c r="U133" s="77"/>
    </row>
    <row r="134" customFormat="false" ht="20.15" hidden="false" customHeight="true" outlineLevel="0" collapsed="false"/>
    <row r="135" customFormat="false" ht="20.15" hidden="false" customHeight="true" outlineLevel="0" collapsed="false"/>
    <row r="136" customFormat="false" ht="20.15" hidden="false" customHeight="true" outlineLevel="0" collapsed="false">
      <c r="B136" s="77"/>
      <c r="C136" s="77"/>
      <c r="D136" s="78"/>
      <c r="E136" s="78"/>
      <c r="F136" s="78"/>
      <c r="G136" s="78"/>
      <c r="H136" s="77"/>
      <c r="I136" s="77"/>
      <c r="J136" s="77"/>
      <c r="K136" s="77"/>
      <c r="L136" s="77"/>
      <c r="M136" s="77"/>
      <c r="N136" s="77"/>
      <c r="O136" s="77"/>
      <c r="P136" s="77"/>
      <c r="Q136" s="77"/>
      <c r="R136" s="77"/>
      <c r="S136" s="77"/>
      <c r="T136" s="77"/>
      <c r="U136" s="77"/>
    </row>
    <row r="137" customFormat="false" ht="30" hidden="false" customHeight="true" outlineLevel="0" collapsed="false">
      <c r="B137" s="77"/>
      <c r="C137" s="79" t="s">
        <v>183</v>
      </c>
      <c r="D137" s="79"/>
      <c r="E137" s="79"/>
      <c r="F137" s="79"/>
      <c r="G137" s="79"/>
      <c r="H137" s="79"/>
      <c r="I137" s="79"/>
      <c r="J137" s="79"/>
      <c r="K137" s="79"/>
      <c r="L137" s="79"/>
      <c r="M137" s="79"/>
      <c r="N137" s="79"/>
      <c r="O137" s="79"/>
      <c r="P137" s="79"/>
      <c r="Q137" s="79"/>
      <c r="R137" s="79"/>
      <c r="S137" s="79"/>
      <c r="T137" s="79"/>
      <c r="U137" s="77"/>
    </row>
    <row r="138" customFormat="false" ht="20.15" hidden="false" customHeight="true" outlineLevel="0" collapsed="false">
      <c r="B138" s="77"/>
      <c r="D138" s="121"/>
      <c r="E138" s="121"/>
      <c r="U138" s="77"/>
    </row>
    <row r="139" customFormat="false" ht="20.15" hidden="false" customHeight="true" outlineLevel="0" collapsed="false">
      <c r="B139" s="77"/>
      <c r="D139" s="80" t="s">
        <v>52</v>
      </c>
      <c r="E139" s="81" t="s">
        <v>111</v>
      </c>
      <c r="F139" s="82" t="s">
        <v>12</v>
      </c>
      <c r="G139" s="83" t="s">
        <v>54</v>
      </c>
      <c r="H139" s="83"/>
      <c r="I139" s="83"/>
      <c r="J139" s="83"/>
      <c r="K139" s="81" t="s">
        <v>55</v>
      </c>
      <c r="L139" s="83" t="s">
        <v>56</v>
      </c>
      <c r="M139" s="83"/>
      <c r="N139" s="83"/>
      <c r="O139" s="83"/>
      <c r="P139" s="83"/>
      <c r="Q139" s="83"/>
      <c r="R139" s="83"/>
      <c r="S139" s="83"/>
      <c r="U139" s="77"/>
    </row>
    <row r="140" customFormat="false" ht="20.15" hidden="false" customHeight="true" outlineLevel="0" collapsed="false">
      <c r="B140" s="77"/>
      <c r="D140" s="80"/>
      <c r="E140" s="81"/>
      <c r="F140" s="81"/>
      <c r="G140" s="85" t="s">
        <v>57</v>
      </c>
      <c r="H140" s="84" t="s">
        <v>58</v>
      </c>
      <c r="I140" s="82" t="s">
        <v>59</v>
      </c>
      <c r="J140" s="82"/>
      <c r="K140" s="84" t="s">
        <v>60</v>
      </c>
      <c r="L140" s="276" t="s">
        <v>57</v>
      </c>
      <c r="M140" s="277" t="s">
        <v>61</v>
      </c>
      <c r="N140" s="82" t="s">
        <v>59</v>
      </c>
      <c r="O140" s="82"/>
      <c r="P140" s="82"/>
      <c r="Q140" s="82"/>
      <c r="R140" s="82"/>
      <c r="S140" s="82"/>
      <c r="U140" s="77"/>
    </row>
    <row r="141" customFormat="false" ht="50.15" hidden="false" customHeight="true" outlineLevel="0" collapsed="false">
      <c r="B141" s="77"/>
      <c r="D141" s="86" t="s">
        <v>30</v>
      </c>
      <c r="E141" s="372" t="s">
        <v>31</v>
      </c>
      <c r="F141" s="343" t="n">
        <v>1</v>
      </c>
      <c r="G141" s="89" t="s">
        <v>67</v>
      </c>
      <c r="H141" s="281" t="s">
        <v>156</v>
      </c>
      <c r="I141" s="91" t="s">
        <v>157</v>
      </c>
      <c r="J141" s="91"/>
      <c r="K141" s="345" t="s">
        <v>65</v>
      </c>
      <c r="L141" s="93" t="s">
        <v>66</v>
      </c>
      <c r="M141" s="94" t="s">
        <v>66</v>
      </c>
      <c r="N141" s="95" t="s">
        <v>66</v>
      </c>
      <c r="O141" s="95"/>
      <c r="P141" s="95"/>
      <c r="Q141" s="95"/>
      <c r="R141" s="95"/>
      <c r="S141" s="95"/>
      <c r="U141" s="77"/>
    </row>
    <row r="142" customFormat="false" ht="20.15" hidden="false" customHeight="true" outlineLevel="0" collapsed="false">
      <c r="B142" s="77"/>
      <c r="D142" s="105" t="s">
        <v>33</v>
      </c>
      <c r="E142" s="312" t="s">
        <v>34</v>
      </c>
      <c r="F142" s="346" t="n">
        <v>2</v>
      </c>
      <c r="G142" s="286" t="s">
        <v>67</v>
      </c>
      <c r="H142" s="99" t="s">
        <v>175</v>
      </c>
      <c r="I142" s="100" t="s">
        <v>66</v>
      </c>
      <c r="J142" s="100"/>
      <c r="K142" s="348" t="s">
        <v>65</v>
      </c>
      <c r="L142" s="102" t="s">
        <v>66</v>
      </c>
      <c r="M142" s="103" t="s">
        <v>66</v>
      </c>
      <c r="N142" s="104" t="s">
        <v>66</v>
      </c>
      <c r="O142" s="104"/>
      <c r="P142" s="104"/>
      <c r="Q142" s="104"/>
      <c r="R142" s="104"/>
      <c r="S142" s="104"/>
      <c r="U142" s="77"/>
    </row>
    <row r="143" customFormat="false" ht="35.15" hidden="false" customHeight="true" outlineLevel="0" collapsed="false">
      <c r="B143" s="77"/>
      <c r="D143" s="295" t="s">
        <v>41</v>
      </c>
      <c r="E143" s="113" t="s">
        <v>42</v>
      </c>
      <c r="F143" s="350" t="n">
        <v>3</v>
      </c>
      <c r="G143" s="392" t="s">
        <v>71</v>
      </c>
      <c r="H143" s="393" t="s">
        <v>72</v>
      </c>
      <c r="I143" s="394" t="s">
        <v>73</v>
      </c>
      <c r="J143" s="394"/>
      <c r="K143" s="395" t="s">
        <v>65</v>
      </c>
      <c r="L143" s="396" t="s">
        <v>66</v>
      </c>
      <c r="M143" s="302" t="s">
        <v>66</v>
      </c>
      <c r="N143" s="303" t="s">
        <v>66</v>
      </c>
      <c r="O143" s="303"/>
      <c r="P143" s="303"/>
      <c r="Q143" s="303"/>
      <c r="R143" s="303"/>
      <c r="S143" s="303"/>
      <c r="U143" s="77"/>
    </row>
    <row r="144" customFormat="false" ht="20.15" hidden="false" customHeight="true" outlineLevel="0" collapsed="false">
      <c r="B144" s="77"/>
      <c r="D144" s="121"/>
      <c r="E144" s="121"/>
      <c r="U144" s="77"/>
    </row>
    <row r="145" customFormat="false" ht="20.15" hidden="false" customHeight="true" outlineLevel="0" collapsed="false">
      <c r="B145" s="77"/>
      <c r="C145" s="122"/>
      <c r="D145" s="122"/>
      <c r="E145" s="123" t="str">
        <f aca="false">IF(OR(L141="-",L141= ""),H141,L141)</f>
        <v>Marco Polo II: 
Im Auftrag des Khan</v>
      </c>
      <c r="F145" s="123"/>
      <c r="G145" s="123"/>
      <c r="H145" s="123"/>
      <c r="I145" s="123"/>
      <c r="J145" s="123"/>
      <c r="K145" s="123"/>
      <c r="L145" s="123"/>
      <c r="M145" s="123"/>
      <c r="N145" s="123"/>
      <c r="O145" s="124"/>
      <c r="P145" s="124"/>
      <c r="Q145" s="124"/>
      <c r="R145" s="124"/>
      <c r="S145" s="124"/>
      <c r="T145" s="122"/>
      <c r="U145" s="77"/>
    </row>
    <row r="146" customFormat="false" ht="50.15" hidden="false" customHeight="true" outlineLevel="0" collapsed="false">
      <c r="B146" s="77"/>
      <c r="C146" s="122"/>
      <c r="D146" s="124"/>
      <c r="E146" s="125" t="s">
        <v>52</v>
      </c>
      <c r="F146" s="126" t="s">
        <v>75</v>
      </c>
      <c r="G146" s="82" t="s">
        <v>76</v>
      </c>
      <c r="H146" s="81" t="s">
        <v>77</v>
      </c>
      <c r="I146" s="59" t="s">
        <v>78</v>
      </c>
      <c r="J146" s="81" t="s">
        <v>79</v>
      </c>
      <c r="K146" s="127" t="s">
        <v>80</v>
      </c>
      <c r="L146" s="81" t="s">
        <v>81</v>
      </c>
      <c r="M146" s="128" t="s">
        <v>82</v>
      </c>
      <c r="N146" s="129" t="s">
        <v>83</v>
      </c>
      <c r="O146" s="130" t="s">
        <v>84</v>
      </c>
      <c r="P146" s="131" t="s">
        <v>85</v>
      </c>
      <c r="Q146" s="131" t="s">
        <v>86</v>
      </c>
      <c r="R146" s="124"/>
      <c r="S146" s="124"/>
      <c r="T146" s="122"/>
      <c r="U146" s="77"/>
    </row>
    <row r="147" customFormat="false" ht="20.15" hidden="false" customHeight="true" outlineLevel="0" collapsed="false">
      <c r="B147" s="77"/>
      <c r="C147" s="122"/>
      <c r="D147" s="152"/>
      <c r="E147" s="199" t="s">
        <v>30</v>
      </c>
      <c r="F147" s="380" t="s">
        <v>32</v>
      </c>
      <c r="G147" s="325" t="n">
        <v>1</v>
      </c>
      <c r="H147" s="201" t="s">
        <v>184</v>
      </c>
      <c r="I147" s="201" t="n">
        <v>0</v>
      </c>
      <c r="J147" s="201" t="n">
        <v>151</v>
      </c>
      <c r="K147" s="201" t="s">
        <v>66</v>
      </c>
      <c r="L147" s="204" t="n">
        <f aca="false">IF(J147="",0,(J147/J150)*100)</f>
        <v>100</v>
      </c>
      <c r="M147" s="201" t="n">
        <v>1</v>
      </c>
      <c r="N147" s="205" t="n">
        <v>6</v>
      </c>
      <c r="O147" s="138" t="n">
        <f aca="false">IF(M147=1,1,0)</f>
        <v>1</v>
      </c>
      <c r="P147" s="138" t="n">
        <f aca="false">IF(M147=2,1,0)</f>
        <v>0</v>
      </c>
      <c r="Q147" s="139" t="n">
        <f aca="false">IF(M147=3,1,0)</f>
        <v>0</v>
      </c>
      <c r="R147" s="140"/>
      <c r="S147" s="140"/>
      <c r="T147" s="122"/>
      <c r="U147" s="77"/>
    </row>
    <row r="148" customFormat="false" ht="20.15" hidden="false" customHeight="true" outlineLevel="0" collapsed="false">
      <c r="B148" s="77"/>
      <c r="C148" s="122"/>
      <c r="D148" s="132"/>
      <c r="E148" s="105" t="s">
        <v>33</v>
      </c>
      <c r="F148" s="290" t="s">
        <v>34</v>
      </c>
      <c r="G148" s="306" t="n">
        <v>3</v>
      </c>
      <c r="H148" s="228" t="s">
        <v>161</v>
      </c>
      <c r="I148" s="228" t="n">
        <v>0</v>
      </c>
      <c r="J148" s="228" t="n">
        <v>111</v>
      </c>
      <c r="K148" s="317" t="s">
        <v>66</v>
      </c>
      <c r="L148" s="229" t="n">
        <f aca="false">IF(J148="",0,(J148/J150)*100)</f>
        <v>73.5099337748344</v>
      </c>
      <c r="M148" s="228" t="n">
        <v>2</v>
      </c>
      <c r="N148" s="230" t="n">
        <v>3</v>
      </c>
      <c r="O148" s="145" t="n">
        <f aca="false">IF(M148=1,1,0)</f>
        <v>0</v>
      </c>
      <c r="P148" s="145" t="n">
        <f aca="false">IF(M148=2,1,0)</f>
        <v>1</v>
      </c>
      <c r="Q148" s="146" t="n">
        <f aca="false">IF(M148=3,1,0)</f>
        <v>0</v>
      </c>
      <c r="R148" s="140"/>
      <c r="S148" s="140"/>
      <c r="T148" s="122"/>
      <c r="U148" s="77"/>
    </row>
    <row r="149" customFormat="false" ht="20.15" hidden="false" customHeight="true" outlineLevel="0" collapsed="false">
      <c r="B149" s="77"/>
      <c r="C149" s="122"/>
      <c r="D149" s="132"/>
      <c r="E149" s="295" t="s">
        <v>41</v>
      </c>
      <c r="F149" s="233" t="s">
        <v>42</v>
      </c>
      <c r="G149" s="307" t="n">
        <v>2</v>
      </c>
      <c r="H149" s="234" t="s">
        <v>185</v>
      </c>
      <c r="I149" s="234" t="n">
        <v>0</v>
      </c>
      <c r="J149" s="234" t="n">
        <v>93</v>
      </c>
      <c r="K149" s="234" t="s">
        <v>66</v>
      </c>
      <c r="L149" s="235" t="n">
        <f aca="false">IF(J149="",0,(J149/J150)*100)</f>
        <v>61.5894039735099</v>
      </c>
      <c r="M149" s="234" t="n">
        <v>3</v>
      </c>
      <c r="N149" s="236" t="n">
        <v>0</v>
      </c>
      <c r="O149" s="157" t="n">
        <f aca="false">IF(M149=1,1,0)</f>
        <v>0</v>
      </c>
      <c r="P149" s="157" t="n">
        <f aca="false">IF(M149=2,1,0)</f>
        <v>0</v>
      </c>
      <c r="Q149" s="158" t="n">
        <f aca="false">IF(M149=3,1,0)</f>
        <v>1</v>
      </c>
      <c r="R149" s="140"/>
      <c r="S149" s="140"/>
      <c r="T149" s="122"/>
      <c r="U149" s="77"/>
    </row>
    <row r="150" customFormat="false" ht="20.15" hidden="true" customHeight="true" outlineLevel="1" collapsed="false">
      <c r="B150" s="77"/>
      <c r="C150" s="122"/>
      <c r="D150" s="152"/>
      <c r="E150" s="152"/>
      <c r="F150" s="140"/>
      <c r="G150" s="140"/>
      <c r="H150" s="122"/>
      <c r="I150" s="213" t="s">
        <v>92</v>
      </c>
      <c r="J150" s="161" t="n">
        <f aca="false">MAX(J147:J149)</f>
        <v>151</v>
      </c>
      <c r="K150" s="309"/>
      <c r="L150" s="167"/>
      <c r="M150" s="122"/>
      <c r="N150" s="164" t="s">
        <v>93</v>
      </c>
      <c r="O150" s="165" t="n">
        <f aca="false">SUM(O147:O149)</f>
        <v>1</v>
      </c>
      <c r="P150" s="166" t="n">
        <f aca="false">SUM(P147:P149)</f>
        <v>1</v>
      </c>
      <c r="Q150" s="165" t="n">
        <f aca="false">SUM(Q147:Q149)</f>
        <v>1</v>
      </c>
      <c r="R150" s="187" t="n">
        <f aca="false">SUM(R147:R149)</f>
        <v>0</v>
      </c>
      <c r="S150" s="167"/>
      <c r="T150" s="122"/>
      <c r="U150" s="77"/>
    </row>
    <row r="151" customFormat="false" ht="20.15" hidden="false" customHeight="true" outlineLevel="0" collapsed="false">
      <c r="B151" s="77"/>
      <c r="C151" s="122"/>
      <c r="D151" s="168"/>
      <c r="E151" s="168"/>
      <c r="F151" s="122"/>
      <c r="G151" s="122"/>
      <c r="H151" s="122"/>
      <c r="I151" s="122"/>
      <c r="J151" s="122"/>
      <c r="K151" s="122"/>
      <c r="L151" s="122"/>
      <c r="M151" s="122"/>
      <c r="N151" s="122"/>
      <c r="O151" s="122"/>
      <c r="P151" s="122"/>
      <c r="Q151" s="122"/>
      <c r="R151" s="122"/>
      <c r="S151" s="122"/>
      <c r="T151" s="122"/>
      <c r="U151" s="77"/>
    </row>
    <row r="152" customFormat="false" ht="20.15" hidden="false" customHeight="true" outlineLevel="0" collapsed="false">
      <c r="B152" s="77"/>
      <c r="U152" s="77"/>
    </row>
    <row r="153" customFormat="false" ht="20.15" hidden="false" customHeight="true" outlineLevel="0" collapsed="false">
      <c r="B153" s="77"/>
      <c r="C153" s="170"/>
      <c r="D153" s="170"/>
      <c r="E153" s="171" t="str">
        <f aca="false">IF(OR(L142="-",L142= ""),H142,L142)</f>
        <v>Roll for the Galaxy</v>
      </c>
      <c r="F153" s="171"/>
      <c r="G153" s="171"/>
      <c r="H153" s="171"/>
      <c r="I153" s="171"/>
      <c r="J153" s="171"/>
      <c r="K153" s="171"/>
      <c r="L153" s="171"/>
      <c r="M153" s="171"/>
      <c r="N153" s="171"/>
      <c r="O153" s="172"/>
      <c r="P153" s="172"/>
      <c r="Q153" s="172"/>
      <c r="R153" s="172"/>
      <c r="S153" s="172"/>
      <c r="T153" s="170"/>
      <c r="U153" s="77"/>
    </row>
    <row r="154" customFormat="false" ht="50.15" hidden="false" customHeight="true" outlineLevel="0" collapsed="false">
      <c r="B154" s="77"/>
      <c r="C154" s="170"/>
      <c r="D154" s="172"/>
      <c r="E154" s="125" t="s">
        <v>52</v>
      </c>
      <c r="F154" s="126" t="s">
        <v>75</v>
      </c>
      <c r="G154" s="82" t="s">
        <v>76</v>
      </c>
      <c r="H154" s="81" t="s">
        <v>77</v>
      </c>
      <c r="I154" s="59" t="s">
        <v>78</v>
      </c>
      <c r="J154" s="81" t="s">
        <v>79</v>
      </c>
      <c r="K154" s="127" t="s">
        <v>80</v>
      </c>
      <c r="L154" s="81" t="s">
        <v>81</v>
      </c>
      <c r="M154" s="128" t="s">
        <v>82</v>
      </c>
      <c r="N154" s="129" t="s">
        <v>83</v>
      </c>
      <c r="O154" s="130" t="s">
        <v>84</v>
      </c>
      <c r="P154" s="131" t="s">
        <v>85</v>
      </c>
      <c r="Q154" s="131" t="s">
        <v>86</v>
      </c>
      <c r="R154" s="172"/>
      <c r="S154" s="172"/>
      <c r="T154" s="170"/>
      <c r="U154" s="77"/>
    </row>
    <row r="155" customFormat="false" ht="35.15" hidden="false" customHeight="true" outlineLevel="0" collapsed="false">
      <c r="B155" s="77"/>
      <c r="C155" s="170"/>
      <c r="D155" s="177"/>
      <c r="E155" s="86" t="s">
        <v>30</v>
      </c>
      <c r="F155" s="382" t="s">
        <v>32</v>
      </c>
      <c r="G155" s="397" t="s">
        <v>186</v>
      </c>
      <c r="H155" s="221" t="s">
        <v>66</v>
      </c>
      <c r="I155" s="221" t="n">
        <v>0</v>
      </c>
      <c r="J155" s="221" t="n">
        <v>34</v>
      </c>
      <c r="K155" s="222" t="s">
        <v>66</v>
      </c>
      <c r="L155" s="223" t="n">
        <f aca="false">IF(J155="",0,(J155/J158)*100)</f>
        <v>91.8918918918919</v>
      </c>
      <c r="M155" s="221" t="n">
        <v>3</v>
      </c>
      <c r="N155" s="224" t="n">
        <v>0</v>
      </c>
      <c r="O155" s="137" t="n">
        <f aca="false">IF(M155=1,1,0)</f>
        <v>0</v>
      </c>
      <c r="P155" s="138" t="n">
        <f aca="false">IF(M155=2,1,0)</f>
        <v>0</v>
      </c>
      <c r="Q155" s="139" t="n">
        <f aca="false">IF(M155=3,1,0)</f>
        <v>1</v>
      </c>
      <c r="R155" s="176"/>
      <c r="S155" s="176"/>
      <c r="T155" s="170"/>
      <c r="U155" s="77"/>
    </row>
    <row r="156" customFormat="false" ht="50.15" hidden="false" customHeight="true" outlineLevel="0" collapsed="false">
      <c r="B156" s="77"/>
      <c r="C156" s="170"/>
      <c r="D156" s="173"/>
      <c r="E156" s="147" t="s">
        <v>33</v>
      </c>
      <c r="F156" s="355" t="s">
        <v>34</v>
      </c>
      <c r="G156" s="305" t="s">
        <v>187</v>
      </c>
      <c r="H156" s="149" t="s">
        <v>66</v>
      </c>
      <c r="I156" s="149" t="n">
        <v>0</v>
      </c>
      <c r="J156" s="149" t="n">
        <v>37</v>
      </c>
      <c r="K156" s="317" t="s">
        <v>188</v>
      </c>
      <c r="L156" s="150" t="n">
        <f aca="false">IF(J156="",0,(J156/J158)*100)</f>
        <v>100</v>
      </c>
      <c r="M156" s="149" t="n">
        <v>1</v>
      </c>
      <c r="N156" s="151" t="n">
        <v>6</v>
      </c>
      <c r="O156" s="144" t="n">
        <f aca="false">IF(M156=1,1,0)</f>
        <v>1</v>
      </c>
      <c r="P156" s="145" t="n">
        <f aca="false">IF(M156=2,1,0)</f>
        <v>0</v>
      </c>
      <c r="Q156" s="146" t="n">
        <f aca="false">IF(M156=3,1,0)</f>
        <v>0</v>
      </c>
      <c r="R156" s="176"/>
      <c r="S156" s="176"/>
      <c r="T156" s="170"/>
      <c r="U156" s="77"/>
    </row>
    <row r="157" customFormat="false" ht="50.15" hidden="false" customHeight="true" outlineLevel="0" collapsed="false">
      <c r="B157" s="77"/>
      <c r="C157" s="170"/>
      <c r="D157" s="177"/>
      <c r="E157" s="295" t="s">
        <v>41</v>
      </c>
      <c r="F157" s="233" t="s">
        <v>42</v>
      </c>
      <c r="G157" s="307" t="s">
        <v>189</v>
      </c>
      <c r="H157" s="234" t="s">
        <v>66</v>
      </c>
      <c r="I157" s="234" t="n">
        <v>0</v>
      </c>
      <c r="J157" s="234" t="n">
        <v>37</v>
      </c>
      <c r="K157" s="308" t="s">
        <v>190</v>
      </c>
      <c r="L157" s="235" t="n">
        <f aca="false">IF(J157="",0,(J157/J158)*100)</f>
        <v>100</v>
      </c>
      <c r="M157" s="234" t="n">
        <v>2</v>
      </c>
      <c r="N157" s="236" t="n">
        <v>3</v>
      </c>
      <c r="O157" s="156" t="n">
        <f aca="false">IF(M157=1,1,0)</f>
        <v>0</v>
      </c>
      <c r="P157" s="157" t="n">
        <f aca="false">IF(M157=2,1,0)</f>
        <v>1</v>
      </c>
      <c r="Q157" s="158" t="n">
        <f aca="false">IF(M157=3,1,0)</f>
        <v>0</v>
      </c>
      <c r="R157" s="176"/>
      <c r="S157" s="176"/>
      <c r="T157" s="170"/>
      <c r="U157" s="77"/>
    </row>
    <row r="158" customFormat="false" ht="20.15" hidden="true" customHeight="true" outlineLevel="1" collapsed="false">
      <c r="B158" s="77"/>
      <c r="C158" s="170"/>
      <c r="D158" s="173"/>
      <c r="E158" s="173"/>
      <c r="F158" s="172"/>
      <c r="G158" s="172"/>
      <c r="H158" s="170"/>
      <c r="I158" s="213" t="s">
        <v>92</v>
      </c>
      <c r="J158" s="161" t="n">
        <f aca="false">MAX(J155:J157)</f>
        <v>37</v>
      </c>
      <c r="K158" s="186"/>
      <c r="L158" s="176"/>
      <c r="M158" s="170"/>
      <c r="N158" s="164" t="s">
        <v>93</v>
      </c>
      <c r="O158" s="165" t="n">
        <f aca="false">SUM(O155:O157)</f>
        <v>1</v>
      </c>
      <c r="P158" s="166" t="n">
        <f aca="false">SUM(P155:P157)</f>
        <v>1</v>
      </c>
      <c r="Q158" s="165" t="n">
        <f aca="false">SUM(Q155:Q157)</f>
        <v>1</v>
      </c>
      <c r="R158" s="187" t="n">
        <f aca="false">SUM(R155:R157)</f>
        <v>0</v>
      </c>
      <c r="S158" s="188"/>
      <c r="T158" s="170"/>
      <c r="U158" s="77"/>
    </row>
    <row r="159" customFormat="false" ht="20.15" hidden="false" customHeight="true" outlineLevel="0" collapsed="false">
      <c r="B159" s="77"/>
      <c r="C159" s="170"/>
      <c r="D159" s="189"/>
      <c r="E159" s="189"/>
      <c r="F159" s="170"/>
      <c r="G159" s="170"/>
      <c r="H159" s="170"/>
      <c r="I159" s="170"/>
      <c r="J159" s="170"/>
      <c r="K159" s="170"/>
      <c r="L159" s="170"/>
      <c r="M159" s="170"/>
      <c r="N159" s="170"/>
      <c r="O159" s="170"/>
      <c r="P159" s="170"/>
      <c r="Q159" s="170"/>
      <c r="R159" s="170"/>
      <c r="S159" s="170"/>
      <c r="T159" s="170"/>
      <c r="U159" s="77"/>
    </row>
    <row r="160" customFormat="false" ht="20.15" hidden="false" customHeight="true" outlineLevel="0" collapsed="false">
      <c r="B160" s="77"/>
      <c r="D160" s="190"/>
      <c r="E160" s="190"/>
      <c r="F160" s="190"/>
      <c r="G160" s="190"/>
      <c r="H160" s="191"/>
      <c r="I160" s="190"/>
      <c r="J160" s="190"/>
      <c r="K160" s="14"/>
      <c r="L160" s="14"/>
      <c r="M160" s="14"/>
      <c r="N160" s="14"/>
      <c r="O160" s="14"/>
      <c r="P160" s="14"/>
      <c r="Q160" s="14"/>
      <c r="R160" s="14"/>
      <c r="S160" s="14"/>
      <c r="U160" s="77"/>
    </row>
    <row r="161" customFormat="false" ht="20.15" hidden="false" customHeight="true" outlineLevel="0" collapsed="false">
      <c r="B161" s="77"/>
      <c r="C161" s="192"/>
      <c r="D161" s="192"/>
      <c r="E161" s="193" t="str">
        <f aca="false">IF(OR(L143="-",L143= ""),H143,L143)</f>
        <v>Die Burgen von Burgund</v>
      </c>
      <c r="F161" s="193"/>
      <c r="G161" s="193"/>
      <c r="H161" s="193"/>
      <c r="I161" s="193"/>
      <c r="J161" s="193"/>
      <c r="K161" s="193"/>
      <c r="L161" s="193"/>
      <c r="M161" s="193"/>
      <c r="N161" s="193"/>
      <c r="O161" s="194"/>
      <c r="P161" s="194"/>
      <c r="Q161" s="194"/>
      <c r="R161" s="194"/>
      <c r="S161" s="194"/>
      <c r="T161" s="192"/>
      <c r="U161" s="195"/>
    </row>
    <row r="162" customFormat="false" ht="50.15" hidden="false" customHeight="true" outlineLevel="0" collapsed="false">
      <c r="B162" s="77"/>
      <c r="C162" s="192"/>
      <c r="D162" s="194"/>
      <c r="E162" s="125" t="s">
        <v>52</v>
      </c>
      <c r="F162" s="126" t="s">
        <v>75</v>
      </c>
      <c r="G162" s="82" t="s">
        <v>76</v>
      </c>
      <c r="H162" s="81" t="s">
        <v>77</v>
      </c>
      <c r="I162" s="59" t="s">
        <v>78</v>
      </c>
      <c r="J162" s="81" t="s">
        <v>79</v>
      </c>
      <c r="K162" s="127" t="s">
        <v>80</v>
      </c>
      <c r="L162" s="81" t="s">
        <v>81</v>
      </c>
      <c r="M162" s="128" t="s">
        <v>82</v>
      </c>
      <c r="N162" s="129" t="s">
        <v>83</v>
      </c>
      <c r="O162" s="130" t="s">
        <v>84</v>
      </c>
      <c r="P162" s="131" t="s">
        <v>85</v>
      </c>
      <c r="Q162" s="131" t="s">
        <v>86</v>
      </c>
      <c r="R162" s="194"/>
      <c r="S162" s="194"/>
      <c r="T162" s="192"/>
      <c r="U162" s="195"/>
    </row>
    <row r="163" customFormat="false" ht="20.15" hidden="false" customHeight="true" outlineLevel="0" collapsed="false">
      <c r="B163" s="77"/>
      <c r="C163" s="192"/>
      <c r="D163" s="208"/>
      <c r="E163" s="86" t="s">
        <v>30</v>
      </c>
      <c r="F163" s="382" t="s">
        <v>32</v>
      </c>
      <c r="G163" s="304" t="n">
        <v>2</v>
      </c>
      <c r="H163" s="221" t="s">
        <v>100</v>
      </c>
      <c r="I163" s="221" t="n">
        <v>0</v>
      </c>
      <c r="J163" s="221" t="n">
        <v>212</v>
      </c>
      <c r="K163" s="221" t="s">
        <v>191</v>
      </c>
      <c r="L163" s="223" t="n">
        <f aca="false">IF(J163="",0,(J163/J166)*100)</f>
        <v>100</v>
      </c>
      <c r="M163" s="221" t="n">
        <v>2</v>
      </c>
      <c r="N163" s="224" t="n">
        <v>3</v>
      </c>
      <c r="O163" s="138" t="n">
        <f aca="false">IF(M163=1,1,0)</f>
        <v>0</v>
      </c>
      <c r="P163" s="138" t="n">
        <f aca="false">IF(M163=2,1,0)</f>
        <v>1</v>
      </c>
      <c r="Q163" s="139" t="n">
        <f aca="false">IF(M163=3,1,0)</f>
        <v>0</v>
      </c>
      <c r="R163" s="206"/>
      <c r="S163" s="206"/>
      <c r="T163" s="192"/>
      <c r="U163" s="207"/>
    </row>
    <row r="164" customFormat="false" ht="20.15" hidden="false" customHeight="true" outlineLevel="0" collapsed="false">
      <c r="B164" s="77"/>
      <c r="C164" s="192"/>
      <c r="D164" s="198"/>
      <c r="E164" s="105" t="s">
        <v>33</v>
      </c>
      <c r="F164" s="290" t="s">
        <v>34</v>
      </c>
      <c r="G164" s="306" t="n">
        <v>1</v>
      </c>
      <c r="H164" s="228" t="s">
        <v>100</v>
      </c>
      <c r="I164" s="228" t="n">
        <v>0</v>
      </c>
      <c r="J164" s="228" t="n">
        <v>168</v>
      </c>
      <c r="K164" s="317" t="s">
        <v>66</v>
      </c>
      <c r="L164" s="229" t="n">
        <f aca="false">IF(J164="",0,(J164/J166)*100)</f>
        <v>79.2452830188679</v>
      </c>
      <c r="M164" s="228" t="n">
        <v>3</v>
      </c>
      <c r="N164" s="230" t="n">
        <v>0</v>
      </c>
      <c r="O164" s="145" t="n">
        <f aca="false">IF(M164=1,1,0)</f>
        <v>0</v>
      </c>
      <c r="P164" s="145" t="n">
        <f aca="false">IF(M164=2,1,0)</f>
        <v>0</v>
      </c>
      <c r="Q164" s="146" t="n">
        <f aca="false">IF(M164=3,1,0)</f>
        <v>1</v>
      </c>
      <c r="R164" s="206"/>
      <c r="S164" s="206"/>
      <c r="T164" s="192"/>
      <c r="U164" s="211"/>
    </row>
    <row r="165" customFormat="false" ht="20.15" hidden="false" customHeight="true" outlineLevel="0" collapsed="false">
      <c r="B165" s="77"/>
      <c r="C165" s="192"/>
      <c r="D165" s="198"/>
      <c r="E165" s="318" t="s">
        <v>41</v>
      </c>
      <c r="F165" s="319" t="s">
        <v>42</v>
      </c>
      <c r="G165" s="320" t="n">
        <v>3</v>
      </c>
      <c r="H165" s="322" t="s">
        <v>99</v>
      </c>
      <c r="I165" s="322" t="n">
        <v>0</v>
      </c>
      <c r="J165" s="322" t="n">
        <v>212</v>
      </c>
      <c r="K165" s="322" t="s">
        <v>192</v>
      </c>
      <c r="L165" s="323" t="n">
        <f aca="false">IF(J165="",0,(J165/J166)*100)</f>
        <v>100</v>
      </c>
      <c r="M165" s="322" t="n">
        <v>1</v>
      </c>
      <c r="N165" s="324" t="n">
        <v>6</v>
      </c>
      <c r="O165" s="157" t="n">
        <f aca="false">IF(M165=1,1,0)</f>
        <v>1</v>
      </c>
      <c r="P165" s="157" t="n">
        <f aca="false">IF(M165=2,1,0)</f>
        <v>0</v>
      </c>
      <c r="Q165" s="158" t="n">
        <f aca="false">IF(M165=3,1,0)</f>
        <v>0</v>
      </c>
      <c r="R165" s="206"/>
      <c r="S165" s="206"/>
      <c r="T165" s="192"/>
      <c r="U165" s="211"/>
    </row>
    <row r="166" customFormat="false" ht="20.15" hidden="true" customHeight="true" outlineLevel="1" collapsed="false">
      <c r="B166" s="77"/>
      <c r="C166" s="192"/>
      <c r="D166" s="198"/>
      <c r="E166" s="198"/>
      <c r="F166" s="206"/>
      <c r="G166" s="206"/>
      <c r="H166" s="192"/>
      <c r="I166" s="213" t="s">
        <v>92</v>
      </c>
      <c r="J166" s="161" t="n">
        <f aca="false">MAX(J163:J165)</f>
        <v>212</v>
      </c>
      <c r="K166" s="214"/>
      <c r="L166" s="206"/>
      <c r="M166" s="192"/>
      <c r="N166" s="164" t="s">
        <v>93</v>
      </c>
      <c r="O166" s="165" t="n">
        <f aca="false">SUM(O163:O165)</f>
        <v>1</v>
      </c>
      <c r="P166" s="166" t="n">
        <f aca="false">SUM(P163:P165)</f>
        <v>1</v>
      </c>
      <c r="Q166" s="165" t="n">
        <f aca="false">SUM(Q163:Q165)</f>
        <v>1</v>
      </c>
      <c r="R166" s="187" t="n">
        <f aca="false">SUM(R163:R165)</f>
        <v>0</v>
      </c>
      <c r="S166" s="215"/>
      <c r="T166" s="192"/>
      <c r="U166" s="211"/>
    </row>
    <row r="167" customFormat="false" ht="20.15" hidden="false" customHeight="true" outlineLevel="0" collapsed="false">
      <c r="B167" s="77"/>
      <c r="C167" s="192"/>
      <c r="D167" s="216"/>
      <c r="E167" s="216"/>
      <c r="F167" s="192"/>
      <c r="G167" s="192"/>
      <c r="H167" s="192"/>
      <c r="I167" s="192"/>
      <c r="J167" s="192"/>
      <c r="K167" s="192"/>
      <c r="L167" s="192"/>
      <c r="M167" s="192"/>
      <c r="N167" s="192"/>
      <c r="O167" s="192"/>
      <c r="P167" s="192"/>
      <c r="Q167" s="192"/>
      <c r="R167" s="192"/>
      <c r="S167" s="192"/>
      <c r="T167" s="192"/>
      <c r="U167" s="211"/>
    </row>
    <row r="168" customFormat="false" ht="20.15" hidden="false" customHeight="true" outlineLevel="0" collapsed="false">
      <c r="B168" s="77"/>
      <c r="D168" s="190"/>
      <c r="E168" s="190"/>
      <c r="F168" s="190"/>
      <c r="G168" s="190"/>
      <c r="H168" s="191"/>
      <c r="I168" s="190"/>
      <c r="J168" s="190"/>
      <c r="K168" s="190"/>
      <c r="L168" s="14"/>
      <c r="M168" s="14"/>
      <c r="N168" s="14"/>
      <c r="O168" s="14"/>
      <c r="P168" s="14"/>
      <c r="Q168" s="14"/>
      <c r="R168" s="14"/>
      <c r="S168" s="14"/>
      <c r="U168" s="207"/>
    </row>
    <row r="169" customFormat="false" ht="30" hidden="false" customHeight="true" outlineLevel="0" collapsed="false">
      <c r="B169" s="77"/>
      <c r="C169" s="240"/>
      <c r="D169" s="241" t="s">
        <v>149</v>
      </c>
      <c r="E169" s="241"/>
      <c r="F169" s="241"/>
      <c r="G169" s="241"/>
      <c r="H169" s="241"/>
      <c r="I169" s="241"/>
      <c r="J169" s="241"/>
      <c r="K169" s="241"/>
      <c r="L169" s="241"/>
      <c r="M169" s="241"/>
      <c r="N169" s="241"/>
      <c r="O169" s="398"/>
      <c r="P169" s="398"/>
      <c r="Q169" s="398"/>
      <c r="R169" s="398"/>
      <c r="S169" s="398"/>
      <c r="T169" s="240"/>
      <c r="U169" s="77"/>
    </row>
    <row r="170" customFormat="false" ht="50.15" hidden="false" customHeight="true" outlineLevel="0" collapsed="false">
      <c r="B170" s="77"/>
      <c r="C170" s="240"/>
      <c r="D170" s="242" t="s">
        <v>52</v>
      </c>
      <c r="E170" s="243" t="s">
        <v>53</v>
      </c>
      <c r="F170" s="244" t="s">
        <v>83</v>
      </c>
      <c r="G170" s="245" t="s">
        <v>102</v>
      </c>
      <c r="H170" s="246" t="s">
        <v>103</v>
      </c>
      <c r="I170" s="246"/>
      <c r="J170" s="247" t="s">
        <v>104</v>
      </c>
      <c r="K170" s="248" t="s">
        <v>105</v>
      </c>
      <c r="L170" s="244" t="s">
        <v>106</v>
      </c>
      <c r="M170" s="248" t="s">
        <v>107</v>
      </c>
      <c r="N170" s="243" t="s">
        <v>109</v>
      </c>
      <c r="O170" s="399"/>
      <c r="P170" s="400"/>
      <c r="Q170" s="400"/>
      <c r="R170" s="400"/>
      <c r="S170" s="401"/>
      <c r="T170" s="240"/>
      <c r="U170" s="77"/>
    </row>
    <row r="171" customFormat="false" ht="20.15" hidden="false" customHeight="true" outlineLevel="0" collapsed="false">
      <c r="B171" s="77"/>
      <c r="C171" s="240"/>
      <c r="D171" s="251" t="s">
        <v>30</v>
      </c>
      <c r="E171" s="252" t="s">
        <v>31</v>
      </c>
      <c r="F171" s="327" t="n">
        <f aca="false">K171*6+L171*3+M171*0</f>
        <v>9</v>
      </c>
      <c r="G171" s="328" t="n">
        <v>0</v>
      </c>
      <c r="H171" s="328" t="s">
        <v>66</v>
      </c>
      <c r="I171" s="328"/>
      <c r="J171" s="327" t="n">
        <f aca="false">F171+G171</f>
        <v>9</v>
      </c>
      <c r="K171" s="327" t="n">
        <v>1</v>
      </c>
      <c r="L171" s="327" t="n">
        <v>1</v>
      </c>
      <c r="M171" s="327" t="n">
        <v>1</v>
      </c>
      <c r="N171" s="329" t="n">
        <f aca="false">(L147+L155+L163)/3</f>
        <v>97.2972972972973</v>
      </c>
      <c r="O171" s="402"/>
      <c r="P171" s="403"/>
      <c r="Q171" s="403"/>
      <c r="R171" s="403"/>
      <c r="S171" s="401"/>
      <c r="T171" s="240"/>
      <c r="U171" s="77"/>
    </row>
    <row r="172" customFormat="false" ht="20.15" hidden="false" customHeight="true" outlineLevel="0" collapsed="false">
      <c r="B172" s="77"/>
      <c r="C172" s="240"/>
      <c r="D172" s="257" t="s">
        <v>41</v>
      </c>
      <c r="E172" s="384" t="s">
        <v>42</v>
      </c>
      <c r="F172" s="330" t="n">
        <f aca="false">K172*6+L172*3+M172*0</f>
        <v>9</v>
      </c>
      <c r="G172" s="331" t="n">
        <v>0</v>
      </c>
      <c r="H172" s="331" t="s">
        <v>66</v>
      </c>
      <c r="I172" s="331"/>
      <c r="J172" s="330" t="n">
        <f aca="false">F172+G172</f>
        <v>9</v>
      </c>
      <c r="K172" s="330" t="n">
        <v>1</v>
      </c>
      <c r="L172" s="330" t="n">
        <v>1</v>
      </c>
      <c r="M172" s="330" t="n">
        <v>1</v>
      </c>
      <c r="N172" s="333" t="n">
        <f aca="false">(L149+L157+L165)/3</f>
        <v>87.19646799117</v>
      </c>
      <c r="O172" s="402"/>
      <c r="P172" s="403"/>
      <c r="Q172" s="403"/>
      <c r="R172" s="403"/>
      <c r="S172" s="401"/>
      <c r="T172" s="240"/>
      <c r="U172" s="77"/>
    </row>
    <row r="173" customFormat="false" ht="20.15" hidden="false" customHeight="true" outlineLevel="0" collapsed="false">
      <c r="B173" s="77"/>
      <c r="C173" s="240"/>
      <c r="D173" s="337" t="s">
        <v>33</v>
      </c>
      <c r="E173" s="385" t="s">
        <v>34</v>
      </c>
      <c r="F173" s="338" t="n">
        <f aca="false">K173*6+L173*3+M173*0</f>
        <v>9</v>
      </c>
      <c r="G173" s="339" t="n">
        <v>0</v>
      </c>
      <c r="H173" s="339" t="s">
        <v>66</v>
      </c>
      <c r="I173" s="339"/>
      <c r="J173" s="338" t="n">
        <f aca="false">F173+G173</f>
        <v>9</v>
      </c>
      <c r="K173" s="338" t="n">
        <v>1</v>
      </c>
      <c r="L173" s="338" t="n">
        <v>1</v>
      </c>
      <c r="M173" s="338" t="n">
        <v>1</v>
      </c>
      <c r="N173" s="341" t="n">
        <f aca="false">(L148+L156+L164)/3</f>
        <v>84.2517389312341</v>
      </c>
      <c r="O173" s="402"/>
      <c r="P173" s="403"/>
      <c r="Q173" s="403"/>
      <c r="R173" s="403"/>
      <c r="S173" s="401"/>
      <c r="T173" s="240"/>
      <c r="U173" s="77"/>
    </row>
    <row r="174" customFormat="false" ht="20.15" hidden="false" customHeight="true" outlineLevel="0" collapsed="false">
      <c r="B174" s="77"/>
      <c r="C174" s="240"/>
      <c r="D174" s="240"/>
      <c r="E174" s="240"/>
      <c r="F174" s="240"/>
      <c r="G174" s="240"/>
      <c r="H174" s="240"/>
      <c r="I174" s="240"/>
      <c r="J174" s="240"/>
      <c r="K174" s="240"/>
      <c r="L174" s="240"/>
      <c r="M174" s="240"/>
      <c r="N174" s="240"/>
      <c r="O174" s="240"/>
      <c r="P174" s="240"/>
      <c r="Q174" s="240"/>
      <c r="R174" s="240"/>
      <c r="S174" s="240"/>
      <c r="T174" s="240"/>
      <c r="U174" s="77"/>
    </row>
    <row r="175" customFormat="false" ht="20.15" hidden="false" customHeight="true" outlineLevel="0" collapsed="false">
      <c r="B175" s="77"/>
      <c r="C175" s="77"/>
      <c r="D175" s="270"/>
      <c r="E175" s="270"/>
      <c r="F175" s="195"/>
      <c r="G175" s="195"/>
      <c r="H175" s="270"/>
      <c r="I175" s="270"/>
      <c r="J175" s="270"/>
      <c r="K175" s="207"/>
      <c r="L175" s="207"/>
      <c r="M175" s="207"/>
      <c r="N175" s="207"/>
      <c r="O175" s="207"/>
      <c r="P175" s="207"/>
      <c r="Q175" s="207"/>
      <c r="R175" s="207"/>
      <c r="S175" s="207"/>
      <c r="T175" s="77"/>
      <c r="U175" s="77"/>
    </row>
    <row r="176" customFormat="false" ht="20.15" hidden="false" customHeight="true" outlineLevel="0" collapsed="false"/>
    <row r="177" customFormat="false" ht="20.15" hidden="false" customHeight="true" outlineLevel="0" collapsed="false"/>
    <row r="178" customFormat="false" ht="20.15" hidden="false" customHeight="true" outlineLevel="0" collapsed="false">
      <c r="B178" s="77"/>
      <c r="C178" s="77"/>
      <c r="D178" s="78"/>
      <c r="E178" s="78"/>
      <c r="F178" s="78"/>
      <c r="G178" s="78"/>
      <c r="H178" s="77"/>
      <c r="I178" s="77"/>
      <c r="J178" s="77"/>
      <c r="K178" s="77"/>
      <c r="L178" s="77"/>
      <c r="M178" s="77"/>
      <c r="N178" s="77"/>
      <c r="O178" s="77"/>
      <c r="P178" s="77"/>
      <c r="Q178" s="77"/>
      <c r="R178" s="77"/>
      <c r="S178" s="77"/>
      <c r="T178" s="77"/>
      <c r="U178" s="77"/>
    </row>
    <row r="179" customFormat="false" ht="30" hidden="false" customHeight="true" outlineLevel="0" collapsed="false">
      <c r="B179" s="77"/>
      <c r="C179" s="79" t="s">
        <v>193</v>
      </c>
      <c r="D179" s="79"/>
      <c r="E179" s="79"/>
      <c r="F179" s="79"/>
      <c r="G179" s="79"/>
      <c r="H179" s="79"/>
      <c r="I179" s="79"/>
      <c r="J179" s="79"/>
      <c r="K179" s="79"/>
      <c r="L179" s="79"/>
      <c r="M179" s="79"/>
      <c r="N179" s="79"/>
      <c r="O179" s="79"/>
      <c r="P179" s="79"/>
      <c r="Q179" s="79"/>
      <c r="R179" s="79"/>
      <c r="S179" s="79"/>
      <c r="T179" s="79"/>
      <c r="U179" s="77"/>
    </row>
    <row r="180" customFormat="false" ht="20.15" hidden="false" customHeight="true" outlineLevel="0" collapsed="false">
      <c r="B180" s="77"/>
      <c r="D180" s="121"/>
      <c r="E180" s="121"/>
      <c r="U180" s="77"/>
    </row>
    <row r="181" customFormat="false" ht="20.15" hidden="false" customHeight="true" outlineLevel="0" collapsed="false">
      <c r="B181" s="77"/>
      <c r="D181" s="80" t="s">
        <v>52</v>
      </c>
      <c r="E181" s="81" t="s">
        <v>111</v>
      </c>
      <c r="F181" s="82" t="s">
        <v>12</v>
      </c>
      <c r="G181" s="83" t="s">
        <v>54</v>
      </c>
      <c r="H181" s="83"/>
      <c r="I181" s="83"/>
      <c r="J181" s="83"/>
      <c r="K181" s="81" t="s">
        <v>55</v>
      </c>
      <c r="L181" s="83" t="s">
        <v>56</v>
      </c>
      <c r="M181" s="83"/>
      <c r="N181" s="83"/>
      <c r="O181" s="83"/>
      <c r="P181" s="83"/>
      <c r="Q181" s="83"/>
      <c r="R181" s="83"/>
      <c r="S181" s="83"/>
      <c r="U181" s="77"/>
    </row>
    <row r="182" customFormat="false" ht="20.15" hidden="false" customHeight="true" outlineLevel="0" collapsed="false">
      <c r="B182" s="77"/>
      <c r="D182" s="80"/>
      <c r="E182" s="81"/>
      <c r="F182" s="81"/>
      <c r="G182" s="85" t="s">
        <v>57</v>
      </c>
      <c r="H182" s="84" t="s">
        <v>58</v>
      </c>
      <c r="I182" s="278" t="s">
        <v>59</v>
      </c>
      <c r="J182" s="278"/>
      <c r="K182" s="84" t="s">
        <v>60</v>
      </c>
      <c r="L182" s="276" t="s">
        <v>57</v>
      </c>
      <c r="M182" s="277" t="s">
        <v>61</v>
      </c>
      <c r="N182" s="278" t="s">
        <v>59</v>
      </c>
      <c r="O182" s="278"/>
      <c r="P182" s="278"/>
      <c r="Q182" s="278"/>
      <c r="R182" s="278"/>
      <c r="S182" s="278"/>
      <c r="U182" s="77"/>
    </row>
    <row r="183" customFormat="false" ht="20.15" hidden="false" customHeight="true" outlineLevel="0" collapsed="false">
      <c r="B183" s="77"/>
      <c r="D183" s="404" t="s">
        <v>46</v>
      </c>
      <c r="E183" s="175" t="s">
        <v>47</v>
      </c>
      <c r="F183" s="343" t="n">
        <v>1</v>
      </c>
      <c r="G183" s="344" t="s">
        <v>67</v>
      </c>
      <c r="H183" s="281" t="s">
        <v>194</v>
      </c>
      <c r="I183" s="91" t="s">
        <v>66</v>
      </c>
      <c r="J183" s="91"/>
      <c r="K183" s="373" t="s">
        <v>65</v>
      </c>
      <c r="L183" s="284" t="s">
        <v>66</v>
      </c>
      <c r="M183" s="94" t="s">
        <v>66</v>
      </c>
      <c r="N183" s="95" t="s">
        <v>66</v>
      </c>
      <c r="O183" s="95"/>
      <c r="P183" s="95"/>
      <c r="Q183" s="95"/>
      <c r="R183" s="95"/>
      <c r="S183" s="95"/>
      <c r="U183" s="77"/>
    </row>
    <row r="184" customFormat="false" ht="65.15" hidden="false" customHeight="true" outlineLevel="0" collapsed="false">
      <c r="B184" s="77"/>
      <c r="D184" s="105" t="s">
        <v>195</v>
      </c>
      <c r="E184" s="96" t="s">
        <v>50</v>
      </c>
      <c r="F184" s="346" t="n">
        <v>2</v>
      </c>
      <c r="G184" s="347" t="s">
        <v>67</v>
      </c>
      <c r="H184" s="99" t="s">
        <v>196</v>
      </c>
      <c r="I184" s="100" t="s">
        <v>197</v>
      </c>
      <c r="J184" s="100"/>
      <c r="K184" s="288" t="s">
        <v>65</v>
      </c>
      <c r="L184" s="289" t="s">
        <v>66</v>
      </c>
      <c r="M184" s="103" t="s">
        <v>66</v>
      </c>
      <c r="N184" s="104" t="s">
        <v>66</v>
      </c>
      <c r="O184" s="104"/>
      <c r="P184" s="104"/>
      <c r="Q184" s="104"/>
      <c r="R184" s="104"/>
      <c r="S184" s="104"/>
      <c r="U184" s="77"/>
    </row>
    <row r="185" customFormat="false" ht="177.5" hidden="false" customHeight="true" outlineLevel="0" collapsed="false">
      <c r="B185" s="77"/>
      <c r="D185" s="105" t="s">
        <v>195</v>
      </c>
      <c r="E185" s="96" t="s">
        <v>50</v>
      </c>
      <c r="F185" s="346" t="n">
        <v>3</v>
      </c>
      <c r="G185" s="405" t="s">
        <v>71</v>
      </c>
      <c r="H185" s="292" t="s">
        <v>198</v>
      </c>
      <c r="I185" s="108" t="s">
        <v>199</v>
      </c>
      <c r="J185" s="108"/>
      <c r="K185" s="406"/>
      <c r="L185" s="407"/>
      <c r="M185" s="408"/>
      <c r="N185" s="409"/>
      <c r="O185" s="409"/>
      <c r="P185" s="409"/>
      <c r="Q185" s="409"/>
      <c r="R185" s="409"/>
      <c r="S185" s="409"/>
      <c r="U185" s="77"/>
    </row>
    <row r="186" customFormat="false" ht="50.15" hidden="false" customHeight="true" outlineLevel="0" collapsed="false">
      <c r="B186" s="77"/>
      <c r="D186" s="182" t="s">
        <v>46</v>
      </c>
      <c r="E186" s="410" t="s">
        <v>47</v>
      </c>
      <c r="F186" s="350" t="n">
        <v>4</v>
      </c>
      <c r="G186" s="411" t="s">
        <v>67</v>
      </c>
      <c r="H186" s="101" t="s">
        <v>200</v>
      </c>
      <c r="I186" s="116" t="s">
        <v>201</v>
      </c>
      <c r="J186" s="116"/>
      <c r="K186" s="412"/>
      <c r="L186" s="413"/>
      <c r="M186" s="414"/>
      <c r="N186" s="415"/>
      <c r="O186" s="415"/>
      <c r="P186" s="415"/>
      <c r="Q186" s="415"/>
      <c r="R186" s="415"/>
      <c r="S186" s="415"/>
      <c r="U186" s="77"/>
    </row>
    <row r="187" customFormat="false" ht="20.15" hidden="false" customHeight="true" outlineLevel="0" collapsed="false">
      <c r="B187" s="77"/>
      <c r="D187" s="121"/>
      <c r="E187" s="121"/>
      <c r="U187" s="77"/>
    </row>
    <row r="188" customFormat="false" ht="20.15" hidden="false" customHeight="true" outlineLevel="0" collapsed="false">
      <c r="B188" s="77"/>
      <c r="C188" s="122"/>
      <c r="D188" s="122"/>
      <c r="E188" s="123" t="str">
        <f aca="false">IF(OR(L183="-",L183= ""),H183,L183)</f>
        <v>Can't Stop</v>
      </c>
      <c r="F188" s="123"/>
      <c r="G188" s="123"/>
      <c r="H188" s="123"/>
      <c r="I188" s="123"/>
      <c r="J188" s="123"/>
      <c r="K188" s="123"/>
      <c r="L188" s="123"/>
      <c r="M188" s="123"/>
      <c r="N188" s="123"/>
      <c r="O188" s="124"/>
      <c r="P188" s="124"/>
      <c r="Q188" s="124"/>
      <c r="R188" s="124"/>
      <c r="S188" s="124"/>
      <c r="T188" s="122"/>
      <c r="U188" s="77"/>
    </row>
    <row r="189" customFormat="false" ht="50.15" hidden="false" customHeight="true" outlineLevel="0" collapsed="false">
      <c r="B189" s="77"/>
      <c r="C189" s="122"/>
      <c r="D189" s="124"/>
      <c r="E189" s="125" t="s">
        <v>52</v>
      </c>
      <c r="F189" s="126" t="s">
        <v>75</v>
      </c>
      <c r="G189" s="82" t="s">
        <v>76</v>
      </c>
      <c r="H189" s="81" t="s">
        <v>77</v>
      </c>
      <c r="I189" s="59" t="s">
        <v>78</v>
      </c>
      <c r="J189" s="81" t="s">
        <v>79</v>
      </c>
      <c r="K189" s="127" t="s">
        <v>80</v>
      </c>
      <c r="L189" s="81" t="s">
        <v>81</v>
      </c>
      <c r="M189" s="128" t="s">
        <v>82</v>
      </c>
      <c r="N189" s="129" t="s">
        <v>83</v>
      </c>
      <c r="O189" s="130" t="s">
        <v>84</v>
      </c>
      <c r="P189" s="131" t="s">
        <v>85</v>
      </c>
      <c r="Q189" s="124"/>
      <c r="R189" s="124"/>
      <c r="S189" s="124"/>
      <c r="T189" s="122"/>
      <c r="U189" s="77"/>
    </row>
    <row r="190" customFormat="false" ht="20.15" hidden="false" customHeight="true" outlineLevel="0" collapsed="false">
      <c r="B190" s="77"/>
      <c r="C190" s="122"/>
      <c r="D190" s="152"/>
      <c r="E190" s="416" t="s">
        <v>46</v>
      </c>
      <c r="F190" s="200" t="s">
        <v>48</v>
      </c>
      <c r="G190" s="325" t="n">
        <v>1</v>
      </c>
      <c r="H190" s="201" t="s">
        <v>66</v>
      </c>
      <c r="I190" s="201" t="n">
        <v>0</v>
      </c>
      <c r="J190" s="201" t="n">
        <v>3</v>
      </c>
      <c r="K190" s="201" t="s">
        <v>66</v>
      </c>
      <c r="L190" s="204" t="n">
        <f aca="false">IF(J190="",0,(J190/J192)*100)</f>
        <v>100</v>
      </c>
      <c r="M190" s="201" t="n">
        <v>1</v>
      </c>
      <c r="N190" s="205" t="n">
        <v>6</v>
      </c>
      <c r="O190" s="138" t="n">
        <f aca="false">IF(M190=1,1,0)</f>
        <v>1</v>
      </c>
      <c r="P190" s="139" t="n">
        <f aca="false">IF(M190=2,1,0)</f>
        <v>0</v>
      </c>
      <c r="Q190" s="140"/>
      <c r="R190" s="140"/>
      <c r="S190" s="140"/>
      <c r="T190" s="122"/>
      <c r="U190" s="77"/>
    </row>
    <row r="191" customFormat="false" ht="20.15" hidden="false" customHeight="true" outlineLevel="0" collapsed="false">
      <c r="B191" s="77"/>
      <c r="C191" s="122"/>
      <c r="D191" s="132"/>
      <c r="E191" s="295" t="s">
        <v>49</v>
      </c>
      <c r="F191" s="233" t="s">
        <v>50</v>
      </c>
      <c r="G191" s="307" t="n">
        <v>2</v>
      </c>
      <c r="H191" s="234" t="s">
        <v>66</v>
      </c>
      <c r="I191" s="234" t="n">
        <v>0</v>
      </c>
      <c r="J191" s="234" t="n">
        <v>2</v>
      </c>
      <c r="K191" s="308" t="s">
        <v>66</v>
      </c>
      <c r="L191" s="235" t="n">
        <f aca="false">IF(J191="",0,(J191/J192)*100)</f>
        <v>66.6666666666667</v>
      </c>
      <c r="M191" s="234" t="n">
        <v>2</v>
      </c>
      <c r="N191" s="236" t="n">
        <v>0</v>
      </c>
      <c r="O191" s="157" t="n">
        <f aca="false">IF(M191=1,1,0)</f>
        <v>0</v>
      </c>
      <c r="P191" s="158" t="n">
        <f aca="false">IF(M191=2,1,0)</f>
        <v>1</v>
      </c>
      <c r="Q191" s="140"/>
      <c r="R191" s="140"/>
      <c r="S191" s="140"/>
      <c r="T191" s="122"/>
      <c r="U191" s="77"/>
    </row>
    <row r="192" customFormat="false" ht="20.15" hidden="true" customHeight="true" outlineLevel="1" collapsed="false">
      <c r="B192" s="77"/>
      <c r="C192" s="122"/>
      <c r="D192" s="152"/>
      <c r="E192" s="152"/>
      <c r="F192" s="140"/>
      <c r="G192" s="140"/>
      <c r="H192" s="122"/>
      <c r="I192" s="213" t="s">
        <v>92</v>
      </c>
      <c r="J192" s="161" t="n">
        <f aca="false">MAX(J190:J191)</f>
        <v>3</v>
      </c>
      <c r="K192" s="309"/>
      <c r="L192" s="167"/>
      <c r="M192" s="122"/>
      <c r="N192" s="164" t="s">
        <v>93</v>
      </c>
      <c r="O192" s="165" t="n">
        <f aca="false">SUM(O190:O191)</f>
        <v>1</v>
      </c>
      <c r="P192" s="187" t="n">
        <f aca="false">SUM(P190:P191)</f>
        <v>1</v>
      </c>
      <c r="Q192" s="167"/>
      <c r="R192" s="167"/>
      <c r="S192" s="167"/>
      <c r="T192" s="122"/>
      <c r="U192" s="77"/>
    </row>
    <row r="193" customFormat="false" ht="20.15" hidden="false" customHeight="true" outlineLevel="0" collapsed="false">
      <c r="B193" s="77"/>
      <c r="C193" s="122"/>
      <c r="D193" s="168"/>
      <c r="E193" s="168"/>
      <c r="F193" s="122"/>
      <c r="G193" s="122"/>
      <c r="H193" s="122"/>
      <c r="I193" s="122"/>
      <c r="J193" s="122"/>
      <c r="K193" s="122"/>
      <c r="L193" s="122"/>
      <c r="M193" s="122"/>
      <c r="N193" s="122"/>
      <c r="O193" s="122"/>
      <c r="P193" s="122"/>
      <c r="Q193" s="122"/>
      <c r="R193" s="122"/>
      <c r="S193" s="122"/>
      <c r="T193" s="122"/>
      <c r="U193" s="77"/>
    </row>
    <row r="194" customFormat="false" ht="20.15" hidden="false" customHeight="true" outlineLevel="0" collapsed="false">
      <c r="B194" s="77"/>
      <c r="U194" s="77"/>
    </row>
    <row r="195" customFormat="false" ht="20.15" hidden="false" customHeight="true" outlineLevel="0" collapsed="false">
      <c r="B195" s="77"/>
      <c r="C195" s="170"/>
      <c r="D195" s="170"/>
      <c r="E195" s="171" t="str">
        <f aca="false">IF(OR(L184="-",L184= ""),H184,L184)</f>
        <v>Hive</v>
      </c>
      <c r="F195" s="171"/>
      <c r="G195" s="171"/>
      <c r="H195" s="171"/>
      <c r="I195" s="171"/>
      <c r="J195" s="171"/>
      <c r="K195" s="171"/>
      <c r="L195" s="171"/>
      <c r="M195" s="171"/>
      <c r="N195" s="171"/>
      <c r="O195" s="172"/>
      <c r="P195" s="172"/>
      <c r="Q195" s="172"/>
      <c r="R195" s="172"/>
      <c r="S195" s="172"/>
      <c r="T195" s="170"/>
      <c r="U195" s="77"/>
    </row>
    <row r="196" customFormat="false" ht="50.15" hidden="false" customHeight="true" outlineLevel="0" collapsed="false">
      <c r="B196" s="77"/>
      <c r="C196" s="170"/>
      <c r="D196" s="172"/>
      <c r="E196" s="125" t="s">
        <v>52</v>
      </c>
      <c r="F196" s="126" t="s">
        <v>75</v>
      </c>
      <c r="G196" s="82" t="s">
        <v>76</v>
      </c>
      <c r="H196" s="81" t="s">
        <v>77</v>
      </c>
      <c r="I196" s="59" t="s">
        <v>78</v>
      </c>
      <c r="J196" s="81" t="s">
        <v>79</v>
      </c>
      <c r="K196" s="127" t="s">
        <v>80</v>
      </c>
      <c r="L196" s="81" t="s">
        <v>81</v>
      </c>
      <c r="M196" s="128" t="s">
        <v>82</v>
      </c>
      <c r="N196" s="129" t="s">
        <v>83</v>
      </c>
      <c r="O196" s="130" t="s">
        <v>84</v>
      </c>
      <c r="P196" s="131" t="s">
        <v>85</v>
      </c>
      <c r="Q196" s="172"/>
      <c r="R196" s="172"/>
      <c r="S196" s="172"/>
      <c r="T196" s="170"/>
      <c r="U196" s="77"/>
    </row>
    <row r="197" customFormat="false" ht="20.15" hidden="false" customHeight="true" outlineLevel="0" collapsed="false">
      <c r="B197" s="77"/>
      <c r="C197" s="170"/>
      <c r="D197" s="177"/>
      <c r="E197" s="388" t="s">
        <v>46</v>
      </c>
      <c r="F197" s="87" t="s">
        <v>48</v>
      </c>
      <c r="G197" s="304" t="n">
        <v>2</v>
      </c>
      <c r="H197" s="222" t="s">
        <v>66</v>
      </c>
      <c r="I197" s="221" t="n">
        <v>0</v>
      </c>
      <c r="J197" s="222" t="n">
        <v>0</v>
      </c>
      <c r="K197" s="389" t="s">
        <v>66</v>
      </c>
      <c r="L197" s="223" t="n">
        <f aca="false">IF(J197="",0,(J197/J199)*100)</f>
        <v>0</v>
      </c>
      <c r="M197" s="221" t="n">
        <v>2</v>
      </c>
      <c r="N197" s="224" t="n">
        <v>0</v>
      </c>
      <c r="O197" s="138" t="n">
        <f aca="false">IF(M197=1,1,0)</f>
        <v>0</v>
      </c>
      <c r="P197" s="139" t="n">
        <f aca="false">IF(M197=2,1,0)</f>
        <v>1</v>
      </c>
      <c r="Q197" s="176"/>
      <c r="R197" s="176"/>
      <c r="S197" s="176"/>
      <c r="T197" s="170"/>
      <c r="U197" s="77"/>
    </row>
    <row r="198" customFormat="false" ht="20.15" hidden="false" customHeight="true" outlineLevel="0" collapsed="false">
      <c r="B198" s="77"/>
      <c r="C198" s="170"/>
      <c r="D198" s="173"/>
      <c r="E198" s="318" t="s">
        <v>49</v>
      </c>
      <c r="F198" s="319" t="s">
        <v>50</v>
      </c>
      <c r="G198" s="320" t="n">
        <v>1</v>
      </c>
      <c r="H198" s="321" t="s">
        <v>66</v>
      </c>
      <c r="I198" s="322" t="n">
        <v>0</v>
      </c>
      <c r="J198" s="321" t="n">
        <v>1</v>
      </c>
      <c r="K198" s="321" t="s">
        <v>66</v>
      </c>
      <c r="L198" s="323" t="n">
        <f aca="false">IF(J198="",0,(J198/J199)*100)</f>
        <v>100</v>
      </c>
      <c r="M198" s="322" t="n">
        <v>1</v>
      </c>
      <c r="N198" s="324" t="n">
        <v>6</v>
      </c>
      <c r="O198" s="157" t="n">
        <f aca="false">IF(M198=1,1,0)</f>
        <v>1</v>
      </c>
      <c r="P198" s="158" t="n">
        <f aca="false">IF(M198=2,1,0)</f>
        <v>0</v>
      </c>
      <c r="Q198" s="176"/>
      <c r="R198" s="176"/>
      <c r="S198" s="176"/>
      <c r="T198" s="170"/>
      <c r="U198" s="77"/>
    </row>
    <row r="199" customFormat="false" ht="20.15" hidden="true" customHeight="true" outlineLevel="1" collapsed="false">
      <c r="B199" s="77"/>
      <c r="C199" s="170"/>
      <c r="D199" s="173"/>
      <c r="E199" s="173"/>
      <c r="F199" s="172"/>
      <c r="G199" s="172"/>
      <c r="H199" s="170"/>
      <c r="I199" s="213" t="s">
        <v>92</v>
      </c>
      <c r="J199" s="161" t="n">
        <f aca="false">MAX(J197:J198)</f>
        <v>1</v>
      </c>
      <c r="K199" s="186"/>
      <c r="L199" s="176"/>
      <c r="M199" s="170"/>
      <c r="N199" s="164" t="s">
        <v>93</v>
      </c>
      <c r="O199" s="165" t="n">
        <f aca="false">SUM(O197:O198)</f>
        <v>1</v>
      </c>
      <c r="P199" s="187" t="n">
        <f aca="false">SUM(P197:P198)</f>
        <v>1</v>
      </c>
      <c r="Q199" s="188"/>
      <c r="R199" s="188"/>
      <c r="S199" s="188"/>
      <c r="T199" s="170"/>
      <c r="U199" s="77"/>
    </row>
    <row r="200" customFormat="false" ht="20.15" hidden="false" customHeight="true" outlineLevel="0" collapsed="false">
      <c r="B200" s="77"/>
      <c r="C200" s="170"/>
      <c r="D200" s="189"/>
      <c r="E200" s="189"/>
      <c r="F200" s="170"/>
      <c r="G200" s="170"/>
      <c r="H200" s="170"/>
      <c r="I200" s="170"/>
      <c r="J200" s="170"/>
      <c r="K200" s="170"/>
      <c r="L200" s="170"/>
      <c r="M200" s="170"/>
      <c r="N200" s="170"/>
      <c r="O200" s="170"/>
      <c r="P200" s="170"/>
      <c r="Q200" s="170"/>
      <c r="R200" s="170"/>
      <c r="S200" s="170"/>
      <c r="T200" s="170"/>
      <c r="U200" s="77"/>
    </row>
    <row r="201" customFormat="false" ht="20.15" hidden="false" customHeight="true" outlineLevel="0" collapsed="false">
      <c r="B201" s="77"/>
      <c r="D201" s="190"/>
      <c r="E201" s="190"/>
      <c r="F201" s="190"/>
      <c r="G201" s="190"/>
      <c r="H201" s="191"/>
      <c r="I201" s="190"/>
      <c r="J201" s="190"/>
      <c r="K201" s="14"/>
      <c r="L201" s="14"/>
      <c r="M201" s="14"/>
      <c r="N201" s="14"/>
      <c r="O201" s="14"/>
      <c r="P201" s="14"/>
      <c r="Q201" s="14"/>
      <c r="R201" s="14"/>
      <c r="S201" s="14"/>
      <c r="U201" s="77"/>
    </row>
    <row r="202" customFormat="false" ht="20.15" hidden="false" customHeight="true" outlineLevel="0" collapsed="false">
      <c r="B202" s="77"/>
      <c r="C202" s="192"/>
      <c r="D202" s="192"/>
      <c r="E202" s="193" t="str">
        <f aca="false">IF(OR(L185="-",L185= ""),H185,L185)</f>
        <v>Imhotep</v>
      </c>
      <c r="F202" s="193"/>
      <c r="G202" s="193"/>
      <c r="H202" s="193"/>
      <c r="I202" s="193"/>
      <c r="J202" s="193"/>
      <c r="K202" s="193"/>
      <c r="L202" s="193"/>
      <c r="M202" s="193"/>
      <c r="N202" s="193"/>
      <c r="O202" s="194"/>
      <c r="P202" s="194"/>
      <c r="Q202" s="194"/>
      <c r="R202" s="194"/>
      <c r="S202" s="194"/>
      <c r="T202" s="192"/>
      <c r="U202" s="195"/>
    </row>
    <row r="203" customFormat="false" ht="50.15" hidden="false" customHeight="true" outlineLevel="0" collapsed="false">
      <c r="B203" s="77"/>
      <c r="C203" s="192"/>
      <c r="D203" s="194"/>
      <c r="E203" s="125" t="s">
        <v>52</v>
      </c>
      <c r="F203" s="126" t="s">
        <v>75</v>
      </c>
      <c r="G203" s="82" t="s">
        <v>76</v>
      </c>
      <c r="H203" s="81" t="s">
        <v>77</v>
      </c>
      <c r="I203" s="59" t="s">
        <v>78</v>
      </c>
      <c r="J203" s="81" t="s">
        <v>79</v>
      </c>
      <c r="K203" s="127" t="s">
        <v>80</v>
      </c>
      <c r="L203" s="81" t="s">
        <v>81</v>
      </c>
      <c r="M203" s="128" t="s">
        <v>82</v>
      </c>
      <c r="N203" s="129" t="s">
        <v>83</v>
      </c>
      <c r="O203" s="130" t="s">
        <v>84</v>
      </c>
      <c r="P203" s="131" t="s">
        <v>85</v>
      </c>
      <c r="Q203" s="194"/>
      <c r="R203" s="194"/>
      <c r="S203" s="194"/>
      <c r="T203" s="192"/>
      <c r="U203" s="195"/>
    </row>
    <row r="204" customFormat="false" ht="20.15" hidden="false" customHeight="true" outlineLevel="0" collapsed="false">
      <c r="B204" s="77"/>
      <c r="C204" s="192"/>
      <c r="D204" s="208"/>
      <c r="E204" s="388" t="s">
        <v>46</v>
      </c>
      <c r="F204" s="87" t="s">
        <v>47</v>
      </c>
      <c r="G204" s="304" t="n">
        <v>2</v>
      </c>
      <c r="H204" s="222" t="s">
        <v>66</v>
      </c>
      <c r="I204" s="221" t="n">
        <v>0</v>
      </c>
      <c r="J204" s="222" t="n">
        <v>54</v>
      </c>
      <c r="K204" s="221" t="s">
        <v>66</v>
      </c>
      <c r="L204" s="223" t="n">
        <f aca="false">IF(J204="",0,(J204/J206)*100)</f>
        <v>66.6666666666667</v>
      </c>
      <c r="M204" s="221" t="n">
        <v>2</v>
      </c>
      <c r="N204" s="224" t="n">
        <v>0</v>
      </c>
      <c r="O204" s="138" t="n">
        <f aca="false">IF(M204=1,1,0)</f>
        <v>0</v>
      </c>
      <c r="P204" s="139" t="n">
        <f aca="false">IF(M204=2,1,0)</f>
        <v>1</v>
      </c>
      <c r="Q204" s="206"/>
      <c r="R204" s="206"/>
      <c r="S204" s="206"/>
      <c r="T204" s="192"/>
      <c r="U204" s="207"/>
    </row>
    <row r="205" customFormat="false" ht="20.15" hidden="false" customHeight="true" outlineLevel="0" collapsed="false">
      <c r="B205" s="77"/>
      <c r="C205" s="192"/>
      <c r="D205" s="198"/>
      <c r="E205" s="318" t="s">
        <v>49</v>
      </c>
      <c r="F205" s="319" t="s">
        <v>50</v>
      </c>
      <c r="G205" s="320" t="n">
        <v>1</v>
      </c>
      <c r="H205" s="321" t="s">
        <v>66</v>
      </c>
      <c r="I205" s="322" t="n">
        <v>0</v>
      </c>
      <c r="J205" s="321" t="n">
        <v>81</v>
      </c>
      <c r="K205" s="321" t="s">
        <v>66</v>
      </c>
      <c r="L205" s="323" t="n">
        <f aca="false">IF(J205="",0,(J205/J206)*100)</f>
        <v>100</v>
      </c>
      <c r="M205" s="322" t="n">
        <v>1</v>
      </c>
      <c r="N205" s="324" t="n">
        <v>6</v>
      </c>
      <c r="O205" s="157" t="n">
        <f aca="false">IF(M205=1,1,0)</f>
        <v>1</v>
      </c>
      <c r="P205" s="158" t="n">
        <f aca="false">IF(M205=2,1,0)</f>
        <v>0</v>
      </c>
      <c r="Q205" s="206"/>
      <c r="R205" s="206"/>
      <c r="S205" s="206"/>
      <c r="T205" s="192"/>
      <c r="U205" s="211"/>
    </row>
    <row r="206" customFormat="false" ht="20.15" hidden="true" customHeight="true" outlineLevel="1" collapsed="false">
      <c r="B206" s="77"/>
      <c r="C206" s="192"/>
      <c r="D206" s="198"/>
      <c r="E206" s="198"/>
      <c r="F206" s="206"/>
      <c r="G206" s="206"/>
      <c r="H206" s="192"/>
      <c r="I206" s="213" t="s">
        <v>92</v>
      </c>
      <c r="J206" s="161" t="n">
        <f aca="false">MAX(J204:J205)</f>
        <v>81</v>
      </c>
      <c r="K206" s="214"/>
      <c r="L206" s="206"/>
      <c r="M206" s="192"/>
      <c r="N206" s="164" t="s">
        <v>93</v>
      </c>
      <c r="O206" s="165" t="n">
        <f aca="false">SUM(O204:O205)</f>
        <v>1</v>
      </c>
      <c r="P206" s="187" t="n">
        <f aca="false">SUM(P204:P205)</f>
        <v>1</v>
      </c>
      <c r="Q206" s="215"/>
      <c r="R206" s="215"/>
      <c r="S206" s="215"/>
      <c r="T206" s="192"/>
      <c r="U206" s="211"/>
    </row>
    <row r="207" customFormat="false" ht="20.15" hidden="false" customHeight="true" outlineLevel="0" collapsed="false">
      <c r="B207" s="77"/>
      <c r="C207" s="192"/>
      <c r="D207" s="216"/>
      <c r="E207" s="216"/>
      <c r="F207" s="192"/>
      <c r="G207" s="192"/>
      <c r="H207" s="192"/>
      <c r="I207" s="192"/>
      <c r="J207" s="192"/>
      <c r="K207" s="192"/>
      <c r="L207" s="192"/>
      <c r="M207" s="192"/>
      <c r="N207" s="192"/>
      <c r="O207" s="192"/>
      <c r="P207" s="192"/>
      <c r="Q207" s="192"/>
      <c r="R207" s="192"/>
      <c r="S207" s="192"/>
      <c r="T207" s="192"/>
      <c r="U207" s="211"/>
    </row>
    <row r="208" customFormat="false" ht="20.15" hidden="false" customHeight="true" outlineLevel="0" collapsed="false">
      <c r="B208" s="77"/>
      <c r="D208" s="190"/>
      <c r="E208" s="190"/>
      <c r="F208" s="190"/>
      <c r="G208" s="190"/>
      <c r="H208" s="191"/>
      <c r="I208" s="190"/>
      <c r="J208" s="190"/>
      <c r="K208" s="190"/>
      <c r="L208" s="14"/>
      <c r="M208" s="14"/>
      <c r="N208" s="14"/>
      <c r="O208" s="14"/>
      <c r="P208" s="14"/>
      <c r="Q208" s="14"/>
      <c r="R208" s="14"/>
      <c r="S208" s="14"/>
      <c r="U208" s="207"/>
    </row>
    <row r="209" customFormat="false" ht="20.15" hidden="false" customHeight="true" outlineLevel="0" collapsed="false">
      <c r="B209" s="77"/>
      <c r="C209" s="217"/>
      <c r="D209" s="217"/>
      <c r="E209" s="218" t="str">
        <f aca="false">IF(OR(L186="-",L186= ""),H186,L186)</f>
        <v>Kingdomio</v>
      </c>
      <c r="F209" s="218"/>
      <c r="G209" s="218"/>
      <c r="H209" s="218"/>
      <c r="I209" s="218"/>
      <c r="J209" s="218"/>
      <c r="K209" s="218"/>
      <c r="L209" s="218"/>
      <c r="M209" s="218"/>
      <c r="N209" s="218"/>
      <c r="O209" s="219"/>
      <c r="P209" s="219"/>
      <c r="Q209" s="219"/>
      <c r="R209" s="219"/>
      <c r="S209" s="219"/>
      <c r="T209" s="217"/>
      <c r="U209" s="77"/>
    </row>
    <row r="210" customFormat="false" ht="50.15" hidden="false" customHeight="true" outlineLevel="0" collapsed="false">
      <c r="B210" s="77"/>
      <c r="C210" s="217"/>
      <c r="D210" s="219"/>
      <c r="E210" s="125" t="s">
        <v>52</v>
      </c>
      <c r="F210" s="126" t="s">
        <v>75</v>
      </c>
      <c r="G210" s="82" t="s">
        <v>76</v>
      </c>
      <c r="H210" s="81" t="s">
        <v>77</v>
      </c>
      <c r="I210" s="59" t="s">
        <v>78</v>
      </c>
      <c r="J210" s="81" t="s">
        <v>79</v>
      </c>
      <c r="K210" s="127" t="s">
        <v>80</v>
      </c>
      <c r="L210" s="81" t="s">
        <v>81</v>
      </c>
      <c r="M210" s="128" t="s">
        <v>82</v>
      </c>
      <c r="N210" s="129" t="s">
        <v>83</v>
      </c>
      <c r="O210" s="130" t="s">
        <v>84</v>
      </c>
      <c r="P210" s="131" t="s">
        <v>85</v>
      </c>
      <c r="Q210" s="219"/>
      <c r="R210" s="219"/>
      <c r="S210" s="219"/>
      <c r="T210" s="217"/>
      <c r="U210" s="77"/>
    </row>
    <row r="211" customFormat="false" ht="20.15" hidden="false" customHeight="true" outlineLevel="0" collapsed="false">
      <c r="B211" s="77"/>
      <c r="C211" s="217"/>
      <c r="D211" s="220"/>
      <c r="E211" s="388" t="s">
        <v>46</v>
      </c>
      <c r="F211" s="87" t="s">
        <v>48</v>
      </c>
      <c r="G211" s="304" t="n">
        <v>1</v>
      </c>
      <c r="H211" s="221" t="s">
        <v>66</v>
      </c>
      <c r="I211" s="221" t="n">
        <v>0</v>
      </c>
      <c r="J211" s="221" t="n">
        <v>123</v>
      </c>
      <c r="K211" s="221" t="s">
        <v>66</v>
      </c>
      <c r="L211" s="223" t="n">
        <f aca="false">IF(J211="",0,(J211/J213)*100)</f>
        <v>91.7910447761194</v>
      </c>
      <c r="M211" s="221" t="n">
        <v>2</v>
      </c>
      <c r="N211" s="224" t="n">
        <v>0</v>
      </c>
      <c r="O211" s="138" t="n">
        <f aca="false">IF(M211=1,1,0)</f>
        <v>0</v>
      </c>
      <c r="P211" s="139" t="n">
        <f aca="false">IF(M211=2,1,0)</f>
        <v>1</v>
      </c>
      <c r="Q211" s="225"/>
      <c r="R211" s="225"/>
      <c r="S211" s="225"/>
      <c r="T211" s="217"/>
      <c r="U211" s="77"/>
    </row>
    <row r="212" customFormat="false" ht="20.15" hidden="false" customHeight="true" outlineLevel="0" collapsed="false">
      <c r="B212" s="77"/>
      <c r="C212" s="217"/>
      <c r="D212" s="220"/>
      <c r="E212" s="318" t="s">
        <v>49</v>
      </c>
      <c r="F212" s="319" t="s">
        <v>50</v>
      </c>
      <c r="G212" s="320" t="n">
        <v>2</v>
      </c>
      <c r="H212" s="322" t="s">
        <v>66</v>
      </c>
      <c r="I212" s="322" t="n">
        <v>0</v>
      </c>
      <c r="J212" s="322" t="n">
        <v>134</v>
      </c>
      <c r="K212" s="321" t="s">
        <v>66</v>
      </c>
      <c r="L212" s="323" t="n">
        <f aca="false">IF(J212="",0,(J212/J213)*100)</f>
        <v>100</v>
      </c>
      <c r="M212" s="322" t="n">
        <v>1</v>
      </c>
      <c r="N212" s="324" t="n">
        <v>6</v>
      </c>
      <c r="O212" s="157" t="n">
        <f aca="false">IF(M212=1,1,0)</f>
        <v>1</v>
      </c>
      <c r="P212" s="158" t="n">
        <f aca="false">IF(M212=2,1,0)</f>
        <v>0</v>
      </c>
      <c r="Q212" s="225"/>
      <c r="R212" s="225"/>
      <c r="S212" s="225"/>
      <c r="T212" s="217"/>
      <c r="U212" s="77"/>
    </row>
    <row r="213" customFormat="false" ht="20.15" hidden="true" customHeight="true" outlineLevel="1" collapsed="false">
      <c r="B213" s="77"/>
      <c r="C213" s="217"/>
      <c r="D213" s="220"/>
      <c r="E213" s="220"/>
      <c r="F213" s="225"/>
      <c r="G213" s="225"/>
      <c r="H213" s="217"/>
      <c r="I213" s="213" t="s">
        <v>92</v>
      </c>
      <c r="J213" s="161" t="n">
        <f aca="false">MAX(J211:J212)</f>
        <v>134</v>
      </c>
      <c r="K213" s="237"/>
      <c r="L213" s="225"/>
      <c r="M213" s="217"/>
      <c r="N213" s="164" t="s">
        <v>93</v>
      </c>
      <c r="O213" s="165" t="n">
        <f aca="false">SUM(O211:O212)</f>
        <v>1</v>
      </c>
      <c r="P213" s="187" t="n">
        <f aca="false">SUM(P211:P212)</f>
        <v>1</v>
      </c>
      <c r="Q213" s="238"/>
      <c r="R213" s="238"/>
      <c r="S213" s="238"/>
      <c r="T213" s="217"/>
      <c r="U213" s="77"/>
    </row>
    <row r="214" customFormat="false" ht="20.15" hidden="false" customHeight="true" outlineLevel="0" collapsed="false">
      <c r="B214" s="77"/>
      <c r="C214" s="217"/>
      <c r="D214" s="239"/>
      <c r="E214" s="239"/>
      <c r="F214" s="217"/>
      <c r="G214" s="217"/>
      <c r="H214" s="217"/>
      <c r="I214" s="217"/>
      <c r="J214" s="217"/>
      <c r="K214" s="217"/>
      <c r="L214" s="217"/>
      <c r="M214" s="217"/>
      <c r="N214" s="217"/>
      <c r="O214" s="217"/>
      <c r="P214" s="217"/>
      <c r="Q214" s="217"/>
      <c r="R214" s="217"/>
      <c r="S214" s="217"/>
      <c r="T214" s="217"/>
      <c r="U214" s="77"/>
    </row>
    <row r="215" customFormat="false" ht="20.15" hidden="false" customHeight="true" outlineLevel="0" collapsed="false">
      <c r="B215" s="77"/>
      <c r="D215" s="5"/>
      <c r="E215" s="5"/>
      <c r="F215" s="5"/>
      <c r="G215" s="5"/>
      <c r="H215" s="5"/>
      <c r="I215" s="5"/>
      <c r="J215" s="5"/>
      <c r="K215" s="14"/>
      <c r="L215" s="14"/>
      <c r="M215" s="14"/>
      <c r="N215" s="14"/>
      <c r="O215" s="14"/>
      <c r="P215" s="14"/>
      <c r="Q215" s="14"/>
      <c r="R215" s="14"/>
      <c r="S215" s="14"/>
      <c r="U215" s="77"/>
    </row>
    <row r="216" customFormat="false" ht="30" hidden="false" customHeight="true" outlineLevel="0" collapsed="false">
      <c r="B216" s="77"/>
      <c r="C216" s="240"/>
      <c r="D216" s="398"/>
      <c r="E216" s="241" t="s">
        <v>202</v>
      </c>
      <c r="F216" s="241"/>
      <c r="G216" s="241"/>
      <c r="H216" s="241"/>
      <c r="I216" s="241"/>
      <c r="J216" s="241"/>
      <c r="K216" s="241"/>
      <c r="L216" s="241"/>
      <c r="M216" s="241"/>
      <c r="N216" s="241"/>
      <c r="O216" s="398"/>
      <c r="P216" s="398"/>
      <c r="Q216" s="398"/>
      <c r="R216" s="398"/>
      <c r="S216" s="398"/>
      <c r="T216" s="240"/>
      <c r="U216" s="77"/>
    </row>
    <row r="217" customFormat="false" ht="50.15" hidden="false" customHeight="true" outlineLevel="0" collapsed="false">
      <c r="B217" s="77"/>
      <c r="C217" s="240"/>
      <c r="D217" s="401"/>
      <c r="E217" s="242" t="s">
        <v>52</v>
      </c>
      <c r="F217" s="243" t="s">
        <v>53</v>
      </c>
      <c r="G217" s="244" t="s">
        <v>83</v>
      </c>
      <c r="H217" s="245" t="s">
        <v>102</v>
      </c>
      <c r="I217" s="246" t="s">
        <v>103</v>
      </c>
      <c r="J217" s="246"/>
      <c r="K217" s="247" t="s">
        <v>104</v>
      </c>
      <c r="L217" s="248" t="s">
        <v>105</v>
      </c>
      <c r="M217" s="244" t="s">
        <v>106</v>
      </c>
      <c r="N217" s="243" t="s">
        <v>109</v>
      </c>
      <c r="O217" s="399"/>
      <c r="P217" s="400"/>
      <c r="Q217" s="400"/>
      <c r="R217" s="400"/>
      <c r="S217" s="399"/>
      <c r="T217" s="240"/>
      <c r="U217" s="77"/>
    </row>
    <row r="218" customFormat="false" ht="20.15" hidden="false" customHeight="true" outlineLevel="0" collapsed="false">
      <c r="B218" s="77"/>
      <c r="C218" s="240"/>
      <c r="D218" s="401"/>
      <c r="E218" s="251" t="s">
        <v>49</v>
      </c>
      <c r="F218" s="252" t="s">
        <v>50</v>
      </c>
      <c r="G218" s="327" t="n">
        <f aca="false">L218*6+M218*0</f>
        <v>18</v>
      </c>
      <c r="H218" s="328" t="n">
        <v>0</v>
      </c>
      <c r="I218" s="328" t="s">
        <v>66</v>
      </c>
      <c r="J218" s="328"/>
      <c r="K218" s="327" t="n">
        <f aca="false">G218+H218</f>
        <v>18</v>
      </c>
      <c r="L218" s="327" t="n">
        <v>3</v>
      </c>
      <c r="M218" s="327" t="n">
        <v>1</v>
      </c>
      <c r="N218" s="329" t="n">
        <f aca="false">(L191+L198+L212)/3</f>
        <v>88.8888888888889</v>
      </c>
      <c r="O218" s="402"/>
      <c r="P218" s="403"/>
      <c r="Q218" s="403"/>
      <c r="R218" s="403"/>
      <c r="S218" s="417"/>
      <c r="T218" s="240"/>
      <c r="U218" s="77"/>
    </row>
    <row r="219" customFormat="false" ht="20.15" hidden="false" customHeight="true" outlineLevel="0" collapsed="false">
      <c r="B219" s="77"/>
      <c r="C219" s="240"/>
      <c r="D219" s="401"/>
      <c r="E219" s="265" t="s">
        <v>46</v>
      </c>
      <c r="F219" s="385" t="s">
        <v>47</v>
      </c>
      <c r="G219" s="338" t="n">
        <f aca="false">L219*6+M219*0</f>
        <v>6</v>
      </c>
      <c r="H219" s="339" t="n">
        <v>0</v>
      </c>
      <c r="I219" s="339" t="s">
        <v>66</v>
      </c>
      <c r="J219" s="339"/>
      <c r="K219" s="338" t="n">
        <f aca="false">G219+H219</f>
        <v>6</v>
      </c>
      <c r="L219" s="338" t="n">
        <v>1</v>
      </c>
      <c r="M219" s="338" t="n">
        <v>3</v>
      </c>
      <c r="N219" s="341" t="n">
        <f aca="false">(L190+L197+L211)/3</f>
        <v>63.9303482587065</v>
      </c>
      <c r="O219" s="402"/>
      <c r="P219" s="403"/>
      <c r="Q219" s="403"/>
      <c r="R219" s="403"/>
      <c r="S219" s="417"/>
      <c r="T219" s="240"/>
      <c r="U219" s="77"/>
    </row>
    <row r="220" customFormat="false" ht="20.15" hidden="false" customHeight="true" outlineLevel="0" collapsed="false">
      <c r="B220" s="77"/>
      <c r="C220" s="240"/>
      <c r="D220" s="240"/>
      <c r="E220" s="240"/>
      <c r="F220" s="342"/>
      <c r="G220" s="342"/>
      <c r="H220" s="342"/>
      <c r="I220" s="342"/>
      <c r="J220" s="342"/>
      <c r="K220" s="342"/>
      <c r="L220" s="342"/>
      <c r="M220" s="342"/>
      <c r="N220" s="342"/>
      <c r="O220" s="342"/>
      <c r="P220" s="342"/>
      <c r="Q220" s="342"/>
      <c r="R220" s="342"/>
      <c r="S220" s="342"/>
      <c r="T220" s="240"/>
      <c r="U220" s="77"/>
    </row>
    <row r="221" customFormat="false" ht="20.15" hidden="false" customHeight="true" outlineLevel="0" collapsed="false">
      <c r="B221" s="77"/>
      <c r="C221" s="77"/>
      <c r="D221" s="270"/>
      <c r="E221" s="270"/>
      <c r="F221" s="195"/>
      <c r="G221" s="195"/>
      <c r="H221" s="270"/>
      <c r="I221" s="270"/>
      <c r="J221" s="270"/>
      <c r="K221" s="207"/>
      <c r="L221" s="207"/>
      <c r="M221" s="207"/>
      <c r="N221" s="207"/>
      <c r="O221" s="207"/>
      <c r="P221" s="207"/>
      <c r="Q221" s="207"/>
      <c r="R221" s="207"/>
      <c r="S221" s="207"/>
      <c r="T221" s="77"/>
      <c r="U221" s="77"/>
    </row>
    <row r="222" customFormat="false" ht="20.15" hidden="false" customHeight="true" outlineLevel="0" collapsed="false"/>
    <row r="223" customFormat="false" ht="20.15" hidden="false" customHeight="true" outlineLevel="0" collapsed="false"/>
    <row r="224" customFormat="false" ht="20.15" hidden="false" customHeight="true" outlineLevel="0" collapsed="false"/>
    <row r="225" customFormat="false" ht="20.15" hidden="false" customHeight="true" outlineLevel="0" collapsed="false"/>
    <row r="226" customFormat="false" ht="20.15" hidden="false" customHeight="true" outlineLevel="0" collapsed="false"/>
    <row r="227" customFormat="false" ht="20.15" hidden="false" customHeight="true" outlineLevel="0" collapsed="false"/>
    <row r="228" customFormat="false" ht="20.15" hidden="false" customHeight="true" outlineLevel="0" collapsed="false"/>
    <row r="229" customFormat="false" ht="20.15" hidden="false" customHeight="true" outlineLevel="0" collapsed="false"/>
    <row r="230" customFormat="false" ht="20.15" hidden="false" customHeight="true" outlineLevel="0" collapsed="false"/>
    <row r="231" customFormat="false" ht="20.15" hidden="false" customHeight="true" outlineLevel="0" collapsed="false"/>
    <row r="232" customFormat="false" ht="20.15" hidden="false" customHeight="true" outlineLevel="0" collapsed="false"/>
    <row r="233" customFormat="false" ht="20.15" hidden="false" customHeight="true" outlineLevel="0" collapsed="false"/>
    <row r="234" customFormat="false" ht="20.15" hidden="false" customHeight="true" outlineLevel="0" collapsed="false"/>
    <row r="235" customFormat="false" ht="20.15" hidden="false" customHeight="true" outlineLevel="0" collapsed="false"/>
    <row r="236" customFormat="false" ht="20.15" hidden="false" customHeight="true" outlineLevel="0" collapsed="false"/>
    <row r="237" customFormat="false" ht="20.15" hidden="false" customHeight="true" outlineLevel="0" collapsed="false"/>
    <row r="238" customFormat="false" ht="20.15" hidden="false" customHeight="true" outlineLevel="0" collapsed="false"/>
    <row r="239" customFormat="false" ht="20.15" hidden="false" customHeight="true" outlineLevel="0" collapsed="false"/>
    <row r="240" customFormat="false" ht="20.15" hidden="false" customHeight="true" outlineLevel="0" collapsed="false"/>
    <row r="241" customFormat="false" ht="20.15" hidden="false" customHeight="true" outlineLevel="0" collapsed="false"/>
    <row r="242" customFormat="false" ht="20.15" hidden="false" customHeight="true" outlineLevel="0" collapsed="false"/>
    <row r="243" customFormat="false" ht="20.15" hidden="false" customHeight="true" outlineLevel="0" collapsed="false"/>
    <row r="244" customFormat="false" ht="20.15" hidden="false" customHeight="true" outlineLevel="0" collapsed="false"/>
    <row r="245" customFormat="false" ht="20.15" hidden="false" customHeight="true" outlineLevel="0" collapsed="false"/>
    <row r="246" customFormat="false" ht="20.15" hidden="false" customHeight="true" outlineLevel="0" collapsed="false"/>
    <row r="247" customFormat="false" ht="20.15" hidden="false" customHeight="true" outlineLevel="0" collapsed="false"/>
    <row r="248" customFormat="false" ht="20.15" hidden="false" customHeight="true" outlineLevel="0" collapsed="false"/>
    <row r="249" customFormat="false" ht="20.15" hidden="false" customHeight="true" outlineLevel="0" collapsed="false"/>
    <row r="250" customFormat="false" ht="20.15" hidden="false" customHeight="true" outlineLevel="0" collapsed="false"/>
    <row r="251" customFormat="false" ht="20.15" hidden="false" customHeight="true" outlineLevel="0" collapsed="false"/>
    <row r="252" customFormat="false" ht="20.15" hidden="false" customHeight="true" outlineLevel="0" collapsed="false"/>
    <row r="253" customFormat="false" ht="20.15" hidden="false" customHeight="true" outlineLevel="0" collapsed="false"/>
    <row r="254" customFormat="false" ht="20.15" hidden="false" customHeight="true" outlineLevel="0" collapsed="false"/>
    <row r="255" customFormat="false" ht="20.15" hidden="false" customHeight="true" outlineLevel="0" collapsed="false"/>
    <row r="256" customFormat="false" ht="20.15" hidden="false" customHeight="true" outlineLevel="0" collapsed="false"/>
    <row r="257" customFormat="false" ht="20.15" hidden="false" customHeight="true" outlineLevel="0" collapsed="false"/>
    <row r="258" customFormat="false" ht="20.15" hidden="false" customHeight="true" outlineLevel="0" collapsed="false"/>
    <row r="259" customFormat="false" ht="20.15" hidden="false" customHeight="true" outlineLevel="0" collapsed="false"/>
    <row r="260" customFormat="false" ht="20.15" hidden="false" customHeight="true" outlineLevel="0" collapsed="false"/>
    <row r="261" customFormat="false" ht="20.15" hidden="false" customHeight="true" outlineLevel="0" collapsed="false"/>
    <row r="262" customFormat="false" ht="20.15" hidden="false" customHeight="true" outlineLevel="0" collapsed="false"/>
    <row r="263" customFormat="false" ht="20.15" hidden="false" customHeight="true" outlineLevel="0" collapsed="false"/>
    <row r="264" customFormat="false" ht="20.15" hidden="false" customHeight="true" outlineLevel="0" collapsed="false"/>
    <row r="265" customFormat="false" ht="20.15" hidden="false" customHeight="true" outlineLevel="0" collapsed="false"/>
    <row r="266" customFormat="false" ht="20.15" hidden="false" customHeight="true" outlineLevel="0" collapsed="false"/>
    <row r="267" customFormat="false" ht="20.15" hidden="false" customHeight="true" outlineLevel="0" collapsed="false"/>
    <row r="268" customFormat="false" ht="20.15" hidden="false" customHeight="true" outlineLevel="0" collapsed="false"/>
    <row r="269" customFormat="false" ht="20.15" hidden="false" customHeight="true" outlineLevel="0" collapsed="false"/>
    <row r="270" customFormat="false" ht="20.15" hidden="false" customHeight="true" outlineLevel="0" collapsed="false"/>
    <row r="271" customFormat="false" ht="20.15" hidden="false" customHeight="true" outlineLevel="0" collapsed="false"/>
    <row r="272" customFormat="false" ht="20.15" hidden="false" customHeight="true" outlineLevel="0" collapsed="false"/>
    <row r="273" customFormat="false" ht="20.15" hidden="false" customHeight="true" outlineLevel="0" collapsed="false"/>
    <row r="274" customFormat="false" ht="20.15" hidden="false" customHeight="true" outlineLevel="0" collapsed="false"/>
    <row r="275" customFormat="false" ht="20.15" hidden="false" customHeight="true" outlineLevel="0" collapsed="false"/>
    <row r="276" customFormat="false" ht="20.15" hidden="false" customHeight="true" outlineLevel="0" collapsed="false"/>
    <row r="277" customFormat="false" ht="20.15" hidden="false" customHeight="true" outlineLevel="0" collapsed="false"/>
    <row r="278" customFormat="false" ht="20.15" hidden="false" customHeight="true" outlineLevel="0" collapsed="false"/>
    <row r="279" customFormat="false" ht="20.15" hidden="false" customHeight="true" outlineLevel="0" collapsed="false"/>
    <row r="280" customFormat="false" ht="20.15" hidden="false" customHeight="true" outlineLevel="0" collapsed="false"/>
    <row r="281" customFormat="false" ht="20.15" hidden="false" customHeight="true" outlineLevel="0" collapsed="false"/>
    <row r="282" customFormat="false" ht="20.15" hidden="false" customHeight="true" outlineLevel="0" collapsed="false"/>
    <row r="283" customFormat="false" ht="20.15" hidden="false" customHeight="true" outlineLevel="0" collapsed="false"/>
    <row r="284" customFormat="false" ht="20.15" hidden="false" customHeight="true" outlineLevel="0" collapsed="false"/>
    <row r="285" customFormat="false" ht="20.15" hidden="false" customHeight="true" outlineLevel="0" collapsed="false"/>
    <row r="286" customFormat="false" ht="20.15" hidden="false" customHeight="true" outlineLevel="0" collapsed="false"/>
    <row r="287" customFormat="false" ht="20.15" hidden="false" customHeight="true" outlineLevel="0" collapsed="false"/>
    <row r="288" customFormat="false" ht="20.15" hidden="false" customHeight="true" outlineLevel="0" collapsed="false"/>
    <row r="289" customFormat="false" ht="20.15" hidden="false" customHeight="true" outlineLevel="0" collapsed="false"/>
    <row r="290" customFormat="false" ht="20.15" hidden="false" customHeight="true" outlineLevel="0" collapsed="false"/>
    <row r="291" customFormat="false" ht="20.15" hidden="false" customHeight="true" outlineLevel="0" collapsed="false"/>
    <row r="292" customFormat="false" ht="20.15" hidden="false" customHeight="true" outlineLevel="0" collapsed="false"/>
    <row r="293" customFormat="false" ht="20.15" hidden="false" customHeight="true" outlineLevel="0" collapsed="false"/>
    <row r="294" customFormat="false" ht="20.15" hidden="false" customHeight="true" outlineLevel="0" collapsed="false"/>
    <row r="295" customFormat="false" ht="20.15" hidden="false" customHeight="true" outlineLevel="0" collapsed="false"/>
    <row r="296" customFormat="false" ht="20.15" hidden="false" customHeight="true" outlineLevel="0" collapsed="false"/>
    <row r="297" customFormat="false" ht="20.15" hidden="false" customHeight="true" outlineLevel="0" collapsed="false"/>
    <row r="298" customFormat="false" ht="20.15" hidden="false" customHeight="true" outlineLevel="0" collapsed="false"/>
    <row r="299" customFormat="false" ht="20.15" hidden="false" customHeight="true" outlineLevel="0" collapsed="false"/>
    <row r="300" customFormat="false" ht="20.15" hidden="false" customHeight="true" outlineLevel="0" collapsed="false"/>
    <row r="301" customFormat="false" ht="20.15" hidden="false" customHeight="true" outlineLevel="0" collapsed="false"/>
    <row r="302" customFormat="false" ht="20.15" hidden="false" customHeight="true" outlineLevel="0" collapsed="false"/>
    <row r="303" customFormat="false" ht="20.15" hidden="false" customHeight="true" outlineLevel="0" collapsed="false"/>
    <row r="304" customFormat="false" ht="20.15" hidden="false" customHeight="true" outlineLevel="0" collapsed="false"/>
    <row r="305" customFormat="false" ht="20.15" hidden="false" customHeight="true" outlineLevel="0" collapsed="false"/>
    <row r="306" customFormat="false" ht="20.15" hidden="false" customHeight="true" outlineLevel="0" collapsed="false"/>
    <row r="307" customFormat="false" ht="20.15" hidden="false" customHeight="true" outlineLevel="0" collapsed="false"/>
    <row r="308" customFormat="false" ht="20.15" hidden="false" customHeight="true" outlineLevel="0" collapsed="false"/>
    <row r="309" customFormat="false" ht="20.15" hidden="false" customHeight="true" outlineLevel="0" collapsed="false"/>
    <row r="310" customFormat="false" ht="20.15" hidden="false" customHeight="true" outlineLevel="0" collapsed="false"/>
    <row r="311" customFormat="false" ht="20.15" hidden="false" customHeight="true" outlineLevel="0" collapsed="false"/>
    <row r="312" customFormat="false" ht="20.15" hidden="false" customHeight="true" outlineLevel="0" collapsed="false"/>
    <row r="313" customFormat="false" ht="20.15" hidden="false" customHeight="true" outlineLevel="0" collapsed="false"/>
    <row r="314" customFormat="false" ht="20.15" hidden="false" customHeight="true" outlineLevel="0" collapsed="false"/>
    <row r="315" customFormat="false" ht="20.15" hidden="false" customHeight="true" outlineLevel="0" collapsed="false"/>
    <row r="316" customFormat="false" ht="20.15" hidden="false" customHeight="true" outlineLevel="0" collapsed="false"/>
    <row r="317" customFormat="false" ht="20.15" hidden="false" customHeight="true" outlineLevel="0" collapsed="false"/>
    <row r="318" customFormat="false" ht="20.15" hidden="false" customHeight="true" outlineLevel="0" collapsed="false"/>
    <row r="319" customFormat="false" ht="20.15" hidden="false" customHeight="true" outlineLevel="0" collapsed="false"/>
    <row r="320" customFormat="false" ht="20.15" hidden="false" customHeight="true" outlineLevel="0" collapsed="false"/>
    <row r="321" customFormat="false" ht="20.15" hidden="false" customHeight="true" outlineLevel="0" collapsed="false"/>
    <row r="322" customFormat="false" ht="20.15" hidden="false" customHeight="true" outlineLevel="0" collapsed="false"/>
    <row r="323" customFormat="false" ht="20.15" hidden="false" customHeight="true" outlineLevel="0" collapsed="false"/>
    <row r="324" customFormat="false" ht="20.15" hidden="false" customHeight="true" outlineLevel="0" collapsed="false"/>
    <row r="325" customFormat="false" ht="20.15" hidden="false" customHeight="true" outlineLevel="0" collapsed="false"/>
    <row r="326" customFormat="false" ht="20.15" hidden="false" customHeight="true" outlineLevel="0" collapsed="false"/>
    <row r="327" customFormat="false" ht="20.15" hidden="false" customHeight="true" outlineLevel="0" collapsed="false"/>
    <row r="328" customFormat="false" ht="20.15" hidden="false" customHeight="true" outlineLevel="0" collapsed="false"/>
    <row r="329" customFormat="false" ht="20.15" hidden="false" customHeight="true" outlineLevel="0" collapsed="false"/>
    <row r="330" customFormat="false" ht="20.15" hidden="false" customHeight="true" outlineLevel="0" collapsed="false"/>
    <row r="331" customFormat="false" ht="20.15" hidden="false" customHeight="true" outlineLevel="0" collapsed="false"/>
    <row r="332" customFormat="false" ht="20.15" hidden="false" customHeight="true" outlineLevel="0" collapsed="false"/>
    <row r="333" customFormat="false" ht="20.15" hidden="false" customHeight="true" outlineLevel="0" collapsed="false"/>
    <row r="334" customFormat="false" ht="20.15" hidden="false" customHeight="true" outlineLevel="0" collapsed="false"/>
    <row r="335" customFormat="false" ht="20.15" hidden="false" customHeight="true" outlineLevel="0" collapsed="false"/>
    <row r="336" customFormat="false" ht="20.15" hidden="false" customHeight="true" outlineLevel="0" collapsed="false"/>
    <row r="337" customFormat="false" ht="20.15" hidden="false" customHeight="true" outlineLevel="0" collapsed="false"/>
    <row r="338" customFormat="false" ht="20.15" hidden="false" customHeight="true" outlineLevel="0" collapsed="false"/>
    <row r="339" customFormat="false" ht="20.15" hidden="false" customHeight="true" outlineLevel="0" collapsed="false"/>
    <row r="340" customFormat="false" ht="20.15" hidden="false" customHeight="true" outlineLevel="0" collapsed="false"/>
    <row r="341" customFormat="false" ht="20.15" hidden="false" customHeight="true" outlineLevel="0" collapsed="false"/>
    <row r="342" customFormat="false" ht="20.15" hidden="false" customHeight="true" outlineLevel="0" collapsed="false"/>
    <row r="343" customFormat="false" ht="20.15" hidden="false" customHeight="true" outlineLevel="0" collapsed="false"/>
    <row r="344" customFormat="false" ht="20.15" hidden="false" customHeight="true" outlineLevel="0" collapsed="false"/>
    <row r="345" customFormat="false" ht="20.15" hidden="false" customHeight="true" outlineLevel="0" collapsed="false"/>
    <row r="346" customFormat="false" ht="20.15" hidden="false" customHeight="true" outlineLevel="0" collapsed="false"/>
    <row r="347" customFormat="false" ht="20.15" hidden="false" customHeight="true" outlineLevel="0" collapsed="false"/>
    <row r="348" customFormat="false" ht="20.15" hidden="false" customHeight="true" outlineLevel="0" collapsed="false"/>
    <row r="349" customFormat="false" ht="20.15" hidden="false" customHeight="true" outlineLevel="0" collapsed="false"/>
    <row r="350" customFormat="false" ht="20.15" hidden="false" customHeight="true" outlineLevel="0" collapsed="false"/>
    <row r="351" customFormat="false" ht="20.15" hidden="false" customHeight="true" outlineLevel="0" collapsed="false"/>
    <row r="352" customFormat="false" ht="20.15" hidden="false" customHeight="true" outlineLevel="0" collapsed="false"/>
    <row r="353" customFormat="false" ht="20.15" hidden="false" customHeight="true" outlineLevel="0" collapsed="false"/>
    <row r="354" customFormat="false" ht="20.15" hidden="false" customHeight="true" outlineLevel="0" collapsed="false"/>
    <row r="355" customFormat="false" ht="20.15" hidden="false" customHeight="true" outlineLevel="0" collapsed="false"/>
    <row r="356" customFormat="false" ht="20.15" hidden="false" customHeight="true" outlineLevel="0" collapsed="false"/>
    <row r="357" customFormat="false" ht="20.15" hidden="false" customHeight="true" outlineLevel="0" collapsed="false"/>
    <row r="358" customFormat="false" ht="20.15" hidden="false" customHeight="true" outlineLevel="0" collapsed="false"/>
    <row r="359" customFormat="false" ht="20.15" hidden="false" customHeight="true" outlineLevel="0" collapsed="false"/>
    <row r="360" customFormat="false" ht="20.15" hidden="false" customHeight="true" outlineLevel="0" collapsed="false"/>
    <row r="361" customFormat="false" ht="20.15" hidden="false" customHeight="true" outlineLevel="0" collapsed="false"/>
    <row r="362" customFormat="false" ht="20.15" hidden="false" customHeight="true" outlineLevel="0" collapsed="false"/>
    <row r="363" customFormat="false" ht="20.15" hidden="false" customHeight="true" outlineLevel="0" collapsed="false"/>
    <row r="364" customFormat="false" ht="20.15" hidden="false" customHeight="true" outlineLevel="0" collapsed="false"/>
    <row r="365" customFormat="false" ht="20.15" hidden="false" customHeight="true" outlineLevel="0" collapsed="false"/>
    <row r="366" customFormat="false" ht="20.15" hidden="false" customHeight="true" outlineLevel="0" collapsed="false"/>
    <row r="367" customFormat="false" ht="20.15" hidden="false" customHeight="true" outlineLevel="0" collapsed="false"/>
    <row r="368" customFormat="false" ht="20.15" hidden="false" customHeight="true" outlineLevel="0" collapsed="false"/>
    <row r="369" customFormat="false" ht="20.15" hidden="false" customHeight="true" outlineLevel="0" collapsed="false"/>
    <row r="370" customFormat="false" ht="20.15" hidden="false" customHeight="true" outlineLevel="0" collapsed="false"/>
    <row r="371" customFormat="false" ht="20.15" hidden="false" customHeight="true" outlineLevel="0" collapsed="false"/>
    <row r="372" customFormat="false" ht="20.15" hidden="false" customHeight="true" outlineLevel="0" collapsed="false"/>
    <row r="373" customFormat="false" ht="20.15" hidden="false" customHeight="true" outlineLevel="0" collapsed="false"/>
    <row r="374" customFormat="false" ht="20.15" hidden="false" customHeight="true" outlineLevel="0" collapsed="false"/>
    <row r="375" customFormat="false" ht="20.15" hidden="false" customHeight="true" outlineLevel="0" collapsed="false"/>
    <row r="376" customFormat="false" ht="20.15" hidden="false" customHeight="true" outlineLevel="0" collapsed="false"/>
    <row r="377" customFormat="false" ht="20.15" hidden="false" customHeight="true" outlineLevel="0" collapsed="false"/>
    <row r="378" customFormat="false" ht="20.15" hidden="false" customHeight="true" outlineLevel="0" collapsed="false"/>
    <row r="379" customFormat="false" ht="20.15" hidden="false" customHeight="true" outlineLevel="0" collapsed="false"/>
    <row r="380" customFormat="false" ht="20.15" hidden="false" customHeight="true" outlineLevel="0" collapsed="false"/>
    <row r="381" customFormat="false" ht="20.15" hidden="false" customHeight="true" outlineLevel="0" collapsed="false"/>
    <row r="382" customFormat="false" ht="20.15" hidden="false" customHeight="true" outlineLevel="0" collapsed="false"/>
    <row r="383" customFormat="false" ht="20.15" hidden="false" customHeight="true" outlineLevel="0" collapsed="false"/>
    <row r="384" customFormat="false" ht="20.15" hidden="false" customHeight="true" outlineLevel="0" collapsed="false"/>
    <row r="385" customFormat="false" ht="20.15" hidden="false" customHeight="true" outlineLevel="0" collapsed="false"/>
    <row r="386" customFormat="false" ht="20.15" hidden="false" customHeight="true" outlineLevel="0" collapsed="false"/>
    <row r="387" customFormat="false" ht="20.15" hidden="false" customHeight="true" outlineLevel="0" collapsed="false"/>
    <row r="388" customFormat="false" ht="20.15" hidden="false" customHeight="true" outlineLevel="0" collapsed="false"/>
    <row r="389" customFormat="false" ht="20.15" hidden="false" customHeight="true" outlineLevel="0" collapsed="false"/>
    <row r="390" customFormat="false" ht="20.15" hidden="false" customHeight="true" outlineLevel="0" collapsed="false"/>
    <row r="391" customFormat="false" ht="20.15" hidden="false" customHeight="true" outlineLevel="0" collapsed="false"/>
    <row r="392" customFormat="false" ht="20.15" hidden="false" customHeight="true" outlineLevel="0" collapsed="false"/>
    <row r="393" customFormat="false" ht="20.15" hidden="false" customHeight="true" outlineLevel="0" collapsed="false"/>
    <row r="394" customFormat="false" ht="20.15" hidden="false" customHeight="true" outlineLevel="0" collapsed="false"/>
    <row r="395" customFormat="false" ht="20.15" hidden="false" customHeight="true" outlineLevel="0" collapsed="false"/>
    <row r="396" customFormat="false" ht="20.15" hidden="false" customHeight="true" outlineLevel="0" collapsed="false"/>
    <row r="397" customFormat="false" ht="20.15" hidden="false" customHeight="true" outlineLevel="0" collapsed="false"/>
    <row r="398" customFormat="false" ht="20.15" hidden="false" customHeight="true" outlineLevel="0" collapsed="false"/>
    <row r="399" customFormat="false" ht="20.15" hidden="false" customHeight="true" outlineLevel="0" collapsed="false"/>
    <row r="400" customFormat="false" ht="20.15" hidden="false" customHeight="true" outlineLevel="0" collapsed="false"/>
    <row r="401" customFormat="false" ht="20.15" hidden="false" customHeight="true" outlineLevel="0" collapsed="false"/>
    <row r="402" customFormat="false" ht="20.15" hidden="false" customHeight="true" outlineLevel="0" collapsed="false"/>
    <row r="403" customFormat="false" ht="20.15" hidden="false" customHeight="true" outlineLevel="0" collapsed="false"/>
    <row r="404" customFormat="false" ht="20.15" hidden="false" customHeight="true" outlineLevel="0" collapsed="false"/>
    <row r="405" customFormat="false" ht="20.15" hidden="false" customHeight="true" outlineLevel="0" collapsed="false"/>
    <row r="406" customFormat="false" ht="20.15" hidden="false" customHeight="true" outlineLevel="0" collapsed="false"/>
    <row r="407" customFormat="false" ht="20.15" hidden="false" customHeight="true" outlineLevel="0" collapsed="false"/>
    <row r="408" customFormat="false" ht="20.15" hidden="false" customHeight="true" outlineLevel="0" collapsed="false"/>
    <row r="409" customFormat="false" ht="20.15" hidden="false" customHeight="true" outlineLevel="0" collapsed="false"/>
    <row r="410" customFormat="false" ht="20.15" hidden="false" customHeight="true" outlineLevel="0" collapsed="false"/>
    <row r="411" customFormat="false" ht="20.15" hidden="false" customHeight="true" outlineLevel="0" collapsed="false"/>
    <row r="412" customFormat="false" ht="20.15" hidden="false" customHeight="true" outlineLevel="0" collapsed="false"/>
    <row r="413" customFormat="false" ht="20.15" hidden="false" customHeight="true" outlineLevel="0" collapsed="false"/>
    <row r="414" customFormat="false" ht="20.15" hidden="false" customHeight="true" outlineLevel="0" collapsed="false"/>
    <row r="415" customFormat="false" ht="20.15" hidden="false" customHeight="true" outlineLevel="0" collapsed="false"/>
    <row r="416" customFormat="false" ht="20.15" hidden="false" customHeight="true" outlineLevel="0" collapsed="false"/>
    <row r="417" customFormat="false" ht="20.15" hidden="false" customHeight="true" outlineLevel="0" collapsed="false"/>
  </sheetData>
  <mergeCells count="140">
    <mergeCell ref="A1:N2"/>
    <mergeCell ref="B4:J4"/>
    <mergeCell ref="L4:N4"/>
    <mergeCell ref="B5:C5"/>
    <mergeCell ref="B6:C6"/>
    <mergeCell ref="M6:M9"/>
    <mergeCell ref="B7:C7"/>
    <mergeCell ref="B8:C8"/>
    <mergeCell ref="B9:C9"/>
    <mergeCell ref="B10:C10"/>
    <mergeCell ref="M10:M13"/>
    <mergeCell ref="B11:C11"/>
    <mergeCell ref="B12:C12"/>
    <mergeCell ref="B13:C13"/>
    <mergeCell ref="B14:C14"/>
    <mergeCell ref="M14:M16"/>
    <mergeCell ref="B15:C15"/>
    <mergeCell ref="B16:C16"/>
    <mergeCell ref="B17:C17"/>
    <mergeCell ref="M17:M18"/>
    <mergeCell ref="B18:C18"/>
    <mergeCell ref="L19:M19"/>
    <mergeCell ref="B20:I20"/>
    <mergeCell ref="B21:C21"/>
    <mergeCell ref="B22:C22"/>
    <mergeCell ref="C25:T25"/>
    <mergeCell ref="D27:D28"/>
    <mergeCell ref="E27:E28"/>
    <mergeCell ref="F27:F28"/>
    <mergeCell ref="G27:J27"/>
    <mergeCell ref="L27:S27"/>
    <mergeCell ref="I28:J28"/>
    <mergeCell ref="N28:S28"/>
    <mergeCell ref="I29:J29"/>
    <mergeCell ref="N29:S29"/>
    <mergeCell ref="I30:J30"/>
    <mergeCell ref="N30:S30"/>
    <mergeCell ref="I31:J31"/>
    <mergeCell ref="N31:S31"/>
    <mergeCell ref="I32:J32"/>
    <mergeCell ref="N32:S32"/>
    <mergeCell ref="E34:N34"/>
    <mergeCell ref="F40:G40"/>
    <mergeCell ref="F41:G41"/>
    <mergeCell ref="E43:N43"/>
    <mergeCell ref="F49:G49"/>
    <mergeCell ref="E52:N52"/>
    <mergeCell ref="F58:G58"/>
    <mergeCell ref="E61:N61"/>
    <mergeCell ref="F67:G67"/>
    <mergeCell ref="D70:S70"/>
    <mergeCell ref="H71:I71"/>
    <mergeCell ref="H72:I72"/>
    <mergeCell ref="H73:I73"/>
    <mergeCell ref="H74:I74"/>
    <mergeCell ref="H75:I75"/>
    <mergeCell ref="C81:T81"/>
    <mergeCell ref="D83:D84"/>
    <mergeCell ref="E83:E84"/>
    <mergeCell ref="F83:F84"/>
    <mergeCell ref="G83:J83"/>
    <mergeCell ref="L83:S83"/>
    <mergeCell ref="I84:J84"/>
    <mergeCell ref="N84:S84"/>
    <mergeCell ref="I85:J85"/>
    <mergeCell ref="N85:S85"/>
    <mergeCell ref="I86:J86"/>
    <mergeCell ref="N86:S86"/>
    <mergeCell ref="I87:J87"/>
    <mergeCell ref="N87:S87"/>
    <mergeCell ref="I88:J88"/>
    <mergeCell ref="N88:S88"/>
    <mergeCell ref="E90:N90"/>
    <mergeCell ref="F96:G96"/>
    <mergeCell ref="E99:N99"/>
    <mergeCell ref="F105:G105"/>
    <mergeCell ref="E108:N108"/>
    <mergeCell ref="F114:G114"/>
    <mergeCell ref="E117:N117"/>
    <mergeCell ref="F123:G123"/>
    <mergeCell ref="D126:S126"/>
    <mergeCell ref="H127:I127"/>
    <mergeCell ref="H128:I128"/>
    <mergeCell ref="H129:I129"/>
    <mergeCell ref="Y129:Z129"/>
    <mergeCell ref="H130:I130"/>
    <mergeCell ref="H131:I131"/>
    <mergeCell ref="C137:T137"/>
    <mergeCell ref="D139:D140"/>
    <mergeCell ref="E139:E140"/>
    <mergeCell ref="F139:F140"/>
    <mergeCell ref="G139:J139"/>
    <mergeCell ref="L139:S139"/>
    <mergeCell ref="I140:J140"/>
    <mergeCell ref="N140:S140"/>
    <mergeCell ref="I141:J141"/>
    <mergeCell ref="N141:S141"/>
    <mergeCell ref="I142:J142"/>
    <mergeCell ref="N142:S142"/>
    <mergeCell ref="I143:J143"/>
    <mergeCell ref="N143:S143"/>
    <mergeCell ref="E145:N145"/>
    <mergeCell ref="F150:G150"/>
    <mergeCell ref="E153:N153"/>
    <mergeCell ref="F158:G158"/>
    <mergeCell ref="E161:N161"/>
    <mergeCell ref="F166:G166"/>
    <mergeCell ref="D169:N169"/>
    <mergeCell ref="H170:I170"/>
    <mergeCell ref="H171:I171"/>
    <mergeCell ref="H172:I172"/>
    <mergeCell ref="H173:I173"/>
    <mergeCell ref="C179:T179"/>
    <mergeCell ref="D181:D182"/>
    <mergeCell ref="E181:E182"/>
    <mergeCell ref="F181:F182"/>
    <mergeCell ref="G181:J181"/>
    <mergeCell ref="L181:S181"/>
    <mergeCell ref="I182:J182"/>
    <mergeCell ref="N182:S182"/>
    <mergeCell ref="I183:J183"/>
    <mergeCell ref="N183:S183"/>
    <mergeCell ref="I184:J184"/>
    <mergeCell ref="N184:S184"/>
    <mergeCell ref="I185:J185"/>
    <mergeCell ref="N185:S185"/>
    <mergeCell ref="I186:J186"/>
    <mergeCell ref="N186:S186"/>
    <mergeCell ref="E188:N188"/>
    <mergeCell ref="F192:G192"/>
    <mergeCell ref="E195:N195"/>
    <mergeCell ref="F199:G199"/>
    <mergeCell ref="E202:N202"/>
    <mergeCell ref="F206:G206"/>
    <mergeCell ref="E209:N209"/>
    <mergeCell ref="F213:G213"/>
    <mergeCell ref="E216:N216"/>
    <mergeCell ref="I217:J217"/>
    <mergeCell ref="I218:J218"/>
    <mergeCell ref="I219:J219"/>
  </mergeCells>
  <dataValidations count="1">
    <dataValidation allowBlank="true" operator="between" showDropDown="false" showErrorMessage="true" showInputMessage="true" sqref="J6:J18"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8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D9" activeCellId="0" sqref="D9"/>
    </sheetView>
  </sheetViews>
  <sheetFormatPr defaultColWidth="11.47265625" defaultRowHeight="14.5" zeroHeight="false" outlineLevelRow="1" outlineLevelCol="1"/>
  <cols>
    <col collapsed="false" customWidth="true" hidden="false" outlineLevel="0" max="3" min="1" style="1" width="3.72"/>
    <col collapsed="false" customWidth="true" hidden="false" outlineLevel="0" max="14" min="4" style="1" width="20.72"/>
    <col collapsed="false" customWidth="true" hidden="true" outlineLevel="1" max="18" min="15" style="1" width="20.72"/>
    <col collapsed="false" customWidth="true" hidden="false" outlineLevel="0" max="19" min="19" style="1" width="20.72"/>
    <col collapsed="false" customWidth="true" hidden="false" outlineLevel="0" max="21" min="20" style="1" width="3.72"/>
    <col collapsed="false" customWidth="true" hidden="false" outlineLevel="0" max="22" min="22" style="1" width="15.81"/>
    <col collapsed="false" customWidth="true" hidden="false" outlineLevel="0" max="24" min="23" style="1" width="20.72"/>
    <col collapsed="false" customWidth="false" hidden="false" outlineLevel="0" max="1024" min="25" style="1" width="11.45"/>
  </cols>
  <sheetData>
    <row r="1" customFormat="false" ht="14.5" hidden="false" customHeight="false" outlineLevel="0" collapsed="false">
      <c r="A1" s="2" t="s">
        <v>203</v>
      </c>
      <c r="B1" s="2"/>
      <c r="C1" s="2"/>
      <c r="D1" s="2"/>
      <c r="E1" s="2"/>
      <c r="F1" s="2"/>
      <c r="G1" s="2"/>
      <c r="H1" s="2"/>
      <c r="I1" s="2"/>
      <c r="J1" s="2"/>
      <c r="K1" s="2"/>
      <c r="L1" s="2"/>
      <c r="M1" s="2"/>
      <c r="N1" s="2"/>
    </row>
    <row r="2" customFormat="false" ht="14.5" hidden="false" customHeight="false" outlineLevel="0" collapsed="false">
      <c r="A2" s="2"/>
      <c r="B2" s="2"/>
      <c r="C2" s="2"/>
      <c r="D2" s="2"/>
      <c r="E2" s="2"/>
      <c r="F2" s="2"/>
      <c r="G2" s="2"/>
      <c r="H2" s="2"/>
      <c r="I2" s="2"/>
      <c r="J2" s="2"/>
      <c r="K2" s="2"/>
      <c r="L2" s="2"/>
      <c r="M2" s="2"/>
      <c r="N2" s="2"/>
    </row>
    <row r="3" customFormat="false" ht="20.15" hidden="false" customHeight="true" outlineLevel="0" collapsed="false"/>
    <row r="4" customFormat="false" ht="15" hidden="false" customHeight="false" outlineLevel="0" collapsed="false">
      <c r="B4" s="3" t="s">
        <v>204</v>
      </c>
      <c r="C4" s="3"/>
      <c r="D4" s="3"/>
      <c r="E4" s="3"/>
      <c r="F4" s="3"/>
      <c r="G4" s="3"/>
      <c r="H4" s="3"/>
      <c r="I4" s="3"/>
      <c r="J4" s="3"/>
      <c r="L4" s="3" t="s">
        <v>2</v>
      </c>
      <c r="M4" s="3"/>
      <c r="N4" s="3"/>
      <c r="Q4" s="4"/>
      <c r="R4" s="4"/>
      <c r="S4" s="4"/>
      <c r="T4" s="5"/>
      <c r="U4" s="4"/>
      <c r="V4" s="4"/>
      <c r="W4" s="4"/>
      <c r="X4" s="4"/>
    </row>
    <row r="5" customFormat="false" ht="50.15" hidden="false" customHeight="true" outlineLevel="0" collapsed="false">
      <c r="B5" s="6" t="s">
        <v>205</v>
      </c>
      <c r="C5" s="6"/>
      <c r="D5" s="7" t="s">
        <v>4</v>
      </c>
      <c r="E5" s="8" t="s">
        <v>5</v>
      </c>
      <c r="F5" s="9" t="s">
        <v>6</v>
      </c>
      <c r="G5" s="10" t="s">
        <v>7</v>
      </c>
      <c r="H5" s="10" t="s">
        <v>8</v>
      </c>
      <c r="I5" s="10" t="s">
        <v>9</v>
      </c>
      <c r="J5" s="9" t="s">
        <v>206</v>
      </c>
      <c r="L5" s="11" t="s">
        <v>4</v>
      </c>
      <c r="M5" s="12" t="s">
        <v>11</v>
      </c>
      <c r="N5" s="13" t="s">
        <v>12</v>
      </c>
      <c r="P5" s="14"/>
      <c r="Q5" s="5"/>
      <c r="S5" s="4"/>
      <c r="T5" s="4"/>
      <c r="U5" s="4"/>
      <c r="V5" s="5"/>
      <c r="W5" s="5"/>
    </row>
    <row r="6" customFormat="false" ht="20.15" hidden="false" customHeight="true" outlineLevel="0" collapsed="false">
      <c r="B6" s="15" t="n">
        <v>1</v>
      </c>
      <c r="C6" s="15"/>
      <c r="D6" s="16" t="s">
        <v>19</v>
      </c>
      <c r="E6" s="360" t="s">
        <v>20</v>
      </c>
      <c r="F6" s="363" t="s">
        <v>20</v>
      </c>
      <c r="G6" s="364" t="s">
        <v>20</v>
      </c>
      <c r="H6" s="18" t="s">
        <v>20</v>
      </c>
      <c r="I6" s="18" t="s">
        <v>18</v>
      </c>
      <c r="J6" s="19" t="s">
        <v>15</v>
      </c>
      <c r="L6" s="20" t="str">
        <f aca="false">D6</f>
        <v>Jérôme Schätzle</v>
      </c>
      <c r="M6" s="21" t="n">
        <v>1</v>
      </c>
      <c r="N6" s="22" t="n">
        <v>1</v>
      </c>
      <c r="P6" s="14"/>
      <c r="Q6" s="23"/>
      <c r="S6" s="14"/>
      <c r="T6" s="14"/>
      <c r="U6" s="14"/>
      <c r="V6" s="24"/>
      <c r="W6" s="24"/>
    </row>
    <row r="7" customFormat="false" ht="20.15" hidden="false" customHeight="true" outlineLevel="0" collapsed="false">
      <c r="B7" s="25" t="n">
        <v>2</v>
      </c>
      <c r="C7" s="25"/>
      <c r="D7" s="26" t="s">
        <v>16</v>
      </c>
      <c r="E7" s="27" t="s">
        <v>17</v>
      </c>
      <c r="F7" s="28" t="s">
        <v>17</v>
      </c>
      <c r="G7" s="26" t="s">
        <v>17</v>
      </c>
      <c r="H7" s="29" t="s">
        <v>17</v>
      </c>
      <c r="I7" s="29" t="s">
        <v>18</v>
      </c>
      <c r="J7" s="30" t="s">
        <v>15</v>
      </c>
      <c r="L7" s="31" t="str">
        <f aca="false">D7</f>
        <v>Andreas Micke</v>
      </c>
      <c r="M7" s="21"/>
      <c r="N7" s="32" t="n">
        <v>2</v>
      </c>
      <c r="P7" s="14"/>
      <c r="Q7" s="23"/>
      <c r="S7" s="14"/>
      <c r="T7" s="14"/>
      <c r="U7" s="14"/>
      <c r="V7" s="24"/>
      <c r="W7" s="24"/>
    </row>
    <row r="8" customFormat="false" ht="20.15" hidden="false" customHeight="true" outlineLevel="0" collapsed="false">
      <c r="B8" s="25" t="n">
        <v>3</v>
      </c>
      <c r="C8" s="25"/>
      <c r="D8" s="26" t="s">
        <v>25</v>
      </c>
      <c r="E8" s="27" t="s">
        <v>26</v>
      </c>
      <c r="F8" s="28" t="s">
        <v>26</v>
      </c>
      <c r="G8" s="26" t="s">
        <v>26</v>
      </c>
      <c r="H8" s="29" t="s">
        <v>26</v>
      </c>
      <c r="I8" s="36" t="s">
        <v>18</v>
      </c>
      <c r="J8" s="30" t="s">
        <v>15</v>
      </c>
      <c r="L8" s="31" t="str">
        <f aca="false">D8</f>
        <v>Pauline Schätzle</v>
      </c>
      <c r="M8" s="21"/>
      <c r="N8" s="32" t="n">
        <v>3</v>
      </c>
      <c r="P8" s="14"/>
      <c r="Q8" s="23"/>
      <c r="S8" s="14"/>
      <c r="T8" s="14"/>
      <c r="U8" s="14"/>
      <c r="V8" s="24"/>
      <c r="W8" s="24"/>
    </row>
    <row r="9" customFormat="false" ht="20.15" hidden="false" customHeight="true" outlineLevel="0" collapsed="false">
      <c r="B9" s="25" t="n">
        <v>4</v>
      </c>
      <c r="C9" s="25"/>
      <c r="D9" s="33" t="s">
        <v>23</v>
      </c>
      <c r="E9" s="36" t="s">
        <v>24</v>
      </c>
      <c r="F9" s="29" t="s">
        <v>24</v>
      </c>
      <c r="G9" s="29" t="s">
        <v>18</v>
      </c>
      <c r="H9" s="29" t="s">
        <v>24</v>
      </c>
      <c r="I9" s="36" t="s">
        <v>18</v>
      </c>
      <c r="J9" s="30" t="s">
        <v>15</v>
      </c>
      <c r="L9" s="34" t="str">
        <f aca="false">D9</f>
        <v>Alex Ulbricht</v>
      </c>
      <c r="M9" s="21"/>
      <c r="N9" s="35" t="n">
        <v>4</v>
      </c>
      <c r="P9" s="14"/>
      <c r="Q9" s="23"/>
      <c r="S9" s="14"/>
      <c r="T9" s="14"/>
      <c r="U9" s="14"/>
      <c r="V9" s="24"/>
      <c r="W9" s="24"/>
    </row>
    <row r="10" customFormat="false" ht="20.15" hidden="false" customHeight="true" outlineLevel="0" collapsed="false">
      <c r="B10" s="25" t="n">
        <v>5</v>
      </c>
      <c r="C10" s="25"/>
      <c r="D10" s="33" t="s">
        <v>13</v>
      </c>
      <c r="E10" s="36" t="s">
        <v>14</v>
      </c>
      <c r="F10" s="36" t="s">
        <v>14</v>
      </c>
      <c r="G10" s="36" t="s">
        <v>14</v>
      </c>
      <c r="H10" s="29" t="s">
        <v>14</v>
      </c>
      <c r="I10" s="29" t="s">
        <v>14</v>
      </c>
      <c r="J10" s="30" t="s">
        <v>15</v>
      </c>
      <c r="L10" s="20" t="str">
        <f aca="false">D10</f>
        <v>Devid Fulterer</v>
      </c>
      <c r="M10" s="37" t="n">
        <v>2</v>
      </c>
      <c r="N10" s="22" t="n">
        <v>1</v>
      </c>
      <c r="P10" s="14"/>
      <c r="Q10" s="23"/>
      <c r="S10" s="14"/>
      <c r="T10" s="14"/>
      <c r="U10" s="14"/>
      <c r="V10" s="24"/>
      <c r="W10" s="24"/>
    </row>
    <row r="11" customFormat="false" ht="20.15" hidden="false" customHeight="true" outlineLevel="0" collapsed="false">
      <c r="B11" s="25" t="n">
        <v>6</v>
      </c>
      <c r="C11" s="25"/>
      <c r="D11" s="33" t="s">
        <v>39</v>
      </c>
      <c r="E11" s="36" t="s">
        <v>40</v>
      </c>
      <c r="F11" s="29" t="s">
        <v>40</v>
      </c>
      <c r="G11" s="29" t="s">
        <v>40</v>
      </c>
      <c r="H11" s="29" t="s">
        <v>18</v>
      </c>
      <c r="I11" s="29" t="s">
        <v>18</v>
      </c>
      <c r="J11" s="30" t="s">
        <v>15</v>
      </c>
      <c r="L11" s="31" t="str">
        <f aca="false">D11</f>
        <v>Markus Hagenauer</v>
      </c>
      <c r="M11" s="37"/>
      <c r="N11" s="32" t="n">
        <v>2</v>
      </c>
      <c r="P11" s="14"/>
      <c r="Q11" s="23"/>
      <c r="S11" s="14"/>
      <c r="T11" s="14"/>
      <c r="U11" s="14"/>
      <c r="V11" s="24"/>
      <c r="W11" s="24"/>
    </row>
    <row r="12" customFormat="false" ht="20.15" hidden="false" customHeight="true" outlineLevel="0" collapsed="false">
      <c r="B12" s="25" t="n">
        <v>7</v>
      </c>
      <c r="C12" s="25"/>
      <c r="D12" s="33" t="s">
        <v>27</v>
      </c>
      <c r="E12" s="36" t="s">
        <v>28</v>
      </c>
      <c r="F12" s="29" t="s">
        <v>29</v>
      </c>
      <c r="G12" s="29" t="s">
        <v>28</v>
      </c>
      <c r="H12" s="29" t="s">
        <v>28</v>
      </c>
      <c r="I12" s="36" t="s">
        <v>18</v>
      </c>
      <c r="J12" s="30" t="s">
        <v>15</v>
      </c>
      <c r="L12" s="31" t="str">
        <f aca="false">D12</f>
        <v>Judith Maibaum</v>
      </c>
      <c r="M12" s="37"/>
      <c r="N12" s="32" t="n">
        <v>3</v>
      </c>
      <c r="P12" s="14"/>
      <c r="Q12" s="23"/>
      <c r="S12" s="14"/>
      <c r="T12" s="14"/>
      <c r="U12" s="14"/>
      <c r="V12" s="24"/>
      <c r="W12" s="24"/>
    </row>
    <row r="13" customFormat="false" ht="20.15" hidden="false" customHeight="true" outlineLevel="0" collapsed="false">
      <c r="B13" s="39" t="n">
        <v>8</v>
      </c>
      <c r="C13" s="39"/>
      <c r="D13" s="40" t="s">
        <v>30</v>
      </c>
      <c r="E13" s="41" t="s">
        <v>31</v>
      </c>
      <c r="F13" s="42" t="s">
        <v>32</v>
      </c>
      <c r="G13" s="43" t="s">
        <v>31</v>
      </c>
      <c r="H13" s="44" t="s">
        <v>32</v>
      </c>
      <c r="I13" s="418" t="s">
        <v>18</v>
      </c>
      <c r="J13" s="45" t="s">
        <v>38</v>
      </c>
      <c r="L13" s="34" t="str">
        <f aca="false">D13</f>
        <v>Lisa Schätzle</v>
      </c>
      <c r="M13" s="37"/>
      <c r="N13" s="35" t="n">
        <v>4</v>
      </c>
      <c r="P13" s="14"/>
      <c r="Q13" s="23"/>
      <c r="S13" s="14"/>
      <c r="T13" s="14"/>
      <c r="U13" s="14"/>
      <c r="V13" s="24"/>
      <c r="W13" s="24"/>
    </row>
    <row r="14" customFormat="false" ht="20.15" hidden="false" customHeight="true" outlineLevel="0" collapsed="false">
      <c r="B14" s="25" t="n">
        <v>9</v>
      </c>
      <c r="C14" s="25"/>
      <c r="D14" s="26" t="s">
        <v>21</v>
      </c>
      <c r="E14" s="27" t="s">
        <v>22</v>
      </c>
      <c r="F14" s="28" t="s">
        <v>22</v>
      </c>
      <c r="G14" s="26" t="s">
        <v>18</v>
      </c>
      <c r="H14" s="29" t="s">
        <v>22</v>
      </c>
      <c r="I14" s="29" t="s">
        <v>18</v>
      </c>
      <c r="J14" s="30" t="s">
        <v>15</v>
      </c>
      <c r="L14" s="20" t="str">
        <f aca="false">D14</f>
        <v>Daniel Zimmerman</v>
      </c>
      <c r="M14" s="21" t="n">
        <v>3</v>
      </c>
      <c r="N14" s="22" t="n">
        <v>1</v>
      </c>
      <c r="P14" s="14"/>
      <c r="Q14" s="23"/>
      <c r="S14" s="14"/>
      <c r="T14" s="14"/>
      <c r="U14" s="14"/>
      <c r="V14" s="24"/>
      <c r="W14" s="24"/>
    </row>
    <row r="15" customFormat="false" ht="20.15" hidden="false" customHeight="true" outlineLevel="0" collapsed="false">
      <c r="B15" s="25" t="n">
        <v>10</v>
      </c>
      <c r="C15" s="25"/>
      <c r="D15" s="33" t="s">
        <v>41</v>
      </c>
      <c r="E15" s="27" t="s">
        <v>42</v>
      </c>
      <c r="F15" s="28" t="s">
        <v>42</v>
      </c>
      <c r="G15" s="26" t="s">
        <v>18</v>
      </c>
      <c r="H15" s="29" t="s">
        <v>18</v>
      </c>
      <c r="I15" s="29" t="s">
        <v>18</v>
      </c>
      <c r="J15" s="30" t="s">
        <v>15</v>
      </c>
      <c r="L15" s="31" t="str">
        <f aca="false">D15</f>
        <v>Franziska Büchner</v>
      </c>
      <c r="M15" s="21"/>
      <c r="N15" s="32" t="n">
        <v>2</v>
      </c>
      <c r="P15" s="14"/>
      <c r="Q15" s="23"/>
      <c r="S15" s="14"/>
      <c r="T15" s="14"/>
      <c r="U15" s="14"/>
      <c r="V15" s="24"/>
      <c r="W15" s="24"/>
    </row>
    <row r="16" customFormat="false" ht="20.15" hidden="false" customHeight="true" outlineLevel="0" collapsed="false">
      <c r="B16" s="25" t="n">
        <v>11</v>
      </c>
      <c r="C16" s="25"/>
      <c r="D16" s="33" t="s">
        <v>33</v>
      </c>
      <c r="E16" s="38" t="s">
        <v>34</v>
      </c>
      <c r="F16" s="29" t="s">
        <v>34</v>
      </c>
      <c r="G16" s="29" t="s">
        <v>34</v>
      </c>
      <c r="H16" s="29" t="s">
        <v>18</v>
      </c>
      <c r="I16" s="29" t="s">
        <v>18</v>
      </c>
      <c r="J16" s="30" t="s">
        <v>15</v>
      </c>
      <c r="L16" s="46" t="str">
        <f aca="false">D16</f>
        <v>Kai Maibaum</v>
      </c>
      <c r="M16" s="21"/>
      <c r="N16" s="32" t="n">
        <v>3</v>
      </c>
      <c r="P16" s="14"/>
      <c r="Q16" s="23"/>
      <c r="S16" s="14"/>
      <c r="T16" s="14"/>
      <c r="U16" s="14"/>
      <c r="V16" s="24"/>
      <c r="W16" s="24"/>
    </row>
    <row r="17" customFormat="false" ht="20.15" hidden="false" customHeight="true" outlineLevel="0" collapsed="false">
      <c r="B17" s="47" t="n">
        <v>12</v>
      </c>
      <c r="C17" s="47"/>
      <c r="D17" s="48" t="s">
        <v>49</v>
      </c>
      <c r="E17" s="49" t="s">
        <v>50</v>
      </c>
      <c r="F17" s="50" t="s">
        <v>50</v>
      </c>
      <c r="G17" s="51" t="s">
        <v>18</v>
      </c>
      <c r="H17" s="52" t="s">
        <v>18</v>
      </c>
      <c r="I17" s="52" t="s">
        <v>18</v>
      </c>
      <c r="J17" s="53" t="s">
        <v>15</v>
      </c>
      <c r="L17" s="54" t="str">
        <f aca="false">D17</f>
        <v>Jonas Röhrig</v>
      </c>
      <c r="M17" s="21"/>
      <c r="N17" s="55" t="n">
        <v>4</v>
      </c>
      <c r="P17" s="14"/>
      <c r="Q17" s="23"/>
      <c r="S17" s="14"/>
      <c r="T17" s="14"/>
      <c r="U17" s="14"/>
      <c r="V17" s="24"/>
      <c r="W17" s="24"/>
    </row>
    <row r="18" customFormat="false" ht="20.15" hidden="false" customHeight="true" outlineLevel="0" collapsed="false">
      <c r="B18" s="23"/>
      <c r="C18" s="23"/>
      <c r="D18" s="419"/>
      <c r="E18" s="420"/>
      <c r="F18" s="421"/>
      <c r="G18" s="190"/>
      <c r="H18" s="14"/>
      <c r="I18" s="14"/>
      <c r="J18" s="419"/>
      <c r="L18" s="56" t="s">
        <v>207</v>
      </c>
      <c r="M18" s="56"/>
      <c r="N18" s="57" t="n">
        <v>12</v>
      </c>
      <c r="P18" s="4"/>
      <c r="Q18" s="4"/>
      <c r="S18" s="4"/>
      <c r="T18" s="4"/>
      <c r="U18" s="4"/>
      <c r="V18" s="4"/>
    </row>
    <row r="19" customFormat="false" ht="15" hidden="false" customHeight="false" outlineLevel="0" collapsed="false">
      <c r="B19" s="3" t="s">
        <v>208</v>
      </c>
      <c r="C19" s="3"/>
      <c r="D19" s="3"/>
      <c r="E19" s="3"/>
      <c r="F19" s="3"/>
      <c r="G19" s="3"/>
      <c r="H19" s="3"/>
      <c r="I19" s="3"/>
      <c r="M19" s="58"/>
      <c r="N19" s="58"/>
      <c r="O19" s="58"/>
      <c r="P19" s="5"/>
      <c r="Q19" s="4"/>
      <c r="R19" s="4"/>
      <c r="T19" s="4"/>
      <c r="U19" s="4"/>
      <c r="V19" s="4"/>
      <c r="W19" s="4"/>
    </row>
    <row r="20" customFormat="false" ht="29.5" hidden="false" customHeight="true" outlineLevel="0" collapsed="false">
      <c r="B20" s="59" t="s">
        <v>45</v>
      </c>
      <c r="C20" s="59"/>
      <c r="D20" s="60" t="s">
        <v>4</v>
      </c>
      <c r="E20" s="61" t="s">
        <v>5</v>
      </c>
      <c r="F20" s="62" t="s">
        <v>6</v>
      </c>
      <c r="G20" s="63" t="s">
        <v>7</v>
      </c>
      <c r="H20" s="64" t="s">
        <v>8</v>
      </c>
      <c r="I20" s="62" t="s">
        <v>9</v>
      </c>
      <c r="M20" s="58"/>
      <c r="N20" s="58"/>
      <c r="O20" s="58"/>
      <c r="P20" s="5"/>
      <c r="Q20" s="4"/>
      <c r="R20" s="4"/>
      <c r="T20" s="4"/>
      <c r="U20" s="4"/>
      <c r="V20" s="4"/>
      <c r="W20" s="4"/>
    </row>
    <row r="21" customFormat="false" ht="20.15" hidden="false" customHeight="true" outlineLevel="0" collapsed="false">
      <c r="B21" s="368" t="n">
        <v>1</v>
      </c>
      <c r="C21" s="368"/>
      <c r="D21" s="369"/>
      <c r="E21" s="370"/>
      <c r="F21" s="370"/>
      <c r="G21" s="370"/>
      <c r="H21" s="370"/>
      <c r="I21" s="371"/>
      <c r="M21" s="58"/>
      <c r="N21" s="58"/>
      <c r="O21" s="58"/>
      <c r="P21" s="5"/>
      <c r="Q21" s="4"/>
      <c r="R21" s="4"/>
      <c r="T21" s="4"/>
      <c r="U21" s="4"/>
      <c r="V21" s="4"/>
      <c r="W21" s="4"/>
    </row>
    <row r="22" customFormat="false" ht="20.15" hidden="false" customHeight="true" outlineLevel="0" collapsed="false">
      <c r="D22" s="76"/>
      <c r="E22" s="76"/>
      <c r="F22" s="76"/>
      <c r="M22" s="58"/>
      <c r="N22" s="58"/>
      <c r="O22" s="58"/>
      <c r="P22" s="5"/>
      <c r="Q22" s="4"/>
      <c r="R22" s="4"/>
      <c r="T22" s="4"/>
      <c r="U22" s="4"/>
      <c r="V22" s="4"/>
      <c r="W22" s="4"/>
    </row>
    <row r="23" customFormat="false" ht="20.15" hidden="false" customHeight="true" outlineLevel="0" collapsed="false">
      <c r="B23" s="77"/>
      <c r="C23" s="77"/>
      <c r="D23" s="78"/>
      <c r="E23" s="78"/>
      <c r="F23" s="78"/>
      <c r="G23" s="78"/>
      <c r="H23" s="77"/>
      <c r="I23" s="77"/>
      <c r="J23" s="77"/>
      <c r="K23" s="77"/>
      <c r="L23" s="77"/>
      <c r="M23" s="77"/>
      <c r="N23" s="77"/>
      <c r="O23" s="77"/>
      <c r="P23" s="77"/>
      <c r="Q23" s="77"/>
      <c r="R23" s="77"/>
      <c r="S23" s="77"/>
      <c r="T23" s="77"/>
      <c r="U23" s="77"/>
    </row>
    <row r="24" customFormat="false" ht="30" hidden="false" customHeight="true" outlineLevel="0" collapsed="false">
      <c r="B24" s="77"/>
      <c r="C24" s="79" t="s">
        <v>51</v>
      </c>
      <c r="D24" s="79"/>
      <c r="E24" s="79"/>
      <c r="F24" s="79"/>
      <c r="G24" s="79"/>
      <c r="H24" s="79"/>
      <c r="I24" s="79"/>
      <c r="J24" s="79"/>
      <c r="K24" s="79"/>
      <c r="L24" s="79"/>
      <c r="M24" s="79"/>
      <c r="N24" s="79"/>
      <c r="O24" s="79"/>
      <c r="P24" s="79"/>
      <c r="Q24" s="79"/>
      <c r="R24" s="79"/>
      <c r="S24" s="79"/>
      <c r="T24" s="79"/>
      <c r="U24" s="77"/>
    </row>
    <row r="25" customFormat="false" ht="20.15" hidden="false" customHeight="true" outlineLevel="0" collapsed="false">
      <c r="B25" s="77"/>
      <c r="U25" s="77"/>
    </row>
    <row r="26" customFormat="false" ht="20.15" hidden="false" customHeight="true" outlineLevel="0" collapsed="false">
      <c r="B26" s="77"/>
      <c r="D26" s="80" t="s">
        <v>52</v>
      </c>
      <c r="E26" s="81" t="s">
        <v>53</v>
      </c>
      <c r="F26" s="82" t="s">
        <v>12</v>
      </c>
      <c r="G26" s="81" t="s">
        <v>54</v>
      </c>
      <c r="H26" s="81"/>
      <c r="I26" s="81"/>
      <c r="J26" s="81"/>
      <c r="K26" s="81" t="s">
        <v>55</v>
      </c>
      <c r="L26" s="83" t="s">
        <v>56</v>
      </c>
      <c r="M26" s="83"/>
      <c r="N26" s="83"/>
      <c r="O26" s="83"/>
      <c r="P26" s="83"/>
      <c r="Q26" s="83"/>
      <c r="R26" s="83"/>
      <c r="S26" s="83"/>
      <c r="U26" s="77"/>
    </row>
    <row r="27" customFormat="false" ht="20.15" hidden="false" customHeight="true" outlineLevel="0" collapsed="false">
      <c r="B27" s="77"/>
      <c r="D27" s="80"/>
      <c r="E27" s="81"/>
      <c r="F27" s="81"/>
      <c r="G27" s="84" t="s">
        <v>57</v>
      </c>
      <c r="H27" s="84" t="s">
        <v>58</v>
      </c>
      <c r="I27" s="82" t="s">
        <v>59</v>
      </c>
      <c r="J27" s="82"/>
      <c r="K27" s="84" t="s">
        <v>60</v>
      </c>
      <c r="L27" s="84" t="s">
        <v>57</v>
      </c>
      <c r="M27" s="85" t="s">
        <v>61</v>
      </c>
      <c r="N27" s="82" t="s">
        <v>59</v>
      </c>
      <c r="O27" s="82"/>
      <c r="P27" s="82"/>
      <c r="Q27" s="82"/>
      <c r="R27" s="82"/>
      <c r="S27" s="82"/>
      <c r="U27" s="77"/>
    </row>
    <row r="28" customFormat="false" ht="50.15" hidden="false" customHeight="true" outlineLevel="0" collapsed="false">
      <c r="B28" s="77"/>
      <c r="D28" s="86" t="s">
        <v>19</v>
      </c>
      <c r="E28" s="372" t="s">
        <v>20</v>
      </c>
      <c r="F28" s="22" t="n">
        <v>1</v>
      </c>
      <c r="G28" s="89" t="s">
        <v>67</v>
      </c>
      <c r="H28" s="281" t="s">
        <v>156</v>
      </c>
      <c r="I28" s="282" t="s">
        <v>157</v>
      </c>
      <c r="J28" s="282"/>
      <c r="K28" s="373" t="s">
        <v>65</v>
      </c>
      <c r="L28" s="284" t="s">
        <v>66</v>
      </c>
      <c r="M28" s="94" t="s">
        <v>66</v>
      </c>
      <c r="N28" s="95" t="s">
        <v>66</v>
      </c>
      <c r="O28" s="95"/>
      <c r="P28" s="95"/>
      <c r="Q28" s="95"/>
      <c r="R28" s="95"/>
      <c r="S28" s="95"/>
      <c r="U28" s="77"/>
    </row>
    <row r="29" customFormat="false" ht="20.15" hidden="false" customHeight="true" outlineLevel="0" collapsed="false">
      <c r="B29" s="77"/>
      <c r="D29" s="46" t="s">
        <v>16</v>
      </c>
      <c r="E29" s="96" t="s">
        <v>17</v>
      </c>
      <c r="F29" s="32" t="n">
        <v>2</v>
      </c>
      <c r="G29" s="98" t="s">
        <v>67</v>
      </c>
      <c r="H29" s="99" t="s">
        <v>209</v>
      </c>
      <c r="I29" s="287" t="s">
        <v>210</v>
      </c>
      <c r="J29" s="287"/>
      <c r="K29" s="422" t="s">
        <v>114</v>
      </c>
      <c r="L29" s="289" t="s">
        <v>66</v>
      </c>
      <c r="M29" s="103" t="s">
        <v>66</v>
      </c>
      <c r="N29" s="104" t="s">
        <v>66</v>
      </c>
      <c r="O29" s="104"/>
      <c r="P29" s="104"/>
      <c r="Q29" s="104"/>
      <c r="R29" s="104"/>
      <c r="S29" s="104"/>
      <c r="U29" s="77"/>
    </row>
    <row r="30" customFormat="false" ht="80.15" hidden="false" customHeight="true" outlineLevel="0" collapsed="false">
      <c r="B30" s="77"/>
      <c r="D30" s="46" t="s">
        <v>25</v>
      </c>
      <c r="E30" s="96" t="s">
        <v>26</v>
      </c>
      <c r="F30" s="32" t="n">
        <v>3</v>
      </c>
      <c r="G30" s="106" t="s">
        <v>71</v>
      </c>
      <c r="H30" s="107" t="s">
        <v>114</v>
      </c>
      <c r="I30" s="293" t="s">
        <v>115</v>
      </c>
      <c r="J30" s="293"/>
      <c r="K30" s="288" t="s">
        <v>65</v>
      </c>
      <c r="L30" s="376" t="s">
        <v>66</v>
      </c>
      <c r="M30" s="111" t="s">
        <v>66</v>
      </c>
      <c r="N30" s="112" t="s">
        <v>66</v>
      </c>
      <c r="O30" s="112"/>
      <c r="P30" s="112"/>
      <c r="Q30" s="112"/>
      <c r="R30" s="112"/>
      <c r="S30" s="112"/>
      <c r="U30" s="77"/>
    </row>
    <row r="31" customFormat="false" ht="95.15" hidden="false" customHeight="true" outlineLevel="0" collapsed="false">
      <c r="B31" s="77"/>
      <c r="D31" s="295" t="s">
        <v>23</v>
      </c>
      <c r="E31" s="386" t="s">
        <v>24</v>
      </c>
      <c r="F31" s="55" t="n">
        <v>4</v>
      </c>
      <c r="G31" s="115" t="s">
        <v>67</v>
      </c>
      <c r="H31" s="101" t="s">
        <v>211</v>
      </c>
      <c r="I31" s="377" t="s">
        <v>212</v>
      </c>
      <c r="J31" s="377"/>
      <c r="K31" s="378" t="s">
        <v>65</v>
      </c>
      <c r="L31" s="379" t="s">
        <v>66</v>
      </c>
      <c r="M31" s="119" t="s">
        <v>66</v>
      </c>
      <c r="N31" s="120" t="s">
        <v>66</v>
      </c>
      <c r="O31" s="120"/>
      <c r="P31" s="120"/>
      <c r="Q31" s="120"/>
      <c r="R31" s="120"/>
      <c r="S31" s="120"/>
      <c r="U31" s="77"/>
    </row>
    <row r="32" customFormat="false" ht="20.15" hidden="false" customHeight="true" outlineLevel="0" collapsed="false">
      <c r="B32" s="77"/>
      <c r="D32" s="121"/>
      <c r="E32" s="121"/>
      <c r="U32" s="77"/>
    </row>
    <row r="33" customFormat="false" ht="20.15" hidden="false" customHeight="true" outlineLevel="0" collapsed="false">
      <c r="B33" s="77"/>
      <c r="C33" s="122"/>
      <c r="D33" s="122"/>
      <c r="E33" s="123" t="str">
        <f aca="false">IF(OR(M28="-",M28= ""),H28,M28)</f>
        <v>Marco Polo II: 
Im Auftrag des Khan</v>
      </c>
      <c r="F33" s="123"/>
      <c r="G33" s="123"/>
      <c r="H33" s="123"/>
      <c r="I33" s="123"/>
      <c r="J33" s="123"/>
      <c r="K33" s="123"/>
      <c r="L33" s="123"/>
      <c r="M33" s="123"/>
      <c r="N33" s="123"/>
      <c r="O33" s="124"/>
      <c r="P33" s="124"/>
      <c r="Q33" s="124"/>
      <c r="R33" s="124"/>
      <c r="S33" s="124"/>
      <c r="T33" s="122"/>
      <c r="U33" s="77"/>
    </row>
    <row r="34" customFormat="false" ht="50.15" hidden="false" customHeight="true" outlineLevel="0" collapsed="false">
      <c r="B34" s="77"/>
      <c r="C34" s="122"/>
      <c r="D34" s="124"/>
      <c r="E34" s="125" t="s">
        <v>52</v>
      </c>
      <c r="F34" s="126" t="s">
        <v>75</v>
      </c>
      <c r="G34" s="82" t="s">
        <v>76</v>
      </c>
      <c r="H34" s="81" t="s">
        <v>77</v>
      </c>
      <c r="I34" s="59" t="s">
        <v>78</v>
      </c>
      <c r="J34" s="81" t="s">
        <v>79</v>
      </c>
      <c r="K34" s="127" t="s">
        <v>80</v>
      </c>
      <c r="L34" s="81" t="s">
        <v>81</v>
      </c>
      <c r="M34" s="128" t="s">
        <v>82</v>
      </c>
      <c r="N34" s="129" t="s">
        <v>83</v>
      </c>
      <c r="O34" s="130" t="s">
        <v>84</v>
      </c>
      <c r="P34" s="131" t="s">
        <v>85</v>
      </c>
      <c r="Q34" s="131" t="s">
        <v>86</v>
      </c>
      <c r="R34" s="131" t="s">
        <v>87</v>
      </c>
      <c r="S34" s="124"/>
      <c r="T34" s="122"/>
      <c r="U34" s="77"/>
    </row>
    <row r="35" customFormat="false" ht="20.15" hidden="false" customHeight="true" outlineLevel="0" collapsed="false">
      <c r="B35" s="77"/>
      <c r="C35" s="122"/>
      <c r="D35" s="132"/>
      <c r="E35" s="86" t="s">
        <v>19</v>
      </c>
      <c r="F35" s="372" t="s">
        <v>20</v>
      </c>
      <c r="G35" s="221" t="n">
        <v>2</v>
      </c>
      <c r="H35" s="222" t="s">
        <v>163</v>
      </c>
      <c r="I35" s="221" t="n">
        <v>0</v>
      </c>
      <c r="J35" s="221" t="n">
        <v>103</v>
      </c>
      <c r="K35" s="221" t="s">
        <v>66</v>
      </c>
      <c r="L35" s="223" t="n">
        <f aca="false">IF(J35="",0,(J35/J39)*100)</f>
        <v>58.5227272727273</v>
      </c>
      <c r="M35" s="221" t="n">
        <v>4</v>
      </c>
      <c r="N35" s="224" t="n">
        <v>0</v>
      </c>
      <c r="O35" s="137" t="n">
        <f aca="false">IF(M35=1,1,0)</f>
        <v>0</v>
      </c>
      <c r="P35" s="138" t="n">
        <f aca="false">IF(M35=2,1,0)</f>
        <v>0</v>
      </c>
      <c r="Q35" s="138" t="n">
        <f aca="false">IF(M35=3,1,0)</f>
        <v>0</v>
      </c>
      <c r="R35" s="139" t="n">
        <f aca="false">IF(M35=4,1,0)</f>
        <v>1</v>
      </c>
      <c r="S35" s="140"/>
      <c r="T35" s="122"/>
      <c r="U35" s="77"/>
    </row>
    <row r="36" customFormat="false" ht="20.15" hidden="false" customHeight="true" outlineLevel="0" collapsed="false">
      <c r="B36" s="77"/>
      <c r="C36" s="122"/>
      <c r="D36" s="132"/>
      <c r="E36" s="178" t="s">
        <v>16</v>
      </c>
      <c r="F36" s="148" t="s">
        <v>17</v>
      </c>
      <c r="G36" s="149" t="n">
        <v>1</v>
      </c>
      <c r="H36" s="149" t="s">
        <v>118</v>
      </c>
      <c r="I36" s="149" t="n">
        <v>0</v>
      </c>
      <c r="J36" s="149" t="n">
        <v>176</v>
      </c>
      <c r="K36" s="149" t="s">
        <v>66</v>
      </c>
      <c r="L36" s="150" t="n">
        <f aca="false">IF(J36="",0,(J36/J39)*100)</f>
        <v>100</v>
      </c>
      <c r="M36" s="149" t="n">
        <v>1</v>
      </c>
      <c r="N36" s="151" t="n">
        <v>6</v>
      </c>
      <c r="O36" s="144" t="n">
        <f aca="false">IF(M36=1,1,0)</f>
        <v>1</v>
      </c>
      <c r="P36" s="145" t="n">
        <f aca="false">IF(M36=2,1,0)</f>
        <v>0</v>
      </c>
      <c r="Q36" s="145" t="n">
        <f aca="false">IF(M36=3,1,0)</f>
        <v>0</v>
      </c>
      <c r="R36" s="146" t="n">
        <f aca="false">IF(M36=4,1,0)</f>
        <v>0</v>
      </c>
      <c r="S36" s="140"/>
      <c r="T36" s="122"/>
      <c r="U36" s="77"/>
    </row>
    <row r="37" customFormat="false" ht="20.15" hidden="false" customHeight="true" outlineLevel="0" collapsed="false">
      <c r="B37" s="77"/>
      <c r="C37" s="122"/>
      <c r="D37" s="132"/>
      <c r="E37" s="46" t="s">
        <v>25</v>
      </c>
      <c r="F37" s="96" t="s">
        <v>26</v>
      </c>
      <c r="G37" s="228" t="n">
        <v>3</v>
      </c>
      <c r="H37" s="228" t="s">
        <v>119</v>
      </c>
      <c r="I37" s="228" t="n">
        <v>0</v>
      </c>
      <c r="J37" s="228" t="n">
        <v>117</v>
      </c>
      <c r="K37" s="228" t="s">
        <v>66</v>
      </c>
      <c r="L37" s="229" t="n">
        <f aca="false">IF(J37="",0,(J37/J39)*100)</f>
        <v>66.4772727272727</v>
      </c>
      <c r="M37" s="228" t="n">
        <v>3</v>
      </c>
      <c r="N37" s="230" t="n">
        <v>1</v>
      </c>
      <c r="O37" s="144" t="n">
        <f aca="false">IF(M37=1,1,0)</f>
        <v>0</v>
      </c>
      <c r="P37" s="145" t="n">
        <f aca="false">IF(M37=2,1,0)</f>
        <v>0</v>
      </c>
      <c r="Q37" s="145" t="n">
        <f aca="false">IF(M37=3,1,0)</f>
        <v>1</v>
      </c>
      <c r="R37" s="146" t="n">
        <f aca="false">IF(M37=4,1,0)</f>
        <v>0</v>
      </c>
      <c r="S37" s="140"/>
      <c r="T37" s="122"/>
      <c r="U37" s="77"/>
    </row>
    <row r="38" customFormat="false" ht="20.15" hidden="false" customHeight="true" outlineLevel="0" collapsed="false">
      <c r="B38" s="77"/>
      <c r="C38" s="122"/>
      <c r="D38" s="152"/>
      <c r="E38" s="295" t="s">
        <v>23</v>
      </c>
      <c r="F38" s="386" t="s">
        <v>24</v>
      </c>
      <c r="G38" s="234" t="n">
        <v>4</v>
      </c>
      <c r="H38" s="234" t="s">
        <v>184</v>
      </c>
      <c r="I38" s="234" t="n">
        <v>0</v>
      </c>
      <c r="J38" s="234" t="n">
        <v>158</v>
      </c>
      <c r="K38" s="234" t="s">
        <v>66</v>
      </c>
      <c r="L38" s="381" t="n">
        <f aca="false">IF(J38="",0,(J38/J39)*100)</f>
        <v>89.7727272727273</v>
      </c>
      <c r="M38" s="234" t="n">
        <v>2</v>
      </c>
      <c r="N38" s="236" t="n">
        <v>3</v>
      </c>
      <c r="O38" s="156" t="n">
        <f aca="false">IF(M38=1,1,0)</f>
        <v>0</v>
      </c>
      <c r="P38" s="157" t="n">
        <f aca="false">IF(M38=2,1,0)</f>
        <v>1</v>
      </c>
      <c r="Q38" s="157" t="n">
        <f aca="false">IF(M38=3,1,0)</f>
        <v>0</v>
      </c>
      <c r="R38" s="158" t="n">
        <f aca="false">IF(M38=4,1,0)</f>
        <v>0</v>
      </c>
      <c r="S38" s="140"/>
      <c r="T38" s="122"/>
      <c r="U38" s="77"/>
    </row>
    <row r="39" customFormat="false" ht="20.15" hidden="true" customHeight="true" outlineLevel="1" collapsed="false">
      <c r="B39" s="77"/>
      <c r="C39" s="122"/>
      <c r="D39" s="159"/>
      <c r="E39" s="159"/>
      <c r="F39" s="140"/>
      <c r="G39" s="140"/>
      <c r="H39" s="122"/>
      <c r="I39" s="160" t="s">
        <v>92</v>
      </c>
      <c r="J39" s="161" t="n">
        <f aca="false">MAX(J35:J38)</f>
        <v>176</v>
      </c>
      <c r="K39" s="162"/>
      <c r="L39" s="163"/>
      <c r="M39" s="122"/>
      <c r="N39" s="164" t="s">
        <v>93</v>
      </c>
      <c r="O39" s="165" t="n">
        <f aca="false">SUM(O35:O38)</f>
        <v>1</v>
      </c>
      <c r="P39" s="166" t="n">
        <f aca="false">SUM(P35:P38)</f>
        <v>1</v>
      </c>
      <c r="Q39" s="165" t="n">
        <f aca="false">SUM(Q35:Q38)</f>
        <v>1</v>
      </c>
      <c r="R39" s="165" t="n">
        <f aca="false">SUM(R35:R38)</f>
        <v>1</v>
      </c>
      <c r="S39" s="167"/>
      <c r="T39" s="122"/>
      <c r="U39" s="77"/>
    </row>
    <row r="40" customFormat="false" ht="20.15" hidden="false" customHeight="true" outlineLevel="0" collapsed="false">
      <c r="B40" s="77"/>
      <c r="C40" s="122"/>
      <c r="D40" s="168"/>
      <c r="E40" s="168"/>
      <c r="F40" s="169"/>
      <c r="G40" s="169"/>
      <c r="H40" s="124"/>
      <c r="I40" s="122"/>
      <c r="J40" s="122"/>
      <c r="K40" s="122"/>
      <c r="L40" s="122"/>
      <c r="M40" s="122"/>
      <c r="N40" s="122"/>
      <c r="O40" s="122"/>
      <c r="P40" s="122"/>
      <c r="Q40" s="122"/>
      <c r="R40" s="122"/>
      <c r="S40" s="122"/>
      <c r="T40" s="122"/>
      <c r="U40" s="77"/>
    </row>
    <row r="41" customFormat="false" ht="20.15" hidden="false" customHeight="true" outlineLevel="0" collapsed="false">
      <c r="B41" s="77"/>
      <c r="U41" s="77"/>
    </row>
    <row r="42" customFormat="false" ht="20.15" hidden="false" customHeight="true" outlineLevel="0" collapsed="false">
      <c r="B42" s="77"/>
      <c r="C42" s="170"/>
      <c r="D42" s="170"/>
      <c r="E42" s="171" t="str">
        <f aca="false">IF(OR(M29="-",M29= ""),H29,M29)</f>
        <v>Res Arcana</v>
      </c>
      <c r="F42" s="171"/>
      <c r="G42" s="171"/>
      <c r="H42" s="171"/>
      <c r="I42" s="171"/>
      <c r="J42" s="171"/>
      <c r="K42" s="171"/>
      <c r="L42" s="171"/>
      <c r="M42" s="171"/>
      <c r="N42" s="171"/>
      <c r="O42" s="172"/>
      <c r="P42" s="172"/>
      <c r="Q42" s="172"/>
      <c r="R42" s="172"/>
      <c r="S42" s="172"/>
      <c r="T42" s="170"/>
      <c r="U42" s="77"/>
    </row>
    <row r="43" customFormat="false" ht="50.15" hidden="false" customHeight="true" outlineLevel="0" collapsed="false">
      <c r="B43" s="77"/>
      <c r="C43" s="170"/>
      <c r="D43" s="172"/>
      <c r="E43" s="125" t="s">
        <v>52</v>
      </c>
      <c r="F43" s="126" t="s">
        <v>75</v>
      </c>
      <c r="G43" s="82" t="s">
        <v>76</v>
      </c>
      <c r="H43" s="81" t="s">
        <v>77</v>
      </c>
      <c r="I43" s="59" t="s">
        <v>78</v>
      </c>
      <c r="J43" s="81" t="s">
        <v>79</v>
      </c>
      <c r="K43" s="127" t="s">
        <v>80</v>
      </c>
      <c r="L43" s="81" t="s">
        <v>81</v>
      </c>
      <c r="M43" s="128" t="s">
        <v>82</v>
      </c>
      <c r="N43" s="129" t="s">
        <v>83</v>
      </c>
      <c r="O43" s="130" t="s">
        <v>84</v>
      </c>
      <c r="P43" s="131" t="s">
        <v>85</v>
      </c>
      <c r="Q43" s="131" t="s">
        <v>86</v>
      </c>
      <c r="R43" s="131" t="s">
        <v>87</v>
      </c>
      <c r="S43" s="172"/>
      <c r="T43" s="170"/>
      <c r="U43" s="77"/>
    </row>
    <row r="44" customFormat="false" ht="20.15" hidden="false" customHeight="true" outlineLevel="0" collapsed="false">
      <c r="B44" s="77"/>
      <c r="C44" s="170"/>
      <c r="D44" s="173"/>
      <c r="E44" s="86" t="s">
        <v>19</v>
      </c>
      <c r="F44" s="372" t="s">
        <v>20</v>
      </c>
      <c r="G44" s="221" t="n">
        <v>4</v>
      </c>
      <c r="H44" s="222" t="s">
        <v>213</v>
      </c>
      <c r="I44" s="221" t="n">
        <v>0</v>
      </c>
      <c r="J44" s="222" t="n">
        <v>3</v>
      </c>
      <c r="K44" s="222" t="s">
        <v>66</v>
      </c>
      <c r="L44" s="223" t="n">
        <f aca="false">IF(J44="",0,(J44/J48)*100)</f>
        <v>27.2727272727273</v>
      </c>
      <c r="M44" s="221" t="n">
        <v>4</v>
      </c>
      <c r="N44" s="224" t="n">
        <v>0</v>
      </c>
      <c r="O44" s="137" t="n">
        <f aca="false">IF(M44=1,1,0)</f>
        <v>0</v>
      </c>
      <c r="P44" s="138" t="n">
        <f aca="false">IF(M44=2,1,0)</f>
        <v>0</v>
      </c>
      <c r="Q44" s="138" t="n">
        <f aca="false">IF(M44=3,1,0)</f>
        <v>0</v>
      </c>
      <c r="R44" s="139" t="n">
        <f aca="false">IF(M44=4,1,0)</f>
        <v>1</v>
      </c>
      <c r="S44" s="176"/>
      <c r="T44" s="170"/>
      <c r="U44" s="77"/>
    </row>
    <row r="45" customFormat="false" ht="20.15" hidden="false" customHeight="true" outlineLevel="0" collapsed="false">
      <c r="B45" s="77"/>
      <c r="C45" s="170"/>
      <c r="D45" s="177"/>
      <c r="E45" s="46" t="s">
        <v>16</v>
      </c>
      <c r="F45" s="96" t="s">
        <v>17</v>
      </c>
      <c r="G45" s="228" t="n">
        <v>2</v>
      </c>
      <c r="H45" s="317" t="s">
        <v>214</v>
      </c>
      <c r="I45" s="228" t="n">
        <v>0</v>
      </c>
      <c r="J45" s="317" t="n">
        <v>10</v>
      </c>
      <c r="K45" s="317" t="s">
        <v>66</v>
      </c>
      <c r="L45" s="229" t="n">
        <f aca="false">IF(J45="",0,(J45/J48)*100)</f>
        <v>90.9090909090909</v>
      </c>
      <c r="M45" s="228" t="n">
        <v>2</v>
      </c>
      <c r="N45" s="230" t="n">
        <v>3</v>
      </c>
      <c r="O45" s="144" t="n">
        <f aca="false">IF(M45=1,1,0)</f>
        <v>0</v>
      </c>
      <c r="P45" s="145" t="n">
        <f aca="false">IF(M45=2,1,0)</f>
        <v>1</v>
      </c>
      <c r="Q45" s="145" t="n">
        <f aca="false">IF(M45=3,1,0)</f>
        <v>0</v>
      </c>
      <c r="R45" s="146" t="n">
        <f aca="false">IF(M45=4,1,0)</f>
        <v>0</v>
      </c>
      <c r="S45" s="176"/>
      <c r="T45" s="170"/>
      <c r="U45" s="77"/>
    </row>
    <row r="46" customFormat="false" ht="20.15" hidden="false" customHeight="true" outlineLevel="0" collapsed="false">
      <c r="B46" s="77"/>
      <c r="C46" s="170"/>
      <c r="D46" s="173"/>
      <c r="E46" s="178" t="s">
        <v>25</v>
      </c>
      <c r="F46" s="148" t="s">
        <v>26</v>
      </c>
      <c r="G46" s="149" t="n">
        <v>1</v>
      </c>
      <c r="H46" s="179" t="s">
        <v>215</v>
      </c>
      <c r="I46" s="149" t="n">
        <v>0</v>
      </c>
      <c r="J46" s="179" t="n">
        <v>11</v>
      </c>
      <c r="K46" s="179" t="s">
        <v>66</v>
      </c>
      <c r="L46" s="150" t="n">
        <f aca="false">IF(J46="",0,(J46/J48)*100)</f>
        <v>100</v>
      </c>
      <c r="M46" s="149" t="n">
        <v>1</v>
      </c>
      <c r="N46" s="151" t="n">
        <v>6</v>
      </c>
      <c r="O46" s="144" t="n">
        <f aca="false">IF(M46=1,1,0)</f>
        <v>1</v>
      </c>
      <c r="P46" s="145" t="n">
        <f aca="false">IF(M46=2,1,0)</f>
        <v>0</v>
      </c>
      <c r="Q46" s="145" t="n">
        <f aca="false">IF(M46=3,1,0)</f>
        <v>0</v>
      </c>
      <c r="R46" s="146" t="n">
        <f aca="false">IF(M46=4,1,0)</f>
        <v>0</v>
      </c>
      <c r="S46" s="176"/>
      <c r="T46" s="170"/>
      <c r="U46" s="77"/>
    </row>
    <row r="47" customFormat="false" ht="20.15" hidden="false" customHeight="true" outlineLevel="0" collapsed="false">
      <c r="B47" s="77"/>
      <c r="C47" s="170"/>
      <c r="D47" s="173"/>
      <c r="E47" s="295" t="s">
        <v>23</v>
      </c>
      <c r="F47" s="386" t="s">
        <v>24</v>
      </c>
      <c r="G47" s="234" t="n">
        <v>3</v>
      </c>
      <c r="H47" s="308" t="s">
        <v>216</v>
      </c>
      <c r="I47" s="234" t="n">
        <v>0</v>
      </c>
      <c r="J47" s="308" t="n">
        <v>7</v>
      </c>
      <c r="K47" s="234" t="s">
        <v>66</v>
      </c>
      <c r="L47" s="235" t="n">
        <f aca="false">IF(J47="",0,(J47/J48)*100)</f>
        <v>63.6363636363636</v>
      </c>
      <c r="M47" s="234" t="n">
        <v>3</v>
      </c>
      <c r="N47" s="236" t="n">
        <v>1</v>
      </c>
      <c r="O47" s="156" t="n">
        <f aca="false">IF(M47=1,1,0)</f>
        <v>0</v>
      </c>
      <c r="P47" s="157" t="n">
        <f aca="false">IF(M47=2,1,0)</f>
        <v>0</v>
      </c>
      <c r="Q47" s="157" t="n">
        <f aca="false">IF(M47=3,1,0)</f>
        <v>1</v>
      </c>
      <c r="R47" s="158" t="n">
        <f aca="false">IF(M47=4,1,0)</f>
        <v>0</v>
      </c>
      <c r="S47" s="176"/>
      <c r="T47" s="170"/>
      <c r="U47" s="77"/>
    </row>
    <row r="48" customFormat="false" ht="20.15" hidden="true" customHeight="true" outlineLevel="1" collapsed="false">
      <c r="B48" s="77"/>
      <c r="C48" s="170"/>
      <c r="D48" s="173"/>
      <c r="E48" s="173"/>
      <c r="F48" s="172"/>
      <c r="G48" s="172"/>
      <c r="H48" s="170"/>
      <c r="I48" s="185" t="s">
        <v>92</v>
      </c>
      <c r="J48" s="161" t="n">
        <f aca="false">MAX(J44:J47)</f>
        <v>11</v>
      </c>
      <c r="K48" s="186"/>
      <c r="L48" s="176"/>
      <c r="M48" s="170"/>
      <c r="N48" s="164" t="s">
        <v>93</v>
      </c>
      <c r="O48" s="165" t="n">
        <f aca="false">SUM(O44:O47)</f>
        <v>1</v>
      </c>
      <c r="P48" s="166" t="n">
        <f aca="false">SUM(P44:P47)</f>
        <v>1</v>
      </c>
      <c r="Q48" s="165" t="n">
        <f aca="false">SUM(Q44:Q47)</f>
        <v>1</v>
      </c>
      <c r="R48" s="187" t="n">
        <f aca="false">SUM(R44:R47)</f>
        <v>1</v>
      </c>
      <c r="S48" s="188"/>
      <c r="T48" s="170"/>
      <c r="U48" s="77"/>
    </row>
    <row r="49" customFormat="false" ht="20.15" hidden="false" customHeight="true" outlineLevel="0" collapsed="false">
      <c r="B49" s="77"/>
      <c r="C49" s="170"/>
      <c r="D49" s="189"/>
      <c r="E49" s="189"/>
      <c r="F49" s="170"/>
      <c r="G49" s="170"/>
      <c r="H49" s="170"/>
      <c r="I49" s="170"/>
      <c r="J49" s="170"/>
      <c r="K49" s="170"/>
      <c r="L49" s="170"/>
      <c r="M49" s="170"/>
      <c r="N49" s="170"/>
      <c r="O49" s="170"/>
      <c r="P49" s="170"/>
      <c r="Q49" s="170"/>
      <c r="R49" s="170"/>
      <c r="S49" s="170"/>
      <c r="T49" s="170"/>
      <c r="U49" s="77"/>
    </row>
    <row r="50" customFormat="false" ht="20.15" hidden="false" customHeight="true" outlineLevel="0" collapsed="false">
      <c r="B50" s="77"/>
      <c r="D50" s="190"/>
      <c r="E50" s="190"/>
      <c r="F50" s="190"/>
      <c r="G50" s="190"/>
      <c r="H50" s="191"/>
      <c r="I50" s="190"/>
      <c r="J50" s="190"/>
      <c r="K50" s="14"/>
      <c r="L50" s="14"/>
      <c r="M50" s="14"/>
      <c r="N50" s="14"/>
      <c r="O50" s="14"/>
      <c r="P50" s="14"/>
      <c r="Q50" s="14"/>
      <c r="R50" s="14"/>
      <c r="S50" s="14"/>
      <c r="U50" s="77"/>
    </row>
    <row r="51" customFormat="false" ht="20.15" hidden="false" customHeight="true" outlineLevel="0" collapsed="false">
      <c r="B51" s="77"/>
      <c r="C51" s="192"/>
      <c r="D51" s="192"/>
      <c r="E51" s="193" t="str">
        <f aca="false">IF(OR(M30="-",M30= ""),H30,M30)</f>
        <v>Orakel von Delphi</v>
      </c>
      <c r="F51" s="193"/>
      <c r="G51" s="193"/>
      <c r="H51" s="193"/>
      <c r="I51" s="193"/>
      <c r="J51" s="193"/>
      <c r="K51" s="193"/>
      <c r="L51" s="193"/>
      <c r="M51" s="193"/>
      <c r="N51" s="193"/>
      <c r="O51" s="194"/>
      <c r="P51" s="194"/>
      <c r="Q51" s="194"/>
      <c r="R51" s="194"/>
      <c r="S51" s="194"/>
      <c r="T51" s="192"/>
      <c r="U51" s="195"/>
      <c r="V51" s="196"/>
      <c r="W51" s="196"/>
    </row>
    <row r="52" customFormat="false" ht="50.15" hidden="false" customHeight="true" outlineLevel="0" collapsed="false">
      <c r="B52" s="77"/>
      <c r="C52" s="192"/>
      <c r="D52" s="194"/>
      <c r="E52" s="125" t="s">
        <v>52</v>
      </c>
      <c r="F52" s="126" t="s">
        <v>75</v>
      </c>
      <c r="G52" s="82" t="s">
        <v>76</v>
      </c>
      <c r="H52" s="81" t="s">
        <v>77</v>
      </c>
      <c r="I52" s="59" t="s">
        <v>78</v>
      </c>
      <c r="J52" s="81" t="s">
        <v>79</v>
      </c>
      <c r="K52" s="127" t="s">
        <v>80</v>
      </c>
      <c r="L52" s="81" t="s">
        <v>81</v>
      </c>
      <c r="M52" s="128" t="s">
        <v>82</v>
      </c>
      <c r="N52" s="129" t="s">
        <v>83</v>
      </c>
      <c r="O52" s="130" t="s">
        <v>84</v>
      </c>
      <c r="P52" s="131" t="s">
        <v>85</v>
      </c>
      <c r="Q52" s="131" t="s">
        <v>86</v>
      </c>
      <c r="R52" s="197" t="s">
        <v>87</v>
      </c>
      <c r="S52" s="194"/>
      <c r="T52" s="192"/>
      <c r="U52" s="195"/>
      <c r="V52" s="196"/>
      <c r="W52" s="196"/>
    </row>
    <row r="53" customFormat="false" ht="125.15" hidden="false" customHeight="true" outlineLevel="0" collapsed="false">
      <c r="B53" s="77"/>
      <c r="C53" s="192"/>
      <c r="D53" s="198"/>
      <c r="E53" s="199" t="s">
        <v>19</v>
      </c>
      <c r="F53" s="380" t="s">
        <v>20</v>
      </c>
      <c r="G53" s="201" t="n">
        <v>1</v>
      </c>
      <c r="H53" s="202" t="s">
        <v>217</v>
      </c>
      <c r="I53" s="201" t="s">
        <v>66</v>
      </c>
      <c r="J53" s="423" t="s">
        <v>125</v>
      </c>
      <c r="K53" s="201" t="s">
        <v>66</v>
      </c>
      <c r="L53" s="204" t="n">
        <v>100</v>
      </c>
      <c r="M53" s="201" t="n">
        <v>1</v>
      </c>
      <c r="N53" s="205" t="n">
        <v>6</v>
      </c>
      <c r="O53" s="137" t="n">
        <f aca="false">IF(M53=1,1,0)</f>
        <v>1</v>
      </c>
      <c r="P53" s="138" t="n">
        <f aca="false">IF(M53=2,1,0)</f>
        <v>0</v>
      </c>
      <c r="Q53" s="138" t="n">
        <f aca="false">IF(M53=3,1,0)</f>
        <v>0</v>
      </c>
      <c r="R53" s="139" t="n">
        <f aca="false">IF(M53=4,1,0)</f>
        <v>0</v>
      </c>
      <c r="S53" s="206"/>
      <c r="T53" s="192"/>
      <c r="U53" s="207"/>
      <c r="V53" s="121"/>
      <c r="W53" s="121"/>
    </row>
    <row r="54" customFormat="false" ht="80.15" hidden="false" customHeight="true" outlineLevel="0" collapsed="false">
      <c r="B54" s="77"/>
      <c r="C54" s="192"/>
      <c r="D54" s="208"/>
      <c r="E54" s="46" t="s">
        <v>16</v>
      </c>
      <c r="F54" s="96" t="s">
        <v>17</v>
      </c>
      <c r="G54" s="228" t="n">
        <v>2</v>
      </c>
      <c r="H54" s="317" t="s">
        <v>218</v>
      </c>
      <c r="I54" s="228" t="s">
        <v>66</v>
      </c>
      <c r="J54" s="424" t="s">
        <v>219</v>
      </c>
      <c r="K54" s="228" t="s">
        <v>66</v>
      </c>
      <c r="L54" s="229" t="n">
        <f aca="false">(L35+L44+L62)/3</f>
        <v>46.3289813023856</v>
      </c>
      <c r="M54" s="228" t="n">
        <v>4</v>
      </c>
      <c r="N54" s="230" t="n">
        <v>0</v>
      </c>
      <c r="O54" s="144" t="n">
        <f aca="false">IF(M54=1,1,0)</f>
        <v>0</v>
      </c>
      <c r="P54" s="145" t="n">
        <f aca="false">IF(M54=2,1,0)</f>
        <v>0</v>
      </c>
      <c r="Q54" s="145" t="n">
        <f aca="false">IF(M54=3,1,0)</f>
        <v>0</v>
      </c>
      <c r="R54" s="146" t="n">
        <f aca="false">IF(M54=4,1,0)</f>
        <v>1</v>
      </c>
      <c r="S54" s="206"/>
      <c r="T54" s="192"/>
      <c r="U54" s="211"/>
      <c r="V54" s="121"/>
      <c r="W54" s="121"/>
    </row>
    <row r="55" customFormat="false" ht="185.15" hidden="false" customHeight="true" outlineLevel="0" collapsed="false">
      <c r="B55" s="77"/>
      <c r="C55" s="192"/>
      <c r="D55" s="198"/>
      <c r="E55" s="46" t="s">
        <v>25</v>
      </c>
      <c r="F55" s="96" t="s">
        <v>26</v>
      </c>
      <c r="G55" s="228" t="n">
        <v>4</v>
      </c>
      <c r="H55" s="317" t="s">
        <v>127</v>
      </c>
      <c r="I55" s="228" t="s">
        <v>66</v>
      </c>
      <c r="J55" s="424" t="s">
        <v>122</v>
      </c>
      <c r="K55" s="317" t="s">
        <v>220</v>
      </c>
      <c r="L55" s="229" t="n">
        <f aca="false">(L38+L45+L64)/3</f>
        <v>88.5960670535139</v>
      </c>
      <c r="M55" s="228" t="n">
        <v>2</v>
      </c>
      <c r="N55" s="230" t="n">
        <v>3</v>
      </c>
      <c r="O55" s="144" t="n">
        <f aca="false">IF(M55=1,1,0)</f>
        <v>0</v>
      </c>
      <c r="P55" s="145" t="n">
        <f aca="false">IF(M55=2,1,0)</f>
        <v>1</v>
      </c>
      <c r="Q55" s="145" t="n">
        <f aca="false">IF(M55=3,1,0)</f>
        <v>0</v>
      </c>
      <c r="R55" s="146" t="n">
        <f aca="false">IF(M55=4,1,0)</f>
        <v>0</v>
      </c>
      <c r="S55" s="206"/>
      <c r="T55" s="192"/>
      <c r="U55" s="211"/>
      <c r="V55" s="121"/>
      <c r="W55" s="121"/>
    </row>
    <row r="56" customFormat="false" ht="65.15" hidden="false" customHeight="true" outlineLevel="0" collapsed="false">
      <c r="B56" s="77"/>
      <c r="C56" s="192"/>
      <c r="D56" s="198"/>
      <c r="E56" s="295" t="s">
        <v>23</v>
      </c>
      <c r="F56" s="386" t="s">
        <v>24</v>
      </c>
      <c r="G56" s="234" t="n">
        <v>3</v>
      </c>
      <c r="H56" s="308" t="s">
        <v>221</v>
      </c>
      <c r="I56" s="234" t="s">
        <v>66</v>
      </c>
      <c r="J56" s="425" t="s">
        <v>122</v>
      </c>
      <c r="K56" s="308" t="s">
        <v>222</v>
      </c>
      <c r="L56" s="381" t="n">
        <f aca="false">(L37+L47+L65)/3</f>
        <v>70.3215667311412</v>
      </c>
      <c r="M56" s="234" t="n">
        <v>3</v>
      </c>
      <c r="N56" s="236" t="n">
        <v>1</v>
      </c>
      <c r="O56" s="156" t="n">
        <f aca="false">IF(M56=1,1,0)</f>
        <v>0</v>
      </c>
      <c r="P56" s="157" t="n">
        <f aca="false">IF(M56=2,1,0)</f>
        <v>0</v>
      </c>
      <c r="Q56" s="157" t="n">
        <f aca="false">IF(M56=3,1,0)</f>
        <v>1</v>
      </c>
      <c r="R56" s="158" t="n">
        <f aca="false">IF(M56=4,1,0)</f>
        <v>0</v>
      </c>
      <c r="S56" s="206"/>
      <c r="T56" s="192"/>
      <c r="U56" s="211"/>
      <c r="V56" s="121"/>
      <c r="W56" s="121"/>
    </row>
    <row r="57" customFormat="false" ht="20.15" hidden="true" customHeight="true" outlineLevel="1" collapsed="false">
      <c r="B57" s="77"/>
      <c r="C57" s="192"/>
      <c r="D57" s="198"/>
      <c r="E57" s="198"/>
      <c r="F57" s="206"/>
      <c r="G57" s="206"/>
      <c r="H57" s="192"/>
      <c r="I57" s="213" t="s">
        <v>92</v>
      </c>
      <c r="J57" s="161" t="n">
        <f aca="false">MAX(J53:J56)</f>
        <v>0</v>
      </c>
      <c r="K57" s="214"/>
      <c r="L57" s="206"/>
      <c r="M57" s="192"/>
      <c r="N57" s="164" t="s">
        <v>93</v>
      </c>
      <c r="O57" s="165" t="n">
        <f aca="false">SUM(O53:O56)</f>
        <v>1</v>
      </c>
      <c r="P57" s="166" t="n">
        <f aca="false">SUM(P53:P56)</f>
        <v>1</v>
      </c>
      <c r="Q57" s="165" t="n">
        <f aca="false">SUM(Q53:Q56)</f>
        <v>1</v>
      </c>
      <c r="R57" s="187" t="n">
        <f aca="false">SUM(R53:R56)</f>
        <v>1</v>
      </c>
      <c r="S57" s="215"/>
      <c r="T57" s="192"/>
      <c r="U57" s="211"/>
      <c r="V57" s="121"/>
      <c r="W57" s="121"/>
    </row>
    <row r="58" customFormat="false" ht="20.15" hidden="false" customHeight="true" outlineLevel="0" collapsed="false">
      <c r="B58" s="77"/>
      <c r="C58" s="192"/>
      <c r="D58" s="216"/>
      <c r="E58" s="216"/>
      <c r="F58" s="192"/>
      <c r="G58" s="192"/>
      <c r="H58" s="192"/>
      <c r="I58" s="192"/>
      <c r="J58" s="192"/>
      <c r="K58" s="192"/>
      <c r="L58" s="192"/>
      <c r="M58" s="192"/>
      <c r="N58" s="192"/>
      <c r="O58" s="192"/>
      <c r="P58" s="192"/>
      <c r="Q58" s="192"/>
      <c r="R58" s="192"/>
      <c r="S58" s="192"/>
      <c r="T58" s="192"/>
      <c r="U58" s="211"/>
      <c r="V58" s="121"/>
      <c r="W58" s="121"/>
    </row>
    <row r="59" customFormat="false" ht="20.15" hidden="false" customHeight="true" outlineLevel="0" collapsed="false">
      <c r="B59" s="77"/>
      <c r="D59" s="190"/>
      <c r="E59" s="190"/>
      <c r="F59" s="190"/>
      <c r="G59" s="190"/>
      <c r="H59" s="191"/>
      <c r="I59" s="190"/>
      <c r="J59" s="190"/>
      <c r="K59" s="190"/>
      <c r="L59" s="14"/>
      <c r="M59" s="14"/>
      <c r="N59" s="14"/>
      <c r="O59" s="14"/>
      <c r="P59" s="14"/>
      <c r="Q59" s="14"/>
      <c r="R59" s="14"/>
      <c r="S59" s="14"/>
      <c r="U59" s="207"/>
      <c r="V59" s="121"/>
      <c r="W59" s="121"/>
    </row>
    <row r="60" customFormat="false" ht="20.15" hidden="false" customHeight="true" outlineLevel="0" collapsed="false">
      <c r="B60" s="77"/>
      <c r="C60" s="217"/>
      <c r="D60" s="217"/>
      <c r="E60" s="218" t="str">
        <f aca="false">IF(OR(M31="-",M31= ""),H31,M31)</f>
        <v>Race for the Galaxy</v>
      </c>
      <c r="F60" s="218"/>
      <c r="G60" s="218"/>
      <c r="H60" s="218"/>
      <c r="I60" s="218"/>
      <c r="J60" s="218"/>
      <c r="K60" s="218"/>
      <c r="L60" s="218"/>
      <c r="M60" s="218"/>
      <c r="N60" s="218"/>
      <c r="O60" s="219"/>
      <c r="P60" s="219"/>
      <c r="Q60" s="219"/>
      <c r="R60" s="219"/>
      <c r="S60" s="219"/>
      <c r="T60" s="217"/>
      <c r="U60" s="77"/>
    </row>
    <row r="61" customFormat="false" ht="50.15" hidden="false" customHeight="true" outlineLevel="0" collapsed="false">
      <c r="B61" s="77"/>
      <c r="C61" s="217"/>
      <c r="D61" s="219"/>
      <c r="E61" s="125" t="s">
        <v>52</v>
      </c>
      <c r="F61" s="126" t="s">
        <v>75</v>
      </c>
      <c r="G61" s="82" t="s">
        <v>76</v>
      </c>
      <c r="H61" s="81" t="s">
        <v>77</v>
      </c>
      <c r="I61" s="59" t="s">
        <v>78</v>
      </c>
      <c r="J61" s="81" t="s">
        <v>79</v>
      </c>
      <c r="K61" s="127" t="s">
        <v>80</v>
      </c>
      <c r="L61" s="81" t="s">
        <v>81</v>
      </c>
      <c r="M61" s="128" t="s">
        <v>82</v>
      </c>
      <c r="N61" s="129" t="s">
        <v>83</v>
      </c>
      <c r="O61" s="130" t="s">
        <v>84</v>
      </c>
      <c r="P61" s="131" t="s">
        <v>85</v>
      </c>
      <c r="Q61" s="131" t="s">
        <v>86</v>
      </c>
      <c r="R61" s="197" t="s">
        <v>87</v>
      </c>
      <c r="S61" s="219"/>
      <c r="T61" s="217"/>
      <c r="U61" s="77"/>
    </row>
    <row r="62" customFormat="false" ht="35.15" hidden="false" customHeight="true" outlineLevel="0" collapsed="false">
      <c r="B62" s="77"/>
      <c r="C62" s="217"/>
      <c r="D62" s="220"/>
      <c r="E62" s="86" t="s">
        <v>19</v>
      </c>
      <c r="F62" s="372" t="s">
        <v>20</v>
      </c>
      <c r="G62" s="221" t="s">
        <v>66</v>
      </c>
      <c r="H62" s="222" t="s">
        <v>223</v>
      </c>
      <c r="I62" s="221" t="n">
        <v>1</v>
      </c>
      <c r="J62" s="221" t="n">
        <v>25</v>
      </c>
      <c r="K62" s="221" t="s">
        <v>66</v>
      </c>
      <c r="L62" s="223" t="n">
        <f aca="false">IF(J62="",0,(J62/J66)*100)</f>
        <v>53.1914893617021</v>
      </c>
      <c r="M62" s="221" t="n">
        <v>4</v>
      </c>
      <c r="N62" s="224" t="n">
        <v>0</v>
      </c>
      <c r="O62" s="137" t="n">
        <f aca="false">IF(M62=1,1,0)</f>
        <v>0</v>
      </c>
      <c r="P62" s="138" t="n">
        <f aca="false">IF(M62=2,1,0)</f>
        <v>0</v>
      </c>
      <c r="Q62" s="138" t="n">
        <f aca="false">IF(M62=3,1,0)</f>
        <v>0</v>
      </c>
      <c r="R62" s="139" t="n">
        <f aca="false">IF(M62=4,1,0)</f>
        <v>1</v>
      </c>
      <c r="S62" s="225"/>
      <c r="T62" s="217"/>
      <c r="U62" s="77"/>
    </row>
    <row r="63" customFormat="false" ht="50.15" hidden="false" customHeight="true" outlineLevel="0" collapsed="false">
      <c r="B63" s="77"/>
      <c r="C63" s="217"/>
      <c r="D63" s="220"/>
      <c r="E63" s="178" t="s">
        <v>16</v>
      </c>
      <c r="F63" s="148" t="s">
        <v>17</v>
      </c>
      <c r="G63" s="149" t="s">
        <v>66</v>
      </c>
      <c r="H63" s="179" t="s">
        <v>224</v>
      </c>
      <c r="I63" s="149" t="n">
        <v>0</v>
      </c>
      <c r="J63" s="149" t="n">
        <v>47</v>
      </c>
      <c r="K63" s="149" t="s">
        <v>66</v>
      </c>
      <c r="L63" s="150" t="n">
        <f aca="false">IF(J63="",0,(J63/J66)*100)</f>
        <v>100</v>
      </c>
      <c r="M63" s="149" t="n">
        <v>1</v>
      </c>
      <c r="N63" s="151" t="n">
        <v>6</v>
      </c>
      <c r="O63" s="144" t="n">
        <f aca="false">IF(M63=1,1,0)</f>
        <v>1</v>
      </c>
      <c r="P63" s="145" t="n">
        <f aca="false">IF(M63=2,1,0)</f>
        <v>0</v>
      </c>
      <c r="Q63" s="145" t="n">
        <f aca="false">IF(M63=3,1,0)</f>
        <v>0</v>
      </c>
      <c r="R63" s="146" t="n">
        <f aca="false">IF(M63=4,1,0)</f>
        <v>0</v>
      </c>
      <c r="S63" s="225"/>
      <c r="T63" s="217"/>
      <c r="U63" s="77"/>
    </row>
    <row r="64" customFormat="false" ht="35.15" hidden="false" customHeight="true" outlineLevel="0" collapsed="false">
      <c r="B64" s="77"/>
      <c r="C64" s="217"/>
      <c r="D64" s="220"/>
      <c r="E64" s="46" t="s">
        <v>25</v>
      </c>
      <c r="F64" s="96" t="s">
        <v>26</v>
      </c>
      <c r="G64" s="228" t="s">
        <v>66</v>
      </c>
      <c r="H64" s="317" t="s">
        <v>225</v>
      </c>
      <c r="I64" s="228" t="n">
        <v>2</v>
      </c>
      <c r="J64" s="228" t="n">
        <v>40</v>
      </c>
      <c r="K64" s="228" t="s">
        <v>66</v>
      </c>
      <c r="L64" s="229" t="n">
        <f aca="false">IF(J64="",0,(J64/J66)*100)</f>
        <v>85.1063829787234</v>
      </c>
      <c r="M64" s="228" t="n">
        <v>2</v>
      </c>
      <c r="N64" s="230" t="n">
        <v>3</v>
      </c>
      <c r="O64" s="144" t="n">
        <f aca="false">IF(M64=1,1,0)</f>
        <v>0</v>
      </c>
      <c r="P64" s="145" t="n">
        <f aca="false">IF(M64=2,1,0)</f>
        <v>1</v>
      </c>
      <c r="Q64" s="145" t="n">
        <f aca="false">IF(M64=3,1,0)</f>
        <v>0</v>
      </c>
      <c r="R64" s="146" t="n">
        <f aca="false">IF(M64=4,1,0)</f>
        <v>0</v>
      </c>
      <c r="S64" s="225"/>
      <c r="T64" s="217"/>
      <c r="U64" s="77"/>
    </row>
    <row r="65" customFormat="false" ht="35.15" hidden="false" customHeight="true" outlineLevel="0" collapsed="false">
      <c r="B65" s="77"/>
      <c r="C65" s="217"/>
      <c r="D65" s="231"/>
      <c r="E65" s="295" t="s">
        <v>23</v>
      </c>
      <c r="F65" s="386" t="s">
        <v>24</v>
      </c>
      <c r="G65" s="234" t="s">
        <v>66</v>
      </c>
      <c r="H65" s="308" t="s">
        <v>226</v>
      </c>
      <c r="I65" s="234" t="n">
        <v>1</v>
      </c>
      <c r="J65" s="234" t="n">
        <v>38</v>
      </c>
      <c r="K65" s="234" t="s">
        <v>66</v>
      </c>
      <c r="L65" s="235" t="n">
        <f aca="false">IF(J65="",0,(J65/J66)*100)</f>
        <v>80.8510638297872</v>
      </c>
      <c r="M65" s="234" t="n">
        <v>3</v>
      </c>
      <c r="N65" s="236" t="n">
        <v>1</v>
      </c>
      <c r="O65" s="156" t="n">
        <f aca="false">IF(M65=1,1,0)</f>
        <v>0</v>
      </c>
      <c r="P65" s="157" t="n">
        <f aca="false">IF(M65=2,1,0)</f>
        <v>0</v>
      </c>
      <c r="Q65" s="157" t="n">
        <f aca="false">IF(M65=3,1,0)</f>
        <v>1</v>
      </c>
      <c r="R65" s="158" t="n">
        <f aca="false">IF(M65=4,1,0)</f>
        <v>0</v>
      </c>
      <c r="S65" s="225"/>
      <c r="T65" s="217"/>
      <c r="U65" s="77"/>
    </row>
    <row r="66" customFormat="false" ht="20.15" hidden="true" customHeight="true" outlineLevel="1" collapsed="false">
      <c r="B66" s="77"/>
      <c r="C66" s="217"/>
      <c r="D66" s="220"/>
      <c r="E66" s="220"/>
      <c r="F66" s="225"/>
      <c r="G66" s="225"/>
      <c r="H66" s="217"/>
      <c r="I66" s="185" t="s">
        <v>92</v>
      </c>
      <c r="J66" s="161" t="n">
        <f aca="false">MAX(J62:J65)</f>
        <v>47</v>
      </c>
      <c r="K66" s="237"/>
      <c r="L66" s="225"/>
      <c r="M66" s="217"/>
      <c r="N66" s="164" t="s">
        <v>93</v>
      </c>
      <c r="O66" s="165" t="n">
        <f aca="false">SUM(O62:O65)</f>
        <v>1</v>
      </c>
      <c r="P66" s="166" t="n">
        <f aca="false">SUM(P62:P65)</f>
        <v>1</v>
      </c>
      <c r="Q66" s="165" t="n">
        <f aca="false">SUM(Q62:Q65)</f>
        <v>1</v>
      </c>
      <c r="R66" s="187" t="n">
        <f aca="false">SUM(R62:R65)</f>
        <v>1</v>
      </c>
      <c r="S66" s="238"/>
      <c r="T66" s="217"/>
      <c r="U66" s="77"/>
    </row>
    <row r="67" customFormat="false" ht="20.15" hidden="false" customHeight="true" outlineLevel="0" collapsed="false">
      <c r="B67" s="77"/>
      <c r="C67" s="217"/>
      <c r="D67" s="239"/>
      <c r="E67" s="239"/>
      <c r="F67" s="217"/>
      <c r="G67" s="217"/>
      <c r="H67" s="217"/>
      <c r="I67" s="217"/>
      <c r="J67" s="217"/>
      <c r="K67" s="217"/>
      <c r="L67" s="217"/>
      <c r="M67" s="217"/>
      <c r="N67" s="217"/>
      <c r="O67" s="217"/>
      <c r="P67" s="217"/>
      <c r="Q67" s="217"/>
      <c r="R67" s="217"/>
      <c r="S67" s="217"/>
      <c r="T67" s="217"/>
      <c r="U67" s="77"/>
    </row>
    <row r="68" customFormat="false" ht="20.15" hidden="false" customHeight="true" outlineLevel="0" collapsed="false">
      <c r="B68" s="77"/>
      <c r="D68" s="5"/>
      <c r="E68" s="5"/>
      <c r="F68" s="5"/>
      <c r="G68" s="5"/>
      <c r="H68" s="5"/>
      <c r="I68" s="5"/>
      <c r="J68" s="5"/>
      <c r="K68" s="14"/>
      <c r="L68" s="14"/>
      <c r="M68" s="14"/>
      <c r="N68" s="14"/>
      <c r="O68" s="14"/>
      <c r="P68" s="14"/>
      <c r="Q68" s="14"/>
      <c r="R68" s="14"/>
      <c r="S68" s="14"/>
      <c r="U68" s="77"/>
    </row>
    <row r="69" customFormat="false" ht="30" hidden="false" customHeight="true" outlineLevel="0" collapsed="false">
      <c r="B69" s="77"/>
      <c r="C69" s="240"/>
      <c r="D69" s="241" t="s">
        <v>101</v>
      </c>
      <c r="E69" s="241"/>
      <c r="F69" s="241"/>
      <c r="G69" s="241"/>
      <c r="H69" s="241"/>
      <c r="I69" s="241"/>
      <c r="J69" s="241"/>
      <c r="K69" s="241"/>
      <c r="L69" s="241"/>
      <c r="M69" s="241"/>
      <c r="N69" s="241"/>
      <c r="O69" s="241"/>
      <c r="P69" s="241"/>
      <c r="Q69" s="241"/>
      <c r="R69" s="241"/>
      <c r="S69" s="241"/>
      <c r="T69" s="240"/>
      <c r="U69" s="77"/>
    </row>
    <row r="70" customFormat="false" ht="50.15" hidden="false" customHeight="true" outlineLevel="0" collapsed="false">
      <c r="B70" s="77"/>
      <c r="C70" s="240"/>
      <c r="D70" s="242" t="s">
        <v>52</v>
      </c>
      <c r="E70" s="243" t="s">
        <v>53</v>
      </c>
      <c r="F70" s="244" t="s">
        <v>83</v>
      </c>
      <c r="G70" s="245" t="s">
        <v>102</v>
      </c>
      <c r="H70" s="246" t="s">
        <v>103</v>
      </c>
      <c r="I70" s="246"/>
      <c r="J70" s="247" t="s">
        <v>104</v>
      </c>
      <c r="K70" s="248" t="s">
        <v>105</v>
      </c>
      <c r="L70" s="244" t="s">
        <v>106</v>
      </c>
      <c r="M70" s="248" t="s">
        <v>107</v>
      </c>
      <c r="N70" s="244" t="s">
        <v>108</v>
      </c>
      <c r="O70" s="249"/>
      <c r="P70" s="250"/>
      <c r="Q70" s="250"/>
      <c r="R70" s="250"/>
      <c r="S70" s="243" t="s">
        <v>109</v>
      </c>
      <c r="T70" s="240"/>
      <c r="U70" s="77"/>
    </row>
    <row r="71" customFormat="false" ht="20.15" hidden="false" customHeight="true" outlineLevel="0" collapsed="false">
      <c r="B71" s="77"/>
      <c r="C71" s="240"/>
      <c r="D71" s="426" t="s">
        <v>16</v>
      </c>
      <c r="E71" s="360" t="s">
        <v>17</v>
      </c>
      <c r="F71" s="253" t="n">
        <f aca="false">(K71*6+L71*3+M71*1+N71*0)</f>
        <v>15</v>
      </c>
      <c r="G71" s="253" t="n">
        <v>0</v>
      </c>
      <c r="H71" s="254" t="s">
        <v>66</v>
      </c>
      <c r="I71" s="254"/>
      <c r="J71" s="253" t="n">
        <f aca="false">F71+G71</f>
        <v>15</v>
      </c>
      <c r="K71" s="253" t="n">
        <v>2</v>
      </c>
      <c r="L71" s="253" t="n">
        <v>1</v>
      </c>
      <c r="M71" s="253" t="n">
        <v>0</v>
      </c>
      <c r="N71" s="253" t="n">
        <v>1</v>
      </c>
      <c r="O71" s="253"/>
      <c r="P71" s="253"/>
      <c r="Q71" s="253"/>
      <c r="R71" s="253"/>
      <c r="S71" s="255" t="n">
        <f aca="false">(L36+L45+L54+L63)/4</f>
        <v>84.3095180528691</v>
      </c>
      <c r="T71" s="240"/>
      <c r="U71" s="77"/>
      <c r="W71" s="256"/>
      <c r="X71" s="256"/>
      <c r="Y71" s="256"/>
      <c r="Z71" s="256"/>
    </row>
    <row r="72" customFormat="false" ht="20.15" hidden="false" customHeight="true" outlineLevel="0" collapsed="false">
      <c r="B72" s="77"/>
      <c r="C72" s="240"/>
      <c r="D72" s="263" t="s">
        <v>25</v>
      </c>
      <c r="E72" s="264" t="s">
        <v>26</v>
      </c>
      <c r="F72" s="259" t="n">
        <f aca="false">(K72*6+L72*3+M72*1+N72*0)</f>
        <v>13</v>
      </c>
      <c r="G72" s="259" t="n">
        <v>0</v>
      </c>
      <c r="H72" s="260" t="s">
        <v>66</v>
      </c>
      <c r="I72" s="260"/>
      <c r="J72" s="259" t="n">
        <f aca="false">F72+G72</f>
        <v>13</v>
      </c>
      <c r="K72" s="259" t="n">
        <v>1</v>
      </c>
      <c r="L72" s="259" t="n">
        <v>2</v>
      </c>
      <c r="M72" s="259" t="n">
        <v>1</v>
      </c>
      <c r="N72" s="259" t="n">
        <v>0</v>
      </c>
      <c r="O72" s="259"/>
      <c r="P72" s="259"/>
      <c r="Q72" s="259"/>
      <c r="R72" s="259"/>
      <c r="S72" s="261" t="n">
        <f aca="false">(L37+L46+L55+L64)/4</f>
        <v>85.0449306898775</v>
      </c>
      <c r="T72" s="240"/>
      <c r="U72" s="77"/>
      <c r="W72" s="262"/>
      <c r="X72" s="262"/>
      <c r="Y72" s="262"/>
      <c r="Z72" s="262"/>
    </row>
    <row r="73" customFormat="false" ht="20.15" hidden="false" customHeight="true" outlineLevel="0" collapsed="false">
      <c r="B73" s="77"/>
      <c r="C73" s="240"/>
      <c r="D73" s="257" t="s">
        <v>19</v>
      </c>
      <c r="E73" s="264" t="s">
        <v>20</v>
      </c>
      <c r="F73" s="259" t="n">
        <f aca="false">(K73*6+L73*3+M73*1+N73*0)</f>
        <v>6</v>
      </c>
      <c r="G73" s="259" t="n">
        <v>0</v>
      </c>
      <c r="H73" s="260" t="s">
        <v>66</v>
      </c>
      <c r="I73" s="260"/>
      <c r="J73" s="259" t="n">
        <f aca="false">F73+G73</f>
        <v>6</v>
      </c>
      <c r="K73" s="259" t="n">
        <v>1</v>
      </c>
      <c r="L73" s="259" t="n">
        <v>0</v>
      </c>
      <c r="M73" s="259" t="n">
        <v>0</v>
      </c>
      <c r="N73" s="259" t="n">
        <v>3</v>
      </c>
      <c r="O73" s="259"/>
      <c r="P73" s="259"/>
      <c r="Q73" s="259"/>
      <c r="R73" s="259"/>
      <c r="S73" s="261" t="n">
        <f aca="false">(L35+L44+L53+L62)/4</f>
        <v>59.7467359767892</v>
      </c>
      <c r="T73" s="240"/>
      <c r="U73" s="77"/>
      <c r="W73" s="262"/>
      <c r="X73" s="262"/>
      <c r="Y73" s="262"/>
      <c r="Z73" s="262"/>
    </row>
    <row r="74" customFormat="false" ht="20.15" hidden="false" customHeight="true" outlineLevel="0" collapsed="false">
      <c r="B74" s="77"/>
      <c r="C74" s="240"/>
      <c r="D74" s="337" t="s">
        <v>23</v>
      </c>
      <c r="E74" s="385" t="s">
        <v>24</v>
      </c>
      <c r="F74" s="267" t="n">
        <f aca="false">(K74*6+L74*3+M74*1+N74*0)</f>
        <v>6</v>
      </c>
      <c r="G74" s="267" t="n">
        <v>0</v>
      </c>
      <c r="H74" s="268" t="s">
        <v>66</v>
      </c>
      <c r="I74" s="268"/>
      <c r="J74" s="267" t="n">
        <f aca="false">F74+G74</f>
        <v>6</v>
      </c>
      <c r="K74" s="267" t="n">
        <v>0</v>
      </c>
      <c r="L74" s="267" t="n">
        <v>1</v>
      </c>
      <c r="M74" s="267" t="n">
        <v>3</v>
      </c>
      <c r="N74" s="267" t="n">
        <v>0</v>
      </c>
      <c r="O74" s="267"/>
      <c r="P74" s="267"/>
      <c r="Q74" s="267"/>
      <c r="R74" s="267"/>
      <c r="S74" s="269" t="n">
        <f aca="false">(L38+L47+L56+L65)/4</f>
        <v>76.1454303675048</v>
      </c>
      <c r="T74" s="240"/>
      <c r="U74" s="77"/>
      <c r="W74" s="262"/>
      <c r="X74" s="262"/>
      <c r="Y74" s="262"/>
      <c r="Z74" s="262"/>
      <c r="AB74" s="262"/>
      <c r="AC74" s="262"/>
      <c r="AD74" s="262"/>
      <c r="AE74" s="262"/>
    </row>
    <row r="75" customFormat="false" ht="20.15" hidden="false" customHeight="true" outlineLevel="0" collapsed="false">
      <c r="B75" s="77"/>
      <c r="C75" s="240"/>
      <c r="D75" s="240"/>
      <c r="E75" s="240"/>
      <c r="F75" s="240"/>
      <c r="G75" s="240"/>
      <c r="H75" s="240"/>
      <c r="I75" s="240"/>
      <c r="J75" s="240"/>
      <c r="K75" s="240"/>
      <c r="L75" s="240"/>
      <c r="M75" s="240"/>
      <c r="N75" s="240"/>
      <c r="O75" s="240"/>
      <c r="P75" s="240"/>
      <c r="Q75" s="240"/>
      <c r="R75" s="240"/>
      <c r="S75" s="240"/>
      <c r="T75" s="240"/>
      <c r="U75" s="77"/>
      <c r="W75" s="262"/>
      <c r="X75" s="262"/>
      <c r="Y75" s="262"/>
      <c r="Z75" s="262"/>
    </row>
    <row r="76" customFormat="false" ht="20.15" hidden="false" customHeight="true" outlineLevel="0" collapsed="false">
      <c r="B76" s="77"/>
      <c r="C76" s="77"/>
      <c r="D76" s="270"/>
      <c r="E76" s="270"/>
      <c r="F76" s="195"/>
      <c r="G76" s="195"/>
      <c r="H76" s="270"/>
      <c r="I76" s="270"/>
      <c r="J76" s="270"/>
      <c r="K76" s="207"/>
      <c r="L76" s="207"/>
      <c r="M76" s="207"/>
      <c r="N76" s="207"/>
      <c r="O76" s="207"/>
      <c r="P76" s="207"/>
      <c r="Q76" s="207"/>
      <c r="R76" s="207"/>
      <c r="S76" s="207"/>
      <c r="T76" s="77"/>
      <c r="U76" s="77"/>
    </row>
    <row r="77" customFormat="false" ht="20.15" hidden="false" customHeight="true" outlineLevel="0" collapsed="false">
      <c r="C77" s="271"/>
      <c r="D77" s="272"/>
      <c r="O77" s="14"/>
      <c r="P77" s="14"/>
      <c r="Q77" s="14"/>
      <c r="R77" s="14"/>
      <c r="S77" s="14"/>
      <c r="U77" s="271"/>
    </row>
    <row r="78" customFormat="false" ht="20.15" hidden="false" customHeight="true" outlineLevel="0" collapsed="false">
      <c r="D78" s="273"/>
      <c r="O78" s="14"/>
      <c r="P78" s="14"/>
      <c r="Q78" s="14"/>
      <c r="R78" s="14"/>
      <c r="S78" s="14"/>
    </row>
    <row r="79" customFormat="false" ht="20.15" hidden="false" customHeight="true" outlineLevel="0" collapsed="false">
      <c r="B79" s="77"/>
      <c r="C79" s="77"/>
      <c r="D79" s="78"/>
      <c r="E79" s="78"/>
      <c r="F79" s="78"/>
      <c r="G79" s="78"/>
      <c r="H79" s="77"/>
      <c r="I79" s="77"/>
      <c r="J79" s="77"/>
      <c r="K79" s="77"/>
      <c r="L79" s="77"/>
      <c r="M79" s="77"/>
      <c r="N79" s="77"/>
      <c r="O79" s="77"/>
      <c r="P79" s="77"/>
      <c r="Q79" s="77"/>
      <c r="R79" s="77"/>
      <c r="S79" s="77"/>
      <c r="T79" s="77"/>
      <c r="U79" s="77"/>
    </row>
    <row r="80" customFormat="false" ht="30" hidden="false" customHeight="true" outlineLevel="0" collapsed="false">
      <c r="B80" s="77"/>
      <c r="C80" s="79" t="s">
        <v>110</v>
      </c>
      <c r="D80" s="79"/>
      <c r="E80" s="79"/>
      <c r="F80" s="79"/>
      <c r="G80" s="79"/>
      <c r="H80" s="79"/>
      <c r="I80" s="79"/>
      <c r="J80" s="79"/>
      <c r="K80" s="79"/>
      <c r="L80" s="79"/>
      <c r="M80" s="79"/>
      <c r="N80" s="79"/>
      <c r="O80" s="79"/>
      <c r="P80" s="79"/>
      <c r="Q80" s="79"/>
      <c r="R80" s="79"/>
      <c r="S80" s="79"/>
      <c r="T80" s="79"/>
      <c r="U80" s="77"/>
    </row>
    <row r="81" customFormat="false" ht="20.15" hidden="false" customHeight="true" outlineLevel="0" collapsed="false">
      <c r="B81" s="77"/>
      <c r="D81" s="121"/>
      <c r="E81" s="121"/>
      <c r="U81" s="77"/>
    </row>
    <row r="82" customFormat="false" ht="20.15" hidden="false" customHeight="true" outlineLevel="0" collapsed="false">
      <c r="B82" s="77"/>
      <c r="D82" s="274" t="s">
        <v>52</v>
      </c>
      <c r="E82" s="83" t="s">
        <v>111</v>
      </c>
      <c r="F82" s="82" t="s">
        <v>12</v>
      </c>
      <c r="G82" s="275" t="s">
        <v>54</v>
      </c>
      <c r="H82" s="275"/>
      <c r="I82" s="275"/>
      <c r="J82" s="275"/>
      <c r="K82" s="81" t="s">
        <v>55</v>
      </c>
      <c r="L82" s="83" t="s">
        <v>56</v>
      </c>
      <c r="M82" s="83"/>
      <c r="N82" s="83"/>
      <c r="O82" s="83"/>
      <c r="P82" s="83"/>
      <c r="Q82" s="83"/>
      <c r="R82" s="83"/>
      <c r="S82" s="83"/>
      <c r="U82" s="77"/>
    </row>
    <row r="83" customFormat="false" ht="20.15" hidden="false" customHeight="true" outlineLevel="0" collapsed="false">
      <c r="B83" s="77"/>
      <c r="D83" s="274"/>
      <c r="E83" s="83"/>
      <c r="F83" s="82"/>
      <c r="G83" s="85" t="s">
        <v>57</v>
      </c>
      <c r="H83" s="84" t="s">
        <v>58</v>
      </c>
      <c r="I83" s="82" t="s">
        <v>59</v>
      </c>
      <c r="J83" s="82"/>
      <c r="K83" s="84" t="s">
        <v>60</v>
      </c>
      <c r="L83" s="276" t="s">
        <v>57</v>
      </c>
      <c r="M83" s="277" t="s">
        <v>61</v>
      </c>
      <c r="N83" s="278" t="s">
        <v>59</v>
      </c>
      <c r="O83" s="278"/>
      <c r="P83" s="278"/>
      <c r="Q83" s="278"/>
      <c r="R83" s="278"/>
      <c r="S83" s="278"/>
      <c r="U83" s="77"/>
    </row>
    <row r="84" customFormat="false" ht="35.15" hidden="false" customHeight="true" outlineLevel="0" collapsed="false">
      <c r="B84" s="77"/>
      <c r="D84" s="86" t="s">
        <v>13</v>
      </c>
      <c r="E84" s="87" t="s">
        <v>14</v>
      </c>
      <c r="F84" s="343" t="n">
        <v>1</v>
      </c>
      <c r="G84" s="280" t="s">
        <v>227</v>
      </c>
      <c r="H84" s="281" t="s">
        <v>228</v>
      </c>
      <c r="I84" s="282" t="s">
        <v>229</v>
      </c>
      <c r="J84" s="282"/>
      <c r="K84" s="373" t="s">
        <v>65</v>
      </c>
      <c r="L84" s="284" t="s">
        <v>66</v>
      </c>
      <c r="M84" s="94" t="s">
        <v>66</v>
      </c>
      <c r="N84" s="95" t="s">
        <v>66</v>
      </c>
      <c r="O84" s="95"/>
      <c r="P84" s="95"/>
      <c r="Q84" s="95"/>
      <c r="R84" s="95"/>
      <c r="S84" s="95"/>
      <c r="U84" s="77"/>
    </row>
    <row r="85" customFormat="false" ht="20.15" hidden="false" customHeight="true" outlineLevel="0" collapsed="false">
      <c r="B85" s="77"/>
      <c r="D85" s="105" t="s">
        <v>39</v>
      </c>
      <c r="E85" s="290" t="s">
        <v>40</v>
      </c>
      <c r="F85" s="346" t="n">
        <v>2</v>
      </c>
      <c r="G85" s="286" t="s">
        <v>227</v>
      </c>
      <c r="H85" s="99" t="s">
        <v>230</v>
      </c>
      <c r="I85" s="287" t="s">
        <v>66</v>
      </c>
      <c r="J85" s="287"/>
      <c r="K85" s="288" t="s">
        <v>65</v>
      </c>
      <c r="L85" s="289" t="s">
        <v>66</v>
      </c>
      <c r="M85" s="103" t="s">
        <v>66</v>
      </c>
      <c r="N85" s="104" t="s">
        <v>66</v>
      </c>
      <c r="O85" s="104"/>
      <c r="P85" s="104"/>
      <c r="Q85" s="104"/>
      <c r="R85" s="104"/>
      <c r="S85" s="104"/>
      <c r="U85" s="77"/>
    </row>
    <row r="86" customFormat="false" ht="50.15" hidden="false" customHeight="true" outlineLevel="0" collapsed="false">
      <c r="B86" s="77"/>
      <c r="D86" s="105" t="s">
        <v>27</v>
      </c>
      <c r="E86" s="290" t="s">
        <v>28</v>
      </c>
      <c r="F86" s="346" t="n">
        <v>3</v>
      </c>
      <c r="G86" s="291" t="s">
        <v>67</v>
      </c>
      <c r="H86" s="107" t="s">
        <v>231</v>
      </c>
      <c r="I86" s="293" t="s">
        <v>232</v>
      </c>
      <c r="J86" s="293"/>
      <c r="K86" s="294" t="s">
        <v>228</v>
      </c>
      <c r="L86" s="289" t="s">
        <v>66</v>
      </c>
      <c r="M86" s="103" t="s">
        <v>66</v>
      </c>
      <c r="N86" s="104" t="s">
        <v>66</v>
      </c>
      <c r="O86" s="104"/>
      <c r="P86" s="104"/>
      <c r="Q86" s="104"/>
      <c r="R86" s="104"/>
      <c r="S86" s="104"/>
      <c r="U86" s="77"/>
    </row>
    <row r="87" customFormat="false" ht="35.15" hidden="false" customHeight="true" outlineLevel="0" collapsed="false">
      <c r="B87" s="77"/>
      <c r="D87" s="295" t="s">
        <v>30</v>
      </c>
      <c r="E87" s="113" t="s">
        <v>31</v>
      </c>
      <c r="F87" s="350" t="n">
        <v>4</v>
      </c>
      <c r="G87" s="387" t="s">
        <v>71</v>
      </c>
      <c r="H87" s="101" t="s">
        <v>233</v>
      </c>
      <c r="I87" s="377" t="s">
        <v>234</v>
      </c>
      <c r="J87" s="377"/>
      <c r="K87" s="300" t="s">
        <v>65</v>
      </c>
      <c r="L87" s="301" t="s">
        <v>66</v>
      </c>
      <c r="M87" s="302" t="s">
        <v>66</v>
      </c>
      <c r="N87" s="303" t="s">
        <v>66</v>
      </c>
      <c r="O87" s="303"/>
      <c r="P87" s="303"/>
      <c r="Q87" s="303"/>
      <c r="R87" s="303"/>
      <c r="S87" s="303"/>
      <c r="U87" s="77"/>
    </row>
    <row r="88" customFormat="false" ht="20.15" hidden="false" customHeight="true" outlineLevel="0" collapsed="false">
      <c r="B88" s="77"/>
      <c r="D88" s="121"/>
      <c r="E88" s="121"/>
      <c r="U88" s="77"/>
    </row>
    <row r="89" customFormat="false" ht="20.15" hidden="false" customHeight="true" outlineLevel="0" collapsed="false">
      <c r="B89" s="77"/>
      <c r="C89" s="122"/>
      <c r="D89" s="122"/>
      <c r="E89" s="123" t="str">
        <f aca="false">IF(OR(L84="-",L84= ""),H84,L84)</f>
        <v>Agricola</v>
      </c>
      <c r="F89" s="123"/>
      <c r="G89" s="123"/>
      <c r="H89" s="123"/>
      <c r="I89" s="123"/>
      <c r="J89" s="123"/>
      <c r="K89" s="123"/>
      <c r="L89" s="123"/>
      <c r="M89" s="123"/>
      <c r="N89" s="123"/>
      <c r="O89" s="124"/>
      <c r="P89" s="124"/>
      <c r="Q89" s="124"/>
      <c r="R89" s="124"/>
      <c r="S89" s="124"/>
      <c r="T89" s="122"/>
      <c r="U89" s="77"/>
    </row>
    <row r="90" customFormat="false" ht="50.15" hidden="false" customHeight="true" outlineLevel="0" collapsed="false">
      <c r="B90" s="77"/>
      <c r="C90" s="122"/>
      <c r="D90" s="124"/>
      <c r="E90" s="125" t="s">
        <v>52</v>
      </c>
      <c r="F90" s="126" t="s">
        <v>75</v>
      </c>
      <c r="G90" s="82" t="s">
        <v>76</v>
      </c>
      <c r="H90" s="81" t="s">
        <v>77</v>
      </c>
      <c r="I90" s="59" t="s">
        <v>78</v>
      </c>
      <c r="J90" s="81" t="s">
        <v>79</v>
      </c>
      <c r="K90" s="127" t="s">
        <v>80</v>
      </c>
      <c r="L90" s="81" t="s">
        <v>81</v>
      </c>
      <c r="M90" s="128" t="s">
        <v>82</v>
      </c>
      <c r="N90" s="129" t="s">
        <v>83</v>
      </c>
      <c r="O90" s="130" t="s">
        <v>84</v>
      </c>
      <c r="P90" s="131" t="s">
        <v>85</v>
      </c>
      <c r="Q90" s="131" t="s">
        <v>86</v>
      </c>
      <c r="R90" s="197" t="s">
        <v>87</v>
      </c>
      <c r="S90" s="124"/>
      <c r="T90" s="122"/>
      <c r="U90" s="77"/>
    </row>
    <row r="91" customFormat="false" ht="20.15" hidden="false" customHeight="true" outlineLevel="0" collapsed="false">
      <c r="B91" s="77"/>
      <c r="C91" s="122"/>
      <c r="D91" s="152"/>
      <c r="E91" s="199" t="s">
        <v>13</v>
      </c>
      <c r="F91" s="200" t="s">
        <v>14</v>
      </c>
      <c r="G91" s="325" t="n">
        <v>2</v>
      </c>
      <c r="H91" s="201" t="s">
        <v>66</v>
      </c>
      <c r="I91" s="201" t="n">
        <v>-14</v>
      </c>
      <c r="J91" s="201" t="n">
        <v>51</v>
      </c>
      <c r="K91" s="201" t="s">
        <v>66</v>
      </c>
      <c r="L91" s="204" t="n">
        <f aca="false">IF(J91="",0,(J91/J95)*100)</f>
        <v>100</v>
      </c>
      <c r="M91" s="201" t="n">
        <v>1</v>
      </c>
      <c r="N91" s="205" t="n">
        <v>6</v>
      </c>
      <c r="O91" s="137" t="n">
        <f aca="false">IF(M91=1,1,0)</f>
        <v>1</v>
      </c>
      <c r="P91" s="138" t="n">
        <f aca="false">IF(M91=2,1,0)</f>
        <v>0</v>
      </c>
      <c r="Q91" s="138" t="n">
        <f aca="false">IF(M91=3,1,0)</f>
        <v>0</v>
      </c>
      <c r="R91" s="139" t="n">
        <f aca="false">IF(M91=4,1,0)</f>
        <v>0</v>
      </c>
      <c r="S91" s="140"/>
      <c r="T91" s="122"/>
      <c r="U91" s="77"/>
    </row>
    <row r="92" customFormat="false" ht="20.15" hidden="false" customHeight="true" outlineLevel="0" collapsed="false">
      <c r="B92" s="77"/>
      <c r="C92" s="122"/>
      <c r="D92" s="132"/>
      <c r="E92" s="105" t="s">
        <v>39</v>
      </c>
      <c r="F92" s="290" t="s">
        <v>40</v>
      </c>
      <c r="G92" s="306" t="n">
        <v>3</v>
      </c>
      <c r="H92" s="228" t="s">
        <v>66</v>
      </c>
      <c r="I92" s="228" t="n">
        <v>-14</v>
      </c>
      <c r="J92" s="228" t="n">
        <v>24</v>
      </c>
      <c r="K92" s="317" t="s">
        <v>66</v>
      </c>
      <c r="L92" s="229" t="n">
        <f aca="false">IF(J92="",0,(J92/J95)*100)</f>
        <v>47.0588235294118</v>
      </c>
      <c r="M92" s="228" t="n">
        <v>4</v>
      </c>
      <c r="N92" s="230" t="n">
        <v>0</v>
      </c>
      <c r="O92" s="144" t="n">
        <f aca="false">IF(M92=1,1,0)</f>
        <v>0</v>
      </c>
      <c r="P92" s="145" t="n">
        <f aca="false">IF(M92=2,1,0)</f>
        <v>0</v>
      </c>
      <c r="Q92" s="145" t="n">
        <f aca="false">IF(M92=3,1,0)</f>
        <v>0</v>
      </c>
      <c r="R92" s="146" t="n">
        <f aca="false">IF(M92=4,1,0)</f>
        <v>1</v>
      </c>
      <c r="S92" s="140"/>
      <c r="T92" s="122"/>
      <c r="U92" s="77"/>
    </row>
    <row r="93" customFormat="false" ht="20.15" hidden="false" customHeight="true" outlineLevel="0" collapsed="false">
      <c r="B93" s="77"/>
      <c r="C93" s="122"/>
      <c r="D93" s="132"/>
      <c r="E93" s="105" t="s">
        <v>27</v>
      </c>
      <c r="F93" s="290" t="s">
        <v>28</v>
      </c>
      <c r="G93" s="306" t="n">
        <v>1</v>
      </c>
      <c r="H93" s="228" t="s">
        <v>66</v>
      </c>
      <c r="I93" s="228" t="n">
        <v>-14</v>
      </c>
      <c r="J93" s="228" t="n">
        <v>45</v>
      </c>
      <c r="K93" s="228" t="s">
        <v>66</v>
      </c>
      <c r="L93" s="229" t="n">
        <f aca="false">IF(J93="",0,(J93/J95)*100)</f>
        <v>88.2352941176471</v>
      </c>
      <c r="M93" s="228" t="n">
        <v>2</v>
      </c>
      <c r="N93" s="230" t="n">
        <v>3</v>
      </c>
      <c r="O93" s="144" t="n">
        <f aca="false">IF(M93=1,1,0)</f>
        <v>0</v>
      </c>
      <c r="P93" s="145" t="n">
        <f aca="false">IF(M93=2,1,0)</f>
        <v>1</v>
      </c>
      <c r="Q93" s="145" t="n">
        <f aca="false">IF(M93=3,1,0)</f>
        <v>0</v>
      </c>
      <c r="R93" s="146" t="n">
        <f aca="false">IF(M93=4,1,0)</f>
        <v>0</v>
      </c>
      <c r="S93" s="140"/>
      <c r="T93" s="122"/>
      <c r="U93" s="77"/>
    </row>
    <row r="94" customFormat="false" ht="20.15" hidden="false" customHeight="true" outlineLevel="0" collapsed="false">
      <c r="B94" s="77"/>
      <c r="C94" s="122"/>
      <c r="D94" s="132"/>
      <c r="E94" s="295" t="s">
        <v>30</v>
      </c>
      <c r="F94" s="113" t="s">
        <v>31</v>
      </c>
      <c r="G94" s="307" t="n">
        <v>4</v>
      </c>
      <c r="H94" s="308" t="s">
        <v>66</v>
      </c>
      <c r="I94" s="234" t="n">
        <v>-14</v>
      </c>
      <c r="J94" s="234" t="n">
        <v>27</v>
      </c>
      <c r="K94" s="308" t="s">
        <v>66</v>
      </c>
      <c r="L94" s="235" t="n">
        <f aca="false">IF(J94="",0,(J94/J95)*100)</f>
        <v>52.9411764705882</v>
      </c>
      <c r="M94" s="234" t="n">
        <v>3</v>
      </c>
      <c r="N94" s="236" t="n">
        <v>1</v>
      </c>
      <c r="O94" s="156" t="n">
        <f aca="false">IF(M94=1,1,0)</f>
        <v>0</v>
      </c>
      <c r="P94" s="157" t="n">
        <f aca="false">IF(M94=2,1,0)</f>
        <v>0</v>
      </c>
      <c r="Q94" s="157" t="n">
        <f aca="false">IF(M94=3,1,0)</f>
        <v>1</v>
      </c>
      <c r="R94" s="158" t="n">
        <f aca="false">IF(M94=4,1,0)</f>
        <v>0</v>
      </c>
      <c r="S94" s="140"/>
      <c r="T94" s="122"/>
      <c r="U94" s="77"/>
    </row>
    <row r="95" customFormat="false" ht="20.15" hidden="true" customHeight="true" outlineLevel="1" collapsed="false">
      <c r="B95" s="77"/>
      <c r="C95" s="122"/>
      <c r="D95" s="152"/>
      <c r="E95" s="152"/>
      <c r="F95" s="140"/>
      <c r="G95" s="140"/>
      <c r="H95" s="122"/>
      <c r="I95" s="213" t="s">
        <v>92</v>
      </c>
      <c r="J95" s="161" t="n">
        <f aca="false">MAX(J91:J94)</f>
        <v>51</v>
      </c>
      <c r="K95" s="309"/>
      <c r="L95" s="167"/>
      <c r="M95" s="122"/>
      <c r="N95" s="164" t="s">
        <v>93</v>
      </c>
      <c r="O95" s="165" t="n">
        <f aca="false">SUM(O91:O94)</f>
        <v>1</v>
      </c>
      <c r="P95" s="166" t="n">
        <f aca="false">SUM(P91:P94)</f>
        <v>1</v>
      </c>
      <c r="Q95" s="165" t="n">
        <f aca="false">SUM(Q91:Q94)</f>
        <v>1</v>
      </c>
      <c r="R95" s="187" t="n">
        <f aca="false">SUM(R91:R94)</f>
        <v>1</v>
      </c>
      <c r="S95" s="167"/>
      <c r="T95" s="122"/>
      <c r="U95" s="77"/>
    </row>
    <row r="96" customFormat="false" ht="20.15" hidden="false" customHeight="true" outlineLevel="0" collapsed="false">
      <c r="B96" s="77"/>
      <c r="C96" s="122"/>
      <c r="D96" s="168"/>
      <c r="E96" s="168"/>
      <c r="F96" s="122"/>
      <c r="G96" s="122"/>
      <c r="H96" s="122"/>
      <c r="I96" s="122"/>
      <c r="J96" s="122"/>
      <c r="K96" s="122"/>
      <c r="L96" s="122"/>
      <c r="M96" s="122"/>
      <c r="N96" s="122"/>
      <c r="O96" s="122"/>
      <c r="P96" s="122"/>
      <c r="Q96" s="122"/>
      <c r="R96" s="122"/>
      <c r="S96" s="122"/>
      <c r="T96" s="122"/>
      <c r="U96" s="77"/>
    </row>
    <row r="97" customFormat="false" ht="20.15" hidden="false" customHeight="true" outlineLevel="0" collapsed="false">
      <c r="B97" s="77"/>
      <c r="U97" s="77"/>
    </row>
    <row r="98" customFormat="false" ht="20.15" hidden="false" customHeight="true" outlineLevel="0" collapsed="false">
      <c r="B98" s="77"/>
      <c r="C98" s="170"/>
      <c r="D98" s="170"/>
      <c r="E98" s="171" t="str">
        <f aca="false">IF(OR(L85="-",L85= ""),H85,L85)</f>
        <v>Vanuatu</v>
      </c>
      <c r="F98" s="171"/>
      <c r="G98" s="171"/>
      <c r="H98" s="171"/>
      <c r="I98" s="171"/>
      <c r="J98" s="171"/>
      <c r="K98" s="171"/>
      <c r="L98" s="171"/>
      <c r="M98" s="171"/>
      <c r="N98" s="171"/>
      <c r="O98" s="172"/>
      <c r="P98" s="172"/>
      <c r="Q98" s="172"/>
      <c r="R98" s="172"/>
      <c r="S98" s="172"/>
      <c r="T98" s="170"/>
      <c r="U98" s="77"/>
    </row>
    <row r="99" customFormat="false" ht="50.15" hidden="false" customHeight="true" outlineLevel="0" collapsed="false">
      <c r="B99" s="77"/>
      <c r="C99" s="170"/>
      <c r="D99" s="172"/>
      <c r="E99" s="125" t="s">
        <v>52</v>
      </c>
      <c r="F99" s="126" t="s">
        <v>75</v>
      </c>
      <c r="G99" s="82" t="s">
        <v>76</v>
      </c>
      <c r="H99" s="81" t="s">
        <v>77</v>
      </c>
      <c r="I99" s="59" t="s">
        <v>78</v>
      </c>
      <c r="J99" s="81" t="s">
        <v>79</v>
      </c>
      <c r="K99" s="127" t="s">
        <v>80</v>
      </c>
      <c r="L99" s="81" t="s">
        <v>81</v>
      </c>
      <c r="M99" s="128" t="s">
        <v>82</v>
      </c>
      <c r="N99" s="129" t="s">
        <v>83</v>
      </c>
      <c r="O99" s="130" t="s">
        <v>84</v>
      </c>
      <c r="P99" s="131" t="s">
        <v>85</v>
      </c>
      <c r="Q99" s="131" t="s">
        <v>86</v>
      </c>
      <c r="R99" s="197" t="s">
        <v>87</v>
      </c>
      <c r="S99" s="172"/>
      <c r="T99" s="170"/>
      <c r="U99" s="77"/>
    </row>
    <row r="100" customFormat="false" ht="20.15" hidden="false" customHeight="true" outlineLevel="0" collapsed="false">
      <c r="B100" s="77"/>
      <c r="C100" s="170"/>
      <c r="D100" s="177"/>
      <c r="E100" s="86" t="s">
        <v>13</v>
      </c>
      <c r="F100" s="87" t="s">
        <v>14</v>
      </c>
      <c r="G100" s="304" t="n">
        <v>2</v>
      </c>
      <c r="H100" s="222" t="s">
        <v>66</v>
      </c>
      <c r="I100" s="221" t="n">
        <v>0</v>
      </c>
      <c r="J100" s="222" t="n">
        <v>55</v>
      </c>
      <c r="K100" s="389" t="s">
        <v>66</v>
      </c>
      <c r="L100" s="223" t="n">
        <f aca="false">IF(J100="",0,(J100/J104)*100)</f>
        <v>80.8823529411765</v>
      </c>
      <c r="M100" s="221" t="n">
        <v>3</v>
      </c>
      <c r="N100" s="224" t="n">
        <v>1</v>
      </c>
      <c r="O100" s="137" t="n">
        <f aca="false">IF(M100=1,1,0)</f>
        <v>0</v>
      </c>
      <c r="P100" s="138" t="n">
        <f aca="false">IF(M100=2,1,0)</f>
        <v>0</v>
      </c>
      <c r="Q100" s="138" t="n">
        <f aca="false">IF(M100=3,1,0)</f>
        <v>1</v>
      </c>
      <c r="R100" s="139" t="n">
        <f aca="false">IF(M100=4,1,0)</f>
        <v>0</v>
      </c>
      <c r="S100" s="176"/>
      <c r="T100" s="170"/>
      <c r="U100" s="77"/>
    </row>
    <row r="101" customFormat="false" ht="20.15" hidden="false" customHeight="true" outlineLevel="0" collapsed="false">
      <c r="B101" s="77"/>
      <c r="C101" s="170"/>
      <c r="D101" s="173"/>
      <c r="E101" s="105" t="s">
        <v>39</v>
      </c>
      <c r="F101" s="290" t="s">
        <v>40</v>
      </c>
      <c r="G101" s="306" t="n">
        <v>4</v>
      </c>
      <c r="H101" s="317" t="s">
        <v>66</v>
      </c>
      <c r="I101" s="228" t="n">
        <v>0</v>
      </c>
      <c r="J101" s="317" t="n">
        <v>44</v>
      </c>
      <c r="K101" s="317" t="s">
        <v>66</v>
      </c>
      <c r="L101" s="229" t="n">
        <f aca="false">IF(J101="",0,(J101/J104)*100)</f>
        <v>64.7058823529412</v>
      </c>
      <c r="M101" s="228" t="n">
        <v>4</v>
      </c>
      <c r="N101" s="230" t="n">
        <v>0</v>
      </c>
      <c r="O101" s="144" t="n">
        <f aca="false">IF(M101=1,1,0)</f>
        <v>0</v>
      </c>
      <c r="P101" s="145" t="n">
        <f aca="false">IF(M101=2,1,0)</f>
        <v>0</v>
      </c>
      <c r="Q101" s="145" t="n">
        <f aca="false">IF(M101=3,1,0)</f>
        <v>0</v>
      </c>
      <c r="R101" s="146" t="n">
        <f aca="false">IF(M101=4,1,0)</f>
        <v>1</v>
      </c>
      <c r="S101" s="176"/>
      <c r="T101" s="170"/>
      <c r="U101" s="77"/>
    </row>
    <row r="102" customFormat="false" ht="20.15" hidden="false" customHeight="true" outlineLevel="0" collapsed="false">
      <c r="B102" s="77"/>
      <c r="C102" s="170"/>
      <c r="D102" s="177"/>
      <c r="E102" s="105" t="s">
        <v>27</v>
      </c>
      <c r="F102" s="290" t="s">
        <v>28</v>
      </c>
      <c r="G102" s="306" t="n">
        <v>3</v>
      </c>
      <c r="H102" s="317" t="s">
        <v>66</v>
      </c>
      <c r="I102" s="228" t="n">
        <v>0</v>
      </c>
      <c r="J102" s="317" t="n">
        <v>67</v>
      </c>
      <c r="K102" s="390" t="s">
        <v>66</v>
      </c>
      <c r="L102" s="229" t="n">
        <f aca="false">IF(J102="",0,(J102/J104)*100)</f>
        <v>98.5294117647059</v>
      </c>
      <c r="M102" s="228" t="n">
        <v>2</v>
      </c>
      <c r="N102" s="230" t="n">
        <v>3</v>
      </c>
      <c r="O102" s="144" t="n">
        <f aca="false">IF(M102=1,1,0)</f>
        <v>0</v>
      </c>
      <c r="P102" s="145" t="n">
        <f aca="false">IF(M102=2,1,0)</f>
        <v>1</v>
      </c>
      <c r="Q102" s="145" t="n">
        <f aca="false">IF(M102=3,1,0)</f>
        <v>0</v>
      </c>
      <c r="R102" s="146" t="n">
        <f aca="false">IF(M102=4,1,0)</f>
        <v>0</v>
      </c>
      <c r="S102" s="176"/>
      <c r="T102" s="170"/>
      <c r="U102" s="77"/>
    </row>
    <row r="103" customFormat="false" ht="20.15" hidden="false" customHeight="true" outlineLevel="0" collapsed="false">
      <c r="B103" s="77"/>
      <c r="C103" s="170"/>
      <c r="D103" s="173"/>
      <c r="E103" s="318" t="s">
        <v>30</v>
      </c>
      <c r="F103" s="319" t="s">
        <v>31</v>
      </c>
      <c r="G103" s="320" t="n">
        <v>1</v>
      </c>
      <c r="H103" s="321" t="s">
        <v>66</v>
      </c>
      <c r="I103" s="322" t="n">
        <v>0</v>
      </c>
      <c r="J103" s="321" t="n">
        <v>68</v>
      </c>
      <c r="K103" s="321" t="s">
        <v>66</v>
      </c>
      <c r="L103" s="323" t="n">
        <f aca="false">IF(J103="",0,(J103/J104)*100)</f>
        <v>100</v>
      </c>
      <c r="M103" s="322" t="n">
        <v>1</v>
      </c>
      <c r="N103" s="324" t="n">
        <v>6</v>
      </c>
      <c r="O103" s="156" t="n">
        <f aca="false">IF(M103=1,1,0)</f>
        <v>1</v>
      </c>
      <c r="P103" s="157" t="n">
        <f aca="false">IF(M103=2,1,0)</f>
        <v>0</v>
      </c>
      <c r="Q103" s="157" t="n">
        <f aca="false">IF(M103=3,1,0)</f>
        <v>0</v>
      </c>
      <c r="R103" s="158" t="n">
        <f aca="false">IF(M103=4,1,0)</f>
        <v>0</v>
      </c>
      <c r="S103" s="176"/>
      <c r="T103" s="170"/>
      <c r="U103" s="77"/>
    </row>
    <row r="104" customFormat="false" ht="20.15" hidden="true" customHeight="true" outlineLevel="1" collapsed="false">
      <c r="B104" s="77"/>
      <c r="C104" s="170"/>
      <c r="D104" s="173"/>
      <c r="E104" s="173"/>
      <c r="F104" s="172"/>
      <c r="G104" s="172"/>
      <c r="H104" s="170"/>
      <c r="I104" s="213" t="s">
        <v>92</v>
      </c>
      <c r="J104" s="161" t="n">
        <f aca="false">MAX(J100:J103)</f>
        <v>68</v>
      </c>
      <c r="K104" s="186"/>
      <c r="L104" s="176"/>
      <c r="M104" s="170"/>
      <c r="N104" s="164" t="s">
        <v>93</v>
      </c>
      <c r="O104" s="165" t="n">
        <f aca="false">SUM(O100:O103)</f>
        <v>1</v>
      </c>
      <c r="P104" s="166" t="n">
        <f aca="false">SUM(P100:P103)</f>
        <v>1</v>
      </c>
      <c r="Q104" s="165" t="n">
        <f aca="false">SUM(Q100:Q103)</f>
        <v>1</v>
      </c>
      <c r="R104" s="187" t="n">
        <f aca="false">SUM(R100:R103)</f>
        <v>1</v>
      </c>
      <c r="S104" s="188"/>
      <c r="T104" s="170"/>
      <c r="U104" s="77"/>
    </row>
    <row r="105" customFormat="false" ht="20.15" hidden="false" customHeight="true" outlineLevel="0" collapsed="false">
      <c r="B105" s="77"/>
      <c r="C105" s="170"/>
      <c r="D105" s="189"/>
      <c r="E105" s="189"/>
      <c r="F105" s="170"/>
      <c r="G105" s="170"/>
      <c r="H105" s="170"/>
      <c r="I105" s="170"/>
      <c r="J105" s="170"/>
      <c r="K105" s="170"/>
      <c r="L105" s="170"/>
      <c r="M105" s="170"/>
      <c r="N105" s="170"/>
      <c r="O105" s="170"/>
      <c r="P105" s="170"/>
      <c r="Q105" s="170"/>
      <c r="R105" s="170"/>
      <c r="S105" s="170"/>
      <c r="T105" s="170"/>
      <c r="U105" s="77"/>
    </row>
    <row r="106" customFormat="false" ht="20.15" hidden="false" customHeight="true" outlineLevel="0" collapsed="false">
      <c r="B106" s="77"/>
      <c r="D106" s="190"/>
      <c r="E106" s="190"/>
      <c r="F106" s="190"/>
      <c r="G106" s="190"/>
      <c r="H106" s="191"/>
      <c r="I106" s="190"/>
      <c r="J106" s="190"/>
      <c r="K106" s="14"/>
      <c r="L106" s="14"/>
      <c r="M106" s="14"/>
      <c r="N106" s="14"/>
      <c r="O106" s="14"/>
      <c r="P106" s="14"/>
      <c r="Q106" s="14"/>
      <c r="R106" s="14"/>
      <c r="S106" s="14"/>
      <c r="U106" s="77"/>
    </row>
    <row r="107" customFormat="false" ht="20.15" hidden="false" customHeight="true" outlineLevel="0" collapsed="false">
      <c r="B107" s="77"/>
      <c r="C107" s="192"/>
      <c r="D107" s="192"/>
      <c r="E107" s="193" t="str">
        <f aca="false">IF(OR(L86="-",L86= ""),H86,L86)</f>
        <v>City of the Big 
Shoulders</v>
      </c>
      <c r="F107" s="193"/>
      <c r="G107" s="193"/>
      <c r="H107" s="193"/>
      <c r="I107" s="193"/>
      <c r="J107" s="193"/>
      <c r="K107" s="193"/>
      <c r="L107" s="193"/>
      <c r="M107" s="193"/>
      <c r="N107" s="193"/>
      <c r="O107" s="194"/>
      <c r="P107" s="194"/>
      <c r="Q107" s="194"/>
      <c r="R107" s="194"/>
      <c r="S107" s="194"/>
      <c r="T107" s="192"/>
      <c r="U107" s="195"/>
    </row>
    <row r="108" customFormat="false" ht="50.15" hidden="false" customHeight="true" outlineLevel="0" collapsed="false">
      <c r="B108" s="77"/>
      <c r="C108" s="192"/>
      <c r="D108" s="194"/>
      <c r="E108" s="125" t="s">
        <v>52</v>
      </c>
      <c r="F108" s="126" t="s">
        <v>75</v>
      </c>
      <c r="G108" s="82" t="s">
        <v>76</v>
      </c>
      <c r="H108" s="81" t="s">
        <v>77</v>
      </c>
      <c r="I108" s="59" t="s">
        <v>78</v>
      </c>
      <c r="J108" s="81" t="s">
        <v>79</v>
      </c>
      <c r="K108" s="127" t="s">
        <v>80</v>
      </c>
      <c r="L108" s="81" t="s">
        <v>81</v>
      </c>
      <c r="M108" s="128" t="s">
        <v>82</v>
      </c>
      <c r="N108" s="129" t="s">
        <v>83</v>
      </c>
      <c r="O108" s="130" t="s">
        <v>84</v>
      </c>
      <c r="P108" s="131" t="s">
        <v>85</v>
      </c>
      <c r="Q108" s="131" t="s">
        <v>86</v>
      </c>
      <c r="R108" s="197" t="s">
        <v>87</v>
      </c>
      <c r="S108" s="194"/>
      <c r="T108" s="192"/>
      <c r="U108" s="195"/>
    </row>
    <row r="109" customFormat="false" ht="20.15" hidden="false" customHeight="true" outlineLevel="0" collapsed="false">
      <c r="B109" s="77"/>
      <c r="C109" s="192"/>
      <c r="D109" s="208"/>
      <c r="E109" s="199" t="s">
        <v>13</v>
      </c>
      <c r="F109" s="200" t="s">
        <v>14</v>
      </c>
      <c r="G109" s="325" t="n">
        <v>4</v>
      </c>
      <c r="H109" s="202" t="s">
        <v>235</v>
      </c>
      <c r="I109" s="201" t="n">
        <v>175</v>
      </c>
      <c r="J109" s="202" t="n">
        <v>6509</v>
      </c>
      <c r="K109" s="201" t="s">
        <v>66</v>
      </c>
      <c r="L109" s="204" t="n">
        <f aca="false">IF(J109="",0,(J109/J113)*100)</f>
        <v>100</v>
      </c>
      <c r="M109" s="201" t="n">
        <v>1</v>
      </c>
      <c r="N109" s="205" t="n">
        <v>6</v>
      </c>
      <c r="O109" s="137" t="n">
        <f aca="false">IF(M109=1,1,0)</f>
        <v>1</v>
      </c>
      <c r="P109" s="138" t="n">
        <f aca="false">IF(M109=2,1,0)</f>
        <v>0</v>
      </c>
      <c r="Q109" s="138" t="n">
        <f aca="false">IF(M109=3,1,0)</f>
        <v>0</v>
      </c>
      <c r="R109" s="139" t="n">
        <f aca="false">IF(M109=4,1,0)</f>
        <v>0</v>
      </c>
      <c r="S109" s="206"/>
      <c r="T109" s="192"/>
      <c r="U109" s="207"/>
    </row>
    <row r="110" customFormat="false" ht="35.15" hidden="false" customHeight="true" outlineLevel="0" collapsed="false">
      <c r="B110" s="77"/>
      <c r="C110" s="192"/>
      <c r="D110" s="198"/>
      <c r="E110" s="105" t="s">
        <v>39</v>
      </c>
      <c r="F110" s="290" t="s">
        <v>40</v>
      </c>
      <c r="G110" s="306" t="n">
        <v>2</v>
      </c>
      <c r="H110" s="317" t="s">
        <v>236</v>
      </c>
      <c r="I110" s="228" t="n">
        <v>175</v>
      </c>
      <c r="J110" s="317" t="n">
        <v>4105</v>
      </c>
      <c r="K110" s="317" t="s">
        <v>66</v>
      </c>
      <c r="L110" s="229" t="n">
        <f aca="false">IF(J110="",0,(J110/J113)*100)</f>
        <v>63.0665232754647</v>
      </c>
      <c r="M110" s="228" t="n">
        <v>4</v>
      </c>
      <c r="N110" s="230" t="n">
        <v>0</v>
      </c>
      <c r="O110" s="144" t="n">
        <f aca="false">IF(M110=1,1,0)</f>
        <v>0</v>
      </c>
      <c r="P110" s="145" t="n">
        <f aca="false">IF(M110=2,1,0)</f>
        <v>0</v>
      </c>
      <c r="Q110" s="145" t="n">
        <f aca="false">IF(M110=3,1,0)</f>
        <v>0</v>
      </c>
      <c r="R110" s="146" t="n">
        <f aca="false">IF(M110=4,1,0)</f>
        <v>1</v>
      </c>
      <c r="S110" s="206"/>
      <c r="T110" s="192"/>
      <c r="U110" s="211"/>
    </row>
    <row r="111" customFormat="false" ht="35.15" hidden="false" customHeight="true" outlineLevel="0" collapsed="false">
      <c r="B111" s="77"/>
      <c r="C111" s="192"/>
      <c r="D111" s="198"/>
      <c r="E111" s="105" t="s">
        <v>27</v>
      </c>
      <c r="F111" s="290" t="s">
        <v>29</v>
      </c>
      <c r="G111" s="306" t="n">
        <v>3</v>
      </c>
      <c r="H111" s="317" t="s">
        <v>237</v>
      </c>
      <c r="I111" s="228" t="n">
        <v>175</v>
      </c>
      <c r="J111" s="317" t="n">
        <v>5774</v>
      </c>
      <c r="K111" s="228" t="s">
        <v>66</v>
      </c>
      <c r="L111" s="229" t="n">
        <f aca="false">IF(J111="",0,(J111/J113)*100)</f>
        <v>88.7079428483638</v>
      </c>
      <c r="M111" s="228" t="n">
        <v>2</v>
      </c>
      <c r="N111" s="230" t="n">
        <v>3</v>
      </c>
      <c r="O111" s="144" t="n">
        <f aca="false">IF(M111=1,1,0)</f>
        <v>0</v>
      </c>
      <c r="P111" s="145" t="n">
        <f aca="false">IF(M111=2,1,0)</f>
        <v>1</v>
      </c>
      <c r="Q111" s="145" t="n">
        <f aca="false">IF(M111=3,1,0)</f>
        <v>0</v>
      </c>
      <c r="R111" s="146" t="n">
        <f aca="false">IF(M111=4,1,0)</f>
        <v>0</v>
      </c>
      <c r="S111" s="206"/>
      <c r="T111" s="192"/>
      <c r="U111" s="211"/>
    </row>
    <row r="112" customFormat="false" ht="35.15" hidden="false" customHeight="true" outlineLevel="0" collapsed="false">
      <c r="B112" s="77"/>
      <c r="C112" s="192"/>
      <c r="D112" s="198"/>
      <c r="E112" s="295" t="s">
        <v>30</v>
      </c>
      <c r="F112" s="113" t="s">
        <v>32</v>
      </c>
      <c r="G112" s="307" t="n">
        <v>1</v>
      </c>
      <c r="H112" s="308" t="s">
        <v>238</v>
      </c>
      <c r="I112" s="234" t="n">
        <v>175</v>
      </c>
      <c r="J112" s="308" t="n">
        <v>4735</v>
      </c>
      <c r="K112" s="308" t="s">
        <v>66</v>
      </c>
      <c r="L112" s="235" t="n">
        <f aca="false">IF(J112="",0,(J112/J113)*100)</f>
        <v>72.7454294054386</v>
      </c>
      <c r="M112" s="234" t="n">
        <v>3</v>
      </c>
      <c r="N112" s="236" t="n">
        <v>1</v>
      </c>
      <c r="O112" s="156" t="n">
        <f aca="false">IF(M112=1,1,0)</f>
        <v>0</v>
      </c>
      <c r="P112" s="157" t="n">
        <f aca="false">IF(M112=2,1,0)</f>
        <v>0</v>
      </c>
      <c r="Q112" s="157" t="n">
        <f aca="false">IF(M112=3,1,0)</f>
        <v>1</v>
      </c>
      <c r="R112" s="158" t="n">
        <f aca="false">IF(M112=4,1,0)</f>
        <v>0</v>
      </c>
      <c r="S112" s="206"/>
      <c r="T112" s="192"/>
      <c r="U112" s="211"/>
    </row>
    <row r="113" customFormat="false" ht="20.15" hidden="true" customHeight="true" outlineLevel="1" collapsed="false">
      <c r="B113" s="77"/>
      <c r="C113" s="192"/>
      <c r="D113" s="198"/>
      <c r="E113" s="198"/>
      <c r="F113" s="206"/>
      <c r="G113" s="206"/>
      <c r="H113" s="192"/>
      <c r="I113" s="213" t="s">
        <v>92</v>
      </c>
      <c r="J113" s="161" t="n">
        <f aca="false">MAX(J109:J112)</f>
        <v>6509</v>
      </c>
      <c r="K113" s="214"/>
      <c r="L113" s="206"/>
      <c r="M113" s="192"/>
      <c r="N113" s="164" t="s">
        <v>93</v>
      </c>
      <c r="O113" s="165" t="n">
        <f aca="false">SUM(O109:O112)</f>
        <v>1</v>
      </c>
      <c r="P113" s="166" t="n">
        <f aca="false">SUM(P109:P112)</f>
        <v>1</v>
      </c>
      <c r="Q113" s="165" t="n">
        <f aca="false">SUM(Q109:Q112)</f>
        <v>1</v>
      </c>
      <c r="R113" s="187" t="n">
        <f aca="false">SUM(R109:R112)</f>
        <v>1</v>
      </c>
      <c r="S113" s="215"/>
      <c r="T113" s="192"/>
      <c r="U113" s="211"/>
    </row>
    <row r="114" customFormat="false" ht="20.15" hidden="false" customHeight="true" outlineLevel="0" collapsed="false">
      <c r="B114" s="77"/>
      <c r="C114" s="192"/>
      <c r="D114" s="216"/>
      <c r="E114" s="216"/>
      <c r="F114" s="192"/>
      <c r="G114" s="192"/>
      <c r="H114" s="192"/>
      <c r="I114" s="192"/>
      <c r="J114" s="192"/>
      <c r="K114" s="192"/>
      <c r="L114" s="192"/>
      <c r="M114" s="192"/>
      <c r="N114" s="192"/>
      <c r="O114" s="192"/>
      <c r="P114" s="192"/>
      <c r="Q114" s="192"/>
      <c r="R114" s="192"/>
      <c r="S114" s="192"/>
      <c r="T114" s="192"/>
      <c r="U114" s="211"/>
    </row>
    <row r="115" customFormat="false" ht="20.15" hidden="false" customHeight="true" outlineLevel="0" collapsed="false">
      <c r="B115" s="77"/>
      <c r="D115" s="190"/>
      <c r="E115" s="190"/>
      <c r="F115" s="190"/>
      <c r="G115" s="190"/>
      <c r="H115" s="191"/>
      <c r="I115" s="190"/>
      <c r="J115" s="190"/>
      <c r="K115" s="190"/>
      <c r="L115" s="14"/>
      <c r="M115" s="14"/>
      <c r="N115" s="14"/>
      <c r="O115" s="14"/>
      <c r="P115" s="14"/>
      <c r="Q115" s="14"/>
      <c r="R115" s="14"/>
      <c r="S115" s="14"/>
      <c r="U115" s="207"/>
    </row>
    <row r="116" customFormat="false" ht="20.15" hidden="false" customHeight="true" outlineLevel="0" collapsed="false">
      <c r="B116" s="77"/>
      <c r="C116" s="217"/>
      <c r="D116" s="217"/>
      <c r="E116" s="218" t="str">
        <f aca="false">IF(OR(L87="-",L87= ""),H87,L87)</f>
        <v>Underwater Cities</v>
      </c>
      <c r="F116" s="218"/>
      <c r="G116" s="218"/>
      <c r="H116" s="218"/>
      <c r="I116" s="218"/>
      <c r="J116" s="218"/>
      <c r="K116" s="218"/>
      <c r="L116" s="218"/>
      <c r="M116" s="218"/>
      <c r="N116" s="218"/>
      <c r="O116" s="219"/>
      <c r="P116" s="219"/>
      <c r="Q116" s="219"/>
      <c r="R116" s="219"/>
      <c r="S116" s="219"/>
      <c r="T116" s="217"/>
      <c r="U116" s="77"/>
    </row>
    <row r="117" customFormat="false" ht="50.15" hidden="false" customHeight="true" outlineLevel="0" collapsed="false">
      <c r="B117" s="77"/>
      <c r="C117" s="217"/>
      <c r="D117" s="219"/>
      <c r="E117" s="125" t="s">
        <v>52</v>
      </c>
      <c r="F117" s="126" t="s">
        <v>75</v>
      </c>
      <c r="G117" s="82" t="s">
        <v>76</v>
      </c>
      <c r="H117" s="81" t="s">
        <v>77</v>
      </c>
      <c r="I117" s="59" t="s">
        <v>78</v>
      </c>
      <c r="J117" s="81" t="s">
        <v>79</v>
      </c>
      <c r="K117" s="127" t="s">
        <v>80</v>
      </c>
      <c r="L117" s="81" t="s">
        <v>81</v>
      </c>
      <c r="M117" s="128" t="s">
        <v>82</v>
      </c>
      <c r="N117" s="129" t="s">
        <v>83</v>
      </c>
      <c r="O117" s="130" t="s">
        <v>84</v>
      </c>
      <c r="P117" s="131" t="s">
        <v>85</v>
      </c>
      <c r="Q117" s="131" t="s">
        <v>86</v>
      </c>
      <c r="R117" s="197" t="s">
        <v>87</v>
      </c>
      <c r="S117" s="219"/>
      <c r="T117" s="217"/>
      <c r="U117" s="77"/>
    </row>
    <row r="118" customFormat="false" ht="20.15" hidden="false" customHeight="true" outlineLevel="0" collapsed="false">
      <c r="B118" s="77"/>
      <c r="C118" s="217"/>
      <c r="D118" s="220"/>
      <c r="E118" s="199" t="s">
        <v>13</v>
      </c>
      <c r="F118" s="200" t="s">
        <v>14</v>
      </c>
      <c r="G118" s="325" t="n">
        <v>3</v>
      </c>
      <c r="H118" s="202" t="s">
        <v>239</v>
      </c>
      <c r="I118" s="201" t="n">
        <v>2</v>
      </c>
      <c r="J118" s="201" t="n">
        <v>126</v>
      </c>
      <c r="K118" s="201" t="s">
        <v>66</v>
      </c>
      <c r="L118" s="204" t="n">
        <f aca="false">IF(J118="",0,(J118/J122)*100)</f>
        <v>100</v>
      </c>
      <c r="M118" s="201" t="n">
        <v>1</v>
      </c>
      <c r="N118" s="205" t="n">
        <v>6</v>
      </c>
      <c r="O118" s="137" t="n">
        <f aca="false">IF(M118=1,1,0)</f>
        <v>1</v>
      </c>
      <c r="P118" s="138" t="n">
        <f aca="false">IF(M118=2,1,0)</f>
        <v>0</v>
      </c>
      <c r="Q118" s="138" t="n">
        <f aca="false">IF(M118=3,1,0)</f>
        <v>0</v>
      </c>
      <c r="R118" s="139" t="n">
        <f aca="false">IF(M118=4,1,0)</f>
        <v>0</v>
      </c>
      <c r="S118" s="225"/>
      <c r="T118" s="217"/>
      <c r="U118" s="77"/>
    </row>
    <row r="119" customFormat="false" ht="20.15" hidden="false" customHeight="true" outlineLevel="0" collapsed="false">
      <c r="B119" s="77"/>
      <c r="C119" s="217"/>
      <c r="D119" s="220"/>
      <c r="E119" s="105" t="s">
        <v>39</v>
      </c>
      <c r="F119" s="290" t="s">
        <v>40</v>
      </c>
      <c r="G119" s="306" t="n">
        <v>4</v>
      </c>
      <c r="H119" s="228" t="s">
        <v>240</v>
      </c>
      <c r="I119" s="228" t="n">
        <v>2</v>
      </c>
      <c r="J119" s="228" t="n">
        <v>97</v>
      </c>
      <c r="K119" s="317" t="s">
        <v>241</v>
      </c>
      <c r="L119" s="229" t="n">
        <f aca="false">IF(J119="",0,(J119/J122)*100)</f>
        <v>76.984126984127</v>
      </c>
      <c r="M119" s="228" t="n">
        <v>3</v>
      </c>
      <c r="N119" s="230" t="n">
        <v>1</v>
      </c>
      <c r="O119" s="144" t="n">
        <f aca="false">IF(M119=1,1,0)</f>
        <v>0</v>
      </c>
      <c r="P119" s="145" t="n">
        <f aca="false">IF(M119=2,1,0)</f>
        <v>0</v>
      </c>
      <c r="Q119" s="145" t="n">
        <f aca="false">IF(M119=3,1,0)</f>
        <v>1</v>
      </c>
      <c r="R119" s="146" t="n">
        <f aca="false">IF(M119=4,1,0)</f>
        <v>0</v>
      </c>
      <c r="S119" s="225"/>
      <c r="T119" s="217"/>
      <c r="U119" s="77"/>
    </row>
    <row r="120" customFormat="false" ht="20.15" hidden="false" customHeight="true" outlineLevel="0" collapsed="false">
      <c r="B120" s="77"/>
      <c r="C120" s="217"/>
      <c r="D120" s="220"/>
      <c r="E120" s="105" t="s">
        <v>27</v>
      </c>
      <c r="F120" s="290" t="s">
        <v>28</v>
      </c>
      <c r="G120" s="306" t="n">
        <v>1</v>
      </c>
      <c r="H120" s="228" t="s">
        <v>242</v>
      </c>
      <c r="I120" s="228" t="n">
        <v>2</v>
      </c>
      <c r="J120" s="228" t="n">
        <v>97</v>
      </c>
      <c r="K120" s="228" t="s">
        <v>243</v>
      </c>
      <c r="L120" s="229" t="n">
        <f aca="false">IF(J120="",0,(J120/J122)*100)</f>
        <v>76.984126984127</v>
      </c>
      <c r="M120" s="228" t="n">
        <v>4</v>
      </c>
      <c r="N120" s="230" t="n">
        <v>0</v>
      </c>
      <c r="O120" s="144" t="n">
        <f aca="false">IF(M120=1,1,0)</f>
        <v>0</v>
      </c>
      <c r="P120" s="145" t="n">
        <f aca="false">IF(M120=2,1,0)</f>
        <v>0</v>
      </c>
      <c r="Q120" s="145" t="n">
        <f aca="false">IF(M120=3,1,0)</f>
        <v>0</v>
      </c>
      <c r="R120" s="146" t="n">
        <f aca="false">IF(M120=4,1,0)</f>
        <v>1</v>
      </c>
      <c r="S120" s="225"/>
      <c r="T120" s="217"/>
      <c r="U120" s="77"/>
    </row>
    <row r="121" customFormat="false" ht="20.15" hidden="false" customHeight="true" outlineLevel="0" collapsed="false">
      <c r="B121" s="77"/>
      <c r="C121" s="217"/>
      <c r="D121" s="231"/>
      <c r="E121" s="295" t="s">
        <v>30</v>
      </c>
      <c r="F121" s="113" t="s">
        <v>31</v>
      </c>
      <c r="G121" s="307" t="n">
        <v>2</v>
      </c>
      <c r="H121" s="234" t="s">
        <v>244</v>
      </c>
      <c r="I121" s="234" t="n">
        <v>2</v>
      </c>
      <c r="J121" s="234" t="n">
        <v>124</v>
      </c>
      <c r="K121" s="308" t="s">
        <v>66</v>
      </c>
      <c r="L121" s="235" t="n">
        <f aca="false">IF(J121="",0,(J121/J122)*100)</f>
        <v>98.4126984126984</v>
      </c>
      <c r="M121" s="234" t="n">
        <v>2</v>
      </c>
      <c r="N121" s="236" t="n">
        <v>3</v>
      </c>
      <c r="O121" s="156" t="n">
        <f aca="false">IF(M121=1,1,0)</f>
        <v>0</v>
      </c>
      <c r="P121" s="157" t="n">
        <f aca="false">IF(M121=2,1,0)</f>
        <v>1</v>
      </c>
      <c r="Q121" s="157" t="n">
        <f aca="false">IF(M121=3,1,0)</f>
        <v>0</v>
      </c>
      <c r="R121" s="158" t="n">
        <f aca="false">IF(M121=4,1,0)</f>
        <v>0</v>
      </c>
      <c r="S121" s="225"/>
      <c r="T121" s="217"/>
      <c r="U121" s="77"/>
    </row>
    <row r="122" customFormat="false" ht="20.15" hidden="true" customHeight="true" outlineLevel="1" collapsed="false">
      <c r="B122" s="77"/>
      <c r="C122" s="217"/>
      <c r="D122" s="220"/>
      <c r="E122" s="220"/>
      <c r="F122" s="225"/>
      <c r="G122" s="225"/>
      <c r="H122" s="217"/>
      <c r="I122" s="213" t="s">
        <v>92</v>
      </c>
      <c r="J122" s="161" t="n">
        <f aca="false">MAX(J118:J121)</f>
        <v>126</v>
      </c>
      <c r="K122" s="237"/>
      <c r="L122" s="225"/>
      <c r="M122" s="217"/>
      <c r="N122" s="164" t="s">
        <v>93</v>
      </c>
      <c r="O122" s="165" t="n">
        <f aca="false">SUM(O118:O121)</f>
        <v>1</v>
      </c>
      <c r="P122" s="166" t="n">
        <f aca="false">SUM(P118:P121)</f>
        <v>1</v>
      </c>
      <c r="Q122" s="165" t="n">
        <f aca="false">SUM(Q118:Q121)</f>
        <v>1</v>
      </c>
      <c r="R122" s="187" t="n">
        <f aca="false">SUM(R118:R121)</f>
        <v>1</v>
      </c>
      <c r="S122" s="238"/>
      <c r="T122" s="217"/>
      <c r="U122" s="77"/>
    </row>
    <row r="123" customFormat="false" ht="20.15" hidden="false" customHeight="true" outlineLevel="0" collapsed="false">
      <c r="B123" s="77"/>
      <c r="C123" s="217"/>
      <c r="D123" s="239"/>
      <c r="E123" s="239"/>
      <c r="F123" s="217"/>
      <c r="G123" s="217"/>
      <c r="H123" s="217"/>
      <c r="I123" s="217"/>
      <c r="J123" s="217"/>
      <c r="K123" s="217"/>
      <c r="L123" s="217"/>
      <c r="M123" s="217"/>
      <c r="N123" s="217"/>
      <c r="O123" s="217"/>
      <c r="P123" s="217"/>
      <c r="Q123" s="217"/>
      <c r="R123" s="217"/>
      <c r="S123" s="217"/>
      <c r="T123" s="217"/>
      <c r="U123" s="77"/>
    </row>
    <row r="124" customFormat="false" ht="20.15" hidden="false" customHeight="true" outlineLevel="0" collapsed="false">
      <c r="B124" s="77"/>
      <c r="D124" s="5"/>
      <c r="E124" s="5"/>
      <c r="F124" s="5"/>
      <c r="G124" s="5"/>
      <c r="H124" s="5"/>
      <c r="I124" s="5"/>
      <c r="J124" s="5"/>
      <c r="K124" s="14"/>
      <c r="L124" s="14"/>
      <c r="M124" s="14"/>
      <c r="N124" s="14"/>
      <c r="O124" s="14"/>
      <c r="P124" s="14"/>
      <c r="Q124" s="14"/>
      <c r="R124" s="14"/>
      <c r="S124" s="14"/>
      <c r="U124" s="77"/>
    </row>
    <row r="125" customFormat="false" ht="30" hidden="false" customHeight="true" outlineLevel="0" collapsed="false">
      <c r="B125" s="77"/>
      <c r="C125" s="240"/>
      <c r="D125" s="241" t="s">
        <v>135</v>
      </c>
      <c r="E125" s="241"/>
      <c r="F125" s="241"/>
      <c r="G125" s="241"/>
      <c r="H125" s="241"/>
      <c r="I125" s="241"/>
      <c r="J125" s="241"/>
      <c r="K125" s="241"/>
      <c r="L125" s="241"/>
      <c r="M125" s="241"/>
      <c r="N125" s="241"/>
      <c r="O125" s="241"/>
      <c r="P125" s="241"/>
      <c r="Q125" s="241"/>
      <c r="R125" s="241"/>
      <c r="S125" s="241"/>
      <c r="T125" s="240"/>
      <c r="U125" s="77"/>
    </row>
    <row r="126" customFormat="false" ht="50.15" hidden="false" customHeight="true" outlineLevel="0" collapsed="false">
      <c r="B126" s="77"/>
      <c r="C126" s="240"/>
      <c r="D126" s="242" t="s">
        <v>52</v>
      </c>
      <c r="E126" s="243" t="s">
        <v>53</v>
      </c>
      <c r="F126" s="244" t="s">
        <v>83</v>
      </c>
      <c r="G126" s="245" t="s">
        <v>102</v>
      </c>
      <c r="H126" s="246" t="s">
        <v>103</v>
      </c>
      <c r="I126" s="246"/>
      <c r="J126" s="247" t="s">
        <v>104</v>
      </c>
      <c r="K126" s="248" t="s">
        <v>105</v>
      </c>
      <c r="L126" s="244" t="s">
        <v>106</v>
      </c>
      <c r="M126" s="248" t="s">
        <v>107</v>
      </c>
      <c r="N126" s="244" t="s">
        <v>108</v>
      </c>
      <c r="O126" s="249"/>
      <c r="P126" s="250"/>
      <c r="Q126" s="250"/>
      <c r="R126" s="250"/>
      <c r="S126" s="243" t="s">
        <v>109</v>
      </c>
      <c r="T126" s="240"/>
      <c r="U126" s="77"/>
    </row>
    <row r="127" customFormat="false" ht="20.15" hidden="false" customHeight="true" outlineLevel="0" collapsed="false">
      <c r="B127" s="77"/>
      <c r="C127" s="240"/>
      <c r="D127" s="251" t="s">
        <v>13</v>
      </c>
      <c r="E127" s="17" t="s">
        <v>14</v>
      </c>
      <c r="F127" s="327" t="n">
        <f aca="false">K127*6+L127*3+M127*1+N127*0</f>
        <v>19</v>
      </c>
      <c r="G127" s="328" t="n">
        <v>0</v>
      </c>
      <c r="H127" s="328" t="s">
        <v>66</v>
      </c>
      <c r="I127" s="328"/>
      <c r="J127" s="327" t="n">
        <f aca="false">F127+G127</f>
        <v>19</v>
      </c>
      <c r="K127" s="327" t="n">
        <v>3</v>
      </c>
      <c r="L127" s="327" t="n">
        <v>0</v>
      </c>
      <c r="M127" s="327" t="n">
        <v>1</v>
      </c>
      <c r="N127" s="327" t="n">
        <v>0</v>
      </c>
      <c r="O127" s="16"/>
      <c r="P127" s="328"/>
      <c r="Q127" s="328"/>
      <c r="R127" s="328"/>
      <c r="S127" s="329" t="n">
        <f aca="false">(L91+L100+L109+L118)/4</f>
        <v>95.2205882352941</v>
      </c>
      <c r="T127" s="240"/>
      <c r="U127" s="77"/>
    </row>
    <row r="128" customFormat="false" ht="20.15" hidden="false" customHeight="true" outlineLevel="0" collapsed="false">
      <c r="B128" s="77"/>
      <c r="C128" s="240"/>
      <c r="D128" s="257" t="s">
        <v>30</v>
      </c>
      <c r="E128" s="264" t="s">
        <v>31</v>
      </c>
      <c r="F128" s="330" t="n">
        <f aca="false">K128*6+L128*3+M128*1+N128*0</f>
        <v>11</v>
      </c>
      <c r="G128" s="331" t="n">
        <v>0</v>
      </c>
      <c r="H128" s="331" t="s">
        <v>66</v>
      </c>
      <c r="I128" s="331"/>
      <c r="J128" s="330" t="n">
        <f aca="false">F128+G128</f>
        <v>11</v>
      </c>
      <c r="K128" s="330" t="n">
        <v>1</v>
      </c>
      <c r="L128" s="330" t="n">
        <v>1</v>
      </c>
      <c r="M128" s="330" t="n">
        <v>2</v>
      </c>
      <c r="N128" s="330" t="n">
        <v>0</v>
      </c>
      <c r="O128" s="332"/>
      <c r="P128" s="331"/>
      <c r="Q128" s="331"/>
      <c r="R128" s="331"/>
      <c r="S128" s="333" t="n">
        <f aca="false">(L94+L103+L112+L121)/4</f>
        <v>81.0248260721813</v>
      </c>
      <c r="T128" s="240"/>
      <c r="U128" s="77"/>
      <c r="W128" s="334"/>
      <c r="X128" s="334"/>
      <c r="Y128" s="23"/>
      <c r="Z128" s="23"/>
      <c r="AA128" s="335"/>
      <c r="AB128" s="335"/>
      <c r="AC128" s="336"/>
      <c r="AD128" s="336"/>
      <c r="AE128" s="336"/>
    </row>
    <row r="129" customFormat="false" ht="20.15" hidden="false" customHeight="true" outlineLevel="0" collapsed="false">
      <c r="B129" s="77"/>
      <c r="C129" s="240"/>
      <c r="D129" s="257" t="s">
        <v>27</v>
      </c>
      <c r="E129" s="258" t="s">
        <v>28</v>
      </c>
      <c r="F129" s="330" t="n">
        <f aca="false">K129*6+L129*3+M129*1+N129*0</f>
        <v>9</v>
      </c>
      <c r="G129" s="331" t="n">
        <v>0</v>
      </c>
      <c r="H129" s="331" t="s">
        <v>66</v>
      </c>
      <c r="I129" s="331"/>
      <c r="J129" s="330" t="n">
        <f aca="false">F129+G129</f>
        <v>9</v>
      </c>
      <c r="K129" s="330" t="n">
        <v>0</v>
      </c>
      <c r="L129" s="330" t="n">
        <v>3</v>
      </c>
      <c r="M129" s="330" t="n">
        <v>0</v>
      </c>
      <c r="N129" s="330" t="n">
        <v>1</v>
      </c>
      <c r="O129" s="332"/>
      <c r="P129" s="331"/>
      <c r="Q129" s="331"/>
      <c r="R129" s="331"/>
      <c r="S129" s="333" t="n">
        <f aca="false">(L93+L102+L111+L120)/4</f>
        <v>88.1141939287109</v>
      </c>
      <c r="T129" s="240"/>
      <c r="U129" s="77"/>
    </row>
    <row r="130" customFormat="false" ht="20.15" hidden="false" customHeight="true" outlineLevel="0" collapsed="false">
      <c r="B130" s="77"/>
      <c r="C130" s="240"/>
      <c r="D130" s="337" t="s">
        <v>39</v>
      </c>
      <c r="E130" s="385" t="s">
        <v>40</v>
      </c>
      <c r="F130" s="338" t="n">
        <f aca="false">K130*6+L130*3+M130*1+N130*0</f>
        <v>1</v>
      </c>
      <c r="G130" s="339" t="n">
        <v>0</v>
      </c>
      <c r="H130" s="339" t="s">
        <v>66</v>
      </c>
      <c r="I130" s="339"/>
      <c r="J130" s="338" t="n">
        <f aca="false">F130+G130</f>
        <v>1</v>
      </c>
      <c r="K130" s="338" t="n">
        <v>0</v>
      </c>
      <c r="L130" s="338" t="n">
        <v>0</v>
      </c>
      <c r="M130" s="338" t="n">
        <v>1</v>
      </c>
      <c r="N130" s="338" t="n">
        <v>3</v>
      </c>
      <c r="O130" s="340"/>
      <c r="P130" s="339"/>
      <c r="Q130" s="339"/>
      <c r="R130" s="339"/>
      <c r="S130" s="341" t="n">
        <f aca="false">(L92++L101+L110+L119)/4</f>
        <v>62.9538390354862</v>
      </c>
      <c r="T130" s="240"/>
      <c r="U130" s="77"/>
    </row>
    <row r="131" customFormat="false" ht="20.15" hidden="false" customHeight="true" outlineLevel="0" collapsed="false">
      <c r="B131" s="77"/>
      <c r="C131" s="240"/>
      <c r="D131" s="240"/>
      <c r="E131" s="240"/>
      <c r="F131" s="342"/>
      <c r="G131" s="342"/>
      <c r="H131" s="342"/>
      <c r="I131" s="342"/>
      <c r="J131" s="342"/>
      <c r="K131" s="342"/>
      <c r="L131" s="342"/>
      <c r="M131" s="342"/>
      <c r="N131" s="342"/>
      <c r="O131" s="342"/>
      <c r="P131" s="342"/>
      <c r="Q131" s="342"/>
      <c r="R131" s="342"/>
      <c r="S131" s="342"/>
      <c r="T131" s="240"/>
      <c r="U131" s="77"/>
    </row>
    <row r="132" customFormat="false" ht="20.15" hidden="false" customHeight="true" outlineLevel="0" collapsed="false">
      <c r="B132" s="77"/>
      <c r="C132" s="77"/>
      <c r="D132" s="270"/>
      <c r="E132" s="270"/>
      <c r="F132" s="195"/>
      <c r="G132" s="195"/>
      <c r="H132" s="270"/>
      <c r="I132" s="270"/>
      <c r="J132" s="270"/>
      <c r="K132" s="207"/>
      <c r="L132" s="207"/>
      <c r="M132" s="207"/>
      <c r="N132" s="207"/>
      <c r="O132" s="207"/>
      <c r="P132" s="207"/>
      <c r="Q132" s="207"/>
      <c r="R132" s="207"/>
      <c r="S132" s="207"/>
      <c r="T132" s="77"/>
      <c r="U132" s="77"/>
    </row>
    <row r="133" customFormat="false" ht="20.15" hidden="false" customHeight="true" outlineLevel="0" collapsed="false"/>
    <row r="134" customFormat="false" ht="20.15" hidden="false" customHeight="true" outlineLevel="0" collapsed="false"/>
    <row r="135" customFormat="false" ht="20.15" hidden="false" customHeight="true" outlineLevel="0" collapsed="false">
      <c r="B135" s="77"/>
      <c r="C135" s="77"/>
      <c r="D135" s="78"/>
      <c r="E135" s="78"/>
      <c r="F135" s="78"/>
      <c r="G135" s="78"/>
      <c r="H135" s="77"/>
      <c r="I135" s="77"/>
      <c r="J135" s="77"/>
      <c r="K135" s="77"/>
      <c r="L135" s="77"/>
      <c r="M135" s="77"/>
      <c r="N135" s="77"/>
      <c r="O135" s="77"/>
      <c r="P135" s="77"/>
      <c r="Q135" s="77"/>
      <c r="R135" s="77"/>
      <c r="S135" s="77"/>
      <c r="T135" s="77"/>
      <c r="U135" s="77"/>
    </row>
    <row r="136" customFormat="false" ht="30" hidden="false" customHeight="true" outlineLevel="0" collapsed="false">
      <c r="B136" s="77"/>
      <c r="C136" s="79" t="s">
        <v>136</v>
      </c>
      <c r="D136" s="79"/>
      <c r="E136" s="79"/>
      <c r="F136" s="79"/>
      <c r="G136" s="79"/>
      <c r="H136" s="79"/>
      <c r="I136" s="79"/>
      <c r="J136" s="79"/>
      <c r="K136" s="79"/>
      <c r="L136" s="79"/>
      <c r="M136" s="79"/>
      <c r="N136" s="79"/>
      <c r="O136" s="79"/>
      <c r="P136" s="79"/>
      <c r="Q136" s="79"/>
      <c r="R136" s="79"/>
      <c r="S136" s="79"/>
      <c r="T136" s="79"/>
      <c r="U136" s="77"/>
    </row>
    <row r="137" customFormat="false" ht="20.15" hidden="false" customHeight="true" outlineLevel="0" collapsed="false">
      <c r="B137" s="77"/>
      <c r="D137" s="121"/>
      <c r="E137" s="121"/>
      <c r="U137" s="77"/>
    </row>
    <row r="138" customFormat="false" ht="20.15" hidden="false" customHeight="true" outlineLevel="0" collapsed="false">
      <c r="B138" s="77"/>
      <c r="D138" s="80" t="s">
        <v>52</v>
      </c>
      <c r="E138" s="81" t="s">
        <v>111</v>
      </c>
      <c r="F138" s="82" t="s">
        <v>12</v>
      </c>
      <c r="G138" s="275" t="s">
        <v>54</v>
      </c>
      <c r="H138" s="275"/>
      <c r="I138" s="275"/>
      <c r="J138" s="275"/>
      <c r="K138" s="81" t="s">
        <v>55</v>
      </c>
      <c r="L138" s="83" t="s">
        <v>56</v>
      </c>
      <c r="M138" s="83"/>
      <c r="N138" s="83"/>
      <c r="O138" s="83"/>
      <c r="P138" s="83"/>
      <c r="Q138" s="83"/>
      <c r="R138" s="83"/>
      <c r="S138" s="83"/>
      <c r="U138" s="77"/>
    </row>
    <row r="139" customFormat="false" ht="20.15" hidden="false" customHeight="true" outlineLevel="0" collapsed="false">
      <c r="B139" s="77"/>
      <c r="D139" s="80"/>
      <c r="E139" s="81"/>
      <c r="F139" s="81"/>
      <c r="G139" s="85" t="s">
        <v>57</v>
      </c>
      <c r="H139" s="84" t="s">
        <v>58</v>
      </c>
      <c r="I139" s="82" t="s">
        <v>59</v>
      </c>
      <c r="J139" s="82"/>
      <c r="K139" s="84" t="s">
        <v>60</v>
      </c>
      <c r="L139" s="276" t="s">
        <v>57</v>
      </c>
      <c r="M139" s="277" t="s">
        <v>61</v>
      </c>
      <c r="N139" s="278" t="s">
        <v>59</v>
      </c>
      <c r="O139" s="278"/>
      <c r="P139" s="278"/>
      <c r="Q139" s="278"/>
      <c r="R139" s="278"/>
      <c r="S139" s="278"/>
      <c r="U139" s="77"/>
    </row>
    <row r="140" customFormat="false" ht="50.15" hidden="false" customHeight="true" outlineLevel="0" collapsed="false">
      <c r="B140" s="77"/>
      <c r="D140" s="367" t="s">
        <v>21</v>
      </c>
      <c r="E140" s="372" t="s">
        <v>22</v>
      </c>
      <c r="F140" s="343" t="n">
        <v>1</v>
      </c>
      <c r="G140" s="344" t="s">
        <v>67</v>
      </c>
      <c r="H140" s="281" t="s">
        <v>245</v>
      </c>
      <c r="I140" s="91" t="s">
        <v>232</v>
      </c>
      <c r="J140" s="91"/>
      <c r="K140" s="345" t="s">
        <v>65</v>
      </c>
      <c r="L140" s="344" t="s">
        <v>67</v>
      </c>
      <c r="M140" s="281" t="s">
        <v>246</v>
      </c>
      <c r="N140" s="427" t="s">
        <v>66</v>
      </c>
      <c r="O140" s="427"/>
      <c r="P140" s="427"/>
      <c r="Q140" s="427"/>
      <c r="R140" s="427"/>
      <c r="S140" s="427"/>
      <c r="U140" s="77"/>
    </row>
    <row r="141" customFormat="false" ht="50.15" hidden="false" customHeight="true" outlineLevel="0" collapsed="false">
      <c r="B141" s="77"/>
      <c r="D141" s="105" t="s">
        <v>41</v>
      </c>
      <c r="E141" s="96" t="s">
        <v>42</v>
      </c>
      <c r="F141" s="346" t="n">
        <v>2</v>
      </c>
      <c r="G141" s="347" t="s">
        <v>67</v>
      </c>
      <c r="H141" s="99" t="s">
        <v>247</v>
      </c>
      <c r="I141" s="100" t="s">
        <v>248</v>
      </c>
      <c r="J141" s="100"/>
      <c r="K141" s="428" t="s">
        <v>249</v>
      </c>
      <c r="L141" s="102" t="s">
        <v>66</v>
      </c>
      <c r="M141" s="103" t="s">
        <v>66</v>
      </c>
      <c r="N141" s="104" t="s">
        <v>66</v>
      </c>
      <c r="O141" s="104"/>
      <c r="P141" s="104"/>
      <c r="Q141" s="104"/>
      <c r="R141" s="104"/>
      <c r="S141" s="104"/>
      <c r="U141" s="77"/>
    </row>
    <row r="142" customFormat="false" ht="80.15" hidden="false" customHeight="true" outlineLevel="0" collapsed="false">
      <c r="B142" s="77"/>
      <c r="D142" s="105" t="s">
        <v>33</v>
      </c>
      <c r="E142" s="312" t="s">
        <v>34</v>
      </c>
      <c r="F142" s="346" t="n">
        <v>3</v>
      </c>
      <c r="G142" s="349" t="s">
        <v>71</v>
      </c>
      <c r="H142" s="107" t="s">
        <v>250</v>
      </c>
      <c r="I142" s="108" t="s">
        <v>251</v>
      </c>
      <c r="J142" s="108"/>
      <c r="K142" s="429" t="s">
        <v>245</v>
      </c>
      <c r="L142" s="102" t="s">
        <v>66</v>
      </c>
      <c r="M142" s="103" t="s">
        <v>66</v>
      </c>
      <c r="N142" s="104" t="s">
        <v>66</v>
      </c>
      <c r="O142" s="104"/>
      <c r="P142" s="104"/>
      <c r="Q142" s="104"/>
      <c r="R142" s="104"/>
      <c r="S142" s="104"/>
      <c r="U142" s="77"/>
    </row>
    <row r="143" customFormat="false" ht="35.15" hidden="false" customHeight="true" outlineLevel="0" collapsed="false">
      <c r="B143" s="77"/>
      <c r="D143" s="295" t="s">
        <v>49</v>
      </c>
      <c r="E143" s="113" t="s">
        <v>50</v>
      </c>
      <c r="F143" s="350" t="n">
        <v>4</v>
      </c>
      <c r="G143" s="351" t="s">
        <v>67</v>
      </c>
      <c r="H143" s="101" t="s">
        <v>249</v>
      </c>
      <c r="I143" s="116" t="s">
        <v>66</v>
      </c>
      <c r="J143" s="116"/>
      <c r="K143" s="430" t="s">
        <v>231</v>
      </c>
      <c r="L143" s="353" t="s">
        <v>66</v>
      </c>
      <c r="M143" s="354" t="s">
        <v>66</v>
      </c>
      <c r="N143" s="120" t="s">
        <v>66</v>
      </c>
      <c r="O143" s="120"/>
      <c r="P143" s="120"/>
      <c r="Q143" s="120"/>
      <c r="R143" s="120"/>
      <c r="S143" s="120"/>
      <c r="U143" s="77"/>
    </row>
    <row r="144" customFormat="false" ht="20.15" hidden="false" customHeight="true" outlineLevel="0" collapsed="false">
      <c r="B144" s="77"/>
      <c r="D144" s="121"/>
      <c r="E144" s="121"/>
      <c r="U144" s="77"/>
    </row>
    <row r="145" customFormat="false" ht="20.15" hidden="false" customHeight="true" outlineLevel="0" collapsed="false">
      <c r="B145" s="77"/>
      <c r="C145" s="122"/>
      <c r="D145" s="122"/>
      <c r="E145" s="123" t="str">
        <f aca="false">IF(OR(M140="-",M140= ""),H140,M140)</f>
        <v>Carnegie</v>
      </c>
      <c r="F145" s="123"/>
      <c r="G145" s="123"/>
      <c r="H145" s="123"/>
      <c r="I145" s="123"/>
      <c r="J145" s="123"/>
      <c r="K145" s="123"/>
      <c r="L145" s="123"/>
      <c r="M145" s="123"/>
      <c r="N145" s="123"/>
      <c r="O145" s="124"/>
      <c r="P145" s="124"/>
      <c r="Q145" s="124"/>
      <c r="R145" s="124"/>
      <c r="S145" s="124"/>
      <c r="T145" s="122"/>
      <c r="U145" s="77"/>
    </row>
    <row r="146" customFormat="false" ht="50.15" hidden="false" customHeight="true" outlineLevel="0" collapsed="false">
      <c r="B146" s="77"/>
      <c r="C146" s="122"/>
      <c r="D146" s="124"/>
      <c r="E146" s="125" t="s">
        <v>52</v>
      </c>
      <c r="F146" s="126" t="s">
        <v>75</v>
      </c>
      <c r="G146" s="82" t="s">
        <v>76</v>
      </c>
      <c r="H146" s="81" t="s">
        <v>77</v>
      </c>
      <c r="I146" s="59" t="s">
        <v>78</v>
      </c>
      <c r="J146" s="81" t="s">
        <v>79</v>
      </c>
      <c r="K146" s="127" t="s">
        <v>80</v>
      </c>
      <c r="L146" s="81" t="s">
        <v>81</v>
      </c>
      <c r="M146" s="128" t="s">
        <v>82</v>
      </c>
      <c r="N146" s="129" t="s">
        <v>83</v>
      </c>
      <c r="O146" s="130" t="s">
        <v>84</v>
      </c>
      <c r="P146" s="131" t="s">
        <v>85</v>
      </c>
      <c r="Q146" s="131" t="s">
        <v>86</v>
      </c>
      <c r="R146" s="197" t="s">
        <v>87</v>
      </c>
      <c r="S146" s="124"/>
      <c r="T146" s="122"/>
      <c r="U146" s="77"/>
    </row>
    <row r="147" customFormat="false" ht="20.15" hidden="false" customHeight="true" outlineLevel="0" collapsed="false">
      <c r="B147" s="77"/>
      <c r="C147" s="122"/>
      <c r="D147" s="152"/>
      <c r="E147" s="416" t="s">
        <v>21</v>
      </c>
      <c r="F147" s="380" t="s">
        <v>22</v>
      </c>
      <c r="G147" s="325" t="n">
        <v>2</v>
      </c>
      <c r="H147" s="201" t="s">
        <v>66</v>
      </c>
      <c r="I147" s="201" t="n">
        <v>0</v>
      </c>
      <c r="J147" s="201" t="n">
        <v>171</v>
      </c>
      <c r="K147" s="201" t="s">
        <v>66</v>
      </c>
      <c r="L147" s="204" t="n">
        <f aca="false">IF(J147="",0,(J147/J151)*100)</f>
        <v>100</v>
      </c>
      <c r="M147" s="201" t="n">
        <v>1</v>
      </c>
      <c r="N147" s="205" t="n">
        <v>6</v>
      </c>
      <c r="O147" s="137" t="n">
        <f aca="false">IF(M147=1,1,0)</f>
        <v>1</v>
      </c>
      <c r="P147" s="138" t="n">
        <f aca="false">IF(M147=2,1,0)</f>
        <v>0</v>
      </c>
      <c r="Q147" s="138" t="n">
        <f aca="false">IF(M147=3,1,0)</f>
        <v>0</v>
      </c>
      <c r="R147" s="139" t="n">
        <f aca="false">IF(M147=4,1,0)</f>
        <v>0</v>
      </c>
      <c r="S147" s="140"/>
      <c r="T147" s="122"/>
      <c r="U147" s="77"/>
    </row>
    <row r="148" customFormat="false" ht="20.15" hidden="false" customHeight="true" outlineLevel="0" collapsed="false">
      <c r="B148" s="77"/>
      <c r="C148" s="122"/>
      <c r="D148" s="132"/>
      <c r="E148" s="105" t="s">
        <v>41</v>
      </c>
      <c r="F148" s="96" t="s">
        <v>42</v>
      </c>
      <c r="G148" s="306" t="n">
        <v>3</v>
      </c>
      <c r="H148" s="228" t="s">
        <v>66</v>
      </c>
      <c r="I148" s="228" t="n">
        <v>0</v>
      </c>
      <c r="J148" s="228" t="n">
        <v>141</v>
      </c>
      <c r="K148" s="317" t="s">
        <v>66</v>
      </c>
      <c r="L148" s="229" t="n">
        <f aca="false">IF(J148="",0,(J148/J151)*100)</f>
        <v>82.4561403508772</v>
      </c>
      <c r="M148" s="228" t="n">
        <v>2</v>
      </c>
      <c r="N148" s="230" t="n">
        <v>3</v>
      </c>
      <c r="O148" s="144" t="n">
        <f aca="false">IF(M148=1,1,0)</f>
        <v>0</v>
      </c>
      <c r="P148" s="145" t="n">
        <f aca="false">IF(M148=2,1,0)</f>
        <v>1</v>
      </c>
      <c r="Q148" s="145" t="n">
        <f aca="false">IF(M148=3,1,0)</f>
        <v>0</v>
      </c>
      <c r="R148" s="146" t="n">
        <f aca="false">IF(M148=4,1,0)</f>
        <v>0</v>
      </c>
      <c r="S148" s="140"/>
      <c r="T148" s="122"/>
      <c r="U148" s="77"/>
    </row>
    <row r="149" customFormat="false" ht="20.15" hidden="false" customHeight="true" outlineLevel="0" collapsed="false">
      <c r="B149" s="77"/>
      <c r="C149" s="122"/>
      <c r="D149" s="132"/>
      <c r="E149" s="105" t="s">
        <v>33</v>
      </c>
      <c r="F149" s="312" t="s">
        <v>34</v>
      </c>
      <c r="G149" s="306" t="n">
        <v>4</v>
      </c>
      <c r="H149" s="228" t="s">
        <v>66</v>
      </c>
      <c r="I149" s="228" t="n">
        <v>0</v>
      </c>
      <c r="J149" s="228" t="n">
        <v>89</v>
      </c>
      <c r="K149" s="228" t="s">
        <v>66</v>
      </c>
      <c r="L149" s="229" t="n">
        <f aca="false">IF(J149="",0,(J149/J151)*100)</f>
        <v>52.046783625731</v>
      </c>
      <c r="M149" s="228" t="n">
        <v>4</v>
      </c>
      <c r="N149" s="230" t="n">
        <v>0</v>
      </c>
      <c r="O149" s="144" t="n">
        <f aca="false">IF(M149=1,1,0)</f>
        <v>0</v>
      </c>
      <c r="P149" s="145" t="n">
        <f aca="false">IF(M149=2,1,0)</f>
        <v>0</v>
      </c>
      <c r="Q149" s="145" t="n">
        <f aca="false">IF(M149=3,1,0)</f>
        <v>0</v>
      </c>
      <c r="R149" s="146" t="n">
        <f aca="false">IF(M149=4,1,0)</f>
        <v>1</v>
      </c>
      <c r="S149" s="140"/>
      <c r="T149" s="122"/>
      <c r="U149" s="77"/>
    </row>
    <row r="150" customFormat="false" ht="20.15" hidden="false" customHeight="true" outlineLevel="0" collapsed="false">
      <c r="B150" s="77"/>
      <c r="C150" s="122"/>
      <c r="D150" s="132"/>
      <c r="E150" s="295" t="s">
        <v>49</v>
      </c>
      <c r="F150" s="113" t="s">
        <v>50</v>
      </c>
      <c r="G150" s="307" t="n">
        <v>1</v>
      </c>
      <c r="H150" s="234" t="s">
        <v>66</v>
      </c>
      <c r="I150" s="234" t="n">
        <v>0</v>
      </c>
      <c r="J150" s="234" t="n">
        <v>92</v>
      </c>
      <c r="K150" s="308" t="s">
        <v>66</v>
      </c>
      <c r="L150" s="235" t="n">
        <f aca="false">IF(J150="",0,(J150/J151)*100)</f>
        <v>53.8011695906433</v>
      </c>
      <c r="M150" s="234" t="n">
        <v>3</v>
      </c>
      <c r="N150" s="236" t="n">
        <v>1</v>
      </c>
      <c r="O150" s="156" t="n">
        <f aca="false">IF(M150=1,1,0)</f>
        <v>0</v>
      </c>
      <c r="P150" s="157" t="n">
        <f aca="false">IF(M150=2,1,0)</f>
        <v>0</v>
      </c>
      <c r="Q150" s="157" t="n">
        <f aca="false">IF(M150=3,1,0)</f>
        <v>1</v>
      </c>
      <c r="R150" s="158" t="n">
        <f aca="false">IF(M150=4,1,0)</f>
        <v>0</v>
      </c>
      <c r="S150" s="140"/>
      <c r="T150" s="122"/>
      <c r="U150" s="77"/>
    </row>
    <row r="151" customFormat="false" ht="20.15" hidden="true" customHeight="true" outlineLevel="1" collapsed="false">
      <c r="B151" s="77"/>
      <c r="C151" s="122"/>
      <c r="D151" s="152"/>
      <c r="E151" s="152"/>
      <c r="F151" s="140"/>
      <c r="G151" s="140"/>
      <c r="H151" s="122"/>
      <c r="I151" s="213" t="s">
        <v>92</v>
      </c>
      <c r="J151" s="161" t="n">
        <f aca="false">MAX(J147:J150)</f>
        <v>171</v>
      </c>
      <c r="K151" s="309"/>
      <c r="L151" s="167"/>
      <c r="M151" s="122"/>
      <c r="N151" s="164" t="s">
        <v>93</v>
      </c>
      <c r="O151" s="165" t="n">
        <f aca="false">SUM(O147:O150)</f>
        <v>1</v>
      </c>
      <c r="P151" s="166" t="n">
        <f aca="false">SUM(P147:P150)</f>
        <v>1</v>
      </c>
      <c r="Q151" s="165" t="n">
        <f aca="false">SUM(Q147:Q150)</f>
        <v>1</v>
      </c>
      <c r="R151" s="187" t="n">
        <f aca="false">SUM(R147:R150)</f>
        <v>1</v>
      </c>
      <c r="S151" s="167"/>
      <c r="T151" s="122"/>
      <c r="U151" s="77"/>
    </row>
    <row r="152" customFormat="false" ht="20.15" hidden="false" customHeight="true" outlineLevel="0" collapsed="false">
      <c r="B152" s="77"/>
      <c r="C152" s="122"/>
      <c r="D152" s="168"/>
      <c r="E152" s="168"/>
      <c r="F152" s="122"/>
      <c r="G152" s="122"/>
      <c r="H152" s="122"/>
      <c r="I152" s="122"/>
      <c r="J152" s="122"/>
      <c r="K152" s="122"/>
      <c r="L152" s="122"/>
      <c r="M152" s="122"/>
      <c r="N152" s="122"/>
      <c r="O152" s="122"/>
      <c r="P152" s="122"/>
      <c r="Q152" s="122"/>
      <c r="R152" s="122"/>
      <c r="S152" s="122"/>
      <c r="T152" s="122"/>
      <c r="U152" s="77"/>
    </row>
    <row r="153" customFormat="false" ht="20.15" hidden="false" customHeight="true" outlineLevel="0" collapsed="false">
      <c r="B153" s="77"/>
      <c r="U153" s="77"/>
    </row>
    <row r="154" customFormat="false" ht="20.15" hidden="false" customHeight="true" outlineLevel="0" collapsed="false">
      <c r="B154" s="77"/>
      <c r="C154" s="170"/>
      <c r="D154" s="170"/>
      <c r="E154" s="171" t="str">
        <f aca="false">IF(OR(L141="-",L141= ""),H141,L141)</f>
        <v>Kingdomino</v>
      </c>
      <c r="F154" s="171"/>
      <c r="G154" s="171"/>
      <c r="H154" s="171"/>
      <c r="I154" s="171"/>
      <c r="J154" s="171"/>
      <c r="K154" s="171"/>
      <c r="L154" s="171"/>
      <c r="M154" s="171"/>
      <c r="N154" s="171"/>
      <c r="O154" s="172"/>
      <c r="P154" s="172"/>
      <c r="Q154" s="172"/>
      <c r="R154" s="172"/>
      <c r="S154" s="172"/>
      <c r="T154" s="170"/>
      <c r="U154" s="77"/>
    </row>
    <row r="155" customFormat="false" ht="50.15" hidden="false" customHeight="true" outlineLevel="0" collapsed="false">
      <c r="B155" s="77"/>
      <c r="C155" s="170"/>
      <c r="D155" s="172"/>
      <c r="E155" s="125" t="s">
        <v>52</v>
      </c>
      <c r="F155" s="126" t="s">
        <v>75</v>
      </c>
      <c r="G155" s="82" t="s">
        <v>76</v>
      </c>
      <c r="H155" s="81" t="s">
        <v>77</v>
      </c>
      <c r="I155" s="59" t="s">
        <v>78</v>
      </c>
      <c r="J155" s="81" t="s">
        <v>79</v>
      </c>
      <c r="K155" s="127" t="s">
        <v>80</v>
      </c>
      <c r="L155" s="81" t="s">
        <v>81</v>
      </c>
      <c r="M155" s="128" t="s">
        <v>82</v>
      </c>
      <c r="N155" s="129" t="s">
        <v>83</v>
      </c>
      <c r="O155" s="130" t="s">
        <v>84</v>
      </c>
      <c r="P155" s="131" t="s">
        <v>85</v>
      </c>
      <c r="Q155" s="131" t="s">
        <v>86</v>
      </c>
      <c r="R155" s="197" t="s">
        <v>87</v>
      </c>
      <c r="S155" s="172"/>
      <c r="T155" s="170"/>
      <c r="U155" s="77"/>
    </row>
    <row r="156" customFormat="false" ht="20.15" hidden="false" customHeight="true" outlineLevel="0" collapsed="false">
      <c r="B156" s="77"/>
      <c r="C156" s="170"/>
      <c r="D156" s="177"/>
      <c r="E156" s="367" t="s">
        <v>21</v>
      </c>
      <c r="F156" s="372" t="s">
        <v>22</v>
      </c>
      <c r="G156" s="304" t="n">
        <v>2</v>
      </c>
      <c r="H156" s="221" t="s">
        <v>66</v>
      </c>
      <c r="I156" s="221" t="n">
        <v>0</v>
      </c>
      <c r="J156" s="221" t="n">
        <v>50</v>
      </c>
      <c r="K156" s="221" t="s">
        <v>66</v>
      </c>
      <c r="L156" s="223" t="n">
        <f aca="false">IF(J156="",0,(J156/J160)*100)</f>
        <v>80.6451612903226</v>
      </c>
      <c r="M156" s="221" t="n">
        <v>2</v>
      </c>
      <c r="N156" s="224" t="n">
        <v>3</v>
      </c>
      <c r="O156" s="137" t="n">
        <f aca="false">IF(M156=1,1,0)</f>
        <v>0</v>
      </c>
      <c r="P156" s="138" t="n">
        <f aca="false">IF(M156=2,1,0)</f>
        <v>1</v>
      </c>
      <c r="Q156" s="138" t="n">
        <f aca="false">IF(M156=3,1,0)</f>
        <v>0</v>
      </c>
      <c r="R156" s="139" t="n">
        <f aca="false">IF(M156=4,1,0)</f>
        <v>0</v>
      </c>
      <c r="S156" s="176"/>
      <c r="T156" s="170"/>
      <c r="U156" s="77"/>
    </row>
    <row r="157" customFormat="false" ht="20.15" hidden="false" customHeight="true" outlineLevel="0" collapsed="false">
      <c r="B157" s="77"/>
      <c r="C157" s="170"/>
      <c r="D157" s="173"/>
      <c r="E157" s="105" t="s">
        <v>41</v>
      </c>
      <c r="F157" s="96" t="s">
        <v>42</v>
      </c>
      <c r="G157" s="306" t="n">
        <v>4</v>
      </c>
      <c r="H157" s="228" t="s">
        <v>66</v>
      </c>
      <c r="I157" s="228" t="n">
        <v>0</v>
      </c>
      <c r="J157" s="228" t="n">
        <v>36</v>
      </c>
      <c r="K157" s="317" t="s">
        <v>66</v>
      </c>
      <c r="L157" s="229" t="n">
        <f aca="false">IF(J157="",0,(J157/J160)*100)</f>
        <v>58.0645161290323</v>
      </c>
      <c r="M157" s="228" t="n">
        <v>4</v>
      </c>
      <c r="N157" s="230" t="n">
        <v>0</v>
      </c>
      <c r="O157" s="144" t="n">
        <f aca="false">IF(M157=1,1,0)</f>
        <v>0</v>
      </c>
      <c r="P157" s="145" t="n">
        <f aca="false">IF(M157=2,1,0)</f>
        <v>0</v>
      </c>
      <c r="Q157" s="145" t="n">
        <f aca="false">IF(M157=3,1,0)</f>
        <v>0</v>
      </c>
      <c r="R157" s="146" t="n">
        <f aca="false">IF(M157=4,1,0)</f>
        <v>1</v>
      </c>
      <c r="S157" s="176"/>
      <c r="T157" s="170"/>
      <c r="U157" s="77"/>
    </row>
    <row r="158" customFormat="false" ht="20.15" hidden="false" customHeight="true" outlineLevel="0" collapsed="false">
      <c r="B158" s="77"/>
      <c r="C158" s="170"/>
      <c r="D158" s="177"/>
      <c r="E158" s="105" t="s">
        <v>33</v>
      </c>
      <c r="F158" s="312" t="s">
        <v>34</v>
      </c>
      <c r="G158" s="306" t="n">
        <v>3</v>
      </c>
      <c r="H158" s="228" t="s">
        <v>66</v>
      </c>
      <c r="I158" s="228" t="n">
        <v>0</v>
      </c>
      <c r="J158" s="228" t="n">
        <v>41</v>
      </c>
      <c r="K158" s="228" t="s">
        <v>66</v>
      </c>
      <c r="L158" s="229" t="n">
        <f aca="false">IF(J158="",0,(J158/J160)*100)</f>
        <v>66.1290322580645</v>
      </c>
      <c r="M158" s="228" t="n">
        <v>3</v>
      </c>
      <c r="N158" s="230" t="n">
        <v>1</v>
      </c>
      <c r="O158" s="144" t="n">
        <f aca="false">IF(M158=1,1,0)</f>
        <v>0</v>
      </c>
      <c r="P158" s="145" t="n">
        <f aca="false">IF(M158=2,1,0)</f>
        <v>0</v>
      </c>
      <c r="Q158" s="145" t="n">
        <f aca="false">IF(M158=3,1,0)</f>
        <v>1</v>
      </c>
      <c r="R158" s="146" t="n">
        <f aca="false">IF(M158=4,1,0)</f>
        <v>0</v>
      </c>
      <c r="S158" s="176"/>
      <c r="T158" s="170"/>
      <c r="U158" s="77"/>
    </row>
    <row r="159" customFormat="false" ht="20.15" hidden="false" customHeight="true" outlineLevel="0" collapsed="false">
      <c r="B159" s="77"/>
      <c r="C159" s="170"/>
      <c r="D159" s="173"/>
      <c r="E159" s="318" t="s">
        <v>49</v>
      </c>
      <c r="F159" s="319" t="s">
        <v>50</v>
      </c>
      <c r="G159" s="320" t="n">
        <v>1</v>
      </c>
      <c r="H159" s="322" t="s">
        <v>66</v>
      </c>
      <c r="I159" s="322" t="n">
        <v>0</v>
      </c>
      <c r="J159" s="322" t="n">
        <v>62</v>
      </c>
      <c r="K159" s="321" t="s">
        <v>66</v>
      </c>
      <c r="L159" s="323" t="n">
        <f aca="false">IF(J159="",0,(J159/J160)*100)</f>
        <v>100</v>
      </c>
      <c r="M159" s="322" t="n">
        <v>1</v>
      </c>
      <c r="N159" s="324" t="n">
        <v>6</v>
      </c>
      <c r="O159" s="156" t="n">
        <f aca="false">IF(M159=1,1,0)</f>
        <v>1</v>
      </c>
      <c r="P159" s="157" t="n">
        <f aca="false">IF(M159=2,1,0)</f>
        <v>0</v>
      </c>
      <c r="Q159" s="157" t="n">
        <f aca="false">IF(M159=3,1,0)</f>
        <v>0</v>
      </c>
      <c r="R159" s="158" t="n">
        <f aca="false">IF(M159=4,1,0)</f>
        <v>0</v>
      </c>
      <c r="S159" s="176"/>
      <c r="T159" s="170"/>
      <c r="U159" s="77"/>
    </row>
    <row r="160" customFormat="false" ht="20.15" hidden="true" customHeight="true" outlineLevel="1" collapsed="false">
      <c r="B160" s="77"/>
      <c r="C160" s="170"/>
      <c r="D160" s="173"/>
      <c r="E160" s="173"/>
      <c r="F160" s="172"/>
      <c r="G160" s="172"/>
      <c r="H160" s="170"/>
      <c r="I160" s="213" t="s">
        <v>92</v>
      </c>
      <c r="J160" s="161" t="n">
        <f aca="false">MAX(J156:J159)</f>
        <v>62</v>
      </c>
      <c r="K160" s="186"/>
      <c r="L160" s="176"/>
      <c r="M160" s="170"/>
      <c r="N160" s="164" t="s">
        <v>93</v>
      </c>
      <c r="O160" s="165" t="n">
        <f aca="false">SUM(O156:O159)</f>
        <v>1</v>
      </c>
      <c r="P160" s="166" t="n">
        <f aca="false">SUM(P156:P159)</f>
        <v>1</v>
      </c>
      <c r="Q160" s="165" t="n">
        <f aca="false">SUM(Q156:Q159)</f>
        <v>1</v>
      </c>
      <c r="R160" s="187" t="n">
        <f aca="false">SUM(R156:R159)</f>
        <v>1</v>
      </c>
      <c r="S160" s="188"/>
      <c r="T160" s="170"/>
      <c r="U160" s="77"/>
    </row>
    <row r="161" customFormat="false" ht="20.15" hidden="false" customHeight="true" outlineLevel="0" collapsed="false">
      <c r="B161" s="77"/>
      <c r="C161" s="170"/>
      <c r="D161" s="189"/>
      <c r="E161" s="189"/>
      <c r="F161" s="170"/>
      <c r="G161" s="170"/>
      <c r="H161" s="170"/>
      <c r="I161" s="170"/>
      <c r="J161" s="170"/>
      <c r="K161" s="170"/>
      <c r="L161" s="170"/>
      <c r="M161" s="170"/>
      <c r="N161" s="170"/>
      <c r="O161" s="170"/>
      <c r="P161" s="170"/>
      <c r="Q161" s="170"/>
      <c r="R161" s="170"/>
      <c r="S161" s="170"/>
      <c r="T161" s="170"/>
      <c r="U161" s="77"/>
    </row>
    <row r="162" customFormat="false" ht="20.15" hidden="false" customHeight="true" outlineLevel="0" collapsed="false">
      <c r="B162" s="77"/>
      <c r="D162" s="190"/>
      <c r="E162" s="190"/>
      <c r="F162" s="190"/>
      <c r="G162" s="190"/>
      <c r="H162" s="191"/>
      <c r="I162" s="190"/>
      <c r="J162" s="190"/>
      <c r="K162" s="14"/>
      <c r="L162" s="14"/>
      <c r="M162" s="14"/>
      <c r="N162" s="14"/>
      <c r="O162" s="14"/>
      <c r="P162" s="14"/>
      <c r="Q162" s="14"/>
      <c r="R162" s="14"/>
      <c r="S162" s="14"/>
      <c r="U162" s="77"/>
    </row>
    <row r="163" customFormat="false" ht="20.15" hidden="false" customHeight="true" outlineLevel="0" collapsed="false">
      <c r="B163" s="77"/>
      <c r="C163" s="192"/>
      <c r="D163" s="192"/>
      <c r="E163" s="193" t="str">
        <f aca="false">IF(OR(L142="-",L142= ""),H142,L142)</f>
        <v>Automobiles</v>
      </c>
      <c r="F163" s="193"/>
      <c r="G163" s="193"/>
      <c r="H163" s="193"/>
      <c r="I163" s="193"/>
      <c r="J163" s="193"/>
      <c r="K163" s="193"/>
      <c r="L163" s="193"/>
      <c r="M163" s="193"/>
      <c r="N163" s="193"/>
      <c r="O163" s="194"/>
      <c r="P163" s="194"/>
      <c r="Q163" s="194"/>
      <c r="R163" s="194"/>
      <c r="S163" s="194"/>
      <c r="T163" s="192"/>
      <c r="U163" s="195"/>
    </row>
    <row r="164" customFormat="false" ht="50.15" hidden="false" customHeight="true" outlineLevel="0" collapsed="false">
      <c r="B164" s="77"/>
      <c r="C164" s="192"/>
      <c r="D164" s="194"/>
      <c r="E164" s="125" t="s">
        <v>52</v>
      </c>
      <c r="F164" s="126" t="s">
        <v>75</v>
      </c>
      <c r="G164" s="82" t="s">
        <v>76</v>
      </c>
      <c r="H164" s="81" t="s">
        <v>77</v>
      </c>
      <c r="I164" s="59" t="s">
        <v>78</v>
      </c>
      <c r="J164" s="81" t="s">
        <v>79</v>
      </c>
      <c r="K164" s="127" t="s">
        <v>80</v>
      </c>
      <c r="L164" s="81" t="s">
        <v>81</v>
      </c>
      <c r="M164" s="128" t="s">
        <v>82</v>
      </c>
      <c r="N164" s="129" t="s">
        <v>83</v>
      </c>
      <c r="O164" s="130" t="s">
        <v>84</v>
      </c>
      <c r="P164" s="131" t="s">
        <v>85</v>
      </c>
      <c r="Q164" s="131" t="s">
        <v>86</v>
      </c>
      <c r="R164" s="197" t="s">
        <v>87</v>
      </c>
      <c r="S164" s="194"/>
      <c r="T164" s="192"/>
      <c r="U164" s="195"/>
    </row>
    <row r="165" customFormat="false" ht="20.15" hidden="false" customHeight="true" outlineLevel="0" collapsed="false">
      <c r="B165" s="77"/>
      <c r="C165" s="192"/>
      <c r="D165" s="208"/>
      <c r="E165" s="367" t="s">
        <v>21</v>
      </c>
      <c r="F165" s="372" t="s">
        <v>22</v>
      </c>
      <c r="G165" s="304" t="n">
        <v>2</v>
      </c>
      <c r="H165" s="222" t="s">
        <v>66</v>
      </c>
      <c r="I165" s="221" t="s">
        <v>66</v>
      </c>
      <c r="J165" s="222" t="s">
        <v>252</v>
      </c>
      <c r="K165" s="222" t="s">
        <v>66</v>
      </c>
      <c r="L165" s="223" t="n">
        <f aca="false">(L148+L156+L174)/3</f>
        <v>79.6626088212983</v>
      </c>
      <c r="M165" s="221" t="n">
        <v>2</v>
      </c>
      <c r="N165" s="224" t="n">
        <v>3</v>
      </c>
      <c r="O165" s="137" t="n">
        <f aca="false">IF(M165=1,1,0)</f>
        <v>0</v>
      </c>
      <c r="P165" s="138" t="n">
        <f aca="false">IF(M165=2,1,0)</f>
        <v>1</v>
      </c>
      <c r="Q165" s="138" t="n">
        <f aca="false">IF(M165=3,1,0)</f>
        <v>0</v>
      </c>
      <c r="R165" s="139" t="n">
        <f aca="false">IF(M165=4,1,0)</f>
        <v>0</v>
      </c>
      <c r="S165" s="206"/>
      <c r="T165" s="192"/>
      <c r="U165" s="207"/>
    </row>
    <row r="166" customFormat="false" ht="20.15" hidden="false" customHeight="true" outlineLevel="0" collapsed="false">
      <c r="B166" s="77"/>
      <c r="C166" s="192"/>
      <c r="D166" s="198"/>
      <c r="E166" s="105" t="s">
        <v>41</v>
      </c>
      <c r="F166" s="96" t="s">
        <v>42</v>
      </c>
      <c r="G166" s="306" t="n">
        <v>4</v>
      </c>
      <c r="H166" s="317" t="s">
        <v>66</v>
      </c>
      <c r="I166" s="228" t="s">
        <v>66</v>
      </c>
      <c r="J166" s="317" t="s">
        <v>253</v>
      </c>
      <c r="K166" s="317" t="s">
        <v>66</v>
      </c>
      <c r="L166" s="229" t="n">
        <f aca="false">(L150+L158+L176)/3</f>
        <v>61.4897363136355</v>
      </c>
      <c r="M166" s="228" t="n">
        <v>3</v>
      </c>
      <c r="N166" s="230" t="n">
        <v>1</v>
      </c>
      <c r="O166" s="144" t="n">
        <f aca="false">IF(M166=1,1,0)</f>
        <v>0</v>
      </c>
      <c r="P166" s="145" t="n">
        <f aca="false">IF(M166=2,1,0)</f>
        <v>0</v>
      </c>
      <c r="Q166" s="145" t="n">
        <f aca="false">IF(M166=3,1,0)</f>
        <v>1</v>
      </c>
      <c r="R166" s="146" t="n">
        <f aca="false">IF(M166=4,1,0)</f>
        <v>0</v>
      </c>
      <c r="S166" s="206"/>
      <c r="T166" s="192"/>
      <c r="U166" s="211"/>
    </row>
    <row r="167" customFormat="false" ht="20.15" hidden="false" customHeight="true" outlineLevel="0" collapsed="false">
      <c r="B167" s="77"/>
      <c r="C167" s="192"/>
      <c r="D167" s="198"/>
      <c r="E167" s="105" t="s">
        <v>33</v>
      </c>
      <c r="F167" s="312" t="s">
        <v>34</v>
      </c>
      <c r="G167" s="306" t="n">
        <v>3</v>
      </c>
      <c r="H167" s="317" t="s">
        <v>66</v>
      </c>
      <c r="I167" s="228" t="s">
        <v>66</v>
      </c>
      <c r="J167" s="317" t="s">
        <v>254</v>
      </c>
      <c r="K167" s="317" t="s">
        <v>66</v>
      </c>
      <c r="L167" s="229" t="n">
        <f aca="false">(L149+L157+L175)/3</f>
        <v>54.6706696582071</v>
      </c>
      <c r="M167" s="228" t="n">
        <v>4</v>
      </c>
      <c r="N167" s="230" t="n">
        <v>0</v>
      </c>
      <c r="O167" s="144" t="n">
        <f aca="false">IF(M167=1,1,0)</f>
        <v>0</v>
      </c>
      <c r="P167" s="145" t="n">
        <f aca="false">IF(M167=2,1,0)</f>
        <v>0</v>
      </c>
      <c r="Q167" s="145" t="n">
        <f aca="false">IF(M167=3,1,0)</f>
        <v>0</v>
      </c>
      <c r="R167" s="146" t="n">
        <f aca="false">IF(M167=4,1,0)</f>
        <v>1</v>
      </c>
      <c r="S167" s="206"/>
      <c r="T167" s="192"/>
      <c r="U167" s="211"/>
    </row>
    <row r="168" customFormat="false" ht="20.15" hidden="false" customHeight="true" outlineLevel="0" collapsed="false">
      <c r="B168" s="77"/>
      <c r="C168" s="192"/>
      <c r="D168" s="198"/>
      <c r="E168" s="318" t="s">
        <v>49</v>
      </c>
      <c r="F168" s="319" t="s">
        <v>50</v>
      </c>
      <c r="G168" s="320" t="n">
        <v>1</v>
      </c>
      <c r="H168" s="321" t="s">
        <v>66</v>
      </c>
      <c r="I168" s="322" t="s">
        <v>66</v>
      </c>
      <c r="J168" s="321" t="s">
        <v>255</v>
      </c>
      <c r="K168" s="321" t="s">
        <v>66</v>
      </c>
      <c r="L168" s="323" t="n">
        <v>100</v>
      </c>
      <c r="M168" s="322" t="n">
        <v>1</v>
      </c>
      <c r="N168" s="324" t="n">
        <v>6</v>
      </c>
      <c r="O168" s="156" t="n">
        <f aca="false">IF(M168=1,1,0)</f>
        <v>1</v>
      </c>
      <c r="P168" s="157" t="n">
        <f aca="false">IF(M168=2,1,0)</f>
        <v>0</v>
      </c>
      <c r="Q168" s="157" t="n">
        <f aca="false">IF(M168=3,1,0)</f>
        <v>0</v>
      </c>
      <c r="R168" s="158" t="n">
        <f aca="false">IF(M168=4,1,0)</f>
        <v>0</v>
      </c>
      <c r="S168" s="206"/>
      <c r="T168" s="192"/>
      <c r="U168" s="211"/>
    </row>
    <row r="169" customFormat="false" ht="20.15" hidden="true" customHeight="true" outlineLevel="1" collapsed="false">
      <c r="B169" s="77"/>
      <c r="C169" s="192"/>
      <c r="D169" s="198"/>
      <c r="E169" s="198"/>
      <c r="F169" s="206"/>
      <c r="G169" s="206"/>
      <c r="H169" s="192"/>
      <c r="I169" s="213" t="s">
        <v>92</v>
      </c>
      <c r="J169" s="161" t="n">
        <f aca="false">MAX(J165:J168)</f>
        <v>0</v>
      </c>
      <c r="K169" s="214"/>
      <c r="L169" s="206"/>
      <c r="M169" s="192"/>
      <c r="N169" s="164" t="s">
        <v>93</v>
      </c>
      <c r="O169" s="165" t="n">
        <f aca="false">SUM(O165:O168)</f>
        <v>1</v>
      </c>
      <c r="P169" s="166" t="n">
        <f aca="false">SUM(P165:P168)</f>
        <v>1</v>
      </c>
      <c r="Q169" s="165" t="n">
        <f aca="false">SUM(Q165:Q168)</f>
        <v>1</v>
      </c>
      <c r="R169" s="187" t="n">
        <f aca="false">SUM(R165:R168)</f>
        <v>1</v>
      </c>
      <c r="S169" s="215"/>
      <c r="T169" s="192"/>
      <c r="U169" s="211"/>
    </row>
    <row r="170" customFormat="false" ht="20.15" hidden="false" customHeight="true" outlineLevel="0" collapsed="false">
      <c r="B170" s="77"/>
      <c r="C170" s="192"/>
      <c r="D170" s="216"/>
      <c r="E170" s="216"/>
      <c r="F170" s="192"/>
      <c r="G170" s="192"/>
      <c r="H170" s="192"/>
      <c r="I170" s="192"/>
      <c r="J170" s="192"/>
      <c r="K170" s="192"/>
      <c r="L170" s="192"/>
      <c r="M170" s="192"/>
      <c r="N170" s="192"/>
      <c r="O170" s="192"/>
      <c r="P170" s="192"/>
      <c r="Q170" s="192"/>
      <c r="R170" s="192"/>
      <c r="S170" s="192"/>
      <c r="T170" s="192"/>
      <c r="U170" s="211"/>
    </row>
    <row r="171" customFormat="false" ht="20.15" hidden="false" customHeight="true" outlineLevel="0" collapsed="false">
      <c r="B171" s="77"/>
      <c r="D171" s="190"/>
      <c r="E171" s="190"/>
      <c r="F171" s="190"/>
      <c r="G171" s="190"/>
      <c r="H171" s="191"/>
      <c r="I171" s="190"/>
      <c r="J171" s="190"/>
      <c r="K171" s="190"/>
      <c r="L171" s="14"/>
      <c r="M171" s="14"/>
      <c r="N171" s="14"/>
      <c r="O171" s="14"/>
      <c r="P171" s="14"/>
      <c r="Q171" s="14"/>
      <c r="R171" s="14"/>
      <c r="S171" s="14"/>
      <c r="U171" s="207"/>
    </row>
    <row r="172" customFormat="false" ht="20.15" hidden="false" customHeight="true" outlineLevel="0" collapsed="false">
      <c r="B172" s="77"/>
      <c r="C172" s="217"/>
      <c r="D172" s="217"/>
      <c r="E172" s="218" t="str">
        <f aca="false">IF(OR(M143="-",M143= ""),H143,M143)</f>
        <v>Hawaii</v>
      </c>
      <c r="F172" s="218"/>
      <c r="G172" s="218"/>
      <c r="H172" s="218"/>
      <c r="I172" s="218"/>
      <c r="J172" s="218"/>
      <c r="K172" s="218"/>
      <c r="L172" s="218"/>
      <c r="M172" s="218"/>
      <c r="N172" s="218"/>
      <c r="O172" s="219"/>
      <c r="P172" s="219"/>
      <c r="Q172" s="219"/>
      <c r="R172" s="219"/>
      <c r="S172" s="219"/>
      <c r="T172" s="217"/>
      <c r="U172" s="77"/>
    </row>
    <row r="173" customFormat="false" ht="50.15" hidden="false" customHeight="true" outlineLevel="0" collapsed="false">
      <c r="B173" s="77"/>
      <c r="C173" s="217"/>
      <c r="D173" s="219"/>
      <c r="E173" s="125" t="s">
        <v>52</v>
      </c>
      <c r="F173" s="126" t="s">
        <v>75</v>
      </c>
      <c r="G173" s="82" t="s">
        <v>76</v>
      </c>
      <c r="H173" s="81" t="s">
        <v>77</v>
      </c>
      <c r="I173" s="59" t="s">
        <v>78</v>
      </c>
      <c r="J173" s="81" t="s">
        <v>79</v>
      </c>
      <c r="K173" s="127" t="s">
        <v>80</v>
      </c>
      <c r="L173" s="81" t="s">
        <v>81</v>
      </c>
      <c r="M173" s="128" t="s">
        <v>82</v>
      </c>
      <c r="N173" s="129" t="s">
        <v>83</v>
      </c>
      <c r="O173" s="130" t="s">
        <v>84</v>
      </c>
      <c r="P173" s="131" t="s">
        <v>85</v>
      </c>
      <c r="Q173" s="131" t="s">
        <v>86</v>
      </c>
      <c r="R173" s="197" t="s">
        <v>87</v>
      </c>
      <c r="S173" s="219"/>
      <c r="T173" s="217"/>
      <c r="U173" s="77"/>
    </row>
    <row r="174" customFormat="false" ht="20.15" hidden="false" customHeight="true" outlineLevel="0" collapsed="false">
      <c r="B174" s="77"/>
      <c r="C174" s="217"/>
      <c r="D174" s="220"/>
      <c r="E174" s="367" t="s">
        <v>21</v>
      </c>
      <c r="F174" s="372" t="s">
        <v>22</v>
      </c>
      <c r="G174" s="304" t="n">
        <v>3</v>
      </c>
      <c r="H174" s="222" t="s">
        <v>66</v>
      </c>
      <c r="I174" s="221" t="n">
        <v>0</v>
      </c>
      <c r="J174" s="356" t="n">
        <v>107</v>
      </c>
      <c r="K174" s="222" t="s">
        <v>66</v>
      </c>
      <c r="L174" s="223" t="n">
        <f aca="false">IF(J174="",0,(J174/J178)*100)</f>
        <v>75.886524822695</v>
      </c>
      <c r="M174" s="221" t="n">
        <v>2</v>
      </c>
      <c r="N174" s="224" t="n">
        <v>3</v>
      </c>
      <c r="O174" s="137" t="n">
        <f aca="false">IF(M174=1,1,0)</f>
        <v>0</v>
      </c>
      <c r="P174" s="138" t="n">
        <f aca="false">IF(M174=2,1,0)</f>
        <v>1</v>
      </c>
      <c r="Q174" s="138" t="n">
        <f aca="false">IF(M174=3,1,0)</f>
        <v>0</v>
      </c>
      <c r="R174" s="139" t="n">
        <f aca="false">IF(M174=4,1,0)</f>
        <v>0</v>
      </c>
      <c r="S174" s="225"/>
      <c r="T174" s="217"/>
      <c r="U174" s="77"/>
    </row>
    <row r="175" customFormat="false" ht="20.15" hidden="false" customHeight="true" outlineLevel="0" collapsed="false">
      <c r="B175" s="77"/>
      <c r="C175" s="217"/>
      <c r="D175" s="220"/>
      <c r="E175" s="105" t="s">
        <v>41</v>
      </c>
      <c r="F175" s="96" t="s">
        <v>42</v>
      </c>
      <c r="G175" s="306" t="n">
        <v>1</v>
      </c>
      <c r="H175" s="228" t="s">
        <v>66</v>
      </c>
      <c r="I175" s="228" t="n">
        <v>0</v>
      </c>
      <c r="J175" s="358" t="n">
        <v>76</v>
      </c>
      <c r="K175" s="317" t="s">
        <v>66</v>
      </c>
      <c r="L175" s="229" t="n">
        <f aca="false">IF(J175="",0,(J175/J178)*100)</f>
        <v>53.9007092198582</v>
      </c>
      <c r="M175" s="228" t="n">
        <v>4</v>
      </c>
      <c r="N175" s="230" t="n">
        <v>0</v>
      </c>
      <c r="O175" s="144" t="n">
        <f aca="false">IF(M175=1,1,0)</f>
        <v>0</v>
      </c>
      <c r="P175" s="145" t="n">
        <f aca="false">IF(M175=2,1,0)</f>
        <v>0</v>
      </c>
      <c r="Q175" s="145" t="n">
        <f aca="false">IF(M175=3,1,0)</f>
        <v>0</v>
      </c>
      <c r="R175" s="146" t="n">
        <f aca="false">IF(M175=4,1,0)</f>
        <v>1</v>
      </c>
      <c r="S175" s="225"/>
      <c r="T175" s="217"/>
      <c r="U175" s="77"/>
    </row>
    <row r="176" customFormat="false" ht="20.15" hidden="false" customHeight="true" outlineLevel="0" collapsed="false">
      <c r="B176" s="77"/>
      <c r="C176" s="217"/>
      <c r="D176" s="220"/>
      <c r="E176" s="105" t="s">
        <v>33</v>
      </c>
      <c r="F176" s="312" t="s">
        <v>34</v>
      </c>
      <c r="G176" s="306" t="n">
        <v>4</v>
      </c>
      <c r="H176" s="228" t="s">
        <v>66</v>
      </c>
      <c r="I176" s="228" t="n">
        <v>0</v>
      </c>
      <c r="J176" s="358" t="n">
        <v>91</v>
      </c>
      <c r="K176" s="228" t="s">
        <v>66</v>
      </c>
      <c r="L176" s="229" t="n">
        <f aca="false">IF(J176="",0,(J176/J178)*100)</f>
        <v>64.5390070921986</v>
      </c>
      <c r="M176" s="228" t="n">
        <v>3</v>
      </c>
      <c r="N176" s="230" t="n">
        <v>1</v>
      </c>
      <c r="O176" s="144" t="n">
        <f aca="false">IF(M176=1,1,0)</f>
        <v>0</v>
      </c>
      <c r="P176" s="145" t="n">
        <f aca="false">IF(M176=2,1,0)</f>
        <v>0</v>
      </c>
      <c r="Q176" s="145" t="n">
        <f aca="false">IF(M176=3,1,0)</f>
        <v>1</v>
      </c>
      <c r="R176" s="146" t="n">
        <f aca="false">IF(M176=4,1,0)</f>
        <v>0</v>
      </c>
      <c r="S176" s="225"/>
      <c r="T176" s="217"/>
      <c r="U176" s="77"/>
    </row>
    <row r="177" customFormat="false" ht="20.15" hidden="false" customHeight="true" outlineLevel="0" collapsed="false">
      <c r="B177" s="77"/>
      <c r="C177" s="217"/>
      <c r="D177" s="231"/>
      <c r="E177" s="318" t="s">
        <v>49</v>
      </c>
      <c r="F177" s="319" t="s">
        <v>50</v>
      </c>
      <c r="G177" s="320" t="n">
        <v>2</v>
      </c>
      <c r="H177" s="322" t="s">
        <v>66</v>
      </c>
      <c r="I177" s="322" t="n">
        <v>0</v>
      </c>
      <c r="J177" s="431" t="n">
        <v>141</v>
      </c>
      <c r="K177" s="321" t="s">
        <v>66</v>
      </c>
      <c r="L177" s="323" t="n">
        <f aca="false">IF(J177="",0,(J177/J178)*100)</f>
        <v>100</v>
      </c>
      <c r="M177" s="322" t="n">
        <v>1</v>
      </c>
      <c r="N177" s="324" t="n">
        <v>6</v>
      </c>
      <c r="O177" s="156" t="n">
        <f aca="false">IF(M177=1,1,0)</f>
        <v>1</v>
      </c>
      <c r="P177" s="157" t="n">
        <f aca="false">IF(M177=2,1,0)</f>
        <v>0</v>
      </c>
      <c r="Q177" s="157" t="n">
        <f aca="false">IF(M177=3,1,0)</f>
        <v>0</v>
      </c>
      <c r="R177" s="158" t="n">
        <f aca="false">IF(M177=4,1,0)</f>
        <v>0</v>
      </c>
      <c r="S177" s="225"/>
      <c r="T177" s="217"/>
      <c r="U177" s="77"/>
    </row>
    <row r="178" customFormat="false" ht="20.15" hidden="true" customHeight="true" outlineLevel="1" collapsed="false">
      <c r="B178" s="77"/>
      <c r="C178" s="217"/>
      <c r="D178" s="220"/>
      <c r="E178" s="220"/>
      <c r="F178" s="225"/>
      <c r="G178" s="225"/>
      <c r="H178" s="217"/>
      <c r="I178" s="213" t="s">
        <v>92</v>
      </c>
      <c r="J178" s="161" t="n">
        <f aca="false">MAX(J174:J177)</f>
        <v>141</v>
      </c>
      <c r="K178" s="237"/>
      <c r="L178" s="225"/>
      <c r="M178" s="217"/>
      <c r="N178" s="164" t="s">
        <v>93</v>
      </c>
      <c r="O178" s="165" t="n">
        <f aca="false">SUM(O174:O177)</f>
        <v>1</v>
      </c>
      <c r="P178" s="166" t="n">
        <f aca="false">SUM(P174:P177)</f>
        <v>1</v>
      </c>
      <c r="Q178" s="165" t="n">
        <f aca="false">SUM(Q174:Q177)</f>
        <v>1</v>
      </c>
      <c r="R178" s="187" t="n">
        <f aca="false">SUM(R174:R177)</f>
        <v>1</v>
      </c>
      <c r="S178" s="238"/>
      <c r="T178" s="217"/>
      <c r="U178" s="77"/>
    </row>
    <row r="179" customFormat="false" ht="20.15" hidden="false" customHeight="true" outlineLevel="0" collapsed="false">
      <c r="B179" s="77"/>
      <c r="C179" s="217"/>
      <c r="D179" s="239"/>
      <c r="E179" s="239"/>
      <c r="F179" s="217"/>
      <c r="G179" s="217"/>
      <c r="H179" s="217"/>
      <c r="I179" s="217"/>
      <c r="J179" s="217"/>
      <c r="K179" s="217"/>
      <c r="L179" s="217"/>
      <c r="M179" s="217"/>
      <c r="N179" s="217"/>
      <c r="O179" s="217"/>
      <c r="P179" s="217"/>
      <c r="Q179" s="217"/>
      <c r="R179" s="217"/>
      <c r="S179" s="217"/>
      <c r="T179" s="217"/>
      <c r="U179" s="77"/>
    </row>
    <row r="180" customFormat="false" ht="20.15" hidden="false" customHeight="true" outlineLevel="0" collapsed="false">
      <c r="B180" s="77"/>
      <c r="D180" s="5"/>
      <c r="E180" s="5"/>
      <c r="F180" s="5"/>
      <c r="G180" s="5"/>
      <c r="H180" s="5"/>
      <c r="I180" s="5"/>
      <c r="J180" s="5"/>
      <c r="K180" s="14"/>
      <c r="L180" s="14"/>
      <c r="M180" s="14"/>
      <c r="N180" s="14"/>
      <c r="O180" s="14"/>
      <c r="P180" s="14"/>
      <c r="Q180" s="14"/>
      <c r="R180" s="14"/>
      <c r="S180" s="14"/>
      <c r="U180" s="77"/>
    </row>
    <row r="181" customFormat="false" ht="30" hidden="false" customHeight="true" outlineLevel="0" collapsed="false">
      <c r="B181" s="77"/>
      <c r="C181" s="240"/>
      <c r="D181" s="241" t="s">
        <v>149</v>
      </c>
      <c r="E181" s="241"/>
      <c r="F181" s="241"/>
      <c r="G181" s="241"/>
      <c r="H181" s="241"/>
      <c r="I181" s="241"/>
      <c r="J181" s="241"/>
      <c r="K181" s="241"/>
      <c r="L181" s="241"/>
      <c r="M181" s="241"/>
      <c r="N181" s="241"/>
      <c r="O181" s="241"/>
      <c r="P181" s="241"/>
      <c r="Q181" s="241"/>
      <c r="R181" s="241"/>
      <c r="S181" s="241"/>
      <c r="T181" s="240"/>
      <c r="U181" s="77"/>
    </row>
    <row r="182" customFormat="false" ht="50.15" hidden="false" customHeight="true" outlineLevel="0" collapsed="false">
      <c r="B182" s="77"/>
      <c r="C182" s="240"/>
      <c r="D182" s="242" t="s">
        <v>52</v>
      </c>
      <c r="E182" s="243" t="s">
        <v>53</v>
      </c>
      <c r="F182" s="244" t="s">
        <v>83</v>
      </c>
      <c r="G182" s="245" t="s">
        <v>102</v>
      </c>
      <c r="H182" s="246" t="s">
        <v>103</v>
      </c>
      <c r="I182" s="246"/>
      <c r="J182" s="247" t="s">
        <v>104</v>
      </c>
      <c r="K182" s="248" t="s">
        <v>105</v>
      </c>
      <c r="L182" s="244" t="s">
        <v>106</v>
      </c>
      <c r="M182" s="248" t="s">
        <v>107</v>
      </c>
      <c r="N182" s="244" t="s">
        <v>108</v>
      </c>
      <c r="O182" s="249"/>
      <c r="P182" s="250"/>
      <c r="Q182" s="250"/>
      <c r="R182" s="250"/>
      <c r="S182" s="243" t="s">
        <v>109</v>
      </c>
      <c r="T182" s="240"/>
      <c r="U182" s="77"/>
    </row>
    <row r="183" customFormat="false" ht="20.15" hidden="false" customHeight="true" outlineLevel="0" collapsed="false">
      <c r="B183" s="77"/>
      <c r="C183" s="240"/>
      <c r="D183" s="251" t="s">
        <v>49</v>
      </c>
      <c r="E183" s="360" t="s">
        <v>50</v>
      </c>
      <c r="F183" s="327" t="n">
        <f aca="false">K183*6+L183*3+M183*1+N183*0</f>
        <v>19</v>
      </c>
      <c r="G183" s="328" t="n">
        <v>0</v>
      </c>
      <c r="H183" s="328" t="s">
        <v>66</v>
      </c>
      <c r="I183" s="328"/>
      <c r="J183" s="327" t="n">
        <f aca="false">F183+G183</f>
        <v>19</v>
      </c>
      <c r="K183" s="327" t="n">
        <v>3</v>
      </c>
      <c r="L183" s="327" t="n">
        <v>0</v>
      </c>
      <c r="M183" s="327" t="n">
        <v>1</v>
      </c>
      <c r="N183" s="327" t="n">
        <v>0</v>
      </c>
      <c r="O183" s="16"/>
      <c r="P183" s="328"/>
      <c r="Q183" s="328"/>
      <c r="R183" s="328"/>
      <c r="S183" s="329" t="n">
        <f aca="false">(L150+L159+L168+L177)/4</f>
        <v>88.4502923976608</v>
      </c>
      <c r="T183" s="240"/>
      <c r="U183" s="77"/>
    </row>
    <row r="184" customFormat="false" ht="20.15" hidden="false" customHeight="true" outlineLevel="0" collapsed="false">
      <c r="B184" s="77"/>
      <c r="C184" s="240"/>
      <c r="D184" s="263" t="s">
        <v>21</v>
      </c>
      <c r="E184" s="264" t="s">
        <v>22</v>
      </c>
      <c r="F184" s="330" t="n">
        <f aca="false">K184*6+L184*3+M184*1+N184*0</f>
        <v>15</v>
      </c>
      <c r="G184" s="331" t="n">
        <v>0</v>
      </c>
      <c r="H184" s="331" t="s">
        <v>66</v>
      </c>
      <c r="I184" s="331"/>
      <c r="J184" s="330" t="n">
        <f aca="false">F184+G184</f>
        <v>15</v>
      </c>
      <c r="K184" s="330" t="n">
        <v>1</v>
      </c>
      <c r="L184" s="330" t="n">
        <v>3</v>
      </c>
      <c r="M184" s="330" t="n">
        <v>0</v>
      </c>
      <c r="N184" s="330" t="n">
        <v>0</v>
      </c>
      <c r="O184" s="332"/>
      <c r="P184" s="331"/>
      <c r="Q184" s="331"/>
      <c r="R184" s="331"/>
      <c r="S184" s="333" t="n">
        <f aca="false">(L147+L156+L165+L174)/4</f>
        <v>84.048573733579</v>
      </c>
      <c r="T184" s="240"/>
      <c r="U184" s="77"/>
    </row>
    <row r="185" customFormat="false" ht="20.15" hidden="false" customHeight="true" outlineLevel="0" collapsed="false">
      <c r="B185" s="77"/>
      <c r="C185" s="240"/>
      <c r="D185" s="257" t="s">
        <v>41</v>
      </c>
      <c r="E185" s="264" t="s">
        <v>42</v>
      </c>
      <c r="F185" s="330" t="n">
        <f aca="false">K185*6+L185*3+M185*1+N185*0</f>
        <v>4</v>
      </c>
      <c r="G185" s="331" t="n">
        <v>0</v>
      </c>
      <c r="H185" s="331" t="s">
        <v>66</v>
      </c>
      <c r="I185" s="331"/>
      <c r="J185" s="330" t="n">
        <f aca="false">F185+G185</f>
        <v>4</v>
      </c>
      <c r="K185" s="330" t="n">
        <v>0</v>
      </c>
      <c r="L185" s="330" t="n">
        <v>1</v>
      </c>
      <c r="M185" s="330" t="n">
        <v>1</v>
      </c>
      <c r="N185" s="330" t="n">
        <v>2</v>
      </c>
      <c r="O185" s="332"/>
      <c r="P185" s="331"/>
      <c r="Q185" s="331"/>
      <c r="R185" s="331"/>
      <c r="S185" s="333" t="n">
        <f aca="false">(L148+L157+L166+L175)/4</f>
        <v>63.9777755033508</v>
      </c>
      <c r="T185" s="240"/>
      <c r="U185" s="77"/>
    </row>
    <row r="186" customFormat="false" ht="20.15" hidden="false" customHeight="true" outlineLevel="0" collapsed="false">
      <c r="B186" s="77"/>
      <c r="C186" s="240"/>
      <c r="D186" s="337" t="s">
        <v>33</v>
      </c>
      <c r="E186" s="432" t="s">
        <v>34</v>
      </c>
      <c r="F186" s="338" t="n">
        <f aca="false">K186*6+L186*3+M186*1+N186*0</f>
        <v>2</v>
      </c>
      <c r="G186" s="339" t="n">
        <v>0</v>
      </c>
      <c r="H186" s="339" t="s">
        <v>66</v>
      </c>
      <c r="I186" s="339"/>
      <c r="J186" s="338" t="n">
        <f aca="false">F186+G186</f>
        <v>2</v>
      </c>
      <c r="K186" s="338" t="n">
        <v>0</v>
      </c>
      <c r="L186" s="338" t="n">
        <v>0</v>
      </c>
      <c r="M186" s="338" t="n">
        <v>2</v>
      </c>
      <c r="N186" s="338" t="n">
        <v>2</v>
      </c>
      <c r="O186" s="340"/>
      <c r="P186" s="339"/>
      <c r="Q186" s="339"/>
      <c r="R186" s="339"/>
      <c r="S186" s="341" t="n">
        <f aca="false">(L149+L158+L167+L176)/4</f>
        <v>59.3463731585503</v>
      </c>
      <c r="T186" s="240"/>
      <c r="U186" s="77"/>
    </row>
    <row r="187" customFormat="false" ht="20.15" hidden="false" customHeight="true" outlineLevel="0" collapsed="false">
      <c r="B187" s="77"/>
      <c r="C187" s="240"/>
      <c r="D187" s="240"/>
      <c r="E187" s="240"/>
      <c r="F187" s="240"/>
      <c r="G187" s="240"/>
      <c r="H187" s="240"/>
      <c r="I187" s="240"/>
      <c r="J187" s="240"/>
      <c r="K187" s="240"/>
      <c r="L187" s="240"/>
      <c r="M187" s="240"/>
      <c r="N187" s="240"/>
      <c r="O187" s="240"/>
      <c r="P187" s="240"/>
      <c r="Q187" s="240"/>
      <c r="R187" s="240"/>
      <c r="S187" s="240"/>
      <c r="T187" s="240"/>
      <c r="U187" s="77"/>
    </row>
    <row r="188" customFormat="false" ht="20.15" hidden="false" customHeight="true" outlineLevel="0" collapsed="false">
      <c r="B188" s="77"/>
      <c r="C188" s="77"/>
      <c r="D188" s="270"/>
      <c r="E188" s="270"/>
      <c r="F188" s="195"/>
      <c r="G188" s="195"/>
      <c r="H188" s="270"/>
      <c r="I188" s="270"/>
      <c r="J188" s="270"/>
      <c r="K188" s="207"/>
      <c r="L188" s="207"/>
      <c r="M188" s="207"/>
      <c r="N188" s="207"/>
      <c r="O188" s="207"/>
      <c r="P188" s="207"/>
      <c r="Q188" s="207"/>
      <c r="R188" s="207"/>
      <c r="S188" s="207"/>
      <c r="T188" s="77"/>
      <c r="U188" s="77"/>
    </row>
  </sheetData>
  <mergeCells count="116">
    <mergeCell ref="A1:N2"/>
    <mergeCell ref="B4:J4"/>
    <mergeCell ref="L4:N4"/>
    <mergeCell ref="B5:C5"/>
    <mergeCell ref="B6:C6"/>
    <mergeCell ref="M6:M9"/>
    <mergeCell ref="B7:C7"/>
    <mergeCell ref="B8:C8"/>
    <mergeCell ref="B9:C9"/>
    <mergeCell ref="B10:C10"/>
    <mergeCell ref="M10:M13"/>
    <mergeCell ref="B11:C11"/>
    <mergeCell ref="B12:C12"/>
    <mergeCell ref="B13:C13"/>
    <mergeCell ref="B14:C14"/>
    <mergeCell ref="M14:M17"/>
    <mergeCell ref="B15:C15"/>
    <mergeCell ref="B16:C16"/>
    <mergeCell ref="B17:C17"/>
    <mergeCell ref="B18:C18"/>
    <mergeCell ref="L18:M18"/>
    <mergeCell ref="B19:I19"/>
    <mergeCell ref="B20:C20"/>
    <mergeCell ref="B21:C21"/>
    <mergeCell ref="C24:T24"/>
    <mergeCell ref="D26:D27"/>
    <mergeCell ref="E26:E27"/>
    <mergeCell ref="F26:F27"/>
    <mergeCell ref="G26:J26"/>
    <mergeCell ref="L26:S26"/>
    <mergeCell ref="I27:J27"/>
    <mergeCell ref="N27:S27"/>
    <mergeCell ref="I28:J28"/>
    <mergeCell ref="N28:S28"/>
    <mergeCell ref="I29:J29"/>
    <mergeCell ref="N29:S29"/>
    <mergeCell ref="I30:J30"/>
    <mergeCell ref="N30:S30"/>
    <mergeCell ref="I31:J31"/>
    <mergeCell ref="N31:S31"/>
    <mergeCell ref="E33:N33"/>
    <mergeCell ref="F39:G39"/>
    <mergeCell ref="F40:G40"/>
    <mergeCell ref="E42:N42"/>
    <mergeCell ref="F48:G48"/>
    <mergeCell ref="E51:N51"/>
    <mergeCell ref="F57:G57"/>
    <mergeCell ref="E60:N60"/>
    <mergeCell ref="F66:G66"/>
    <mergeCell ref="D69:S69"/>
    <mergeCell ref="H70:I70"/>
    <mergeCell ref="H71:I71"/>
    <mergeCell ref="H72:I72"/>
    <mergeCell ref="H73:I73"/>
    <mergeCell ref="H74:I74"/>
    <mergeCell ref="C80:T80"/>
    <mergeCell ref="D82:D83"/>
    <mergeCell ref="E82:E83"/>
    <mergeCell ref="F82:F83"/>
    <mergeCell ref="G82:J82"/>
    <mergeCell ref="L82:S82"/>
    <mergeCell ref="I83:J83"/>
    <mergeCell ref="N83:S83"/>
    <mergeCell ref="I84:J84"/>
    <mergeCell ref="N84:S84"/>
    <mergeCell ref="I85:J85"/>
    <mergeCell ref="N85:S85"/>
    <mergeCell ref="I86:J86"/>
    <mergeCell ref="N86:S86"/>
    <mergeCell ref="I87:J87"/>
    <mergeCell ref="N87:S87"/>
    <mergeCell ref="E89:N89"/>
    <mergeCell ref="F95:G95"/>
    <mergeCell ref="E98:N98"/>
    <mergeCell ref="F104:G104"/>
    <mergeCell ref="E107:N107"/>
    <mergeCell ref="F113:G113"/>
    <mergeCell ref="E116:N116"/>
    <mergeCell ref="F122:G122"/>
    <mergeCell ref="D125:S125"/>
    <mergeCell ref="H126:I126"/>
    <mergeCell ref="H127:I127"/>
    <mergeCell ref="H128:I128"/>
    <mergeCell ref="Y128:Z128"/>
    <mergeCell ref="H129:I129"/>
    <mergeCell ref="H130:I130"/>
    <mergeCell ref="C136:T136"/>
    <mergeCell ref="D138:D139"/>
    <mergeCell ref="E138:E139"/>
    <mergeCell ref="F138:F139"/>
    <mergeCell ref="G138:J138"/>
    <mergeCell ref="L138:S138"/>
    <mergeCell ref="I139:J139"/>
    <mergeCell ref="N139:S139"/>
    <mergeCell ref="I140:J140"/>
    <mergeCell ref="N140:S140"/>
    <mergeCell ref="I141:J141"/>
    <mergeCell ref="N141:S141"/>
    <mergeCell ref="I142:J142"/>
    <mergeCell ref="N142:S142"/>
    <mergeCell ref="I143:J143"/>
    <mergeCell ref="N143:S143"/>
    <mergeCell ref="E145:N145"/>
    <mergeCell ref="F151:G151"/>
    <mergeCell ref="E154:N154"/>
    <mergeCell ref="F160:G160"/>
    <mergeCell ref="E163:N163"/>
    <mergeCell ref="F169:G169"/>
    <mergeCell ref="E172:N172"/>
    <mergeCell ref="F178:G178"/>
    <mergeCell ref="D181:S181"/>
    <mergeCell ref="H182:I182"/>
    <mergeCell ref="H183:I183"/>
    <mergeCell ref="H184:I184"/>
    <mergeCell ref="H185:I185"/>
    <mergeCell ref="H186:I186"/>
  </mergeCells>
  <dataValidations count="1">
    <dataValidation allowBlank="true" operator="between" showDropDown="false" showErrorMessage="true" showInputMessage="true" sqref="J6:J18"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73"/>
  <sheetViews>
    <sheetView showFormulas="false" showGridLines="false" showRowColHeaders="true" showZeros="true" rightToLeft="false" tabSelected="false" showOutlineSymbols="true" defaultGridColor="true" view="normal" topLeftCell="A16" colorId="64" zoomScale="100" zoomScaleNormal="100" zoomScalePageLayoutView="100" workbookViewId="0">
      <selection pane="topLeft" activeCell="K19" activeCellId="0" sqref="K19"/>
    </sheetView>
  </sheetViews>
  <sheetFormatPr defaultColWidth="11.47265625" defaultRowHeight="14.5" zeroHeight="false" outlineLevelRow="1" outlineLevelCol="1"/>
  <cols>
    <col collapsed="false" customWidth="true" hidden="false" outlineLevel="0" max="3" min="1" style="1" width="3.72"/>
    <col collapsed="false" customWidth="true" hidden="false" outlineLevel="0" max="14" min="4" style="1" width="20.72"/>
    <col collapsed="false" customWidth="true" hidden="true" outlineLevel="1" max="18" min="15" style="1" width="20.72"/>
    <col collapsed="false" customWidth="true" hidden="false" outlineLevel="0" max="19" min="19" style="1" width="20.72"/>
    <col collapsed="false" customWidth="true" hidden="false" outlineLevel="0" max="21" min="20" style="1" width="3.72"/>
    <col collapsed="false" customWidth="true" hidden="false" outlineLevel="0" max="22" min="22" style="1" width="15.81"/>
    <col collapsed="false" customWidth="true" hidden="false" outlineLevel="0" max="24" min="23" style="1" width="20.72"/>
    <col collapsed="false" customWidth="false" hidden="false" outlineLevel="0" max="1024" min="25" style="1" width="11.45"/>
  </cols>
  <sheetData>
    <row r="1" customFormat="false" ht="14.5" hidden="false" customHeight="false" outlineLevel="0" collapsed="false">
      <c r="A1" s="2" t="s">
        <v>256</v>
      </c>
      <c r="B1" s="2"/>
      <c r="C1" s="2"/>
      <c r="D1" s="2"/>
      <c r="E1" s="2"/>
      <c r="F1" s="2"/>
      <c r="G1" s="2"/>
      <c r="H1" s="2"/>
      <c r="I1" s="2"/>
      <c r="J1" s="2"/>
      <c r="K1" s="2"/>
      <c r="L1" s="2"/>
      <c r="M1" s="2"/>
      <c r="N1" s="2"/>
    </row>
    <row r="2" customFormat="false" ht="14.5" hidden="false" customHeight="false" outlineLevel="0" collapsed="false">
      <c r="A2" s="2"/>
      <c r="B2" s="2"/>
      <c r="C2" s="2"/>
      <c r="D2" s="2"/>
      <c r="E2" s="2"/>
      <c r="F2" s="2"/>
      <c r="G2" s="2"/>
      <c r="H2" s="2"/>
      <c r="I2" s="2"/>
      <c r="J2" s="2"/>
      <c r="K2" s="2"/>
      <c r="L2" s="2"/>
      <c r="M2" s="2"/>
      <c r="N2" s="2"/>
    </row>
    <row r="3" customFormat="false" ht="20.15" hidden="false" customHeight="true" outlineLevel="0" collapsed="false"/>
    <row r="4" customFormat="false" ht="15" hidden="false" customHeight="false" outlineLevel="0" collapsed="false">
      <c r="B4" s="3" t="s">
        <v>257</v>
      </c>
      <c r="C4" s="3"/>
      <c r="D4" s="3"/>
      <c r="E4" s="3"/>
      <c r="F4" s="3"/>
      <c r="G4" s="3"/>
      <c r="H4" s="3"/>
      <c r="I4" s="3"/>
      <c r="J4" s="3"/>
      <c r="L4" s="3" t="s">
        <v>2</v>
      </c>
      <c r="M4" s="3"/>
      <c r="N4" s="3"/>
      <c r="Q4" s="4"/>
      <c r="R4" s="4"/>
      <c r="S4" s="4"/>
      <c r="T4" s="5"/>
      <c r="U4" s="4"/>
      <c r="V4" s="4"/>
      <c r="W4" s="4"/>
      <c r="X4" s="4"/>
    </row>
    <row r="5" customFormat="false" ht="50.15" hidden="false" customHeight="true" outlineLevel="0" collapsed="false">
      <c r="B5" s="6" t="s">
        <v>258</v>
      </c>
      <c r="C5" s="6"/>
      <c r="D5" s="7" t="s">
        <v>4</v>
      </c>
      <c r="E5" s="8" t="s">
        <v>5</v>
      </c>
      <c r="F5" s="9" t="s">
        <v>6</v>
      </c>
      <c r="G5" s="10" t="s">
        <v>7</v>
      </c>
      <c r="H5" s="10" t="s">
        <v>8</v>
      </c>
      <c r="I5" s="10" t="s">
        <v>9</v>
      </c>
      <c r="J5" s="9" t="s">
        <v>259</v>
      </c>
      <c r="L5" s="11" t="s">
        <v>4</v>
      </c>
      <c r="M5" s="12" t="s">
        <v>11</v>
      </c>
      <c r="N5" s="13" t="s">
        <v>12</v>
      </c>
      <c r="P5" s="14"/>
      <c r="Q5" s="5"/>
      <c r="S5" s="4"/>
      <c r="T5" s="4"/>
      <c r="U5" s="4"/>
      <c r="V5" s="5"/>
      <c r="W5" s="5"/>
    </row>
    <row r="6" customFormat="false" ht="20.15" hidden="false" customHeight="true" outlineLevel="0" collapsed="false">
      <c r="B6" s="15" t="n">
        <v>1</v>
      </c>
      <c r="C6" s="15"/>
      <c r="D6" s="364" t="s">
        <v>16</v>
      </c>
      <c r="E6" s="360" t="s">
        <v>17</v>
      </c>
      <c r="F6" s="363" t="s">
        <v>17</v>
      </c>
      <c r="G6" s="364" t="s">
        <v>17</v>
      </c>
      <c r="H6" s="18" t="s">
        <v>17</v>
      </c>
      <c r="I6" s="18" t="s">
        <v>18</v>
      </c>
      <c r="J6" s="19" t="s">
        <v>15</v>
      </c>
      <c r="L6" s="20" t="str">
        <f aca="false">D6</f>
        <v>Andreas Micke</v>
      </c>
      <c r="M6" s="21" t="n">
        <v>1</v>
      </c>
      <c r="N6" s="22" t="n">
        <v>1</v>
      </c>
      <c r="P6" s="14"/>
      <c r="Q6" s="23"/>
      <c r="S6" s="14"/>
      <c r="T6" s="14"/>
      <c r="U6" s="14"/>
      <c r="V6" s="24"/>
      <c r="W6" s="24"/>
    </row>
    <row r="7" customFormat="false" ht="20.15" hidden="false" customHeight="true" outlineLevel="0" collapsed="false">
      <c r="B7" s="25" t="n">
        <v>2</v>
      </c>
      <c r="C7" s="25"/>
      <c r="D7" s="26" t="s">
        <v>25</v>
      </c>
      <c r="E7" s="27" t="s">
        <v>26</v>
      </c>
      <c r="F7" s="28" t="s">
        <v>26</v>
      </c>
      <c r="G7" s="26" t="s">
        <v>26</v>
      </c>
      <c r="H7" s="29" t="s">
        <v>26</v>
      </c>
      <c r="I7" s="36" t="s">
        <v>18</v>
      </c>
      <c r="J7" s="30" t="s">
        <v>15</v>
      </c>
      <c r="L7" s="31" t="str">
        <f aca="false">D7</f>
        <v>Pauline Schätzle</v>
      </c>
      <c r="M7" s="21"/>
      <c r="N7" s="32" t="n">
        <v>2</v>
      </c>
      <c r="P7" s="14"/>
      <c r="Q7" s="23"/>
      <c r="S7" s="14"/>
      <c r="T7" s="14"/>
      <c r="U7" s="14"/>
      <c r="V7" s="24"/>
      <c r="W7" s="24"/>
    </row>
    <row r="8" customFormat="false" ht="20.15" hidden="false" customHeight="true" outlineLevel="0" collapsed="false">
      <c r="B8" s="39" t="n">
        <v>3</v>
      </c>
      <c r="C8" s="39"/>
      <c r="D8" s="40" t="s">
        <v>19</v>
      </c>
      <c r="E8" s="41" t="s">
        <v>20</v>
      </c>
      <c r="F8" s="42" t="s">
        <v>20</v>
      </c>
      <c r="G8" s="43" t="s">
        <v>20</v>
      </c>
      <c r="H8" s="44" t="s">
        <v>20</v>
      </c>
      <c r="I8" s="44" t="s">
        <v>18</v>
      </c>
      <c r="J8" s="45" t="s">
        <v>38</v>
      </c>
      <c r="L8" s="31" t="str">
        <f aca="false">D8</f>
        <v>Jérôme Schätzle</v>
      </c>
      <c r="M8" s="21"/>
      <c r="N8" s="32" t="n">
        <v>3</v>
      </c>
      <c r="P8" s="14"/>
      <c r="Q8" s="23"/>
      <c r="S8" s="14"/>
      <c r="T8" s="14"/>
      <c r="U8" s="14"/>
      <c r="V8" s="24"/>
      <c r="W8" s="24"/>
    </row>
    <row r="9" customFormat="false" ht="20.15" hidden="false" customHeight="true" outlineLevel="0" collapsed="false">
      <c r="B9" s="25" t="n">
        <v>4</v>
      </c>
      <c r="C9" s="25"/>
      <c r="D9" s="33" t="s">
        <v>13</v>
      </c>
      <c r="E9" s="36" t="s">
        <v>14</v>
      </c>
      <c r="F9" s="36" t="s">
        <v>14</v>
      </c>
      <c r="G9" s="36" t="s">
        <v>14</v>
      </c>
      <c r="H9" s="29" t="s">
        <v>14</v>
      </c>
      <c r="I9" s="29" t="s">
        <v>14</v>
      </c>
      <c r="J9" s="30" t="s">
        <v>15</v>
      </c>
      <c r="L9" s="34" t="str">
        <f aca="false">D9</f>
        <v>Devid Fulterer</v>
      </c>
      <c r="M9" s="21"/>
      <c r="N9" s="35" t="n">
        <v>4</v>
      </c>
      <c r="P9" s="14"/>
      <c r="Q9" s="23"/>
      <c r="S9" s="14"/>
      <c r="T9" s="14"/>
      <c r="U9" s="14"/>
      <c r="V9" s="24"/>
      <c r="W9" s="24"/>
    </row>
    <row r="10" customFormat="false" ht="20.15" hidden="false" customHeight="true" outlineLevel="0" collapsed="false">
      <c r="B10" s="39" t="n">
        <v>5</v>
      </c>
      <c r="C10" s="39"/>
      <c r="D10" s="40" t="s">
        <v>23</v>
      </c>
      <c r="E10" s="418" t="s">
        <v>24</v>
      </c>
      <c r="F10" s="44" t="s">
        <v>24</v>
      </c>
      <c r="G10" s="44" t="s">
        <v>18</v>
      </c>
      <c r="H10" s="44" t="s">
        <v>24</v>
      </c>
      <c r="I10" s="418" t="s">
        <v>18</v>
      </c>
      <c r="J10" s="45" t="s">
        <v>38</v>
      </c>
      <c r="L10" s="20" t="str">
        <f aca="false">D10</f>
        <v>Alex Ulbricht</v>
      </c>
      <c r="M10" s="37" t="n">
        <v>2</v>
      </c>
      <c r="N10" s="22" t="n">
        <v>1</v>
      </c>
      <c r="P10" s="14"/>
      <c r="Q10" s="23"/>
      <c r="S10" s="14"/>
      <c r="T10" s="14"/>
      <c r="U10" s="14"/>
      <c r="V10" s="24"/>
      <c r="W10" s="24"/>
    </row>
    <row r="11" customFormat="false" ht="20.15" hidden="false" customHeight="true" outlineLevel="0" collapsed="false">
      <c r="B11" s="25" t="n">
        <v>6</v>
      </c>
      <c r="C11" s="25"/>
      <c r="D11" s="33" t="s">
        <v>27</v>
      </c>
      <c r="E11" s="36" t="s">
        <v>28</v>
      </c>
      <c r="F11" s="29" t="s">
        <v>29</v>
      </c>
      <c r="G11" s="29" t="s">
        <v>28</v>
      </c>
      <c r="H11" s="29" t="s">
        <v>28</v>
      </c>
      <c r="I11" s="36" t="s">
        <v>18</v>
      </c>
      <c r="J11" s="30" t="s">
        <v>15</v>
      </c>
      <c r="L11" s="31" t="str">
        <f aca="false">D11</f>
        <v>Judith Maibaum</v>
      </c>
      <c r="M11" s="37"/>
      <c r="N11" s="32" t="n">
        <v>2</v>
      </c>
      <c r="P11" s="14"/>
      <c r="Q11" s="23"/>
      <c r="S11" s="14"/>
      <c r="T11" s="14"/>
      <c r="U11" s="14"/>
      <c r="V11" s="24"/>
      <c r="W11" s="24"/>
    </row>
    <row r="12" customFormat="false" ht="20.15" hidden="false" customHeight="true" outlineLevel="0" collapsed="false">
      <c r="B12" s="25" t="n">
        <v>7</v>
      </c>
      <c r="C12" s="25"/>
      <c r="D12" s="33" t="s">
        <v>195</v>
      </c>
      <c r="E12" s="27" t="s">
        <v>50</v>
      </c>
      <c r="F12" s="28" t="s">
        <v>50</v>
      </c>
      <c r="G12" s="26" t="s">
        <v>18</v>
      </c>
      <c r="H12" s="29" t="s">
        <v>18</v>
      </c>
      <c r="I12" s="29" t="s">
        <v>18</v>
      </c>
      <c r="J12" s="30" t="s">
        <v>15</v>
      </c>
      <c r="L12" s="31" t="str">
        <f aca="false">D12</f>
        <v>Jonas Röhrich</v>
      </c>
      <c r="M12" s="37"/>
      <c r="N12" s="32" t="n">
        <v>3</v>
      </c>
      <c r="P12" s="14"/>
      <c r="Q12" s="23"/>
      <c r="S12" s="14"/>
      <c r="T12" s="14"/>
      <c r="U12" s="14"/>
      <c r="V12" s="24"/>
      <c r="W12" s="24"/>
    </row>
    <row r="13" customFormat="false" ht="20.15" hidden="false" customHeight="true" outlineLevel="0" collapsed="false">
      <c r="B13" s="25" t="n">
        <v>8</v>
      </c>
      <c r="C13" s="25"/>
      <c r="D13" s="26" t="s">
        <v>21</v>
      </c>
      <c r="E13" s="27" t="s">
        <v>22</v>
      </c>
      <c r="F13" s="28" t="s">
        <v>22</v>
      </c>
      <c r="G13" s="26" t="s">
        <v>18</v>
      </c>
      <c r="H13" s="29" t="s">
        <v>22</v>
      </c>
      <c r="I13" s="29" t="s">
        <v>18</v>
      </c>
      <c r="J13" s="30" t="s">
        <v>15</v>
      </c>
      <c r="L13" s="34" t="str">
        <f aca="false">D13</f>
        <v>Daniel Zimmerman</v>
      </c>
      <c r="M13" s="37"/>
      <c r="N13" s="35" t="n">
        <v>4</v>
      </c>
      <c r="P13" s="14"/>
      <c r="Q13" s="23"/>
      <c r="S13" s="14"/>
      <c r="T13" s="14"/>
      <c r="U13" s="14"/>
      <c r="V13" s="24"/>
      <c r="W13" s="24"/>
    </row>
    <row r="14" customFormat="false" ht="20.15" hidden="false" customHeight="true" outlineLevel="0" collapsed="false">
      <c r="B14" s="25" t="n">
        <v>9</v>
      </c>
      <c r="C14" s="25"/>
      <c r="D14" s="33" t="s">
        <v>39</v>
      </c>
      <c r="E14" s="36" t="s">
        <v>40</v>
      </c>
      <c r="F14" s="29" t="s">
        <v>40</v>
      </c>
      <c r="G14" s="29" t="s">
        <v>40</v>
      </c>
      <c r="H14" s="29" t="s">
        <v>18</v>
      </c>
      <c r="I14" s="29" t="s">
        <v>18</v>
      </c>
      <c r="J14" s="30" t="s">
        <v>15</v>
      </c>
      <c r="L14" s="20" t="str">
        <f aca="false">D14</f>
        <v>Markus Hagenauer</v>
      </c>
      <c r="M14" s="21" t="n">
        <v>3</v>
      </c>
      <c r="N14" s="22" t="n">
        <v>1</v>
      </c>
      <c r="P14" s="14"/>
      <c r="Q14" s="23"/>
      <c r="S14" s="14"/>
      <c r="T14" s="14"/>
      <c r="U14" s="14"/>
      <c r="V14" s="24"/>
      <c r="W14" s="24"/>
    </row>
    <row r="15" customFormat="false" ht="20.15" hidden="false" customHeight="true" outlineLevel="0" collapsed="false">
      <c r="B15" s="39" t="n">
        <v>10</v>
      </c>
      <c r="C15" s="39"/>
      <c r="D15" s="40" t="s">
        <v>41</v>
      </c>
      <c r="E15" s="41" t="s">
        <v>42</v>
      </c>
      <c r="F15" s="42" t="s">
        <v>42</v>
      </c>
      <c r="G15" s="43" t="s">
        <v>18</v>
      </c>
      <c r="H15" s="44" t="s">
        <v>18</v>
      </c>
      <c r="I15" s="44" t="s">
        <v>18</v>
      </c>
      <c r="J15" s="45" t="s">
        <v>38</v>
      </c>
      <c r="L15" s="31" t="str">
        <f aca="false">D15</f>
        <v>Franziska Büchner</v>
      </c>
      <c r="M15" s="21"/>
      <c r="N15" s="32" t="n">
        <v>2</v>
      </c>
      <c r="P15" s="14"/>
      <c r="Q15" s="23"/>
      <c r="S15" s="14"/>
      <c r="T15" s="14"/>
      <c r="U15" s="14"/>
      <c r="V15" s="24"/>
      <c r="W15" s="24"/>
    </row>
    <row r="16" customFormat="false" ht="20.15" hidden="false" customHeight="true" outlineLevel="0" collapsed="false">
      <c r="B16" s="47" t="n">
        <v>11</v>
      </c>
      <c r="C16" s="47"/>
      <c r="D16" s="48" t="s">
        <v>33</v>
      </c>
      <c r="E16" s="433" t="s">
        <v>34</v>
      </c>
      <c r="F16" s="52" t="s">
        <v>34</v>
      </c>
      <c r="G16" s="52" t="s">
        <v>34</v>
      </c>
      <c r="H16" s="52" t="s">
        <v>18</v>
      </c>
      <c r="I16" s="52" t="s">
        <v>18</v>
      </c>
      <c r="J16" s="53" t="s">
        <v>15</v>
      </c>
      <c r="L16" s="54" t="str">
        <f aca="false">D16</f>
        <v>Kai Maibaum</v>
      </c>
      <c r="M16" s="21"/>
      <c r="N16" s="55" t="n">
        <v>3</v>
      </c>
      <c r="P16" s="14"/>
      <c r="Q16" s="23"/>
      <c r="S16" s="14"/>
      <c r="T16" s="14"/>
      <c r="U16" s="14"/>
      <c r="V16" s="24"/>
      <c r="W16" s="24"/>
    </row>
    <row r="17" customFormat="false" ht="20.15" hidden="false" customHeight="true" outlineLevel="0" collapsed="false">
      <c r="B17" s="23"/>
      <c r="C17" s="23"/>
      <c r="L17" s="56" t="s">
        <v>260</v>
      </c>
      <c r="M17" s="56"/>
      <c r="N17" s="57" t="n">
        <v>11</v>
      </c>
      <c r="P17" s="4"/>
      <c r="Q17" s="4"/>
      <c r="S17" s="4"/>
      <c r="T17" s="4"/>
      <c r="U17" s="4"/>
      <c r="V17" s="4"/>
    </row>
    <row r="18" customFormat="false" ht="15" hidden="false" customHeight="false" outlineLevel="0" collapsed="false">
      <c r="B18" s="3" t="s">
        <v>261</v>
      </c>
      <c r="C18" s="3"/>
      <c r="D18" s="3"/>
      <c r="E18" s="3"/>
      <c r="F18" s="3"/>
      <c r="G18" s="3"/>
      <c r="H18" s="3"/>
      <c r="I18" s="3"/>
      <c r="M18" s="58"/>
      <c r="N18" s="58"/>
      <c r="O18" s="58"/>
      <c r="P18" s="5"/>
      <c r="Q18" s="4"/>
      <c r="R18" s="4"/>
      <c r="T18" s="4"/>
      <c r="U18" s="4"/>
      <c r="V18" s="4"/>
      <c r="W18" s="4"/>
    </row>
    <row r="19" customFormat="false" ht="29.5" hidden="false" customHeight="true" outlineLevel="0" collapsed="false">
      <c r="B19" s="59" t="s">
        <v>45</v>
      </c>
      <c r="C19" s="59"/>
      <c r="D19" s="60" t="s">
        <v>4</v>
      </c>
      <c r="E19" s="61" t="s">
        <v>5</v>
      </c>
      <c r="F19" s="62" t="s">
        <v>6</v>
      </c>
      <c r="G19" s="63" t="s">
        <v>7</v>
      </c>
      <c r="H19" s="64" t="s">
        <v>8</v>
      </c>
      <c r="I19" s="62" t="s">
        <v>9</v>
      </c>
      <c r="M19" s="58"/>
      <c r="N19" s="58"/>
      <c r="O19" s="58"/>
      <c r="P19" s="5"/>
      <c r="Q19" s="4"/>
      <c r="R19" s="4"/>
      <c r="T19" s="4"/>
      <c r="U19" s="4"/>
      <c r="V19" s="4"/>
      <c r="W19" s="4"/>
    </row>
    <row r="20" customFormat="false" ht="20.15" hidden="false" customHeight="true" outlineLevel="0" collapsed="false">
      <c r="B20" s="368" t="n">
        <v>1</v>
      </c>
      <c r="C20" s="368"/>
      <c r="D20" s="369" t="s">
        <v>262</v>
      </c>
      <c r="E20" s="370" t="s">
        <v>263</v>
      </c>
      <c r="F20" s="370" t="s">
        <v>264</v>
      </c>
      <c r="G20" s="370" t="s">
        <v>18</v>
      </c>
      <c r="H20" s="370" t="s">
        <v>18</v>
      </c>
      <c r="I20" s="371" t="s">
        <v>18</v>
      </c>
      <c r="M20" s="58"/>
      <c r="N20" s="58"/>
      <c r="O20" s="58"/>
      <c r="P20" s="5"/>
      <c r="Q20" s="4"/>
      <c r="R20" s="4"/>
      <c r="T20" s="4"/>
      <c r="U20" s="4"/>
      <c r="V20" s="4"/>
      <c r="W20" s="4"/>
    </row>
    <row r="21" customFormat="false" ht="20.15" hidden="false" customHeight="true" outlineLevel="0" collapsed="false">
      <c r="D21" s="76"/>
      <c r="E21" s="76"/>
      <c r="F21" s="76"/>
      <c r="M21" s="58"/>
      <c r="N21" s="58"/>
      <c r="O21" s="58"/>
      <c r="P21" s="5"/>
      <c r="Q21" s="4"/>
      <c r="R21" s="4"/>
      <c r="T21" s="4"/>
      <c r="U21" s="4"/>
      <c r="V21" s="4"/>
      <c r="W21" s="4"/>
    </row>
    <row r="22" customFormat="false" ht="20.15" hidden="false" customHeight="true" outlineLevel="0" collapsed="false">
      <c r="B22" s="77"/>
      <c r="C22" s="77"/>
      <c r="D22" s="78"/>
      <c r="E22" s="78"/>
      <c r="F22" s="78"/>
      <c r="G22" s="78"/>
      <c r="H22" s="77"/>
      <c r="I22" s="77"/>
      <c r="J22" s="77"/>
      <c r="K22" s="77"/>
      <c r="L22" s="77"/>
      <c r="M22" s="77"/>
      <c r="N22" s="77"/>
      <c r="O22" s="77"/>
      <c r="P22" s="77"/>
      <c r="Q22" s="77"/>
      <c r="R22" s="77"/>
      <c r="S22" s="77"/>
      <c r="T22" s="77"/>
      <c r="U22" s="77"/>
    </row>
    <row r="23" customFormat="false" ht="30" hidden="false" customHeight="true" outlineLevel="0" collapsed="false">
      <c r="B23" s="77"/>
      <c r="C23" s="79" t="s">
        <v>51</v>
      </c>
      <c r="D23" s="79"/>
      <c r="E23" s="79"/>
      <c r="F23" s="79"/>
      <c r="G23" s="79"/>
      <c r="H23" s="79"/>
      <c r="I23" s="79"/>
      <c r="J23" s="79"/>
      <c r="K23" s="79"/>
      <c r="L23" s="79"/>
      <c r="M23" s="79"/>
      <c r="N23" s="79"/>
      <c r="O23" s="79"/>
      <c r="P23" s="79"/>
      <c r="Q23" s="79"/>
      <c r="R23" s="79"/>
      <c r="S23" s="79"/>
      <c r="T23" s="79"/>
      <c r="U23" s="77"/>
    </row>
    <row r="24" customFormat="false" ht="20.15" hidden="false" customHeight="true" outlineLevel="0" collapsed="false">
      <c r="B24" s="77"/>
      <c r="U24" s="77"/>
    </row>
    <row r="25" customFormat="false" ht="20.15" hidden="false" customHeight="true" outlineLevel="0" collapsed="false">
      <c r="B25" s="77"/>
      <c r="D25" s="80" t="s">
        <v>52</v>
      </c>
      <c r="E25" s="81" t="s">
        <v>53</v>
      </c>
      <c r="F25" s="82" t="s">
        <v>12</v>
      </c>
      <c r="G25" s="81" t="s">
        <v>54</v>
      </c>
      <c r="H25" s="81"/>
      <c r="I25" s="81"/>
      <c r="J25" s="81"/>
      <c r="K25" s="81" t="s">
        <v>55</v>
      </c>
      <c r="L25" s="83" t="s">
        <v>56</v>
      </c>
      <c r="M25" s="83"/>
      <c r="N25" s="83"/>
      <c r="O25" s="83"/>
      <c r="P25" s="83"/>
      <c r="Q25" s="83"/>
      <c r="R25" s="83"/>
      <c r="S25" s="83"/>
      <c r="U25" s="77"/>
    </row>
    <row r="26" customFormat="false" ht="20.15" hidden="false" customHeight="true" outlineLevel="0" collapsed="false">
      <c r="B26" s="77"/>
      <c r="D26" s="80"/>
      <c r="E26" s="81"/>
      <c r="F26" s="81"/>
      <c r="G26" s="84" t="s">
        <v>57</v>
      </c>
      <c r="H26" s="84" t="s">
        <v>58</v>
      </c>
      <c r="I26" s="82" t="s">
        <v>59</v>
      </c>
      <c r="J26" s="82"/>
      <c r="K26" s="84" t="s">
        <v>60</v>
      </c>
      <c r="L26" s="84" t="s">
        <v>57</v>
      </c>
      <c r="M26" s="85" t="s">
        <v>61</v>
      </c>
      <c r="N26" s="82" t="s">
        <v>59</v>
      </c>
      <c r="O26" s="82"/>
      <c r="P26" s="82"/>
      <c r="Q26" s="82"/>
      <c r="R26" s="82"/>
      <c r="S26" s="82"/>
      <c r="U26" s="77"/>
    </row>
    <row r="27" customFormat="false" ht="20.15" hidden="false" customHeight="true" outlineLevel="0" collapsed="false">
      <c r="B27" s="77"/>
      <c r="D27" s="367" t="s">
        <v>16</v>
      </c>
      <c r="E27" s="372" t="s">
        <v>17</v>
      </c>
      <c r="F27" s="22" t="n">
        <v>1</v>
      </c>
      <c r="G27" s="89" t="s">
        <v>67</v>
      </c>
      <c r="H27" s="281" t="s">
        <v>209</v>
      </c>
      <c r="I27" s="282" t="s">
        <v>210</v>
      </c>
      <c r="J27" s="282"/>
      <c r="K27" s="283" t="s">
        <v>114</v>
      </c>
      <c r="L27" s="284" t="s">
        <v>66</v>
      </c>
      <c r="M27" s="94" t="s">
        <v>66</v>
      </c>
      <c r="N27" s="95" t="s">
        <v>66</v>
      </c>
      <c r="O27" s="95"/>
      <c r="P27" s="95"/>
      <c r="Q27" s="95"/>
      <c r="R27" s="95"/>
      <c r="S27" s="95"/>
      <c r="U27" s="77"/>
    </row>
    <row r="28" customFormat="false" ht="20.15" hidden="false" customHeight="true" outlineLevel="0" collapsed="false">
      <c r="B28" s="77"/>
      <c r="D28" s="46" t="s">
        <v>25</v>
      </c>
      <c r="E28" s="96" t="s">
        <v>26</v>
      </c>
      <c r="F28" s="32" t="n">
        <v>2</v>
      </c>
      <c r="G28" s="98" t="s">
        <v>67</v>
      </c>
      <c r="H28" s="99" t="s">
        <v>265</v>
      </c>
      <c r="I28" s="287" t="s">
        <v>66</v>
      </c>
      <c r="J28" s="287"/>
      <c r="K28" s="374" t="s">
        <v>65</v>
      </c>
      <c r="L28" s="289" t="s">
        <v>66</v>
      </c>
      <c r="M28" s="103" t="s">
        <v>66</v>
      </c>
      <c r="N28" s="104" t="s">
        <v>66</v>
      </c>
      <c r="O28" s="104"/>
      <c r="P28" s="104"/>
      <c r="Q28" s="104"/>
      <c r="R28" s="104"/>
      <c r="S28" s="104"/>
      <c r="U28" s="77"/>
    </row>
    <row r="29" customFormat="false" ht="80.15" hidden="false" customHeight="true" outlineLevel="0" collapsed="false">
      <c r="B29" s="77"/>
      <c r="D29" s="105" t="s">
        <v>19</v>
      </c>
      <c r="E29" s="96" t="s">
        <v>20</v>
      </c>
      <c r="F29" s="32" t="n">
        <v>3</v>
      </c>
      <c r="G29" s="106" t="s">
        <v>71</v>
      </c>
      <c r="H29" s="107" t="s">
        <v>114</v>
      </c>
      <c r="I29" s="293" t="s">
        <v>266</v>
      </c>
      <c r="J29" s="293"/>
      <c r="K29" s="288" t="s">
        <v>65</v>
      </c>
      <c r="L29" s="434" t="s">
        <v>71</v>
      </c>
      <c r="M29" s="107" t="s">
        <v>267</v>
      </c>
      <c r="N29" s="108" t="s">
        <v>268</v>
      </c>
      <c r="O29" s="108"/>
      <c r="P29" s="108"/>
      <c r="Q29" s="108"/>
      <c r="R29" s="108"/>
      <c r="S29" s="108"/>
      <c r="U29" s="77"/>
    </row>
    <row r="30" customFormat="false" ht="80.15" hidden="false" customHeight="true" outlineLevel="0" collapsed="false">
      <c r="B30" s="77"/>
      <c r="D30" s="295" t="s">
        <v>13</v>
      </c>
      <c r="E30" s="386" t="s">
        <v>14</v>
      </c>
      <c r="F30" s="55" t="n">
        <v>4</v>
      </c>
      <c r="G30" s="115" t="s">
        <v>269</v>
      </c>
      <c r="H30" s="101" t="s">
        <v>63</v>
      </c>
      <c r="I30" s="377" t="s">
        <v>116</v>
      </c>
      <c r="J30" s="377"/>
      <c r="K30" s="435" t="s">
        <v>114</v>
      </c>
      <c r="L30" s="379" t="s">
        <v>66</v>
      </c>
      <c r="M30" s="119" t="s">
        <v>66</v>
      </c>
      <c r="N30" s="120" t="s">
        <v>66</v>
      </c>
      <c r="O30" s="120"/>
      <c r="P30" s="120"/>
      <c r="Q30" s="120"/>
      <c r="R30" s="120"/>
      <c r="S30" s="120"/>
      <c r="U30" s="77"/>
    </row>
    <row r="31" customFormat="false" ht="20.15" hidden="false" customHeight="true" outlineLevel="0" collapsed="false">
      <c r="B31" s="77"/>
      <c r="D31" s="121"/>
      <c r="E31" s="121"/>
      <c r="U31" s="77"/>
    </row>
    <row r="32" customFormat="false" ht="20.15" hidden="false" customHeight="true" outlineLevel="0" collapsed="false">
      <c r="B32" s="77"/>
      <c r="C32" s="122"/>
      <c r="D32" s="122"/>
      <c r="E32" s="123" t="str">
        <f aca="false">IF(OR(M27="-",M27= ""),H27,M27)</f>
        <v>Res Arcana</v>
      </c>
      <c r="F32" s="123"/>
      <c r="G32" s="123"/>
      <c r="H32" s="123"/>
      <c r="I32" s="123"/>
      <c r="J32" s="123"/>
      <c r="K32" s="123"/>
      <c r="L32" s="123"/>
      <c r="M32" s="123"/>
      <c r="N32" s="123"/>
      <c r="O32" s="124"/>
      <c r="P32" s="124"/>
      <c r="Q32" s="124"/>
      <c r="R32" s="124"/>
      <c r="S32" s="124"/>
      <c r="T32" s="122"/>
      <c r="U32" s="77"/>
    </row>
    <row r="33" customFormat="false" ht="50.15" hidden="false" customHeight="true" outlineLevel="0" collapsed="false">
      <c r="B33" s="77"/>
      <c r="C33" s="122"/>
      <c r="D33" s="124"/>
      <c r="E33" s="125" t="s">
        <v>52</v>
      </c>
      <c r="F33" s="126" t="s">
        <v>75</v>
      </c>
      <c r="G33" s="82" t="s">
        <v>76</v>
      </c>
      <c r="H33" s="81" t="s">
        <v>77</v>
      </c>
      <c r="I33" s="59" t="s">
        <v>78</v>
      </c>
      <c r="J33" s="81" t="s">
        <v>79</v>
      </c>
      <c r="K33" s="127" t="s">
        <v>80</v>
      </c>
      <c r="L33" s="81" t="s">
        <v>81</v>
      </c>
      <c r="M33" s="128" t="s">
        <v>82</v>
      </c>
      <c r="N33" s="129" t="s">
        <v>83</v>
      </c>
      <c r="O33" s="130" t="s">
        <v>84</v>
      </c>
      <c r="P33" s="131" t="s">
        <v>85</v>
      </c>
      <c r="Q33" s="131" t="s">
        <v>86</v>
      </c>
      <c r="R33" s="131" t="s">
        <v>87</v>
      </c>
      <c r="S33" s="124"/>
      <c r="T33" s="122"/>
      <c r="U33" s="77"/>
    </row>
    <row r="34" customFormat="false" ht="20.15" hidden="false" customHeight="true" outlineLevel="0" collapsed="false">
      <c r="B34" s="77"/>
      <c r="C34" s="122"/>
      <c r="D34" s="132"/>
      <c r="E34" s="416" t="s">
        <v>16</v>
      </c>
      <c r="F34" s="380" t="s">
        <v>17</v>
      </c>
      <c r="G34" s="201" t="n">
        <v>1</v>
      </c>
      <c r="H34" s="202" t="s">
        <v>270</v>
      </c>
      <c r="I34" s="201" t="n">
        <v>0</v>
      </c>
      <c r="J34" s="201" t="n">
        <v>12</v>
      </c>
      <c r="K34" s="201" t="s">
        <v>66</v>
      </c>
      <c r="L34" s="204" t="n">
        <f aca="false">IF(J34="",0,(J34/J38)*100)</f>
        <v>100</v>
      </c>
      <c r="M34" s="201" t="n">
        <v>1</v>
      </c>
      <c r="N34" s="205" t="n">
        <v>6</v>
      </c>
      <c r="O34" s="137" t="n">
        <f aca="false">IF(M34=1,1,0)</f>
        <v>1</v>
      </c>
      <c r="P34" s="138" t="n">
        <f aca="false">IF(M34=2,1,0)</f>
        <v>0</v>
      </c>
      <c r="Q34" s="138" t="n">
        <f aca="false">IF(M34=3,1,0)</f>
        <v>0</v>
      </c>
      <c r="R34" s="139" t="n">
        <f aca="false">IF(M34=4,1,0)</f>
        <v>0</v>
      </c>
      <c r="S34" s="140"/>
      <c r="T34" s="122"/>
      <c r="U34" s="77"/>
    </row>
    <row r="35" customFormat="false" ht="20.15" hidden="false" customHeight="true" outlineLevel="0" collapsed="false">
      <c r="B35" s="77"/>
      <c r="C35" s="122"/>
      <c r="D35" s="132"/>
      <c r="E35" s="226" t="s">
        <v>25</v>
      </c>
      <c r="F35" s="227" t="s">
        <v>26</v>
      </c>
      <c r="G35" s="228" t="n">
        <v>4</v>
      </c>
      <c r="H35" s="228" t="s">
        <v>271</v>
      </c>
      <c r="I35" s="228" t="n">
        <v>0</v>
      </c>
      <c r="J35" s="228" t="n">
        <v>6</v>
      </c>
      <c r="K35" s="228" t="s">
        <v>272</v>
      </c>
      <c r="L35" s="229" t="n">
        <f aca="false">IF(J35="",0,(J35/J38)*100)</f>
        <v>50</v>
      </c>
      <c r="M35" s="228" t="n">
        <v>4</v>
      </c>
      <c r="N35" s="230" t="n">
        <v>0</v>
      </c>
      <c r="O35" s="144" t="n">
        <f aca="false">IF(M35=1,1,0)</f>
        <v>0</v>
      </c>
      <c r="P35" s="145" t="n">
        <f aca="false">IF(M35=2,1,0)</f>
        <v>0</v>
      </c>
      <c r="Q35" s="145" t="n">
        <f aca="false">IF(M35=3,1,0)</f>
        <v>0</v>
      </c>
      <c r="R35" s="146" t="n">
        <f aca="false">IF(M35=4,1,0)</f>
        <v>1</v>
      </c>
      <c r="S35" s="140"/>
      <c r="T35" s="122"/>
      <c r="U35" s="77"/>
    </row>
    <row r="36" customFormat="false" ht="20.15" hidden="false" customHeight="true" outlineLevel="0" collapsed="false">
      <c r="B36" s="77"/>
      <c r="C36" s="122"/>
      <c r="D36" s="132"/>
      <c r="E36" s="105" t="s">
        <v>19</v>
      </c>
      <c r="F36" s="227" t="s">
        <v>20</v>
      </c>
      <c r="G36" s="228" t="n">
        <v>3</v>
      </c>
      <c r="H36" s="228" t="s">
        <v>273</v>
      </c>
      <c r="I36" s="228" t="n">
        <v>0</v>
      </c>
      <c r="J36" s="228" t="n">
        <v>9</v>
      </c>
      <c r="K36" s="228" t="s">
        <v>66</v>
      </c>
      <c r="L36" s="229" t="n">
        <f aca="false">IF(J36="",0,(J36/J38)*100)</f>
        <v>75</v>
      </c>
      <c r="M36" s="228" t="n">
        <v>2</v>
      </c>
      <c r="N36" s="230" t="n">
        <v>3</v>
      </c>
      <c r="O36" s="144" t="n">
        <f aca="false">IF(M36=1,1,0)</f>
        <v>0</v>
      </c>
      <c r="P36" s="145" t="n">
        <f aca="false">IF(M36=2,1,0)</f>
        <v>1</v>
      </c>
      <c r="Q36" s="145" t="n">
        <f aca="false">IF(M36=3,1,0)</f>
        <v>0</v>
      </c>
      <c r="R36" s="146" t="n">
        <f aca="false">IF(M36=4,1,0)</f>
        <v>0</v>
      </c>
      <c r="S36" s="140"/>
      <c r="T36" s="122"/>
      <c r="U36" s="77"/>
    </row>
    <row r="37" customFormat="false" ht="20.15" hidden="false" customHeight="true" outlineLevel="0" collapsed="false">
      <c r="B37" s="77"/>
      <c r="C37" s="122"/>
      <c r="D37" s="152"/>
      <c r="E37" s="295" t="s">
        <v>13</v>
      </c>
      <c r="F37" s="386" t="s">
        <v>14</v>
      </c>
      <c r="G37" s="234" t="n">
        <v>2</v>
      </c>
      <c r="H37" s="234" t="s">
        <v>274</v>
      </c>
      <c r="I37" s="234" t="n">
        <v>0</v>
      </c>
      <c r="J37" s="234" t="n">
        <v>6</v>
      </c>
      <c r="K37" s="234" t="s">
        <v>275</v>
      </c>
      <c r="L37" s="381" t="n">
        <f aca="false">IF(J37="",0,(J37/J38)*100)</f>
        <v>50</v>
      </c>
      <c r="M37" s="234" t="n">
        <v>3</v>
      </c>
      <c r="N37" s="236" t="n">
        <v>1</v>
      </c>
      <c r="O37" s="156" t="n">
        <f aca="false">IF(M37=1,1,0)</f>
        <v>0</v>
      </c>
      <c r="P37" s="157" t="n">
        <f aca="false">IF(M37=2,1,0)</f>
        <v>0</v>
      </c>
      <c r="Q37" s="157" t="n">
        <f aca="false">IF(M37=3,1,0)</f>
        <v>1</v>
      </c>
      <c r="R37" s="158" t="n">
        <f aca="false">IF(M37=4,1,0)</f>
        <v>0</v>
      </c>
      <c r="S37" s="140"/>
      <c r="T37" s="122"/>
      <c r="U37" s="77"/>
    </row>
    <row r="38" customFormat="false" ht="20.15" hidden="true" customHeight="true" outlineLevel="1" collapsed="false">
      <c r="B38" s="77"/>
      <c r="C38" s="122"/>
      <c r="D38" s="159"/>
      <c r="E38" s="159"/>
      <c r="F38" s="140"/>
      <c r="G38" s="140"/>
      <c r="H38" s="122"/>
      <c r="I38" s="160" t="s">
        <v>92</v>
      </c>
      <c r="J38" s="161" t="n">
        <f aca="false">MAX(J34:J37)</f>
        <v>12</v>
      </c>
      <c r="K38" s="162"/>
      <c r="L38" s="163"/>
      <c r="M38" s="122"/>
      <c r="N38" s="164" t="s">
        <v>93</v>
      </c>
      <c r="O38" s="165" t="n">
        <f aca="false">SUM(O34:O37)</f>
        <v>1</v>
      </c>
      <c r="P38" s="166" t="n">
        <f aca="false">SUM(P34:P37)</f>
        <v>1</v>
      </c>
      <c r="Q38" s="165" t="n">
        <f aca="false">SUM(Q34:Q37)</f>
        <v>1</v>
      </c>
      <c r="R38" s="165" t="n">
        <f aca="false">SUM(R34:R37)</f>
        <v>1</v>
      </c>
      <c r="S38" s="167"/>
      <c r="T38" s="122"/>
      <c r="U38" s="77"/>
    </row>
    <row r="39" customFormat="false" ht="20.15" hidden="false" customHeight="true" outlineLevel="0" collapsed="false">
      <c r="B39" s="77"/>
      <c r="C39" s="122"/>
      <c r="D39" s="168"/>
      <c r="E39" s="168"/>
      <c r="F39" s="169"/>
      <c r="G39" s="169"/>
      <c r="H39" s="124"/>
      <c r="I39" s="122"/>
      <c r="J39" s="122"/>
      <c r="K39" s="122"/>
      <c r="L39" s="122"/>
      <c r="M39" s="122"/>
      <c r="N39" s="122"/>
      <c r="O39" s="122"/>
      <c r="P39" s="122"/>
      <c r="Q39" s="122"/>
      <c r="R39" s="122"/>
      <c r="S39" s="122"/>
      <c r="T39" s="122"/>
      <c r="U39" s="77"/>
    </row>
    <row r="40" customFormat="false" ht="20.15" hidden="false" customHeight="true" outlineLevel="0" collapsed="false">
      <c r="B40" s="77"/>
      <c r="U40" s="77"/>
    </row>
    <row r="41" customFormat="false" ht="20.15" hidden="false" customHeight="true" outlineLevel="0" collapsed="false">
      <c r="B41" s="77"/>
      <c r="C41" s="170"/>
      <c r="D41" s="170"/>
      <c r="E41" s="171" t="str">
        <f aca="false">IF(OR(M28="-",M28= ""),H28,M28)</f>
        <v>Yokohama</v>
      </c>
      <c r="F41" s="171"/>
      <c r="G41" s="171"/>
      <c r="H41" s="171"/>
      <c r="I41" s="171"/>
      <c r="J41" s="171"/>
      <c r="K41" s="171"/>
      <c r="L41" s="171"/>
      <c r="M41" s="171"/>
      <c r="N41" s="171"/>
      <c r="O41" s="172"/>
      <c r="P41" s="172"/>
      <c r="Q41" s="172"/>
      <c r="R41" s="172"/>
      <c r="S41" s="172"/>
      <c r="T41" s="170"/>
      <c r="U41" s="77"/>
    </row>
    <row r="42" customFormat="false" ht="50.15" hidden="false" customHeight="true" outlineLevel="0" collapsed="false">
      <c r="B42" s="77"/>
      <c r="C42" s="170"/>
      <c r="D42" s="172"/>
      <c r="E42" s="125" t="s">
        <v>52</v>
      </c>
      <c r="F42" s="126" t="s">
        <v>75</v>
      </c>
      <c r="G42" s="82" t="s">
        <v>76</v>
      </c>
      <c r="H42" s="81" t="s">
        <v>77</v>
      </c>
      <c r="I42" s="59" t="s">
        <v>78</v>
      </c>
      <c r="J42" s="81" t="s">
        <v>79</v>
      </c>
      <c r="K42" s="127" t="s">
        <v>80</v>
      </c>
      <c r="L42" s="81" t="s">
        <v>81</v>
      </c>
      <c r="M42" s="128" t="s">
        <v>82</v>
      </c>
      <c r="N42" s="129" t="s">
        <v>83</v>
      </c>
      <c r="O42" s="130" t="s">
        <v>84</v>
      </c>
      <c r="P42" s="131" t="s">
        <v>85</v>
      </c>
      <c r="Q42" s="131" t="s">
        <v>86</v>
      </c>
      <c r="R42" s="131" t="s">
        <v>87</v>
      </c>
      <c r="S42" s="172"/>
      <c r="T42" s="170"/>
      <c r="U42" s="77"/>
    </row>
    <row r="43" customFormat="false" ht="20.15" hidden="false" customHeight="true" outlineLevel="0" collapsed="false">
      <c r="B43" s="77"/>
      <c r="C43" s="170"/>
      <c r="D43" s="173"/>
      <c r="E43" s="388" t="s">
        <v>16</v>
      </c>
      <c r="F43" s="382" t="s">
        <v>17</v>
      </c>
      <c r="G43" s="221" t="n">
        <v>3</v>
      </c>
      <c r="H43" s="222" t="s">
        <v>66</v>
      </c>
      <c r="I43" s="221" t="n">
        <v>0</v>
      </c>
      <c r="J43" s="222" t="n">
        <v>112</v>
      </c>
      <c r="K43" s="222" t="s">
        <v>66</v>
      </c>
      <c r="L43" s="223" t="n">
        <f aca="false">IF(J43="",0,(J43/J47)*100)</f>
        <v>74.1721854304636</v>
      </c>
      <c r="M43" s="221" t="n">
        <v>3</v>
      </c>
      <c r="N43" s="224" t="n">
        <v>1</v>
      </c>
      <c r="O43" s="137" t="n">
        <f aca="false">IF(M43=1,1,0)</f>
        <v>0</v>
      </c>
      <c r="P43" s="138" t="n">
        <f aca="false">IF(M43=2,1,0)</f>
        <v>0</v>
      </c>
      <c r="Q43" s="138" t="n">
        <f aca="false">IF(M43=3,1,0)</f>
        <v>1</v>
      </c>
      <c r="R43" s="139" t="n">
        <f aca="false">IF(M43=4,1,0)</f>
        <v>0</v>
      </c>
      <c r="S43" s="176"/>
      <c r="T43" s="170"/>
      <c r="U43" s="77"/>
    </row>
    <row r="44" customFormat="false" ht="20.15" hidden="false" customHeight="true" outlineLevel="0" collapsed="false">
      <c r="B44" s="77"/>
      <c r="C44" s="170"/>
      <c r="D44" s="177"/>
      <c r="E44" s="226" t="s">
        <v>25</v>
      </c>
      <c r="F44" s="227" t="s">
        <v>26</v>
      </c>
      <c r="G44" s="228" t="n">
        <v>2</v>
      </c>
      <c r="H44" s="317" t="s">
        <v>66</v>
      </c>
      <c r="I44" s="228" t="n">
        <v>0</v>
      </c>
      <c r="J44" s="317" t="n">
        <v>126</v>
      </c>
      <c r="K44" s="317" t="s">
        <v>66</v>
      </c>
      <c r="L44" s="229" t="n">
        <f aca="false">IF(J44="",0,(J44/J47)*100)</f>
        <v>83.4437086092715</v>
      </c>
      <c r="M44" s="228" t="n">
        <v>2</v>
      </c>
      <c r="N44" s="230" t="n">
        <v>3</v>
      </c>
      <c r="O44" s="144" t="n">
        <f aca="false">IF(M44=1,1,0)</f>
        <v>0</v>
      </c>
      <c r="P44" s="145" t="n">
        <f aca="false">IF(M44=2,1,0)</f>
        <v>1</v>
      </c>
      <c r="Q44" s="145" t="n">
        <f aca="false">IF(M44=3,1,0)</f>
        <v>0</v>
      </c>
      <c r="R44" s="146" t="n">
        <f aca="false">IF(M44=4,1,0)</f>
        <v>0</v>
      </c>
      <c r="S44" s="176"/>
      <c r="T44" s="170"/>
      <c r="U44" s="77"/>
    </row>
    <row r="45" customFormat="false" ht="20.15" hidden="false" customHeight="true" outlineLevel="0" collapsed="false">
      <c r="B45" s="77"/>
      <c r="C45" s="170"/>
      <c r="D45" s="173"/>
      <c r="E45" s="105" t="s">
        <v>19</v>
      </c>
      <c r="F45" s="227" t="s">
        <v>20</v>
      </c>
      <c r="G45" s="228" t="n">
        <v>4</v>
      </c>
      <c r="H45" s="317" t="s">
        <v>66</v>
      </c>
      <c r="I45" s="228" t="n">
        <v>0</v>
      </c>
      <c r="J45" s="317" t="n">
        <v>79</v>
      </c>
      <c r="K45" s="317" t="s">
        <v>66</v>
      </c>
      <c r="L45" s="229" t="n">
        <f aca="false">IF(J45="",0,(J45/J47)*100)</f>
        <v>52.317880794702</v>
      </c>
      <c r="M45" s="228" t="n">
        <v>4</v>
      </c>
      <c r="N45" s="230" t="n">
        <v>0</v>
      </c>
      <c r="O45" s="144" t="n">
        <f aca="false">IF(M45=1,1,0)</f>
        <v>0</v>
      </c>
      <c r="P45" s="145" t="n">
        <f aca="false">IF(M45=2,1,0)</f>
        <v>0</v>
      </c>
      <c r="Q45" s="145" t="n">
        <f aca="false">IF(M45=3,1,0)</f>
        <v>0</v>
      </c>
      <c r="R45" s="146" t="n">
        <f aca="false">IF(M45=4,1,0)</f>
        <v>1</v>
      </c>
      <c r="S45" s="176"/>
      <c r="T45" s="170"/>
      <c r="U45" s="77"/>
    </row>
    <row r="46" customFormat="false" ht="20.15" hidden="false" customHeight="true" outlineLevel="0" collapsed="false">
      <c r="B46" s="77"/>
      <c r="C46" s="170"/>
      <c r="D46" s="173"/>
      <c r="E46" s="318" t="s">
        <v>13</v>
      </c>
      <c r="F46" s="391" t="s">
        <v>14</v>
      </c>
      <c r="G46" s="322" t="n">
        <v>1</v>
      </c>
      <c r="H46" s="321" t="s">
        <v>66</v>
      </c>
      <c r="I46" s="322" t="n">
        <v>0</v>
      </c>
      <c r="J46" s="321" t="n">
        <v>151</v>
      </c>
      <c r="K46" s="322" t="s">
        <v>66</v>
      </c>
      <c r="L46" s="323" t="n">
        <f aca="false">IF(J46="",0,(J46/J47)*100)</f>
        <v>100</v>
      </c>
      <c r="M46" s="322" t="n">
        <v>1</v>
      </c>
      <c r="N46" s="324" t="n">
        <v>6</v>
      </c>
      <c r="O46" s="156" t="n">
        <f aca="false">IF(M46=1,1,0)</f>
        <v>1</v>
      </c>
      <c r="P46" s="157" t="n">
        <f aca="false">IF(M46=2,1,0)</f>
        <v>0</v>
      </c>
      <c r="Q46" s="157" t="n">
        <f aca="false">IF(M46=3,1,0)</f>
        <v>0</v>
      </c>
      <c r="R46" s="158" t="n">
        <f aca="false">IF(M46=4,1,0)</f>
        <v>0</v>
      </c>
      <c r="S46" s="176"/>
      <c r="T46" s="170"/>
      <c r="U46" s="77"/>
    </row>
    <row r="47" customFormat="false" ht="20.15" hidden="true" customHeight="true" outlineLevel="1" collapsed="false">
      <c r="B47" s="77"/>
      <c r="C47" s="170"/>
      <c r="D47" s="173"/>
      <c r="E47" s="173"/>
      <c r="F47" s="172"/>
      <c r="G47" s="172"/>
      <c r="H47" s="170"/>
      <c r="I47" s="185" t="s">
        <v>92</v>
      </c>
      <c r="J47" s="161" t="n">
        <f aca="false">MAX(J43:J46)</f>
        <v>151</v>
      </c>
      <c r="K47" s="186"/>
      <c r="L47" s="176"/>
      <c r="M47" s="170"/>
      <c r="N47" s="164" t="s">
        <v>93</v>
      </c>
      <c r="O47" s="165" t="n">
        <f aca="false">SUM(O43:O46)</f>
        <v>1</v>
      </c>
      <c r="P47" s="166" t="n">
        <f aca="false">SUM(P43:P46)</f>
        <v>1</v>
      </c>
      <c r="Q47" s="165" t="n">
        <f aca="false">SUM(Q43:Q46)</f>
        <v>1</v>
      </c>
      <c r="R47" s="187" t="n">
        <f aca="false">SUM(R43:R46)</f>
        <v>1</v>
      </c>
      <c r="S47" s="188"/>
      <c r="T47" s="170"/>
      <c r="U47" s="77"/>
    </row>
    <row r="48" customFormat="false" ht="20.15" hidden="false" customHeight="true" outlineLevel="0" collapsed="false">
      <c r="B48" s="77"/>
      <c r="C48" s="170"/>
      <c r="D48" s="189"/>
      <c r="E48" s="189"/>
      <c r="F48" s="170"/>
      <c r="G48" s="170"/>
      <c r="H48" s="170"/>
      <c r="I48" s="170"/>
      <c r="J48" s="170"/>
      <c r="K48" s="170"/>
      <c r="L48" s="170"/>
      <c r="M48" s="170"/>
      <c r="N48" s="170"/>
      <c r="O48" s="170"/>
      <c r="P48" s="170"/>
      <c r="Q48" s="170"/>
      <c r="R48" s="170"/>
      <c r="S48" s="170"/>
      <c r="T48" s="170"/>
      <c r="U48" s="77"/>
    </row>
    <row r="49" customFormat="false" ht="20.15" hidden="false" customHeight="true" outlineLevel="0" collapsed="false">
      <c r="B49" s="77"/>
      <c r="D49" s="190"/>
      <c r="E49" s="190"/>
      <c r="F49" s="190"/>
      <c r="G49" s="190"/>
      <c r="H49" s="191"/>
      <c r="I49" s="190"/>
      <c r="J49" s="190"/>
      <c r="K49" s="14"/>
      <c r="L49" s="14"/>
      <c r="M49" s="14"/>
      <c r="N49" s="14"/>
      <c r="O49" s="14"/>
      <c r="P49" s="14"/>
      <c r="Q49" s="14"/>
      <c r="R49" s="14"/>
      <c r="S49" s="14"/>
      <c r="U49" s="77"/>
    </row>
    <row r="50" customFormat="false" ht="20.15" hidden="false" customHeight="true" outlineLevel="0" collapsed="false">
      <c r="B50" s="77"/>
      <c r="C50" s="192"/>
      <c r="D50" s="192"/>
      <c r="E50" s="193" t="str">
        <f aca="false">IF(OR(M29="-",M29= ""),H29,M29)</f>
        <v>Die Burgen von 
Burgund</v>
      </c>
      <c r="F50" s="193"/>
      <c r="G50" s="193"/>
      <c r="H50" s="193"/>
      <c r="I50" s="193"/>
      <c r="J50" s="193"/>
      <c r="K50" s="193"/>
      <c r="L50" s="193"/>
      <c r="M50" s="193"/>
      <c r="N50" s="193"/>
      <c r="O50" s="194"/>
      <c r="P50" s="194"/>
      <c r="Q50" s="194"/>
      <c r="R50" s="194"/>
      <c r="S50" s="194"/>
      <c r="T50" s="192"/>
      <c r="U50" s="195"/>
      <c r="V50" s="196"/>
      <c r="W50" s="196"/>
    </row>
    <row r="51" customFormat="false" ht="50.15" hidden="false" customHeight="true" outlineLevel="0" collapsed="false">
      <c r="B51" s="77"/>
      <c r="C51" s="192"/>
      <c r="D51" s="194"/>
      <c r="E51" s="125" t="s">
        <v>52</v>
      </c>
      <c r="F51" s="126" t="s">
        <v>75</v>
      </c>
      <c r="G51" s="82" t="s">
        <v>76</v>
      </c>
      <c r="H51" s="81" t="s">
        <v>77</v>
      </c>
      <c r="I51" s="59" t="s">
        <v>78</v>
      </c>
      <c r="J51" s="81" t="s">
        <v>79</v>
      </c>
      <c r="K51" s="127" t="s">
        <v>80</v>
      </c>
      <c r="L51" s="81" t="s">
        <v>81</v>
      </c>
      <c r="M51" s="128" t="s">
        <v>82</v>
      </c>
      <c r="N51" s="129" t="s">
        <v>83</v>
      </c>
      <c r="O51" s="130" t="s">
        <v>84</v>
      </c>
      <c r="P51" s="131" t="s">
        <v>85</v>
      </c>
      <c r="Q51" s="131" t="s">
        <v>86</v>
      </c>
      <c r="R51" s="197" t="s">
        <v>87</v>
      </c>
      <c r="S51" s="194"/>
      <c r="T51" s="192"/>
      <c r="U51" s="195"/>
      <c r="V51" s="196"/>
      <c r="W51" s="196"/>
    </row>
    <row r="52" customFormat="false" ht="20.15" hidden="false" customHeight="true" outlineLevel="0" collapsed="false">
      <c r="B52" s="77"/>
      <c r="C52" s="192"/>
      <c r="D52" s="198"/>
      <c r="E52" s="388" t="s">
        <v>16</v>
      </c>
      <c r="F52" s="382" t="s">
        <v>17</v>
      </c>
      <c r="G52" s="221" t="n">
        <v>2</v>
      </c>
      <c r="H52" s="222" t="s">
        <v>276</v>
      </c>
      <c r="I52" s="221" t="n">
        <v>0</v>
      </c>
      <c r="J52" s="436" t="n">
        <v>253</v>
      </c>
      <c r="K52" s="221" t="s">
        <v>66</v>
      </c>
      <c r="L52" s="223" t="n">
        <f aca="false">IF(J52="",0,(J52/J56)*100)</f>
        <v>96.9348659003832</v>
      </c>
      <c r="M52" s="221" t="n">
        <v>2</v>
      </c>
      <c r="N52" s="224" t="n">
        <v>3</v>
      </c>
      <c r="O52" s="137" t="n">
        <f aca="false">IF(M52=1,1,0)</f>
        <v>0</v>
      </c>
      <c r="P52" s="138" t="n">
        <f aca="false">IF(M52=2,1,0)</f>
        <v>1</v>
      </c>
      <c r="Q52" s="138" t="n">
        <f aca="false">IF(M52=3,1,0)</f>
        <v>0</v>
      </c>
      <c r="R52" s="139" t="n">
        <f aca="false">IF(M52=4,1,0)</f>
        <v>0</v>
      </c>
      <c r="S52" s="206"/>
      <c r="T52" s="192"/>
      <c r="U52" s="207"/>
      <c r="V52" s="121"/>
      <c r="W52" s="121"/>
    </row>
    <row r="53" customFormat="false" ht="20.15" hidden="false" customHeight="true" outlineLevel="0" collapsed="false">
      <c r="B53" s="77"/>
      <c r="C53" s="192"/>
      <c r="D53" s="208"/>
      <c r="E53" s="226" t="s">
        <v>25</v>
      </c>
      <c r="F53" s="227" t="s">
        <v>26</v>
      </c>
      <c r="G53" s="228" t="n">
        <v>4</v>
      </c>
      <c r="H53" s="317" t="s">
        <v>277</v>
      </c>
      <c r="I53" s="228" t="n">
        <v>0</v>
      </c>
      <c r="J53" s="424" t="n">
        <v>194</v>
      </c>
      <c r="K53" s="228" t="s">
        <v>192</v>
      </c>
      <c r="L53" s="229" t="n">
        <f aca="false">IF(J53="",0,(J53/J56)*100)</f>
        <v>74.3295019157088</v>
      </c>
      <c r="M53" s="228" t="n">
        <v>3</v>
      </c>
      <c r="N53" s="230" t="n">
        <v>1</v>
      </c>
      <c r="O53" s="144" t="n">
        <f aca="false">IF(M53=1,1,0)</f>
        <v>0</v>
      </c>
      <c r="P53" s="145" t="n">
        <f aca="false">IF(M53=2,1,0)</f>
        <v>0</v>
      </c>
      <c r="Q53" s="145" t="n">
        <f aca="false">IF(M53=3,1,0)</f>
        <v>1</v>
      </c>
      <c r="R53" s="146" t="n">
        <f aca="false">IF(M53=4,1,0)</f>
        <v>0</v>
      </c>
      <c r="S53" s="206"/>
      <c r="T53" s="192"/>
      <c r="U53" s="211"/>
      <c r="V53" s="121"/>
      <c r="W53" s="121"/>
    </row>
    <row r="54" customFormat="false" ht="20.15" hidden="false" customHeight="true" outlineLevel="0" collapsed="false">
      <c r="B54" s="77"/>
      <c r="C54" s="192"/>
      <c r="D54" s="198"/>
      <c r="E54" s="105" t="s">
        <v>19</v>
      </c>
      <c r="F54" s="227" t="s">
        <v>20</v>
      </c>
      <c r="G54" s="228" t="n">
        <v>1</v>
      </c>
      <c r="H54" s="317" t="s">
        <v>100</v>
      </c>
      <c r="I54" s="228" t="n">
        <v>0</v>
      </c>
      <c r="J54" s="424" t="n">
        <v>194</v>
      </c>
      <c r="K54" s="317" t="s">
        <v>191</v>
      </c>
      <c r="L54" s="229" t="n">
        <f aca="false">IF(J54="",0,(J54/J56)*100)</f>
        <v>74.3295019157088</v>
      </c>
      <c r="M54" s="228" t="n">
        <v>4</v>
      </c>
      <c r="N54" s="230" t="n">
        <v>0</v>
      </c>
      <c r="O54" s="144" t="n">
        <f aca="false">IF(M54=1,1,0)</f>
        <v>0</v>
      </c>
      <c r="P54" s="145" t="n">
        <f aca="false">IF(M54=2,1,0)</f>
        <v>0</v>
      </c>
      <c r="Q54" s="145" t="n">
        <f aca="false">IF(M54=3,1,0)</f>
        <v>0</v>
      </c>
      <c r="R54" s="146" t="n">
        <f aca="false">IF(M54=4,1,0)</f>
        <v>1</v>
      </c>
      <c r="S54" s="206"/>
      <c r="T54" s="192"/>
      <c r="U54" s="211"/>
      <c r="V54" s="121"/>
      <c r="W54" s="121"/>
    </row>
    <row r="55" customFormat="false" ht="20.15" hidden="false" customHeight="true" outlineLevel="0" collapsed="false">
      <c r="B55" s="77"/>
      <c r="C55" s="192"/>
      <c r="D55" s="198"/>
      <c r="E55" s="318" t="s">
        <v>13</v>
      </c>
      <c r="F55" s="391" t="s">
        <v>14</v>
      </c>
      <c r="G55" s="322" t="n">
        <v>3</v>
      </c>
      <c r="H55" s="321" t="s">
        <v>100</v>
      </c>
      <c r="I55" s="322" t="n">
        <v>0</v>
      </c>
      <c r="J55" s="437" t="n">
        <v>261</v>
      </c>
      <c r="K55" s="321" t="s">
        <v>66</v>
      </c>
      <c r="L55" s="323" t="n">
        <f aca="false">IF(J55="",0,(J55/J56)*100)</f>
        <v>100</v>
      </c>
      <c r="M55" s="322" t="n">
        <v>1</v>
      </c>
      <c r="N55" s="324" t="n">
        <v>6</v>
      </c>
      <c r="O55" s="156" t="n">
        <f aca="false">IF(M55=1,1,0)</f>
        <v>1</v>
      </c>
      <c r="P55" s="157" t="n">
        <f aca="false">IF(M55=2,1,0)</f>
        <v>0</v>
      </c>
      <c r="Q55" s="157" t="n">
        <f aca="false">IF(M55=3,1,0)</f>
        <v>0</v>
      </c>
      <c r="R55" s="158" t="n">
        <f aca="false">IF(M55=4,1,0)</f>
        <v>0</v>
      </c>
      <c r="S55" s="206"/>
      <c r="T55" s="192"/>
      <c r="U55" s="211"/>
      <c r="V55" s="121"/>
      <c r="W55" s="121"/>
    </row>
    <row r="56" customFormat="false" ht="20.15" hidden="true" customHeight="true" outlineLevel="1" collapsed="false">
      <c r="B56" s="77"/>
      <c r="C56" s="192"/>
      <c r="D56" s="198"/>
      <c r="E56" s="198"/>
      <c r="F56" s="206"/>
      <c r="G56" s="206"/>
      <c r="H56" s="192"/>
      <c r="I56" s="213" t="s">
        <v>92</v>
      </c>
      <c r="J56" s="161" t="n">
        <f aca="false">MAX(J52:J55)</f>
        <v>261</v>
      </c>
      <c r="K56" s="214"/>
      <c r="L56" s="206"/>
      <c r="M56" s="192"/>
      <c r="N56" s="164" t="s">
        <v>93</v>
      </c>
      <c r="O56" s="165" t="n">
        <f aca="false">SUM(O52:O55)</f>
        <v>1</v>
      </c>
      <c r="P56" s="166" t="n">
        <f aca="false">SUM(P52:P55)</f>
        <v>1</v>
      </c>
      <c r="Q56" s="165" t="n">
        <f aca="false">SUM(Q52:Q55)</f>
        <v>1</v>
      </c>
      <c r="R56" s="187" t="n">
        <f aca="false">SUM(R52:R55)</f>
        <v>1</v>
      </c>
      <c r="S56" s="215"/>
      <c r="T56" s="192"/>
      <c r="U56" s="211"/>
      <c r="V56" s="121"/>
      <c r="W56" s="121"/>
    </row>
    <row r="57" customFormat="false" ht="20.15" hidden="false" customHeight="true" outlineLevel="0" collapsed="false">
      <c r="B57" s="77"/>
      <c r="C57" s="192"/>
      <c r="D57" s="216"/>
      <c r="E57" s="216"/>
      <c r="F57" s="192"/>
      <c r="G57" s="192"/>
      <c r="H57" s="192"/>
      <c r="I57" s="192"/>
      <c r="J57" s="192"/>
      <c r="K57" s="192"/>
      <c r="L57" s="192"/>
      <c r="M57" s="192"/>
      <c r="N57" s="192"/>
      <c r="O57" s="192"/>
      <c r="P57" s="192"/>
      <c r="Q57" s="192"/>
      <c r="R57" s="192"/>
      <c r="S57" s="192"/>
      <c r="T57" s="192"/>
      <c r="U57" s="211"/>
      <c r="V57" s="121"/>
      <c r="W57" s="121"/>
    </row>
    <row r="58" customFormat="false" ht="20.15" hidden="false" customHeight="true" outlineLevel="0" collapsed="false">
      <c r="B58" s="77"/>
      <c r="D58" s="190"/>
      <c r="E58" s="190"/>
      <c r="F58" s="190"/>
      <c r="G58" s="190"/>
      <c r="H58" s="191"/>
      <c r="I58" s="190"/>
      <c r="J58" s="190"/>
      <c r="K58" s="190"/>
      <c r="L58" s="14"/>
      <c r="M58" s="14"/>
      <c r="N58" s="14"/>
      <c r="O58" s="14"/>
      <c r="P58" s="14"/>
      <c r="Q58" s="14"/>
      <c r="R58" s="14"/>
      <c r="S58" s="14"/>
      <c r="U58" s="207"/>
      <c r="V58" s="121"/>
      <c r="W58" s="121"/>
    </row>
    <row r="59" customFormat="false" ht="20.15" hidden="false" customHeight="true" outlineLevel="0" collapsed="false">
      <c r="B59" s="77"/>
      <c r="C59" s="217"/>
      <c r="D59" s="217"/>
      <c r="E59" s="218" t="str">
        <f aca="false">IF(OR(M30="-",M30= ""),H30,M30)</f>
        <v>Gaia Project</v>
      </c>
      <c r="F59" s="218"/>
      <c r="G59" s="218"/>
      <c r="H59" s="218"/>
      <c r="I59" s="218"/>
      <c r="J59" s="218"/>
      <c r="K59" s="218"/>
      <c r="L59" s="218"/>
      <c r="M59" s="218"/>
      <c r="N59" s="218"/>
      <c r="O59" s="219"/>
      <c r="P59" s="219"/>
      <c r="Q59" s="219"/>
      <c r="R59" s="219"/>
      <c r="S59" s="219"/>
      <c r="T59" s="217"/>
      <c r="U59" s="77"/>
    </row>
    <row r="60" customFormat="false" ht="50.15" hidden="false" customHeight="true" outlineLevel="0" collapsed="false">
      <c r="B60" s="77"/>
      <c r="C60" s="217"/>
      <c r="D60" s="219"/>
      <c r="E60" s="125" t="s">
        <v>52</v>
      </c>
      <c r="F60" s="126" t="s">
        <v>75</v>
      </c>
      <c r="G60" s="82" t="s">
        <v>76</v>
      </c>
      <c r="H60" s="81" t="s">
        <v>77</v>
      </c>
      <c r="I60" s="59" t="s">
        <v>78</v>
      </c>
      <c r="J60" s="81" t="s">
        <v>79</v>
      </c>
      <c r="K60" s="127" t="s">
        <v>80</v>
      </c>
      <c r="L60" s="81" t="s">
        <v>81</v>
      </c>
      <c r="M60" s="128" t="s">
        <v>82</v>
      </c>
      <c r="N60" s="129" t="s">
        <v>83</v>
      </c>
      <c r="O60" s="130" t="s">
        <v>84</v>
      </c>
      <c r="P60" s="131" t="s">
        <v>85</v>
      </c>
      <c r="Q60" s="131" t="s">
        <v>86</v>
      </c>
      <c r="R60" s="197" t="s">
        <v>87</v>
      </c>
      <c r="S60" s="219"/>
      <c r="T60" s="217"/>
      <c r="U60" s="77"/>
    </row>
    <row r="61" customFormat="false" ht="20.15" hidden="false" customHeight="true" outlineLevel="0" collapsed="false">
      <c r="B61" s="77"/>
      <c r="C61" s="217"/>
      <c r="D61" s="220"/>
      <c r="E61" s="388" t="s">
        <v>16</v>
      </c>
      <c r="F61" s="382" t="s">
        <v>17</v>
      </c>
      <c r="G61" s="221" t="n">
        <v>4</v>
      </c>
      <c r="H61" s="222" t="s">
        <v>278</v>
      </c>
      <c r="I61" s="221" t="n">
        <v>10</v>
      </c>
      <c r="J61" s="221" t="n">
        <v>155</v>
      </c>
      <c r="K61" s="221" t="s">
        <v>66</v>
      </c>
      <c r="L61" s="223" t="n">
        <f aca="false">IF(J61="",0,(J61/J65)*100)</f>
        <v>75.2427184466019</v>
      </c>
      <c r="M61" s="221" t="n">
        <v>2</v>
      </c>
      <c r="N61" s="224" t="n">
        <v>3</v>
      </c>
      <c r="O61" s="137" t="n">
        <f aca="false">IF(M61=1,1,0)</f>
        <v>0</v>
      </c>
      <c r="P61" s="138" t="n">
        <f aca="false">IF(M61=2,1,0)</f>
        <v>1</v>
      </c>
      <c r="Q61" s="138" t="n">
        <f aca="false">IF(M61=3,1,0)</f>
        <v>0</v>
      </c>
      <c r="R61" s="139" t="n">
        <f aca="false">IF(M61=4,1,0)</f>
        <v>0</v>
      </c>
      <c r="S61" s="225"/>
      <c r="T61" s="217"/>
      <c r="U61" s="77"/>
    </row>
    <row r="62" customFormat="false" ht="20.15" hidden="false" customHeight="true" outlineLevel="0" collapsed="false">
      <c r="B62" s="77"/>
      <c r="C62" s="217"/>
      <c r="D62" s="220"/>
      <c r="E62" s="226" t="s">
        <v>25</v>
      </c>
      <c r="F62" s="227" t="s">
        <v>26</v>
      </c>
      <c r="G62" s="228" t="n">
        <v>1</v>
      </c>
      <c r="H62" s="317" t="s">
        <v>88</v>
      </c>
      <c r="I62" s="228" t="n">
        <v>10</v>
      </c>
      <c r="J62" s="228" t="n">
        <v>128</v>
      </c>
      <c r="K62" s="228" t="s">
        <v>66</v>
      </c>
      <c r="L62" s="229" t="n">
        <f aca="false">IF(J62="",0,(J62/J65)*100)</f>
        <v>62.1359223300971</v>
      </c>
      <c r="M62" s="228" t="n">
        <v>3</v>
      </c>
      <c r="N62" s="230" t="n">
        <v>1</v>
      </c>
      <c r="O62" s="144" t="n">
        <f aca="false">IF(M62=1,1,0)</f>
        <v>0</v>
      </c>
      <c r="P62" s="145" t="n">
        <f aca="false">IF(M62=2,1,0)</f>
        <v>0</v>
      </c>
      <c r="Q62" s="145" t="n">
        <f aca="false">IF(M62=3,1,0)</f>
        <v>1</v>
      </c>
      <c r="R62" s="146" t="n">
        <f aca="false">IF(M62=4,1,0)</f>
        <v>0</v>
      </c>
      <c r="S62" s="225"/>
      <c r="T62" s="217"/>
      <c r="U62" s="77"/>
    </row>
    <row r="63" customFormat="false" ht="20.15" hidden="false" customHeight="true" outlineLevel="0" collapsed="false">
      <c r="B63" s="77"/>
      <c r="C63" s="217"/>
      <c r="D63" s="220"/>
      <c r="E63" s="105" t="s">
        <v>19</v>
      </c>
      <c r="F63" s="227" t="s">
        <v>20</v>
      </c>
      <c r="G63" s="228" t="n">
        <v>3</v>
      </c>
      <c r="H63" s="317" t="s">
        <v>89</v>
      </c>
      <c r="I63" s="228" t="n">
        <v>10</v>
      </c>
      <c r="J63" s="228" t="n">
        <v>103</v>
      </c>
      <c r="K63" s="228" t="s">
        <v>66</v>
      </c>
      <c r="L63" s="229" t="n">
        <f aca="false">IF(J63="",0,(J63/J65)*100)</f>
        <v>50</v>
      </c>
      <c r="M63" s="228" t="n">
        <v>4</v>
      </c>
      <c r="N63" s="230" t="n">
        <v>0</v>
      </c>
      <c r="O63" s="144" t="n">
        <f aca="false">IF(M63=1,1,0)</f>
        <v>0</v>
      </c>
      <c r="P63" s="145" t="n">
        <f aca="false">IF(M63=2,1,0)</f>
        <v>0</v>
      </c>
      <c r="Q63" s="145" t="n">
        <f aca="false">IF(M63=3,1,0)</f>
        <v>0</v>
      </c>
      <c r="R63" s="146" t="n">
        <f aca="false">IF(M63=4,1,0)</f>
        <v>1</v>
      </c>
      <c r="S63" s="225"/>
      <c r="T63" s="217"/>
      <c r="U63" s="77"/>
    </row>
    <row r="64" customFormat="false" ht="20.15" hidden="false" customHeight="true" outlineLevel="0" collapsed="false">
      <c r="B64" s="77"/>
      <c r="C64" s="217"/>
      <c r="D64" s="231"/>
      <c r="E64" s="318" t="s">
        <v>13</v>
      </c>
      <c r="F64" s="391" t="s">
        <v>14</v>
      </c>
      <c r="G64" s="322" t="n">
        <v>2</v>
      </c>
      <c r="H64" s="321" t="s">
        <v>132</v>
      </c>
      <c r="I64" s="322" t="n">
        <v>10</v>
      </c>
      <c r="J64" s="322" t="n">
        <v>206</v>
      </c>
      <c r="K64" s="322" t="s">
        <v>66</v>
      </c>
      <c r="L64" s="323" t="n">
        <f aca="false">IF(J64="",0,(J64/J65)*100)</f>
        <v>100</v>
      </c>
      <c r="M64" s="322" t="n">
        <v>1</v>
      </c>
      <c r="N64" s="324" t="n">
        <v>6</v>
      </c>
      <c r="O64" s="156" t="n">
        <f aca="false">IF(M64=1,1,0)</f>
        <v>1</v>
      </c>
      <c r="P64" s="157" t="n">
        <f aca="false">IF(M64=2,1,0)</f>
        <v>0</v>
      </c>
      <c r="Q64" s="157" t="n">
        <f aca="false">IF(M64=3,1,0)</f>
        <v>0</v>
      </c>
      <c r="R64" s="158" t="n">
        <f aca="false">IF(M64=4,1,0)</f>
        <v>0</v>
      </c>
      <c r="S64" s="225"/>
      <c r="T64" s="217"/>
      <c r="U64" s="77"/>
    </row>
    <row r="65" customFormat="false" ht="20.15" hidden="true" customHeight="true" outlineLevel="1" collapsed="false">
      <c r="B65" s="77"/>
      <c r="C65" s="217"/>
      <c r="D65" s="220"/>
      <c r="E65" s="220"/>
      <c r="F65" s="225"/>
      <c r="G65" s="225"/>
      <c r="H65" s="217"/>
      <c r="I65" s="185" t="s">
        <v>92</v>
      </c>
      <c r="J65" s="161" t="n">
        <f aca="false">MAX(J61:J64)</f>
        <v>206</v>
      </c>
      <c r="K65" s="237"/>
      <c r="L65" s="225"/>
      <c r="M65" s="217"/>
      <c r="N65" s="164" t="s">
        <v>93</v>
      </c>
      <c r="O65" s="165" t="n">
        <f aca="false">SUM(O61:O64)</f>
        <v>1</v>
      </c>
      <c r="P65" s="166" t="n">
        <f aca="false">SUM(P61:P64)</f>
        <v>1</v>
      </c>
      <c r="Q65" s="165" t="n">
        <f aca="false">SUM(Q61:Q64)</f>
        <v>1</v>
      </c>
      <c r="R65" s="187" t="n">
        <f aca="false">SUM(R61:R64)</f>
        <v>1</v>
      </c>
      <c r="S65" s="238"/>
      <c r="T65" s="217"/>
      <c r="U65" s="77"/>
    </row>
    <row r="66" customFormat="false" ht="20.15" hidden="false" customHeight="true" outlineLevel="0" collapsed="false">
      <c r="B66" s="77"/>
      <c r="C66" s="217"/>
      <c r="D66" s="239"/>
      <c r="E66" s="239"/>
      <c r="F66" s="217"/>
      <c r="G66" s="217"/>
      <c r="H66" s="217"/>
      <c r="I66" s="217"/>
      <c r="J66" s="217"/>
      <c r="K66" s="217"/>
      <c r="L66" s="217"/>
      <c r="M66" s="217"/>
      <c r="N66" s="217"/>
      <c r="O66" s="217"/>
      <c r="P66" s="217"/>
      <c r="Q66" s="217"/>
      <c r="R66" s="217"/>
      <c r="S66" s="217"/>
      <c r="T66" s="217"/>
      <c r="U66" s="77"/>
    </row>
    <row r="67" customFormat="false" ht="20.15" hidden="false" customHeight="true" outlineLevel="0" collapsed="false">
      <c r="B67" s="77"/>
      <c r="D67" s="5"/>
      <c r="E67" s="5"/>
      <c r="F67" s="5"/>
      <c r="G67" s="5"/>
      <c r="H67" s="5"/>
      <c r="I67" s="5"/>
      <c r="J67" s="5"/>
      <c r="K67" s="14"/>
      <c r="L67" s="14"/>
      <c r="M67" s="14"/>
      <c r="N67" s="14"/>
      <c r="O67" s="14"/>
      <c r="P67" s="14"/>
      <c r="Q67" s="14"/>
      <c r="R67" s="14"/>
      <c r="S67" s="14"/>
      <c r="U67" s="77"/>
    </row>
    <row r="68" customFormat="false" ht="30" hidden="false" customHeight="true" outlineLevel="0" collapsed="false">
      <c r="B68" s="77"/>
      <c r="C68" s="240"/>
      <c r="D68" s="241" t="s">
        <v>101</v>
      </c>
      <c r="E68" s="241"/>
      <c r="F68" s="241"/>
      <c r="G68" s="241"/>
      <c r="H68" s="241"/>
      <c r="I68" s="241"/>
      <c r="J68" s="241"/>
      <c r="K68" s="241"/>
      <c r="L68" s="241"/>
      <c r="M68" s="241"/>
      <c r="N68" s="241"/>
      <c r="O68" s="241"/>
      <c r="P68" s="241"/>
      <c r="Q68" s="241"/>
      <c r="R68" s="241"/>
      <c r="S68" s="241"/>
      <c r="T68" s="240"/>
      <c r="U68" s="77"/>
    </row>
    <row r="69" customFormat="false" ht="50.15" hidden="false" customHeight="true" outlineLevel="0" collapsed="false">
      <c r="B69" s="77"/>
      <c r="C69" s="240"/>
      <c r="D69" s="242" t="s">
        <v>52</v>
      </c>
      <c r="E69" s="243" t="s">
        <v>53</v>
      </c>
      <c r="F69" s="244" t="s">
        <v>83</v>
      </c>
      <c r="G69" s="245" t="s">
        <v>102</v>
      </c>
      <c r="H69" s="246" t="s">
        <v>103</v>
      </c>
      <c r="I69" s="246"/>
      <c r="J69" s="247" t="s">
        <v>104</v>
      </c>
      <c r="K69" s="248" t="s">
        <v>105</v>
      </c>
      <c r="L69" s="244" t="s">
        <v>106</v>
      </c>
      <c r="M69" s="248" t="s">
        <v>107</v>
      </c>
      <c r="N69" s="244" t="s">
        <v>108</v>
      </c>
      <c r="O69" s="249"/>
      <c r="P69" s="250"/>
      <c r="Q69" s="250"/>
      <c r="R69" s="250"/>
      <c r="S69" s="243" t="s">
        <v>109</v>
      </c>
      <c r="T69" s="240"/>
      <c r="U69" s="77"/>
    </row>
    <row r="70" customFormat="false" ht="20.15" hidden="false" customHeight="true" outlineLevel="0" collapsed="false">
      <c r="B70" s="77"/>
      <c r="C70" s="240"/>
      <c r="D70" s="251" t="s">
        <v>13</v>
      </c>
      <c r="E70" s="17" t="s">
        <v>14</v>
      </c>
      <c r="F70" s="253" t="n">
        <f aca="false">(K70*6+L70*3+M70*1+N70*0)</f>
        <v>19</v>
      </c>
      <c r="G70" s="253" t="n">
        <v>0</v>
      </c>
      <c r="H70" s="254" t="s">
        <v>66</v>
      </c>
      <c r="I70" s="254"/>
      <c r="J70" s="253" t="n">
        <f aca="false">F70+G70</f>
        <v>19</v>
      </c>
      <c r="K70" s="253" t="n">
        <v>3</v>
      </c>
      <c r="L70" s="253" t="n">
        <v>0</v>
      </c>
      <c r="M70" s="253" t="n">
        <v>1</v>
      </c>
      <c r="N70" s="253" t="n">
        <v>0</v>
      </c>
      <c r="O70" s="253"/>
      <c r="P70" s="253"/>
      <c r="Q70" s="253"/>
      <c r="R70" s="253"/>
      <c r="S70" s="255" t="n">
        <f aca="false">(L37+L46+L55+L64)/4</f>
        <v>87.5</v>
      </c>
      <c r="T70" s="240"/>
      <c r="U70" s="77"/>
      <c r="W70" s="256"/>
      <c r="X70" s="256"/>
      <c r="Y70" s="256"/>
      <c r="Z70" s="256"/>
    </row>
    <row r="71" customFormat="false" ht="20.15" hidden="false" customHeight="true" outlineLevel="0" collapsed="false">
      <c r="B71" s="77"/>
      <c r="C71" s="240"/>
      <c r="D71" s="383" t="s">
        <v>16</v>
      </c>
      <c r="E71" s="384" t="s">
        <v>17</v>
      </c>
      <c r="F71" s="259" t="n">
        <f aca="false">(K71*6+L71*3+M71*1+N71*0)</f>
        <v>13</v>
      </c>
      <c r="G71" s="259" t="n">
        <v>0</v>
      </c>
      <c r="H71" s="260" t="s">
        <v>66</v>
      </c>
      <c r="I71" s="260"/>
      <c r="J71" s="259" t="n">
        <f aca="false">F71+G71</f>
        <v>13</v>
      </c>
      <c r="K71" s="259" t="n">
        <v>1</v>
      </c>
      <c r="L71" s="259" t="n">
        <v>2</v>
      </c>
      <c r="M71" s="259" t="n">
        <v>1</v>
      </c>
      <c r="N71" s="259" t="n">
        <v>0</v>
      </c>
      <c r="O71" s="259"/>
      <c r="P71" s="259"/>
      <c r="Q71" s="259"/>
      <c r="R71" s="259"/>
      <c r="S71" s="261" t="n">
        <f aca="false">(L34+L43+L52+L61)/4</f>
        <v>86.5874424443622</v>
      </c>
      <c r="T71" s="240"/>
      <c r="U71" s="77"/>
      <c r="W71" s="262"/>
      <c r="X71" s="262"/>
      <c r="Y71" s="262"/>
      <c r="Z71" s="262"/>
    </row>
    <row r="72" customFormat="false" ht="20.15" hidden="false" customHeight="true" outlineLevel="0" collapsed="false">
      <c r="B72" s="77"/>
      <c r="C72" s="240"/>
      <c r="D72" s="383" t="s">
        <v>25</v>
      </c>
      <c r="E72" s="384" t="s">
        <v>26</v>
      </c>
      <c r="F72" s="259" t="n">
        <f aca="false">(K72*6+L72*3+M72*1+N72*0)</f>
        <v>5</v>
      </c>
      <c r="G72" s="259" t="n">
        <v>0</v>
      </c>
      <c r="H72" s="260" t="s">
        <v>66</v>
      </c>
      <c r="I72" s="260"/>
      <c r="J72" s="259" t="n">
        <f aca="false">F72+G72</f>
        <v>5</v>
      </c>
      <c r="K72" s="259" t="n">
        <v>0</v>
      </c>
      <c r="L72" s="259" t="n">
        <v>1</v>
      </c>
      <c r="M72" s="259" t="n">
        <v>2</v>
      </c>
      <c r="N72" s="259" t="n">
        <v>1</v>
      </c>
      <c r="O72" s="259"/>
      <c r="P72" s="259"/>
      <c r="Q72" s="259"/>
      <c r="R72" s="259"/>
      <c r="S72" s="261" t="n">
        <f aca="false">(L35+L44+L53+L62)/4</f>
        <v>67.4772832137694</v>
      </c>
      <c r="T72" s="240"/>
      <c r="U72" s="77"/>
      <c r="W72" s="262"/>
      <c r="X72" s="262"/>
      <c r="Y72" s="262"/>
      <c r="Z72" s="262"/>
    </row>
    <row r="73" customFormat="false" ht="20.15" hidden="false" customHeight="true" outlineLevel="0" collapsed="false">
      <c r="B73" s="77"/>
      <c r="C73" s="240"/>
      <c r="D73" s="337" t="s">
        <v>19</v>
      </c>
      <c r="E73" s="266" t="s">
        <v>20</v>
      </c>
      <c r="F73" s="267" t="n">
        <f aca="false">(K73*6+L73*3+M73*1+N73*0)</f>
        <v>3</v>
      </c>
      <c r="G73" s="267" t="n">
        <v>0</v>
      </c>
      <c r="H73" s="268" t="s">
        <v>66</v>
      </c>
      <c r="I73" s="268"/>
      <c r="J73" s="267" t="n">
        <f aca="false">F73+G73</f>
        <v>3</v>
      </c>
      <c r="K73" s="267" t="n">
        <v>0</v>
      </c>
      <c r="L73" s="267" t="n">
        <v>1</v>
      </c>
      <c r="M73" s="267" t="n">
        <v>0</v>
      </c>
      <c r="N73" s="267" t="n">
        <v>3</v>
      </c>
      <c r="O73" s="267"/>
      <c r="P73" s="267"/>
      <c r="Q73" s="267"/>
      <c r="R73" s="267"/>
      <c r="S73" s="269" t="n">
        <f aca="false">(L36+L45+L54+L63)/4</f>
        <v>62.9118456776027</v>
      </c>
      <c r="T73" s="240"/>
      <c r="U73" s="77"/>
      <c r="W73" s="262"/>
      <c r="X73" s="262"/>
      <c r="Y73" s="262"/>
      <c r="Z73" s="262"/>
      <c r="AB73" s="262"/>
      <c r="AC73" s="262"/>
      <c r="AD73" s="262"/>
      <c r="AE73" s="262"/>
    </row>
    <row r="74" customFormat="false" ht="20.15" hidden="false" customHeight="true" outlineLevel="0" collapsed="false">
      <c r="B74" s="77"/>
      <c r="C74" s="240"/>
      <c r="D74" s="240"/>
      <c r="E74" s="240"/>
      <c r="F74" s="240"/>
      <c r="G74" s="240"/>
      <c r="H74" s="240"/>
      <c r="I74" s="240"/>
      <c r="J74" s="240"/>
      <c r="K74" s="240"/>
      <c r="L74" s="240"/>
      <c r="M74" s="240"/>
      <c r="N74" s="240"/>
      <c r="O74" s="240"/>
      <c r="P74" s="240"/>
      <c r="Q74" s="240"/>
      <c r="R74" s="240"/>
      <c r="S74" s="240"/>
      <c r="T74" s="240"/>
      <c r="U74" s="77"/>
      <c r="W74" s="262"/>
      <c r="X74" s="262"/>
      <c r="Y74" s="262"/>
      <c r="Z74" s="262"/>
    </row>
    <row r="75" customFormat="false" ht="20.15" hidden="false" customHeight="true" outlineLevel="0" collapsed="false">
      <c r="B75" s="77"/>
      <c r="C75" s="77"/>
      <c r="D75" s="270"/>
      <c r="E75" s="270"/>
      <c r="F75" s="195"/>
      <c r="G75" s="195"/>
      <c r="H75" s="270"/>
      <c r="I75" s="270"/>
      <c r="J75" s="270"/>
      <c r="K75" s="207"/>
      <c r="L75" s="207"/>
      <c r="M75" s="207"/>
      <c r="N75" s="207"/>
      <c r="O75" s="207"/>
      <c r="P75" s="207"/>
      <c r="Q75" s="207"/>
      <c r="R75" s="207"/>
      <c r="S75" s="207"/>
      <c r="T75" s="77"/>
      <c r="U75" s="77"/>
    </row>
    <row r="76" customFormat="false" ht="20.15" hidden="false" customHeight="true" outlineLevel="0" collapsed="false">
      <c r="C76" s="271"/>
      <c r="D76" s="272"/>
      <c r="O76" s="14"/>
      <c r="P76" s="14"/>
      <c r="Q76" s="14"/>
      <c r="R76" s="14"/>
      <c r="S76" s="14"/>
      <c r="U76" s="271"/>
    </row>
    <row r="77" customFormat="false" ht="20.15" hidden="false" customHeight="true" outlineLevel="0" collapsed="false">
      <c r="D77" s="273"/>
      <c r="O77" s="14"/>
      <c r="P77" s="14"/>
      <c r="Q77" s="14"/>
      <c r="R77" s="14"/>
      <c r="S77" s="14"/>
    </row>
    <row r="78" customFormat="false" ht="20.15" hidden="false" customHeight="true" outlineLevel="0" collapsed="false">
      <c r="B78" s="77"/>
      <c r="C78" s="77"/>
      <c r="D78" s="78"/>
      <c r="E78" s="78"/>
      <c r="F78" s="78"/>
      <c r="G78" s="78"/>
      <c r="H78" s="77"/>
      <c r="I78" s="77"/>
      <c r="J78" s="77"/>
      <c r="K78" s="77"/>
      <c r="L78" s="77"/>
      <c r="M78" s="77"/>
      <c r="N78" s="77"/>
      <c r="O78" s="77"/>
      <c r="P78" s="77"/>
      <c r="Q78" s="77"/>
      <c r="R78" s="77"/>
      <c r="S78" s="77"/>
      <c r="T78" s="77"/>
      <c r="U78" s="77"/>
    </row>
    <row r="79" customFormat="false" ht="30" hidden="false" customHeight="true" outlineLevel="0" collapsed="false">
      <c r="B79" s="77"/>
      <c r="C79" s="79" t="s">
        <v>110</v>
      </c>
      <c r="D79" s="79"/>
      <c r="E79" s="79"/>
      <c r="F79" s="79"/>
      <c r="G79" s="79"/>
      <c r="H79" s="79"/>
      <c r="I79" s="79"/>
      <c r="J79" s="79"/>
      <c r="K79" s="79"/>
      <c r="L79" s="79"/>
      <c r="M79" s="79"/>
      <c r="N79" s="79"/>
      <c r="O79" s="79"/>
      <c r="P79" s="79"/>
      <c r="Q79" s="79"/>
      <c r="R79" s="79"/>
      <c r="S79" s="79"/>
      <c r="T79" s="79"/>
      <c r="U79" s="77"/>
    </row>
    <row r="80" customFormat="false" ht="20.15" hidden="false" customHeight="true" outlineLevel="0" collapsed="false">
      <c r="B80" s="77"/>
      <c r="D80" s="121"/>
      <c r="E80" s="121"/>
      <c r="U80" s="77"/>
    </row>
    <row r="81" customFormat="false" ht="20.15" hidden="false" customHeight="true" outlineLevel="0" collapsed="false">
      <c r="B81" s="77"/>
      <c r="D81" s="274" t="s">
        <v>52</v>
      </c>
      <c r="E81" s="83" t="s">
        <v>111</v>
      </c>
      <c r="F81" s="82" t="s">
        <v>12</v>
      </c>
      <c r="G81" s="275" t="s">
        <v>54</v>
      </c>
      <c r="H81" s="275"/>
      <c r="I81" s="275"/>
      <c r="J81" s="275"/>
      <c r="K81" s="81" t="s">
        <v>55</v>
      </c>
      <c r="L81" s="83" t="s">
        <v>56</v>
      </c>
      <c r="M81" s="83"/>
      <c r="N81" s="83"/>
      <c r="O81" s="83"/>
      <c r="P81" s="83"/>
      <c r="Q81" s="83"/>
      <c r="R81" s="83"/>
      <c r="S81" s="83"/>
      <c r="U81" s="77"/>
    </row>
    <row r="82" customFormat="false" ht="20.15" hidden="false" customHeight="true" outlineLevel="0" collapsed="false">
      <c r="B82" s="77"/>
      <c r="D82" s="274"/>
      <c r="E82" s="83"/>
      <c r="F82" s="82"/>
      <c r="G82" s="85" t="s">
        <v>57</v>
      </c>
      <c r="H82" s="84" t="s">
        <v>58</v>
      </c>
      <c r="I82" s="82" t="s">
        <v>59</v>
      </c>
      <c r="J82" s="82"/>
      <c r="K82" s="84" t="s">
        <v>60</v>
      </c>
      <c r="L82" s="276" t="s">
        <v>57</v>
      </c>
      <c r="M82" s="277" t="s">
        <v>61</v>
      </c>
      <c r="N82" s="278" t="s">
        <v>59</v>
      </c>
      <c r="O82" s="278"/>
      <c r="P82" s="278"/>
      <c r="Q82" s="278"/>
      <c r="R82" s="278"/>
      <c r="S82" s="278"/>
      <c r="U82" s="77"/>
    </row>
    <row r="83" customFormat="false" ht="35.15" hidden="false" customHeight="true" outlineLevel="0" collapsed="false">
      <c r="B83" s="77"/>
      <c r="D83" s="86" t="s">
        <v>23</v>
      </c>
      <c r="E83" s="87" t="s">
        <v>24</v>
      </c>
      <c r="F83" s="343" t="n">
        <v>1</v>
      </c>
      <c r="G83" s="280" t="s">
        <v>67</v>
      </c>
      <c r="H83" s="281" t="s">
        <v>265</v>
      </c>
      <c r="I83" s="282" t="s">
        <v>66</v>
      </c>
      <c r="J83" s="282"/>
      <c r="K83" s="373" t="s">
        <v>65</v>
      </c>
      <c r="L83" s="284" t="s">
        <v>66</v>
      </c>
      <c r="M83" s="94" t="s">
        <v>66</v>
      </c>
      <c r="N83" s="95" t="s">
        <v>66</v>
      </c>
      <c r="O83" s="95"/>
      <c r="P83" s="95"/>
      <c r="Q83" s="95"/>
      <c r="R83" s="95"/>
      <c r="S83" s="95"/>
      <c r="U83" s="77"/>
    </row>
    <row r="84" customFormat="false" ht="95.15" hidden="false" customHeight="true" outlineLevel="0" collapsed="false">
      <c r="B84" s="77"/>
      <c r="D84" s="105" t="s">
        <v>27</v>
      </c>
      <c r="E84" s="290" t="s">
        <v>28</v>
      </c>
      <c r="F84" s="346" t="n">
        <v>2</v>
      </c>
      <c r="G84" s="286" t="s">
        <v>67</v>
      </c>
      <c r="H84" s="99" t="s">
        <v>158</v>
      </c>
      <c r="I84" s="287" t="s">
        <v>279</v>
      </c>
      <c r="J84" s="287"/>
      <c r="K84" s="288" t="s">
        <v>65</v>
      </c>
      <c r="L84" s="289" t="s">
        <v>66</v>
      </c>
      <c r="M84" s="103" t="s">
        <v>66</v>
      </c>
      <c r="N84" s="104" t="s">
        <v>66</v>
      </c>
      <c r="O84" s="104"/>
      <c r="P84" s="104"/>
      <c r="Q84" s="104"/>
      <c r="R84" s="104"/>
      <c r="S84" s="104"/>
      <c r="U84" s="77"/>
    </row>
    <row r="85" customFormat="false" ht="35.15" hidden="false" customHeight="true" outlineLevel="0" collapsed="false">
      <c r="B85" s="77"/>
      <c r="D85" s="105" t="s">
        <v>195</v>
      </c>
      <c r="E85" s="96" t="s">
        <v>50</v>
      </c>
      <c r="F85" s="346" t="n">
        <v>3</v>
      </c>
      <c r="G85" s="291" t="s">
        <v>67</v>
      </c>
      <c r="H85" s="107" t="s">
        <v>280</v>
      </c>
      <c r="I85" s="293" t="s">
        <v>281</v>
      </c>
      <c r="J85" s="293"/>
      <c r="K85" s="374" t="s">
        <v>65</v>
      </c>
      <c r="L85" s="289" t="s">
        <v>66</v>
      </c>
      <c r="M85" s="103" t="s">
        <v>66</v>
      </c>
      <c r="N85" s="104" t="s">
        <v>66</v>
      </c>
      <c r="O85" s="104"/>
      <c r="P85" s="104"/>
      <c r="Q85" s="104"/>
      <c r="R85" s="104"/>
      <c r="S85" s="104"/>
      <c r="U85" s="77"/>
    </row>
    <row r="86" customFormat="false" ht="35.15" hidden="false" customHeight="true" outlineLevel="0" collapsed="false">
      <c r="B86" s="77"/>
      <c r="D86" s="54" t="s">
        <v>21</v>
      </c>
      <c r="E86" s="113" t="s">
        <v>22</v>
      </c>
      <c r="F86" s="350" t="n">
        <v>4</v>
      </c>
      <c r="G86" s="387" t="s">
        <v>67</v>
      </c>
      <c r="H86" s="101" t="s">
        <v>282</v>
      </c>
      <c r="I86" s="377" t="s">
        <v>66</v>
      </c>
      <c r="J86" s="377"/>
      <c r="K86" s="300" t="s">
        <v>65</v>
      </c>
      <c r="L86" s="301" t="s">
        <v>66</v>
      </c>
      <c r="M86" s="302" t="s">
        <v>66</v>
      </c>
      <c r="N86" s="303" t="s">
        <v>66</v>
      </c>
      <c r="O86" s="303"/>
      <c r="P86" s="303"/>
      <c r="Q86" s="303"/>
      <c r="R86" s="303"/>
      <c r="S86" s="303"/>
      <c r="U86" s="77"/>
    </row>
    <row r="87" customFormat="false" ht="20.15" hidden="false" customHeight="true" outlineLevel="0" collapsed="false">
      <c r="B87" s="77"/>
      <c r="D87" s="121"/>
      <c r="E87" s="121"/>
      <c r="U87" s="77"/>
    </row>
    <row r="88" customFormat="false" ht="20.15" hidden="false" customHeight="true" outlineLevel="0" collapsed="false">
      <c r="B88" s="77"/>
      <c r="C88" s="122"/>
      <c r="D88" s="122"/>
      <c r="E88" s="123" t="str">
        <f aca="false">IF(OR(L83="-",L83= ""),H83,L83)</f>
        <v>Yokohama</v>
      </c>
      <c r="F88" s="123"/>
      <c r="G88" s="123"/>
      <c r="H88" s="123"/>
      <c r="I88" s="123"/>
      <c r="J88" s="123"/>
      <c r="K88" s="123"/>
      <c r="L88" s="123"/>
      <c r="M88" s="123"/>
      <c r="N88" s="123"/>
      <c r="O88" s="124"/>
      <c r="P88" s="124"/>
      <c r="Q88" s="124"/>
      <c r="R88" s="124"/>
      <c r="S88" s="124"/>
      <c r="T88" s="122"/>
      <c r="U88" s="77"/>
    </row>
    <row r="89" customFormat="false" ht="50.15" hidden="false" customHeight="true" outlineLevel="0" collapsed="false">
      <c r="B89" s="77"/>
      <c r="C89" s="122"/>
      <c r="D89" s="124"/>
      <c r="E89" s="125" t="s">
        <v>52</v>
      </c>
      <c r="F89" s="126" t="s">
        <v>75</v>
      </c>
      <c r="G89" s="82" t="s">
        <v>76</v>
      </c>
      <c r="H89" s="81" t="s">
        <v>77</v>
      </c>
      <c r="I89" s="59" t="s">
        <v>78</v>
      </c>
      <c r="J89" s="81" t="s">
        <v>79</v>
      </c>
      <c r="K89" s="127" t="s">
        <v>80</v>
      </c>
      <c r="L89" s="81" t="s">
        <v>81</v>
      </c>
      <c r="M89" s="128" t="s">
        <v>82</v>
      </c>
      <c r="N89" s="129" t="s">
        <v>83</v>
      </c>
      <c r="O89" s="130" t="s">
        <v>84</v>
      </c>
      <c r="P89" s="131" t="s">
        <v>85</v>
      </c>
      <c r="Q89" s="131" t="s">
        <v>86</v>
      </c>
      <c r="R89" s="197" t="s">
        <v>87</v>
      </c>
      <c r="S89" s="124"/>
      <c r="T89" s="122"/>
      <c r="U89" s="77"/>
    </row>
    <row r="90" customFormat="false" ht="20.15" hidden="false" customHeight="true" outlineLevel="0" collapsed="false">
      <c r="B90" s="77"/>
      <c r="C90" s="122"/>
      <c r="D90" s="152"/>
      <c r="E90" s="86" t="s">
        <v>23</v>
      </c>
      <c r="F90" s="87" t="s">
        <v>24</v>
      </c>
      <c r="G90" s="304" t="n">
        <v>4</v>
      </c>
      <c r="H90" s="221" t="s">
        <v>66</v>
      </c>
      <c r="I90" s="221" t="n">
        <v>0</v>
      </c>
      <c r="J90" s="221" t="n">
        <v>136</v>
      </c>
      <c r="K90" s="221" t="s">
        <v>66</v>
      </c>
      <c r="L90" s="223" t="n">
        <f aca="false">IF(J90="",0,(J90/J94)*100)</f>
        <v>91.8918918918919</v>
      </c>
      <c r="M90" s="221" t="n">
        <v>2</v>
      </c>
      <c r="N90" s="224" t="n">
        <v>3</v>
      </c>
      <c r="O90" s="137" t="n">
        <f aca="false">IF(M90=1,1,0)</f>
        <v>0</v>
      </c>
      <c r="P90" s="138" t="n">
        <f aca="false">IF(M90=2,1,0)</f>
        <v>1</v>
      </c>
      <c r="Q90" s="138" t="n">
        <f aca="false">IF(M90=3,1,0)</f>
        <v>0</v>
      </c>
      <c r="R90" s="139" t="n">
        <f aca="false">IF(M90=4,1,0)</f>
        <v>0</v>
      </c>
      <c r="S90" s="140"/>
      <c r="T90" s="122"/>
      <c r="U90" s="77"/>
    </row>
    <row r="91" customFormat="false" ht="20.15" hidden="false" customHeight="true" outlineLevel="0" collapsed="false">
      <c r="B91" s="77"/>
      <c r="C91" s="122"/>
      <c r="D91" s="132"/>
      <c r="E91" s="147" t="s">
        <v>27</v>
      </c>
      <c r="F91" s="355" t="s">
        <v>29</v>
      </c>
      <c r="G91" s="305" t="n">
        <v>1</v>
      </c>
      <c r="H91" s="149" t="s">
        <v>66</v>
      </c>
      <c r="I91" s="149" t="n">
        <v>0</v>
      </c>
      <c r="J91" s="149" t="n">
        <v>148</v>
      </c>
      <c r="K91" s="179" t="s">
        <v>66</v>
      </c>
      <c r="L91" s="150" t="n">
        <f aca="false">IF(J91="",0,(J91/J94)*100)</f>
        <v>100</v>
      </c>
      <c r="M91" s="149" t="n">
        <v>1</v>
      </c>
      <c r="N91" s="151" t="n">
        <v>6</v>
      </c>
      <c r="O91" s="144" t="n">
        <f aca="false">IF(M91=1,1,0)</f>
        <v>1</v>
      </c>
      <c r="P91" s="145" t="n">
        <f aca="false">IF(M91=2,1,0)</f>
        <v>0</v>
      </c>
      <c r="Q91" s="145" t="n">
        <f aca="false">IF(M91=3,1,0)</f>
        <v>0</v>
      </c>
      <c r="R91" s="146" t="n">
        <f aca="false">IF(M91=4,1,0)</f>
        <v>0</v>
      </c>
      <c r="S91" s="140"/>
      <c r="T91" s="122"/>
      <c r="U91" s="77"/>
    </row>
    <row r="92" customFormat="false" ht="20.15" hidden="false" customHeight="true" outlineLevel="0" collapsed="false">
      <c r="B92" s="77"/>
      <c r="C92" s="122"/>
      <c r="D92" s="132"/>
      <c r="E92" s="105" t="s">
        <v>195</v>
      </c>
      <c r="F92" s="227" t="s">
        <v>50</v>
      </c>
      <c r="G92" s="306" t="n">
        <v>3</v>
      </c>
      <c r="H92" s="228" t="s">
        <v>66</v>
      </c>
      <c r="I92" s="228" t="n">
        <v>0</v>
      </c>
      <c r="J92" s="228" t="n">
        <v>113</v>
      </c>
      <c r="K92" s="228" t="s">
        <v>66</v>
      </c>
      <c r="L92" s="229" t="n">
        <f aca="false">IF(J92="",0,(J92/J94)*100)</f>
        <v>76.3513513513514</v>
      </c>
      <c r="M92" s="228" t="n">
        <v>3</v>
      </c>
      <c r="N92" s="230" t="n">
        <v>1</v>
      </c>
      <c r="O92" s="144" t="n">
        <f aca="false">IF(M92=1,1,0)</f>
        <v>0</v>
      </c>
      <c r="P92" s="145" t="n">
        <f aca="false">IF(M92=2,1,0)</f>
        <v>0</v>
      </c>
      <c r="Q92" s="145" t="n">
        <f aca="false">IF(M92=3,1,0)</f>
        <v>1</v>
      </c>
      <c r="R92" s="146" t="n">
        <f aca="false">IF(M92=4,1,0)</f>
        <v>0</v>
      </c>
      <c r="S92" s="140"/>
      <c r="T92" s="122"/>
      <c r="U92" s="77"/>
    </row>
    <row r="93" customFormat="false" ht="20.15" hidden="false" customHeight="true" outlineLevel="0" collapsed="false">
      <c r="B93" s="77"/>
      <c r="C93" s="122"/>
      <c r="D93" s="132"/>
      <c r="E93" s="232" t="s">
        <v>21</v>
      </c>
      <c r="F93" s="233" t="s">
        <v>22</v>
      </c>
      <c r="G93" s="307" t="n">
        <v>2</v>
      </c>
      <c r="H93" s="308" t="s">
        <v>66</v>
      </c>
      <c r="I93" s="234" t="n">
        <v>0</v>
      </c>
      <c r="J93" s="234" t="n">
        <v>91</v>
      </c>
      <c r="K93" s="308" t="s">
        <v>66</v>
      </c>
      <c r="L93" s="235" t="n">
        <f aca="false">IF(J93="",0,(J93/J94)*100)</f>
        <v>61.4864864864865</v>
      </c>
      <c r="M93" s="234" t="n">
        <v>4</v>
      </c>
      <c r="N93" s="236" t="n">
        <v>0</v>
      </c>
      <c r="O93" s="156" t="n">
        <f aca="false">IF(M93=1,1,0)</f>
        <v>0</v>
      </c>
      <c r="P93" s="157" t="n">
        <f aca="false">IF(M93=2,1,0)</f>
        <v>0</v>
      </c>
      <c r="Q93" s="157" t="n">
        <f aca="false">IF(M93=3,1,0)</f>
        <v>0</v>
      </c>
      <c r="R93" s="158" t="n">
        <f aca="false">IF(M93=4,1,0)</f>
        <v>1</v>
      </c>
      <c r="S93" s="140"/>
      <c r="T93" s="122"/>
      <c r="U93" s="77"/>
    </row>
    <row r="94" customFormat="false" ht="20.15" hidden="true" customHeight="true" outlineLevel="1" collapsed="false">
      <c r="B94" s="77"/>
      <c r="C94" s="122"/>
      <c r="D94" s="152"/>
      <c r="E94" s="152"/>
      <c r="F94" s="140"/>
      <c r="G94" s="140"/>
      <c r="H94" s="122"/>
      <c r="I94" s="213" t="s">
        <v>92</v>
      </c>
      <c r="J94" s="161" t="n">
        <f aca="false">MAX(J90:J93)</f>
        <v>148</v>
      </c>
      <c r="K94" s="309"/>
      <c r="L94" s="167"/>
      <c r="M94" s="122"/>
      <c r="N94" s="164" t="s">
        <v>93</v>
      </c>
      <c r="O94" s="165" t="n">
        <f aca="false">SUM(O90:O93)</f>
        <v>1</v>
      </c>
      <c r="P94" s="166" t="n">
        <f aca="false">SUM(P90:P93)</f>
        <v>1</v>
      </c>
      <c r="Q94" s="165" t="n">
        <f aca="false">SUM(Q90:Q93)</f>
        <v>1</v>
      </c>
      <c r="R94" s="187" t="n">
        <f aca="false">SUM(R90:R93)</f>
        <v>1</v>
      </c>
      <c r="S94" s="167"/>
      <c r="T94" s="122"/>
      <c r="U94" s="77"/>
    </row>
    <row r="95" customFormat="false" ht="20.15" hidden="false" customHeight="true" outlineLevel="0" collapsed="false">
      <c r="B95" s="77"/>
      <c r="C95" s="122"/>
      <c r="D95" s="168"/>
      <c r="E95" s="168"/>
      <c r="F95" s="122"/>
      <c r="G95" s="122"/>
      <c r="H95" s="122"/>
      <c r="I95" s="122"/>
      <c r="J95" s="122"/>
      <c r="K95" s="122"/>
      <c r="L95" s="122"/>
      <c r="M95" s="122"/>
      <c r="N95" s="122"/>
      <c r="O95" s="122"/>
      <c r="P95" s="122"/>
      <c r="Q95" s="122"/>
      <c r="R95" s="122"/>
      <c r="S95" s="122"/>
      <c r="T95" s="122"/>
      <c r="U95" s="77"/>
    </row>
    <row r="96" customFormat="false" ht="20.15" hidden="false" customHeight="true" outlineLevel="0" collapsed="false">
      <c r="B96" s="77"/>
      <c r="U96" s="77"/>
    </row>
    <row r="97" customFormat="false" ht="20.15" hidden="false" customHeight="true" outlineLevel="0" collapsed="false">
      <c r="B97" s="77"/>
      <c r="C97" s="170"/>
      <c r="D97" s="170"/>
      <c r="E97" s="171" t="str">
        <f aca="false">IF(OR(L84="-",L84= ""),H84,L84)</f>
        <v>Terra Mystica</v>
      </c>
      <c r="F97" s="171"/>
      <c r="G97" s="171"/>
      <c r="H97" s="171"/>
      <c r="I97" s="171"/>
      <c r="J97" s="171"/>
      <c r="K97" s="171"/>
      <c r="L97" s="171"/>
      <c r="M97" s="171"/>
      <c r="N97" s="171"/>
      <c r="O97" s="172"/>
      <c r="P97" s="172"/>
      <c r="Q97" s="172"/>
      <c r="R97" s="172"/>
      <c r="S97" s="172"/>
      <c r="T97" s="170"/>
      <c r="U97" s="77"/>
    </row>
    <row r="98" customFormat="false" ht="50.15" hidden="false" customHeight="true" outlineLevel="0" collapsed="false">
      <c r="B98" s="77"/>
      <c r="C98" s="170"/>
      <c r="D98" s="172"/>
      <c r="E98" s="125" t="s">
        <v>52</v>
      </c>
      <c r="F98" s="126" t="s">
        <v>75</v>
      </c>
      <c r="G98" s="82" t="s">
        <v>76</v>
      </c>
      <c r="H98" s="81" t="s">
        <v>77</v>
      </c>
      <c r="I98" s="59" t="s">
        <v>78</v>
      </c>
      <c r="J98" s="81" t="s">
        <v>79</v>
      </c>
      <c r="K98" s="127" t="s">
        <v>80</v>
      </c>
      <c r="L98" s="81" t="s">
        <v>81</v>
      </c>
      <c r="M98" s="128" t="s">
        <v>82</v>
      </c>
      <c r="N98" s="129" t="s">
        <v>83</v>
      </c>
      <c r="O98" s="130" t="s">
        <v>84</v>
      </c>
      <c r="P98" s="131" t="s">
        <v>85</v>
      </c>
      <c r="Q98" s="131" t="s">
        <v>86</v>
      </c>
      <c r="R98" s="197" t="s">
        <v>87</v>
      </c>
      <c r="S98" s="172"/>
      <c r="T98" s="170"/>
      <c r="U98" s="77"/>
    </row>
    <row r="99" customFormat="false" ht="20.15" hidden="false" customHeight="true" outlineLevel="0" collapsed="false">
      <c r="B99" s="77"/>
      <c r="C99" s="170"/>
      <c r="D99" s="177"/>
      <c r="E99" s="199" t="s">
        <v>23</v>
      </c>
      <c r="F99" s="200" t="s">
        <v>24</v>
      </c>
      <c r="G99" s="325" t="n">
        <v>1</v>
      </c>
      <c r="H99" s="202" t="s">
        <v>283</v>
      </c>
      <c r="I99" s="201" t="n">
        <v>30</v>
      </c>
      <c r="J99" s="202" t="n">
        <v>119</v>
      </c>
      <c r="K99" s="438" t="s">
        <v>66</v>
      </c>
      <c r="L99" s="204" t="n">
        <f aca="false">IF(J99="",0,(J99/J103)*100)</f>
        <v>100</v>
      </c>
      <c r="M99" s="201" t="n">
        <v>1</v>
      </c>
      <c r="N99" s="205" t="n">
        <v>4.5</v>
      </c>
      <c r="O99" s="137" t="n">
        <f aca="false">IF(M99=1,1,0)</f>
        <v>1</v>
      </c>
      <c r="P99" s="138" t="n">
        <f aca="false">IF(M99=2,1,0)</f>
        <v>0</v>
      </c>
      <c r="Q99" s="138" t="n">
        <f aca="false">IF(M99=3,1,0)</f>
        <v>0</v>
      </c>
      <c r="R99" s="139" t="n">
        <f aca="false">IF(M99=4,1,0)</f>
        <v>0</v>
      </c>
      <c r="S99" s="176"/>
      <c r="T99" s="170"/>
      <c r="U99" s="77"/>
    </row>
    <row r="100" customFormat="false" ht="20.15" hidden="false" customHeight="true" outlineLevel="0" collapsed="false">
      <c r="B100" s="77"/>
      <c r="C100" s="170"/>
      <c r="D100" s="173"/>
      <c r="E100" s="147" t="s">
        <v>27</v>
      </c>
      <c r="F100" s="355" t="s">
        <v>29</v>
      </c>
      <c r="G100" s="305" t="n">
        <v>2</v>
      </c>
      <c r="H100" s="179" t="s">
        <v>284</v>
      </c>
      <c r="I100" s="149" t="n">
        <v>11</v>
      </c>
      <c r="J100" s="179" t="n">
        <v>119</v>
      </c>
      <c r="K100" s="179" t="s">
        <v>66</v>
      </c>
      <c r="L100" s="150" t="n">
        <f aca="false">IF(J100="",0,(J100/J103)*100)</f>
        <v>100</v>
      </c>
      <c r="M100" s="149" t="n">
        <v>1</v>
      </c>
      <c r="N100" s="151" t="n">
        <v>4.5</v>
      </c>
      <c r="O100" s="144" t="n">
        <f aca="false">IF(M100=1,1,0)</f>
        <v>1</v>
      </c>
      <c r="P100" s="145" t="n">
        <f aca="false">IF(M100=2,1,0)</f>
        <v>0</v>
      </c>
      <c r="Q100" s="145" t="n">
        <f aca="false">IF(M100=3,1,0)</f>
        <v>0</v>
      </c>
      <c r="R100" s="146" t="n">
        <f aca="false">IF(M100=4,1,0)</f>
        <v>0</v>
      </c>
      <c r="S100" s="176"/>
      <c r="T100" s="170"/>
      <c r="U100" s="77"/>
    </row>
    <row r="101" customFormat="false" ht="20.15" hidden="false" customHeight="true" outlineLevel="0" collapsed="false">
      <c r="B101" s="77"/>
      <c r="C101" s="170"/>
      <c r="D101" s="177"/>
      <c r="E101" s="105" t="s">
        <v>195</v>
      </c>
      <c r="F101" s="227" t="s">
        <v>50</v>
      </c>
      <c r="G101" s="306" t="n">
        <v>3</v>
      </c>
      <c r="H101" s="317" t="s">
        <v>166</v>
      </c>
      <c r="I101" s="228" t="n">
        <v>9</v>
      </c>
      <c r="J101" s="317" t="n">
        <v>107</v>
      </c>
      <c r="K101" s="390" t="s">
        <v>66</v>
      </c>
      <c r="L101" s="229" t="n">
        <f aca="false">IF(J101="",0,(J101/J103)*100)</f>
        <v>89.9159663865546</v>
      </c>
      <c r="M101" s="228" t="n">
        <v>3</v>
      </c>
      <c r="N101" s="230" t="n">
        <v>1</v>
      </c>
      <c r="O101" s="144" t="n">
        <f aca="false">IF(M101=1,1,0)</f>
        <v>0</v>
      </c>
      <c r="P101" s="145" t="n">
        <f aca="false">IF(M101=2,1,0)</f>
        <v>0</v>
      </c>
      <c r="Q101" s="145" t="n">
        <f aca="false">IF(M101=3,1,0)</f>
        <v>1</v>
      </c>
      <c r="R101" s="146" t="n">
        <f aca="false">IF(M101=4,1,0)</f>
        <v>0</v>
      </c>
      <c r="S101" s="176"/>
      <c r="T101" s="170"/>
      <c r="U101" s="77"/>
    </row>
    <row r="102" customFormat="false" ht="20.15" hidden="false" customHeight="true" outlineLevel="0" collapsed="false">
      <c r="B102" s="77"/>
      <c r="C102" s="170"/>
      <c r="D102" s="173"/>
      <c r="E102" s="232" t="s">
        <v>21</v>
      </c>
      <c r="F102" s="233" t="s">
        <v>22</v>
      </c>
      <c r="G102" s="307" t="n">
        <v>4</v>
      </c>
      <c r="H102" s="308" t="s">
        <v>164</v>
      </c>
      <c r="I102" s="234" t="n">
        <v>11</v>
      </c>
      <c r="J102" s="308" t="n">
        <v>79</v>
      </c>
      <c r="K102" s="308" t="s">
        <v>66</v>
      </c>
      <c r="L102" s="235" t="n">
        <f aca="false">IF(J102="",0,(J102/J103)*100)</f>
        <v>66.3865546218487</v>
      </c>
      <c r="M102" s="234" t="n">
        <v>4</v>
      </c>
      <c r="N102" s="236" t="n">
        <v>0</v>
      </c>
      <c r="O102" s="156" t="n">
        <f aca="false">IF(M102=1,1,0)</f>
        <v>0</v>
      </c>
      <c r="P102" s="157" t="n">
        <f aca="false">IF(M102=2,1,0)</f>
        <v>0</v>
      </c>
      <c r="Q102" s="157" t="n">
        <f aca="false">IF(M102=3,1,0)</f>
        <v>0</v>
      </c>
      <c r="R102" s="158" t="n">
        <f aca="false">IF(M102=4,1,0)</f>
        <v>1</v>
      </c>
      <c r="S102" s="176"/>
      <c r="T102" s="170"/>
      <c r="U102" s="77"/>
    </row>
    <row r="103" customFormat="false" ht="20.15" hidden="true" customHeight="true" outlineLevel="1" collapsed="false">
      <c r="B103" s="77"/>
      <c r="C103" s="170"/>
      <c r="D103" s="173"/>
      <c r="E103" s="173"/>
      <c r="F103" s="172"/>
      <c r="G103" s="172"/>
      <c r="H103" s="170"/>
      <c r="I103" s="213" t="s">
        <v>92</v>
      </c>
      <c r="J103" s="161" t="n">
        <f aca="false">MAX(J99:J102)</f>
        <v>119</v>
      </c>
      <c r="K103" s="186"/>
      <c r="L103" s="176"/>
      <c r="M103" s="170"/>
      <c r="N103" s="164" t="s">
        <v>93</v>
      </c>
      <c r="O103" s="165" t="n">
        <f aca="false">SUM(O99:O102)</f>
        <v>2</v>
      </c>
      <c r="P103" s="166" t="n">
        <f aca="false">SUM(P99:P102)</f>
        <v>0</v>
      </c>
      <c r="Q103" s="165" t="n">
        <f aca="false">SUM(Q99:Q102)</f>
        <v>1</v>
      </c>
      <c r="R103" s="187" t="n">
        <f aca="false">SUM(R99:R102)</f>
        <v>1</v>
      </c>
      <c r="S103" s="188"/>
      <c r="T103" s="170"/>
      <c r="U103" s="77"/>
    </row>
    <row r="104" customFormat="false" ht="20.15" hidden="false" customHeight="true" outlineLevel="0" collapsed="false">
      <c r="B104" s="77"/>
      <c r="C104" s="170"/>
      <c r="D104" s="189"/>
      <c r="E104" s="189"/>
      <c r="F104" s="170"/>
      <c r="G104" s="170"/>
      <c r="H104" s="170"/>
      <c r="I104" s="170"/>
      <c r="J104" s="170"/>
      <c r="K104" s="170"/>
      <c r="L104" s="170"/>
      <c r="M104" s="170"/>
      <c r="N104" s="170"/>
      <c r="O104" s="170"/>
      <c r="P104" s="170"/>
      <c r="Q104" s="170"/>
      <c r="R104" s="170"/>
      <c r="S104" s="170"/>
      <c r="T104" s="170"/>
      <c r="U104" s="77"/>
    </row>
    <row r="105" customFormat="false" ht="20.15" hidden="false" customHeight="true" outlineLevel="0" collapsed="false">
      <c r="B105" s="77"/>
      <c r="D105" s="190"/>
      <c r="E105" s="190"/>
      <c r="F105" s="190"/>
      <c r="G105" s="190"/>
      <c r="H105" s="191"/>
      <c r="I105" s="190"/>
      <c r="J105" s="190"/>
      <c r="K105" s="14"/>
      <c r="L105" s="14"/>
      <c r="M105" s="14"/>
      <c r="N105" s="14"/>
      <c r="O105" s="14"/>
      <c r="P105" s="14"/>
      <c r="Q105" s="14"/>
      <c r="R105" s="14"/>
      <c r="S105" s="14"/>
      <c r="U105" s="77"/>
    </row>
    <row r="106" customFormat="false" ht="20.15" hidden="false" customHeight="true" outlineLevel="0" collapsed="false">
      <c r="B106" s="77"/>
      <c r="C106" s="192"/>
      <c r="D106" s="192"/>
      <c r="E106" s="193" t="str">
        <f aca="false">IF(OR(L85="-",L85= ""),H85,L85)</f>
        <v>Dungeon Petz</v>
      </c>
      <c r="F106" s="193"/>
      <c r="G106" s="193"/>
      <c r="H106" s="193"/>
      <c r="I106" s="193"/>
      <c r="J106" s="193"/>
      <c r="K106" s="193"/>
      <c r="L106" s="193"/>
      <c r="M106" s="193"/>
      <c r="N106" s="193"/>
      <c r="O106" s="194"/>
      <c r="P106" s="194"/>
      <c r="Q106" s="194"/>
      <c r="R106" s="194"/>
      <c r="S106" s="194"/>
      <c r="T106" s="192"/>
      <c r="U106" s="195"/>
    </row>
    <row r="107" customFormat="false" ht="50.15" hidden="false" customHeight="true" outlineLevel="0" collapsed="false">
      <c r="B107" s="77"/>
      <c r="C107" s="192"/>
      <c r="D107" s="194"/>
      <c r="E107" s="125" t="s">
        <v>52</v>
      </c>
      <c r="F107" s="126" t="s">
        <v>75</v>
      </c>
      <c r="G107" s="82" t="s">
        <v>76</v>
      </c>
      <c r="H107" s="81" t="s">
        <v>77</v>
      </c>
      <c r="I107" s="59" t="s">
        <v>78</v>
      </c>
      <c r="J107" s="81" t="s">
        <v>79</v>
      </c>
      <c r="K107" s="127" t="s">
        <v>80</v>
      </c>
      <c r="L107" s="81" t="s">
        <v>81</v>
      </c>
      <c r="M107" s="128" t="s">
        <v>82</v>
      </c>
      <c r="N107" s="129" t="s">
        <v>83</v>
      </c>
      <c r="O107" s="130" t="s">
        <v>84</v>
      </c>
      <c r="P107" s="131" t="s">
        <v>85</v>
      </c>
      <c r="Q107" s="131" t="s">
        <v>86</v>
      </c>
      <c r="R107" s="197" t="s">
        <v>87</v>
      </c>
      <c r="S107" s="194"/>
      <c r="T107" s="192"/>
      <c r="U107" s="195"/>
    </row>
    <row r="108" customFormat="false" ht="20.15" hidden="false" customHeight="true" outlineLevel="0" collapsed="false">
      <c r="B108" s="77"/>
      <c r="C108" s="192"/>
      <c r="D108" s="208"/>
      <c r="E108" s="86" t="s">
        <v>23</v>
      </c>
      <c r="F108" s="87" t="s">
        <v>24</v>
      </c>
      <c r="G108" s="304" t="n">
        <v>1</v>
      </c>
      <c r="H108" s="222" t="s">
        <v>66</v>
      </c>
      <c r="I108" s="221" t="n">
        <v>0</v>
      </c>
      <c r="J108" s="222" t="n">
        <v>38</v>
      </c>
      <c r="K108" s="221" t="s">
        <v>66</v>
      </c>
      <c r="L108" s="223" t="n">
        <f aca="false">IF(J108="",0,(J108/J112)*100)</f>
        <v>48.1012658227848</v>
      </c>
      <c r="M108" s="221" t="n">
        <v>4</v>
      </c>
      <c r="N108" s="224" t="n">
        <v>0</v>
      </c>
      <c r="O108" s="137" t="n">
        <f aca="false">IF(M108=1,1,0)</f>
        <v>0</v>
      </c>
      <c r="P108" s="138" t="n">
        <f aca="false">IF(M108=2,1,0)</f>
        <v>0</v>
      </c>
      <c r="Q108" s="138" t="n">
        <f aca="false">IF(M108=3,1,0)</f>
        <v>0</v>
      </c>
      <c r="R108" s="139" t="n">
        <f aca="false">IF(M108=4,1,0)</f>
        <v>1</v>
      </c>
      <c r="S108" s="206"/>
      <c r="T108" s="192"/>
      <c r="U108" s="207"/>
    </row>
    <row r="109" customFormat="false" ht="20.15" hidden="false" customHeight="true" outlineLevel="0" collapsed="false">
      <c r="B109" s="77"/>
      <c r="C109" s="192"/>
      <c r="D109" s="198"/>
      <c r="E109" s="147" t="s">
        <v>27</v>
      </c>
      <c r="F109" s="355" t="s">
        <v>29</v>
      </c>
      <c r="G109" s="305" t="n">
        <v>2</v>
      </c>
      <c r="H109" s="179" t="s">
        <v>66</v>
      </c>
      <c r="I109" s="149" t="n">
        <v>0</v>
      </c>
      <c r="J109" s="179" t="n">
        <v>79</v>
      </c>
      <c r="K109" s="179" t="s">
        <v>66</v>
      </c>
      <c r="L109" s="150" t="n">
        <f aca="false">IF(J109="",0,(J109/J112)*100)</f>
        <v>100</v>
      </c>
      <c r="M109" s="149" t="n">
        <v>1</v>
      </c>
      <c r="N109" s="151" t="n">
        <v>6</v>
      </c>
      <c r="O109" s="144" t="n">
        <f aca="false">IF(M109=1,1,0)</f>
        <v>1</v>
      </c>
      <c r="P109" s="145" t="n">
        <f aca="false">IF(M109=2,1,0)</f>
        <v>0</v>
      </c>
      <c r="Q109" s="145" t="n">
        <f aca="false">IF(M109=3,1,0)</f>
        <v>0</v>
      </c>
      <c r="R109" s="146" t="n">
        <f aca="false">IF(M109=4,1,0)</f>
        <v>0</v>
      </c>
      <c r="S109" s="206"/>
      <c r="T109" s="192"/>
      <c r="U109" s="211"/>
    </row>
    <row r="110" customFormat="false" ht="20.15" hidden="false" customHeight="true" outlineLevel="0" collapsed="false">
      <c r="B110" s="77"/>
      <c r="C110" s="192"/>
      <c r="D110" s="198"/>
      <c r="E110" s="105" t="s">
        <v>195</v>
      </c>
      <c r="F110" s="227" t="s">
        <v>50</v>
      </c>
      <c r="G110" s="306" t="n">
        <v>4</v>
      </c>
      <c r="H110" s="317" t="s">
        <v>66</v>
      </c>
      <c r="I110" s="228" t="n">
        <v>0</v>
      </c>
      <c r="J110" s="317" t="n">
        <v>70</v>
      </c>
      <c r="K110" s="228" t="s">
        <v>66</v>
      </c>
      <c r="L110" s="229" t="n">
        <f aca="false">IF(J110="",0,(J110/J112)*100)</f>
        <v>88.6075949367089</v>
      </c>
      <c r="M110" s="228" t="n">
        <v>2</v>
      </c>
      <c r="N110" s="230" t="n">
        <v>3</v>
      </c>
      <c r="O110" s="144" t="n">
        <f aca="false">IF(M110=1,1,0)</f>
        <v>0</v>
      </c>
      <c r="P110" s="145" t="n">
        <f aca="false">IF(M110=2,1,0)</f>
        <v>1</v>
      </c>
      <c r="Q110" s="145" t="n">
        <f aca="false">IF(M110=3,1,0)</f>
        <v>0</v>
      </c>
      <c r="R110" s="146" t="n">
        <f aca="false">IF(M110=4,1,0)</f>
        <v>0</v>
      </c>
      <c r="S110" s="206"/>
      <c r="T110" s="192"/>
      <c r="U110" s="211"/>
    </row>
    <row r="111" customFormat="false" ht="20.15" hidden="false" customHeight="true" outlineLevel="0" collapsed="false">
      <c r="B111" s="77"/>
      <c r="C111" s="192"/>
      <c r="D111" s="198"/>
      <c r="E111" s="232" t="s">
        <v>21</v>
      </c>
      <c r="F111" s="233" t="s">
        <v>22</v>
      </c>
      <c r="G111" s="307" t="n">
        <v>3</v>
      </c>
      <c r="H111" s="308" t="s">
        <v>66</v>
      </c>
      <c r="I111" s="234" t="n">
        <v>0</v>
      </c>
      <c r="J111" s="308" t="n">
        <v>52</v>
      </c>
      <c r="K111" s="308" t="s">
        <v>66</v>
      </c>
      <c r="L111" s="235" t="n">
        <f aca="false">IF(J111="",0,(J111/J112)*100)</f>
        <v>65.8227848101266</v>
      </c>
      <c r="M111" s="234" t="n">
        <v>3</v>
      </c>
      <c r="N111" s="236" t="n">
        <v>1</v>
      </c>
      <c r="O111" s="156" t="n">
        <f aca="false">IF(M111=1,1,0)</f>
        <v>0</v>
      </c>
      <c r="P111" s="157" t="n">
        <f aca="false">IF(M111=2,1,0)</f>
        <v>0</v>
      </c>
      <c r="Q111" s="157" t="n">
        <f aca="false">IF(M111=3,1,0)</f>
        <v>1</v>
      </c>
      <c r="R111" s="158" t="n">
        <f aca="false">IF(M111=4,1,0)</f>
        <v>0</v>
      </c>
      <c r="S111" s="206"/>
      <c r="T111" s="192"/>
      <c r="U111" s="211"/>
    </row>
    <row r="112" customFormat="false" ht="20.15" hidden="true" customHeight="true" outlineLevel="1" collapsed="false">
      <c r="B112" s="77"/>
      <c r="C112" s="192"/>
      <c r="D112" s="198"/>
      <c r="E112" s="198"/>
      <c r="F112" s="206"/>
      <c r="G112" s="206"/>
      <c r="H112" s="192"/>
      <c r="I112" s="213" t="s">
        <v>92</v>
      </c>
      <c r="J112" s="161" t="n">
        <f aca="false">MAX(J108:J111)</f>
        <v>79</v>
      </c>
      <c r="K112" s="214"/>
      <c r="L112" s="206"/>
      <c r="M112" s="192"/>
      <c r="N112" s="164" t="s">
        <v>93</v>
      </c>
      <c r="O112" s="165" t="n">
        <f aca="false">SUM(O108:O111)</f>
        <v>1</v>
      </c>
      <c r="P112" s="166" t="n">
        <f aca="false">SUM(P108:P111)</f>
        <v>1</v>
      </c>
      <c r="Q112" s="165" t="n">
        <f aca="false">SUM(Q108:Q111)</f>
        <v>1</v>
      </c>
      <c r="R112" s="187" t="n">
        <f aca="false">SUM(R108:R111)</f>
        <v>1</v>
      </c>
      <c r="S112" s="215"/>
      <c r="T112" s="192"/>
      <c r="U112" s="211"/>
    </row>
    <row r="113" customFormat="false" ht="20.15" hidden="false" customHeight="true" outlineLevel="0" collapsed="false">
      <c r="B113" s="77"/>
      <c r="C113" s="192"/>
      <c r="D113" s="216"/>
      <c r="E113" s="216"/>
      <c r="F113" s="192"/>
      <c r="G113" s="192"/>
      <c r="H113" s="192"/>
      <c r="I113" s="192"/>
      <c r="J113" s="192"/>
      <c r="K113" s="192"/>
      <c r="L113" s="192"/>
      <c r="M113" s="192"/>
      <c r="N113" s="192"/>
      <c r="O113" s="192"/>
      <c r="P113" s="192"/>
      <c r="Q113" s="192"/>
      <c r="R113" s="192"/>
      <c r="S113" s="192"/>
      <c r="T113" s="192"/>
      <c r="U113" s="211"/>
    </row>
    <row r="114" customFormat="false" ht="20.15" hidden="false" customHeight="true" outlineLevel="0" collapsed="false">
      <c r="B114" s="77"/>
      <c r="D114" s="190"/>
      <c r="E114" s="190"/>
      <c r="F114" s="190"/>
      <c r="G114" s="190"/>
      <c r="H114" s="191"/>
      <c r="I114" s="190"/>
      <c r="J114" s="190"/>
      <c r="K114" s="190"/>
      <c r="L114" s="14"/>
      <c r="M114" s="14"/>
      <c r="N114" s="14"/>
      <c r="O114" s="14"/>
      <c r="P114" s="14"/>
      <c r="Q114" s="14"/>
      <c r="R114" s="14"/>
      <c r="S114" s="14"/>
      <c r="U114" s="207"/>
    </row>
    <row r="115" customFormat="false" ht="20.15" hidden="false" customHeight="true" outlineLevel="0" collapsed="false">
      <c r="B115" s="77"/>
      <c r="C115" s="217"/>
      <c r="D115" s="217"/>
      <c r="E115" s="218" t="str">
        <f aca="false">IF(OR(L86="-",L86= ""),H86,L86)</f>
        <v>Beyond the Sun</v>
      </c>
      <c r="F115" s="218"/>
      <c r="G115" s="218"/>
      <c r="H115" s="218"/>
      <c r="I115" s="218"/>
      <c r="J115" s="218"/>
      <c r="K115" s="218"/>
      <c r="L115" s="218"/>
      <c r="M115" s="218"/>
      <c r="N115" s="218"/>
      <c r="O115" s="219"/>
      <c r="P115" s="219"/>
      <c r="Q115" s="219"/>
      <c r="R115" s="219"/>
      <c r="S115" s="219"/>
      <c r="T115" s="217"/>
      <c r="U115" s="77"/>
    </row>
    <row r="116" customFormat="false" ht="50.15" hidden="false" customHeight="true" outlineLevel="0" collapsed="false">
      <c r="B116" s="77"/>
      <c r="C116" s="217"/>
      <c r="D116" s="219"/>
      <c r="E116" s="125" t="s">
        <v>52</v>
      </c>
      <c r="F116" s="126" t="s">
        <v>75</v>
      </c>
      <c r="G116" s="82" t="s">
        <v>76</v>
      </c>
      <c r="H116" s="81" t="s">
        <v>77</v>
      </c>
      <c r="I116" s="59" t="s">
        <v>78</v>
      </c>
      <c r="J116" s="81" t="s">
        <v>79</v>
      </c>
      <c r="K116" s="127" t="s">
        <v>80</v>
      </c>
      <c r="L116" s="81" t="s">
        <v>81</v>
      </c>
      <c r="M116" s="128" t="s">
        <v>82</v>
      </c>
      <c r="N116" s="129" t="s">
        <v>83</v>
      </c>
      <c r="O116" s="130" t="s">
        <v>84</v>
      </c>
      <c r="P116" s="131" t="s">
        <v>85</v>
      </c>
      <c r="Q116" s="131" t="s">
        <v>86</v>
      </c>
      <c r="R116" s="197" t="s">
        <v>87</v>
      </c>
      <c r="S116" s="219"/>
      <c r="T116" s="217"/>
      <c r="U116" s="77"/>
    </row>
    <row r="117" customFormat="false" ht="35.15" hidden="false" customHeight="true" outlineLevel="0" collapsed="false">
      <c r="B117" s="77"/>
      <c r="C117" s="217"/>
      <c r="D117" s="220"/>
      <c r="E117" s="86" t="s">
        <v>23</v>
      </c>
      <c r="F117" s="87" t="s">
        <v>24</v>
      </c>
      <c r="G117" s="304" t="n">
        <v>1</v>
      </c>
      <c r="H117" s="222" t="s">
        <v>285</v>
      </c>
      <c r="I117" s="221" t="n">
        <v>0</v>
      </c>
      <c r="J117" s="221" t="n">
        <v>56</v>
      </c>
      <c r="K117" s="221" t="s">
        <v>66</v>
      </c>
      <c r="L117" s="223" t="n">
        <f aca="false">IF(J117="",0,(J117/J121)*100)</f>
        <v>86.1538461538462</v>
      </c>
      <c r="M117" s="221" t="n">
        <v>2</v>
      </c>
      <c r="N117" s="224" t="n">
        <v>3</v>
      </c>
      <c r="O117" s="137" t="n">
        <f aca="false">IF(M117=1,1,0)</f>
        <v>0</v>
      </c>
      <c r="P117" s="138" t="n">
        <f aca="false">IF(M117=2,1,0)</f>
        <v>1</v>
      </c>
      <c r="Q117" s="138" t="n">
        <f aca="false">IF(M117=3,1,0)</f>
        <v>0</v>
      </c>
      <c r="R117" s="139" t="n">
        <f aca="false">IF(M117=4,1,0)</f>
        <v>0</v>
      </c>
      <c r="S117" s="225"/>
      <c r="T117" s="217"/>
      <c r="U117" s="77"/>
    </row>
    <row r="118" customFormat="false" ht="35.15" hidden="false" customHeight="true" outlineLevel="0" collapsed="false">
      <c r="B118" s="77"/>
      <c r="C118" s="217"/>
      <c r="D118" s="220"/>
      <c r="E118" s="105" t="s">
        <v>27</v>
      </c>
      <c r="F118" s="290" t="s">
        <v>29</v>
      </c>
      <c r="G118" s="306" t="n">
        <v>3</v>
      </c>
      <c r="H118" s="317" t="s">
        <v>286</v>
      </c>
      <c r="I118" s="228" t="n">
        <v>0</v>
      </c>
      <c r="J118" s="228" t="n">
        <v>47</v>
      </c>
      <c r="K118" s="317" t="s">
        <v>66</v>
      </c>
      <c r="L118" s="229" t="n">
        <f aca="false">IF(J118="",0,(J118/J121)*100)</f>
        <v>72.3076923076923</v>
      </c>
      <c r="M118" s="228" t="n">
        <v>4</v>
      </c>
      <c r="N118" s="230" t="n">
        <v>0</v>
      </c>
      <c r="O118" s="144" t="n">
        <f aca="false">IF(M118=1,1,0)</f>
        <v>0</v>
      </c>
      <c r="P118" s="145" t="n">
        <f aca="false">IF(M118=2,1,0)</f>
        <v>0</v>
      </c>
      <c r="Q118" s="145" t="n">
        <f aca="false">IF(M118=3,1,0)</f>
        <v>0</v>
      </c>
      <c r="R118" s="146" t="n">
        <f aca="false">IF(M118=4,1,0)</f>
        <v>1</v>
      </c>
      <c r="S118" s="225"/>
      <c r="T118" s="217"/>
      <c r="U118" s="77"/>
    </row>
    <row r="119" customFormat="false" ht="35.15" hidden="false" customHeight="true" outlineLevel="0" collapsed="false">
      <c r="B119" s="77"/>
      <c r="C119" s="217"/>
      <c r="D119" s="220"/>
      <c r="E119" s="105" t="s">
        <v>195</v>
      </c>
      <c r="F119" s="227" t="s">
        <v>50</v>
      </c>
      <c r="G119" s="306" t="n">
        <v>2</v>
      </c>
      <c r="H119" s="317" t="s">
        <v>287</v>
      </c>
      <c r="I119" s="228" t="n">
        <v>0</v>
      </c>
      <c r="J119" s="228" t="n">
        <v>54</v>
      </c>
      <c r="K119" s="228" t="s">
        <v>66</v>
      </c>
      <c r="L119" s="229" t="n">
        <f aca="false">IF(J119="",0,(J119/J121)*100)</f>
        <v>83.0769230769231</v>
      </c>
      <c r="M119" s="228" t="n">
        <v>3</v>
      </c>
      <c r="N119" s="230" t="n">
        <v>1</v>
      </c>
      <c r="O119" s="144" t="n">
        <f aca="false">IF(M119=1,1,0)</f>
        <v>0</v>
      </c>
      <c r="P119" s="145" t="n">
        <f aca="false">IF(M119=2,1,0)</f>
        <v>0</v>
      </c>
      <c r="Q119" s="145" t="n">
        <f aca="false">IF(M119=3,1,0)</f>
        <v>1</v>
      </c>
      <c r="R119" s="146" t="n">
        <f aca="false">IF(M119=4,1,0)</f>
        <v>0</v>
      </c>
      <c r="S119" s="225"/>
      <c r="T119" s="217"/>
      <c r="U119" s="77"/>
    </row>
    <row r="120" customFormat="false" ht="35.15" hidden="false" customHeight="true" outlineLevel="0" collapsed="false">
      <c r="B120" s="77"/>
      <c r="C120" s="217"/>
      <c r="D120" s="231"/>
      <c r="E120" s="439" t="s">
        <v>21</v>
      </c>
      <c r="F120" s="319" t="s">
        <v>22</v>
      </c>
      <c r="G120" s="320" t="n">
        <v>4</v>
      </c>
      <c r="H120" s="321" t="s">
        <v>288</v>
      </c>
      <c r="I120" s="322" t="n">
        <v>0</v>
      </c>
      <c r="J120" s="322" t="n">
        <v>65</v>
      </c>
      <c r="K120" s="321" t="s">
        <v>66</v>
      </c>
      <c r="L120" s="323" t="n">
        <f aca="false">IF(J120="",0,(J120/J121)*100)</f>
        <v>100</v>
      </c>
      <c r="M120" s="322" t="n">
        <v>1</v>
      </c>
      <c r="N120" s="324" t="n">
        <v>6</v>
      </c>
      <c r="O120" s="156" t="n">
        <f aca="false">IF(M120=1,1,0)</f>
        <v>1</v>
      </c>
      <c r="P120" s="157" t="n">
        <f aca="false">IF(M120=2,1,0)</f>
        <v>0</v>
      </c>
      <c r="Q120" s="157" t="n">
        <f aca="false">IF(M120=3,1,0)</f>
        <v>0</v>
      </c>
      <c r="R120" s="158" t="n">
        <f aca="false">IF(M120=4,1,0)</f>
        <v>0</v>
      </c>
      <c r="S120" s="225"/>
      <c r="T120" s="217"/>
      <c r="U120" s="77"/>
    </row>
    <row r="121" customFormat="false" ht="20.15" hidden="true" customHeight="true" outlineLevel="1" collapsed="false">
      <c r="B121" s="77"/>
      <c r="C121" s="217"/>
      <c r="D121" s="220"/>
      <c r="E121" s="220"/>
      <c r="F121" s="225"/>
      <c r="G121" s="225"/>
      <c r="H121" s="217"/>
      <c r="I121" s="213" t="s">
        <v>92</v>
      </c>
      <c r="J121" s="161" t="n">
        <f aca="false">MAX(J117:J120)</f>
        <v>65</v>
      </c>
      <c r="K121" s="237"/>
      <c r="L121" s="225"/>
      <c r="M121" s="217"/>
      <c r="N121" s="164" t="s">
        <v>93</v>
      </c>
      <c r="O121" s="165" t="n">
        <f aca="false">SUM(O117:O120)</f>
        <v>1</v>
      </c>
      <c r="P121" s="166" t="n">
        <f aca="false">SUM(P117:P120)</f>
        <v>1</v>
      </c>
      <c r="Q121" s="165" t="n">
        <f aca="false">SUM(Q117:Q120)</f>
        <v>1</v>
      </c>
      <c r="R121" s="187" t="n">
        <f aca="false">SUM(R117:R120)</f>
        <v>1</v>
      </c>
      <c r="S121" s="238"/>
      <c r="T121" s="217"/>
      <c r="U121" s="77"/>
    </row>
    <row r="122" customFormat="false" ht="20.15" hidden="false" customHeight="true" outlineLevel="0" collapsed="false">
      <c r="B122" s="77"/>
      <c r="C122" s="217"/>
      <c r="D122" s="239"/>
      <c r="E122" s="239"/>
      <c r="F122" s="217"/>
      <c r="G122" s="217"/>
      <c r="H122" s="217"/>
      <c r="I122" s="217"/>
      <c r="J122" s="217"/>
      <c r="K122" s="217"/>
      <c r="L122" s="217"/>
      <c r="M122" s="217"/>
      <c r="N122" s="217"/>
      <c r="O122" s="217"/>
      <c r="P122" s="217"/>
      <c r="Q122" s="217"/>
      <c r="R122" s="217"/>
      <c r="S122" s="217"/>
      <c r="T122" s="217"/>
      <c r="U122" s="77"/>
    </row>
    <row r="123" customFormat="false" ht="20.15" hidden="false" customHeight="true" outlineLevel="0" collapsed="false">
      <c r="B123" s="77"/>
      <c r="D123" s="5"/>
      <c r="E123" s="5"/>
      <c r="F123" s="5"/>
      <c r="G123" s="5"/>
      <c r="H123" s="5"/>
      <c r="I123" s="5"/>
      <c r="J123" s="5"/>
      <c r="K123" s="14"/>
      <c r="L123" s="14"/>
      <c r="M123" s="14"/>
      <c r="N123" s="14"/>
      <c r="O123" s="14"/>
      <c r="P123" s="14"/>
      <c r="Q123" s="14"/>
      <c r="R123" s="14"/>
      <c r="S123" s="14"/>
      <c r="U123" s="77"/>
    </row>
    <row r="124" customFormat="false" ht="30" hidden="false" customHeight="true" outlineLevel="0" collapsed="false">
      <c r="B124" s="77"/>
      <c r="C124" s="240"/>
      <c r="D124" s="241" t="s">
        <v>135</v>
      </c>
      <c r="E124" s="241"/>
      <c r="F124" s="241"/>
      <c r="G124" s="241"/>
      <c r="H124" s="241"/>
      <c r="I124" s="241"/>
      <c r="J124" s="241"/>
      <c r="K124" s="241"/>
      <c r="L124" s="241"/>
      <c r="M124" s="241"/>
      <c r="N124" s="241"/>
      <c r="O124" s="241"/>
      <c r="P124" s="241"/>
      <c r="Q124" s="241"/>
      <c r="R124" s="241"/>
      <c r="S124" s="241"/>
      <c r="T124" s="240"/>
      <c r="U124" s="77"/>
    </row>
    <row r="125" customFormat="false" ht="50.15" hidden="false" customHeight="true" outlineLevel="0" collapsed="false">
      <c r="B125" s="77"/>
      <c r="C125" s="240"/>
      <c r="D125" s="242" t="s">
        <v>52</v>
      </c>
      <c r="E125" s="243" t="s">
        <v>53</v>
      </c>
      <c r="F125" s="244" t="s">
        <v>83</v>
      </c>
      <c r="G125" s="245" t="s">
        <v>102</v>
      </c>
      <c r="H125" s="246" t="s">
        <v>103</v>
      </c>
      <c r="I125" s="246"/>
      <c r="J125" s="247" t="s">
        <v>104</v>
      </c>
      <c r="K125" s="248" t="s">
        <v>105</v>
      </c>
      <c r="L125" s="244" t="s">
        <v>106</v>
      </c>
      <c r="M125" s="248" t="s">
        <v>107</v>
      </c>
      <c r="N125" s="244" t="s">
        <v>108</v>
      </c>
      <c r="O125" s="249"/>
      <c r="P125" s="250"/>
      <c r="Q125" s="250"/>
      <c r="R125" s="250"/>
      <c r="S125" s="243" t="s">
        <v>109</v>
      </c>
      <c r="T125" s="240"/>
      <c r="U125" s="77"/>
    </row>
    <row r="126" customFormat="false" ht="20.15" hidden="false" customHeight="true" outlineLevel="0" collapsed="false">
      <c r="B126" s="77"/>
      <c r="C126" s="240"/>
      <c r="D126" s="251" t="s">
        <v>27</v>
      </c>
      <c r="E126" s="17" t="s">
        <v>28</v>
      </c>
      <c r="F126" s="440" t="n">
        <f aca="false">K126*6+L126*3+M126*1+N126*0</f>
        <v>16.5</v>
      </c>
      <c r="G126" s="328" t="n">
        <v>0</v>
      </c>
      <c r="H126" s="328" t="s">
        <v>66</v>
      </c>
      <c r="I126" s="328"/>
      <c r="J126" s="440" t="n">
        <f aca="false">F126+G126</f>
        <v>16.5</v>
      </c>
      <c r="K126" s="440" t="n">
        <v>2.5</v>
      </c>
      <c r="L126" s="440" t="n">
        <v>0.5</v>
      </c>
      <c r="M126" s="327" t="n">
        <v>0</v>
      </c>
      <c r="N126" s="327" t="n">
        <v>1</v>
      </c>
      <c r="O126" s="16"/>
      <c r="P126" s="328"/>
      <c r="Q126" s="328"/>
      <c r="R126" s="328"/>
      <c r="S126" s="329" t="n">
        <f aca="false">(L91+L100+L109+L118)/4</f>
        <v>93.0769230769231</v>
      </c>
      <c r="T126" s="240"/>
      <c r="U126" s="77"/>
    </row>
    <row r="127" customFormat="false" ht="20.15" hidden="false" customHeight="true" outlineLevel="0" collapsed="false">
      <c r="B127" s="77"/>
      <c r="C127" s="240"/>
      <c r="D127" s="257" t="s">
        <v>23</v>
      </c>
      <c r="E127" s="258" t="s">
        <v>24</v>
      </c>
      <c r="F127" s="441" t="n">
        <f aca="false">K127*6+L127*3+M127*1+N127*0</f>
        <v>10.5</v>
      </c>
      <c r="G127" s="331" t="n">
        <v>0</v>
      </c>
      <c r="H127" s="331" t="s">
        <v>66</v>
      </c>
      <c r="I127" s="331"/>
      <c r="J127" s="441" t="n">
        <f aca="false">F127+G127</f>
        <v>10.5</v>
      </c>
      <c r="K127" s="441" t="n">
        <v>0.5</v>
      </c>
      <c r="L127" s="441" t="n">
        <v>2.5</v>
      </c>
      <c r="M127" s="330" t="n">
        <v>0</v>
      </c>
      <c r="N127" s="330" t="n">
        <v>1</v>
      </c>
      <c r="O127" s="332"/>
      <c r="P127" s="331"/>
      <c r="Q127" s="331"/>
      <c r="R127" s="331"/>
      <c r="S127" s="333" t="n">
        <f aca="false">(L90+L99+L108+L117)/4</f>
        <v>81.5367509671307</v>
      </c>
      <c r="T127" s="240"/>
      <c r="U127" s="77"/>
      <c r="W127" s="334"/>
      <c r="X127" s="334"/>
      <c r="Y127" s="23"/>
      <c r="Z127" s="23"/>
      <c r="AA127" s="335"/>
      <c r="AB127" s="335"/>
      <c r="AC127" s="336"/>
      <c r="AD127" s="336"/>
      <c r="AE127" s="336"/>
    </row>
    <row r="128" customFormat="false" ht="20.15" hidden="false" customHeight="true" outlineLevel="0" collapsed="false">
      <c r="B128" s="77"/>
      <c r="C128" s="240"/>
      <c r="D128" s="383" t="s">
        <v>21</v>
      </c>
      <c r="E128" s="384" t="s">
        <v>22</v>
      </c>
      <c r="F128" s="330" t="n">
        <f aca="false">K128*6+L128*3+M128*1+N128*0</f>
        <v>7</v>
      </c>
      <c r="G128" s="331" t="n">
        <v>0</v>
      </c>
      <c r="H128" s="331" t="s">
        <v>66</v>
      </c>
      <c r="I128" s="331"/>
      <c r="J128" s="330" t="n">
        <f aca="false">F128+G128</f>
        <v>7</v>
      </c>
      <c r="K128" s="330" t="n">
        <v>1</v>
      </c>
      <c r="L128" s="330" t="n">
        <v>0</v>
      </c>
      <c r="M128" s="330" t="n">
        <v>1</v>
      </c>
      <c r="N128" s="330" t="n">
        <v>2</v>
      </c>
      <c r="O128" s="332"/>
      <c r="P128" s="331"/>
      <c r="Q128" s="331"/>
      <c r="R128" s="331"/>
      <c r="S128" s="333" t="n">
        <f aca="false">(L93+L102+L111+L120)/4</f>
        <v>73.4239564796155</v>
      </c>
      <c r="T128" s="240"/>
      <c r="U128" s="77"/>
    </row>
    <row r="129" customFormat="false" ht="20.15" hidden="false" customHeight="true" outlineLevel="0" collapsed="false">
      <c r="B129" s="77"/>
      <c r="C129" s="240"/>
      <c r="D129" s="337" t="s">
        <v>195</v>
      </c>
      <c r="E129" s="266" t="s">
        <v>50</v>
      </c>
      <c r="F129" s="338" t="n">
        <f aca="false">K129*6+L129*3+M129*1+N129*0</f>
        <v>6</v>
      </c>
      <c r="G129" s="339" t="n">
        <v>0</v>
      </c>
      <c r="H129" s="339" t="s">
        <v>66</v>
      </c>
      <c r="I129" s="339"/>
      <c r="J129" s="338" t="n">
        <f aca="false">F129+G129</f>
        <v>6</v>
      </c>
      <c r="K129" s="338" t="n">
        <v>0</v>
      </c>
      <c r="L129" s="338" t="n">
        <v>1</v>
      </c>
      <c r="M129" s="338" t="n">
        <v>3</v>
      </c>
      <c r="N129" s="338" t="n">
        <v>0</v>
      </c>
      <c r="O129" s="340"/>
      <c r="P129" s="339"/>
      <c r="Q129" s="339"/>
      <c r="R129" s="339"/>
      <c r="S129" s="341" t="n">
        <f aca="false">(L92+L101+L110+L119)/4</f>
        <v>84.4879589378845</v>
      </c>
      <c r="T129" s="240"/>
      <c r="U129" s="77"/>
    </row>
    <row r="130" customFormat="false" ht="20.15" hidden="false" customHeight="true" outlineLevel="0" collapsed="false">
      <c r="B130" s="77"/>
      <c r="C130" s="240"/>
      <c r="D130" s="240"/>
      <c r="E130" s="240"/>
      <c r="F130" s="240"/>
      <c r="G130" s="240"/>
      <c r="H130" s="240"/>
      <c r="I130" s="240"/>
      <c r="J130" s="240"/>
      <c r="K130" s="240"/>
      <c r="L130" s="240"/>
      <c r="M130" s="240"/>
      <c r="N130" s="240"/>
      <c r="O130" s="240"/>
      <c r="P130" s="240"/>
      <c r="Q130" s="240"/>
      <c r="R130" s="240"/>
      <c r="S130" s="240"/>
      <c r="T130" s="240"/>
      <c r="U130" s="77"/>
    </row>
    <row r="131" customFormat="false" ht="20.15" hidden="false" customHeight="true" outlineLevel="0" collapsed="false">
      <c r="B131" s="77"/>
      <c r="C131" s="77"/>
      <c r="D131" s="270"/>
      <c r="E131" s="270"/>
      <c r="F131" s="195"/>
      <c r="G131" s="195"/>
      <c r="H131" s="270"/>
      <c r="I131" s="270"/>
      <c r="J131" s="270"/>
      <c r="K131" s="207"/>
      <c r="L131" s="207"/>
      <c r="M131" s="207"/>
      <c r="N131" s="207"/>
      <c r="O131" s="207"/>
      <c r="P131" s="207"/>
      <c r="Q131" s="207"/>
      <c r="R131" s="207"/>
      <c r="S131" s="207"/>
      <c r="T131" s="77"/>
      <c r="U131" s="77"/>
    </row>
    <row r="132" customFormat="false" ht="20.15" hidden="false" customHeight="true" outlineLevel="0" collapsed="false"/>
    <row r="133" customFormat="false" ht="20.15" hidden="false" customHeight="true" outlineLevel="0" collapsed="false"/>
    <row r="134" customFormat="false" ht="20.15" hidden="false" customHeight="true" outlineLevel="0" collapsed="false">
      <c r="B134" s="77"/>
      <c r="C134" s="77"/>
      <c r="D134" s="78"/>
      <c r="E134" s="78"/>
      <c r="F134" s="78"/>
      <c r="G134" s="78"/>
      <c r="H134" s="77"/>
      <c r="I134" s="77"/>
      <c r="J134" s="77"/>
      <c r="K134" s="77"/>
      <c r="L134" s="77"/>
      <c r="M134" s="77"/>
      <c r="N134" s="77"/>
      <c r="O134" s="77"/>
      <c r="P134" s="77"/>
      <c r="Q134" s="77"/>
      <c r="R134" s="77"/>
      <c r="S134" s="77"/>
      <c r="T134" s="77"/>
      <c r="U134" s="77"/>
    </row>
    <row r="135" customFormat="false" ht="30" hidden="false" customHeight="true" outlineLevel="0" collapsed="false">
      <c r="B135" s="77"/>
      <c r="C135" s="79" t="s">
        <v>183</v>
      </c>
      <c r="D135" s="79"/>
      <c r="E135" s="79"/>
      <c r="F135" s="79"/>
      <c r="G135" s="79"/>
      <c r="H135" s="79"/>
      <c r="I135" s="79"/>
      <c r="J135" s="79"/>
      <c r="K135" s="79"/>
      <c r="L135" s="79"/>
      <c r="M135" s="79"/>
      <c r="N135" s="79"/>
      <c r="O135" s="79"/>
      <c r="P135" s="79"/>
      <c r="Q135" s="79"/>
      <c r="R135" s="79"/>
      <c r="S135" s="79"/>
      <c r="T135" s="79"/>
      <c r="U135" s="77"/>
    </row>
    <row r="136" customFormat="false" ht="20.15" hidden="false" customHeight="true" outlineLevel="0" collapsed="false">
      <c r="B136" s="77"/>
      <c r="D136" s="121"/>
      <c r="E136" s="121"/>
      <c r="U136" s="77"/>
    </row>
    <row r="137" customFormat="false" ht="20.15" hidden="false" customHeight="true" outlineLevel="0" collapsed="false">
      <c r="B137" s="77"/>
      <c r="D137" s="80" t="s">
        <v>52</v>
      </c>
      <c r="E137" s="81" t="s">
        <v>111</v>
      </c>
      <c r="F137" s="82" t="s">
        <v>12</v>
      </c>
      <c r="G137" s="275" t="s">
        <v>54</v>
      </c>
      <c r="H137" s="275"/>
      <c r="I137" s="275"/>
      <c r="J137" s="275"/>
      <c r="K137" s="81" t="s">
        <v>55</v>
      </c>
      <c r="L137" s="83" t="s">
        <v>56</v>
      </c>
      <c r="M137" s="83"/>
      <c r="N137" s="83"/>
      <c r="O137" s="83"/>
      <c r="P137" s="83"/>
      <c r="Q137" s="83"/>
      <c r="R137" s="83"/>
      <c r="S137" s="83"/>
      <c r="U137" s="77"/>
    </row>
    <row r="138" customFormat="false" ht="20.15" hidden="false" customHeight="true" outlineLevel="0" collapsed="false">
      <c r="B138" s="77"/>
      <c r="D138" s="80"/>
      <c r="E138" s="81"/>
      <c r="F138" s="81"/>
      <c r="G138" s="85" t="s">
        <v>57</v>
      </c>
      <c r="H138" s="84" t="s">
        <v>58</v>
      </c>
      <c r="I138" s="82" t="s">
        <v>59</v>
      </c>
      <c r="J138" s="82"/>
      <c r="K138" s="84" t="s">
        <v>60</v>
      </c>
      <c r="L138" s="276" t="s">
        <v>57</v>
      </c>
      <c r="M138" s="277" t="s">
        <v>61</v>
      </c>
      <c r="N138" s="278" t="s">
        <v>59</v>
      </c>
      <c r="O138" s="278"/>
      <c r="P138" s="278"/>
      <c r="Q138" s="278"/>
      <c r="R138" s="278"/>
      <c r="S138" s="278"/>
      <c r="U138" s="77"/>
    </row>
    <row r="139" customFormat="false" ht="110.15" hidden="false" customHeight="true" outlineLevel="0" collapsed="false">
      <c r="B139" s="77"/>
      <c r="D139" s="86" t="s">
        <v>39</v>
      </c>
      <c r="E139" s="87" t="s">
        <v>40</v>
      </c>
      <c r="F139" s="343" t="n">
        <v>1</v>
      </c>
      <c r="G139" s="344" t="s">
        <v>71</v>
      </c>
      <c r="H139" s="281" t="s">
        <v>289</v>
      </c>
      <c r="I139" s="91" t="s">
        <v>290</v>
      </c>
      <c r="J139" s="91"/>
      <c r="K139" s="345" t="s">
        <v>65</v>
      </c>
      <c r="L139" s="442" t="s">
        <v>66</v>
      </c>
      <c r="M139" s="443" t="s">
        <v>66</v>
      </c>
      <c r="N139" s="444" t="s">
        <v>66</v>
      </c>
      <c r="O139" s="444"/>
      <c r="P139" s="444"/>
      <c r="Q139" s="444"/>
      <c r="R139" s="444"/>
      <c r="S139" s="444"/>
      <c r="U139" s="77"/>
    </row>
    <row r="140" customFormat="false" ht="50.15" hidden="false" customHeight="true" outlineLevel="0" collapsed="false">
      <c r="B140" s="77"/>
      <c r="D140" s="105" t="s">
        <v>41</v>
      </c>
      <c r="E140" s="96" t="s">
        <v>42</v>
      </c>
      <c r="F140" s="346" t="n">
        <v>2</v>
      </c>
      <c r="G140" s="347" t="s">
        <v>67</v>
      </c>
      <c r="H140" s="99" t="s">
        <v>291</v>
      </c>
      <c r="I140" s="100" t="s">
        <v>292</v>
      </c>
      <c r="J140" s="100"/>
      <c r="K140" s="348" t="s">
        <v>65</v>
      </c>
      <c r="L140" s="110" t="s">
        <v>66</v>
      </c>
      <c r="M140" s="111" t="s">
        <v>66</v>
      </c>
      <c r="N140" s="445" t="s">
        <v>66</v>
      </c>
      <c r="O140" s="445"/>
      <c r="P140" s="445"/>
      <c r="Q140" s="445"/>
      <c r="R140" s="445"/>
      <c r="S140" s="445"/>
      <c r="U140" s="77"/>
    </row>
    <row r="141" customFormat="false" ht="95.15" hidden="false" customHeight="true" outlineLevel="0" collapsed="false">
      <c r="B141" s="77"/>
      <c r="D141" s="295" t="s">
        <v>33</v>
      </c>
      <c r="E141" s="410" t="s">
        <v>34</v>
      </c>
      <c r="F141" s="350" t="n">
        <v>3</v>
      </c>
      <c r="G141" s="446" t="s">
        <v>67</v>
      </c>
      <c r="H141" s="393" t="s">
        <v>158</v>
      </c>
      <c r="I141" s="394" t="s">
        <v>293</v>
      </c>
      <c r="J141" s="394"/>
      <c r="K141" s="395" t="s">
        <v>65</v>
      </c>
      <c r="L141" s="118" t="s">
        <v>66</v>
      </c>
      <c r="M141" s="119" t="s">
        <v>66</v>
      </c>
      <c r="N141" s="447" t="s">
        <v>66</v>
      </c>
      <c r="O141" s="447"/>
      <c r="P141" s="447"/>
      <c r="Q141" s="447"/>
      <c r="R141" s="447"/>
      <c r="S141" s="447"/>
      <c r="U141" s="77"/>
    </row>
    <row r="142" customFormat="false" ht="20.15" hidden="false" customHeight="true" outlineLevel="0" collapsed="false">
      <c r="B142" s="77"/>
      <c r="D142" s="121"/>
      <c r="E142" s="121"/>
      <c r="U142" s="77"/>
    </row>
    <row r="143" customFormat="false" ht="20.15" hidden="false" customHeight="true" outlineLevel="0" collapsed="false">
      <c r="B143" s="77"/>
      <c r="C143" s="122"/>
      <c r="D143" s="122"/>
      <c r="E143" s="123" t="str">
        <f aca="false">IF(OR(M139="-",M139= ""),H139,M139)</f>
        <v>Pandoria</v>
      </c>
      <c r="F143" s="123"/>
      <c r="G143" s="123"/>
      <c r="H143" s="123"/>
      <c r="I143" s="123"/>
      <c r="J143" s="123"/>
      <c r="K143" s="123"/>
      <c r="L143" s="123"/>
      <c r="M143" s="123"/>
      <c r="N143" s="123"/>
      <c r="O143" s="124"/>
      <c r="P143" s="124"/>
      <c r="Q143" s="124"/>
      <c r="R143" s="124"/>
      <c r="S143" s="124"/>
      <c r="T143" s="122"/>
      <c r="U143" s="77"/>
    </row>
    <row r="144" customFormat="false" ht="50.15" hidden="false" customHeight="true" outlineLevel="0" collapsed="false">
      <c r="B144" s="77"/>
      <c r="C144" s="122"/>
      <c r="D144" s="124"/>
      <c r="E144" s="125" t="s">
        <v>52</v>
      </c>
      <c r="F144" s="126" t="s">
        <v>75</v>
      </c>
      <c r="G144" s="82" t="s">
        <v>76</v>
      </c>
      <c r="H144" s="81" t="s">
        <v>77</v>
      </c>
      <c r="I144" s="59" t="s">
        <v>78</v>
      </c>
      <c r="J144" s="81" t="s">
        <v>79</v>
      </c>
      <c r="K144" s="127" t="s">
        <v>80</v>
      </c>
      <c r="L144" s="81" t="s">
        <v>81</v>
      </c>
      <c r="M144" s="128" t="s">
        <v>82</v>
      </c>
      <c r="N144" s="129" t="s">
        <v>83</v>
      </c>
      <c r="O144" s="130" t="s">
        <v>84</v>
      </c>
      <c r="P144" s="131" t="s">
        <v>85</v>
      </c>
      <c r="Q144" s="131" t="s">
        <v>86</v>
      </c>
      <c r="R144" s="124"/>
      <c r="S144" s="124"/>
      <c r="T144" s="122"/>
      <c r="U144" s="77"/>
    </row>
    <row r="145" customFormat="false" ht="20.15" hidden="false" customHeight="true" outlineLevel="0" collapsed="false">
      <c r="B145" s="77"/>
      <c r="C145" s="122"/>
      <c r="D145" s="152"/>
      <c r="E145" s="199" t="s">
        <v>39</v>
      </c>
      <c r="F145" s="200" t="s">
        <v>40</v>
      </c>
      <c r="G145" s="325" t="n">
        <v>3</v>
      </c>
      <c r="H145" s="202" t="s">
        <v>294</v>
      </c>
      <c r="I145" s="201" t="n">
        <v>0</v>
      </c>
      <c r="J145" s="202" t="n">
        <v>78</v>
      </c>
      <c r="K145" s="202" t="s">
        <v>66</v>
      </c>
      <c r="L145" s="204" t="n">
        <f aca="false">IF(J145="",0,(J145/J148)*100)</f>
        <v>100</v>
      </c>
      <c r="M145" s="201" t="n">
        <v>1</v>
      </c>
      <c r="N145" s="205" t="n">
        <v>6</v>
      </c>
      <c r="O145" s="138" t="n">
        <f aca="false">IF(M145=1,1,0)</f>
        <v>1</v>
      </c>
      <c r="P145" s="138" t="n">
        <f aca="false">IF(M145=2,1,0)</f>
        <v>0</v>
      </c>
      <c r="Q145" s="139" t="n">
        <f aca="false">IF(M145=3,1,0)</f>
        <v>0</v>
      </c>
      <c r="R145" s="140"/>
      <c r="S145" s="140"/>
      <c r="T145" s="122"/>
      <c r="U145" s="77"/>
    </row>
    <row r="146" customFormat="false" ht="20.15" hidden="false" customHeight="true" outlineLevel="0" collapsed="false">
      <c r="B146" s="77"/>
      <c r="C146" s="122"/>
      <c r="D146" s="132"/>
      <c r="E146" s="105" t="s">
        <v>41</v>
      </c>
      <c r="F146" s="96" t="s">
        <v>42</v>
      </c>
      <c r="G146" s="306" t="n">
        <v>1</v>
      </c>
      <c r="H146" s="317" t="s">
        <v>295</v>
      </c>
      <c r="I146" s="228" t="n">
        <v>0</v>
      </c>
      <c r="J146" s="317" t="n">
        <v>63</v>
      </c>
      <c r="K146" s="317" t="s">
        <v>66</v>
      </c>
      <c r="L146" s="229" t="n">
        <f aca="false">IF(J146="",0,(J146/J148)*100)</f>
        <v>80.7692307692308</v>
      </c>
      <c r="M146" s="228" t="n">
        <v>2</v>
      </c>
      <c r="N146" s="230" t="n">
        <v>3</v>
      </c>
      <c r="O146" s="145" t="n">
        <f aca="false">IF(M146=1,1,0)</f>
        <v>0</v>
      </c>
      <c r="P146" s="145" t="n">
        <f aca="false">IF(M146=2,1,0)</f>
        <v>1</v>
      </c>
      <c r="Q146" s="146" t="n">
        <f aca="false">IF(M146=3,1,0)</f>
        <v>0</v>
      </c>
      <c r="R146" s="140"/>
      <c r="S146" s="140"/>
      <c r="T146" s="122"/>
      <c r="U146" s="77"/>
    </row>
    <row r="147" customFormat="false" ht="20.15" hidden="false" customHeight="true" outlineLevel="0" collapsed="false">
      <c r="B147" s="77"/>
      <c r="C147" s="122"/>
      <c r="D147" s="132"/>
      <c r="E147" s="295" t="s">
        <v>33</v>
      </c>
      <c r="F147" s="410" t="s">
        <v>34</v>
      </c>
      <c r="G147" s="307" t="n">
        <v>2</v>
      </c>
      <c r="H147" s="308" t="s">
        <v>296</v>
      </c>
      <c r="I147" s="234" t="n">
        <v>0</v>
      </c>
      <c r="J147" s="308" t="n">
        <v>61</v>
      </c>
      <c r="K147" s="308" t="s">
        <v>66</v>
      </c>
      <c r="L147" s="235" t="n">
        <f aca="false">IF(J147="",0,(J147/J148)*100)</f>
        <v>78.2051282051282</v>
      </c>
      <c r="M147" s="234" t="n">
        <v>3</v>
      </c>
      <c r="N147" s="236" t="n">
        <v>0</v>
      </c>
      <c r="O147" s="157" t="n">
        <f aca="false">IF(M147=1,1,0)</f>
        <v>0</v>
      </c>
      <c r="P147" s="157" t="n">
        <f aca="false">IF(M147=2,1,0)</f>
        <v>0</v>
      </c>
      <c r="Q147" s="158" t="n">
        <f aca="false">IF(M147=3,1,0)</f>
        <v>1</v>
      </c>
      <c r="R147" s="140"/>
      <c r="S147" s="140"/>
      <c r="T147" s="122"/>
      <c r="U147" s="77"/>
    </row>
    <row r="148" customFormat="false" ht="20.15" hidden="true" customHeight="true" outlineLevel="1" collapsed="false">
      <c r="B148" s="77"/>
      <c r="C148" s="122"/>
      <c r="D148" s="152"/>
      <c r="E148" s="152"/>
      <c r="F148" s="140"/>
      <c r="G148" s="140"/>
      <c r="H148" s="122"/>
      <c r="I148" s="213" t="s">
        <v>92</v>
      </c>
      <c r="J148" s="161" t="n">
        <f aca="false">MAX(J145:J147)</f>
        <v>78</v>
      </c>
      <c r="K148" s="309"/>
      <c r="L148" s="167"/>
      <c r="M148" s="122"/>
      <c r="N148" s="164" t="s">
        <v>93</v>
      </c>
      <c r="O148" s="165" t="n">
        <f aca="false">SUM(O145:O147)</f>
        <v>1</v>
      </c>
      <c r="P148" s="166" t="n">
        <f aca="false">SUM(P145:P147)</f>
        <v>1</v>
      </c>
      <c r="Q148" s="165" t="n">
        <f aca="false">SUM(Q145:Q147)</f>
        <v>1</v>
      </c>
      <c r="R148" s="167"/>
      <c r="S148" s="167"/>
      <c r="T148" s="122"/>
      <c r="U148" s="77"/>
    </row>
    <row r="149" customFormat="false" ht="20.15" hidden="false" customHeight="true" outlineLevel="0" collapsed="false">
      <c r="B149" s="77"/>
      <c r="C149" s="122"/>
      <c r="D149" s="168"/>
      <c r="E149" s="168"/>
      <c r="F149" s="122"/>
      <c r="G149" s="122"/>
      <c r="H149" s="122"/>
      <c r="I149" s="122"/>
      <c r="J149" s="122"/>
      <c r="K149" s="122"/>
      <c r="L149" s="122"/>
      <c r="M149" s="122"/>
      <c r="N149" s="122"/>
      <c r="O149" s="122"/>
      <c r="P149" s="122"/>
      <c r="Q149" s="122"/>
      <c r="R149" s="122"/>
      <c r="S149" s="122"/>
      <c r="T149" s="122"/>
      <c r="U149" s="77"/>
    </row>
    <row r="150" customFormat="false" ht="20.15" hidden="false" customHeight="true" outlineLevel="0" collapsed="false">
      <c r="B150" s="77"/>
      <c r="U150" s="77"/>
    </row>
    <row r="151" customFormat="false" ht="20.15" hidden="false" customHeight="true" outlineLevel="0" collapsed="false">
      <c r="B151" s="77"/>
      <c r="C151" s="170"/>
      <c r="D151" s="170"/>
      <c r="E151" s="171" t="str">
        <f aca="false">IF(OR(L140="-",L140= ""),H140,L140)</f>
        <v>Wizard</v>
      </c>
      <c r="F151" s="171"/>
      <c r="G151" s="171"/>
      <c r="H151" s="171"/>
      <c r="I151" s="171"/>
      <c r="J151" s="171"/>
      <c r="K151" s="171"/>
      <c r="L151" s="171"/>
      <c r="M151" s="171"/>
      <c r="N151" s="171"/>
      <c r="O151" s="172"/>
      <c r="P151" s="172"/>
      <c r="Q151" s="172"/>
      <c r="R151" s="172"/>
      <c r="S151" s="172"/>
      <c r="T151" s="170"/>
      <c r="U151" s="77"/>
    </row>
    <row r="152" customFormat="false" ht="50.15" hidden="false" customHeight="true" outlineLevel="0" collapsed="false">
      <c r="B152" s="77"/>
      <c r="C152" s="170"/>
      <c r="D152" s="172"/>
      <c r="E152" s="125" t="s">
        <v>52</v>
      </c>
      <c r="F152" s="126" t="s">
        <v>75</v>
      </c>
      <c r="G152" s="82" t="s">
        <v>76</v>
      </c>
      <c r="H152" s="81" t="s">
        <v>77</v>
      </c>
      <c r="I152" s="59" t="s">
        <v>78</v>
      </c>
      <c r="J152" s="81" t="s">
        <v>79</v>
      </c>
      <c r="K152" s="127" t="s">
        <v>80</v>
      </c>
      <c r="L152" s="81" t="s">
        <v>81</v>
      </c>
      <c r="M152" s="128" t="s">
        <v>82</v>
      </c>
      <c r="N152" s="129" t="s">
        <v>83</v>
      </c>
      <c r="O152" s="130" t="s">
        <v>84</v>
      </c>
      <c r="P152" s="131" t="s">
        <v>85</v>
      </c>
      <c r="Q152" s="131" t="s">
        <v>86</v>
      </c>
      <c r="R152" s="172"/>
      <c r="S152" s="172"/>
      <c r="T152" s="170"/>
      <c r="U152" s="77"/>
    </row>
    <row r="153" customFormat="false" ht="20.15" hidden="false" customHeight="true" outlineLevel="0" collapsed="false">
      <c r="B153" s="77"/>
      <c r="C153" s="170"/>
      <c r="D153" s="177"/>
      <c r="E153" s="199" t="s">
        <v>39</v>
      </c>
      <c r="F153" s="200" t="s">
        <v>40</v>
      </c>
      <c r="G153" s="325" t="n">
        <v>1</v>
      </c>
      <c r="H153" s="201" t="s">
        <v>66</v>
      </c>
      <c r="I153" s="201" t="n">
        <v>0</v>
      </c>
      <c r="J153" s="201" t="n">
        <v>650</v>
      </c>
      <c r="K153" s="201" t="s">
        <v>66</v>
      </c>
      <c r="L153" s="204" t="n">
        <f aca="false">IF(J153="",0,(J153/J156)*100)</f>
        <v>100</v>
      </c>
      <c r="M153" s="201" t="n">
        <v>1</v>
      </c>
      <c r="N153" s="205" t="n">
        <v>6</v>
      </c>
      <c r="O153" s="138" t="n">
        <f aca="false">IF(M153=1,1,0)</f>
        <v>1</v>
      </c>
      <c r="P153" s="138" t="n">
        <f aca="false">IF(M153=2,1,0)</f>
        <v>0</v>
      </c>
      <c r="Q153" s="139" t="n">
        <f aca="false">IF(M153=3,1,0)</f>
        <v>0</v>
      </c>
      <c r="R153" s="176"/>
      <c r="S153" s="176"/>
      <c r="T153" s="170"/>
      <c r="U153" s="77"/>
    </row>
    <row r="154" customFormat="false" ht="20.15" hidden="false" customHeight="true" outlineLevel="0" collapsed="false">
      <c r="B154" s="77"/>
      <c r="C154" s="170"/>
      <c r="D154" s="173"/>
      <c r="E154" s="105" t="s">
        <v>41</v>
      </c>
      <c r="F154" s="96" t="s">
        <v>42</v>
      </c>
      <c r="G154" s="306" t="n">
        <v>3</v>
      </c>
      <c r="H154" s="228" t="s">
        <v>66</v>
      </c>
      <c r="I154" s="228" t="n">
        <v>0</v>
      </c>
      <c r="J154" s="228" t="n">
        <v>580</v>
      </c>
      <c r="K154" s="317" t="s">
        <v>66</v>
      </c>
      <c r="L154" s="229" t="n">
        <f aca="false">IF(J154="",0,(J154/J156)*100)</f>
        <v>89.2307692307692</v>
      </c>
      <c r="M154" s="228" t="n">
        <v>2</v>
      </c>
      <c r="N154" s="230" t="n">
        <v>3</v>
      </c>
      <c r="O154" s="145" t="n">
        <f aca="false">IF(M154=1,1,0)</f>
        <v>0</v>
      </c>
      <c r="P154" s="145" t="n">
        <f aca="false">IF(M154=2,1,0)</f>
        <v>1</v>
      </c>
      <c r="Q154" s="146" t="n">
        <f aca="false">IF(M154=3,1,0)</f>
        <v>0</v>
      </c>
      <c r="R154" s="176"/>
      <c r="S154" s="176"/>
      <c r="T154" s="170"/>
      <c r="U154" s="77"/>
    </row>
    <row r="155" customFormat="false" ht="20.15" hidden="false" customHeight="true" outlineLevel="0" collapsed="false">
      <c r="B155" s="77"/>
      <c r="C155" s="170"/>
      <c r="D155" s="177"/>
      <c r="E155" s="295" t="s">
        <v>33</v>
      </c>
      <c r="F155" s="410" t="s">
        <v>34</v>
      </c>
      <c r="G155" s="307" t="n">
        <v>2</v>
      </c>
      <c r="H155" s="234" t="s">
        <v>66</v>
      </c>
      <c r="I155" s="234" t="n">
        <v>0</v>
      </c>
      <c r="J155" s="234" t="n">
        <v>120</v>
      </c>
      <c r="K155" s="234" t="s">
        <v>66</v>
      </c>
      <c r="L155" s="235" t="n">
        <f aca="false">IF(J155="",0,(J155/J156)*100)</f>
        <v>18.4615384615385</v>
      </c>
      <c r="M155" s="234" t="n">
        <v>3</v>
      </c>
      <c r="N155" s="236" t="n">
        <v>0</v>
      </c>
      <c r="O155" s="157" t="n">
        <f aca="false">IF(M155=1,1,0)</f>
        <v>0</v>
      </c>
      <c r="P155" s="157" t="n">
        <f aca="false">IF(M155=2,1,0)</f>
        <v>0</v>
      </c>
      <c r="Q155" s="158" t="n">
        <f aca="false">IF(M155=3,1,0)</f>
        <v>1</v>
      </c>
      <c r="R155" s="176"/>
      <c r="S155" s="176"/>
      <c r="T155" s="170"/>
      <c r="U155" s="77"/>
    </row>
    <row r="156" customFormat="false" ht="20.15" hidden="true" customHeight="true" outlineLevel="1" collapsed="false">
      <c r="B156" s="77"/>
      <c r="C156" s="170"/>
      <c r="D156" s="173"/>
      <c r="E156" s="173"/>
      <c r="F156" s="172"/>
      <c r="G156" s="172"/>
      <c r="H156" s="170"/>
      <c r="I156" s="213" t="s">
        <v>92</v>
      </c>
      <c r="J156" s="161" t="n">
        <f aca="false">MAX(J153:J155)</f>
        <v>650</v>
      </c>
      <c r="K156" s="186"/>
      <c r="L156" s="176"/>
      <c r="M156" s="170"/>
      <c r="N156" s="164" t="s">
        <v>93</v>
      </c>
      <c r="O156" s="165" t="n">
        <f aca="false">SUM(O153:O155)</f>
        <v>1</v>
      </c>
      <c r="P156" s="166" t="n">
        <f aca="false">SUM(P153:P155)</f>
        <v>1</v>
      </c>
      <c r="Q156" s="165" t="n">
        <f aca="false">SUM(Q153:Q155)</f>
        <v>1</v>
      </c>
      <c r="R156" s="188"/>
      <c r="S156" s="188"/>
      <c r="T156" s="170"/>
      <c r="U156" s="77"/>
    </row>
    <row r="157" customFormat="false" ht="20.15" hidden="false" customHeight="true" outlineLevel="0" collapsed="false">
      <c r="B157" s="77"/>
      <c r="C157" s="170"/>
      <c r="D157" s="189"/>
      <c r="E157" s="189"/>
      <c r="F157" s="170"/>
      <c r="G157" s="170"/>
      <c r="H157" s="170"/>
      <c r="I157" s="170"/>
      <c r="J157" s="170"/>
      <c r="K157" s="170"/>
      <c r="L157" s="170"/>
      <c r="M157" s="170"/>
      <c r="N157" s="170"/>
      <c r="O157" s="170"/>
      <c r="P157" s="170"/>
      <c r="Q157" s="170"/>
      <c r="R157" s="170"/>
      <c r="S157" s="170"/>
      <c r="T157" s="170"/>
      <c r="U157" s="77"/>
    </row>
    <row r="158" customFormat="false" ht="20.15" hidden="false" customHeight="true" outlineLevel="0" collapsed="false">
      <c r="B158" s="77"/>
      <c r="D158" s="190"/>
      <c r="E158" s="190"/>
      <c r="F158" s="190"/>
      <c r="G158" s="190"/>
      <c r="H158" s="191"/>
      <c r="I158" s="190"/>
      <c r="J158" s="190"/>
      <c r="K158" s="14"/>
      <c r="L158" s="14"/>
      <c r="M158" s="14"/>
      <c r="N158" s="14"/>
      <c r="O158" s="14"/>
      <c r="P158" s="14"/>
      <c r="Q158" s="14"/>
      <c r="R158" s="14"/>
      <c r="S158" s="14"/>
      <c r="U158" s="77"/>
    </row>
    <row r="159" customFormat="false" ht="20.15" hidden="false" customHeight="true" outlineLevel="0" collapsed="false">
      <c r="B159" s="77"/>
      <c r="C159" s="192"/>
      <c r="D159" s="192"/>
      <c r="E159" s="193" t="str">
        <f aca="false">IF(OR(L141="-",L141= ""),H141,L141)</f>
        <v>Terra Mystica</v>
      </c>
      <c r="F159" s="193"/>
      <c r="G159" s="193"/>
      <c r="H159" s="193"/>
      <c r="I159" s="193"/>
      <c r="J159" s="193"/>
      <c r="K159" s="193"/>
      <c r="L159" s="193"/>
      <c r="M159" s="193"/>
      <c r="N159" s="193"/>
      <c r="O159" s="194"/>
      <c r="P159" s="194"/>
      <c r="Q159" s="194"/>
      <c r="R159" s="194"/>
      <c r="S159" s="194"/>
      <c r="T159" s="192"/>
      <c r="U159" s="195"/>
    </row>
    <row r="160" customFormat="false" ht="50.15" hidden="false" customHeight="true" outlineLevel="0" collapsed="false">
      <c r="B160" s="77"/>
      <c r="C160" s="192"/>
      <c r="D160" s="194"/>
      <c r="E160" s="125" t="s">
        <v>52</v>
      </c>
      <c r="F160" s="126" t="s">
        <v>75</v>
      </c>
      <c r="G160" s="82" t="s">
        <v>76</v>
      </c>
      <c r="H160" s="81" t="s">
        <v>77</v>
      </c>
      <c r="I160" s="59" t="s">
        <v>78</v>
      </c>
      <c r="J160" s="81" t="s">
        <v>79</v>
      </c>
      <c r="K160" s="127" t="s">
        <v>80</v>
      </c>
      <c r="L160" s="81" t="s">
        <v>81</v>
      </c>
      <c r="M160" s="128" t="s">
        <v>82</v>
      </c>
      <c r="N160" s="129" t="s">
        <v>83</v>
      </c>
      <c r="O160" s="130" t="s">
        <v>84</v>
      </c>
      <c r="P160" s="131" t="s">
        <v>85</v>
      </c>
      <c r="Q160" s="131" t="s">
        <v>86</v>
      </c>
      <c r="R160" s="194"/>
      <c r="S160" s="194"/>
      <c r="T160" s="192"/>
      <c r="U160" s="195"/>
    </row>
    <row r="161" customFormat="false" ht="20.15" hidden="false" customHeight="true" outlineLevel="0" collapsed="false">
      <c r="B161" s="77"/>
      <c r="C161" s="192"/>
      <c r="D161" s="208"/>
      <c r="E161" s="86" t="s">
        <v>39</v>
      </c>
      <c r="F161" s="87" t="s">
        <v>40</v>
      </c>
      <c r="G161" s="304" t="n">
        <v>1</v>
      </c>
      <c r="H161" s="222" t="s">
        <v>165</v>
      </c>
      <c r="I161" s="221" t="n">
        <v>30</v>
      </c>
      <c r="J161" s="222" t="n">
        <v>110</v>
      </c>
      <c r="K161" s="222" t="s">
        <v>66</v>
      </c>
      <c r="L161" s="223" t="n">
        <f aca="false">IF(J161="",0,(J161/J164)*100)</f>
        <v>99.0990990990991</v>
      </c>
      <c r="M161" s="221" t="n">
        <v>2</v>
      </c>
      <c r="N161" s="224" t="n">
        <v>3</v>
      </c>
      <c r="O161" s="138" t="n">
        <f aca="false">IF(M161=1,1,0)</f>
        <v>0</v>
      </c>
      <c r="P161" s="138" t="n">
        <f aca="false">IF(M161=2,1,0)</f>
        <v>1</v>
      </c>
      <c r="Q161" s="139" t="n">
        <f aca="false">IF(M161=3,1,0)</f>
        <v>0</v>
      </c>
      <c r="R161" s="206"/>
      <c r="S161" s="206"/>
      <c r="T161" s="192"/>
      <c r="U161" s="207"/>
    </row>
    <row r="162" customFormat="false" ht="20.15" hidden="false" customHeight="true" outlineLevel="0" collapsed="false">
      <c r="B162" s="77"/>
      <c r="C162" s="192"/>
      <c r="D162" s="198"/>
      <c r="E162" s="105" t="s">
        <v>41</v>
      </c>
      <c r="F162" s="227" t="s">
        <v>42</v>
      </c>
      <c r="G162" s="306" t="n">
        <v>3</v>
      </c>
      <c r="H162" s="317" t="s">
        <v>164</v>
      </c>
      <c r="I162" s="228" t="n">
        <v>25</v>
      </c>
      <c r="J162" s="317" t="n">
        <v>93</v>
      </c>
      <c r="K162" s="317" t="s">
        <v>66</v>
      </c>
      <c r="L162" s="229" t="n">
        <f aca="false">IF(J162="",0,(J162/J164)*100)</f>
        <v>83.7837837837838</v>
      </c>
      <c r="M162" s="228" t="n">
        <v>3</v>
      </c>
      <c r="N162" s="230" t="n">
        <v>0</v>
      </c>
      <c r="O162" s="145" t="n">
        <f aca="false">IF(M162=1,1,0)</f>
        <v>0</v>
      </c>
      <c r="P162" s="145" t="n">
        <f aca="false">IF(M162=2,1,0)</f>
        <v>0</v>
      </c>
      <c r="Q162" s="146" t="n">
        <f aca="false">IF(M162=3,1,0)</f>
        <v>1</v>
      </c>
      <c r="R162" s="206"/>
      <c r="S162" s="206"/>
      <c r="T162" s="192"/>
      <c r="U162" s="211"/>
    </row>
    <row r="163" customFormat="false" ht="20.15" hidden="false" customHeight="true" outlineLevel="0" collapsed="false">
      <c r="B163" s="77"/>
      <c r="C163" s="192"/>
      <c r="D163" s="198"/>
      <c r="E163" s="318" t="s">
        <v>33</v>
      </c>
      <c r="F163" s="391" t="s">
        <v>34</v>
      </c>
      <c r="G163" s="320" t="n">
        <v>2</v>
      </c>
      <c r="H163" s="321" t="s">
        <v>166</v>
      </c>
      <c r="I163" s="322" t="n">
        <v>28</v>
      </c>
      <c r="J163" s="321" t="n">
        <v>111</v>
      </c>
      <c r="K163" s="321" t="s">
        <v>66</v>
      </c>
      <c r="L163" s="323" t="n">
        <f aca="false">IF(J163="",0,(J163/J164)*100)</f>
        <v>100</v>
      </c>
      <c r="M163" s="322" t="n">
        <v>1</v>
      </c>
      <c r="N163" s="324" t="n">
        <v>6</v>
      </c>
      <c r="O163" s="157" t="n">
        <f aca="false">IF(M163=1,1,0)</f>
        <v>1</v>
      </c>
      <c r="P163" s="157" t="n">
        <f aca="false">IF(M163=2,1,0)</f>
        <v>0</v>
      </c>
      <c r="Q163" s="158" t="n">
        <f aca="false">IF(M163=3,1,0)</f>
        <v>0</v>
      </c>
      <c r="R163" s="206"/>
      <c r="S163" s="206"/>
      <c r="T163" s="192"/>
      <c r="U163" s="211"/>
    </row>
    <row r="164" customFormat="false" ht="20.15" hidden="true" customHeight="true" outlineLevel="1" collapsed="false">
      <c r="B164" s="77"/>
      <c r="C164" s="192"/>
      <c r="D164" s="198"/>
      <c r="E164" s="198"/>
      <c r="F164" s="206"/>
      <c r="G164" s="206"/>
      <c r="H164" s="192"/>
      <c r="I164" s="213" t="s">
        <v>92</v>
      </c>
      <c r="J164" s="161" t="n">
        <f aca="false">MAX(J161:J163)</f>
        <v>111</v>
      </c>
      <c r="K164" s="214"/>
      <c r="L164" s="206"/>
      <c r="M164" s="192"/>
      <c r="N164" s="164" t="s">
        <v>93</v>
      </c>
      <c r="O164" s="165" t="n">
        <f aca="false">SUM(O161:O163)</f>
        <v>1</v>
      </c>
      <c r="P164" s="166" t="n">
        <f aca="false">SUM(P161:P163)</f>
        <v>1</v>
      </c>
      <c r="Q164" s="165" t="n">
        <f aca="false">SUM(Q161:Q163)</f>
        <v>1</v>
      </c>
      <c r="R164" s="215"/>
      <c r="S164" s="215"/>
      <c r="T164" s="192"/>
      <c r="U164" s="211"/>
    </row>
    <row r="165" customFormat="false" ht="20.15" hidden="false" customHeight="true" outlineLevel="0" collapsed="false">
      <c r="B165" s="77"/>
      <c r="C165" s="192"/>
      <c r="D165" s="216"/>
      <c r="E165" s="216"/>
      <c r="F165" s="192"/>
      <c r="G165" s="192"/>
      <c r="H165" s="192"/>
      <c r="I165" s="192"/>
      <c r="J165" s="192"/>
      <c r="K165" s="192"/>
      <c r="L165" s="192"/>
      <c r="M165" s="192"/>
      <c r="N165" s="192"/>
      <c r="O165" s="192"/>
      <c r="P165" s="192"/>
      <c r="Q165" s="192"/>
      <c r="R165" s="192"/>
      <c r="S165" s="192"/>
      <c r="T165" s="192"/>
      <c r="U165" s="211"/>
    </row>
    <row r="166" customFormat="false" ht="20.15" hidden="false" customHeight="true" outlineLevel="0" collapsed="false">
      <c r="B166" s="77"/>
      <c r="D166" s="5"/>
      <c r="E166" s="5"/>
      <c r="F166" s="5"/>
      <c r="G166" s="5"/>
      <c r="H166" s="5"/>
      <c r="I166" s="5"/>
      <c r="J166" s="5"/>
      <c r="K166" s="14"/>
      <c r="L166" s="14"/>
      <c r="M166" s="14"/>
      <c r="N166" s="14"/>
      <c r="O166" s="14"/>
      <c r="P166" s="14"/>
      <c r="Q166" s="14"/>
      <c r="R166" s="14"/>
      <c r="S166" s="14"/>
      <c r="U166" s="77"/>
    </row>
    <row r="167" customFormat="false" ht="30" hidden="false" customHeight="true" outlineLevel="0" collapsed="false">
      <c r="B167" s="77"/>
      <c r="C167" s="240"/>
      <c r="D167" s="241" t="s">
        <v>149</v>
      </c>
      <c r="E167" s="241"/>
      <c r="F167" s="241"/>
      <c r="G167" s="241"/>
      <c r="H167" s="241"/>
      <c r="I167" s="241"/>
      <c r="J167" s="241"/>
      <c r="K167" s="241"/>
      <c r="L167" s="241"/>
      <c r="M167" s="241"/>
      <c r="N167" s="241"/>
      <c r="O167" s="398"/>
      <c r="P167" s="398"/>
      <c r="Q167" s="398"/>
      <c r="R167" s="398"/>
      <c r="S167" s="398"/>
      <c r="T167" s="240"/>
      <c r="U167" s="77"/>
    </row>
    <row r="168" customFormat="false" ht="50.15" hidden="false" customHeight="true" outlineLevel="0" collapsed="false">
      <c r="B168" s="77"/>
      <c r="C168" s="240"/>
      <c r="D168" s="242" t="s">
        <v>52</v>
      </c>
      <c r="E168" s="243" t="s">
        <v>53</v>
      </c>
      <c r="F168" s="244" t="s">
        <v>83</v>
      </c>
      <c r="G168" s="245" t="s">
        <v>102</v>
      </c>
      <c r="H168" s="246" t="s">
        <v>103</v>
      </c>
      <c r="I168" s="246"/>
      <c r="J168" s="247" t="s">
        <v>104</v>
      </c>
      <c r="K168" s="248" t="s">
        <v>105</v>
      </c>
      <c r="L168" s="244" t="s">
        <v>106</v>
      </c>
      <c r="M168" s="248" t="s">
        <v>107</v>
      </c>
      <c r="N168" s="243" t="s">
        <v>109</v>
      </c>
      <c r="O168" s="399"/>
      <c r="P168" s="400"/>
      <c r="Q168" s="400"/>
      <c r="R168" s="401"/>
      <c r="S168" s="401"/>
      <c r="T168" s="240"/>
      <c r="U168" s="77"/>
    </row>
    <row r="169" customFormat="false" ht="20.15" hidden="false" customHeight="true" outlineLevel="0" collapsed="false">
      <c r="B169" s="77"/>
      <c r="C169" s="240"/>
      <c r="D169" s="251" t="s">
        <v>39</v>
      </c>
      <c r="E169" s="17" t="s">
        <v>40</v>
      </c>
      <c r="F169" s="327" t="n">
        <f aca="false">K169*6+L169*3+M169*0</f>
        <v>15</v>
      </c>
      <c r="G169" s="328" t="n">
        <v>0</v>
      </c>
      <c r="H169" s="328" t="s">
        <v>66</v>
      </c>
      <c r="I169" s="328"/>
      <c r="J169" s="327" t="n">
        <f aca="false">F169+G169</f>
        <v>15</v>
      </c>
      <c r="K169" s="327" t="n">
        <v>2</v>
      </c>
      <c r="L169" s="327" t="n">
        <v>1</v>
      </c>
      <c r="M169" s="327" t="n">
        <v>0</v>
      </c>
      <c r="N169" s="329" t="n">
        <f aca="false">(L145+L153+L161)/3</f>
        <v>99.6996996996997</v>
      </c>
      <c r="O169" s="402"/>
      <c r="P169" s="403"/>
      <c r="Q169" s="403"/>
      <c r="R169" s="401"/>
      <c r="S169" s="401"/>
      <c r="T169" s="240"/>
      <c r="U169" s="77"/>
    </row>
    <row r="170" customFormat="false" ht="20.15" hidden="false" customHeight="true" outlineLevel="0" collapsed="false">
      <c r="B170" s="77"/>
      <c r="C170" s="240"/>
      <c r="D170" s="257" t="s">
        <v>33</v>
      </c>
      <c r="E170" s="361" t="s">
        <v>34</v>
      </c>
      <c r="F170" s="330" t="n">
        <f aca="false">K170*6+L170*3+M170*0</f>
        <v>6</v>
      </c>
      <c r="G170" s="331" t="n">
        <v>0</v>
      </c>
      <c r="H170" s="331" t="s">
        <v>66</v>
      </c>
      <c r="I170" s="331"/>
      <c r="J170" s="330" t="n">
        <f aca="false">F170+G170</f>
        <v>6</v>
      </c>
      <c r="K170" s="330" t="n">
        <v>1</v>
      </c>
      <c r="L170" s="330" t="n">
        <v>0</v>
      </c>
      <c r="M170" s="330" t="n">
        <v>2</v>
      </c>
      <c r="N170" s="333" t="n">
        <f aca="false">(L147+L155+L163)/3</f>
        <v>65.5555555555556</v>
      </c>
      <c r="O170" s="402"/>
      <c r="P170" s="403"/>
      <c r="Q170" s="403"/>
      <c r="R170" s="401"/>
      <c r="S170" s="401"/>
      <c r="T170" s="240"/>
      <c r="U170" s="77"/>
    </row>
    <row r="171" customFormat="false" ht="20.15" hidden="false" customHeight="true" outlineLevel="0" collapsed="false">
      <c r="B171" s="77"/>
      <c r="C171" s="240"/>
      <c r="D171" s="337" t="s">
        <v>41</v>
      </c>
      <c r="E171" s="362" t="s">
        <v>42</v>
      </c>
      <c r="F171" s="338" t="n">
        <f aca="false">K171*6+L171*3+M171*0</f>
        <v>6</v>
      </c>
      <c r="G171" s="339" t="n">
        <v>0</v>
      </c>
      <c r="H171" s="339" t="s">
        <v>66</v>
      </c>
      <c r="I171" s="339"/>
      <c r="J171" s="338" t="n">
        <f aca="false">F171+G171</f>
        <v>6</v>
      </c>
      <c r="K171" s="338" t="n">
        <v>0</v>
      </c>
      <c r="L171" s="338" t="n">
        <v>2</v>
      </c>
      <c r="M171" s="338" t="n">
        <v>1</v>
      </c>
      <c r="N171" s="341" t="n">
        <f aca="false">(L146+L154+L162)/3</f>
        <v>84.5945945945946</v>
      </c>
      <c r="O171" s="402"/>
      <c r="P171" s="403"/>
      <c r="Q171" s="403"/>
      <c r="R171" s="401"/>
      <c r="S171" s="401"/>
      <c r="T171" s="240"/>
      <c r="U171" s="77"/>
    </row>
    <row r="172" customFormat="false" ht="20.15" hidden="false" customHeight="true" outlineLevel="0" collapsed="false">
      <c r="B172" s="77"/>
      <c r="C172" s="240"/>
      <c r="D172" s="240"/>
      <c r="E172" s="240"/>
      <c r="F172" s="240"/>
      <c r="G172" s="240"/>
      <c r="H172" s="240"/>
      <c r="I172" s="240"/>
      <c r="J172" s="240"/>
      <c r="K172" s="240"/>
      <c r="L172" s="240"/>
      <c r="M172" s="240"/>
      <c r="N172" s="240"/>
      <c r="O172" s="240"/>
      <c r="P172" s="240"/>
      <c r="Q172" s="240"/>
      <c r="R172" s="240"/>
      <c r="S172" s="240"/>
      <c r="T172" s="240"/>
      <c r="U172" s="77"/>
    </row>
    <row r="173" customFormat="false" ht="20.15" hidden="false" customHeight="true" outlineLevel="0" collapsed="false">
      <c r="B173" s="77"/>
      <c r="C173" s="77"/>
      <c r="D173" s="270"/>
      <c r="E173" s="270"/>
      <c r="F173" s="195"/>
      <c r="G173" s="195"/>
      <c r="H173" s="270"/>
      <c r="I173" s="270"/>
      <c r="J173" s="270"/>
      <c r="K173" s="207"/>
      <c r="L173" s="207"/>
      <c r="M173" s="207"/>
      <c r="N173" s="207"/>
      <c r="O173" s="207"/>
      <c r="P173" s="207"/>
      <c r="Q173" s="207"/>
      <c r="R173" s="207"/>
      <c r="S173" s="207"/>
      <c r="T173" s="77"/>
      <c r="U173" s="77"/>
    </row>
  </sheetData>
  <mergeCells count="110">
    <mergeCell ref="A1:N2"/>
    <mergeCell ref="B4:J4"/>
    <mergeCell ref="L4:N4"/>
    <mergeCell ref="B5:C5"/>
    <mergeCell ref="B6:C6"/>
    <mergeCell ref="M6:M9"/>
    <mergeCell ref="B7:C7"/>
    <mergeCell ref="B8:C8"/>
    <mergeCell ref="B9:C9"/>
    <mergeCell ref="B10:C10"/>
    <mergeCell ref="M10:M13"/>
    <mergeCell ref="B11:C11"/>
    <mergeCell ref="B12:C12"/>
    <mergeCell ref="B13:C13"/>
    <mergeCell ref="B14:C14"/>
    <mergeCell ref="M14:M16"/>
    <mergeCell ref="B15:C15"/>
    <mergeCell ref="B16:C16"/>
    <mergeCell ref="B17:C17"/>
    <mergeCell ref="L17:M17"/>
    <mergeCell ref="B18:I18"/>
    <mergeCell ref="B19:C19"/>
    <mergeCell ref="B20:C20"/>
    <mergeCell ref="C23:T23"/>
    <mergeCell ref="D25:D26"/>
    <mergeCell ref="E25:E26"/>
    <mergeCell ref="F25:F26"/>
    <mergeCell ref="G25:J25"/>
    <mergeCell ref="L25:S25"/>
    <mergeCell ref="I26:J26"/>
    <mergeCell ref="N26:S26"/>
    <mergeCell ref="I27:J27"/>
    <mergeCell ref="N27:S27"/>
    <mergeCell ref="I28:J28"/>
    <mergeCell ref="N28:S28"/>
    <mergeCell ref="I29:J29"/>
    <mergeCell ref="N29:S29"/>
    <mergeCell ref="I30:J30"/>
    <mergeCell ref="N30:S30"/>
    <mergeCell ref="E32:N32"/>
    <mergeCell ref="F38:G38"/>
    <mergeCell ref="F39:G39"/>
    <mergeCell ref="E41:N41"/>
    <mergeCell ref="F47:G47"/>
    <mergeCell ref="E50:N50"/>
    <mergeCell ref="F56:G56"/>
    <mergeCell ref="E59:N59"/>
    <mergeCell ref="F65:G65"/>
    <mergeCell ref="D68:S68"/>
    <mergeCell ref="H69:I69"/>
    <mergeCell ref="H70:I70"/>
    <mergeCell ref="H71:I71"/>
    <mergeCell ref="H72:I72"/>
    <mergeCell ref="H73:I73"/>
    <mergeCell ref="C79:T79"/>
    <mergeCell ref="D81:D82"/>
    <mergeCell ref="E81:E82"/>
    <mergeCell ref="F81:F82"/>
    <mergeCell ref="G81:J81"/>
    <mergeCell ref="L81:S81"/>
    <mergeCell ref="I82:J82"/>
    <mergeCell ref="N82:S82"/>
    <mergeCell ref="I83:J83"/>
    <mergeCell ref="N83:S83"/>
    <mergeCell ref="I84:J84"/>
    <mergeCell ref="N84:S84"/>
    <mergeCell ref="I85:J85"/>
    <mergeCell ref="N85:S85"/>
    <mergeCell ref="I86:J86"/>
    <mergeCell ref="N86:S86"/>
    <mergeCell ref="E88:N88"/>
    <mergeCell ref="F94:G94"/>
    <mergeCell ref="E97:N97"/>
    <mergeCell ref="F103:G103"/>
    <mergeCell ref="E106:N106"/>
    <mergeCell ref="F112:G112"/>
    <mergeCell ref="E115:N115"/>
    <mergeCell ref="F121:G121"/>
    <mergeCell ref="D124:S124"/>
    <mergeCell ref="H125:I125"/>
    <mergeCell ref="H126:I126"/>
    <mergeCell ref="H127:I127"/>
    <mergeCell ref="Y127:Z127"/>
    <mergeCell ref="H128:I128"/>
    <mergeCell ref="H129:I129"/>
    <mergeCell ref="C135:T135"/>
    <mergeCell ref="D137:D138"/>
    <mergeCell ref="E137:E138"/>
    <mergeCell ref="F137:F138"/>
    <mergeCell ref="G137:J137"/>
    <mergeCell ref="L137:S137"/>
    <mergeCell ref="I138:J138"/>
    <mergeCell ref="N138:S138"/>
    <mergeCell ref="I139:J139"/>
    <mergeCell ref="N139:S139"/>
    <mergeCell ref="I140:J140"/>
    <mergeCell ref="N140:S140"/>
    <mergeCell ref="I141:J141"/>
    <mergeCell ref="N141:S141"/>
    <mergeCell ref="E143:N143"/>
    <mergeCell ref="F148:G148"/>
    <mergeCell ref="E151:N151"/>
    <mergeCell ref="F156:G156"/>
    <mergeCell ref="E159:N159"/>
    <mergeCell ref="F164:G164"/>
    <mergeCell ref="D167:N167"/>
    <mergeCell ref="H168:I168"/>
    <mergeCell ref="H169:I169"/>
    <mergeCell ref="H170:I170"/>
    <mergeCell ref="H171:I171"/>
  </mergeCells>
  <dataValidations count="1">
    <dataValidation allowBlank="true" operator="between" showDropDown="false" showErrorMessage="true" showInputMessage="true" sqref="J6:J16"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24"/>
  <sheetViews>
    <sheetView showFormulas="false" showGridLines="false" showRowColHeaders="true" showZeros="true" rightToLeft="false" tabSelected="false" showOutlineSymbols="true" defaultGridColor="true" view="normal" topLeftCell="A107" colorId="64" zoomScale="100" zoomScaleNormal="100" zoomScalePageLayoutView="100" workbookViewId="0">
      <selection pane="topLeft" activeCell="K17" activeCellId="0" sqref="K17"/>
    </sheetView>
  </sheetViews>
  <sheetFormatPr defaultColWidth="11.47265625" defaultRowHeight="14.5" zeroHeight="false" outlineLevelRow="1" outlineLevelCol="1"/>
  <cols>
    <col collapsed="false" customWidth="true" hidden="false" outlineLevel="0" max="3" min="1" style="1" width="3.72"/>
    <col collapsed="false" customWidth="true" hidden="false" outlineLevel="0" max="14" min="4" style="1" width="20.72"/>
    <col collapsed="false" customWidth="true" hidden="true" outlineLevel="1" max="18" min="15" style="1" width="20.72"/>
    <col collapsed="false" customWidth="true" hidden="false" outlineLevel="0" max="19" min="19" style="1" width="20.72"/>
    <col collapsed="false" customWidth="true" hidden="false" outlineLevel="0" max="21" min="20" style="1" width="3.72"/>
    <col collapsed="false" customWidth="true" hidden="false" outlineLevel="0" max="22" min="22" style="1" width="15.81"/>
    <col collapsed="false" customWidth="true" hidden="false" outlineLevel="0" max="24" min="23" style="1" width="20.72"/>
    <col collapsed="false" customWidth="false" hidden="false" outlineLevel="0" max="1024" min="25" style="1" width="11.45"/>
  </cols>
  <sheetData>
    <row r="1" customFormat="false" ht="14.5" hidden="false" customHeight="false" outlineLevel="0" collapsed="false">
      <c r="A1" s="2" t="s">
        <v>297</v>
      </c>
      <c r="B1" s="2"/>
      <c r="C1" s="2"/>
      <c r="D1" s="2"/>
      <c r="E1" s="2"/>
      <c r="F1" s="2"/>
      <c r="G1" s="2"/>
      <c r="H1" s="2"/>
      <c r="I1" s="2"/>
      <c r="J1" s="2"/>
      <c r="K1" s="2"/>
      <c r="L1" s="2"/>
      <c r="M1" s="2"/>
      <c r="N1" s="2"/>
    </row>
    <row r="2" customFormat="false" ht="14.5" hidden="false" customHeight="false" outlineLevel="0" collapsed="false">
      <c r="A2" s="2"/>
      <c r="B2" s="2"/>
      <c r="C2" s="2"/>
      <c r="D2" s="2"/>
      <c r="E2" s="2"/>
      <c r="F2" s="2"/>
      <c r="G2" s="2"/>
      <c r="H2" s="2"/>
      <c r="I2" s="2"/>
      <c r="J2" s="2"/>
      <c r="K2" s="2"/>
      <c r="L2" s="2"/>
      <c r="M2" s="2"/>
      <c r="N2" s="2"/>
    </row>
    <row r="3" customFormat="false" ht="20.15" hidden="false" customHeight="true" outlineLevel="0" collapsed="false"/>
    <row r="4" customFormat="false" ht="15" hidden="false" customHeight="false" outlineLevel="0" collapsed="false">
      <c r="B4" s="3" t="s">
        <v>298</v>
      </c>
      <c r="C4" s="3"/>
      <c r="D4" s="3"/>
      <c r="E4" s="3"/>
      <c r="F4" s="3"/>
      <c r="G4" s="3"/>
      <c r="H4" s="3"/>
      <c r="I4" s="3"/>
      <c r="J4" s="3"/>
      <c r="L4" s="3" t="s">
        <v>2</v>
      </c>
      <c r="M4" s="3"/>
      <c r="N4" s="3"/>
      <c r="Q4" s="4"/>
      <c r="R4" s="4"/>
      <c r="S4" s="4"/>
      <c r="T4" s="5"/>
      <c r="U4" s="4"/>
      <c r="V4" s="4"/>
      <c r="W4" s="4"/>
      <c r="X4" s="4"/>
    </row>
    <row r="5" customFormat="false" ht="50.15" hidden="false" customHeight="true" outlineLevel="0" collapsed="false">
      <c r="B5" s="6" t="s">
        <v>299</v>
      </c>
      <c r="C5" s="6"/>
      <c r="D5" s="7" t="s">
        <v>4</v>
      </c>
      <c r="E5" s="8" t="s">
        <v>5</v>
      </c>
      <c r="F5" s="9" t="s">
        <v>6</v>
      </c>
      <c r="G5" s="10" t="s">
        <v>7</v>
      </c>
      <c r="H5" s="10" t="s">
        <v>8</v>
      </c>
      <c r="I5" s="10" t="s">
        <v>9</v>
      </c>
      <c r="J5" s="9" t="s">
        <v>300</v>
      </c>
      <c r="L5" s="11" t="s">
        <v>4</v>
      </c>
      <c r="M5" s="448" t="s">
        <v>11</v>
      </c>
      <c r="N5" s="13" t="s">
        <v>12</v>
      </c>
      <c r="P5" s="14"/>
      <c r="Q5" s="5"/>
      <c r="S5" s="4"/>
      <c r="T5" s="4"/>
      <c r="U5" s="4"/>
      <c r="V5" s="5"/>
      <c r="W5" s="5"/>
    </row>
    <row r="6" customFormat="false" ht="20.15" hidden="false" customHeight="true" outlineLevel="0" collapsed="false">
      <c r="B6" s="15" t="n">
        <v>1</v>
      </c>
      <c r="C6" s="15"/>
      <c r="D6" s="16" t="s">
        <v>13</v>
      </c>
      <c r="E6" s="17" t="s">
        <v>14</v>
      </c>
      <c r="F6" s="17" t="s">
        <v>14</v>
      </c>
      <c r="G6" s="17" t="s">
        <v>14</v>
      </c>
      <c r="H6" s="18" t="s">
        <v>14</v>
      </c>
      <c r="I6" s="18" t="s">
        <v>14</v>
      </c>
      <c r="J6" s="19" t="s">
        <v>15</v>
      </c>
      <c r="L6" s="20" t="str">
        <f aca="false">D6</f>
        <v>Devid Fulterer</v>
      </c>
      <c r="M6" s="37" t="n">
        <v>1</v>
      </c>
      <c r="N6" s="22" t="n">
        <v>1</v>
      </c>
      <c r="P6" s="14"/>
      <c r="Q6" s="23"/>
      <c r="S6" s="14"/>
      <c r="T6" s="14"/>
      <c r="U6" s="14"/>
      <c r="V6" s="24"/>
      <c r="W6" s="24"/>
    </row>
    <row r="7" customFormat="false" ht="20.15" hidden="false" customHeight="true" outlineLevel="0" collapsed="false">
      <c r="B7" s="25" t="n">
        <v>2</v>
      </c>
      <c r="C7" s="25"/>
      <c r="D7" s="26" t="s">
        <v>16</v>
      </c>
      <c r="E7" s="27" t="s">
        <v>17</v>
      </c>
      <c r="F7" s="28" t="s">
        <v>17</v>
      </c>
      <c r="G7" s="26" t="s">
        <v>17</v>
      </c>
      <c r="H7" s="29" t="s">
        <v>17</v>
      </c>
      <c r="I7" s="29" t="s">
        <v>18</v>
      </c>
      <c r="J7" s="30" t="s">
        <v>15</v>
      </c>
      <c r="L7" s="31" t="str">
        <f aca="false">D7</f>
        <v>Andreas Micke</v>
      </c>
      <c r="M7" s="37"/>
      <c r="N7" s="32" t="n">
        <v>2</v>
      </c>
      <c r="P7" s="14"/>
      <c r="Q7" s="23"/>
      <c r="S7" s="14"/>
      <c r="T7" s="14"/>
      <c r="U7" s="14"/>
      <c r="V7" s="24"/>
      <c r="W7" s="24"/>
    </row>
    <row r="8" customFormat="false" ht="20.15" hidden="false" customHeight="true" outlineLevel="0" collapsed="false">
      <c r="B8" s="25" t="n">
        <v>3</v>
      </c>
      <c r="C8" s="25"/>
      <c r="D8" s="26" t="s">
        <v>25</v>
      </c>
      <c r="E8" s="27" t="s">
        <v>26</v>
      </c>
      <c r="F8" s="28" t="s">
        <v>26</v>
      </c>
      <c r="G8" s="26" t="s">
        <v>26</v>
      </c>
      <c r="H8" s="29" t="s">
        <v>26</v>
      </c>
      <c r="I8" s="36" t="s">
        <v>18</v>
      </c>
      <c r="J8" s="30" t="s">
        <v>15</v>
      </c>
      <c r="L8" s="31" t="str">
        <f aca="false">D8</f>
        <v>Pauline Schätzle</v>
      </c>
      <c r="M8" s="37"/>
      <c r="N8" s="32" t="n">
        <v>3</v>
      </c>
      <c r="P8" s="14"/>
      <c r="Q8" s="23"/>
      <c r="S8" s="14"/>
      <c r="T8" s="14"/>
      <c r="U8" s="14"/>
      <c r="V8" s="24"/>
      <c r="W8" s="24"/>
    </row>
    <row r="9" customFormat="false" ht="20.15" hidden="false" customHeight="true" outlineLevel="0" collapsed="false">
      <c r="B9" s="25" t="n">
        <v>4</v>
      </c>
      <c r="C9" s="25"/>
      <c r="D9" s="33" t="s">
        <v>27</v>
      </c>
      <c r="E9" s="36" t="s">
        <v>28</v>
      </c>
      <c r="F9" s="29" t="s">
        <v>29</v>
      </c>
      <c r="G9" s="29" t="s">
        <v>28</v>
      </c>
      <c r="H9" s="29" t="s">
        <v>28</v>
      </c>
      <c r="I9" s="36" t="s">
        <v>18</v>
      </c>
      <c r="J9" s="30" t="s">
        <v>15</v>
      </c>
      <c r="L9" s="34" t="str">
        <f aca="false">D9</f>
        <v>Judith Maibaum</v>
      </c>
      <c r="M9" s="37"/>
      <c r="N9" s="35" t="n">
        <v>4</v>
      </c>
      <c r="P9" s="14"/>
      <c r="Q9" s="23"/>
      <c r="S9" s="14"/>
      <c r="T9" s="14"/>
      <c r="U9" s="14"/>
      <c r="V9" s="24"/>
      <c r="W9" s="24"/>
    </row>
    <row r="10" customFormat="false" ht="20.15" hidden="false" customHeight="true" outlineLevel="0" collapsed="false">
      <c r="B10" s="39" t="n">
        <v>5</v>
      </c>
      <c r="C10" s="39"/>
      <c r="D10" s="43" t="s">
        <v>21</v>
      </c>
      <c r="E10" s="41" t="s">
        <v>22</v>
      </c>
      <c r="F10" s="42" t="s">
        <v>22</v>
      </c>
      <c r="G10" s="43" t="s">
        <v>18</v>
      </c>
      <c r="H10" s="44" t="s">
        <v>22</v>
      </c>
      <c r="I10" s="44" t="s">
        <v>18</v>
      </c>
      <c r="J10" s="45" t="s">
        <v>38</v>
      </c>
      <c r="L10" s="20" t="str">
        <f aca="false">D10</f>
        <v>Daniel Zimmerman</v>
      </c>
      <c r="M10" s="21" t="n">
        <v>2</v>
      </c>
      <c r="N10" s="22" t="n">
        <v>1</v>
      </c>
      <c r="P10" s="14"/>
      <c r="Q10" s="23"/>
      <c r="S10" s="14"/>
      <c r="T10" s="14"/>
      <c r="U10" s="14"/>
      <c r="V10" s="24"/>
      <c r="W10" s="24"/>
    </row>
    <row r="11" customFormat="false" ht="20.15" hidden="false" customHeight="true" outlineLevel="0" collapsed="false">
      <c r="B11" s="25" t="n">
        <v>6</v>
      </c>
      <c r="C11" s="25"/>
      <c r="D11" s="33" t="s">
        <v>39</v>
      </c>
      <c r="E11" s="36" t="s">
        <v>40</v>
      </c>
      <c r="F11" s="29" t="s">
        <v>40</v>
      </c>
      <c r="G11" s="29" t="s">
        <v>40</v>
      </c>
      <c r="H11" s="29" t="s">
        <v>18</v>
      </c>
      <c r="I11" s="29" t="s">
        <v>18</v>
      </c>
      <c r="J11" s="30" t="s">
        <v>15</v>
      </c>
      <c r="L11" s="31" t="str">
        <f aca="false">D11</f>
        <v>Markus Hagenauer</v>
      </c>
      <c r="M11" s="21"/>
      <c r="N11" s="32" t="n">
        <v>2</v>
      </c>
      <c r="P11" s="14"/>
      <c r="Q11" s="23"/>
      <c r="S11" s="14"/>
      <c r="T11" s="14"/>
      <c r="U11" s="14"/>
      <c r="V11" s="24"/>
      <c r="W11" s="24"/>
    </row>
    <row r="12" customFormat="false" ht="20.15" hidden="false" customHeight="true" outlineLevel="0" collapsed="false">
      <c r="B12" s="25" t="n">
        <v>7</v>
      </c>
      <c r="C12" s="25"/>
      <c r="D12" s="33" t="s">
        <v>33</v>
      </c>
      <c r="E12" s="38" t="s">
        <v>34</v>
      </c>
      <c r="F12" s="29" t="s">
        <v>34</v>
      </c>
      <c r="G12" s="29" t="s">
        <v>34</v>
      </c>
      <c r="H12" s="29" t="s">
        <v>18</v>
      </c>
      <c r="I12" s="29" t="s">
        <v>18</v>
      </c>
      <c r="J12" s="30" t="s">
        <v>15</v>
      </c>
      <c r="L12" s="449" t="str">
        <f aca="false">D12</f>
        <v>Kai Maibaum</v>
      </c>
      <c r="M12" s="21"/>
      <c r="N12" s="55" t="n">
        <v>3</v>
      </c>
      <c r="P12" s="14"/>
      <c r="Q12" s="23"/>
      <c r="S12" s="14"/>
      <c r="T12" s="14"/>
      <c r="U12" s="14"/>
      <c r="V12" s="24"/>
      <c r="W12" s="24"/>
    </row>
    <row r="13" customFormat="false" ht="20.15" hidden="false" customHeight="true" outlineLevel="0" collapsed="false">
      <c r="B13" s="25" t="n">
        <v>8</v>
      </c>
      <c r="C13" s="25"/>
      <c r="D13" s="33" t="s">
        <v>49</v>
      </c>
      <c r="E13" s="27" t="s">
        <v>50</v>
      </c>
      <c r="F13" s="28" t="s">
        <v>50</v>
      </c>
      <c r="G13" s="26" t="s">
        <v>18</v>
      </c>
      <c r="H13" s="29" t="s">
        <v>18</v>
      </c>
      <c r="I13" s="29" t="s">
        <v>18</v>
      </c>
      <c r="J13" s="30" t="s">
        <v>15</v>
      </c>
      <c r="L13" s="450" t="str">
        <f aca="false">D13</f>
        <v>Jonas Röhrig</v>
      </c>
      <c r="M13" s="451" t="n">
        <v>3</v>
      </c>
      <c r="N13" s="452" t="n">
        <v>1</v>
      </c>
      <c r="P13" s="14"/>
      <c r="Q13" s="23"/>
      <c r="S13" s="14"/>
      <c r="T13" s="14"/>
      <c r="U13" s="14"/>
      <c r="V13" s="24"/>
      <c r="W13" s="24"/>
    </row>
    <row r="14" customFormat="false" ht="20.15" hidden="false" customHeight="true" outlineLevel="0" collapsed="false">
      <c r="B14" s="453" t="n">
        <v>9</v>
      </c>
      <c r="C14" s="453"/>
      <c r="D14" s="454" t="s">
        <v>262</v>
      </c>
      <c r="E14" s="432" t="s">
        <v>263</v>
      </c>
      <c r="F14" s="432" t="s">
        <v>264</v>
      </c>
      <c r="G14" s="432" t="s">
        <v>18</v>
      </c>
      <c r="H14" s="432" t="s">
        <v>18</v>
      </c>
      <c r="I14" s="432" t="s">
        <v>18</v>
      </c>
      <c r="J14" s="455" t="s">
        <v>38</v>
      </c>
      <c r="L14" s="449" t="str">
        <f aca="false">D14</f>
        <v>Kenneth Samaan</v>
      </c>
      <c r="M14" s="451"/>
      <c r="N14" s="55" t="n">
        <v>2</v>
      </c>
      <c r="P14" s="14"/>
      <c r="Q14" s="23"/>
      <c r="S14" s="14"/>
      <c r="T14" s="14"/>
      <c r="U14" s="14"/>
      <c r="V14" s="24"/>
      <c r="W14" s="24"/>
    </row>
    <row r="15" customFormat="false" ht="20.15" hidden="false" customHeight="true" outlineLevel="0" collapsed="false">
      <c r="B15" s="23"/>
      <c r="C15" s="23"/>
      <c r="L15" s="56" t="s">
        <v>301</v>
      </c>
      <c r="M15" s="56"/>
      <c r="N15" s="57" t="n">
        <v>9</v>
      </c>
      <c r="P15" s="4"/>
      <c r="Q15" s="4"/>
      <c r="S15" s="4"/>
      <c r="T15" s="4"/>
      <c r="U15" s="4"/>
      <c r="V15" s="4"/>
    </row>
    <row r="16" customFormat="false" ht="15" hidden="false" customHeight="false" outlineLevel="0" collapsed="false">
      <c r="B16" s="3" t="s">
        <v>261</v>
      </c>
      <c r="C16" s="3"/>
      <c r="D16" s="3"/>
      <c r="E16" s="3"/>
      <c r="F16" s="3"/>
      <c r="G16" s="3"/>
      <c r="H16" s="3"/>
      <c r="I16" s="3"/>
      <c r="M16" s="58"/>
      <c r="N16" s="58"/>
      <c r="O16" s="58"/>
      <c r="P16" s="5"/>
      <c r="Q16" s="4"/>
      <c r="R16" s="4"/>
      <c r="T16" s="4"/>
      <c r="U16" s="4"/>
      <c r="V16" s="4"/>
      <c r="W16" s="4"/>
    </row>
    <row r="17" customFormat="false" ht="29.5" hidden="false" customHeight="true" outlineLevel="0" collapsed="false">
      <c r="B17" s="59" t="s">
        <v>45</v>
      </c>
      <c r="C17" s="59"/>
      <c r="D17" s="60" t="s">
        <v>4</v>
      </c>
      <c r="E17" s="61" t="s">
        <v>5</v>
      </c>
      <c r="F17" s="62" t="s">
        <v>6</v>
      </c>
      <c r="G17" s="63" t="s">
        <v>7</v>
      </c>
      <c r="H17" s="64" t="s">
        <v>8</v>
      </c>
      <c r="I17" s="62" t="s">
        <v>9</v>
      </c>
      <c r="M17" s="58"/>
      <c r="N17" s="58"/>
      <c r="O17" s="58"/>
      <c r="P17" s="5"/>
      <c r="Q17" s="4"/>
      <c r="R17" s="4"/>
      <c r="T17" s="4"/>
      <c r="U17" s="4"/>
      <c r="V17" s="4"/>
      <c r="W17" s="4"/>
    </row>
    <row r="18" customFormat="false" ht="20.15" hidden="false" customHeight="true" outlineLevel="0" collapsed="false">
      <c r="B18" s="456" t="n">
        <v>1</v>
      </c>
      <c r="C18" s="456"/>
      <c r="D18" s="457" t="s">
        <v>23</v>
      </c>
      <c r="E18" s="458" t="s">
        <v>24</v>
      </c>
      <c r="F18" s="459" t="s">
        <v>24</v>
      </c>
      <c r="G18" s="459" t="s">
        <v>18</v>
      </c>
      <c r="H18" s="459" t="s">
        <v>24</v>
      </c>
      <c r="I18" s="460" t="s">
        <v>18</v>
      </c>
      <c r="M18" s="58"/>
      <c r="N18" s="58"/>
      <c r="O18" s="58"/>
      <c r="P18" s="5"/>
      <c r="Q18" s="4"/>
      <c r="R18" s="4"/>
      <c r="T18" s="4"/>
      <c r="U18" s="4"/>
      <c r="V18" s="4"/>
      <c r="W18" s="4"/>
    </row>
    <row r="19" customFormat="false" ht="20.15" hidden="false" customHeight="true" outlineLevel="0" collapsed="false">
      <c r="D19" s="76"/>
      <c r="E19" s="76"/>
      <c r="F19" s="76"/>
      <c r="M19" s="58"/>
      <c r="N19" s="58"/>
      <c r="O19" s="58"/>
      <c r="P19" s="5"/>
      <c r="Q19" s="4"/>
      <c r="R19" s="4"/>
      <c r="T19" s="4"/>
      <c r="U19" s="4"/>
      <c r="V19" s="4"/>
      <c r="W19" s="4"/>
    </row>
    <row r="20" customFormat="false" ht="20.15" hidden="false" customHeight="true" outlineLevel="0" collapsed="false">
      <c r="B20" s="77"/>
      <c r="C20" s="77"/>
      <c r="D20" s="78"/>
      <c r="E20" s="78"/>
      <c r="F20" s="78"/>
      <c r="G20" s="78"/>
      <c r="H20" s="77"/>
      <c r="I20" s="77"/>
      <c r="J20" s="77"/>
      <c r="K20" s="77"/>
      <c r="L20" s="77"/>
      <c r="M20" s="77"/>
      <c r="N20" s="77"/>
      <c r="O20" s="77"/>
      <c r="P20" s="77"/>
      <c r="Q20" s="77"/>
      <c r="R20" s="77"/>
      <c r="S20" s="77"/>
      <c r="T20" s="77"/>
      <c r="U20" s="77"/>
    </row>
    <row r="21" customFormat="false" ht="30" hidden="false" customHeight="true" outlineLevel="0" collapsed="false">
      <c r="B21" s="77"/>
      <c r="C21" s="79" t="s">
        <v>51</v>
      </c>
      <c r="D21" s="79"/>
      <c r="E21" s="79"/>
      <c r="F21" s="79"/>
      <c r="G21" s="79"/>
      <c r="H21" s="79"/>
      <c r="I21" s="79"/>
      <c r="J21" s="79"/>
      <c r="K21" s="79"/>
      <c r="L21" s="79"/>
      <c r="M21" s="79"/>
      <c r="N21" s="79"/>
      <c r="O21" s="79"/>
      <c r="P21" s="79"/>
      <c r="Q21" s="79"/>
      <c r="R21" s="79"/>
      <c r="S21" s="79"/>
      <c r="T21" s="79"/>
      <c r="U21" s="77"/>
    </row>
    <row r="22" customFormat="false" ht="20.15" hidden="false" customHeight="true" outlineLevel="0" collapsed="false">
      <c r="B22" s="77"/>
      <c r="U22" s="77"/>
    </row>
    <row r="23" customFormat="false" ht="20.15" hidden="false" customHeight="true" outlineLevel="0" collapsed="false">
      <c r="B23" s="77"/>
      <c r="D23" s="80" t="s">
        <v>52</v>
      </c>
      <c r="E23" s="81" t="s">
        <v>53</v>
      </c>
      <c r="F23" s="82" t="s">
        <v>12</v>
      </c>
      <c r="G23" s="81" t="s">
        <v>54</v>
      </c>
      <c r="H23" s="81"/>
      <c r="I23" s="81"/>
      <c r="J23" s="81"/>
      <c r="K23" s="81" t="s">
        <v>55</v>
      </c>
      <c r="L23" s="83" t="s">
        <v>56</v>
      </c>
      <c r="M23" s="83"/>
      <c r="N23" s="83"/>
      <c r="O23" s="83"/>
      <c r="P23" s="83"/>
      <c r="Q23" s="83"/>
      <c r="R23" s="83"/>
      <c r="S23" s="83"/>
      <c r="U23" s="77"/>
    </row>
    <row r="24" customFormat="false" ht="20.15" hidden="false" customHeight="true" outlineLevel="0" collapsed="false">
      <c r="B24" s="77"/>
      <c r="D24" s="80"/>
      <c r="E24" s="81"/>
      <c r="F24" s="81"/>
      <c r="G24" s="84" t="s">
        <v>57</v>
      </c>
      <c r="H24" s="84" t="s">
        <v>58</v>
      </c>
      <c r="I24" s="82" t="s">
        <v>59</v>
      </c>
      <c r="J24" s="82"/>
      <c r="K24" s="84" t="s">
        <v>60</v>
      </c>
      <c r="L24" s="84" t="s">
        <v>57</v>
      </c>
      <c r="M24" s="85" t="s">
        <v>61</v>
      </c>
      <c r="N24" s="82" t="s">
        <v>59</v>
      </c>
      <c r="O24" s="82"/>
      <c r="P24" s="82"/>
      <c r="Q24" s="82"/>
      <c r="R24" s="82"/>
      <c r="S24" s="82"/>
      <c r="U24" s="77"/>
    </row>
    <row r="25" customFormat="false" ht="20.15" hidden="false" customHeight="true" outlineLevel="0" collapsed="false">
      <c r="B25" s="77"/>
      <c r="D25" s="86" t="s">
        <v>13</v>
      </c>
      <c r="E25" s="87" t="s">
        <v>14</v>
      </c>
      <c r="F25" s="22" t="n">
        <v>1</v>
      </c>
      <c r="G25" s="89" t="s">
        <v>67</v>
      </c>
      <c r="H25" s="281" t="s">
        <v>302</v>
      </c>
      <c r="I25" s="282" t="s">
        <v>66</v>
      </c>
      <c r="J25" s="282"/>
      <c r="K25" s="461" t="s">
        <v>68</v>
      </c>
      <c r="L25" s="284" t="s">
        <v>66</v>
      </c>
      <c r="M25" s="94" t="s">
        <v>66</v>
      </c>
      <c r="N25" s="95" t="s">
        <v>66</v>
      </c>
      <c r="O25" s="95"/>
      <c r="P25" s="95"/>
      <c r="Q25" s="95"/>
      <c r="R25" s="95"/>
      <c r="S25" s="95"/>
      <c r="U25" s="77"/>
    </row>
    <row r="26" customFormat="false" ht="125.15" hidden="false" customHeight="true" outlineLevel="0" collapsed="false">
      <c r="B26" s="77"/>
      <c r="D26" s="46" t="s">
        <v>16</v>
      </c>
      <c r="E26" s="96" t="s">
        <v>17</v>
      </c>
      <c r="F26" s="32" t="n">
        <v>2</v>
      </c>
      <c r="G26" s="98" t="s">
        <v>67</v>
      </c>
      <c r="H26" s="99" t="s">
        <v>68</v>
      </c>
      <c r="I26" s="287" t="s">
        <v>69</v>
      </c>
      <c r="J26" s="287"/>
      <c r="K26" s="374" t="s">
        <v>65</v>
      </c>
      <c r="L26" s="347" t="s">
        <v>67</v>
      </c>
      <c r="M26" s="462" t="s">
        <v>209</v>
      </c>
      <c r="N26" s="463" t="s">
        <v>210</v>
      </c>
      <c r="O26" s="463"/>
      <c r="P26" s="463"/>
      <c r="Q26" s="463"/>
      <c r="R26" s="463"/>
      <c r="S26" s="463"/>
      <c r="U26" s="77"/>
    </row>
    <row r="27" customFormat="false" ht="80.15" hidden="false" customHeight="true" outlineLevel="0" collapsed="false">
      <c r="B27" s="77"/>
      <c r="D27" s="46" t="s">
        <v>25</v>
      </c>
      <c r="E27" s="96" t="s">
        <v>26</v>
      </c>
      <c r="F27" s="32" t="n">
        <v>3</v>
      </c>
      <c r="G27" s="106" t="s">
        <v>67</v>
      </c>
      <c r="H27" s="107" t="s">
        <v>211</v>
      </c>
      <c r="I27" s="293" t="s">
        <v>303</v>
      </c>
      <c r="J27" s="293"/>
      <c r="K27" s="288" t="s">
        <v>65</v>
      </c>
      <c r="L27" s="376" t="s">
        <v>66</v>
      </c>
      <c r="M27" s="464" t="s">
        <v>66</v>
      </c>
      <c r="N27" s="112" t="s">
        <v>66</v>
      </c>
      <c r="O27" s="112"/>
      <c r="P27" s="112"/>
      <c r="Q27" s="112"/>
      <c r="R27" s="112"/>
      <c r="S27" s="112"/>
      <c r="U27" s="77"/>
    </row>
    <row r="28" customFormat="false" ht="35.15" hidden="false" customHeight="true" outlineLevel="0" collapsed="false">
      <c r="B28" s="77"/>
      <c r="D28" s="295" t="s">
        <v>27</v>
      </c>
      <c r="E28" s="386" t="s">
        <v>28</v>
      </c>
      <c r="F28" s="55" t="n">
        <v>4</v>
      </c>
      <c r="G28" s="115" t="s">
        <v>67</v>
      </c>
      <c r="H28" s="101" t="s">
        <v>280</v>
      </c>
      <c r="I28" s="377" t="s">
        <v>304</v>
      </c>
      <c r="J28" s="377"/>
      <c r="K28" s="465" t="s">
        <v>68</v>
      </c>
      <c r="L28" s="379" t="s">
        <v>66</v>
      </c>
      <c r="M28" s="119" t="s">
        <v>66</v>
      </c>
      <c r="N28" s="120" t="s">
        <v>66</v>
      </c>
      <c r="O28" s="120"/>
      <c r="P28" s="120"/>
      <c r="Q28" s="120"/>
      <c r="R28" s="120"/>
      <c r="S28" s="120"/>
      <c r="U28" s="77"/>
    </row>
    <row r="29" customFormat="false" ht="20.15" hidden="false" customHeight="true" outlineLevel="0" collapsed="false">
      <c r="B29" s="77"/>
      <c r="D29" s="121"/>
      <c r="E29" s="121"/>
      <c r="U29" s="77"/>
    </row>
    <row r="30" customFormat="false" ht="20.15" hidden="false" customHeight="true" outlineLevel="0" collapsed="false">
      <c r="B30" s="77"/>
      <c r="C30" s="122"/>
      <c r="D30" s="122"/>
      <c r="E30" s="123" t="str">
        <f aca="false">IF(OR(M25="-",M25= ""),H25,M25)</f>
        <v>The King's Guild</v>
      </c>
      <c r="F30" s="123"/>
      <c r="G30" s="123"/>
      <c r="H30" s="123"/>
      <c r="I30" s="123"/>
      <c r="J30" s="123"/>
      <c r="K30" s="123"/>
      <c r="L30" s="123"/>
      <c r="M30" s="123"/>
      <c r="N30" s="123"/>
      <c r="O30" s="124"/>
      <c r="P30" s="124"/>
      <c r="Q30" s="124"/>
      <c r="R30" s="124"/>
      <c r="S30" s="124"/>
      <c r="T30" s="122"/>
      <c r="U30" s="77"/>
    </row>
    <row r="31" customFormat="false" ht="50.15" hidden="false" customHeight="true" outlineLevel="0" collapsed="false">
      <c r="B31" s="77"/>
      <c r="C31" s="122"/>
      <c r="D31" s="124"/>
      <c r="E31" s="125" t="s">
        <v>52</v>
      </c>
      <c r="F31" s="126" t="s">
        <v>75</v>
      </c>
      <c r="G31" s="82" t="s">
        <v>76</v>
      </c>
      <c r="H31" s="81" t="s">
        <v>77</v>
      </c>
      <c r="I31" s="59" t="s">
        <v>78</v>
      </c>
      <c r="J31" s="81" t="s">
        <v>79</v>
      </c>
      <c r="K31" s="127" t="s">
        <v>80</v>
      </c>
      <c r="L31" s="81" t="s">
        <v>81</v>
      </c>
      <c r="M31" s="128" t="s">
        <v>82</v>
      </c>
      <c r="N31" s="129" t="s">
        <v>83</v>
      </c>
      <c r="O31" s="130" t="s">
        <v>84</v>
      </c>
      <c r="P31" s="131" t="s">
        <v>85</v>
      </c>
      <c r="Q31" s="131" t="s">
        <v>86</v>
      </c>
      <c r="R31" s="131" t="s">
        <v>87</v>
      </c>
      <c r="S31" s="124"/>
      <c r="T31" s="122"/>
      <c r="U31" s="77"/>
    </row>
    <row r="32" customFormat="false" ht="20.15" hidden="false" customHeight="true" outlineLevel="0" collapsed="false">
      <c r="B32" s="77"/>
      <c r="C32" s="122"/>
      <c r="D32" s="132"/>
      <c r="E32" s="86" t="s">
        <v>13</v>
      </c>
      <c r="F32" s="87" t="s">
        <v>14</v>
      </c>
      <c r="G32" s="221" t="n">
        <v>1</v>
      </c>
      <c r="H32" s="222" t="s">
        <v>305</v>
      </c>
      <c r="I32" s="221" t="n">
        <v>0</v>
      </c>
      <c r="J32" s="221" t="n">
        <v>55</v>
      </c>
      <c r="K32" s="221" t="s">
        <v>66</v>
      </c>
      <c r="L32" s="223" t="n">
        <f aca="false">IF(J32="",0,(J32/J36)*100)</f>
        <v>63.953488372093</v>
      </c>
      <c r="M32" s="221" t="n">
        <v>4</v>
      </c>
      <c r="N32" s="224" t="n">
        <v>0</v>
      </c>
      <c r="O32" s="137" t="n">
        <f aca="false">IF(M32=1,1,0)</f>
        <v>0</v>
      </c>
      <c r="P32" s="138" t="n">
        <f aca="false">IF(M32=2,1,0)</f>
        <v>0</v>
      </c>
      <c r="Q32" s="138" t="n">
        <f aca="false">IF(M32=3,1,0)</f>
        <v>0</v>
      </c>
      <c r="R32" s="139" t="n">
        <f aca="false">IF(M32=4,1,0)</f>
        <v>1</v>
      </c>
      <c r="S32" s="140"/>
      <c r="T32" s="122"/>
      <c r="U32" s="77"/>
    </row>
    <row r="33" customFormat="false" ht="20.15" hidden="false" customHeight="true" outlineLevel="0" collapsed="false">
      <c r="B33" s="77"/>
      <c r="C33" s="122"/>
      <c r="D33" s="132"/>
      <c r="E33" s="46" t="s">
        <v>16</v>
      </c>
      <c r="F33" s="96" t="s">
        <v>17</v>
      </c>
      <c r="G33" s="228" t="n">
        <v>4</v>
      </c>
      <c r="H33" s="228" t="s">
        <v>306</v>
      </c>
      <c r="I33" s="228" t="n">
        <v>0</v>
      </c>
      <c r="J33" s="228" t="n">
        <v>71</v>
      </c>
      <c r="K33" s="228" t="s">
        <v>66</v>
      </c>
      <c r="L33" s="229" t="n">
        <f aca="false">IF(J33="",0,(J33/J36)*100)</f>
        <v>82.5581395348837</v>
      </c>
      <c r="M33" s="228" t="n">
        <v>2</v>
      </c>
      <c r="N33" s="230" t="n">
        <v>3</v>
      </c>
      <c r="O33" s="144" t="n">
        <f aca="false">IF(M33=1,1,0)</f>
        <v>0</v>
      </c>
      <c r="P33" s="145" t="n">
        <f aca="false">IF(M33=2,1,0)</f>
        <v>1</v>
      </c>
      <c r="Q33" s="145" t="n">
        <f aca="false">IF(M33=3,1,0)</f>
        <v>0</v>
      </c>
      <c r="R33" s="146" t="n">
        <f aca="false">IF(M33=4,1,0)</f>
        <v>0</v>
      </c>
      <c r="S33" s="140"/>
      <c r="T33" s="122"/>
      <c r="U33" s="77"/>
    </row>
    <row r="34" customFormat="false" ht="20.15" hidden="false" customHeight="true" outlineLevel="0" collapsed="false">
      <c r="B34" s="77"/>
      <c r="C34" s="122"/>
      <c r="D34" s="132"/>
      <c r="E34" s="46" t="s">
        <v>25</v>
      </c>
      <c r="F34" s="96" t="s">
        <v>26</v>
      </c>
      <c r="G34" s="228" t="n">
        <v>2</v>
      </c>
      <c r="H34" s="228" t="s">
        <v>307</v>
      </c>
      <c r="I34" s="228" t="n">
        <v>0</v>
      </c>
      <c r="J34" s="228" t="n">
        <v>64</v>
      </c>
      <c r="K34" s="228" t="s">
        <v>66</v>
      </c>
      <c r="L34" s="229" t="n">
        <f aca="false">IF(J34="",0,(J34/J36)*100)</f>
        <v>74.4186046511628</v>
      </c>
      <c r="M34" s="228" t="n">
        <v>3</v>
      </c>
      <c r="N34" s="230" t="n">
        <v>1</v>
      </c>
      <c r="O34" s="144" t="n">
        <f aca="false">IF(M34=1,1,0)</f>
        <v>0</v>
      </c>
      <c r="P34" s="145" t="n">
        <f aca="false">IF(M34=2,1,0)</f>
        <v>0</v>
      </c>
      <c r="Q34" s="145" t="n">
        <f aca="false">IF(M34=3,1,0)</f>
        <v>1</v>
      </c>
      <c r="R34" s="146" t="n">
        <f aca="false">IF(M34=4,1,0)</f>
        <v>0</v>
      </c>
      <c r="S34" s="140"/>
      <c r="T34" s="122"/>
      <c r="U34" s="77"/>
    </row>
    <row r="35" customFormat="false" ht="20.15" hidden="false" customHeight="true" outlineLevel="0" collapsed="false">
      <c r="B35" s="77"/>
      <c r="C35" s="122"/>
      <c r="D35" s="152"/>
      <c r="E35" s="318" t="s">
        <v>27</v>
      </c>
      <c r="F35" s="391" t="s">
        <v>29</v>
      </c>
      <c r="G35" s="322" t="n">
        <v>3</v>
      </c>
      <c r="H35" s="322" t="s">
        <v>308</v>
      </c>
      <c r="I35" s="322" t="n">
        <v>0</v>
      </c>
      <c r="J35" s="322" t="n">
        <v>86</v>
      </c>
      <c r="K35" s="322" t="s">
        <v>66</v>
      </c>
      <c r="L35" s="466" t="n">
        <f aca="false">IF(J35="",0,(J35/J36)*100)</f>
        <v>100</v>
      </c>
      <c r="M35" s="322" t="n">
        <v>1</v>
      </c>
      <c r="N35" s="324" t="n">
        <v>6</v>
      </c>
      <c r="O35" s="156" t="n">
        <f aca="false">IF(M35=1,1,0)</f>
        <v>1</v>
      </c>
      <c r="P35" s="157" t="n">
        <f aca="false">IF(M35=2,1,0)</f>
        <v>0</v>
      </c>
      <c r="Q35" s="157" t="n">
        <f aca="false">IF(M35=3,1,0)</f>
        <v>0</v>
      </c>
      <c r="R35" s="158" t="n">
        <f aca="false">IF(M35=4,1,0)</f>
        <v>0</v>
      </c>
      <c r="S35" s="140"/>
      <c r="T35" s="122"/>
      <c r="U35" s="77"/>
    </row>
    <row r="36" customFormat="false" ht="20.15" hidden="true" customHeight="true" outlineLevel="1" collapsed="false">
      <c r="B36" s="77"/>
      <c r="C36" s="122"/>
      <c r="D36" s="159"/>
      <c r="E36" s="159"/>
      <c r="F36" s="140"/>
      <c r="G36" s="140"/>
      <c r="H36" s="122"/>
      <c r="I36" s="160" t="s">
        <v>92</v>
      </c>
      <c r="J36" s="161" t="n">
        <f aca="false">MAX(J32:J35)</f>
        <v>86</v>
      </c>
      <c r="K36" s="162"/>
      <c r="L36" s="163"/>
      <c r="M36" s="122"/>
      <c r="N36" s="164" t="s">
        <v>93</v>
      </c>
      <c r="O36" s="165" t="n">
        <f aca="false">SUM(O32:O35)</f>
        <v>1</v>
      </c>
      <c r="P36" s="166" t="n">
        <f aca="false">SUM(P32:P35)</f>
        <v>1</v>
      </c>
      <c r="Q36" s="165" t="n">
        <f aca="false">SUM(Q32:Q35)</f>
        <v>1</v>
      </c>
      <c r="R36" s="165" t="n">
        <f aca="false">SUM(R32:R35)</f>
        <v>1</v>
      </c>
      <c r="S36" s="167"/>
      <c r="T36" s="122"/>
      <c r="U36" s="77"/>
    </row>
    <row r="37" customFormat="false" ht="20.15" hidden="false" customHeight="true" outlineLevel="0" collapsed="false">
      <c r="B37" s="77"/>
      <c r="C37" s="122"/>
      <c r="D37" s="168"/>
      <c r="E37" s="168"/>
      <c r="F37" s="169"/>
      <c r="G37" s="169"/>
      <c r="H37" s="124"/>
      <c r="I37" s="122"/>
      <c r="J37" s="122"/>
      <c r="K37" s="122"/>
      <c r="L37" s="122"/>
      <c r="M37" s="122"/>
      <c r="N37" s="122"/>
      <c r="O37" s="122"/>
      <c r="P37" s="122"/>
      <c r="Q37" s="122"/>
      <c r="R37" s="122"/>
      <c r="S37" s="122"/>
      <c r="T37" s="122"/>
      <c r="U37" s="77"/>
    </row>
    <row r="38" customFormat="false" ht="20.15" hidden="false" customHeight="true" outlineLevel="0" collapsed="false">
      <c r="B38" s="77"/>
      <c r="U38" s="77"/>
    </row>
    <row r="39" customFormat="false" ht="20.15" hidden="false" customHeight="true" outlineLevel="0" collapsed="false">
      <c r="B39" s="77"/>
      <c r="C39" s="170"/>
      <c r="D39" s="170"/>
      <c r="E39" s="171" t="str">
        <f aca="false">IF(OR(M26="-",M26= ""),H26,M26)</f>
        <v>Res Arcana</v>
      </c>
      <c r="F39" s="171"/>
      <c r="G39" s="171"/>
      <c r="H39" s="171"/>
      <c r="I39" s="171"/>
      <c r="J39" s="171"/>
      <c r="K39" s="171"/>
      <c r="L39" s="171"/>
      <c r="M39" s="171"/>
      <c r="N39" s="171"/>
      <c r="O39" s="172"/>
      <c r="P39" s="172"/>
      <c r="Q39" s="172"/>
      <c r="R39" s="172"/>
      <c r="S39" s="172"/>
      <c r="T39" s="170"/>
      <c r="U39" s="77"/>
    </row>
    <row r="40" customFormat="false" ht="50.15" hidden="false" customHeight="true" outlineLevel="0" collapsed="false">
      <c r="B40" s="77"/>
      <c r="C40" s="170"/>
      <c r="D40" s="172"/>
      <c r="E40" s="125" t="s">
        <v>52</v>
      </c>
      <c r="F40" s="126" t="s">
        <v>75</v>
      </c>
      <c r="G40" s="82" t="s">
        <v>76</v>
      </c>
      <c r="H40" s="81" t="s">
        <v>77</v>
      </c>
      <c r="I40" s="59" t="s">
        <v>78</v>
      </c>
      <c r="J40" s="81" t="s">
        <v>79</v>
      </c>
      <c r="K40" s="127" t="s">
        <v>80</v>
      </c>
      <c r="L40" s="81" t="s">
        <v>81</v>
      </c>
      <c r="M40" s="128" t="s">
        <v>82</v>
      </c>
      <c r="N40" s="129" t="s">
        <v>83</v>
      </c>
      <c r="O40" s="130" t="s">
        <v>84</v>
      </c>
      <c r="P40" s="131" t="s">
        <v>85</v>
      </c>
      <c r="Q40" s="131" t="s">
        <v>86</v>
      </c>
      <c r="R40" s="131" t="s">
        <v>87</v>
      </c>
      <c r="S40" s="172"/>
      <c r="T40" s="170"/>
      <c r="U40" s="77"/>
    </row>
    <row r="41" customFormat="false" ht="20.15" hidden="false" customHeight="true" outlineLevel="0" collapsed="false">
      <c r="B41" s="77"/>
      <c r="C41" s="170"/>
      <c r="D41" s="173"/>
      <c r="E41" s="86" t="s">
        <v>13</v>
      </c>
      <c r="F41" s="87" t="s">
        <v>14</v>
      </c>
      <c r="G41" s="221" t="n">
        <v>4</v>
      </c>
      <c r="H41" s="222" t="s">
        <v>271</v>
      </c>
      <c r="I41" s="221" t="n">
        <v>0</v>
      </c>
      <c r="J41" s="222" t="n">
        <v>11</v>
      </c>
      <c r="K41" s="222" t="s">
        <v>66</v>
      </c>
      <c r="L41" s="223" t="n">
        <f aca="false">IF(J41="",0,(J41/J45)*100)</f>
        <v>91.6666666666667</v>
      </c>
      <c r="M41" s="221" t="n">
        <v>2</v>
      </c>
      <c r="N41" s="224" t="n">
        <v>3</v>
      </c>
      <c r="O41" s="137" t="n">
        <f aca="false">IF(M41=1,1,0)</f>
        <v>0</v>
      </c>
      <c r="P41" s="138" t="n">
        <f aca="false">IF(M41=2,1,0)</f>
        <v>1</v>
      </c>
      <c r="Q41" s="138" t="n">
        <f aca="false">IF(M41=3,1,0)</f>
        <v>0</v>
      </c>
      <c r="R41" s="139" t="n">
        <f aca="false">IF(M41=4,1,0)</f>
        <v>0</v>
      </c>
      <c r="S41" s="176"/>
      <c r="T41" s="170"/>
      <c r="U41" s="77"/>
    </row>
    <row r="42" customFormat="false" ht="20.15" hidden="false" customHeight="true" outlineLevel="0" collapsed="false">
      <c r="B42" s="77"/>
      <c r="C42" s="170"/>
      <c r="D42" s="177"/>
      <c r="E42" s="226" t="s">
        <v>16</v>
      </c>
      <c r="F42" s="227" t="s">
        <v>17</v>
      </c>
      <c r="G42" s="228" t="n">
        <v>1</v>
      </c>
      <c r="H42" s="317" t="s">
        <v>273</v>
      </c>
      <c r="I42" s="228" t="n">
        <v>0</v>
      </c>
      <c r="J42" s="317" t="n">
        <v>5</v>
      </c>
      <c r="K42" s="317" t="s">
        <v>66</v>
      </c>
      <c r="L42" s="229" t="n">
        <f aca="false">IF(J42="",0,(J42/J45)*100)</f>
        <v>41.6666666666667</v>
      </c>
      <c r="M42" s="228" t="n">
        <v>4</v>
      </c>
      <c r="N42" s="230" t="n">
        <v>0</v>
      </c>
      <c r="O42" s="144" t="n">
        <f aca="false">IF(M42=1,1,0)</f>
        <v>0</v>
      </c>
      <c r="P42" s="145" t="n">
        <f aca="false">IF(M42=2,1,0)</f>
        <v>0</v>
      </c>
      <c r="Q42" s="145" t="n">
        <f aca="false">IF(M42=3,1,0)</f>
        <v>0</v>
      </c>
      <c r="R42" s="146" t="n">
        <f aca="false">IF(M42=4,1,0)</f>
        <v>1</v>
      </c>
      <c r="S42" s="176"/>
      <c r="T42" s="170"/>
      <c r="U42" s="77"/>
    </row>
    <row r="43" customFormat="false" ht="20.15" hidden="false" customHeight="true" outlineLevel="0" collapsed="false">
      <c r="B43" s="77"/>
      <c r="C43" s="170"/>
      <c r="D43" s="173"/>
      <c r="E43" s="226" t="s">
        <v>25</v>
      </c>
      <c r="F43" s="227" t="s">
        <v>26</v>
      </c>
      <c r="G43" s="228" t="n">
        <v>2</v>
      </c>
      <c r="H43" s="317" t="s">
        <v>309</v>
      </c>
      <c r="I43" s="228" t="n">
        <v>0</v>
      </c>
      <c r="J43" s="317" t="n">
        <v>8</v>
      </c>
      <c r="K43" s="317" t="s">
        <v>66</v>
      </c>
      <c r="L43" s="229" t="n">
        <f aca="false">IF(J43="",0,(J43/J45)*100)</f>
        <v>66.6666666666667</v>
      </c>
      <c r="M43" s="228" t="n">
        <v>3</v>
      </c>
      <c r="N43" s="230" t="n">
        <v>1</v>
      </c>
      <c r="O43" s="144" t="n">
        <f aca="false">IF(M43=1,1,0)</f>
        <v>0</v>
      </c>
      <c r="P43" s="145" t="n">
        <f aca="false">IF(M43=2,1,0)</f>
        <v>0</v>
      </c>
      <c r="Q43" s="145" t="n">
        <f aca="false">IF(M43=3,1,0)</f>
        <v>1</v>
      </c>
      <c r="R43" s="146" t="n">
        <f aca="false">IF(M43=4,1,0)</f>
        <v>0</v>
      </c>
      <c r="S43" s="176"/>
      <c r="T43" s="170"/>
      <c r="U43" s="77"/>
    </row>
    <row r="44" customFormat="false" ht="20.15" hidden="false" customHeight="true" outlineLevel="0" collapsed="false">
      <c r="B44" s="77"/>
      <c r="C44" s="170"/>
      <c r="D44" s="173"/>
      <c r="E44" s="318" t="s">
        <v>27</v>
      </c>
      <c r="F44" s="391" t="s">
        <v>29</v>
      </c>
      <c r="G44" s="322" t="n">
        <v>3</v>
      </c>
      <c r="H44" s="321" t="s">
        <v>274</v>
      </c>
      <c r="I44" s="322" t="n">
        <v>0</v>
      </c>
      <c r="J44" s="321" t="n">
        <v>12</v>
      </c>
      <c r="K44" s="322" t="s">
        <v>66</v>
      </c>
      <c r="L44" s="323" t="n">
        <f aca="false">IF(J44="",0,(J44/J45)*100)</f>
        <v>100</v>
      </c>
      <c r="M44" s="322" t="n">
        <v>1</v>
      </c>
      <c r="N44" s="324" t="n">
        <v>6</v>
      </c>
      <c r="O44" s="156" t="n">
        <f aca="false">IF(M44=1,1,0)</f>
        <v>1</v>
      </c>
      <c r="P44" s="157" t="n">
        <f aca="false">IF(M44=2,1,0)</f>
        <v>0</v>
      </c>
      <c r="Q44" s="157" t="n">
        <f aca="false">IF(M44=3,1,0)</f>
        <v>0</v>
      </c>
      <c r="R44" s="158" t="n">
        <f aca="false">IF(M44=4,1,0)</f>
        <v>0</v>
      </c>
      <c r="S44" s="176"/>
      <c r="T44" s="170"/>
      <c r="U44" s="77"/>
    </row>
    <row r="45" customFormat="false" ht="20.15" hidden="true" customHeight="true" outlineLevel="1" collapsed="false">
      <c r="B45" s="77"/>
      <c r="C45" s="170"/>
      <c r="D45" s="173"/>
      <c r="E45" s="173"/>
      <c r="F45" s="172"/>
      <c r="G45" s="172"/>
      <c r="H45" s="170"/>
      <c r="I45" s="185" t="s">
        <v>92</v>
      </c>
      <c r="J45" s="161" t="n">
        <f aca="false">MAX(J41:J44)</f>
        <v>12</v>
      </c>
      <c r="K45" s="186"/>
      <c r="L45" s="176"/>
      <c r="M45" s="170"/>
      <c r="N45" s="164" t="s">
        <v>93</v>
      </c>
      <c r="O45" s="165" t="n">
        <f aca="false">SUM(O41:O44)</f>
        <v>1</v>
      </c>
      <c r="P45" s="166" t="n">
        <f aca="false">SUM(P41:P44)</f>
        <v>1</v>
      </c>
      <c r="Q45" s="165" t="n">
        <f aca="false">SUM(Q41:Q44)</f>
        <v>1</v>
      </c>
      <c r="R45" s="187" t="n">
        <f aca="false">SUM(R41:R44)</f>
        <v>1</v>
      </c>
      <c r="S45" s="188"/>
      <c r="T45" s="170"/>
      <c r="U45" s="77"/>
    </row>
    <row r="46" customFormat="false" ht="20.15" hidden="false" customHeight="true" outlineLevel="0" collapsed="false">
      <c r="B46" s="77"/>
      <c r="C46" s="170"/>
      <c r="D46" s="189"/>
      <c r="E46" s="189"/>
      <c r="F46" s="170"/>
      <c r="G46" s="170"/>
      <c r="H46" s="170"/>
      <c r="I46" s="170"/>
      <c r="J46" s="170"/>
      <c r="K46" s="170"/>
      <c r="L46" s="170"/>
      <c r="M46" s="170"/>
      <c r="N46" s="170"/>
      <c r="O46" s="170"/>
      <c r="P46" s="170"/>
      <c r="Q46" s="170"/>
      <c r="R46" s="170"/>
      <c r="S46" s="170"/>
      <c r="T46" s="170"/>
      <c r="U46" s="77"/>
    </row>
    <row r="47" customFormat="false" ht="20.15" hidden="false" customHeight="true" outlineLevel="0" collapsed="false">
      <c r="B47" s="77"/>
      <c r="D47" s="190"/>
      <c r="E47" s="190"/>
      <c r="F47" s="190"/>
      <c r="G47" s="190"/>
      <c r="H47" s="191"/>
      <c r="I47" s="190"/>
      <c r="J47" s="190"/>
      <c r="K47" s="14"/>
      <c r="L47" s="14"/>
      <c r="M47" s="14"/>
      <c r="N47" s="14"/>
      <c r="O47" s="14"/>
      <c r="P47" s="14"/>
      <c r="Q47" s="14"/>
      <c r="R47" s="14"/>
      <c r="S47" s="14"/>
      <c r="U47" s="77"/>
    </row>
    <row r="48" customFormat="false" ht="20.15" hidden="false" customHeight="true" outlineLevel="0" collapsed="false">
      <c r="B48" s="77"/>
      <c r="C48" s="192"/>
      <c r="D48" s="192"/>
      <c r="E48" s="193" t="str">
        <f aca="false">IF(OR(M27="-",M27= ""),H27,M27)</f>
        <v>Race for the Galaxy</v>
      </c>
      <c r="F48" s="193"/>
      <c r="G48" s="193"/>
      <c r="H48" s="193"/>
      <c r="I48" s="193"/>
      <c r="J48" s="193"/>
      <c r="K48" s="193"/>
      <c r="L48" s="193"/>
      <c r="M48" s="193"/>
      <c r="N48" s="193"/>
      <c r="O48" s="194"/>
      <c r="P48" s="194"/>
      <c r="Q48" s="194"/>
      <c r="R48" s="194"/>
      <c r="S48" s="194"/>
      <c r="T48" s="192"/>
      <c r="U48" s="195"/>
      <c r="V48" s="196"/>
      <c r="W48" s="196"/>
    </row>
    <row r="49" customFormat="false" ht="50.15" hidden="false" customHeight="true" outlineLevel="0" collapsed="false">
      <c r="B49" s="77"/>
      <c r="C49" s="192"/>
      <c r="D49" s="194"/>
      <c r="E49" s="125" t="s">
        <v>52</v>
      </c>
      <c r="F49" s="126" t="s">
        <v>75</v>
      </c>
      <c r="G49" s="82" t="s">
        <v>76</v>
      </c>
      <c r="H49" s="81" t="s">
        <v>77</v>
      </c>
      <c r="I49" s="59" t="s">
        <v>78</v>
      </c>
      <c r="J49" s="81" t="s">
        <v>79</v>
      </c>
      <c r="K49" s="127" t="s">
        <v>80</v>
      </c>
      <c r="L49" s="81" t="s">
        <v>81</v>
      </c>
      <c r="M49" s="128" t="s">
        <v>82</v>
      </c>
      <c r="N49" s="129" t="s">
        <v>83</v>
      </c>
      <c r="O49" s="130" t="s">
        <v>84</v>
      </c>
      <c r="P49" s="131" t="s">
        <v>85</v>
      </c>
      <c r="Q49" s="131" t="s">
        <v>86</v>
      </c>
      <c r="R49" s="197" t="s">
        <v>87</v>
      </c>
      <c r="S49" s="194"/>
      <c r="T49" s="192"/>
      <c r="U49" s="195"/>
      <c r="V49" s="196"/>
      <c r="W49" s="196"/>
    </row>
    <row r="50" customFormat="false" ht="20.15" hidden="false" customHeight="true" outlineLevel="0" collapsed="false">
      <c r="B50" s="77"/>
      <c r="C50" s="192"/>
      <c r="D50" s="198"/>
      <c r="E50" s="86" t="s">
        <v>13</v>
      </c>
      <c r="F50" s="87" t="s">
        <v>14</v>
      </c>
      <c r="G50" s="221" t="s">
        <v>66</v>
      </c>
      <c r="H50" s="222" t="n">
        <v>4</v>
      </c>
      <c r="I50" s="221" t="n">
        <v>0</v>
      </c>
      <c r="J50" s="222" t="n">
        <v>10</v>
      </c>
      <c r="K50" s="222" t="s">
        <v>66</v>
      </c>
      <c r="L50" s="223" t="n">
        <f aca="false">IF(J50="",0,(J50/J54)*100)</f>
        <v>32.258064516129</v>
      </c>
      <c r="M50" s="221" t="n">
        <v>4</v>
      </c>
      <c r="N50" s="224" t="n">
        <v>0</v>
      </c>
      <c r="O50" s="137" t="n">
        <f aca="false">IF(M50=1,1,0)</f>
        <v>0</v>
      </c>
      <c r="P50" s="138" t="n">
        <f aca="false">IF(M50=2,1,0)</f>
        <v>0</v>
      </c>
      <c r="Q50" s="138" t="n">
        <f aca="false">IF(M50=3,1,0)</f>
        <v>0</v>
      </c>
      <c r="R50" s="139" t="n">
        <f aca="false">IF(M50=4,1,0)</f>
        <v>1</v>
      </c>
      <c r="S50" s="206"/>
      <c r="T50" s="192"/>
      <c r="U50" s="207"/>
      <c r="V50" s="121"/>
      <c r="W50" s="121"/>
    </row>
    <row r="51" customFormat="false" ht="20.15" hidden="false" customHeight="true" outlineLevel="0" collapsed="false">
      <c r="B51" s="77"/>
      <c r="C51" s="192"/>
      <c r="D51" s="208"/>
      <c r="E51" s="178" t="s">
        <v>16</v>
      </c>
      <c r="F51" s="148" t="s">
        <v>17</v>
      </c>
      <c r="G51" s="149" t="s">
        <v>66</v>
      </c>
      <c r="H51" s="179" t="n">
        <v>-5</v>
      </c>
      <c r="I51" s="149" t="n">
        <v>0</v>
      </c>
      <c r="J51" s="179" t="n">
        <v>31</v>
      </c>
      <c r="K51" s="179" t="s">
        <v>66</v>
      </c>
      <c r="L51" s="150" t="n">
        <f aca="false">IF(J51="",0,(J51/J54)*100)</f>
        <v>100</v>
      </c>
      <c r="M51" s="149" t="n">
        <v>1</v>
      </c>
      <c r="N51" s="151" t="n">
        <v>6</v>
      </c>
      <c r="O51" s="144" t="n">
        <f aca="false">IF(M51=1,1,0)</f>
        <v>1</v>
      </c>
      <c r="P51" s="145" t="n">
        <f aca="false">IF(M51=2,1,0)</f>
        <v>0</v>
      </c>
      <c r="Q51" s="145" t="n">
        <f aca="false">IF(M51=3,1,0)</f>
        <v>0</v>
      </c>
      <c r="R51" s="146" t="n">
        <f aca="false">IF(M51=4,1,0)</f>
        <v>0</v>
      </c>
      <c r="S51" s="206"/>
      <c r="T51" s="192"/>
      <c r="U51" s="211"/>
      <c r="V51" s="121"/>
      <c r="W51" s="121"/>
    </row>
    <row r="52" customFormat="false" ht="20.15" hidden="false" customHeight="true" outlineLevel="0" collapsed="false">
      <c r="B52" s="77"/>
      <c r="C52" s="192"/>
      <c r="D52" s="198"/>
      <c r="E52" s="226" t="s">
        <v>25</v>
      </c>
      <c r="F52" s="227" t="s">
        <v>26</v>
      </c>
      <c r="G52" s="228" t="s">
        <v>66</v>
      </c>
      <c r="H52" s="317" t="n">
        <v>-2</v>
      </c>
      <c r="I52" s="228" t="n">
        <v>0</v>
      </c>
      <c r="J52" s="317" t="n">
        <v>23</v>
      </c>
      <c r="K52" s="317" t="s">
        <v>66</v>
      </c>
      <c r="L52" s="229" t="n">
        <f aca="false">IF(J52="",0,(J52/J54)*100)</f>
        <v>74.1935483870968</v>
      </c>
      <c r="M52" s="228" t="n">
        <v>2</v>
      </c>
      <c r="N52" s="230" t="n">
        <v>3</v>
      </c>
      <c r="O52" s="144" t="n">
        <f aca="false">IF(M52=1,1,0)</f>
        <v>0</v>
      </c>
      <c r="P52" s="145" t="n">
        <f aca="false">IF(M52=2,1,0)</f>
        <v>1</v>
      </c>
      <c r="Q52" s="145" t="n">
        <f aca="false">IF(M52=3,1,0)</f>
        <v>0</v>
      </c>
      <c r="R52" s="146" t="n">
        <f aca="false">IF(M52=4,1,0)</f>
        <v>0</v>
      </c>
      <c r="S52" s="206"/>
      <c r="T52" s="192"/>
      <c r="U52" s="211"/>
      <c r="V52" s="121"/>
      <c r="W52" s="121"/>
    </row>
    <row r="53" customFormat="false" ht="20.15" hidden="false" customHeight="true" outlineLevel="0" collapsed="false">
      <c r="B53" s="77"/>
      <c r="C53" s="192"/>
      <c r="D53" s="198"/>
      <c r="E53" s="295" t="s">
        <v>27</v>
      </c>
      <c r="F53" s="386" t="s">
        <v>29</v>
      </c>
      <c r="G53" s="234" t="s">
        <v>66</v>
      </c>
      <c r="H53" s="308" t="n">
        <v>1</v>
      </c>
      <c r="I53" s="234" t="n">
        <v>0</v>
      </c>
      <c r="J53" s="308" t="n">
        <v>19</v>
      </c>
      <c r="K53" s="234" t="s">
        <v>66</v>
      </c>
      <c r="L53" s="235" t="n">
        <f aca="false">IF(J53="",0,(J53/J54)*100)</f>
        <v>61.2903225806452</v>
      </c>
      <c r="M53" s="234" t="n">
        <v>3</v>
      </c>
      <c r="N53" s="236" t="n">
        <v>1</v>
      </c>
      <c r="O53" s="156" t="n">
        <f aca="false">IF(M53=1,1,0)</f>
        <v>0</v>
      </c>
      <c r="P53" s="157" t="n">
        <f aca="false">IF(M53=2,1,0)</f>
        <v>0</v>
      </c>
      <c r="Q53" s="157" t="n">
        <f aca="false">IF(M53=3,1,0)</f>
        <v>1</v>
      </c>
      <c r="R53" s="158" t="n">
        <f aca="false">IF(M53=4,1,0)</f>
        <v>0</v>
      </c>
      <c r="S53" s="206"/>
      <c r="T53" s="192"/>
      <c r="U53" s="211"/>
      <c r="V53" s="121"/>
      <c r="W53" s="121"/>
    </row>
    <row r="54" customFormat="false" ht="20.15" hidden="true" customHeight="true" outlineLevel="1" collapsed="false">
      <c r="B54" s="77"/>
      <c r="C54" s="192"/>
      <c r="D54" s="198"/>
      <c r="E54" s="198"/>
      <c r="F54" s="206"/>
      <c r="G54" s="206"/>
      <c r="H54" s="192"/>
      <c r="I54" s="213" t="s">
        <v>92</v>
      </c>
      <c r="J54" s="161" t="n">
        <f aca="false">MAX(J50:J53)</f>
        <v>31</v>
      </c>
      <c r="K54" s="214"/>
      <c r="L54" s="206"/>
      <c r="M54" s="192"/>
      <c r="N54" s="164" t="s">
        <v>93</v>
      </c>
      <c r="O54" s="165" t="n">
        <f aca="false">SUM(O50:O53)</f>
        <v>1</v>
      </c>
      <c r="P54" s="166" t="n">
        <f aca="false">SUM(P50:P53)</f>
        <v>1</v>
      </c>
      <c r="Q54" s="165" t="n">
        <f aca="false">SUM(Q50:Q53)</f>
        <v>1</v>
      </c>
      <c r="R54" s="187" t="n">
        <f aca="false">SUM(R50:R53)</f>
        <v>1</v>
      </c>
      <c r="S54" s="215"/>
      <c r="T54" s="192"/>
      <c r="U54" s="211"/>
      <c r="V54" s="121"/>
      <c r="W54" s="121"/>
    </row>
    <row r="55" customFormat="false" ht="20.15" hidden="false" customHeight="true" outlineLevel="0" collapsed="false">
      <c r="B55" s="77"/>
      <c r="C55" s="192"/>
      <c r="D55" s="216"/>
      <c r="E55" s="216"/>
      <c r="F55" s="192"/>
      <c r="G55" s="192"/>
      <c r="H55" s="192"/>
      <c r="I55" s="192"/>
      <c r="J55" s="192"/>
      <c r="K55" s="192"/>
      <c r="L55" s="192"/>
      <c r="M55" s="192"/>
      <c r="N55" s="192"/>
      <c r="O55" s="192"/>
      <c r="P55" s="192"/>
      <c r="Q55" s="192"/>
      <c r="R55" s="192"/>
      <c r="S55" s="192"/>
      <c r="T55" s="192"/>
      <c r="U55" s="211"/>
      <c r="V55" s="121"/>
      <c r="W55" s="121"/>
    </row>
    <row r="56" customFormat="false" ht="20.15" hidden="false" customHeight="true" outlineLevel="0" collapsed="false">
      <c r="B56" s="77"/>
      <c r="D56" s="190"/>
      <c r="E56" s="190"/>
      <c r="F56" s="190"/>
      <c r="G56" s="190"/>
      <c r="H56" s="191"/>
      <c r="I56" s="190"/>
      <c r="J56" s="190"/>
      <c r="K56" s="190"/>
      <c r="L56" s="14"/>
      <c r="M56" s="14"/>
      <c r="N56" s="14"/>
      <c r="O56" s="14"/>
      <c r="P56" s="14"/>
      <c r="Q56" s="14"/>
      <c r="R56" s="14"/>
      <c r="S56" s="14"/>
      <c r="U56" s="207"/>
      <c r="V56" s="121"/>
      <c r="W56" s="121"/>
    </row>
    <row r="57" customFormat="false" ht="20.15" hidden="false" customHeight="true" outlineLevel="0" collapsed="false">
      <c r="B57" s="77"/>
      <c r="C57" s="217"/>
      <c r="D57" s="217"/>
      <c r="E57" s="218" t="str">
        <f aca="false">IF(OR(M28="-",M28= ""),H28,M28)</f>
        <v>Dungeon Petz</v>
      </c>
      <c r="F57" s="218"/>
      <c r="G57" s="218"/>
      <c r="H57" s="218"/>
      <c r="I57" s="218"/>
      <c r="J57" s="218"/>
      <c r="K57" s="218"/>
      <c r="L57" s="218"/>
      <c r="M57" s="218"/>
      <c r="N57" s="218"/>
      <c r="O57" s="219"/>
      <c r="P57" s="219"/>
      <c r="Q57" s="219"/>
      <c r="R57" s="219"/>
      <c r="S57" s="219"/>
      <c r="T57" s="217"/>
      <c r="U57" s="77"/>
    </row>
    <row r="58" customFormat="false" ht="50.15" hidden="false" customHeight="true" outlineLevel="0" collapsed="false">
      <c r="B58" s="77"/>
      <c r="C58" s="217"/>
      <c r="D58" s="219"/>
      <c r="E58" s="125" t="s">
        <v>52</v>
      </c>
      <c r="F58" s="126" t="s">
        <v>75</v>
      </c>
      <c r="G58" s="82" t="s">
        <v>76</v>
      </c>
      <c r="H58" s="81" t="s">
        <v>77</v>
      </c>
      <c r="I58" s="59" t="s">
        <v>78</v>
      </c>
      <c r="J58" s="81" t="s">
        <v>79</v>
      </c>
      <c r="K58" s="127" t="s">
        <v>80</v>
      </c>
      <c r="L58" s="81" t="s">
        <v>81</v>
      </c>
      <c r="M58" s="128" t="s">
        <v>82</v>
      </c>
      <c r="N58" s="129" t="s">
        <v>83</v>
      </c>
      <c r="O58" s="130" t="s">
        <v>84</v>
      </c>
      <c r="P58" s="131" t="s">
        <v>85</v>
      </c>
      <c r="Q58" s="131" t="s">
        <v>86</v>
      </c>
      <c r="R58" s="197" t="s">
        <v>87</v>
      </c>
      <c r="S58" s="219"/>
      <c r="T58" s="217"/>
      <c r="U58" s="77"/>
    </row>
    <row r="59" customFormat="false" ht="20.15" hidden="false" customHeight="true" outlineLevel="0" collapsed="false">
      <c r="B59" s="77"/>
      <c r="C59" s="217"/>
      <c r="D59" s="220"/>
      <c r="E59" s="86" t="s">
        <v>13</v>
      </c>
      <c r="F59" s="87" t="s">
        <v>14</v>
      </c>
      <c r="G59" s="221" t="n">
        <v>4</v>
      </c>
      <c r="H59" s="222" t="s">
        <v>66</v>
      </c>
      <c r="I59" s="221" t="n">
        <v>0</v>
      </c>
      <c r="J59" s="221" t="n">
        <v>50</v>
      </c>
      <c r="K59" s="221" t="s">
        <v>66</v>
      </c>
      <c r="L59" s="223" t="n">
        <f aca="false">IF(J59="",0,(J59/J63)*100)</f>
        <v>58.1395348837209</v>
      </c>
      <c r="M59" s="221" t="n">
        <v>2</v>
      </c>
      <c r="N59" s="224" t="n">
        <v>3</v>
      </c>
      <c r="O59" s="137" t="n">
        <f aca="false">IF(M59=1,1,0)</f>
        <v>0</v>
      </c>
      <c r="P59" s="138" t="n">
        <f aca="false">IF(M59=2,1,0)</f>
        <v>1</v>
      </c>
      <c r="Q59" s="138" t="n">
        <f aca="false">IF(M59=3,1,0)</f>
        <v>0</v>
      </c>
      <c r="R59" s="139" t="n">
        <f aca="false">IF(M59=4,1,0)</f>
        <v>0</v>
      </c>
      <c r="S59" s="225"/>
      <c r="T59" s="217"/>
      <c r="U59" s="77"/>
    </row>
    <row r="60" customFormat="false" ht="20.15" hidden="false" customHeight="true" outlineLevel="0" collapsed="false">
      <c r="B60" s="77"/>
      <c r="C60" s="217"/>
      <c r="D60" s="220"/>
      <c r="E60" s="226" t="s">
        <v>16</v>
      </c>
      <c r="F60" s="227" t="s">
        <v>17</v>
      </c>
      <c r="G60" s="228" t="n">
        <v>2</v>
      </c>
      <c r="H60" s="317" t="s">
        <v>66</v>
      </c>
      <c r="I60" s="228" t="n">
        <v>0</v>
      </c>
      <c r="J60" s="228" t="n">
        <v>45</v>
      </c>
      <c r="K60" s="228" t="s">
        <v>66</v>
      </c>
      <c r="L60" s="229" t="n">
        <f aca="false">IF(J60="",0,(J60/J63)*100)</f>
        <v>52.3255813953488</v>
      </c>
      <c r="M60" s="228" t="n">
        <v>3</v>
      </c>
      <c r="N60" s="230" t="n">
        <v>1</v>
      </c>
      <c r="O60" s="144" t="n">
        <f aca="false">IF(M60=1,1,0)</f>
        <v>0</v>
      </c>
      <c r="P60" s="145" t="n">
        <f aca="false">IF(M60=2,1,0)</f>
        <v>0</v>
      </c>
      <c r="Q60" s="145" t="n">
        <f aca="false">IF(M60=3,1,0)</f>
        <v>1</v>
      </c>
      <c r="R60" s="146" t="n">
        <f aca="false">IF(M60=4,1,0)</f>
        <v>0</v>
      </c>
      <c r="S60" s="225"/>
      <c r="T60" s="217"/>
      <c r="U60" s="77"/>
    </row>
    <row r="61" customFormat="false" ht="20.15" hidden="false" customHeight="true" outlineLevel="0" collapsed="false">
      <c r="B61" s="77"/>
      <c r="C61" s="217"/>
      <c r="D61" s="220"/>
      <c r="E61" s="226" t="s">
        <v>25</v>
      </c>
      <c r="F61" s="227" t="s">
        <v>26</v>
      </c>
      <c r="G61" s="228" t="n">
        <v>3</v>
      </c>
      <c r="H61" s="317" t="s">
        <v>66</v>
      </c>
      <c r="I61" s="228" t="n">
        <v>0</v>
      </c>
      <c r="J61" s="228" t="n">
        <v>42</v>
      </c>
      <c r="K61" s="228" t="s">
        <v>66</v>
      </c>
      <c r="L61" s="229" t="n">
        <f aca="false">IF(J61="",0,(J61/J63)*100)</f>
        <v>48.8372093023256</v>
      </c>
      <c r="M61" s="228" t="n">
        <v>4</v>
      </c>
      <c r="N61" s="230" t="n">
        <v>0</v>
      </c>
      <c r="O61" s="144" t="n">
        <f aca="false">IF(M61=1,1,0)</f>
        <v>0</v>
      </c>
      <c r="P61" s="145" t="n">
        <f aca="false">IF(M61=2,1,0)</f>
        <v>0</v>
      </c>
      <c r="Q61" s="145" t="n">
        <f aca="false">IF(M61=3,1,0)</f>
        <v>0</v>
      </c>
      <c r="R61" s="146" t="n">
        <f aca="false">IF(M61=4,1,0)</f>
        <v>1</v>
      </c>
      <c r="S61" s="225"/>
      <c r="T61" s="217"/>
      <c r="U61" s="77"/>
    </row>
    <row r="62" customFormat="false" ht="20.15" hidden="false" customHeight="true" outlineLevel="0" collapsed="false">
      <c r="B62" s="77"/>
      <c r="C62" s="217"/>
      <c r="D62" s="231"/>
      <c r="E62" s="318" t="s">
        <v>27</v>
      </c>
      <c r="F62" s="391" t="s">
        <v>29</v>
      </c>
      <c r="G62" s="322" t="n">
        <v>1</v>
      </c>
      <c r="H62" s="321" t="s">
        <v>66</v>
      </c>
      <c r="I62" s="322" t="n">
        <v>0</v>
      </c>
      <c r="J62" s="322" t="n">
        <v>86</v>
      </c>
      <c r="K62" s="322" t="s">
        <v>66</v>
      </c>
      <c r="L62" s="323" t="n">
        <f aca="false">IF(J62="",0,(J62/J63)*100)</f>
        <v>100</v>
      </c>
      <c r="M62" s="322" t="n">
        <v>1</v>
      </c>
      <c r="N62" s="324" t="n">
        <v>6</v>
      </c>
      <c r="O62" s="156" t="n">
        <f aca="false">IF(M62=1,1,0)</f>
        <v>1</v>
      </c>
      <c r="P62" s="157" t="n">
        <f aca="false">IF(M62=2,1,0)</f>
        <v>0</v>
      </c>
      <c r="Q62" s="157" t="n">
        <f aca="false">IF(M62=3,1,0)</f>
        <v>0</v>
      </c>
      <c r="R62" s="158" t="n">
        <f aca="false">IF(M62=4,1,0)</f>
        <v>0</v>
      </c>
      <c r="S62" s="225"/>
      <c r="T62" s="217"/>
      <c r="U62" s="77"/>
    </row>
    <row r="63" customFormat="false" ht="20.15" hidden="true" customHeight="true" outlineLevel="1" collapsed="false">
      <c r="B63" s="77"/>
      <c r="C63" s="217"/>
      <c r="D63" s="220"/>
      <c r="E63" s="220"/>
      <c r="F63" s="225"/>
      <c r="G63" s="225"/>
      <c r="H63" s="217"/>
      <c r="I63" s="185" t="s">
        <v>92</v>
      </c>
      <c r="J63" s="161" t="n">
        <f aca="false">MAX(J59:J62)</f>
        <v>86</v>
      </c>
      <c r="K63" s="237"/>
      <c r="L63" s="225"/>
      <c r="M63" s="217"/>
      <c r="N63" s="164" t="s">
        <v>93</v>
      </c>
      <c r="O63" s="165" t="n">
        <f aca="false">SUM(O59:O62)</f>
        <v>1</v>
      </c>
      <c r="P63" s="166" t="n">
        <f aca="false">SUM(P59:P62)</f>
        <v>1</v>
      </c>
      <c r="Q63" s="165" t="n">
        <f aca="false">SUM(Q59:Q62)</f>
        <v>1</v>
      </c>
      <c r="R63" s="187" t="n">
        <f aca="false">SUM(R59:R62)</f>
        <v>1</v>
      </c>
      <c r="S63" s="238"/>
      <c r="T63" s="217"/>
      <c r="U63" s="77"/>
    </row>
    <row r="64" customFormat="false" ht="20.15" hidden="false" customHeight="true" outlineLevel="0" collapsed="false">
      <c r="B64" s="77"/>
      <c r="C64" s="217"/>
      <c r="D64" s="239"/>
      <c r="E64" s="239"/>
      <c r="F64" s="217"/>
      <c r="G64" s="217"/>
      <c r="H64" s="217"/>
      <c r="I64" s="217"/>
      <c r="J64" s="217"/>
      <c r="K64" s="217"/>
      <c r="L64" s="217"/>
      <c r="M64" s="217"/>
      <c r="N64" s="217"/>
      <c r="O64" s="217"/>
      <c r="P64" s="217"/>
      <c r="Q64" s="217"/>
      <c r="R64" s="217"/>
      <c r="S64" s="217"/>
      <c r="T64" s="217"/>
      <c r="U64" s="77"/>
    </row>
    <row r="65" customFormat="false" ht="20.15" hidden="false" customHeight="true" outlineLevel="0" collapsed="false">
      <c r="B65" s="77"/>
      <c r="D65" s="5"/>
      <c r="E65" s="5"/>
      <c r="F65" s="5"/>
      <c r="G65" s="5"/>
      <c r="H65" s="5"/>
      <c r="I65" s="5"/>
      <c r="J65" s="5"/>
      <c r="K65" s="14"/>
      <c r="L65" s="14"/>
      <c r="M65" s="14"/>
      <c r="N65" s="14"/>
      <c r="O65" s="14"/>
      <c r="P65" s="14"/>
      <c r="Q65" s="14"/>
      <c r="R65" s="14"/>
      <c r="S65" s="14"/>
      <c r="U65" s="77"/>
    </row>
    <row r="66" customFormat="false" ht="30" hidden="false" customHeight="true" outlineLevel="0" collapsed="false">
      <c r="B66" s="77"/>
      <c r="C66" s="240"/>
      <c r="D66" s="241" t="s">
        <v>101</v>
      </c>
      <c r="E66" s="241"/>
      <c r="F66" s="241"/>
      <c r="G66" s="241"/>
      <c r="H66" s="241"/>
      <c r="I66" s="241"/>
      <c r="J66" s="241"/>
      <c r="K66" s="241"/>
      <c r="L66" s="241"/>
      <c r="M66" s="241"/>
      <c r="N66" s="241"/>
      <c r="O66" s="241"/>
      <c r="P66" s="241"/>
      <c r="Q66" s="241"/>
      <c r="R66" s="241"/>
      <c r="S66" s="241"/>
      <c r="T66" s="240"/>
      <c r="U66" s="77"/>
    </row>
    <row r="67" customFormat="false" ht="50.15" hidden="false" customHeight="true" outlineLevel="0" collapsed="false">
      <c r="B67" s="77"/>
      <c r="C67" s="240"/>
      <c r="D67" s="242" t="s">
        <v>52</v>
      </c>
      <c r="E67" s="243" t="s">
        <v>53</v>
      </c>
      <c r="F67" s="244" t="s">
        <v>83</v>
      </c>
      <c r="G67" s="245" t="s">
        <v>102</v>
      </c>
      <c r="H67" s="246" t="s">
        <v>103</v>
      </c>
      <c r="I67" s="246"/>
      <c r="J67" s="247" t="s">
        <v>104</v>
      </c>
      <c r="K67" s="248" t="s">
        <v>105</v>
      </c>
      <c r="L67" s="244" t="s">
        <v>106</v>
      </c>
      <c r="M67" s="248" t="s">
        <v>107</v>
      </c>
      <c r="N67" s="244" t="s">
        <v>108</v>
      </c>
      <c r="O67" s="249"/>
      <c r="P67" s="250"/>
      <c r="Q67" s="250"/>
      <c r="R67" s="250"/>
      <c r="S67" s="243" t="s">
        <v>109</v>
      </c>
      <c r="T67" s="240"/>
      <c r="U67" s="77"/>
    </row>
    <row r="68" customFormat="false" ht="20.15" hidden="false" customHeight="true" outlineLevel="0" collapsed="false">
      <c r="B68" s="77"/>
      <c r="C68" s="240"/>
      <c r="D68" s="251" t="s">
        <v>27</v>
      </c>
      <c r="E68" s="17" t="s">
        <v>28</v>
      </c>
      <c r="F68" s="253" t="n">
        <f aca="false">(K68*6+L68*3+M68*1+N68*0)</f>
        <v>19</v>
      </c>
      <c r="G68" s="253" t="n">
        <v>0</v>
      </c>
      <c r="H68" s="254" t="s">
        <v>66</v>
      </c>
      <c r="I68" s="254"/>
      <c r="J68" s="253" t="n">
        <f aca="false">F68+G68</f>
        <v>19</v>
      </c>
      <c r="K68" s="253" t="n">
        <v>3</v>
      </c>
      <c r="L68" s="253" t="n">
        <v>0</v>
      </c>
      <c r="M68" s="253" t="n">
        <v>1</v>
      </c>
      <c r="N68" s="253" t="n">
        <v>0</v>
      </c>
      <c r="O68" s="253"/>
      <c r="P68" s="253"/>
      <c r="Q68" s="253"/>
      <c r="R68" s="253"/>
      <c r="S68" s="255" t="n">
        <f aca="false">(L35+L44+L53+L62)/4</f>
        <v>90.3225806451613</v>
      </c>
      <c r="T68" s="240"/>
      <c r="U68" s="77"/>
      <c r="W68" s="256"/>
      <c r="X68" s="256"/>
      <c r="Y68" s="256"/>
      <c r="Z68" s="256"/>
    </row>
    <row r="69" customFormat="false" ht="20.15" hidden="false" customHeight="true" outlineLevel="0" collapsed="false">
      <c r="B69" s="77"/>
      <c r="C69" s="240"/>
      <c r="D69" s="383" t="s">
        <v>16</v>
      </c>
      <c r="E69" s="384" t="s">
        <v>17</v>
      </c>
      <c r="F69" s="259" t="n">
        <f aca="false">(K69*6+L69*3+M69*1+N69*0)</f>
        <v>10</v>
      </c>
      <c r="G69" s="259" t="n">
        <v>0</v>
      </c>
      <c r="H69" s="260" t="s">
        <v>66</v>
      </c>
      <c r="I69" s="260"/>
      <c r="J69" s="259" t="n">
        <f aca="false">F69+G69</f>
        <v>10</v>
      </c>
      <c r="K69" s="259" t="n">
        <v>1</v>
      </c>
      <c r="L69" s="259" t="n">
        <v>1</v>
      </c>
      <c r="M69" s="259" t="n">
        <v>1</v>
      </c>
      <c r="N69" s="259" t="n">
        <v>1</v>
      </c>
      <c r="O69" s="259"/>
      <c r="P69" s="259"/>
      <c r="Q69" s="259"/>
      <c r="R69" s="259"/>
      <c r="S69" s="261" t="n">
        <f aca="false">(L33+L42+L51+L60)/4</f>
        <v>69.1375968992248</v>
      </c>
      <c r="T69" s="240"/>
      <c r="U69" s="77"/>
      <c r="W69" s="262"/>
      <c r="X69" s="262"/>
      <c r="Y69" s="262"/>
      <c r="Z69" s="262"/>
    </row>
    <row r="70" customFormat="false" ht="20.15" hidden="false" customHeight="true" outlineLevel="0" collapsed="false">
      <c r="B70" s="77"/>
      <c r="C70" s="240"/>
      <c r="D70" s="257" t="s">
        <v>13</v>
      </c>
      <c r="E70" s="258" t="s">
        <v>14</v>
      </c>
      <c r="F70" s="259" t="n">
        <f aca="false">(K70*6+L70*3+M70*1+N70*0)</f>
        <v>6</v>
      </c>
      <c r="G70" s="259" t="n">
        <v>0</v>
      </c>
      <c r="H70" s="260" t="s">
        <v>66</v>
      </c>
      <c r="I70" s="260"/>
      <c r="J70" s="259" t="n">
        <f aca="false">F70+G70</f>
        <v>6</v>
      </c>
      <c r="K70" s="259" t="n">
        <v>0</v>
      </c>
      <c r="L70" s="259" t="n">
        <v>2</v>
      </c>
      <c r="M70" s="259" t="n">
        <v>0</v>
      </c>
      <c r="N70" s="259" t="n">
        <v>2</v>
      </c>
      <c r="O70" s="259"/>
      <c r="P70" s="259"/>
      <c r="Q70" s="259"/>
      <c r="R70" s="259"/>
      <c r="S70" s="261" t="n">
        <f aca="false">(L32+L41+L50+L59)/4</f>
        <v>61.5044386096524</v>
      </c>
      <c r="T70" s="240"/>
      <c r="U70" s="77"/>
      <c r="W70" s="262"/>
      <c r="X70" s="262"/>
      <c r="Y70" s="262"/>
      <c r="Z70" s="262"/>
    </row>
    <row r="71" customFormat="false" ht="20.15" hidden="false" customHeight="true" outlineLevel="0" collapsed="false">
      <c r="B71" s="77"/>
      <c r="C71" s="240"/>
      <c r="D71" s="265" t="s">
        <v>25</v>
      </c>
      <c r="E71" s="266" t="s">
        <v>26</v>
      </c>
      <c r="F71" s="267" t="n">
        <f aca="false">(K71*6+L71*3+M71*1+N71*0)</f>
        <v>5</v>
      </c>
      <c r="G71" s="267" t="n">
        <v>0</v>
      </c>
      <c r="H71" s="268" t="s">
        <v>66</v>
      </c>
      <c r="I71" s="268"/>
      <c r="J71" s="267" t="n">
        <f aca="false">F71+G71</f>
        <v>5</v>
      </c>
      <c r="K71" s="267" t="n">
        <v>0</v>
      </c>
      <c r="L71" s="267" t="n">
        <v>1</v>
      </c>
      <c r="M71" s="267" t="n">
        <v>2</v>
      </c>
      <c r="N71" s="267" t="n">
        <v>1</v>
      </c>
      <c r="O71" s="267"/>
      <c r="P71" s="267"/>
      <c r="Q71" s="267"/>
      <c r="R71" s="267"/>
      <c r="S71" s="269" t="n">
        <f aca="false">(L34+L43+L52+L61)/4</f>
        <v>66.0290072518129</v>
      </c>
      <c r="T71" s="240"/>
      <c r="U71" s="77"/>
      <c r="W71" s="262"/>
      <c r="X71" s="262"/>
      <c r="Y71" s="262"/>
      <c r="Z71" s="262"/>
      <c r="AB71" s="262"/>
      <c r="AC71" s="262"/>
      <c r="AD71" s="262"/>
      <c r="AE71" s="262"/>
    </row>
    <row r="72" customFormat="false" ht="20.15" hidden="false" customHeight="true" outlineLevel="0" collapsed="false">
      <c r="B72" s="77"/>
      <c r="C72" s="240"/>
      <c r="D72" s="240"/>
      <c r="E72" s="240"/>
      <c r="F72" s="240"/>
      <c r="G72" s="240"/>
      <c r="H72" s="240"/>
      <c r="I72" s="240"/>
      <c r="J72" s="240"/>
      <c r="K72" s="240"/>
      <c r="L72" s="240"/>
      <c r="M72" s="240"/>
      <c r="N72" s="240"/>
      <c r="O72" s="240"/>
      <c r="P72" s="240"/>
      <c r="Q72" s="240"/>
      <c r="R72" s="240"/>
      <c r="S72" s="240"/>
      <c r="T72" s="240"/>
      <c r="U72" s="77"/>
      <c r="W72" s="262"/>
      <c r="X72" s="262"/>
      <c r="Y72" s="262"/>
      <c r="Z72" s="262"/>
    </row>
    <row r="73" customFormat="false" ht="20.15" hidden="false" customHeight="true" outlineLevel="0" collapsed="false">
      <c r="B73" s="77"/>
      <c r="C73" s="77"/>
      <c r="D73" s="270"/>
      <c r="E73" s="270"/>
      <c r="F73" s="195"/>
      <c r="G73" s="195"/>
      <c r="H73" s="270"/>
      <c r="I73" s="270"/>
      <c r="J73" s="270"/>
      <c r="K73" s="207"/>
      <c r="L73" s="207"/>
      <c r="M73" s="207"/>
      <c r="N73" s="207"/>
      <c r="O73" s="207"/>
      <c r="P73" s="207"/>
      <c r="Q73" s="207"/>
      <c r="R73" s="207"/>
      <c r="S73" s="207"/>
      <c r="T73" s="77"/>
      <c r="U73" s="77"/>
    </row>
    <row r="74" customFormat="false" ht="20.15" hidden="false" customHeight="true" outlineLevel="0" collapsed="false">
      <c r="C74" s="271"/>
      <c r="U74" s="271"/>
    </row>
    <row r="75" customFormat="false" ht="20.15" hidden="false" customHeight="true" outlineLevel="0" collapsed="false">
      <c r="D75" s="273"/>
      <c r="O75" s="14"/>
      <c r="P75" s="14"/>
      <c r="Q75" s="14"/>
      <c r="R75" s="14"/>
      <c r="S75" s="14"/>
    </row>
    <row r="76" customFormat="false" ht="20.15" hidden="false" customHeight="true" outlineLevel="0" collapsed="false">
      <c r="B76" s="77"/>
      <c r="C76" s="77"/>
      <c r="D76" s="78"/>
      <c r="E76" s="78"/>
      <c r="F76" s="78"/>
      <c r="G76" s="78"/>
      <c r="H76" s="77"/>
      <c r="I76" s="77"/>
      <c r="J76" s="77"/>
      <c r="K76" s="77"/>
      <c r="L76" s="77"/>
      <c r="M76" s="77"/>
      <c r="N76" s="77"/>
      <c r="O76" s="77"/>
      <c r="P76" s="77"/>
      <c r="Q76" s="77"/>
      <c r="R76" s="77"/>
      <c r="S76" s="77"/>
      <c r="T76" s="77"/>
      <c r="U76" s="77"/>
    </row>
    <row r="77" customFormat="false" ht="30" hidden="false" customHeight="true" outlineLevel="0" collapsed="false">
      <c r="B77" s="77"/>
      <c r="C77" s="79" t="s">
        <v>310</v>
      </c>
      <c r="D77" s="79"/>
      <c r="E77" s="79"/>
      <c r="F77" s="79"/>
      <c r="G77" s="79"/>
      <c r="H77" s="79"/>
      <c r="I77" s="79"/>
      <c r="J77" s="79"/>
      <c r="K77" s="79"/>
      <c r="L77" s="79"/>
      <c r="M77" s="79"/>
      <c r="N77" s="79"/>
      <c r="O77" s="79"/>
      <c r="P77" s="79"/>
      <c r="Q77" s="79"/>
      <c r="R77" s="79"/>
      <c r="S77" s="79"/>
      <c r="T77" s="79"/>
      <c r="U77" s="77"/>
    </row>
    <row r="78" customFormat="false" ht="20.15" hidden="false" customHeight="true" outlineLevel="0" collapsed="false">
      <c r="B78" s="77"/>
      <c r="D78" s="121"/>
      <c r="E78" s="121"/>
      <c r="U78" s="77"/>
    </row>
    <row r="79" customFormat="false" ht="20.15" hidden="false" customHeight="true" outlineLevel="0" collapsed="false">
      <c r="B79" s="77"/>
      <c r="D79" s="274" t="s">
        <v>52</v>
      </c>
      <c r="E79" s="83" t="s">
        <v>111</v>
      </c>
      <c r="F79" s="82" t="s">
        <v>12</v>
      </c>
      <c r="G79" s="275" t="s">
        <v>54</v>
      </c>
      <c r="H79" s="275"/>
      <c r="I79" s="275"/>
      <c r="J79" s="275"/>
      <c r="K79" s="81" t="s">
        <v>55</v>
      </c>
      <c r="L79" s="83" t="s">
        <v>56</v>
      </c>
      <c r="M79" s="83"/>
      <c r="N79" s="83"/>
      <c r="O79" s="83"/>
      <c r="P79" s="83"/>
      <c r="Q79" s="83"/>
      <c r="R79" s="83"/>
      <c r="S79" s="83"/>
      <c r="U79" s="77"/>
    </row>
    <row r="80" customFormat="false" ht="20.15" hidden="false" customHeight="true" outlineLevel="0" collapsed="false">
      <c r="B80" s="77"/>
      <c r="D80" s="274"/>
      <c r="E80" s="83"/>
      <c r="F80" s="82"/>
      <c r="G80" s="85" t="s">
        <v>57</v>
      </c>
      <c r="H80" s="84" t="s">
        <v>58</v>
      </c>
      <c r="I80" s="82" t="s">
        <v>59</v>
      </c>
      <c r="J80" s="82"/>
      <c r="K80" s="84" t="s">
        <v>60</v>
      </c>
      <c r="L80" s="276" t="s">
        <v>57</v>
      </c>
      <c r="M80" s="277" t="s">
        <v>61</v>
      </c>
      <c r="N80" s="278" t="s">
        <v>59</v>
      </c>
      <c r="O80" s="278"/>
      <c r="P80" s="278"/>
      <c r="Q80" s="278"/>
      <c r="R80" s="278"/>
      <c r="S80" s="278"/>
      <c r="U80" s="77"/>
    </row>
    <row r="81" customFormat="false" ht="50.15" hidden="false" customHeight="true" outlineLevel="0" collapsed="false">
      <c r="B81" s="77"/>
      <c r="D81" s="367" t="s">
        <v>21</v>
      </c>
      <c r="E81" s="372" t="s">
        <v>22</v>
      </c>
      <c r="F81" s="343" t="n">
        <v>1</v>
      </c>
      <c r="G81" s="280" t="s">
        <v>67</v>
      </c>
      <c r="H81" s="281" t="s">
        <v>245</v>
      </c>
      <c r="I81" s="282" t="s">
        <v>311</v>
      </c>
      <c r="J81" s="282"/>
      <c r="K81" s="373" t="s">
        <v>65</v>
      </c>
      <c r="L81" s="284" t="s">
        <v>66</v>
      </c>
      <c r="M81" s="94" t="s">
        <v>66</v>
      </c>
      <c r="N81" s="95" t="s">
        <v>66</v>
      </c>
      <c r="O81" s="95"/>
      <c r="P81" s="95"/>
      <c r="Q81" s="95"/>
      <c r="R81" s="95"/>
      <c r="S81" s="95"/>
      <c r="U81" s="77"/>
    </row>
    <row r="82" customFormat="false" ht="95.15" hidden="false" customHeight="true" outlineLevel="0" collapsed="false">
      <c r="B82" s="77"/>
      <c r="D82" s="105" t="s">
        <v>39</v>
      </c>
      <c r="E82" s="290" t="s">
        <v>40</v>
      </c>
      <c r="F82" s="346" t="n">
        <v>2</v>
      </c>
      <c r="G82" s="286" t="s">
        <v>71</v>
      </c>
      <c r="H82" s="99" t="s">
        <v>250</v>
      </c>
      <c r="I82" s="287" t="s">
        <v>312</v>
      </c>
      <c r="J82" s="287"/>
      <c r="K82" s="288" t="s">
        <v>65</v>
      </c>
      <c r="L82" s="289" t="s">
        <v>66</v>
      </c>
      <c r="M82" s="103" t="s">
        <v>66</v>
      </c>
      <c r="N82" s="104" t="s">
        <v>66</v>
      </c>
      <c r="O82" s="104"/>
      <c r="P82" s="104"/>
      <c r="Q82" s="104"/>
      <c r="R82" s="104"/>
      <c r="S82" s="104"/>
      <c r="U82" s="77"/>
    </row>
    <row r="83" customFormat="false" ht="35.15" hidden="false" customHeight="true" outlineLevel="0" collapsed="false">
      <c r="B83" s="77"/>
      <c r="D83" s="295" t="s">
        <v>33</v>
      </c>
      <c r="E83" s="410" t="s">
        <v>34</v>
      </c>
      <c r="F83" s="350" t="n">
        <v>3</v>
      </c>
      <c r="G83" s="467" t="s">
        <v>67</v>
      </c>
      <c r="H83" s="393" t="s">
        <v>175</v>
      </c>
      <c r="I83" s="468" t="s">
        <v>66</v>
      </c>
      <c r="J83" s="468"/>
      <c r="K83" s="469" t="s">
        <v>65</v>
      </c>
      <c r="L83" s="301" t="s">
        <v>66</v>
      </c>
      <c r="M83" s="302" t="s">
        <v>66</v>
      </c>
      <c r="N83" s="303" t="s">
        <v>66</v>
      </c>
      <c r="O83" s="303"/>
      <c r="P83" s="303"/>
      <c r="Q83" s="303"/>
      <c r="R83" s="303"/>
      <c r="S83" s="303"/>
      <c r="U83" s="77"/>
    </row>
    <row r="84" customFormat="false" ht="20.15" hidden="false" customHeight="true" outlineLevel="0" collapsed="false">
      <c r="B84" s="77"/>
      <c r="D84" s="121"/>
      <c r="E84" s="121"/>
      <c r="U84" s="77"/>
    </row>
    <row r="85" customFormat="false" ht="20.15" hidden="false" customHeight="true" outlineLevel="0" collapsed="false">
      <c r="B85" s="77"/>
      <c r="C85" s="122"/>
      <c r="D85" s="122"/>
      <c r="E85" s="123" t="str">
        <f aca="false">IF(OR(L81="-",L81= ""),H81,L81)</f>
        <v>City of the Big Shoulders</v>
      </c>
      <c r="F85" s="123"/>
      <c r="G85" s="123"/>
      <c r="H85" s="123"/>
      <c r="I85" s="123"/>
      <c r="J85" s="123"/>
      <c r="K85" s="123"/>
      <c r="L85" s="123"/>
      <c r="M85" s="123"/>
      <c r="N85" s="123"/>
      <c r="O85" s="124"/>
      <c r="P85" s="124"/>
      <c r="Q85" s="124"/>
      <c r="R85" s="124"/>
      <c r="S85" s="124"/>
      <c r="T85" s="122"/>
      <c r="U85" s="77"/>
    </row>
    <row r="86" customFormat="false" ht="50.15" hidden="false" customHeight="true" outlineLevel="0" collapsed="false">
      <c r="B86" s="77"/>
      <c r="C86" s="122"/>
      <c r="D86" s="124"/>
      <c r="E86" s="125" t="s">
        <v>52</v>
      </c>
      <c r="F86" s="126" t="s">
        <v>75</v>
      </c>
      <c r="G86" s="82" t="s">
        <v>76</v>
      </c>
      <c r="H86" s="81" t="s">
        <v>77</v>
      </c>
      <c r="I86" s="59" t="s">
        <v>78</v>
      </c>
      <c r="J86" s="81" t="s">
        <v>79</v>
      </c>
      <c r="K86" s="127" t="s">
        <v>80</v>
      </c>
      <c r="L86" s="81" t="s">
        <v>81</v>
      </c>
      <c r="M86" s="128" t="s">
        <v>82</v>
      </c>
      <c r="N86" s="129" t="s">
        <v>83</v>
      </c>
      <c r="O86" s="130" t="s">
        <v>84</v>
      </c>
      <c r="P86" s="131" t="s">
        <v>85</v>
      </c>
      <c r="Q86" s="131" t="s">
        <v>86</v>
      </c>
      <c r="R86" s="124"/>
      <c r="S86" s="124"/>
      <c r="T86" s="122"/>
      <c r="U86" s="77"/>
    </row>
    <row r="87" customFormat="false" ht="20.15" hidden="false" customHeight="true" outlineLevel="0" collapsed="false">
      <c r="B87" s="77"/>
      <c r="C87" s="122"/>
      <c r="D87" s="152"/>
      <c r="E87" s="416" t="s">
        <v>21</v>
      </c>
      <c r="F87" s="380" t="s">
        <v>22</v>
      </c>
      <c r="G87" s="325" t="n">
        <v>1</v>
      </c>
      <c r="H87" s="201" t="s">
        <v>313</v>
      </c>
      <c r="I87" s="201" t="n">
        <v>0</v>
      </c>
      <c r="J87" s="201" t="n">
        <v>5600</v>
      </c>
      <c r="K87" s="201" t="s">
        <v>66</v>
      </c>
      <c r="L87" s="204" t="n">
        <f aca="false">IF(J87="",0,(J87/J90)*100)</f>
        <v>100</v>
      </c>
      <c r="M87" s="201" t="n">
        <v>1</v>
      </c>
      <c r="N87" s="205" t="n">
        <v>6</v>
      </c>
      <c r="O87" s="137" t="n">
        <f aca="false">IF(M87=1,1,0)</f>
        <v>1</v>
      </c>
      <c r="P87" s="138" t="n">
        <f aca="false">IF(M87=2,1,0)</f>
        <v>0</v>
      </c>
      <c r="Q87" s="139" t="n">
        <f aca="false">IF(M87=3,1,0)</f>
        <v>0</v>
      </c>
      <c r="R87" s="140"/>
      <c r="S87" s="140"/>
      <c r="T87" s="122"/>
      <c r="U87" s="77"/>
    </row>
    <row r="88" customFormat="false" ht="35.15" hidden="false" customHeight="true" outlineLevel="0" collapsed="false">
      <c r="B88" s="77"/>
      <c r="C88" s="122"/>
      <c r="D88" s="132"/>
      <c r="E88" s="105" t="s">
        <v>39</v>
      </c>
      <c r="F88" s="290" t="s">
        <v>40</v>
      </c>
      <c r="G88" s="306" t="n">
        <v>3</v>
      </c>
      <c r="H88" s="317" t="s">
        <v>236</v>
      </c>
      <c r="I88" s="228" t="n">
        <v>0</v>
      </c>
      <c r="J88" s="228" t="n">
        <v>4724</v>
      </c>
      <c r="K88" s="317" t="s">
        <v>66</v>
      </c>
      <c r="L88" s="229" t="n">
        <f aca="false">IF(J88="",0,(J88/J90)*100)</f>
        <v>84.3571428571429</v>
      </c>
      <c r="M88" s="228" t="n">
        <v>2</v>
      </c>
      <c r="N88" s="230" t="n">
        <v>3</v>
      </c>
      <c r="O88" s="144" t="n">
        <f aca="false">IF(M88=1,1,0)</f>
        <v>0</v>
      </c>
      <c r="P88" s="145" t="n">
        <f aca="false">IF(M88=2,1,0)</f>
        <v>1</v>
      </c>
      <c r="Q88" s="146" t="n">
        <f aca="false">IF(M88=3,1,0)</f>
        <v>0</v>
      </c>
      <c r="R88" s="140"/>
      <c r="S88" s="140"/>
      <c r="T88" s="122"/>
      <c r="U88" s="77"/>
    </row>
    <row r="89" customFormat="false" ht="35.15" hidden="false" customHeight="true" outlineLevel="0" collapsed="false">
      <c r="B89" s="77"/>
      <c r="C89" s="122"/>
      <c r="D89" s="132"/>
      <c r="E89" s="295" t="s">
        <v>33</v>
      </c>
      <c r="F89" s="410" t="s">
        <v>34</v>
      </c>
      <c r="G89" s="307" t="n">
        <v>2</v>
      </c>
      <c r="H89" s="308" t="s">
        <v>314</v>
      </c>
      <c r="I89" s="234" t="n">
        <v>0</v>
      </c>
      <c r="J89" s="234" t="n">
        <v>2836</v>
      </c>
      <c r="K89" s="308" t="s">
        <v>66</v>
      </c>
      <c r="L89" s="235" t="n">
        <f aca="false">IF(J89="",0,(J89/J90)*100)</f>
        <v>50.6428571428572</v>
      </c>
      <c r="M89" s="234" t="n">
        <v>3</v>
      </c>
      <c r="N89" s="236" t="n">
        <v>0</v>
      </c>
      <c r="O89" s="156" t="n">
        <f aca="false">IF(M89=1,1,0)</f>
        <v>0</v>
      </c>
      <c r="P89" s="157" t="n">
        <f aca="false">IF(M89=2,1,0)</f>
        <v>0</v>
      </c>
      <c r="Q89" s="158" t="n">
        <f aca="false">IF(M89=3,1,0)</f>
        <v>1</v>
      </c>
      <c r="R89" s="140"/>
      <c r="S89" s="140"/>
      <c r="T89" s="122"/>
      <c r="U89" s="77"/>
    </row>
    <row r="90" customFormat="false" ht="20.15" hidden="true" customHeight="true" outlineLevel="1" collapsed="false">
      <c r="B90" s="77"/>
      <c r="C90" s="122"/>
      <c r="D90" s="152"/>
      <c r="E90" s="152"/>
      <c r="F90" s="140"/>
      <c r="G90" s="140"/>
      <c r="H90" s="122"/>
      <c r="I90" s="213" t="s">
        <v>92</v>
      </c>
      <c r="J90" s="161" t="n">
        <f aca="false">MAX(J87:J89)</f>
        <v>5600</v>
      </c>
      <c r="K90" s="309"/>
      <c r="L90" s="167"/>
      <c r="M90" s="122"/>
      <c r="N90" s="164" t="s">
        <v>93</v>
      </c>
      <c r="O90" s="165" t="n">
        <f aca="false">SUM(O87:O89)</f>
        <v>1</v>
      </c>
      <c r="P90" s="166" t="n">
        <f aca="false">SUM(P87:P89)</f>
        <v>1</v>
      </c>
      <c r="Q90" s="165" t="n">
        <f aca="false">SUM(Q87:Q89)</f>
        <v>1</v>
      </c>
      <c r="R90" s="167"/>
      <c r="S90" s="167"/>
      <c r="T90" s="122"/>
      <c r="U90" s="77"/>
    </row>
    <row r="91" customFormat="false" ht="20.15" hidden="false" customHeight="true" outlineLevel="0" collapsed="false">
      <c r="B91" s="77"/>
      <c r="C91" s="122"/>
      <c r="D91" s="168"/>
      <c r="E91" s="168"/>
      <c r="F91" s="122"/>
      <c r="G91" s="122"/>
      <c r="H91" s="122"/>
      <c r="I91" s="122"/>
      <c r="J91" s="122"/>
      <c r="K91" s="122"/>
      <c r="L91" s="122"/>
      <c r="M91" s="122"/>
      <c r="N91" s="122"/>
      <c r="O91" s="122"/>
      <c r="P91" s="122"/>
      <c r="Q91" s="122"/>
      <c r="R91" s="122"/>
      <c r="S91" s="122"/>
      <c r="T91" s="122"/>
      <c r="U91" s="77"/>
    </row>
    <row r="92" customFormat="false" ht="20.15" hidden="false" customHeight="true" outlineLevel="0" collapsed="false">
      <c r="B92" s="77"/>
      <c r="U92" s="77"/>
    </row>
    <row r="93" customFormat="false" ht="20.15" hidden="false" customHeight="true" outlineLevel="0" collapsed="false">
      <c r="B93" s="77"/>
      <c r="C93" s="170"/>
      <c r="D93" s="170"/>
      <c r="E93" s="171" t="str">
        <f aca="false">IF(OR(L82="-",L82= ""),H82,L82)</f>
        <v>Automobiles</v>
      </c>
      <c r="F93" s="171"/>
      <c r="G93" s="171"/>
      <c r="H93" s="171"/>
      <c r="I93" s="171"/>
      <c r="J93" s="171"/>
      <c r="K93" s="171"/>
      <c r="L93" s="171"/>
      <c r="M93" s="171"/>
      <c r="N93" s="171"/>
      <c r="O93" s="172"/>
      <c r="P93" s="172"/>
      <c r="Q93" s="172"/>
      <c r="R93" s="172"/>
      <c r="S93" s="172"/>
      <c r="T93" s="170"/>
      <c r="U93" s="77"/>
    </row>
    <row r="94" customFormat="false" ht="50.15" hidden="false" customHeight="true" outlineLevel="0" collapsed="false">
      <c r="B94" s="77"/>
      <c r="C94" s="170"/>
      <c r="D94" s="172"/>
      <c r="E94" s="125" t="s">
        <v>52</v>
      </c>
      <c r="F94" s="126" t="s">
        <v>75</v>
      </c>
      <c r="G94" s="82" t="s">
        <v>76</v>
      </c>
      <c r="H94" s="81" t="s">
        <v>77</v>
      </c>
      <c r="I94" s="59" t="s">
        <v>78</v>
      </c>
      <c r="J94" s="81" t="s">
        <v>79</v>
      </c>
      <c r="K94" s="127" t="s">
        <v>80</v>
      </c>
      <c r="L94" s="81" t="s">
        <v>81</v>
      </c>
      <c r="M94" s="128" t="s">
        <v>82</v>
      </c>
      <c r="N94" s="129" t="s">
        <v>83</v>
      </c>
      <c r="O94" s="130" t="s">
        <v>84</v>
      </c>
      <c r="P94" s="131" t="s">
        <v>85</v>
      </c>
      <c r="Q94" s="131" t="s">
        <v>86</v>
      </c>
      <c r="R94" s="172"/>
      <c r="S94" s="172"/>
      <c r="T94" s="170"/>
      <c r="U94" s="77"/>
    </row>
    <row r="95" customFormat="false" ht="20.15" hidden="false" customHeight="true" outlineLevel="0" collapsed="false">
      <c r="B95" s="77"/>
      <c r="C95" s="170"/>
      <c r="D95" s="177"/>
      <c r="E95" s="367" t="s">
        <v>21</v>
      </c>
      <c r="F95" s="372" t="s">
        <v>22</v>
      </c>
      <c r="G95" s="304" t="n">
        <v>1</v>
      </c>
      <c r="H95" s="222" t="s">
        <v>66</v>
      </c>
      <c r="I95" s="221" t="s">
        <v>66</v>
      </c>
      <c r="J95" s="222" t="s">
        <v>253</v>
      </c>
      <c r="K95" s="389" t="s">
        <v>66</v>
      </c>
      <c r="L95" s="223" t="n">
        <f aca="false">(L88+L103)/2</f>
        <v>73.2596525096525</v>
      </c>
      <c r="M95" s="221" t="n">
        <v>3</v>
      </c>
      <c r="N95" s="224" t="n">
        <v>0</v>
      </c>
      <c r="O95" s="137" t="n">
        <f aca="false">IF(M95=1,1,0)</f>
        <v>0</v>
      </c>
      <c r="P95" s="138" t="n">
        <f aca="false">IF(M95=2,1,0)</f>
        <v>0</v>
      </c>
      <c r="Q95" s="139" t="n">
        <f aca="false">IF(M95=3,1,0)</f>
        <v>1</v>
      </c>
      <c r="R95" s="176"/>
      <c r="S95" s="176"/>
      <c r="T95" s="170"/>
      <c r="U95" s="77"/>
    </row>
    <row r="96" customFormat="false" ht="20.15" hidden="false" customHeight="true" outlineLevel="0" collapsed="false">
      <c r="B96" s="77"/>
      <c r="C96" s="170"/>
      <c r="D96" s="173"/>
      <c r="E96" s="147" t="s">
        <v>39</v>
      </c>
      <c r="F96" s="355" t="s">
        <v>40</v>
      </c>
      <c r="G96" s="305" t="n">
        <v>2</v>
      </c>
      <c r="H96" s="179" t="s">
        <v>66</v>
      </c>
      <c r="I96" s="149" t="s">
        <v>66</v>
      </c>
      <c r="J96" s="179" t="s">
        <v>255</v>
      </c>
      <c r="K96" s="179" t="s">
        <v>66</v>
      </c>
      <c r="L96" s="150" t="n">
        <v>100</v>
      </c>
      <c r="M96" s="149" t="n">
        <v>1</v>
      </c>
      <c r="N96" s="151" t="n">
        <v>6</v>
      </c>
      <c r="O96" s="144" t="n">
        <f aca="false">IF(M96=1,1,0)</f>
        <v>1</v>
      </c>
      <c r="P96" s="145" t="n">
        <f aca="false">IF(M96=2,1,0)</f>
        <v>0</v>
      </c>
      <c r="Q96" s="146" t="n">
        <f aca="false">IF(M96=3,1,0)</f>
        <v>0</v>
      </c>
      <c r="R96" s="176"/>
      <c r="S96" s="176"/>
      <c r="T96" s="170"/>
      <c r="U96" s="77"/>
    </row>
    <row r="97" customFormat="false" ht="20.15" hidden="false" customHeight="true" outlineLevel="0" collapsed="false">
      <c r="B97" s="77"/>
      <c r="C97" s="170"/>
      <c r="D97" s="173"/>
      <c r="E97" s="295" t="s">
        <v>33</v>
      </c>
      <c r="F97" s="410" t="s">
        <v>34</v>
      </c>
      <c r="G97" s="307" t="n">
        <v>3</v>
      </c>
      <c r="H97" s="308" t="s">
        <v>66</v>
      </c>
      <c r="I97" s="234" t="s">
        <v>66</v>
      </c>
      <c r="J97" s="308" t="s">
        <v>252</v>
      </c>
      <c r="K97" s="308" t="s">
        <v>66</v>
      </c>
      <c r="L97" s="235" t="n">
        <f aca="false">(L88+L105)/2</f>
        <v>81.3677606177606</v>
      </c>
      <c r="M97" s="234" t="n">
        <v>2</v>
      </c>
      <c r="N97" s="236" t="n">
        <v>3</v>
      </c>
      <c r="O97" s="156" t="n">
        <f aca="false">IF(M97=1,1,0)</f>
        <v>0</v>
      </c>
      <c r="P97" s="157" t="n">
        <f aca="false">IF(M97=2,1,0)</f>
        <v>1</v>
      </c>
      <c r="Q97" s="158" t="n">
        <f aca="false">IF(M97=3,1,0)</f>
        <v>0</v>
      </c>
      <c r="R97" s="176"/>
      <c r="S97" s="176"/>
      <c r="T97" s="170"/>
      <c r="U97" s="77"/>
    </row>
    <row r="98" customFormat="false" ht="20.15" hidden="true" customHeight="true" outlineLevel="1" collapsed="false">
      <c r="B98" s="77"/>
      <c r="C98" s="170"/>
      <c r="D98" s="173"/>
      <c r="E98" s="173"/>
      <c r="F98" s="172"/>
      <c r="G98" s="172"/>
      <c r="H98" s="170"/>
      <c r="I98" s="213" t="s">
        <v>92</v>
      </c>
      <c r="J98" s="161" t="n">
        <f aca="false">MAX(J95:J97)</f>
        <v>0</v>
      </c>
      <c r="K98" s="186"/>
      <c r="L98" s="176"/>
      <c r="M98" s="170"/>
      <c r="N98" s="164" t="s">
        <v>93</v>
      </c>
      <c r="O98" s="165" t="n">
        <f aca="false">SUM(O95:O97)</f>
        <v>1</v>
      </c>
      <c r="P98" s="166" t="n">
        <f aca="false">SUM(P95:P97)</f>
        <v>1</v>
      </c>
      <c r="Q98" s="165" t="n">
        <f aca="false">SUM(Q95:Q97)</f>
        <v>1</v>
      </c>
      <c r="R98" s="188"/>
      <c r="S98" s="188"/>
      <c r="T98" s="170"/>
      <c r="U98" s="77"/>
    </row>
    <row r="99" customFormat="false" ht="20.15" hidden="false" customHeight="true" outlineLevel="0" collapsed="false">
      <c r="B99" s="77"/>
      <c r="C99" s="170"/>
      <c r="D99" s="189"/>
      <c r="E99" s="189"/>
      <c r="F99" s="170"/>
      <c r="G99" s="170"/>
      <c r="H99" s="170"/>
      <c r="I99" s="170"/>
      <c r="J99" s="170"/>
      <c r="K99" s="170"/>
      <c r="L99" s="170"/>
      <c r="M99" s="170"/>
      <c r="N99" s="170"/>
      <c r="O99" s="170"/>
      <c r="P99" s="170"/>
      <c r="Q99" s="170"/>
      <c r="R99" s="170"/>
      <c r="S99" s="170"/>
      <c r="T99" s="170"/>
      <c r="U99" s="77"/>
    </row>
    <row r="100" customFormat="false" ht="20.15" hidden="false" customHeight="true" outlineLevel="0" collapsed="false">
      <c r="B100" s="77"/>
      <c r="D100" s="190"/>
      <c r="E100" s="190"/>
      <c r="F100" s="190"/>
      <c r="G100" s="190"/>
      <c r="H100" s="191"/>
      <c r="I100" s="190"/>
      <c r="J100" s="190"/>
      <c r="K100" s="14"/>
      <c r="L100" s="14"/>
      <c r="M100" s="14"/>
      <c r="N100" s="14"/>
      <c r="O100" s="14"/>
      <c r="P100" s="14"/>
      <c r="Q100" s="14"/>
      <c r="R100" s="14"/>
      <c r="S100" s="14"/>
      <c r="U100" s="77"/>
    </row>
    <row r="101" customFormat="false" ht="20.15" hidden="false" customHeight="true" outlineLevel="0" collapsed="false">
      <c r="B101" s="77"/>
      <c r="C101" s="192"/>
      <c r="D101" s="192"/>
      <c r="E101" s="193" t="str">
        <f aca="false">IF(OR(L83="-",L83= ""),H83,L83)</f>
        <v>Roll for the Galaxy</v>
      </c>
      <c r="F101" s="193"/>
      <c r="G101" s="193"/>
      <c r="H101" s="193"/>
      <c r="I101" s="193"/>
      <c r="J101" s="193"/>
      <c r="K101" s="193"/>
      <c r="L101" s="193"/>
      <c r="M101" s="193"/>
      <c r="N101" s="193"/>
      <c r="O101" s="194"/>
      <c r="P101" s="194"/>
      <c r="Q101" s="194"/>
      <c r="R101" s="194"/>
      <c r="S101" s="194"/>
      <c r="T101" s="192"/>
      <c r="U101" s="195"/>
    </row>
    <row r="102" customFormat="false" ht="50.15" hidden="false" customHeight="true" outlineLevel="0" collapsed="false">
      <c r="B102" s="77"/>
      <c r="C102" s="192"/>
      <c r="D102" s="194"/>
      <c r="E102" s="125" t="s">
        <v>52</v>
      </c>
      <c r="F102" s="126" t="s">
        <v>75</v>
      </c>
      <c r="G102" s="82" t="s">
        <v>76</v>
      </c>
      <c r="H102" s="81" t="s">
        <v>77</v>
      </c>
      <c r="I102" s="59" t="s">
        <v>78</v>
      </c>
      <c r="J102" s="81" t="s">
        <v>79</v>
      </c>
      <c r="K102" s="127" t="s">
        <v>80</v>
      </c>
      <c r="L102" s="81" t="s">
        <v>81</v>
      </c>
      <c r="M102" s="128" t="s">
        <v>82</v>
      </c>
      <c r="N102" s="129" t="s">
        <v>83</v>
      </c>
      <c r="O102" s="130" t="s">
        <v>84</v>
      </c>
      <c r="P102" s="131" t="s">
        <v>85</v>
      </c>
      <c r="Q102" s="131" t="s">
        <v>86</v>
      </c>
      <c r="R102" s="194"/>
      <c r="S102" s="194"/>
      <c r="T102" s="192"/>
      <c r="U102" s="195"/>
    </row>
    <row r="103" customFormat="false" ht="20.15" hidden="false" customHeight="true" outlineLevel="0" collapsed="false">
      <c r="B103" s="77"/>
      <c r="C103" s="192"/>
      <c r="D103" s="208"/>
      <c r="E103" s="367" t="s">
        <v>21</v>
      </c>
      <c r="F103" s="372" t="s">
        <v>22</v>
      </c>
      <c r="G103" s="304" t="s">
        <v>66</v>
      </c>
      <c r="H103" s="222" t="s">
        <v>180</v>
      </c>
      <c r="I103" s="221" t="n">
        <v>0</v>
      </c>
      <c r="J103" s="222" t="n">
        <v>23</v>
      </c>
      <c r="K103" s="221" t="s">
        <v>66</v>
      </c>
      <c r="L103" s="223" t="n">
        <f aca="false">IF(J103="",0,(J103/J106)*100)</f>
        <v>62.1621621621622</v>
      </c>
      <c r="M103" s="221" t="n">
        <v>3</v>
      </c>
      <c r="N103" s="224" t="n">
        <v>0</v>
      </c>
      <c r="O103" s="137" t="n">
        <f aca="false">IF(M103=1,1,0)</f>
        <v>0</v>
      </c>
      <c r="P103" s="138" t="n">
        <f aca="false">IF(M103=2,1,0)</f>
        <v>0</v>
      </c>
      <c r="Q103" s="139" t="n">
        <f aca="false">IF(M103=3,1,0)</f>
        <v>1</v>
      </c>
      <c r="R103" s="206"/>
      <c r="S103" s="206"/>
      <c r="T103" s="192"/>
      <c r="U103" s="207"/>
    </row>
    <row r="104" customFormat="false" ht="20.15" hidden="false" customHeight="true" outlineLevel="0" collapsed="false">
      <c r="B104" s="77"/>
      <c r="C104" s="192"/>
      <c r="D104" s="198"/>
      <c r="E104" s="147" t="s">
        <v>39</v>
      </c>
      <c r="F104" s="355" t="s">
        <v>40</v>
      </c>
      <c r="G104" s="305" t="s">
        <v>66</v>
      </c>
      <c r="H104" s="179" t="s">
        <v>315</v>
      </c>
      <c r="I104" s="149" t="n">
        <v>0</v>
      </c>
      <c r="J104" s="179" t="n">
        <v>37</v>
      </c>
      <c r="K104" s="179" t="s">
        <v>66</v>
      </c>
      <c r="L104" s="150" t="n">
        <f aca="false">IF(J104="",0,(J104/J106)*100)</f>
        <v>100</v>
      </c>
      <c r="M104" s="149" t="n">
        <v>1</v>
      </c>
      <c r="N104" s="151" t="n">
        <v>6</v>
      </c>
      <c r="O104" s="144" t="n">
        <f aca="false">IF(M104=1,1,0)</f>
        <v>1</v>
      </c>
      <c r="P104" s="145" t="n">
        <f aca="false">IF(M104=2,1,0)</f>
        <v>0</v>
      </c>
      <c r="Q104" s="146" t="n">
        <f aca="false">IF(M104=3,1,0)</f>
        <v>0</v>
      </c>
      <c r="R104" s="206"/>
      <c r="S104" s="206"/>
      <c r="T104" s="192"/>
      <c r="U104" s="211"/>
    </row>
    <row r="105" customFormat="false" ht="20.15" hidden="false" customHeight="true" outlineLevel="0" collapsed="false">
      <c r="B105" s="77"/>
      <c r="C105" s="192"/>
      <c r="D105" s="198"/>
      <c r="E105" s="295" t="s">
        <v>33</v>
      </c>
      <c r="F105" s="410" t="s">
        <v>34</v>
      </c>
      <c r="G105" s="307" t="s">
        <v>66</v>
      </c>
      <c r="H105" s="308" t="s">
        <v>316</v>
      </c>
      <c r="I105" s="234" t="n">
        <v>0</v>
      </c>
      <c r="J105" s="308" t="n">
        <v>29</v>
      </c>
      <c r="K105" s="308" t="s">
        <v>66</v>
      </c>
      <c r="L105" s="235" t="n">
        <f aca="false">IF(J105="",0,(J105/J106)*100)</f>
        <v>78.3783783783784</v>
      </c>
      <c r="M105" s="234" t="n">
        <v>2</v>
      </c>
      <c r="N105" s="236" t="n">
        <v>3</v>
      </c>
      <c r="O105" s="156" t="n">
        <f aca="false">IF(M105=1,1,0)</f>
        <v>0</v>
      </c>
      <c r="P105" s="157" t="n">
        <f aca="false">IF(M105=2,1,0)</f>
        <v>1</v>
      </c>
      <c r="Q105" s="158" t="n">
        <f aca="false">IF(M105=3,1,0)</f>
        <v>0</v>
      </c>
      <c r="R105" s="206"/>
      <c r="S105" s="206"/>
      <c r="T105" s="192"/>
      <c r="U105" s="211"/>
    </row>
    <row r="106" customFormat="false" ht="20.15" hidden="true" customHeight="true" outlineLevel="1" collapsed="false">
      <c r="B106" s="77"/>
      <c r="C106" s="192"/>
      <c r="D106" s="198"/>
      <c r="E106" s="198"/>
      <c r="F106" s="206"/>
      <c r="G106" s="206"/>
      <c r="H106" s="192"/>
      <c r="I106" s="213" t="s">
        <v>92</v>
      </c>
      <c r="J106" s="161" t="n">
        <f aca="false">MAX(J103:J105)</f>
        <v>37</v>
      </c>
      <c r="K106" s="214"/>
      <c r="L106" s="206"/>
      <c r="M106" s="192"/>
      <c r="N106" s="164" t="s">
        <v>93</v>
      </c>
      <c r="O106" s="165" t="n">
        <f aca="false">SUM(O103:O105)</f>
        <v>1</v>
      </c>
      <c r="P106" s="166" t="n">
        <f aca="false">SUM(P103:P105)</f>
        <v>1</v>
      </c>
      <c r="Q106" s="165" t="n">
        <f aca="false">SUM(Q103:Q105)</f>
        <v>1</v>
      </c>
      <c r="R106" s="215"/>
      <c r="S106" s="215"/>
      <c r="T106" s="192"/>
      <c r="U106" s="211"/>
    </row>
    <row r="107" customFormat="false" ht="20.15" hidden="false" customHeight="true" outlineLevel="0" collapsed="false">
      <c r="B107" s="77"/>
      <c r="C107" s="192"/>
      <c r="D107" s="216"/>
      <c r="E107" s="216"/>
      <c r="F107" s="192"/>
      <c r="G107" s="192"/>
      <c r="H107" s="192"/>
      <c r="I107" s="192"/>
      <c r="J107" s="192"/>
      <c r="K107" s="192"/>
      <c r="L107" s="192"/>
      <c r="M107" s="192"/>
      <c r="N107" s="192"/>
      <c r="O107" s="192"/>
      <c r="P107" s="192"/>
      <c r="Q107" s="192"/>
      <c r="R107" s="192"/>
      <c r="S107" s="192"/>
      <c r="T107" s="192"/>
      <c r="U107" s="211"/>
    </row>
    <row r="108" customFormat="false" ht="20.15" hidden="false" customHeight="true" outlineLevel="0" collapsed="false">
      <c r="B108" s="77"/>
      <c r="D108" s="190"/>
      <c r="E108" s="190"/>
      <c r="F108" s="190"/>
      <c r="G108" s="190"/>
      <c r="H108" s="191"/>
      <c r="I108" s="190"/>
      <c r="J108" s="190"/>
      <c r="K108" s="190"/>
      <c r="L108" s="14"/>
      <c r="M108" s="14"/>
      <c r="N108" s="14"/>
      <c r="O108" s="14"/>
      <c r="P108" s="14"/>
      <c r="Q108" s="14"/>
      <c r="R108" s="14"/>
      <c r="S108" s="14"/>
      <c r="U108" s="207"/>
    </row>
    <row r="109" customFormat="false" ht="30" hidden="false" customHeight="true" outlineLevel="0" collapsed="false">
      <c r="B109" s="77"/>
      <c r="C109" s="240"/>
      <c r="D109" s="241" t="s">
        <v>135</v>
      </c>
      <c r="E109" s="241"/>
      <c r="F109" s="241"/>
      <c r="G109" s="241"/>
      <c r="H109" s="241"/>
      <c r="I109" s="241"/>
      <c r="J109" s="241"/>
      <c r="K109" s="241"/>
      <c r="L109" s="241"/>
      <c r="M109" s="241"/>
      <c r="N109" s="241"/>
      <c r="O109" s="398"/>
      <c r="P109" s="398"/>
      <c r="Q109" s="398"/>
      <c r="R109" s="398"/>
      <c r="S109" s="398"/>
      <c r="T109" s="240"/>
      <c r="U109" s="77"/>
    </row>
    <row r="110" customFormat="false" ht="50.15" hidden="false" customHeight="true" outlineLevel="0" collapsed="false">
      <c r="B110" s="77"/>
      <c r="C110" s="240"/>
      <c r="D110" s="242" t="s">
        <v>52</v>
      </c>
      <c r="E110" s="243" t="s">
        <v>53</v>
      </c>
      <c r="F110" s="244" t="s">
        <v>83</v>
      </c>
      <c r="G110" s="245" t="s">
        <v>102</v>
      </c>
      <c r="H110" s="246" t="s">
        <v>103</v>
      </c>
      <c r="I110" s="246"/>
      <c r="J110" s="247" t="s">
        <v>104</v>
      </c>
      <c r="K110" s="248" t="s">
        <v>105</v>
      </c>
      <c r="L110" s="244" t="s">
        <v>106</v>
      </c>
      <c r="M110" s="248" t="s">
        <v>107</v>
      </c>
      <c r="N110" s="243" t="s">
        <v>109</v>
      </c>
      <c r="O110" s="399"/>
      <c r="P110" s="400"/>
      <c r="Q110" s="400"/>
      <c r="R110" s="400"/>
      <c r="S110" s="401"/>
      <c r="T110" s="240"/>
      <c r="U110" s="77"/>
    </row>
    <row r="111" customFormat="false" ht="20.15" hidden="false" customHeight="true" outlineLevel="0" collapsed="false">
      <c r="B111" s="77"/>
      <c r="C111" s="240"/>
      <c r="D111" s="251" t="s">
        <v>39</v>
      </c>
      <c r="E111" s="17" t="s">
        <v>40</v>
      </c>
      <c r="F111" s="327" t="n">
        <f aca="false">K111*6+L111*3+M111*0</f>
        <v>15</v>
      </c>
      <c r="G111" s="328" t="n">
        <v>0</v>
      </c>
      <c r="H111" s="328" t="s">
        <v>66</v>
      </c>
      <c r="I111" s="328"/>
      <c r="J111" s="327" t="n">
        <f aca="false">F111+G111</f>
        <v>15</v>
      </c>
      <c r="K111" s="327" t="n">
        <v>2</v>
      </c>
      <c r="L111" s="327" t="n">
        <v>1</v>
      </c>
      <c r="M111" s="327" t="n">
        <v>0</v>
      </c>
      <c r="N111" s="329" t="n">
        <f aca="false">(L88+L96+L104)/3</f>
        <v>94.7857142857143</v>
      </c>
      <c r="O111" s="402"/>
      <c r="P111" s="403"/>
      <c r="Q111" s="403"/>
      <c r="R111" s="403"/>
      <c r="S111" s="401"/>
      <c r="T111" s="240"/>
      <c r="U111" s="77"/>
    </row>
    <row r="112" customFormat="false" ht="20.15" hidden="false" customHeight="true" outlineLevel="0" collapsed="false">
      <c r="B112" s="77"/>
      <c r="C112" s="240"/>
      <c r="D112" s="263" t="s">
        <v>21</v>
      </c>
      <c r="E112" s="264" t="s">
        <v>22</v>
      </c>
      <c r="F112" s="330" t="n">
        <f aca="false">K112*6+L112*3+M112*0</f>
        <v>6</v>
      </c>
      <c r="G112" s="331" t="n">
        <v>0</v>
      </c>
      <c r="H112" s="331" t="s">
        <v>66</v>
      </c>
      <c r="I112" s="331"/>
      <c r="J112" s="330" t="n">
        <f aca="false">F112+G112</f>
        <v>6</v>
      </c>
      <c r="K112" s="330" t="n">
        <v>1</v>
      </c>
      <c r="L112" s="330" t="n">
        <v>0</v>
      </c>
      <c r="M112" s="330" t="n">
        <v>2</v>
      </c>
      <c r="N112" s="333" t="n">
        <f aca="false">(L87+L95+L103)/3</f>
        <v>78.4739382239382</v>
      </c>
      <c r="O112" s="402"/>
      <c r="P112" s="403"/>
      <c r="Q112" s="403"/>
      <c r="R112" s="403"/>
      <c r="S112" s="401"/>
      <c r="T112" s="240"/>
      <c r="U112" s="77"/>
      <c r="W112" s="334"/>
      <c r="X112" s="334"/>
      <c r="Y112" s="23"/>
      <c r="Z112" s="23"/>
      <c r="AA112" s="335"/>
      <c r="AB112" s="335"/>
      <c r="AC112" s="336"/>
      <c r="AD112" s="336"/>
      <c r="AE112" s="336"/>
    </row>
    <row r="113" customFormat="false" ht="20.15" hidden="false" customHeight="true" outlineLevel="0" collapsed="false">
      <c r="B113" s="77"/>
      <c r="C113" s="240"/>
      <c r="D113" s="337" t="s">
        <v>33</v>
      </c>
      <c r="E113" s="432" t="s">
        <v>34</v>
      </c>
      <c r="F113" s="338" t="n">
        <f aca="false">K113*6+L113*3+M113*0</f>
        <v>6</v>
      </c>
      <c r="G113" s="339" t="n">
        <v>0</v>
      </c>
      <c r="H113" s="339" t="s">
        <v>66</v>
      </c>
      <c r="I113" s="339"/>
      <c r="J113" s="338" t="n">
        <f aca="false">F113+G113</f>
        <v>6</v>
      </c>
      <c r="K113" s="338" t="n">
        <v>0</v>
      </c>
      <c r="L113" s="338" t="n">
        <v>2</v>
      </c>
      <c r="M113" s="338" t="n">
        <v>1</v>
      </c>
      <c r="N113" s="341" t="n">
        <f aca="false">(L89+L97+L105)/3</f>
        <v>70.1296653796654</v>
      </c>
      <c r="O113" s="402"/>
      <c r="P113" s="403"/>
      <c r="Q113" s="403"/>
      <c r="R113" s="403"/>
      <c r="S113" s="401"/>
      <c r="T113" s="240"/>
      <c r="U113" s="77"/>
    </row>
    <row r="114" customFormat="false" ht="20.15" hidden="false" customHeight="true" outlineLevel="0" collapsed="false">
      <c r="B114" s="77"/>
      <c r="C114" s="240"/>
      <c r="D114" s="240"/>
      <c r="E114" s="240"/>
      <c r="F114" s="240"/>
      <c r="G114" s="240"/>
      <c r="H114" s="240"/>
      <c r="I114" s="240"/>
      <c r="J114" s="240"/>
      <c r="K114" s="240"/>
      <c r="L114" s="240"/>
      <c r="M114" s="240"/>
      <c r="N114" s="240"/>
      <c r="O114" s="240"/>
      <c r="P114" s="240"/>
      <c r="Q114" s="240"/>
      <c r="R114" s="240"/>
      <c r="S114" s="240"/>
      <c r="T114" s="240"/>
      <c r="U114" s="77"/>
    </row>
    <row r="115" customFormat="false" ht="20.15" hidden="false" customHeight="true" outlineLevel="0" collapsed="false">
      <c r="B115" s="77"/>
      <c r="C115" s="77"/>
      <c r="D115" s="270"/>
      <c r="E115" s="270"/>
      <c r="F115" s="195"/>
      <c r="G115" s="195"/>
      <c r="H115" s="270"/>
      <c r="I115" s="270"/>
      <c r="J115" s="270"/>
      <c r="K115" s="207"/>
      <c r="L115" s="207"/>
      <c r="M115" s="207"/>
      <c r="N115" s="207"/>
      <c r="O115" s="207"/>
      <c r="P115" s="207"/>
      <c r="Q115" s="207"/>
      <c r="R115" s="207"/>
      <c r="S115" s="207"/>
      <c r="T115" s="77"/>
      <c r="U115" s="77"/>
    </row>
    <row r="116" customFormat="false" ht="20.15" hidden="false" customHeight="true" outlineLevel="0" collapsed="false"/>
    <row r="117" customFormat="false" ht="20.15" hidden="false" customHeight="true" outlineLevel="0" collapsed="false"/>
    <row r="118" customFormat="false" ht="20.15" hidden="false" customHeight="true" outlineLevel="0" collapsed="false">
      <c r="B118" s="77"/>
      <c r="C118" s="77"/>
      <c r="D118" s="78"/>
      <c r="E118" s="78"/>
      <c r="F118" s="78"/>
      <c r="G118" s="78"/>
      <c r="H118" s="77"/>
      <c r="I118" s="77"/>
      <c r="J118" s="77"/>
      <c r="K118" s="77"/>
      <c r="L118" s="77"/>
      <c r="M118" s="77"/>
      <c r="N118" s="77"/>
      <c r="O118" s="77"/>
      <c r="P118" s="77"/>
      <c r="Q118" s="77"/>
      <c r="R118" s="77"/>
      <c r="S118" s="77"/>
      <c r="T118" s="77"/>
      <c r="U118" s="77"/>
    </row>
    <row r="119" customFormat="false" ht="30" hidden="false" customHeight="true" outlineLevel="0" collapsed="false">
      <c r="B119" s="77"/>
      <c r="C119" s="79" t="s">
        <v>317</v>
      </c>
      <c r="D119" s="79"/>
      <c r="E119" s="79"/>
      <c r="F119" s="79"/>
      <c r="G119" s="79"/>
      <c r="H119" s="79"/>
      <c r="I119" s="79"/>
      <c r="J119" s="79"/>
      <c r="K119" s="79"/>
      <c r="L119" s="79"/>
      <c r="M119" s="79"/>
      <c r="N119" s="79"/>
      <c r="O119" s="79"/>
      <c r="P119" s="79"/>
      <c r="Q119" s="79"/>
      <c r="R119" s="79"/>
      <c r="S119" s="79"/>
      <c r="T119" s="79"/>
      <c r="U119" s="77"/>
    </row>
    <row r="120" customFormat="false" ht="20.15" hidden="false" customHeight="true" outlineLevel="0" collapsed="false">
      <c r="B120" s="77"/>
      <c r="D120" s="121"/>
      <c r="E120" s="121"/>
      <c r="U120" s="77"/>
    </row>
    <row r="121" customFormat="false" ht="20.15" hidden="false" customHeight="true" outlineLevel="0" collapsed="false">
      <c r="B121" s="77"/>
      <c r="C121" s="470" t="s">
        <v>318</v>
      </c>
      <c r="D121" s="470"/>
      <c r="E121" s="470"/>
      <c r="F121" s="470"/>
      <c r="G121" s="470"/>
      <c r="H121" s="470"/>
      <c r="I121" s="470"/>
      <c r="J121" s="470"/>
      <c r="K121" s="470"/>
      <c r="L121" s="470"/>
      <c r="M121" s="470"/>
      <c r="N121" s="470"/>
      <c r="O121" s="470"/>
      <c r="P121" s="470"/>
      <c r="Q121" s="470"/>
      <c r="R121" s="470"/>
      <c r="S121" s="470"/>
      <c r="T121" s="470"/>
      <c r="U121" s="77"/>
    </row>
    <row r="122" customFormat="false" ht="20.15" hidden="false" customHeight="true" outlineLevel="0" collapsed="false">
      <c r="B122" s="77"/>
      <c r="C122" s="470"/>
      <c r="D122" s="470"/>
      <c r="E122" s="470"/>
      <c r="F122" s="470"/>
      <c r="G122" s="470"/>
      <c r="H122" s="470"/>
      <c r="I122" s="470"/>
      <c r="J122" s="470"/>
      <c r="K122" s="470"/>
      <c r="L122" s="470"/>
      <c r="M122" s="470"/>
      <c r="N122" s="470"/>
      <c r="O122" s="470"/>
      <c r="P122" s="470"/>
      <c r="Q122" s="470"/>
      <c r="R122" s="470"/>
      <c r="S122" s="470"/>
      <c r="T122" s="470"/>
      <c r="U122" s="77"/>
    </row>
    <row r="123" customFormat="false" ht="20.15" hidden="false" customHeight="true" outlineLevel="0" collapsed="false">
      <c r="B123" s="77"/>
      <c r="C123" s="470"/>
      <c r="D123" s="470"/>
      <c r="E123" s="470"/>
      <c r="F123" s="470"/>
      <c r="G123" s="470"/>
      <c r="H123" s="470"/>
      <c r="I123" s="470"/>
      <c r="J123" s="470"/>
      <c r="K123" s="470"/>
      <c r="L123" s="470"/>
      <c r="M123" s="470"/>
      <c r="N123" s="470"/>
      <c r="O123" s="470"/>
      <c r="P123" s="470"/>
      <c r="Q123" s="470"/>
      <c r="R123" s="470"/>
      <c r="S123" s="470"/>
      <c r="T123" s="470"/>
      <c r="U123" s="77"/>
    </row>
    <row r="124" customFormat="false" ht="20.15" hidden="false" customHeight="true" outlineLevel="0" collapsed="false">
      <c r="B124" s="77"/>
      <c r="C124" s="77"/>
      <c r="D124" s="270"/>
      <c r="E124" s="270"/>
      <c r="F124" s="195"/>
      <c r="G124" s="195"/>
      <c r="H124" s="270"/>
      <c r="I124" s="270"/>
      <c r="J124" s="270"/>
      <c r="K124" s="207"/>
      <c r="L124" s="207"/>
      <c r="M124" s="207"/>
      <c r="N124" s="207"/>
      <c r="O124" s="207"/>
      <c r="P124" s="207"/>
      <c r="Q124" s="207"/>
      <c r="R124" s="207"/>
      <c r="S124" s="207"/>
      <c r="T124" s="77"/>
      <c r="U124" s="77"/>
    </row>
  </sheetData>
  <mergeCells count="80">
    <mergeCell ref="A1:N2"/>
    <mergeCell ref="B4:J4"/>
    <mergeCell ref="L4:N4"/>
    <mergeCell ref="B5:C5"/>
    <mergeCell ref="B6:C6"/>
    <mergeCell ref="M6:M9"/>
    <mergeCell ref="B7:C7"/>
    <mergeCell ref="B8:C8"/>
    <mergeCell ref="B9:C9"/>
    <mergeCell ref="B10:C10"/>
    <mergeCell ref="M10:M12"/>
    <mergeCell ref="B11:C11"/>
    <mergeCell ref="B12:C12"/>
    <mergeCell ref="B13:C13"/>
    <mergeCell ref="M13:M14"/>
    <mergeCell ref="B14:C14"/>
    <mergeCell ref="B15:C15"/>
    <mergeCell ref="L15:M15"/>
    <mergeCell ref="B16:I16"/>
    <mergeCell ref="B17:C17"/>
    <mergeCell ref="B18:C18"/>
    <mergeCell ref="C21:T21"/>
    <mergeCell ref="D23:D24"/>
    <mergeCell ref="E23:E24"/>
    <mergeCell ref="F23:F24"/>
    <mergeCell ref="G23:J23"/>
    <mergeCell ref="L23:S23"/>
    <mergeCell ref="I24:J24"/>
    <mergeCell ref="N24:S24"/>
    <mergeCell ref="I25:J25"/>
    <mergeCell ref="N25:S25"/>
    <mergeCell ref="I26:J26"/>
    <mergeCell ref="N26:S26"/>
    <mergeCell ref="I27:J27"/>
    <mergeCell ref="N27:S27"/>
    <mergeCell ref="I28:J28"/>
    <mergeCell ref="N28:S28"/>
    <mergeCell ref="E30:N30"/>
    <mergeCell ref="F36:G36"/>
    <mergeCell ref="F37:G37"/>
    <mergeCell ref="E39:N39"/>
    <mergeCell ref="F45:G45"/>
    <mergeCell ref="E48:N48"/>
    <mergeCell ref="F54:G54"/>
    <mergeCell ref="E57:N57"/>
    <mergeCell ref="F63:G63"/>
    <mergeCell ref="D66:S66"/>
    <mergeCell ref="H67:I67"/>
    <mergeCell ref="H68:I68"/>
    <mergeCell ref="H69:I69"/>
    <mergeCell ref="H70:I70"/>
    <mergeCell ref="H71:I71"/>
    <mergeCell ref="C77:T77"/>
    <mergeCell ref="D79:D80"/>
    <mergeCell ref="E79:E80"/>
    <mergeCell ref="F79:F80"/>
    <mergeCell ref="G79:J79"/>
    <mergeCell ref="L79:S79"/>
    <mergeCell ref="I80:J80"/>
    <mergeCell ref="N80:S80"/>
    <mergeCell ref="I81:J81"/>
    <mergeCell ref="N81:S81"/>
    <mergeCell ref="I82:J82"/>
    <mergeCell ref="N82:S82"/>
    <mergeCell ref="I83:J83"/>
    <mergeCell ref="N83:S83"/>
    <mergeCell ref="E85:N85"/>
    <mergeCell ref="F90:G90"/>
    <mergeCell ref="E93:N93"/>
    <mergeCell ref="F98:G98"/>
    <mergeCell ref="E101:N101"/>
    <mergeCell ref="F106:G106"/>
    <mergeCell ref="D109:N109"/>
    <mergeCell ref="H110:I110"/>
    <mergeCell ref="H111:I111"/>
    <mergeCell ref="H112:I112"/>
    <mergeCell ref="Y112:Z112"/>
    <mergeCell ref="H113:I113"/>
    <mergeCell ref="C119:T119"/>
    <mergeCell ref="C121:T123"/>
  </mergeCells>
  <dataValidations count="1">
    <dataValidation allowBlank="true" operator="between" showDropDown="false" showErrorMessage="true" showInputMessage="true" sqref="J6:J14"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31"/>
  <sheetViews>
    <sheetView showFormulas="false" showGridLines="false" showRowColHeaders="true" showZeros="true" rightToLeft="false" tabSelected="false" showOutlineSymbols="true" defaultGridColor="true" view="normal" topLeftCell="A31" colorId="64" zoomScale="100" zoomScaleNormal="100" zoomScalePageLayoutView="100" workbookViewId="0">
      <selection pane="topLeft" activeCell="K18" activeCellId="0" sqref="K18"/>
    </sheetView>
  </sheetViews>
  <sheetFormatPr defaultColWidth="11.47265625" defaultRowHeight="14.5" zeroHeight="false" outlineLevelRow="1" outlineLevelCol="1"/>
  <cols>
    <col collapsed="false" customWidth="true" hidden="false" outlineLevel="0" max="3" min="1" style="1" width="3.72"/>
    <col collapsed="false" customWidth="true" hidden="false" outlineLevel="0" max="14" min="4" style="1" width="20.72"/>
    <col collapsed="false" customWidth="true" hidden="true" outlineLevel="1" max="18" min="15" style="1" width="20.72"/>
    <col collapsed="false" customWidth="true" hidden="false" outlineLevel="0" max="19" min="19" style="1" width="20.72"/>
    <col collapsed="false" customWidth="true" hidden="false" outlineLevel="0" max="21" min="20" style="1" width="3.72"/>
    <col collapsed="false" customWidth="true" hidden="false" outlineLevel="0" max="22" min="22" style="1" width="15.81"/>
    <col collapsed="false" customWidth="true" hidden="false" outlineLevel="0" max="24" min="23" style="1" width="20.72"/>
    <col collapsed="false" customWidth="false" hidden="false" outlineLevel="0" max="1024" min="25" style="1" width="11.45"/>
  </cols>
  <sheetData>
    <row r="1" customFormat="false" ht="14.5" hidden="false" customHeight="false" outlineLevel="0" collapsed="false">
      <c r="A1" s="2" t="s">
        <v>319</v>
      </c>
      <c r="B1" s="2"/>
      <c r="C1" s="2"/>
      <c r="D1" s="2"/>
      <c r="E1" s="2"/>
      <c r="F1" s="2"/>
      <c r="G1" s="2"/>
      <c r="H1" s="2"/>
      <c r="I1" s="2"/>
      <c r="J1" s="2"/>
      <c r="K1" s="2"/>
      <c r="L1" s="2"/>
      <c r="M1" s="2"/>
      <c r="N1" s="2"/>
    </row>
    <row r="2" customFormat="false" ht="14.5" hidden="false" customHeight="false" outlineLevel="0" collapsed="false">
      <c r="A2" s="2"/>
      <c r="B2" s="2"/>
      <c r="C2" s="2"/>
      <c r="D2" s="2"/>
      <c r="E2" s="2"/>
      <c r="F2" s="2"/>
      <c r="G2" s="2"/>
      <c r="H2" s="2"/>
      <c r="I2" s="2"/>
      <c r="J2" s="2"/>
      <c r="K2" s="2"/>
      <c r="L2" s="2"/>
      <c r="M2" s="2"/>
      <c r="N2" s="2"/>
    </row>
    <row r="3" customFormat="false" ht="20.15" hidden="false" customHeight="true" outlineLevel="0" collapsed="false"/>
    <row r="4" customFormat="false" ht="15" hidden="false" customHeight="false" outlineLevel="0" collapsed="false">
      <c r="B4" s="3" t="s">
        <v>320</v>
      </c>
      <c r="C4" s="3"/>
      <c r="D4" s="3"/>
      <c r="E4" s="3"/>
      <c r="F4" s="3"/>
      <c r="G4" s="3"/>
      <c r="H4" s="3"/>
      <c r="I4" s="3"/>
      <c r="J4" s="3"/>
      <c r="L4" s="3" t="s">
        <v>2</v>
      </c>
      <c r="M4" s="3"/>
      <c r="N4" s="3"/>
      <c r="Q4" s="4"/>
      <c r="R4" s="4"/>
      <c r="S4" s="4"/>
      <c r="T4" s="5"/>
      <c r="U4" s="4"/>
      <c r="V4" s="4"/>
      <c r="W4" s="4"/>
      <c r="X4" s="4"/>
    </row>
    <row r="5" customFormat="false" ht="50.15" hidden="false" customHeight="true" outlineLevel="0" collapsed="false">
      <c r="B5" s="6" t="s">
        <v>321</v>
      </c>
      <c r="C5" s="6"/>
      <c r="D5" s="7" t="s">
        <v>4</v>
      </c>
      <c r="E5" s="8" t="s">
        <v>5</v>
      </c>
      <c r="F5" s="9" t="s">
        <v>6</v>
      </c>
      <c r="G5" s="10" t="s">
        <v>7</v>
      </c>
      <c r="H5" s="10" t="s">
        <v>8</v>
      </c>
      <c r="I5" s="10" t="s">
        <v>9</v>
      </c>
      <c r="J5" s="9" t="s">
        <v>322</v>
      </c>
      <c r="L5" s="11" t="s">
        <v>4</v>
      </c>
      <c r="M5" s="12" t="s">
        <v>11</v>
      </c>
      <c r="N5" s="13" t="s">
        <v>12</v>
      </c>
      <c r="P5" s="14"/>
      <c r="Q5" s="5"/>
      <c r="S5" s="4"/>
      <c r="T5" s="4"/>
      <c r="U5" s="4"/>
      <c r="V5" s="5"/>
      <c r="W5" s="5"/>
    </row>
    <row r="6" customFormat="false" ht="20.15" hidden="false" customHeight="true" outlineLevel="0" collapsed="false">
      <c r="B6" s="471" t="n">
        <v>1</v>
      </c>
      <c r="C6" s="471"/>
      <c r="D6" s="472" t="s">
        <v>27</v>
      </c>
      <c r="E6" s="87" t="s">
        <v>28</v>
      </c>
      <c r="F6" s="473" t="s">
        <v>29</v>
      </c>
      <c r="G6" s="473" t="s">
        <v>28</v>
      </c>
      <c r="H6" s="473" t="s">
        <v>28</v>
      </c>
      <c r="I6" s="87" t="s">
        <v>18</v>
      </c>
      <c r="J6" s="474" t="s">
        <v>15</v>
      </c>
      <c r="L6" s="20" t="str">
        <f aca="false">D6</f>
        <v>Judith Maibaum</v>
      </c>
      <c r="M6" s="21" t="n">
        <v>1</v>
      </c>
      <c r="N6" s="22" t="n">
        <v>1</v>
      </c>
      <c r="P6" s="14"/>
      <c r="Q6" s="23"/>
      <c r="S6" s="14"/>
      <c r="T6" s="14"/>
      <c r="U6" s="14"/>
      <c r="V6" s="24"/>
      <c r="W6" s="24"/>
    </row>
    <row r="7" customFormat="false" ht="20.15" hidden="false" customHeight="true" outlineLevel="0" collapsed="false">
      <c r="B7" s="475" t="n">
        <v>2</v>
      </c>
      <c r="C7" s="475"/>
      <c r="D7" s="476" t="s">
        <v>16</v>
      </c>
      <c r="E7" s="96" t="s">
        <v>17</v>
      </c>
      <c r="F7" s="477" t="s">
        <v>17</v>
      </c>
      <c r="G7" s="476" t="s">
        <v>17</v>
      </c>
      <c r="H7" s="478" t="s">
        <v>17</v>
      </c>
      <c r="I7" s="478" t="s">
        <v>18</v>
      </c>
      <c r="J7" s="479" t="s">
        <v>15</v>
      </c>
      <c r="L7" s="31" t="str">
        <f aca="false">D7</f>
        <v>Andreas Micke</v>
      </c>
      <c r="M7" s="21"/>
      <c r="N7" s="32" t="n">
        <v>2</v>
      </c>
      <c r="P7" s="14"/>
      <c r="Q7" s="23"/>
      <c r="S7" s="14"/>
      <c r="T7" s="14"/>
      <c r="U7" s="14"/>
      <c r="V7" s="24"/>
      <c r="W7" s="24"/>
    </row>
    <row r="8" customFormat="false" ht="20.15" hidden="false" customHeight="true" outlineLevel="0" collapsed="false">
      <c r="B8" s="475" t="n">
        <v>3</v>
      </c>
      <c r="C8" s="475"/>
      <c r="D8" s="480" t="s">
        <v>13</v>
      </c>
      <c r="E8" s="290" t="s">
        <v>14</v>
      </c>
      <c r="F8" s="290" t="s">
        <v>14</v>
      </c>
      <c r="G8" s="290" t="s">
        <v>14</v>
      </c>
      <c r="H8" s="478" t="s">
        <v>14</v>
      </c>
      <c r="I8" s="478" t="s">
        <v>14</v>
      </c>
      <c r="J8" s="479" t="s">
        <v>15</v>
      </c>
      <c r="L8" s="31" t="str">
        <f aca="false">D8</f>
        <v>Devid Fulterer</v>
      </c>
      <c r="M8" s="21"/>
      <c r="N8" s="32" t="n">
        <v>3</v>
      </c>
      <c r="P8" s="14"/>
      <c r="Q8" s="23"/>
      <c r="S8" s="14"/>
      <c r="T8" s="14"/>
      <c r="U8" s="14"/>
      <c r="V8" s="24"/>
      <c r="W8" s="24"/>
    </row>
    <row r="9" customFormat="false" ht="20.15" hidden="false" customHeight="true" outlineLevel="0" collapsed="false">
      <c r="B9" s="475" t="n">
        <v>4</v>
      </c>
      <c r="C9" s="475"/>
      <c r="D9" s="480" t="s">
        <v>39</v>
      </c>
      <c r="E9" s="290" t="s">
        <v>40</v>
      </c>
      <c r="F9" s="478" t="s">
        <v>40</v>
      </c>
      <c r="G9" s="478" t="s">
        <v>40</v>
      </c>
      <c r="H9" s="478" t="s">
        <v>18</v>
      </c>
      <c r="I9" s="478" t="s">
        <v>18</v>
      </c>
      <c r="J9" s="479" t="s">
        <v>15</v>
      </c>
      <c r="L9" s="34" t="str">
        <f aca="false">D9</f>
        <v>Markus Hagenauer</v>
      </c>
      <c r="M9" s="21"/>
      <c r="N9" s="35" t="n">
        <v>4</v>
      </c>
      <c r="P9" s="14"/>
      <c r="Q9" s="23"/>
      <c r="S9" s="14"/>
      <c r="T9" s="14"/>
      <c r="U9" s="14"/>
      <c r="V9" s="24"/>
      <c r="W9" s="24"/>
    </row>
    <row r="10" customFormat="false" ht="20.15" hidden="false" customHeight="true" outlineLevel="0" collapsed="false">
      <c r="B10" s="475" t="n">
        <v>5</v>
      </c>
      <c r="C10" s="475"/>
      <c r="D10" s="476" t="s">
        <v>25</v>
      </c>
      <c r="E10" s="96" t="s">
        <v>26</v>
      </c>
      <c r="F10" s="477" t="s">
        <v>26</v>
      </c>
      <c r="G10" s="476" t="s">
        <v>26</v>
      </c>
      <c r="H10" s="478" t="s">
        <v>26</v>
      </c>
      <c r="I10" s="290" t="s">
        <v>18</v>
      </c>
      <c r="J10" s="479" t="s">
        <v>15</v>
      </c>
      <c r="L10" s="20" t="str">
        <f aca="false">D10</f>
        <v>Pauline Schätzle</v>
      </c>
      <c r="M10" s="21" t="n">
        <v>2</v>
      </c>
      <c r="N10" s="22" t="n">
        <v>1</v>
      </c>
      <c r="P10" s="14"/>
      <c r="Q10" s="23"/>
      <c r="S10" s="14"/>
      <c r="T10" s="14"/>
      <c r="U10" s="14"/>
      <c r="V10" s="24"/>
      <c r="W10" s="24"/>
    </row>
    <row r="11" customFormat="false" ht="20.15" hidden="false" customHeight="true" outlineLevel="0" collapsed="false">
      <c r="B11" s="475" t="n">
        <v>6</v>
      </c>
      <c r="C11" s="475"/>
      <c r="D11" s="480" t="s">
        <v>49</v>
      </c>
      <c r="E11" s="96" t="s">
        <v>50</v>
      </c>
      <c r="F11" s="477" t="s">
        <v>50</v>
      </c>
      <c r="G11" s="476" t="s">
        <v>18</v>
      </c>
      <c r="H11" s="478" t="s">
        <v>18</v>
      </c>
      <c r="I11" s="478" t="s">
        <v>18</v>
      </c>
      <c r="J11" s="479" t="s">
        <v>15</v>
      </c>
      <c r="L11" s="31" t="str">
        <f aca="false">D11</f>
        <v>Jonas Röhrig</v>
      </c>
      <c r="M11" s="21"/>
      <c r="N11" s="32" t="n">
        <v>2</v>
      </c>
      <c r="P11" s="14"/>
      <c r="Q11" s="23"/>
      <c r="S11" s="14"/>
      <c r="T11" s="14"/>
      <c r="U11" s="14"/>
      <c r="V11" s="24"/>
      <c r="W11" s="24"/>
    </row>
    <row r="12" customFormat="false" ht="20.15" hidden="false" customHeight="true" outlineLevel="0" collapsed="false">
      <c r="B12" s="475" t="n">
        <v>7</v>
      </c>
      <c r="C12" s="475"/>
      <c r="D12" s="480" t="s">
        <v>33</v>
      </c>
      <c r="E12" s="312" t="s">
        <v>34</v>
      </c>
      <c r="F12" s="478" t="s">
        <v>34</v>
      </c>
      <c r="G12" s="478" t="s">
        <v>34</v>
      </c>
      <c r="H12" s="478" t="s">
        <v>18</v>
      </c>
      <c r="I12" s="478" t="s">
        <v>18</v>
      </c>
      <c r="J12" s="479" t="s">
        <v>15</v>
      </c>
      <c r="L12" s="31" t="str">
        <f aca="false">D12</f>
        <v>Kai Maibaum</v>
      </c>
      <c r="M12" s="21"/>
      <c r="N12" s="32" t="n">
        <v>3</v>
      </c>
      <c r="P12" s="14"/>
      <c r="Q12" s="23"/>
      <c r="S12" s="14"/>
      <c r="T12" s="14"/>
      <c r="U12" s="14"/>
      <c r="V12" s="24"/>
      <c r="W12" s="24"/>
    </row>
    <row r="13" customFormat="false" ht="20.15" hidden="false" customHeight="true" outlineLevel="0" collapsed="false">
      <c r="B13" s="481" t="n">
        <v>8</v>
      </c>
      <c r="C13" s="481"/>
      <c r="D13" s="482" t="s">
        <v>23</v>
      </c>
      <c r="E13" s="386" t="s">
        <v>24</v>
      </c>
      <c r="F13" s="483" t="s">
        <v>24</v>
      </c>
      <c r="G13" s="483" t="s">
        <v>18</v>
      </c>
      <c r="H13" s="483" t="s">
        <v>24</v>
      </c>
      <c r="I13" s="386" t="s">
        <v>18</v>
      </c>
      <c r="J13" s="484" t="s">
        <v>15</v>
      </c>
      <c r="L13" s="449" t="str">
        <f aca="false">D13</f>
        <v>Alex Ulbricht</v>
      </c>
      <c r="M13" s="21"/>
      <c r="N13" s="55" t="n">
        <v>4</v>
      </c>
      <c r="P13" s="14"/>
      <c r="Q13" s="23"/>
      <c r="S13" s="14"/>
      <c r="T13" s="14"/>
      <c r="U13" s="14"/>
      <c r="V13" s="24"/>
      <c r="W13" s="24"/>
    </row>
    <row r="14" customFormat="false" ht="20.15" hidden="false" customHeight="true" outlineLevel="0" collapsed="false">
      <c r="B14" s="23"/>
      <c r="C14" s="23"/>
      <c r="L14" s="56" t="s">
        <v>323</v>
      </c>
      <c r="M14" s="56"/>
      <c r="N14" s="57" t="n">
        <v>8</v>
      </c>
      <c r="P14" s="4"/>
      <c r="Q14" s="4"/>
      <c r="S14" s="4"/>
      <c r="T14" s="4"/>
      <c r="U14" s="4"/>
      <c r="V14" s="4"/>
    </row>
    <row r="15" customFormat="false" ht="15" hidden="false" customHeight="false" outlineLevel="0" collapsed="false">
      <c r="B15" s="3" t="s">
        <v>324</v>
      </c>
      <c r="C15" s="3"/>
      <c r="D15" s="3"/>
      <c r="E15" s="3"/>
      <c r="F15" s="3"/>
      <c r="G15" s="3"/>
      <c r="H15" s="3"/>
      <c r="I15" s="3"/>
      <c r="M15" s="58"/>
      <c r="N15" s="58"/>
      <c r="O15" s="58"/>
      <c r="P15" s="5"/>
      <c r="Q15" s="4"/>
      <c r="R15" s="4"/>
      <c r="T15" s="4"/>
      <c r="U15" s="4"/>
      <c r="V15" s="4"/>
      <c r="W15" s="4"/>
    </row>
    <row r="16" customFormat="false" ht="29.5" hidden="false" customHeight="true" outlineLevel="0" collapsed="false">
      <c r="B16" s="59" t="s">
        <v>45</v>
      </c>
      <c r="C16" s="59"/>
      <c r="D16" s="60" t="s">
        <v>4</v>
      </c>
      <c r="E16" s="61" t="s">
        <v>5</v>
      </c>
      <c r="F16" s="62" t="s">
        <v>6</v>
      </c>
      <c r="G16" s="63" t="s">
        <v>7</v>
      </c>
      <c r="H16" s="64" t="s">
        <v>8</v>
      </c>
      <c r="I16" s="62" t="s">
        <v>9</v>
      </c>
      <c r="M16" s="58"/>
      <c r="N16" s="58"/>
      <c r="O16" s="58"/>
      <c r="P16" s="5"/>
      <c r="Q16" s="4"/>
      <c r="R16" s="4"/>
      <c r="T16" s="4"/>
      <c r="U16" s="4"/>
      <c r="V16" s="4"/>
      <c r="W16" s="4"/>
    </row>
    <row r="17" customFormat="false" ht="20.15" hidden="false" customHeight="true" outlineLevel="0" collapsed="false">
      <c r="B17" s="485" t="n">
        <v>1</v>
      </c>
      <c r="C17" s="485"/>
      <c r="D17" s="472" t="s">
        <v>19</v>
      </c>
      <c r="E17" s="372" t="s">
        <v>20</v>
      </c>
      <c r="F17" s="486" t="s">
        <v>20</v>
      </c>
      <c r="G17" s="487" t="s">
        <v>20</v>
      </c>
      <c r="H17" s="473" t="s">
        <v>20</v>
      </c>
      <c r="I17" s="488" t="s">
        <v>18</v>
      </c>
      <c r="M17" s="58"/>
      <c r="N17" s="58"/>
      <c r="O17" s="58"/>
      <c r="P17" s="5"/>
      <c r="Q17" s="4"/>
      <c r="R17" s="4"/>
      <c r="T17" s="4"/>
      <c r="U17" s="4"/>
      <c r="V17" s="4"/>
      <c r="W17" s="4"/>
    </row>
    <row r="18" customFormat="false" ht="20.15" hidden="false" customHeight="true" outlineLevel="0" collapsed="false">
      <c r="B18" s="489" t="n">
        <v>2</v>
      </c>
      <c r="C18" s="489"/>
      <c r="D18" s="480" t="s">
        <v>30</v>
      </c>
      <c r="E18" s="96" t="s">
        <v>31</v>
      </c>
      <c r="F18" s="477" t="s">
        <v>32</v>
      </c>
      <c r="G18" s="476" t="s">
        <v>18</v>
      </c>
      <c r="H18" s="478" t="s">
        <v>32</v>
      </c>
      <c r="I18" s="490" t="s">
        <v>18</v>
      </c>
      <c r="M18" s="58"/>
      <c r="N18" s="58"/>
      <c r="O18" s="58"/>
      <c r="P18" s="5"/>
      <c r="Q18" s="4"/>
      <c r="R18" s="4"/>
      <c r="T18" s="4"/>
      <c r="U18" s="4"/>
      <c r="V18" s="4"/>
      <c r="W18" s="4"/>
    </row>
    <row r="19" customFormat="false" ht="20.15" hidden="false" customHeight="true" outlineLevel="0" collapsed="false">
      <c r="B19" s="491" t="n">
        <v>3</v>
      </c>
      <c r="C19" s="491"/>
      <c r="D19" s="482" t="s">
        <v>325</v>
      </c>
      <c r="E19" s="113" t="s">
        <v>22</v>
      </c>
      <c r="F19" s="492" t="s">
        <v>22</v>
      </c>
      <c r="G19" s="493" t="s">
        <v>18</v>
      </c>
      <c r="H19" s="483" t="s">
        <v>22</v>
      </c>
      <c r="I19" s="494" t="s">
        <v>18</v>
      </c>
      <c r="M19" s="58"/>
      <c r="N19" s="58"/>
      <c r="O19" s="58"/>
      <c r="P19" s="5"/>
      <c r="Q19" s="4"/>
      <c r="R19" s="4"/>
      <c r="T19" s="4"/>
      <c r="U19" s="4"/>
      <c r="V19" s="4"/>
      <c r="W19" s="4"/>
    </row>
    <row r="20" customFormat="false" ht="20.15" hidden="false" customHeight="true" outlineLevel="0" collapsed="false">
      <c r="D20" s="76"/>
      <c r="E20" s="76"/>
      <c r="F20" s="76"/>
      <c r="M20" s="58"/>
      <c r="N20" s="58"/>
      <c r="O20" s="58"/>
      <c r="P20" s="5"/>
      <c r="Q20" s="4"/>
      <c r="R20" s="4"/>
      <c r="T20" s="4"/>
      <c r="U20" s="4"/>
      <c r="V20" s="4"/>
      <c r="W20" s="4"/>
    </row>
    <row r="21" customFormat="false" ht="20.15" hidden="false" customHeight="true" outlineLevel="0" collapsed="false">
      <c r="B21" s="77"/>
      <c r="C21" s="77"/>
      <c r="D21" s="78"/>
      <c r="E21" s="78"/>
      <c r="F21" s="78"/>
      <c r="G21" s="78"/>
      <c r="H21" s="77"/>
      <c r="I21" s="77"/>
      <c r="J21" s="77"/>
      <c r="K21" s="77"/>
      <c r="L21" s="77"/>
      <c r="M21" s="77"/>
      <c r="N21" s="77"/>
      <c r="O21" s="77"/>
      <c r="P21" s="77"/>
      <c r="Q21" s="77"/>
      <c r="R21" s="77"/>
      <c r="S21" s="77"/>
      <c r="T21" s="77"/>
      <c r="U21" s="77"/>
    </row>
    <row r="22" customFormat="false" ht="30" hidden="false" customHeight="true" outlineLevel="0" collapsed="false">
      <c r="B22" s="77"/>
      <c r="C22" s="79" t="s">
        <v>51</v>
      </c>
      <c r="D22" s="79"/>
      <c r="E22" s="79"/>
      <c r="F22" s="79"/>
      <c r="G22" s="79"/>
      <c r="H22" s="79"/>
      <c r="I22" s="79"/>
      <c r="J22" s="79"/>
      <c r="K22" s="79"/>
      <c r="L22" s="79"/>
      <c r="M22" s="79"/>
      <c r="N22" s="79"/>
      <c r="O22" s="79"/>
      <c r="P22" s="79"/>
      <c r="Q22" s="79"/>
      <c r="R22" s="79"/>
      <c r="S22" s="79"/>
      <c r="T22" s="79"/>
      <c r="U22" s="77"/>
    </row>
    <row r="23" customFormat="false" ht="20.15" hidden="false" customHeight="true" outlineLevel="0" collapsed="false">
      <c r="B23" s="77"/>
      <c r="U23" s="77"/>
    </row>
    <row r="24" customFormat="false" ht="20.15" hidden="false" customHeight="true" outlineLevel="0" collapsed="false">
      <c r="B24" s="77"/>
      <c r="D24" s="80" t="s">
        <v>52</v>
      </c>
      <c r="E24" s="81" t="s">
        <v>53</v>
      </c>
      <c r="F24" s="82" t="s">
        <v>12</v>
      </c>
      <c r="G24" s="81" t="s">
        <v>54</v>
      </c>
      <c r="H24" s="81"/>
      <c r="I24" s="81"/>
      <c r="J24" s="81"/>
      <c r="K24" s="81" t="s">
        <v>55</v>
      </c>
      <c r="L24" s="83" t="s">
        <v>56</v>
      </c>
      <c r="M24" s="83"/>
      <c r="N24" s="83"/>
      <c r="O24" s="83"/>
      <c r="P24" s="83"/>
      <c r="Q24" s="83"/>
      <c r="R24" s="83"/>
      <c r="S24" s="83"/>
      <c r="U24" s="77"/>
    </row>
    <row r="25" customFormat="false" ht="20.15" hidden="false" customHeight="true" outlineLevel="0" collapsed="false">
      <c r="B25" s="77"/>
      <c r="D25" s="80"/>
      <c r="E25" s="81"/>
      <c r="F25" s="81"/>
      <c r="G25" s="84" t="s">
        <v>57</v>
      </c>
      <c r="H25" s="84" t="s">
        <v>58</v>
      </c>
      <c r="I25" s="82" t="s">
        <v>59</v>
      </c>
      <c r="J25" s="82"/>
      <c r="K25" s="84" t="s">
        <v>60</v>
      </c>
      <c r="L25" s="84" t="s">
        <v>57</v>
      </c>
      <c r="M25" s="85" t="s">
        <v>61</v>
      </c>
      <c r="N25" s="82" t="s">
        <v>59</v>
      </c>
      <c r="O25" s="82"/>
      <c r="P25" s="82"/>
      <c r="Q25" s="82"/>
      <c r="R25" s="82"/>
      <c r="S25" s="82"/>
      <c r="U25" s="77"/>
    </row>
    <row r="26" customFormat="false" ht="35.15" hidden="false" customHeight="true" outlineLevel="0" collapsed="false">
      <c r="B26" s="77"/>
      <c r="D26" s="86" t="s">
        <v>27</v>
      </c>
      <c r="E26" s="87" t="s">
        <v>28</v>
      </c>
      <c r="F26" s="22" t="n">
        <v>1</v>
      </c>
      <c r="G26" s="89" t="s">
        <v>67</v>
      </c>
      <c r="H26" s="281" t="s">
        <v>280</v>
      </c>
      <c r="I26" s="282" t="s">
        <v>326</v>
      </c>
      <c r="J26" s="282"/>
      <c r="K26" s="461" t="s">
        <v>68</v>
      </c>
      <c r="L26" s="442" t="s">
        <v>66</v>
      </c>
      <c r="M26" s="495" t="s">
        <v>66</v>
      </c>
      <c r="N26" s="444" t="s">
        <v>66</v>
      </c>
      <c r="O26" s="444"/>
      <c r="P26" s="444"/>
      <c r="Q26" s="444"/>
      <c r="R26" s="444"/>
      <c r="S26" s="444"/>
      <c r="U26" s="77"/>
    </row>
    <row r="27" customFormat="false" ht="125.15" hidden="false" customHeight="true" outlineLevel="0" collapsed="false">
      <c r="B27" s="77"/>
      <c r="D27" s="209" t="s">
        <v>16</v>
      </c>
      <c r="E27" s="96" t="s">
        <v>17</v>
      </c>
      <c r="F27" s="32" t="n">
        <v>2</v>
      </c>
      <c r="G27" s="98" t="s">
        <v>67</v>
      </c>
      <c r="H27" s="99" t="s">
        <v>68</v>
      </c>
      <c r="I27" s="287" t="s">
        <v>160</v>
      </c>
      <c r="J27" s="287"/>
      <c r="K27" s="294" t="s">
        <v>280</v>
      </c>
      <c r="L27" s="376" t="s">
        <v>66</v>
      </c>
      <c r="M27" s="111" t="s">
        <v>66</v>
      </c>
      <c r="N27" s="445" t="s">
        <v>66</v>
      </c>
      <c r="O27" s="445"/>
      <c r="P27" s="445"/>
      <c r="Q27" s="445"/>
      <c r="R27" s="445"/>
      <c r="S27" s="445"/>
      <c r="U27" s="77"/>
    </row>
    <row r="28" customFormat="false" ht="35.15" hidden="false" customHeight="true" outlineLevel="0" collapsed="false">
      <c r="B28" s="77"/>
      <c r="D28" s="105" t="s">
        <v>13</v>
      </c>
      <c r="E28" s="290" t="s">
        <v>14</v>
      </c>
      <c r="F28" s="32" t="n">
        <v>3</v>
      </c>
      <c r="G28" s="106" t="s">
        <v>227</v>
      </c>
      <c r="H28" s="107" t="s">
        <v>228</v>
      </c>
      <c r="I28" s="293" t="s">
        <v>229</v>
      </c>
      <c r="J28" s="293"/>
      <c r="K28" s="288" t="s">
        <v>65</v>
      </c>
      <c r="L28" s="376" t="s">
        <v>66</v>
      </c>
      <c r="M28" s="464" t="s">
        <v>66</v>
      </c>
      <c r="N28" s="112" t="s">
        <v>66</v>
      </c>
      <c r="O28" s="112"/>
      <c r="P28" s="112"/>
      <c r="Q28" s="112"/>
      <c r="R28" s="112"/>
      <c r="S28" s="112"/>
      <c r="U28" s="77"/>
    </row>
    <row r="29" customFormat="false" ht="95.15" hidden="false" customHeight="true" outlineLevel="0" collapsed="false">
      <c r="B29" s="77"/>
      <c r="D29" s="295" t="s">
        <v>39</v>
      </c>
      <c r="E29" s="386" t="s">
        <v>40</v>
      </c>
      <c r="F29" s="55" t="n">
        <v>4</v>
      </c>
      <c r="G29" s="115" t="s">
        <v>71</v>
      </c>
      <c r="H29" s="101" t="s">
        <v>250</v>
      </c>
      <c r="I29" s="377" t="s">
        <v>312</v>
      </c>
      <c r="J29" s="377"/>
      <c r="K29" s="435" t="s">
        <v>228</v>
      </c>
      <c r="L29" s="379" t="s">
        <v>66</v>
      </c>
      <c r="M29" s="119" t="s">
        <v>66</v>
      </c>
      <c r="N29" s="120" t="s">
        <v>66</v>
      </c>
      <c r="O29" s="120"/>
      <c r="P29" s="120"/>
      <c r="Q29" s="120"/>
      <c r="R29" s="120"/>
      <c r="S29" s="120"/>
      <c r="U29" s="77"/>
    </row>
    <row r="30" customFormat="false" ht="20.15" hidden="false" customHeight="true" outlineLevel="0" collapsed="false">
      <c r="B30" s="77"/>
      <c r="D30" s="121"/>
      <c r="E30" s="121"/>
      <c r="U30" s="77"/>
    </row>
    <row r="31" customFormat="false" ht="20.15" hidden="false" customHeight="true" outlineLevel="0" collapsed="false">
      <c r="B31" s="77"/>
      <c r="C31" s="122"/>
      <c r="D31" s="122"/>
      <c r="E31" s="123" t="str">
        <f aca="false">IF(OR(M26="-",M26= ""),H26,M26)</f>
        <v>Dungeon Petz</v>
      </c>
      <c r="F31" s="123"/>
      <c r="G31" s="123"/>
      <c r="H31" s="123"/>
      <c r="I31" s="123"/>
      <c r="J31" s="123"/>
      <c r="K31" s="123"/>
      <c r="L31" s="123"/>
      <c r="M31" s="123"/>
      <c r="N31" s="123"/>
      <c r="O31" s="124"/>
      <c r="P31" s="124"/>
      <c r="Q31" s="124"/>
      <c r="R31" s="124"/>
      <c r="S31" s="124"/>
      <c r="T31" s="122"/>
      <c r="U31" s="77"/>
    </row>
    <row r="32" customFormat="false" ht="50.15" hidden="false" customHeight="true" outlineLevel="0" collapsed="false">
      <c r="B32" s="77"/>
      <c r="C32" s="122"/>
      <c r="D32" s="124"/>
      <c r="E32" s="125" t="s">
        <v>52</v>
      </c>
      <c r="F32" s="126" t="s">
        <v>75</v>
      </c>
      <c r="G32" s="82" t="s">
        <v>76</v>
      </c>
      <c r="H32" s="81" t="s">
        <v>77</v>
      </c>
      <c r="I32" s="59" t="s">
        <v>78</v>
      </c>
      <c r="J32" s="81" t="s">
        <v>79</v>
      </c>
      <c r="K32" s="127" t="s">
        <v>80</v>
      </c>
      <c r="L32" s="81" t="s">
        <v>81</v>
      </c>
      <c r="M32" s="128" t="s">
        <v>82</v>
      </c>
      <c r="N32" s="129" t="s">
        <v>83</v>
      </c>
      <c r="O32" s="130" t="s">
        <v>84</v>
      </c>
      <c r="P32" s="131" t="s">
        <v>85</v>
      </c>
      <c r="Q32" s="131" t="s">
        <v>86</v>
      </c>
      <c r="R32" s="131" t="s">
        <v>87</v>
      </c>
      <c r="S32" s="124"/>
      <c r="T32" s="122"/>
      <c r="U32" s="77"/>
    </row>
    <row r="33" customFormat="false" ht="20.15" hidden="false" customHeight="true" outlineLevel="0" collapsed="false">
      <c r="B33" s="77"/>
      <c r="C33" s="122"/>
      <c r="D33" s="132"/>
      <c r="E33" s="199" t="s">
        <v>27</v>
      </c>
      <c r="F33" s="200" t="s">
        <v>29</v>
      </c>
      <c r="G33" s="201" t="n">
        <v>2</v>
      </c>
      <c r="H33" s="202" t="s">
        <v>66</v>
      </c>
      <c r="I33" s="201" t="n">
        <v>0</v>
      </c>
      <c r="J33" s="201" t="n">
        <v>64</v>
      </c>
      <c r="K33" s="201" t="s">
        <v>66</v>
      </c>
      <c r="L33" s="204" t="n">
        <f aca="false">IF(J33="",0,(J33/J37)*100)</f>
        <v>100</v>
      </c>
      <c r="M33" s="201" t="n">
        <v>1</v>
      </c>
      <c r="N33" s="205" t="n">
        <v>4.5</v>
      </c>
      <c r="O33" s="137" t="n">
        <f aca="false">IF(M33=1,1,0)</f>
        <v>1</v>
      </c>
      <c r="P33" s="138" t="n">
        <f aca="false">IF(M33=2,1,0)</f>
        <v>0</v>
      </c>
      <c r="Q33" s="138" t="n">
        <f aca="false">IF(M33=3,1,0)</f>
        <v>0</v>
      </c>
      <c r="R33" s="139" t="n">
        <f aca="false">IF(M33=4,1,0)</f>
        <v>0</v>
      </c>
      <c r="S33" s="140"/>
      <c r="T33" s="122"/>
      <c r="U33" s="77"/>
    </row>
    <row r="34" customFormat="false" ht="20.15" hidden="false" customHeight="true" outlineLevel="0" collapsed="false">
      <c r="B34" s="77"/>
      <c r="C34" s="122"/>
      <c r="D34" s="132"/>
      <c r="E34" s="226" t="s">
        <v>16</v>
      </c>
      <c r="F34" s="227" t="s">
        <v>17</v>
      </c>
      <c r="G34" s="228" t="n">
        <v>3</v>
      </c>
      <c r="H34" s="228" t="s">
        <v>66</v>
      </c>
      <c r="I34" s="228" t="n">
        <v>0</v>
      </c>
      <c r="J34" s="228" t="n">
        <v>36</v>
      </c>
      <c r="K34" s="228" t="s">
        <v>66</v>
      </c>
      <c r="L34" s="229" t="n">
        <f aca="false">IF(J34="",0,(J34/J37)*100)</f>
        <v>56.25</v>
      </c>
      <c r="M34" s="228" t="n">
        <v>4</v>
      </c>
      <c r="N34" s="230" t="n">
        <v>0</v>
      </c>
      <c r="O34" s="144" t="n">
        <f aca="false">IF(M34=1,1,0)</f>
        <v>0</v>
      </c>
      <c r="P34" s="145" t="n">
        <f aca="false">IF(M34=2,1,0)</f>
        <v>0</v>
      </c>
      <c r="Q34" s="145" t="n">
        <f aca="false">IF(M34=3,1,0)</f>
        <v>0</v>
      </c>
      <c r="R34" s="146" t="n">
        <f aca="false">IF(M34=4,1,0)</f>
        <v>1</v>
      </c>
      <c r="S34" s="140"/>
      <c r="T34" s="122"/>
      <c r="U34" s="77"/>
    </row>
    <row r="35" customFormat="false" ht="20.15" hidden="false" customHeight="true" outlineLevel="0" collapsed="false">
      <c r="B35" s="77"/>
      <c r="C35" s="122"/>
      <c r="D35" s="132"/>
      <c r="E35" s="147" t="s">
        <v>13</v>
      </c>
      <c r="F35" s="355" t="s">
        <v>14</v>
      </c>
      <c r="G35" s="149" t="n">
        <v>4</v>
      </c>
      <c r="H35" s="149" t="s">
        <v>66</v>
      </c>
      <c r="I35" s="149" t="n">
        <v>0</v>
      </c>
      <c r="J35" s="149" t="n">
        <v>64</v>
      </c>
      <c r="K35" s="149" t="s">
        <v>66</v>
      </c>
      <c r="L35" s="150" t="n">
        <f aca="false">IF(J35="",0,(J35/J37)*100)</f>
        <v>100</v>
      </c>
      <c r="M35" s="149" t="n">
        <v>1</v>
      </c>
      <c r="N35" s="151" t="n">
        <v>4.5</v>
      </c>
      <c r="O35" s="144" t="n">
        <f aca="false">IF(M35=1,1,0)</f>
        <v>1</v>
      </c>
      <c r="P35" s="145" t="n">
        <f aca="false">IF(M35=2,1,0)</f>
        <v>0</v>
      </c>
      <c r="Q35" s="145" t="n">
        <f aca="false">IF(M35=3,1,0)</f>
        <v>0</v>
      </c>
      <c r="R35" s="146" t="n">
        <f aca="false">IF(M35=4,1,0)</f>
        <v>0</v>
      </c>
      <c r="S35" s="140"/>
      <c r="T35" s="122"/>
      <c r="U35" s="77"/>
    </row>
    <row r="36" customFormat="false" ht="20.15" hidden="false" customHeight="true" outlineLevel="0" collapsed="false">
      <c r="B36" s="77"/>
      <c r="C36" s="122"/>
      <c r="D36" s="152"/>
      <c r="E36" s="295" t="s">
        <v>39</v>
      </c>
      <c r="F36" s="386" t="s">
        <v>40</v>
      </c>
      <c r="G36" s="234" t="n">
        <v>1</v>
      </c>
      <c r="H36" s="234" t="s">
        <v>66</v>
      </c>
      <c r="I36" s="234" t="n">
        <v>0</v>
      </c>
      <c r="J36" s="234" t="n">
        <v>58</v>
      </c>
      <c r="K36" s="234" t="s">
        <v>66</v>
      </c>
      <c r="L36" s="381" t="n">
        <f aca="false">IF(J36="",0,(J36/J37)*100)</f>
        <v>90.625</v>
      </c>
      <c r="M36" s="234" t="n">
        <v>3</v>
      </c>
      <c r="N36" s="236" t="n">
        <v>1</v>
      </c>
      <c r="O36" s="156" t="n">
        <f aca="false">IF(M36=1,1,0)</f>
        <v>0</v>
      </c>
      <c r="P36" s="157" t="n">
        <f aca="false">IF(M36=2,1,0)</f>
        <v>0</v>
      </c>
      <c r="Q36" s="157" t="n">
        <f aca="false">IF(M36=3,1,0)</f>
        <v>1</v>
      </c>
      <c r="R36" s="158" t="n">
        <f aca="false">IF(M36=4,1,0)</f>
        <v>0</v>
      </c>
      <c r="S36" s="140"/>
      <c r="T36" s="122"/>
      <c r="U36" s="77"/>
    </row>
    <row r="37" customFormat="false" ht="20.15" hidden="true" customHeight="true" outlineLevel="1" collapsed="false">
      <c r="B37" s="77"/>
      <c r="C37" s="122"/>
      <c r="D37" s="159"/>
      <c r="E37" s="159"/>
      <c r="F37" s="140"/>
      <c r="G37" s="140"/>
      <c r="H37" s="122"/>
      <c r="I37" s="160" t="s">
        <v>92</v>
      </c>
      <c r="J37" s="161" t="n">
        <f aca="false">MAX(J33:J36)</f>
        <v>64</v>
      </c>
      <c r="K37" s="162"/>
      <c r="L37" s="163"/>
      <c r="M37" s="122"/>
      <c r="N37" s="164" t="s">
        <v>93</v>
      </c>
      <c r="O37" s="165" t="n">
        <f aca="false">SUM(O33:O36)</f>
        <v>2</v>
      </c>
      <c r="P37" s="166" t="n">
        <f aca="false">SUM(P33:P36)</f>
        <v>0</v>
      </c>
      <c r="Q37" s="165" t="n">
        <f aca="false">SUM(Q33:Q36)</f>
        <v>1</v>
      </c>
      <c r="R37" s="165" t="n">
        <f aca="false">SUM(R33:R36)</f>
        <v>1</v>
      </c>
      <c r="S37" s="167"/>
      <c r="T37" s="122"/>
      <c r="U37" s="77"/>
    </row>
    <row r="38" customFormat="false" ht="20.15" hidden="false" customHeight="true" outlineLevel="0" collapsed="false">
      <c r="B38" s="77"/>
      <c r="C38" s="122"/>
      <c r="D38" s="168"/>
      <c r="E38" s="168"/>
      <c r="F38" s="169"/>
      <c r="G38" s="169"/>
      <c r="H38" s="124"/>
      <c r="I38" s="122"/>
      <c r="J38" s="122"/>
      <c r="K38" s="122"/>
      <c r="L38" s="122"/>
      <c r="M38" s="122"/>
      <c r="N38" s="122"/>
      <c r="O38" s="122"/>
      <c r="P38" s="122"/>
      <c r="Q38" s="122"/>
      <c r="R38" s="122"/>
      <c r="S38" s="122"/>
      <c r="T38" s="122"/>
      <c r="U38" s="77"/>
    </row>
    <row r="39" customFormat="false" ht="20.15" hidden="false" customHeight="true" outlineLevel="0" collapsed="false">
      <c r="B39" s="77"/>
      <c r="U39" s="77"/>
    </row>
    <row r="40" customFormat="false" ht="20.15" hidden="false" customHeight="true" outlineLevel="0" collapsed="false">
      <c r="B40" s="77"/>
      <c r="C40" s="170"/>
      <c r="D40" s="170"/>
      <c r="E40" s="171" t="str">
        <f aca="false">IF(OR(M27="-",M27= ""),H27,M27)</f>
        <v>Clans of Caledonia</v>
      </c>
      <c r="F40" s="171"/>
      <c r="G40" s="171"/>
      <c r="H40" s="171"/>
      <c r="I40" s="171"/>
      <c r="J40" s="171"/>
      <c r="K40" s="171"/>
      <c r="L40" s="171"/>
      <c r="M40" s="171"/>
      <c r="N40" s="171"/>
      <c r="O40" s="172"/>
      <c r="P40" s="172"/>
      <c r="Q40" s="172"/>
      <c r="R40" s="172"/>
      <c r="S40" s="172"/>
      <c r="T40" s="170"/>
      <c r="U40" s="77"/>
    </row>
    <row r="41" customFormat="false" ht="50.15" hidden="false" customHeight="true" outlineLevel="0" collapsed="false">
      <c r="B41" s="77"/>
      <c r="C41" s="170"/>
      <c r="D41" s="172"/>
      <c r="E41" s="125" t="s">
        <v>52</v>
      </c>
      <c r="F41" s="126" t="s">
        <v>75</v>
      </c>
      <c r="G41" s="82" t="s">
        <v>76</v>
      </c>
      <c r="H41" s="81" t="s">
        <v>77</v>
      </c>
      <c r="I41" s="59" t="s">
        <v>78</v>
      </c>
      <c r="J41" s="81" t="s">
        <v>79</v>
      </c>
      <c r="K41" s="127" t="s">
        <v>80</v>
      </c>
      <c r="L41" s="81" t="s">
        <v>81</v>
      </c>
      <c r="M41" s="128" t="s">
        <v>82</v>
      </c>
      <c r="N41" s="129" t="s">
        <v>83</v>
      </c>
      <c r="O41" s="130" t="s">
        <v>84</v>
      </c>
      <c r="P41" s="131" t="s">
        <v>85</v>
      </c>
      <c r="Q41" s="131" t="s">
        <v>86</v>
      </c>
      <c r="R41" s="131" t="s">
        <v>87</v>
      </c>
      <c r="S41" s="172"/>
      <c r="T41" s="170"/>
      <c r="U41" s="77"/>
    </row>
    <row r="42" customFormat="false" ht="20.15" hidden="false" customHeight="true" outlineLevel="0" collapsed="false">
      <c r="B42" s="77"/>
      <c r="C42" s="170"/>
      <c r="D42" s="173"/>
      <c r="E42" s="86" t="s">
        <v>27</v>
      </c>
      <c r="F42" s="87" t="s">
        <v>29</v>
      </c>
      <c r="G42" s="221" t="n">
        <v>1</v>
      </c>
      <c r="H42" s="222" t="s">
        <v>94</v>
      </c>
      <c r="I42" s="221" t="n">
        <v>-17</v>
      </c>
      <c r="J42" s="222" t="n">
        <v>134</v>
      </c>
      <c r="K42" s="222" t="s">
        <v>66</v>
      </c>
      <c r="L42" s="223" t="n">
        <f aca="false">IF(J42="",0,(J42/J46)*100)</f>
        <v>84.2767295597484</v>
      </c>
      <c r="M42" s="221" t="n">
        <v>3</v>
      </c>
      <c r="N42" s="224" t="n">
        <v>1</v>
      </c>
      <c r="O42" s="137" t="n">
        <f aca="false">IF(M42=1,1,0)</f>
        <v>0</v>
      </c>
      <c r="P42" s="138" t="n">
        <f aca="false">IF(M42=2,1,0)</f>
        <v>0</v>
      </c>
      <c r="Q42" s="138" t="n">
        <f aca="false">IF(M42=3,1,0)</f>
        <v>1</v>
      </c>
      <c r="R42" s="139" t="n">
        <f aca="false">IF(M42=4,1,0)</f>
        <v>0</v>
      </c>
      <c r="S42" s="176"/>
      <c r="T42" s="170"/>
      <c r="U42" s="77"/>
    </row>
    <row r="43" customFormat="false" ht="20.15" hidden="false" customHeight="true" outlineLevel="0" collapsed="false">
      <c r="B43" s="77"/>
      <c r="C43" s="170"/>
      <c r="D43" s="177"/>
      <c r="E43" s="226" t="s">
        <v>16</v>
      </c>
      <c r="F43" s="227" t="s">
        <v>17</v>
      </c>
      <c r="G43" s="228" t="n">
        <v>2</v>
      </c>
      <c r="H43" s="317" t="s">
        <v>327</v>
      </c>
      <c r="I43" s="228" t="n">
        <v>-9</v>
      </c>
      <c r="J43" s="317" t="n">
        <v>149</v>
      </c>
      <c r="K43" s="317" t="s">
        <v>66</v>
      </c>
      <c r="L43" s="229" t="n">
        <f aca="false">IF(J43="",0,(J43/J46)*100)</f>
        <v>93.7106918238994</v>
      </c>
      <c r="M43" s="228" t="n">
        <v>2</v>
      </c>
      <c r="N43" s="230" t="n">
        <v>3</v>
      </c>
      <c r="O43" s="144" t="n">
        <f aca="false">IF(M43=1,1,0)</f>
        <v>0</v>
      </c>
      <c r="P43" s="145" t="n">
        <f aca="false">IF(M43=2,1,0)</f>
        <v>1</v>
      </c>
      <c r="Q43" s="145" t="n">
        <f aca="false">IF(M43=3,1,0)</f>
        <v>0</v>
      </c>
      <c r="R43" s="146" t="n">
        <f aca="false">IF(M43=4,1,0)</f>
        <v>0</v>
      </c>
      <c r="S43" s="176"/>
      <c r="T43" s="170"/>
      <c r="U43" s="77"/>
    </row>
    <row r="44" customFormat="false" ht="20.15" hidden="false" customHeight="true" outlineLevel="0" collapsed="false">
      <c r="B44" s="77"/>
      <c r="C44" s="170"/>
      <c r="D44" s="173"/>
      <c r="E44" s="147" t="s">
        <v>13</v>
      </c>
      <c r="F44" s="355" t="s">
        <v>14</v>
      </c>
      <c r="G44" s="149" t="n">
        <v>4</v>
      </c>
      <c r="H44" s="179" t="s">
        <v>95</v>
      </c>
      <c r="I44" s="149" t="n">
        <v>0</v>
      </c>
      <c r="J44" s="179" t="n">
        <v>159</v>
      </c>
      <c r="K44" s="179" t="s">
        <v>66</v>
      </c>
      <c r="L44" s="150" t="n">
        <f aca="false">IF(J44="",0,(J44/J46)*100)</f>
        <v>100</v>
      </c>
      <c r="M44" s="149" t="n">
        <v>1</v>
      </c>
      <c r="N44" s="151" t="n">
        <v>6</v>
      </c>
      <c r="O44" s="144" t="n">
        <f aca="false">IF(M44=1,1,0)</f>
        <v>1</v>
      </c>
      <c r="P44" s="145" t="n">
        <f aca="false">IF(M44=2,1,0)</f>
        <v>0</v>
      </c>
      <c r="Q44" s="145" t="n">
        <f aca="false">IF(M44=3,1,0)</f>
        <v>0</v>
      </c>
      <c r="R44" s="146" t="n">
        <f aca="false">IF(M44=4,1,0)</f>
        <v>0</v>
      </c>
      <c r="S44" s="176"/>
      <c r="T44" s="170"/>
      <c r="U44" s="77"/>
    </row>
    <row r="45" customFormat="false" ht="20.15" hidden="false" customHeight="true" outlineLevel="0" collapsed="false">
      <c r="B45" s="77"/>
      <c r="C45" s="170"/>
      <c r="D45" s="173"/>
      <c r="E45" s="295" t="s">
        <v>39</v>
      </c>
      <c r="F45" s="386" t="s">
        <v>40</v>
      </c>
      <c r="G45" s="234" t="n">
        <v>3</v>
      </c>
      <c r="H45" s="308" t="s">
        <v>328</v>
      </c>
      <c r="I45" s="234" t="n">
        <v>-6</v>
      </c>
      <c r="J45" s="308" t="n">
        <v>121</v>
      </c>
      <c r="K45" s="234" t="s">
        <v>66</v>
      </c>
      <c r="L45" s="235" t="n">
        <f aca="false">IF(J45="",0,(J45/J46)*100)</f>
        <v>76.1006289308176</v>
      </c>
      <c r="M45" s="234" t="n">
        <v>4</v>
      </c>
      <c r="N45" s="236" t="n">
        <v>0</v>
      </c>
      <c r="O45" s="156" t="n">
        <f aca="false">IF(M45=1,1,0)</f>
        <v>0</v>
      </c>
      <c r="P45" s="157" t="n">
        <f aca="false">IF(M45=2,1,0)</f>
        <v>0</v>
      </c>
      <c r="Q45" s="157" t="n">
        <f aca="false">IF(M45=3,1,0)</f>
        <v>0</v>
      </c>
      <c r="R45" s="158" t="n">
        <f aca="false">IF(M45=4,1,0)</f>
        <v>1</v>
      </c>
      <c r="S45" s="176"/>
      <c r="T45" s="170"/>
      <c r="U45" s="77"/>
    </row>
    <row r="46" customFormat="false" ht="20.15" hidden="true" customHeight="true" outlineLevel="1" collapsed="false">
      <c r="B46" s="77"/>
      <c r="C46" s="170"/>
      <c r="D46" s="173"/>
      <c r="E46" s="173"/>
      <c r="F46" s="172"/>
      <c r="G46" s="172"/>
      <c r="H46" s="170"/>
      <c r="I46" s="185" t="s">
        <v>92</v>
      </c>
      <c r="J46" s="161" t="n">
        <f aca="false">MAX(J42:J45)</f>
        <v>159</v>
      </c>
      <c r="K46" s="186"/>
      <c r="L46" s="176"/>
      <c r="M46" s="170"/>
      <c r="N46" s="164" t="s">
        <v>93</v>
      </c>
      <c r="O46" s="165" t="n">
        <f aca="false">SUM(O42:O45)</f>
        <v>1</v>
      </c>
      <c r="P46" s="166" t="n">
        <f aca="false">SUM(P42:P45)</f>
        <v>1</v>
      </c>
      <c r="Q46" s="165" t="n">
        <f aca="false">SUM(Q42:Q45)</f>
        <v>1</v>
      </c>
      <c r="R46" s="187" t="n">
        <f aca="false">SUM(R42:R45)</f>
        <v>1</v>
      </c>
      <c r="S46" s="188"/>
      <c r="T46" s="170"/>
      <c r="U46" s="77"/>
    </row>
    <row r="47" customFormat="false" ht="20.15" hidden="false" customHeight="true" outlineLevel="0" collapsed="false">
      <c r="B47" s="77"/>
      <c r="C47" s="170"/>
      <c r="D47" s="189"/>
      <c r="E47" s="189"/>
      <c r="F47" s="170"/>
      <c r="G47" s="170"/>
      <c r="H47" s="170"/>
      <c r="I47" s="170"/>
      <c r="J47" s="170"/>
      <c r="K47" s="170"/>
      <c r="L47" s="170"/>
      <c r="M47" s="170"/>
      <c r="N47" s="170"/>
      <c r="O47" s="170"/>
      <c r="P47" s="170"/>
      <c r="Q47" s="170"/>
      <c r="R47" s="170"/>
      <c r="S47" s="170"/>
      <c r="T47" s="170"/>
      <c r="U47" s="77"/>
    </row>
    <row r="48" customFormat="false" ht="20.15" hidden="false" customHeight="true" outlineLevel="0" collapsed="false">
      <c r="B48" s="77"/>
      <c r="D48" s="190"/>
      <c r="E48" s="190"/>
      <c r="F48" s="190"/>
      <c r="G48" s="190"/>
      <c r="H48" s="191"/>
      <c r="I48" s="190"/>
      <c r="J48" s="190"/>
      <c r="K48" s="14"/>
      <c r="L48" s="14"/>
      <c r="M48" s="14"/>
      <c r="N48" s="14"/>
      <c r="O48" s="14"/>
      <c r="P48" s="14"/>
      <c r="Q48" s="14"/>
      <c r="R48" s="14"/>
      <c r="S48" s="14"/>
      <c r="U48" s="77"/>
    </row>
    <row r="49" customFormat="false" ht="20.15" hidden="false" customHeight="true" outlineLevel="0" collapsed="false">
      <c r="B49" s="77"/>
      <c r="C49" s="192"/>
      <c r="D49" s="192"/>
      <c r="E49" s="193" t="str">
        <f aca="false">IF(OR(M28="-",M28= ""),H28,M28)</f>
        <v>Agricola</v>
      </c>
      <c r="F49" s="193"/>
      <c r="G49" s="193"/>
      <c r="H49" s="193"/>
      <c r="I49" s="193"/>
      <c r="J49" s="193"/>
      <c r="K49" s="193"/>
      <c r="L49" s="193"/>
      <c r="M49" s="193"/>
      <c r="N49" s="193"/>
      <c r="O49" s="194"/>
      <c r="P49" s="194"/>
      <c r="Q49" s="194"/>
      <c r="R49" s="194"/>
      <c r="S49" s="194"/>
      <c r="T49" s="192"/>
      <c r="U49" s="195"/>
      <c r="V49" s="196"/>
      <c r="W49" s="196"/>
    </row>
    <row r="50" customFormat="false" ht="50.15" hidden="false" customHeight="true" outlineLevel="0" collapsed="false">
      <c r="B50" s="77"/>
      <c r="C50" s="192"/>
      <c r="D50" s="194"/>
      <c r="E50" s="125" t="s">
        <v>52</v>
      </c>
      <c r="F50" s="126" t="s">
        <v>75</v>
      </c>
      <c r="G50" s="82" t="s">
        <v>76</v>
      </c>
      <c r="H50" s="81" t="s">
        <v>77</v>
      </c>
      <c r="I50" s="59" t="s">
        <v>78</v>
      </c>
      <c r="J50" s="81" t="s">
        <v>79</v>
      </c>
      <c r="K50" s="127" t="s">
        <v>80</v>
      </c>
      <c r="L50" s="81" t="s">
        <v>81</v>
      </c>
      <c r="M50" s="128" t="s">
        <v>82</v>
      </c>
      <c r="N50" s="129" t="s">
        <v>83</v>
      </c>
      <c r="O50" s="130" t="s">
        <v>84</v>
      </c>
      <c r="P50" s="131" t="s">
        <v>85</v>
      </c>
      <c r="Q50" s="131" t="s">
        <v>86</v>
      </c>
      <c r="R50" s="197" t="s">
        <v>87</v>
      </c>
      <c r="S50" s="194"/>
      <c r="T50" s="192"/>
      <c r="U50" s="195"/>
      <c r="V50" s="196"/>
      <c r="W50" s="196"/>
    </row>
    <row r="51" customFormat="false" ht="20.15" hidden="false" customHeight="true" outlineLevel="0" collapsed="false">
      <c r="B51" s="77"/>
      <c r="C51" s="192"/>
      <c r="D51" s="198"/>
      <c r="E51" s="86" t="s">
        <v>27</v>
      </c>
      <c r="F51" s="87" t="s">
        <v>28</v>
      </c>
      <c r="G51" s="221" t="n">
        <v>2</v>
      </c>
      <c r="H51" s="222" t="s">
        <v>66</v>
      </c>
      <c r="I51" s="221" t="n">
        <v>-14</v>
      </c>
      <c r="J51" s="436" t="n">
        <v>41</v>
      </c>
      <c r="K51" s="221" t="s">
        <v>66</v>
      </c>
      <c r="L51" s="223" t="n">
        <f aca="false">IF(J51="",0,(J51/J55)*100)</f>
        <v>89.1304347826087</v>
      </c>
      <c r="M51" s="221" t="n">
        <v>3</v>
      </c>
      <c r="N51" s="224" t="n">
        <v>1</v>
      </c>
      <c r="O51" s="137" t="n">
        <f aca="false">IF(M51=1,1,0)</f>
        <v>0</v>
      </c>
      <c r="P51" s="138" t="n">
        <f aca="false">IF(M51=2,1,0)</f>
        <v>0</v>
      </c>
      <c r="Q51" s="138" t="n">
        <f aca="false">IF(M51=3,1,0)</f>
        <v>1</v>
      </c>
      <c r="R51" s="139" t="n">
        <f aca="false">IF(M51=4,1,0)</f>
        <v>0</v>
      </c>
      <c r="S51" s="206"/>
      <c r="T51" s="192"/>
      <c r="U51" s="207"/>
      <c r="V51" s="121"/>
      <c r="W51" s="121"/>
    </row>
    <row r="52" customFormat="false" ht="20.15" hidden="false" customHeight="true" outlineLevel="0" collapsed="false">
      <c r="B52" s="77"/>
      <c r="C52" s="192"/>
      <c r="D52" s="208"/>
      <c r="E52" s="226" t="s">
        <v>16</v>
      </c>
      <c r="F52" s="227" t="s">
        <v>17</v>
      </c>
      <c r="G52" s="228" t="n">
        <v>4</v>
      </c>
      <c r="H52" s="317" t="s">
        <v>66</v>
      </c>
      <c r="I52" s="228" t="n">
        <v>-14</v>
      </c>
      <c r="J52" s="424" t="n">
        <v>44</v>
      </c>
      <c r="K52" s="228" t="s">
        <v>66</v>
      </c>
      <c r="L52" s="229" t="n">
        <f aca="false">IF(J52="",0,(J52/J55)*100)</f>
        <v>95.6521739130435</v>
      </c>
      <c r="M52" s="228" t="n">
        <v>2</v>
      </c>
      <c r="N52" s="230" t="n">
        <v>3</v>
      </c>
      <c r="O52" s="144" t="n">
        <f aca="false">IF(M52=1,1,0)</f>
        <v>0</v>
      </c>
      <c r="P52" s="145" t="n">
        <f aca="false">IF(M52=2,1,0)</f>
        <v>1</v>
      </c>
      <c r="Q52" s="145" t="n">
        <f aca="false">IF(M52=3,1,0)</f>
        <v>0</v>
      </c>
      <c r="R52" s="146" t="n">
        <f aca="false">IF(M52=4,1,0)</f>
        <v>0</v>
      </c>
      <c r="S52" s="206"/>
      <c r="T52" s="192"/>
      <c r="U52" s="211"/>
      <c r="V52" s="121"/>
      <c r="W52" s="121"/>
    </row>
    <row r="53" customFormat="false" ht="20.15" hidden="false" customHeight="true" outlineLevel="0" collapsed="false">
      <c r="B53" s="77"/>
      <c r="C53" s="192"/>
      <c r="D53" s="198"/>
      <c r="E53" s="147" t="s">
        <v>13</v>
      </c>
      <c r="F53" s="355" t="s">
        <v>14</v>
      </c>
      <c r="G53" s="149" t="n">
        <v>1</v>
      </c>
      <c r="H53" s="179" t="s">
        <v>66</v>
      </c>
      <c r="I53" s="149" t="n">
        <v>-14</v>
      </c>
      <c r="J53" s="496" t="n">
        <v>46</v>
      </c>
      <c r="K53" s="179" t="s">
        <v>66</v>
      </c>
      <c r="L53" s="150" t="n">
        <f aca="false">IF(J53="",0,(J53/J55)*100)</f>
        <v>100</v>
      </c>
      <c r="M53" s="149" t="n">
        <v>1</v>
      </c>
      <c r="N53" s="151" t="n">
        <v>6</v>
      </c>
      <c r="O53" s="144" t="n">
        <f aca="false">IF(M53=1,1,0)</f>
        <v>1</v>
      </c>
      <c r="P53" s="145" t="n">
        <f aca="false">IF(M53=2,1,0)</f>
        <v>0</v>
      </c>
      <c r="Q53" s="145" t="n">
        <f aca="false">IF(M53=3,1,0)</f>
        <v>0</v>
      </c>
      <c r="R53" s="146" t="n">
        <f aca="false">IF(M53=4,1,0)</f>
        <v>0</v>
      </c>
      <c r="S53" s="206"/>
      <c r="T53" s="192"/>
      <c r="U53" s="211"/>
      <c r="V53" s="121"/>
      <c r="W53" s="121"/>
    </row>
    <row r="54" customFormat="false" ht="20.15" hidden="false" customHeight="true" outlineLevel="0" collapsed="false">
      <c r="B54" s="77"/>
      <c r="C54" s="192"/>
      <c r="D54" s="198"/>
      <c r="E54" s="295" t="s">
        <v>39</v>
      </c>
      <c r="F54" s="386" t="s">
        <v>40</v>
      </c>
      <c r="G54" s="234" t="n">
        <v>3</v>
      </c>
      <c r="H54" s="308" t="s">
        <v>66</v>
      </c>
      <c r="I54" s="234" t="n">
        <v>-14</v>
      </c>
      <c r="J54" s="425" t="n">
        <v>36</v>
      </c>
      <c r="K54" s="308" t="s">
        <v>66</v>
      </c>
      <c r="L54" s="235" t="n">
        <f aca="false">IF(J54="",0,(J54/J55)*100)</f>
        <v>78.2608695652174</v>
      </c>
      <c r="M54" s="234" t="n">
        <v>4</v>
      </c>
      <c r="N54" s="236" t="n">
        <v>0</v>
      </c>
      <c r="O54" s="156" t="n">
        <f aca="false">IF(M54=1,1,0)</f>
        <v>0</v>
      </c>
      <c r="P54" s="157" t="n">
        <f aca="false">IF(M54=2,1,0)</f>
        <v>0</v>
      </c>
      <c r="Q54" s="157" t="n">
        <f aca="false">IF(M54=3,1,0)</f>
        <v>0</v>
      </c>
      <c r="R54" s="158" t="n">
        <f aca="false">IF(M54=4,1,0)</f>
        <v>1</v>
      </c>
      <c r="S54" s="206"/>
      <c r="T54" s="192"/>
      <c r="U54" s="211"/>
      <c r="V54" s="121"/>
      <c r="W54" s="121"/>
    </row>
    <row r="55" customFormat="false" ht="20.15" hidden="true" customHeight="true" outlineLevel="1" collapsed="false">
      <c r="B55" s="77"/>
      <c r="C55" s="192"/>
      <c r="D55" s="198"/>
      <c r="E55" s="198"/>
      <c r="F55" s="206"/>
      <c r="G55" s="206"/>
      <c r="H55" s="192"/>
      <c r="I55" s="213" t="s">
        <v>92</v>
      </c>
      <c r="J55" s="161" t="n">
        <f aca="false">MAX(J51:J54)</f>
        <v>46</v>
      </c>
      <c r="K55" s="214"/>
      <c r="L55" s="206"/>
      <c r="M55" s="192"/>
      <c r="N55" s="164" t="s">
        <v>93</v>
      </c>
      <c r="O55" s="165" t="n">
        <f aca="false">SUM(O51:O54)</f>
        <v>1</v>
      </c>
      <c r="P55" s="166" t="n">
        <f aca="false">SUM(P51:P54)</f>
        <v>1</v>
      </c>
      <c r="Q55" s="165" t="n">
        <f aca="false">SUM(Q51:Q54)</f>
        <v>1</v>
      </c>
      <c r="R55" s="187" t="n">
        <f aca="false">SUM(R51:R54)</f>
        <v>1</v>
      </c>
      <c r="S55" s="215"/>
      <c r="T55" s="192"/>
      <c r="U55" s="211"/>
      <c r="V55" s="121"/>
      <c r="W55" s="121"/>
    </row>
    <row r="56" customFormat="false" ht="20.15" hidden="false" customHeight="true" outlineLevel="0" collapsed="false">
      <c r="B56" s="77"/>
      <c r="C56" s="192"/>
      <c r="D56" s="216"/>
      <c r="E56" s="216"/>
      <c r="F56" s="192"/>
      <c r="G56" s="192"/>
      <c r="H56" s="192"/>
      <c r="I56" s="192"/>
      <c r="J56" s="192"/>
      <c r="K56" s="192"/>
      <c r="L56" s="192"/>
      <c r="M56" s="192"/>
      <c r="N56" s="192"/>
      <c r="O56" s="192"/>
      <c r="P56" s="192"/>
      <c r="Q56" s="192"/>
      <c r="R56" s="192"/>
      <c r="S56" s="192"/>
      <c r="T56" s="192"/>
      <c r="U56" s="211"/>
      <c r="V56" s="121"/>
      <c r="W56" s="121"/>
    </row>
    <row r="57" customFormat="false" ht="20.15" hidden="false" customHeight="true" outlineLevel="0" collapsed="false">
      <c r="B57" s="77"/>
      <c r="D57" s="190"/>
      <c r="E57" s="190"/>
      <c r="F57" s="190"/>
      <c r="G57" s="190"/>
      <c r="H57" s="191"/>
      <c r="I57" s="190"/>
      <c r="J57" s="190"/>
      <c r="K57" s="190"/>
      <c r="L57" s="14"/>
      <c r="M57" s="14"/>
      <c r="N57" s="14"/>
      <c r="O57" s="14"/>
      <c r="P57" s="14"/>
      <c r="Q57" s="14"/>
      <c r="R57" s="14"/>
      <c r="S57" s="14"/>
      <c r="U57" s="207"/>
      <c r="V57" s="121"/>
      <c r="W57" s="121"/>
    </row>
    <row r="58" customFormat="false" ht="20.15" hidden="false" customHeight="true" outlineLevel="0" collapsed="false">
      <c r="B58" s="77"/>
      <c r="C58" s="217"/>
      <c r="D58" s="217"/>
      <c r="E58" s="218" t="str">
        <f aca="false">IF(OR(M29="-",M29= ""),H29,M29)</f>
        <v>Automobiles</v>
      </c>
      <c r="F58" s="218"/>
      <c r="G58" s="218"/>
      <c r="H58" s="218"/>
      <c r="I58" s="218"/>
      <c r="J58" s="218"/>
      <c r="K58" s="218"/>
      <c r="L58" s="218"/>
      <c r="M58" s="218"/>
      <c r="N58" s="218"/>
      <c r="O58" s="219"/>
      <c r="P58" s="219"/>
      <c r="Q58" s="219"/>
      <c r="R58" s="219"/>
      <c r="S58" s="219"/>
      <c r="T58" s="217"/>
      <c r="U58" s="77"/>
    </row>
    <row r="59" customFormat="false" ht="50.15" hidden="false" customHeight="true" outlineLevel="0" collapsed="false">
      <c r="B59" s="77"/>
      <c r="C59" s="217"/>
      <c r="D59" s="219"/>
      <c r="E59" s="125" t="s">
        <v>52</v>
      </c>
      <c r="F59" s="126" t="s">
        <v>75</v>
      </c>
      <c r="G59" s="82" t="s">
        <v>76</v>
      </c>
      <c r="H59" s="81" t="s">
        <v>77</v>
      </c>
      <c r="I59" s="59" t="s">
        <v>78</v>
      </c>
      <c r="J59" s="81" t="s">
        <v>79</v>
      </c>
      <c r="K59" s="127" t="s">
        <v>80</v>
      </c>
      <c r="L59" s="81" t="s">
        <v>81</v>
      </c>
      <c r="M59" s="128" t="s">
        <v>82</v>
      </c>
      <c r="N59" s="129" t="s">
        <v>83</v>
      </c>
      <c r="O59" s="130" t="s">
        <v>84</v>
      </c>
      <c r="P59" s="131" t="s">
        <v>85</v>
      </c>
      <c r="Q59" s="131" t="s">
        <v>86</v>
      </c>
      <c r="R59" s="197" t="s">
        <v>87</v>
      </c>
      <c r="S59" s="219"/>
      <c r="T59" s="217"/>
      <c r="U59" s="77"/>
    </row>
    <row r="60" customFormat="false" ht="20.15" hidden="false" customHeight="true" outlineLevel="0" collapsed="false">
      <c r="B60" s="77"/>
      <c r="C60" s="217"/>
      <c r="D60" s="220"/>
      <c r="E60" s="86" t="s">
        <v>27</v>
      </c>
      <c r="F60" s="87" t="s">
        <v>28</v>
      </c>
      <c r="G60" s="221" t="n">
        <v>1</v>
      </c>
      <c r="H60" s="222" t="s">
        <v>66</v>
      </c>
      <c r="I60" s="221" t="s">
        <v>66</v>
      </c>
      <c r="J60" s="221" t="s">
        <v>252</v>
      </c>
      <c r="K60" s="221" t="s">
        <v>66</v>
      </c>
      <c r="L60" s="223" t="n">
        <f aca="false">(L52+L43+(L35+L36)/2)/3</f>
        <v>94.891788578981</v>
      </c>
      <c r="M60" s="221" t="n">
        <v>2</v>
      </c>
      <c r="N60" s="224" t="n">
        <v>3</v>
      </c>
      <c r="O60" s="137" t="n">
        <f aca="false">IF(M60=1,1,0)</f>
        <v>0</v>
      </c>
      <c r="P60" s="138" t="n">
        <f aca="false">IF(M60=2,1,0)</f>
        <v>1</v>
      </c>
      <c r="Q60" s="138" t="n">
        <f aca="false">IF(M60=3,1,0)</f>
        <v>0</v>
      </c>
      <c r="R60" s="139" t="n">
        <f aca="false">IF(M60=4,1,0)</f>
        <v>0</v>
      </c>
      <c r="S60" s="225"/>
      <c r="T60" s="217"/>
      <c r="U60" s="77"/>
    </row>
    <row r="61" customFormat="false" ht="20.15" hidden="false" customHeight="true" outlineLevel="0" collapsed="false">
      <c r="B61" s="77"/>
      <c r="C61" s="217"/>
      <c r="D61" s="220"/>
      <c r="E61" s="226" t="s">
        <v>16</v>
      </c>
      <c r="F61" s="227" t="s">
        <v>17</v>
      </c>
      <c r="G61" s="228" t="n">
        <v>2</v>
      </c>
      <c r="H61" s="317" t="s">
        <v>66</v>
      </c>
      <c r="I61" s="228" t="s">
        <v>66</v>
      </c>
      <c r="J61" s="228" t="s">
        <v>254</v>
      </c>
      <c r="K61" s="228" t="s">
        <v>66</v>
      </c>
      <c r="L61" s="229" t="n">
        <f aca="false">(L54+L45+L34)/3</f>
        <v>70.2038328320117</v>
      </c>
      <c r="M61" s="228" t="n">
        <v>4</v>
      </c>
      <c r="N61" s="230" t="n">
        <v>0</v>
      </c>
      <c r="O61" s="144" t="n">
        <f aca="false">IF(M61=1,1,0)</f>
        <v>0</v>
      </c>
      <c r="P61" s="145" t="n">
        <f aca="false">IF(M61=2,1,0)</f>
        <v>0</v>
      </c>
      <c r="Q61" s="145" t="n">
        <f aca="false">IF(M61=3,1,0)</f>
        <v>0</v>
      </c>
      <c r="R61" s="146" t="n">
        <f aca="false">IF(M61=4,1,0)</f>
        <v>1</v>
      </c>
      <c r="S61" s="225"/>
      <c r="T61" s="217"/>
      <c r="U61" s="77"/>
    </row>
    <row r="62" customFormat="false" ht="20.15" hidden="false" customHeight="true" outlineLevel="0" collapsed="false">
      <c r="B62" s="77"/>
      <c r="C62" s="217"/>
      <c r="D62" s="220"/>
      <c r="E62" s="105" t="s">
        <v>13</v>
      </c>
      <c r="F62" s="290" t="s">
        <v>14</v>
      </c>
      <c r="G62" s="228" t="n">
        <v>4</v>
      </c>
      <c r="H62" s="317" t="s">
        <v>66</v>
      </c>
      <c r="I62" s="228" t="s">
        <v>66</v>
      </c>
      <c r="J62" s="228" t="s">
        <v>253</v>
      </c>
      <c r="K62" s="228" t="s">
        <v>66</v>
      </c>
      <c r="L62" s="229" t="n">
        <f aca="false">(L51+L42+L36)/3</f>
        <v>88.0107214474524</v>
      </c>
      <c r="M62" s="228" t="n">
        <v>3</v>
      </c>
      <c r="N62" s="230" t="n">
        <v>1</v>
      </c>
      <c r="O62" s="144" t="n">
        <f aca="false">IF(M62=1,1,0)</f>
        <v>0</v>
      </c>
      <c r="P62" s="145" t="n">
        <f aca="false">IF(M62=2,1,0)</f>
        <v>0</v>
      </c>
      <c r="Q62" s="145" t="n">
        <f aca="false">IF(M62=3,1,0)</f>
        <v>1</v>
      </c>
      <c r="R62" s="146" t="n">
        <f aca="false">IF(M62=4,1,0)</f>
        <v>0</v>
      </c>
      <c r="S62" s="225"/>
      <c r="T62" s="217"/>
      <c r="U62" s="77"/>
    </row>
    <row r="63" customFormat="false" ht="20.15" hidden="false" customHeight="true" outlineLevel="0" collapsed="false">
      <c r="B63" s="77"/>
      <c r="C63" s="217"/>
      <c r="D63" s="231"/>
      <c r="E63" s="318" t="s">
        <v>39</v>
      </c>
      <c r="F63" s="391" t="s">
        <v>40</v>
      </c>
      <c r="G63" s="322" t="n">
        <v>3</v>
      </c>
      <c r="H63" s="321" t="s">
        <v>66</v>
      </c>
      <c r="I63" s="322" t="s">
        <v>66</v>
      </c>
      <c r="J63" s="322" t="s">
        <v>255</v>
      </c>
      <c r="K63" s="322" t="s">
        <v>66</v>
      </c>
      <c r="L63" s="323" t="n">
        <v>100</v>
      </c>
      <c r="M63" s="322" t="n">
        <v>1</v>
      </c>
      <c r="N63" s="324" t="n">
        <v>6</v>
      </c>
      <c r="O63" s="156" t="n">
        <f aca="false">IF(M63=1,1,0)</f>
        <v>1</v>
      </c>
      <c r="P63" s="157" t="n">
        <f aca="false">IF(M63=2,1,0)</f>
        <v>0</v>
      </c>
      <c r="Q63" s="157" t="n">
        <f aca="false">IF(M63=3,1,0)</f>
        <v>0</v>
      </c>
      <c r="R63" s="158" t="n">
        <f aca="false">IF(M63=4,1,0)</f>
        <v>0</v>
      </c>
      <c r="S63" s="225"/>
      <c r="T63" s="217"/>
      <c r="U63" s="77"/>
    </row>
    <row r="64" customFormat="false" ht="20.15" hidden="true" customHeight="true" outlineLevel="1" collapsed="false">
      <c r="B64" s="77"/>
      <c r="C64" s="217"/>
      <c r="D64" s="220"/>
      <c r="E64" s="220"/>
      <c r="F64" s="225"/>
      <c r="G64" s="225"/>
      <c r="H64" s="217"/>
      <c r="I64" s="185" t="s">
        <v>92</v>
      </c>
      <c r="J64" s="161" t="n">
        <f aca="false">MAX(J60:J63)</f>
        <v>0</v>
      </c>
      <c r="K64" s="237"/>
      <c r="L64" s="225"/>
      <c r="M64" s="217"/>
      <c r="N64" s="164" t="s">
        <v>93</v>
      </c>
      <c r="O64" s="165" t="n">
        <f aca="false">SUM(O60:O63)</f>
        <v>1</v>
      </c>
      <c r="P64" s="166" t="n">
        <f aca="false">SUM(P60:P63)</f>
        <v>1</v>
      </c>
      <c r="Q64" s="165" t="n">
        <f aca="false">SUM(Q60:Q63)</f>
        <v>1</v>
      </c>
      <c r="R64" s="187" t="n">
        <f aca="false">SUM(R60:R63)</f>
        <v>1</v>
      </c>
      <c r="S64" s="238"/>
      <c r="T64" s="217"/>
      <c r="U64" s="77"/>
    </row>
    <row r="65" customFormat="false" ht="20.15" hidden="false" customHeight="true" outlineLevel="0" collapsed="false">
      <c r="B65" s="77"/>
      <c r="C65" s="217"/>
      <c r="D65" s="239"/>
      <c r="E65" s="239"/>
      <c r="F65" s="217"/>
      <c r="G65" s="217"/>
      <c r="H65" s="217"/>
      <c r="I65" s="217"/>
      <c r="J65" s="217"/>
      <c r="K65" s="217"/>
      <c r="L65" s="217"/>
      <c r="M65" s="217"/>
      <c r="N65" s="217"/>
      <c r="O65" s="217"/>
      <c r="P65" s="217"/>
      <c r="Q65" s="217"/>
      <c r="R65" s="217"/>
      <c r="S65" s="217"/>
      <c r="T65" s="217"/>
      <c r="U65" s="77"/>
    </row>
    <row r="66" customFormat="false" ht="20.15" hidden="false" customHeight="true" outlineLevel="0" collapsed="false">
      <c r="B66" s="77"/>
      <c r="D66" s="5"/>
      <c r="E66" s="5"/>
      <c r="F66" s="5"/>
      <c r="G66" s="5"/>
      <c r="H66" s="5"/>
      <c r="I66" s="5"/>
      <c r="J66" s="5"/>
      <c r="K66" s="14"/>
      <c r="L66" s="14"/>
      <c r="M66" s="14"/>
      <c r="N66" s="14"/>
      <c r="O66" s="14"/>
      <c r="P66" s="14"/>
      <c r="Q66" s="14"/>
      <c r="R66" s="14"/>
      <c r="S66" s="14"/>
      <c r="U66" s="77"/>
    </row>
    <row r="67" customFormat="false" ht="30" hidden="false" customHeight="true" outlineLevel="0" collapsed="false">
      <c r="B67" s="77"/>
      <c r="C67" s="240"/>
      <c r="D67" s="241" t="s">
        <v>101</v>
      </c>
      <c r="E67" s="241"/>
      <c r="F67" s="241"/>
      <c r="G67" s="241"/>
      <c r="H67" s="241"/>
      <c r="I67" s="241"/>
      <c r="J67" s="241"/>
      <c r="K67" s="241"/>
      <c r="L67" s="241"/>
      <c r="M67" s="241"/>
      <c r="N67" s="241"/>
      <c r="O67" s="241"/>
      <c r="P67" s="241"/>
      <c r="Q67" s="241"/>
      <c r="R67" s="241"/>
      <c r="S67" s="241"/>
      <c r="T67" s="240"/>
      <c r="U67" s="77"/>
    </row>
    <row r="68" customFormat="false" ht="50.15" hidden="false" customHeight="true" outlineLevel="0" collapsed="false">
      <c r="B68" s="77"/>
      <c r="C68" s="240"/>
      <c r="D68" s="242" t="s">
        <v>52</v>
      </c>
      <c r="E68" s="243" t="s">
        <v>53</v>
      </c>
      <c r="F68" s="244" t="s">
        <v>83</v>
      </c>
      <c r="G68" s="245" t="s">
        <v>102</v>
      </c>
      <c r="H68" s="246" t="s">
        <v>103</v>
      </c>
      <c r="I68" s="246"/>
      <c r="J68" s="247" t="s">
        <v>104</v>
      </c>
      <c r="K68" s="248" t="s">
        <v>105</v>
      </c>
      <c r="L68" s="244" t="s">
        <v>106</v>
      </c>
      <c r="M68" s="248" t="s">
        <v>107</v>
      </c>
      <c r="N68" s="244" t="s">
        <v>108</v>
      </c>
      <c r="O68" s="249"/>
      <c r="P68" s="250"/>
      <c r="Q68" s="250"/>
      <c r="R68" s="250"/>
      <c r="S68" s="243" t="s">
        <v>109</v>
      </c>
      <c r="T68" s="240"/>
      <c r="U68" s="77"/>
    </row>
    <row r="69" customFormat="false" ht="20.15" hidden="false" customHeight="true" outlineLevel="0" collapsed="false">
      <c r="B69" s="77"/>
      <c r="C69" s="240"/>
      <c r="D69" s="251" t="s">
        <v>13</v>
      </c>
      <c r="E69" s="17" t="s">
        <v>14</v>
      </c>
      <c r="F69" s="253" t="n">
        <f aca="false">(K69*6+L69*3+M69*1+N69*0)</f>
        <v>17.5</v>
      </c>
      <c r="G69" s="253" t="n">
        <v>0</v>
      </c>
      <c r="H69" s="254" t="s">
        <v>66</v>
      </c>
      <c r="I69" s="254"/>
      <c r="J69" s="253" t="n">
        <f aca="false">F69+G69</f>
        <v>17.5</v>
      </c>
      <c r="K69" s="253" t="n">
        <v>2.5</v>
      </c>
      <c r="L69" s="253" t="n">
        <v>0.5</v>
      </c>
      <c r="M69" s="253" t="n">
        <v>1</v>
      </c>
      <c r="N69" s="253" t="n">
        <v>0</v>
      </c>
      <c r="O69" s="253"/>
      <c r="P69" s="253"/>
      <c r="Q69" s="253"/>
      <c r="R69" s="253"/>
      <c r="S69" s="255" t="n">
        <f aca="false">(L35+L44+L53+L62)/4</f>
        <v>97.0026803618631</v>
      </c>
      <c r="T69" s="240"/>
      <c r="U69" s="77"/>
      <c r="W69" s="256"/>
      <c r="X69" s="256"/>
      <c r="Y69" s="256"/>
      <c r="Z69" s="256"/>
    </row>
    <row r="70" customFormat="false" ht="20.15" hidden="false" customHeight="true" outlineLevel="0" collapsed="false">
      <c r="B70" s="77"/>
      <c r="C70" s="240"/>
      <c r="D70" s="383" t="s">
        <v>27</v>
      </c>
      <c r="E70" s="384" t="s">
        <v>28</v>
      </c>
      <c r="F70" s="259" t="n">
        <f aca="false">(K70*6+L70*3+M70*1+N70*0)</f>
        <v>9.5</v>
      </c>
      <c r="G70" s="259" t="n">
        <v>0</v>
      </c>
      <c r="H70" s="260" t="s">
        <v>66</v>
      </c>
      <c r="I70" s="260"/>
      <c r="J70" s="259" t="n">
        <f aca="false">F70+G70</f>
        <v>9.5</v>
      </c>
      <c r="K70" s="259" t="n">
        <v>0.5</v>
      </c>
      <c r="L70" s="259" t="n">
        <v>1.5</v>
      </c>
      <c r="M70" s="259" t="n">
        <v>2</v>
      </c>
      <c r="N70" s="259" t="n">
        <v>0</v>
      </c>
      <c r="O70" s="259"/>
      <c r="P70" s="259"/>
      <c r="Q70" s="259"/>
      <c r="R70" s="259"/>
      <c r="S70" s="261" t="n">
        <f aca="false">(L33+L42+L51+L60)/4</f>
        <v>92.0747382303345</v>
      </c>
      <c r="T70" s="240"/>
      <c r="U70" s="77"/>
      <c r="W70" s="262"/>
      <c r="X70" s="262"/>
      <c r="Y70" s="262"/>
      <c r="Z70" s="262"/>
    </row>
    <row r="71" customFormat="false" ht="20.15" hidden="false" customHeight="true" outlineLevel="0" collapsed="false">
      <c r="B71" s="77"/>
      <c r="C71" s="240"/>
      <c r="D71" s="257" t="s">
        <v>39</v>
      </c>
      <c r="E71" s="258" t="s">
        <v>40</v>
      </c>
      <c r="F71" s="259" t="n">
        <f aca="false">(K71*6+L71*3+M71*1+N71*0)</f>
        <v>7</v>
      </c>
      <c r="G71" s="259" t="n">
        <v>0</v>
      </c>
      <c r="H71" s="260" t="s">
        <v>66</v>
      </c>
      <c r="I71" s="260"/>
      <c r="J71" s="259" t="n">
        <f aca="false">F71+G71</f>
        <v>7</v>
      </c>
      <c r="K71" s="259" t="n">
        <v>1</v>
      </c>
      <c r="L71" s="259" t="n">
        <v>0</v>
      </c>
      <c r="M71" s="259" t="n">
        <v>1</v>
      </c>
      <c r="N71" s="259" t="n">
        <v>2</v>
      </c>
      <c r="O71" s="259"/>
      <c r="P71" s="259"/>
      <c r="Q71" s="259"/>
      <c r="R71" s="259"/>
      <c r="S71" s="261" t="n">
        <f aca="false">(L36+L45+L54+L63)/4</f>
        <v>86.2466246240087</v>
      </c>
      <c r="T71" s="240"/>
      <c r="U71" s="77"/>
      <c r="W71" s="262"/>
      <c r="X71" s="262"/>
      <c r="Y71" s="262"/>
      <c r="Z71" s="262"/>
    </row>
    <row r="72" customFormat="false" ht="20.15" hidden="false" customHeight="true" outlineLevel="0" collapsed="false">
      <c r="B72" s="77"/>
      <c r="C72" s="240"/>
      <c r="D72" s="337" t="s">
        <v>16</v>
      </c>
      <c r="E72" s="385" t="s">
        <v>17</v>
      </c>
      <c r="F72" s="267" t="n">
        <f aca="false">(K72*6+L72*3+M72*1+N72*0)</f>
        <v>6</v>
      </c>
      <c r="G72" s="267" t="n">
        <v>0</v>
      </c>
      <c r="H72" s="268" t="s">
        <v>66</v>
      </c>
      <c r="I72" s="268"/>
      <c r="J72" s="267" t="n">
        <f aca="false">F72+G72</f>
        <v>6</v>
      </c>
      <c r="K72" s="267" t="n">
        <v>0</v>
      </c>
      <c r="L72" s="267" t="n">
        <v>2</v>
      </c>
      <c r="M72" s="267" t="n">
        <v>0</v>
      </c>
      <c r="N72" s="267" t="n">
        <v>2</v>
      </c>
      <c r="O72" s="267"/>
      <c r="P72" s="267"/>
      <c r="Q72" s="267"/>
      <c r="R72" s="267"/>
      <c r="S72" s="269" t="n">
        <f aca="false">(L34+L43+L52+L61)/4</f>
        <v>78.9541746422386</v>
      </c>
      <c r="T72" s="240"/>
      <c r="U72" s="77"/>
      <c r="W72" s="262"/>
      <c r="X72" s="262"/>
      <c r="Y72" s="262"/>
      <c r="Z72" s="262"/>
      <c r="AB72" s="262"/>
      <c r="AC72" s="262"/>
      <c r="AD72" s="262"/>
      <c r="AE72" s="262"/>
    </row>
    <row r="73" customFormat="false" ht="20.15" hidden="false" customHeight="true" outlineLevel="0" collapsed="false">
      <c r="B73" s="77"/>
      <c r="C73" s="240"/>
      <c r="D73" s="240"/>
      <c r="E73" s="240"/>
      <c r="F73" s="240"/>
      <c r="G73" s="240"/>
      <c r="H73" s="240"/>
      <c r="I73" s="240"/>
      <c r="J73" s="240"/>
      <c r="K73" s="240"/>
      <c r="L73" s="240"/>
      <c r="M73" s="240"/>
      <c r="N73" s="240"/>
      <c r="O73" s="240"/>
      <c r="P73" s="240"/>
      <c r="Q73" s="240"/>
      <c r="R73" s="240"/>
      <c r="S73" s="240"/>
      <c r="T73" s="240"/>
      <c r="U73" s="77"/>
      <c r="W73" s="262"/>
      <c r="X73" s="262"/>
      <c r="Y73" s="262"/>
      <c r="Z73" s="262"/>
    </row>
    <row r="74" customFormat="false" ht="20.15" hidden="false" customHeight="true" outlineLevel="0" collapsed="false">
      <c r="B74" s="77"/>
      <c r="C74" s="77"/>
      <c r="D74" s="270"/>
      <c r="E74" s="270"/>
      <c r="F74" s="195"/>
      <c r="G74" s="195"/>
      <c r="H74" s="270"/>
      <c r="I74" s="270"/>
      <c r="J74" s="270"/>
      <c r="K74" s="207"/>
      <c r="L74" s="207"/>
      <c r="M74" s="207"/>
      <c r="N74" s="207"/>
      <c r="O74" s="207"/>
      <c r="P74" s="207"/>
      <c r="Q74" s="207"/>
      <c r="R74" s="207"/>
      <c r="S74" s="207"/>
      <c r="T74" s="77"/>
      <c r="U74" s="77"/>
    </row>
    <row r="75" customFormat="false" ht="20.15" hidden="false" customHeight="true" outlineLevel="0" collapsed="false">
      <c r="C75" s="271"/>
      <c r="D75" s="272"/>
      <c r="O75" s="14"/>
      <c r="P75" s="14"/>
      <c r="Q75" s="14"/>
      <c r="R75" s="14"/>
      <c r="S75" s="14"/>
      <c r="U75" s="271"/>
    </row>
    <row r="76" customFormat="false" ht="20.15" hidden="false" customHeight="true" outlineLevel="0" collapsed="false">
      <c r="D76" s="273"/>
      <c r="O76" s="14"/>
      <c r="P76" s="14"/>
      <c r="Q76" s="14"/>
      <c r="R76" s="14"/>
      <c r="S76" s="14"/>
    </row>
    <row r="77" customFormat="false" ht="20.15" hidden="false" customHeight="true" outlineLevel="0" collapsed="false">
      <c r="B77" s="77"/>
      <c r="C77" s="77"/>
      <c r="D77" s="78"/>
      <c r="E77" s="78"/>
      <c r="F77" s="78"/>
      <c r="G77" s="78"/>
      <c r="H77" s="77"/>
      <c r="I77" s="77"/>
      <c r="J77" s="77"/>
      <c r="K77" s="77"/>
      <c r="L77" s="77"/>
      <c r="M77" s="77"/>
      <c r="N77" s="77"/>
      <c r="O77" s="77"/>
      <c r="P77" s="77"/>
      <c r="Q77" s="77"/>
      <c r="R77" s="77"/>
      <c r="S77" s="77"/>
      <c r="T77" s="77"/>
      <c r="U77" s="77"/>
    </row>
    <row r="78" customFormat="false" ht="30" hidden="false" customHeight="true" outlineLevel="0" collapsed="false">
      <c r="B78" s="77"/>
      <c r="C78" s="79" t="s">
        <v>110</v>
      </c>
      <c r="D78" s="79"/>
      <c r="E78" s="79"/>
      <c r="F78" s="79"/>
      <c r="G78" s="79"/>
      <c r="H78" s="79"/>
      <c r="I78" s="79"/>
      <c r="J78" s="79"/>
      <c r="K78" s="79"/>
      <c r="L78" s="79"/>
      <c r="M78" s="79"/>
      <c r="N78" s="79"/>
      <c r="O78" s="79"/>
      <c r="P78" s="79"/>
      <c r="Q78" s="79"/>
      <c r="R78" s="79"/>
      <c r="S78" s="79"/>
      <c r="T78" s="79"/>
      <c r="U78" s="77"/>
    </row>
    <row r="79" customFormat="false" ht="20.15" hidden="false" customHeight="true" outlineLevel="0" collapsed="false">
      <c r="B79" s="77"/>
      <c r="D79" s="121"/>
      <c r="E79" s="121"/>
      <c r="U79" s="77"/>
    </row>
    <row r="80" customFormat="false" ht="20.15" hidden="false" customHeight="true" outlineLevel="0" collapsed="false">
      <c r="B80" s="77"/>
      <c r="D80" s="274" t="s">
        <v>52</v>
      </c>
      <c r="E80" s="83" t="s">
        <v>111</v>
      </c>
      <c r="F80" s="82" t="s">
        <v>12</v>
      </c>
      <c r="G80" s="275" t="s">
        <v>54</v>
      </c>
      <c r="H80" s="275"/>
      <c r="I80" s="275"/>
      <c r="J80" s="275"/>
      <c r="K80" s="81" t="s">
        <v>55</v>
      </c>
      <c r="L80" s="83" t="s">
        <v>56</v>
      </c>
      <c r="M80" s="83"/>
      <c r="N80" s="83"/>
      <c r="O80" s="83"/>
      <c r="P80" s="83"/>
      <c r="Q80" s="83"/>
      <c r="R80" s="83"/>
      <c r="S80" s="83"/>
      <c r="U80" s="77"/>
    </row>
    <row r="81" customFormat="false" ht="20.15" hidden="false" customHeight="true" outlineLevel="0" collapsed="false">
      <c r="B81" s="77"/>
      <c r="D81" s="274"/>
      <c r="E81" s="83"/>
      <c r="F81" s="82"/>
      <c r="G81" s="85" t="s">
        <v>57</v>
      </c>
      <c r="H81" s="84" t="s">
        <v>58</v>
      </c>
      <c r="I81" s="82" t="s">
        <v>59</v>
      </c>
      <c r="J81" s="82"/>
      <c r="K81" s="84" t="s">
        <v>60</v>
      </c>
      <c r="L81" s="276" t="s">
        <v>57</v>
      </c>
      <c r="M81" s="277" t="s">
        <v>61</v>
      </c>
      <c r="N81" s="278" t="s">
        <v>59</v>
      </c>
      <c r="O81" s="278"/>
      <c r="P81" s="278"/>
      <c r="Q81" s="278"/>
      <c r="R81" s="278"/>
      <c r="S81" s="278"/>
      <c r="U81" s="77"/>
    </row>
    <row r="82" customFormat="false" ht="125.15" hidden="false" customHeight="true" outlineLevel="0" collapsed="false">
      <c r="B82" s="77"/>
      <c r="D82" s="404" t="s">
        <v>25</v>
      </c>
      <c r="E82" s="372" t="s">
        <v>26</v>
      </c>
      <c r="F82" s="343" t="n">
        <v>1</v>
      </c>
      <c r="G82" s="280" t="s">
        <v>67</v>
      </c>
      <c r="H82" s="281" t="s">
        <v>68</v>
      </c>
      <c r="I82" s="91" t="s">
        <v>69</v>
      </c>
      <c r="J82" s="91"/>
      <c r="K82" s="461" t="s">
        <v>329</v>
      </c>
      <c r="L82" s="284" t="s">
        <v>66</v>
      </c>
      <c r="M82" s="94" t="s">
        <v>66</v>
      </c>
      <c r="N82" s="95" t="s">
        <v>66</v>
      </c>
      <c r="O82" s="95"/>
      <c r="P82" s="95"/>
      <c r="Q82" s="95"/>
      <c r="R82" s="95"/>
      <c r="S82" s="95"/>
      <c r="U82" s="77"/>
    </row>
    <row r="83" customFormat="false" ht="35.15" hidden="false" customHeight="true" outlineLevel="0" collapsed="false">
      <c r="B83" s="77"/>
      <c r="D83" s="105" t="s">
        <v>195</v>
      </c>
      <c r="E83" s="96" t="s">
        <v>50</v>
      </c>
      <c r="F83" s="346" t="n">
        <v>2</v>
      </c>
      <c r="G83" s="286" t="s">
        <v>67</v>
      </c>
      <c r="H83" s="99" t="s">
        <v>329</v>
      </c>
      <c r="I83" s="287" t="s">
        <v>330</v>
      </c>
      <c r="J83" s="287"/>
      <c r="K83" s="288" t="s">
        <v>65</v>
      </c>
      <c r="L83" s="289" t="s">
        <v>66</v>
      </c>
      <c r="M83" s="103" t="s">
        <v>66</v>
      </c>
      <c r="N83" s="104" t="s">
        <v>66</v>
      </c>
      <c r="O83" s="104"/>
      <c r="P83" s="104"/>
      <c r="Q83" s="104"/>
      <c r="R83" s="104"/>
      <c r="S83" s="104"/>
      <c r="U83" s="77"/>
    </row>
    <row r="84" customFormat="false" ht="65.15" hidden="false" customHeight="true" outlineLevel="0" collapsed="false">
      <c r="B84" s="77"/>
      <c r="D84" s="105" t="s">
        <v>33</v>
      </c>
      <c r="E84" s="312" t="s">
        <v>34</v>
      </c>
      <c r="F84" s="346" t="n">
        <v>3</v>
      </c>
      <c r="G84" s="291" t="s">
        <v>67</v>
      </c>
      <c r="H84" s="107" t="s">
        <v>331</v>
      </c>
      <c r="I84" s="293" t="s">
        <v>138</v>
      </c>
      <c r="J84" s="293"/>
      <c r="K84" s="294" t="s">
        <v>68</v>
      </c>
      <c r="L84" s="289" t="s">
        <v>66</v>
      </c>
      <c r="M84" s="103" t="s">
        <v>66</v>
      </c>
      <c r="N84" s="104" t="s">
        <v>66</v>
      </c>
      <c r="O84" s="104"/>
      <c r="P84" s="104"/>
      <c r="Q84" s="104"/>
      <c r="R84" s="104"/>
      <c r="S84" s="104"/>
      <c r="U84" s="77"/>
    </row>
    <row r="85" customFormat="false" ht="20.15" hidden="false" customHeight="true" outlineLevel="0" collapsed="false">
      <c r="B85" s="77"/>
      <c r="D85" s="295" t="s">
        <v>23</v>
      </c>
      <c r="E85" s="386" t="s">
        <v>24</v>
      </c>
      <c r="F85" s="350" t="n">
        <v>4</v>
      </c>
      <c r="G85" s="387" t="s">
        <v>67</v>
      </c>
      <c r="H85" s="101" t="s">
        <v>265</v>
      </c>
      <c r="I85" s="377" t="s">
        <v>66</v>
      </c>
      <c r="J85" s="377"/>
      <c r="K85" s="300" t="s">
        <v>65</v>
      </c>
      <c r="L85" s="301" t="s">
        <v>66</v>
      </c>
      <c r="M85" s="302" t="s">
        <v>66</v>
      </c>
      <c r="N85" s="303" t="s">
        <v>66</v>
      </c>
      <c r="O85" s="303"/>
      <c r="P85" s="303"/>
      <c r="Q85" s="303"/>
      <c r="R85" s="303"/>
      <c r="S85" s="303"/>
      <c r="U85" s="77"/>
    </row>
    <row r="86" customFormat="false" ht="20.15" hidden="false" customHeight="true" outlineLevel="0" collapsed="false">
      <c r="B86" s="77"/>
      <c r="D86" s="121"/>
      <c r="E86" s="121"/>
      <c r="U86" s="77"/>
    </row>
    <row r="87" customFormat="false" ht="20.15" hidden="false" customHeight="true" outlineLevel="0" collapsed="false">
      <c r="B87" s="77"/>
      <c r="C87" s="122"/>
      <c r="D87" s="122"/>
      <c r="E87" s="123" t="str">
        <f aca="false">IF(OR(L82="-",L82= ""),H82,L82)</f>
        <v>Clans of Caledonia</v>
      </c>
      <c r="F87" s="123"/>
      <c r="G87" s="123"/>
      <c r="H87" s="123"/>
      <c r="I87" s="123"/>
      <c r="J87" s="123"/>
      <c r="K87" s="123"/>
      <c r="L87" s="123"/>
      <c r="M87" s="123"/>
      <c r="N87" s="123"/>
      <c r="O87" s="124"/>
      <c r="P87" s="124"/>
      <c r="Q87" s="124"/>
      <c r="R87" s="124"/>
      <c r="S87" s="124"/>
      <c r="T87" s="122"/>
      <c r="U87" s="77"/>
    </row>
    <row r="88" customFormat="false" ht="50.15" hidden="false" customHeight="true" outlineLevel="0" collapsed="false">
      <c r="B88" s="77"/>
      <c r="C88" s="122"/>
      <c r="D88" s="124"/>
      <c r="E88" s="125" t="s">
        <v>52</v>
      </c>
      <c r="F88" s="126" t="s">
        <v>75</v>
      </c>
      <c r="G88" s="82" t="s">
        <v>76</v>
      </c>
      <c r="H88" s="81" t="s">
        <v>77</v>
      </c>
      <c r="I88" s="59" t="s">
        <v>78</v>
      </c>
      <c r="J88" s="81" t="s">
        <v>79</v>
      </c>
      <c r="K88" s="127" t="s">
        <v>80</v>
      </c>
      <c r="L88" s="81" t="s">
        <v>81</v>
      </c>
      <c r="M88" s="128" t="s">
        <v>82</v>
      </c>
      <c r="N88" s="129" t="s">
        <v>83</v>
      </c>
      <c r="O88" s="130" t="s">
        <v>84</v>
      </c>
      <c r="P88" s="131" t="s">
        <v>85</v>
      </c>
      <c r="Q88" s="131" t="s">
        <v>86</v>
      </c>
      <c r="R88" s="197" t="s">
        <v>87</v>
      </c>
      <c r="S88" s="124"/>
      <c r="T88" s="122"/>
      <c r="U88" s="77"/>
    </row>
    <row r="89" customFormat="false" ht="20.15" hidden="false" customHeight="true" outlineLevel="0" collapsed="false">
      <c r="B89" s="77"/>
      <c r="C89" s="122"/>
      <c r="D89" s="152"/>
      <c r="E89" s="388" t="s">
        <v>25</v>
      </c>
      <c r="F89" s="382" t="s">
        <v>26</v>
      </c>
      <c r="G89" s="304" t="n">
        <v>1</v>
      </c>
      <c r="H89" s="221" t="s">
        <v>95</v>
      </c>
      <c r="I89" s="221" t="n">
        <v>0</v>
      </c>
      <c r="J89" s="221" t="n">
        <v>155</v>
      </c>
      <c r="K89" s="221" t="s">
        <v>66</v>
      </c>
      <c r="L89" s="223" t="n">
        <f aca="false">IF(J89="",0,(J89/J93)*100)</f>
        <v>96.875</v>
      </c>
      <c r="M89" s="221" t="n">
        <v>2</v>
      </c>
      <c r="N89" s="224" t="n">
        <v>3</v>
      </c>
      <c r="O89" s="137" t="n">
        <f aca="false">IF(M89=1,1,0)</f>
        <v>0</v>
      </c>
      <c r="P89" s="138" t="n">
        <f aca="false">IF(M89=2,1,0)</f>
        <v>1</v>
      </c>
      <c r="Q89" s="138" t="n">
        <f aca="false">IF(M89=3,1,0)</f>
        <v>0</v>
      </c>
      <c r="R89" s="139" t="n">
        <f aca="false">IF(M89=4,1,0)</f>
        <v>0</v>
      </c>
      <c r="S89" s="140"/>
      <c r="T89" s="122"/>
      <c r="U89" s="77"/>
    </row>
    <row r="90" customFormat="false" ht="20.15" hidden="false" customHeight="true" outlineLevel="0" collapsed="false">
      <c r="B90" s="77"/>
      <c r="C90" s="122"/>
      <c r="D90" s="132"/>
      <c r="E90" s="105" t="s">
        <v>49</v>
      </c>
      <c r="F90" s="227" t="s">
        <v>50</v>
      </c>
      <c r="G90" s="306" t="n">
        <v>3</v>
      </c>
      <c r="H90" s="228" t="s">
        <v>168</v>
      </c>
      <c r="I90" s="228" t="n">
        <v>0</v>
      </c>
      <c r="J90" s="228" t="n">
        <v>141</v>
      </c>
      <c r="K90" s="317" t="s">
        <v>66</v>
      </c>
      <c r="L90" s="229" t="n">
        <f aca="false">IF(J90="",0,(J90/J93)*100)</f>
        <v>88.125</v>
      </c>
      <c r="M90" s="228" t="n">
        <v>4</v>
      </c>
      <c r="N90" s="230" t="n">
        <v>0</v>
      </c>
      <c r="O90" s="144" t="n">
        <f aca="false">IF(M90=1,1,0)</f>
        <v>0</v>
      </c>
      <c r="P90" s="145" t="n">
        <f aca="false">IF(M90=2,1,0)</f>
        <v>0</v>
      </c>
      <c r="Q90" s="145" t="n">
        <f aca="false">IF(M90=3,1,0)</f>
        <v>0</v>
      </c>
      <c r="R90" s="146" t="n">
        <f aca="false">IF(M90=4,1,0)</f>
        <v>1</v>
      </c>
      <c r="S90" s="140"/>
      <c r="T90" s="122"/>
      <c r="U90" s="77"/>
    </row>
    <row r="91" customFormat="false" ht="20.15" hidden="false" customHeight="true" outlineLevel="0" collapsed="false">
      <c r="B91" s="77"/>
      <c r="C91" s="122"/>
      <c r="D91" s="132"/>
      <c r="E91" s="105" t="s">
        <v>33</v>
      </c>
      <c r="F91" s="290" t="s">
        <v>34</v>
      </c>
      <c r="G91" s="306" t="n">
        <v>2</v>
      </c>
      <c r="H91" s="228" t="s">
        <v>96</v>
      </c>
      <c r="I91" s="228" t="n">
        <v>0</v>
      </c>
      <c r="J91" s="228" t="n">
        <v>152</v>
      </c>
      <c r="K91" s="228" t="s">
        <v>66</v>
      </c>
      <c r="L91" s="229" t="n">
        <f aca="false">IF(J91="",0,(J91/J93)*100)</f>
        <v>95</v>
      </c>
      <c r="M91" s="228" t="n">
        <v>3</v>
      </c>
      <c r="N91" s="230" t="n">
        <v>1</v>
      </c>
      <c r="O91" s="144" t="n">
        <f aca="false">IF(M91=1,1,0)</f>
        <v>0</v>
      </c>
      <c r="P91" s="145" t="n">
        <f aca="false">IF(M91=2,1,0)</f>
        <v>0</v>
      </c>
      <c r="Q91" s="145" t="n">
        <f aca="false">IF(M91=3,1,0)</f>
        <v>1</v>
      </c>
      <c r="R91" s="146" t="n">
        <f aca="false">IF(M91=4,1,0)</f>
        <v>0</v>
      </c>
      <c r="S91" s="140"/>
      <c r="T91" s="122"/>
      <c r="U91" s="77"/>
    </row>
    <row r="92" customFormat="false" ht="20.15" hidden="false" customHeight="true" outlineLevel="0" collapsed="false">
      <c r="B92" s="77"/>
      <c r="C92" s="122"/>
      <c r="D92" s="132"/>
      <c r="E92" s="318" t="s">
        <v>23</v>
      </c>
      <c r="F92" s="391" t="s">
        <v>24</v>
      </c>
      <c r="G92" s="320" t="n">
        <v>4</v>
      </c>
      <c r="H92" s="321" t="s">
        <v>94</v>
      </c>
      <c r="I92" s="322" t="n">
        <v>0</v>
      </c>
      <c r="J92" s="322" t="n">
        <v>160</v>
      </c>
      <c r="K92" s="321" t="s">
        <v>66</v>
      </c>
      <c r="L92" s="323" t="n">
        <f aca="false">IF(J92="",0,(J92/J93)*100)</f>
        <v>100</v>
      </c>
      <c r="M92" s="322" t="n">
        <v>1</v>
      </c>
      <c r="N92" s="324" t="n">
        <v>6</v>
      </c>
      <c r="O92" s="156" t="n">
        <f aca="false">IF(M92=1,1,0)</f>
        <v>1</v>
      </c>
      <c r="P92" s="157" t="n">
        <f aca="false">IF(M92=2,1,0)</f>
        <v>0</v>
      </c>
      <c r="Q92" s="157" t="n">
        <f aca="false">IF(M92=3,1,0)</f>
        <v>0</v>
      </c>
      <c r="R92" s="158" t="n">
        <f aca="false">IF(M92=4,1,0)</f>
        <v>0</v>
      </c>
      <c r="S92" s="140"/>
      <c r="T92" s="122"/>
      <c r="U92" s="77"/>
    </row>
    <row r="93" customFormat="false" ht="20.15" hidden="true" customHeight="true" outlineLevel="1" collapsed="false">
      <c r="B93" s="77"/>
      <c r="C93" s="122"/>
      <c r="D93" s="152"/>
      <c r="E93" s="152"/>
      <c r="F93" s="140"/>
      <c r="G93" s="140"/>
      <c r="H93" s="122"/>
      <c r="I93" s="213" t="s">
        <v>92</v>
      </c>
      <c r="J93" s="161" t="n">
        <f aca="false">MAX(J89:J92)</f>
        <v>160</v>
      </c>
      <c r="K93" s="309"/>
      <c r="L93" s="167"/>
      <c r="M93" s="122"/>
      <c r="N93" s="164" t="s">
        <v>93</v>
      </c>
      <c r="O93" s="165" t="n">
        <f aca="false">SUM(O89:O92)</f>
        <v>1</v>
      </c>
      <c r="P93" s="166" t="n">
        <f aca="false">SUM(P89:P92)</f>
        <v>1</v>
      </c>
      <c r="Q93" s="165" t="n">
        <f aca="false">SUM(Q89:Q92)</f>
        <v>1</v>
      </c>
      <c r="R93" s="187" t="n">
        <f aca="false">SUM(R89:R92)</f>
        <v>1</v>
      </c>
      <c r="S93" s="167"/>
      <c r="T93" s="122"/>
      <c r="U93" s="77"/>
    </row>
    <row r="94" customFormat="false" ht="20.15" hidden="false" customHeight="true" outlineLevel="0" collapsed="false">
      <c r="B94" s="77"/>
      <c r="C94" s="122"/>
      <c r="D94" s="168"/>
      <c r="E94" s="168"/>
      <c r="F94" s="122"/>
      <c r="G94" s="122"/>
      <c r="H94" s="122"/>
      <c r="I94" s="122"/>
      <c r="J94" s="122"/>
      <c r="K94" s="122"/>
      <c r="L94" s="122"/>
      <c r="M94" s="122"/>
      <c r="N94" s="122"/>
      <c r="O94" s="122"/>
      <c r="P94" s="122"/>
      <c r="Q94" s="122"/>
      <c r="R94" s="122"/>
      <c r="S94" s="122"/>
      <c r="T94" s="122"/>
      <c r="U94" s="77"/>
    </row>
    <row r="95" customFormat="false" ht="20.15" hidden="false" customHeight="true" outlineLevel="0" collapsed="false">
      <c r="B95" s="77"/>
      <c r="U95" s="77"/>
    </row>
    <row r="96" customFormat="false" ht="20.15" hidden="false" customHeight="true" outlineLevel="0" collapsed="false">
      <c r="B96" s="77"/>
      <c r="C96" s="170"/>
      <c r="D96" s="170"/>
      <c r="E96" s="171" t="str">
        <f aca="false">IF(OR(L83="-",L83= ""),H83,L83)</f>
        <v>Tzolk'in</v>
      </c>
      <c r="F96" s="171"/>
      <c r="G96" s="171"/>
      <c r="H96" s="171"/>
      <c r="I96" s="171"/>
      <c r="J96" s="171"/>
      <c r="K96" s="171"/>
      <c r="L96" s="171"/>
      <c r="M96" s="171"/>
      <c r="N96" s="171"/>
      <c r="O96" s="172"/>
      <c r="P96" s="172"/>
      <c r="Q96" s="172"/>
      <c r="R96" s="172"/>
      <c r="S96" s="172"/>
      <c r="T96" s="170"/>
      <c r="U96" s="77"/>
    </row>
    <row r="97" customFormat="false" ht="50.15" hidden="false" customHeight="true" outlineLevel="0" collapsed="false">
      <c r="B97" s="77"/>
      <c r="C97" s="170"/>
      <c r="D97" s="172"/>
      <c r="E97" s="125" t="s">
        <v>52</v>
      </c>
      <c r="F97" s="126" t="s">
        <v>75</v>
      </c>
      <c r="G97" s="82" t="s">
        <v>76</v>
      </c>
      <c r="H97" s="81" t="s">
        <v>77</v>
      </c>
      <c r="I97" s="59" t="s">
        <v>78</v>
      </c>
      <c r="J97" s="81" t="s">
        <v>79</v>
      </c>
      <c r="K97" s="127" t="s">
        <v>80</v>
      </c>
      <c r="L97" s="81" t="s">
        <v>81</v>
      </c>
      <c r="M97" s="128" t="s">
        <v>82</v>
      </c>
      <c r="N97" s="129" t="s">
        <v>83</v>
      </c>
      <c r="O97" s="130" t="s">
        <v>84</v>
      </c>
      <c r="P97" s="131" t="s">
        <v>85</v>
      </c>
      <c r="Q97" s="131" t="s">
        <v>86</v>
      </c>
      <c r="R97" s="197" t="s">
        <v>87</v>
      </c>
      <c r="S97" s="172"/>
      <c r="T97" s="170"/>
      <c r="U97" s="77"/>
    </row>
    <row r="98" customFormat="false" ht="20.15" hidden="false" customHeight="true" outlineLevel="0" collapsed="false">
      <c r="B98" s="77"/>
      <c r="C98" s="170"/>
      <c r="D98" s="177"/>
      <c r="E98" s="388" t="s">
        <v>25</v>
      </c>
      <c r="F98" s="382" t="s">
        <v>26</v>
      </c>
      <c r="G98" s="304" t="n">
        <v>2</v>
      </c>
      <c r="H98" s="222" t="s">
        <v>66</v>
      </c>
      <c r="I98" s="221" t="n">
        <v>0</v>
      </c>
      <c r="J98" s="222" t="n">
        <v>76</v>
      </c>
      <c r="K98" s="389" t="s">
        <v>66</v>
      </c>
      <c r="L98" s="223" t="n">
        <f aca="false">IF(J98="",0,(J98/J102)*100)</f>
        <v>76.7676767676768</v>
      </c>
      <c r="M98" s="221" t="n">
        <v>2</v>
      </c>
      <c r="N98" s="224" t="n">
        <v>3</v>
      </c>
      <c r="O98" s="137" t="n">
        <f aca="false">IF(M98=1,1,0)</f>
        <v>0</v>
      </c>
      <c r="P98" s="138" t="n">
        <f aca="false">IF(M98=2,1,0)</f>
        <v>1</v>
      </c>
      <c r="Q98" s="138" t="n">
        <f aca="false">IF(M98=3,1,0)</f>
        <v>0</v>
      </c>
      <c r="R98" s="139" t="n">
        <f aca="false">IF(M98=4,1,0)</f>
        <v>0</v>
      </c>
      <c r="S98" s="176"/>
      <c r="T98" s="170"/>
      <c r="U98" s="77"/>
    </row>
    <row r="99" customFormat="false" ht="20.15" hidden="false" customHeight="true" outlineLevel="0" collapsed="false">
      <c r="B99" s="77"/>
      <c r="C99" s="170"/>
      <c r="D99" s="173"/>
      <c r="E99" s="147" t="s">
        <v>49</v>
      </c>
      <c r="F99" s="148" t="s">
        <v>50</v>
      </c>
      <c r="G99" s="305" t="n">
        <v>1</v>
      </c>
      <c r="H99" s="179" t="s">
        <v>66</v>
      </c>
      <c r="I99" s="149" t="n">
        <v>0</v>
      </c>
      <c r="J99" s="179" t="n">
        <v>99</v>
      </c>
      <c r="K99" s="179" t="s">
        <v>66</v>
      </c>
      <c r="L99" s="150" t="n">
        <f aca="false">IF(J99="",0,(J99/J102)*100)</f>
        <v>100</v>
      </c>
      <c r="M99" s="149" t="n">
        <v>1</v>
      </c>
      <c r="N99" s="151" t="n">
        <v>6</v>
      </c>
      <c r="O99" s="144" t="n">
        <f aca="false">IF(M99=1,1,0)</f>
        <v>1</v>
      </c>
      <c r="P99" s="145" t="n">
        <f aca="false">IF(M99=2,1,0)</f>
        <v>0</v>
      </c>
      <c r="Q99" s="145" t="n">
        <f aca="false">IF(M99=3,1,0)</f>
        <v>0</v>
      </c>
      <c r="R99" s="146" t="n">
        <f aca="false">IF(M99=4,1,0)</f>
        <v>0</v>
      </c>
      <c r="S99" s="176"/>
      <c r="T99" s="170"/>
      <c r="U99" s="77"/>
    </row>
    <row r="100" customFormat="false" ht="20.15" hidden="false" customHeight="true" outlineLevel="0" collapsed="false">
      <c r="B100" s="77"/>
      <c r="C100" s="170"/>
      <c r="D100" s="177"/>
      <c r="E100" s="105" t="s">
        <v>33</v>
      </c>
      <c r="F100" s="290" t="s">
        <v>34</v>
      </c>
      <c r="G100" s="306" t="n">
        <v>4</v>
      </c>
      <c r="H100" s="317" t="s">
        <v>66</v>
      </c>
      <c r="I100" s="228" t="n">
        <v>0</v>
      </c>
      <c r="J100" s="317" t="n">
        <v>30</v>
      </c>
      <c r="K100" s="390" t="s">
        <v>66</v>
      </c>
      <c r="L100" s="229" t="n">
        <f aca="false">IF(J100="",0,(J100/J102)*100)</f>
        <v>30.3030303030303</v>
      </c>
      <c r="M100" s="228" t="n">
        <v>4</v>
      </c>
      <c r="N100" s="230" t="n">
        <v>0</v>
      </c>
      <c r="O100" s="144" t="n">
        <f aca="false">IF(M100=1,1,0)</f>
        <v>0</v>
      </c>
      <c r="P100" s="145" t="n">
        <f aca="false">IF(M100=2,1,0)</f>
        <v>0</v>
      </c>
      <c r="Q100" s="145" t="n">
        <f aca="false">IF(M100=3,1,0)</f>
        <v>0</v>
      </c>
      <c r="R100" s="146" t="n">
        <f aca="false">IF(M100=4,1,0)</f>
        <v>1</v>
      </c>
      <c r="S100" s="176"/>
      <c r="T100" s="170"/>
      <c r="U100" s="77"/>
    </row>
    <row r="101" customFormat="false" ht="20.15" hidden="false" customHeight="true" outlineLevel="0" collapsed="false">
      <c r="B101" s="77"/>
      <c r="C101" s="170"/>
      <c r="D101" s="173"/>
      <c r="E101" s="295" t="s">
        <v>23</v>
      </c>
      <c r="F101" s="386" t="s">
        <v>24</v>
      </c>
      <c r="G101" s="307" t="n">
        <v>3</v>
      </c>
      <c r="H101" s="308" t="s">
        <v>66</v>
      </c>
      <c r="I101" s="234" t="n">
        <v>0</v>
      </c>
      <c r="J101" s="308" t="n">
        <v>47</v>
      </c>
      <c r="K101" s="308" t="s">
        <v>66</v>
      </c>
      <c r="L101" s="235" t="n">
        <f aca="false">IF(J101="",0,(J101/J102)*100)</f>
        <v>47.4747474747475</v>
      </c>
      <c r="M101" s="234" t="n">
        <v>3</v>
      </c>
      <c r="N101" s="236" t="n">
        <v>1</v>
      </c>
      <c r="O101" s="156" t="n">
        <f aca="false">IF(M101=1,1,0)</f>
        <v>0</v>
      </c>
      <c r="P101" s="157" t="n">
        <f aca="false">IF(M101=2,1,0)</f>
        <v>0</v>
      </c>
      <c r="Q101" s="157" t="n">
        <f aca="false">IF(M101=3,1,0)</f>
        <v>1</v>
      </c>
      <c r="R101" s="158" t="n">
        <f aca="false">IF(M101=4,1,0)</f>
        <v>0</v>
      </c>
      <c r="S101" s="176"/>
      <c r="T101" s="170"/>
      <c r="U101" s="77"/>
    </row>
    <row r="102" customFormat="false" ht="20.15" hidden="true" customHeight="true" outlineLevel="1" collapsed="false">
      <c r="B102" s="77"/>
      <c r="C102" s="170"/>
      <c r="D102" s="173"/>
      <c r="E102" s="173"/>
      <c r="F102" s="172"/>
      <c r="G102" s="172"/>
      <c r="H102" s="170"/>
      <c r="I102" s="213" t="s">
        <v>92</v>
      </c>
      <c r="J102" s="161" t="n">
        <f aca="false">MAX(J98:J101)</f>
        <v>99</v>
      </c>
      <c r="K102" s="186"/>
      <c r="L102" s="176"/>
      <c r="M102" s="170"/>
      <c r="N102" s="164" t="s">
        <v>93</v>
      </c>
      <c r="O102" s="165" t="n">
        <f aca="false">SUM(O98:O101)</f>
        <v>1</v>
      </c>
      <c r="P102" s="166" t="n">
        <f aca="false">SUM(P98:P101)</f>
        <v>1</v>
      </c>
      <c r="Q102" s="165" t="n">
        <f aca="false">SUM(Q98:Q101)</f>
        <v>1</v>
      </c>
      <c r="R102" s="187" t="n">
        <f aca="false">SUM(R98:R101)</f>
        <v>1</v>
      </c>
      <c r="S102" s="188"/>
      <c r="T102" s="170"/>
      <c r="U102" s="77"/>
    </row>
    <row r="103" customFormat="false" ht="20.15" hidden="false" customHeight="true" outlineLevel="0" collapsed="false">
      <c r="B103" s="77"/>
      <c r="C103" s="170"/>
      <c r="D103" s="189"/>
      <c r="E103" s="189"/>
      <c r="F103" s="170"/>
      <c r="G103" s="170"/>
      <c r="H103" s="170"/>
      <c r="I103" s="170"/>
      <c r="J103" s="170"/>
      <c r="K103" s="170"/>
      <c r="L103" s="170"/>
      <c r="M103" s="170"/>
      <c r="N103" s="170"/>
      <c r="O103" s="170"/>
      <c r="P103" s="170"/>
      <c r="Q103" s="170"/>
      <c r="R103" s="170"/>
      <c r="S103" s="170"/>
      <c r="T103" s="170"/>
      <c r="U103" s="77"/>
    </row>
    <row r="104" customFormat="false" ht="20.15" hidden="false" customHeight="true" outlineLevel="0" collapsed="false">
      <c r="B104" s="77"/>
      <c r="D104" s="190"/>
      <c r="E104" s="190"/>
      <c r="F104" s="190"/>
      <c r="G104" s="190"/>
      <c r="H104" s="191"/>
      <c r="I104" s="190"/>
      <c r="J104" s="190"/>
      <c r="K104" s="14"/>
      <c r="L104" s="14"/>
      <c r="M104" s="14"/>
      <c r="N104" s="14"/>
      <c r="O104" s="14"/>
      <c r="P104" s="14"/>
      <c r="Q104" s="14"/>
      <c r="R104" s="14"/>
      <c r="S104" s="14"/>
      <c r="U104" s="77"/>
    </row>
    <row r="105" customFormat="false" ht="20.15" hidden="false" customHeight="true" outlineLevel="0" collapsed="false">
      <c r="B105" s="77"/>
      <c r="C105" s="192"/>
      <c r="D105" s="192"/>
      <c r="E105" s="193" t="str">
        <f aca="false">IF(OR(L84="-",L84= ""),H84,L84)</f>
        <v>Teotihuacan: Die Stadt der Götter</v>
      </c>
      <c r="F105" s="193"/>
      <c r="G105" s="193"/>
      <c r="H105" s="193"/>
      <c r="I105" s="193"/>
      <c r="J105" s="193"/>
      <c r="K105" s="193"/>
      <c r="L105" s="193"/>
      <c r="M105" s="193"/>
      <c r="N105" s="193"/>
      <c r="O105" s="194"/>
      <c r="P105" s="194"/>
      <c r="Q105" s="194"/>
      <c r="R105" s="194"/>
      <c r="S105" s="194"/>
      <c r="T105" s="192"/>
      <c r="U105" s="195"/>
    </row>
    <row r="106" customFormat="false" ht="50.15" hidden="false" customHeight="true" outlineLevel="0" collapsed="false">
      <c r="B106" s="77"/>
      <c r="C106" s="192"/>
      <c r="D106" s="194"/>
      <c r="E106" s="125" t="s">
        <v>52</v>
      </c>
      <c r="F106" s="126" t="s">
        <v>75</v>
      </c>
      <c r="G106" s="82" t="s">
        <v>76</v>
      </c>
      <c r="H106" s="81" t="s">
        <v>77</v>
      </c>
      <c r="I106" s="59" t="s">
        <v>78</v>
      </c>
      <c r="J106" s="81" t="s">
        <v>79</v>
      </c>
      <c r="K106" s="127" t="s">
        <v>80</v>
      </c>
      <c r="L106" s="81" t="s">
        <v>81</v>
      </c>
      <c r="M106" s="128" t="s">
        <v>82</v>
      </c>
      <c r="N106" s="129" t="s">
        <v>83</v>
      </c>
      <c r="O106" s="130" t="s">
        <v>84</v>
      </c>
      <c r="P106" s="131" t="s">
        <v>85</v>
      </c>
      <c r="Q106" s="131" t="s">
        <v>86</v>
      </c>
      <c r="R106" s="197" t="s">
        <v>87</v>
      </c>
      <c r="S106" s="194"/>
      <c r="T106" s="192"/>
      <c r="U106" s="195"/>
    </row>
    <row r="107" customFormat="false" ht="20.15" hidden="false" customHeight="true" outlineLevel="0" collapsed="false">
      <c r="B107" s="77"/>
      <c r="C107" s="192"/>
      <c r="D107" s="208"/>
      <c r="E107" s="388" t="s">
        <v>25</v>
      </c>
      <c r="F107" s="382" t="s">
        <v>26</v>
      </c>
      <c r="G107" s="304" t="n">
        <v>4</v>
      </c>
      <c r="H107" s="222" t="s">
        <v>66</v>
      </c>
      <c r="I107" s="221" t="n">
        <v>0</v>
      </c>
      <c r="J107" s="222" t="n">
        <v>140</v>
      </c>
      <c r="K107" s="221" t="s">
        <v>66</v>
      </c>
      <c r="L107" s="223" t="n">
        <f aca="false">IF(J107="",0,(J107/J111)*100)</f>
        <v>63.6363636363636</v>
      </c>
      <c r="M107" s="221" t="n">
        <v>3</v>
      </c>
      <c r="N107" s="224" t="n">
        <v>1</v>
      </c>
      <c r="O107" s="137" t="n">
        <f aca="false">IF(M107=1,1,0)</f>
        <v>0</v>
      </c>
      <c r="P107" s="138" t="n">
        <f aca="false">IF(M107=2,1,0)</f>
        <v>0</v>
      </c>
      <c r="Q107" s="138" t="n">
        <f aca="false">IF(M107=3,1,0)</f>
        <v>1</v>
      </c>
      <c r="R107" s="139" t="n">
        <f aca="false">IF(M107=4,1,0)</f>
        <v>0</v>
      </c>
      <c r="S107" s="206"/>
      <c r="T107" s="192"/>
      <c r="U107" s="207"/>
    </row>
    <row r="108" customFormat="false" ht="20.15" hidden="false" customHeight="true" outlineLevel="0" collapsed="false">
      <c r="B108" s="77"/>
      <c r="C108" s="192"/>
      <c r="D108" s="198"/>
      <c r="E108" s="147" t="s">
        <v>49</v>
      </c>
      <c r="F108" s="148" t="s">
        <v>50</v>
      </c>
      <c r="G108" s="305" t="n">
        <v>3</v>
      </c>
      <c r="H108" s="179" t="s">
        <v>66</v>
      </c>
      <c r="I108" s="149" t="n">
        <v>0</v>
      </c>
      <c r="J108" s="179" t="n">
        <v>220</v>
      </c>
      <c r="K108" s="179" t="s">
        <v>66</v>
      </c>
      <c r="L108" s="150" t="n">
        <f aca="false">IF(J108="",0,(J108/J111)*100)</f>
        <v>100</v>
      </c>
      <c r="M108" s="149" t="n">
        <v>1</v>
      </c>
      <c r="N108" s="151" t="n">
        <v>6</v>
      </c>
      <c r="O108" s="144" t="n">
        <f aca="false">IF(M108=1,1,0)</f>
        <v>1</v>
      </c>
      <c r="P108" s="145" t="n">
        <f aca="false">IF(M108=2,1,0)</f>
        <v>0</v>
      </c>
      <c r="Q108" s="145" t="n">
        <f aca="false">IF(M108=3,1,0)</f>
        <v>0</v>
      </c>
      <c r="R108" s="146" t="n">
        <f aca="false">IF(M108=4,1,0)</f>
        <v>0</v>
      </c>
      <c r="S108" s="206"/>
      <c r="T108" s="192"/>
      <c r="U108" s="211"/>
    </row>
    <row r="109" customFormat="false" ht="20.15" hidden="false" customHeight="true" outlineLevel="0" collapsed="false">
      <c r="B109" s="77"/>
      <c r="C109" s="192"/>
      <c r="D109" s="198"/>
      <c r="E109" s="105" t="s">
        <v>33</v>
      </c>
      <c r="F109" s="290" t="s">
        <v>34</v>
      </c>
      <c r="G109" s="306" t="n">
        <v>1</v>
      </c>
      <c r="H109" s="317" t="s">
        <v>66</v>
      </c>
      <c r="I109" s="228" t="n">
        <v>0</v>
      </c>
      <c r="J109" s="317" t="n">
        <v>178</v>
      </c>
      <c r="K109" s="228" t="s">
        <v>66</v>
      </c>
      <c r="L109" s="229" t="n">
        <f aca="false">IF(J109="",0,(J109/J111)*100)</f>
        <v>80.9090909090909</v>
      </c>
      <c r="M109" s="228" t="n">
        <v>2</v>
      </c>
      <c r="N109" s="230" t="n">
        <v>3</v>
      </c>
      <c r="O109" s="144" t="n">
        <f aca="false">IF(M109=1,1,0)</f>
        <v>0</v>
      </c>
      <c r="P109" s="145" t="n">
        <f aca="false">IF(M109=2,1,0)</f>
        <v>1</v>
      </c>
      <c r="Q109" s="145" t="n">
        <f aca="false">IF(M109=3,1,0)</f>
        <v>0</v>
      </c>
      <c r="R109" s="146" t="n">
        <f aca="false">IF(M109=4,1,0)</f>
        <v>0</v>
      </c>
      <c r="S109" s="206"/>
      <c r="T109" s="192"/>
      <c r="U109" s="211"/>
    </row>
    <row r="110" customFormat="false" ht="20.15" hidden="false" customHeight="true" outlineLevel="0" collapsed="false">
      <c r="B110" s="77"/>
      <c r="C110" s="192"/>
      <c r="D110" s="198"/>
      <c r="E110" s="295" t="s">
        <v>23</v>
      </c>
      <c r="F110" s="386" t="s">
        <v>24</v>
      </c>
      <c r="G110" s="307" t="n">
        <v>2</v>
      </c>
      <c r="H110" s="308" t="s">
        <v>66</v>
      </c>
      <c r="I110" s="234" t="n">
        <v>0</v>
      </c>
      <c r="J110" s="308" t="n">
        <v>137</v>
      </c>
      <c r="K110" s="308" t="s">
        <v>66</v>
      </c>
      <c r="L110" s="235" t="n">
        <f aca="false">IF(J110="",0,(J110/J111)*100)</f>
        <v>62.2727272727273</v>
      </c>
      <c r="M110" s="234" t="n">
        <v>4</v>
      </c>
      <c r="N110" s="236" t="n">
        <v>0</v>
      </c>
      <c r="O110" s="156" t="n">
        <f aca="false">IF(M110=1,1,0)</f>
        <v>0</v>
      </c>
      <c r="P110" s="157" t="n">
        <f aca="false">IF(M110=2,1,0)</f>
        <v>0</v>
      </c>
      <c r="Q110" s="157" t="n">
        <f aca="false">IF(M110=3,1,0)</f>
        <v>0</v>
      </c>
      <c r="R110" s="158" t="n">
        <f aca="false">IF(M110=4,1,0)</f>
        <v>1</v>
      </c>
      <c r="S110" s="206"/>
      <c r="T110" s="192"/>
      <c r="U110" s="211"/>
    </row>
    <row r="111" customFormat="false" ht="20.15" hidden="true" customHeight="true" outlineLevel="1" collapsed="false">
      <c r="B111" s="77"/>
      <c r="C111" s="192"/>
      <c r="D111" s="198"/>
      <c r="E111" s="198"/>
      <c r="F111" s="206"/>
      <c r="G111" s="206"/>
      <c r="H111" s="192"/>
      <c r="I111" s="213" t="s">
        <v>92</v>
      </c>
      <c r="J111" s="161" t="n">
        <f aca="false">MAX(J107:J110)</f>
        <v>220</v>
      </c>
      <c r="K111" s="214"/>
      <c r="L111" s="206"/>
      <c r="M111" s="192"/>
      <c r="N111" s="164" t="s">
        <v>93</v>
      </c>
      <c r="O111" s="165" t="n">
        <f aca="false">SUM(O107:O110)</f>
        <v>1</v>
      </c>
      <c r="P111" s="166" t="n">
        <f aca="false">SUM(P107:P110)</f>
        <v>1</v>
      </c>
      <c r="Q111" s="165" t="n">
        <f aca="false">SUM(Q107:Q110)</f>
        <v>1</v>
      </c>
      <c r="R111" s="187" t="n">
        <f aca="false">SUM(R107:R110)</f>
        <v>1</v>
      </c>
      <c r="S111" s="215"/>
      <c r="T111" s="192"/>
      <c r="U111" s="211"/>
    </row>
    <row r="112" customFormat="false" ht="20.15" hidden="false" customHeight="true" outlineLevel="0" collapsed="false">
      <c r="B112" s="77"/>
      <c r="C112" s="192"/>
      <c r="D112" s="216"/>
      <c r="E112" s="216"/>
      <c r="F112" s="192"/>
      <c r="G112" s="192"/>
      <c r="H112" s="192"/>
      <c r="I112" s="192"/>
      <c r="J112" s="192"/>
      <c r="K112" s="192"/>
      <c r="L112" s="192"/>
      <c r="M112" s="192"/>
      <c r="N112" s="192"/>
      <c r="O112" s="192"/>
      <c r="P112" s="192"/>
      <c r="Q112" s="192"/>
      <c r="R112" s="192"/>
      <c r="S112" s="192"/>
      <c r="T112" s="192"/>
      <c r="U112" s="211"/>
    </row>
    <row r="113" customFormat="false" ht="20.15" hidden="false" customHeight="true" outlineLevel="0" collapsed="false">
      <c r="B113" s="77"/>
      <c r="D113" s="190"/>
      <c r="E113" s="190"/>
      <c r="F113" s="190"/>
      <c r="G113" s="190"/>
      <c r="H113" s="191"/>
      <c r="I113" s="190"/>
      <c r="J113" s="190"/>
      <c r="K113" s="190"/>
      <c r="L113" s="14"/>
      <c r="M113" s="14"/>
      <c r="N113" s="14"/>
      <c r="O113" s="14"/>
      <c r="P113" s="14"/>
      <c r="Q113" s="14"/>
      <c r="R113" s="14"/>
      <c r="S113" s="14"/>
      <c r="U113" s="207"/>
    </row>
    <row r="114" customFormat="false" ht="20.15" hidden="false" customHeight="true" outlineLevel="0" collapsed="false">
      <c r="B114" s="77"/>
      <c r="C114" s="217"/>
      <c r="D114" s="217"/>
      <c r="E114" s="218" t="str">
        <f aca="false">IF(OR(L85="-",L85= ""),H85,L85)</f>
        <v>Yokohama</v>
      </c>
      <c r="F114" s="218"/>
      <c r="G114" s="218"/>
      <c r="H114" s="218"/>
      <c r="I114" s="218"/>
      <c r="J114" s="218"/>
      <c r="K114" s="218"/>
      <c r="L114" s="218"/>
      <c r="M114" s="218"/>
      <c r="N114" s="218"/>
      <c r="O114" s="219"/>
      <c r="P114" s="219"/>
      <c r="Q114" s="219"/>
      <c r="R114" s="219"/>
      <c r="S114" s="219"/>
      <c r="T114" s="217"/>
      <c r="U114" s="77"/>
    </row>
    <row r="115" customFormat="false" ht="50.15" hidden="false" customHeight="true" outlineLevel="0" collapsed="false">
      <c r="B115" s="77"/>
      <c r="C115" s="217"/>
      <c r="D115" s="219"/>
      <c r="E115" s="125" t="s">
        <v>52</v>
      </c>
      <c r="F115" s="126" t="s">
        <v>75</v>
      </c>
      <c r="G115" s="82" t="s">
        <v>76</v>
      </c>
      <c r="H115" s="81" t="s">
        <v>77</v>
      </c>
      <c r="I115" s="59" t="s">
        <v>78</v>
      </c>
      <c r="J115" s="81" t="s">
        <v>79</v>
      </c>
      <c r="K115" s="127" t="s">
        <v>80</v>
      </c>
      <c r="L115" s="81" t="s">
        <v>81</v>
      </c>
      <c r="M115" s="128" t="s">
        <v>82</v>
      </c>
      <c r="N115" s="129" t="s">
        <v>83</v>
      </c>
      <c r="O115" s="130" t="s">
        <v>84</v>
      </c>
      <c r="P115" s="131" t="s">
        <v>85</v>
      </c>
      <c r="Q115" s="131" t="s">
        <v>86</v>
      </c>
      <c r="R115" s="197" t="s">
        <v>87</v>
      </c>
      <c r="S115" s="219"/>
      <c r="T115" s="217"/>
      <c r="U115" s="77"/>
    </row>
    <row r="116" customFormat="false" ht="20.15" hidden="false" customHeight="true" outlineLevel="0" collapsed="false">
      <c r="B116" s="77"/>
      <c r="C116" s="217"/>
      <c r="D116" s="220"/>
      <c r="E116" s="388" t="s">
        <v>25</v>
      </c>
      <c r="F116" s="382" t="s">
        <v>26</v>
      </c>
      <c r="G116" s="304" t="n">
        <v>4</v>
      </c>
      <c r="H116" s="222" t="s">
        <v>66</v>
      </c>
      <c r="I116" s="221" t="n">
        <v>0</v>
      </c>
      <c r="J116" s="221" t="n">
        <v>87</v>
      </c>
      <c r="K116" s="221" t="s">
        <v>66</v>
      </c>
      <c r="L116" s="223" t="n">
        <f aca="false">IF(J116="",0,(J116/J120)*100)</f>
        <v>68.503937007874</v>
      </c>
      <c r="M116" s="221" t="n">
        <v>3</v>
      </c>
      <c r="N116" s="224" t="n">
        <v>1</v>
      </c>
      <c r="O116" s="137" t="n">
        <f aca="false">IF(M116=1,1,0)</f>
        <v>0</v>
      </c>
      <c r="P116" s="138" t="n">
        <f aca="false">IF(M116=2,1,0)</f>
        <v>0</v>
      </c>
      <c r="Q116" s="138" t="n">
        <f aca="false">IF(M116=3,1,0)</f>
        <v>1</v>
      </c>
      <c r="R116" s="139" t="n">
        <f aca="false">IF(M116=4,1,0)</f>
        <v>0</v>
      </c>
      <c r="S116" s="225"/>
      <c r="T116" s="217"/>
      <c r="U116" s="77"/>
    </row>
    <row r="117" customFormat="false" ht="20.15" hidden="false" customHeight="true" outlineLevel="0" collapsed="false">
      <c r="B117" s="77"/>
      <c r="C117" s="217"/>
      <c r="D117" s="220"/>
      <c r="E117" s="105" t="s">
        <v>49</v>
      </c>
      <c r="F117" s="227" t="s">
        <v>50</v>
      </c>
      <c r="G117" s="306" t="n">
        <v>2</v>
      </c>
      <c r="H117" s="317" t="s">
        <v>66</v>
      </c>
      <c r="I117" s="228" t="n">
        <v>0</v>
      </c>
      <c r="J117" s="228" t="n">
        <v>98</v>
      </c>
      <c r="K117" s="317" t="s">
        <v>66</v>
      </c>
      <c r="L117" s="229" t="n">
        <f aca="false">IF(J117="",0,(J117/J120)*100)</f>
        <v>77.1653543307087</v>
      </c>
      <c r="M117" s="228" t="n">
        <v>2</v>
      </c>
      <c r="N117" s="230" t="n">
        <v>3</v>
      </c>
      <c r="O117" s="144" t="n">
        <f aca="false">IF(M117=1,1,0)</f>
        <v>0</v>
      </c>
      <c r="P117" s="145" t="n">
        <f aca="false">IF(M117=2,1,0)</f>
        <v>1</v>
      </c>
      <c r="Q117" s="145" t="n">
        <f aca="false">IF(M117=3,1,0)</f>
        <v>0</v>
      </c>
      <c r="R117" s="146" t="n">
        <f aca="false">IF(M117=4,1,0)</f>
        <v>0</v>
      </c>
      <c r="S117" s="225"/>
      <c r="T117" s="217"/>
      <c r="U117" s="77"/>
    </row>
    <row r="118" customFormat="false" ht="20.15" hidden="false" customHeight="true" outlineLevel="0" collapsed="false">
      <c r="B118" s="77"/>
      <c r="C118" s="217"/>
      <c r="D118" s="220"/>
      <c r="E118" s="105" t="s">
        <v>33</v>
      </c>
      <c r="F118" s="290" t="s">
        <v>34</v>
      </c>
      <c r="G118" s="306" t="n">
        <v>1</v>
      </c>
      <c r="H118" s="317" t="s">
        <v>66</v>
      </c>
      <c r="I118" s="228" t="n">
        <v>0</v>
      </c>
      <c r="J118" s="228" t="n">
        <v>54</v>
      </c>
      <c r="K118" s="228" t="s">
        <v>66</v>
      </c>
      <c r="L118" s="229" t="n">
        <f aca="false">IF(J118="",0,(J118/J120)*100)</f>
        <v>42.5196850393701</v>
      </c>
      <c r="M118" s="228" t="n">
        <v>4</v>
      </c>
      <c r="N118" s="230" t="n">
        <v>0</v>
      </c>
      <c r="O118" s="144" t="n">
        <f aca="false">IF(M118=1,1,0)</f>
        <v>0</v>
      </c>
      <c r="P118" s="145" t="n">
        <f aca="false">IF(M118=2,1,0)</f>
        <v>0</v>
      </c>
      <c r="Q118" s="145" t="n">
        <f aca="false">IF(M118=3,1,0)</f>
        <v>0</v>
      </c>
      <c r="R118" s="146" t="n">
        <f aca="false">IF(M118=4,1,0)</f>
        <v>1</v>
      </c>
      <c r="S118" s="225"/>
      <c r="T118" s="217"/>
      <c r="U118" s="77"/>
    </row>
    <row r="119" customFormat="false" ht="20.15" hidden="false" customHeight="true" outlineLevel="0" collapsed="false">
      <c r="B119" s="77"/>
      <c r="C119" s="217"/>
      <c r="D119" s="231"/>
      <c r="E119" s="318" t="s">
        <v>23</v>
      </c>
      <c r="F119" s="391" t="s">
        <v>24</v>
      </c>
      <c r="G119" s="320" t="n">
        <v>3</v>
      </c>
      <c r="H119" s="321" t="s">
        <v>66</v>
      </c>
      <c r="I119" s="322" t="n">
        <v>0</v>
      </c>
      <c r="J119" s="322" t="n">
        <v>127</v>
      </c>
      <c r="K119" s="321" t="s">
        <v>66</v>
      </c>
      <c r="L119" s="323" t="n">
        <f aca="false">IF(J119="",0,(J119/J120)*100)</f>
        <v>100</v>
      </c>
      <c r="M119" s="322" t="n">
        <v>1</v>
      </c>
      <c r="N119" s="324" t="n">
        <v>6</v>
      </c>
      <c r="O119" s="156" t="n">
        <f aca="false">IF(M119=1,1,0)</f>
        <v>1</v>
      </c>
      <c r="P119" s="157" t="n">
        <f aca="false">IF(M119=2,1,0)</f>
        <v>0</v>
      </c>
      <c r="Q119" s="157" t="n">
        <f aca="false">IF(M119=3,1,0)</f>
        <v>0</v>
      </c>
      <c r="R119" s="158" t="n">
        <f aca="false">IF(M119=4,1,0)</f>
        <v>0</v>
      </c>
      <c r="S119" s="225"/>
      <c r="T119" s="217"/>
      <c r="U119" s="77"/>
    </row>
    <row r="120" customFormat="false" ht="20.15" hidden="true" customHeight="true" outlineLevel="1" collapsed="false">
      <c r="B120" s="77"/>
      <c r="C120" s="217"/>
      <c r="D120" s="220"/>
      <c r="E120" s="220"/>
      <c r="F120" s="225"/>
      <c r="G120" s="225"/>
      <c r="H120" s="217"/>
      <c r="I120" s="213" t="s">
        <v>92</v>
      </c>
      <c r="J120" s="161" t="n">
        <f aca="false">MAX(J116:J119)</f>
        <v>127</v>
      </c>
      <c r="K120" s="237"/>
      <c r="L120" s="225"/>
      <c r="M120" s="217"/>
      <c r="N120" s="164" t="s">
        <v>93</v>
      </c>
      <c r="O120" s="165" t="n">
        <f aca="false">SUM(O116:O119)</f>
        <v>1</v>
      </c>
      <c r="P120" s="166" t="n">
        <f aca="false">SUM(P116:P119)</f>
        <v>1</v>
      </c>
      <c r="Q120" s="165" t="n">
        <f aca="false">SUM(Q116:Q119)</f>
        <v>1</v>
      </c>
      <c r="R120" s="187" t="n">
        <f aca="false">SUM(R116:R119)</f>
        <v>1</v>
      </c>
      <c r="S120" s="238"/>
      <c r="T120" s="217"/>
      <c r="U120" s="77"/>
    </row>
    <row r="121" customFormat="false" ht="20.15" hidden="false" customHeight="true" outlineLevel="0" collapsed="false">
      <c r="B121" s="77"/>
      <c r="C121" s="217"/>
      <c r="D121" s="239"/>
      <c r="E121" s="239"/>
      <c r="F121" s="217"/>
      <c r="G121" s="217"/>
      <c r="H121" s="217"/>
      <c r="I121" s="217"/>
      <c r="J121" s="217"/>
      <c r="K121" s="217"/>
      <c r="L121" s="217"/>
      <c r="M121" s="217"/>
      <c r="N121" s="217"/>
      <c r="O121" s="217"/>
      <c r="P121" s="217"/>
      <c r="Q121" s="217"/>
      <c r="R121" s="217"/>
      <c r="S121" s="217"/>
      <c r="T121" s="217"/>
      <c r="U121" s="77"/>
    </row>
    <row r="122" customFormat="false" ht="20.15" hidden="false" customHeight="true" outlineLevel="0" collapsed="false">
      <c r="B122" s="77"/>
      <c r="D122" s="5"/>
      <c r="E122" s="5"/>
      <c r="F122" s="5"/>
      <c r="G122" s="5"/>
      <c r="H122" s="5"/>
      <c r="I122" s="5"/>
      <c r="J122" s="5"/>
      <c r="K122" s="14"/>
      <c r="L122" s="14"/>
      <c r="M122" s="14"/>
      <c r="N122" s="14"/>
      <c r="O122" s="14"/>
      <c r="P122" s="14"/>
      <c r="Q122" s="14"/>
      <c r="R122" s="14"/>
      <c r="S122" s="14"/>
      <c r="U122" s="77"/>
    </row>
    <row r="123" customFormat="false" ht="30" hidden="false" customHeight="true" outlineLevel="0" collapsed="false">
      <c r="B123" s="77"/>
      <c r="C123" s="240"/>
      <c r="D123" s="241" t="s">
        <v>135</v>
      </c>
      <c r="E123" s="241"/>
      <c r="F123" s="241"/>
      <c r="G123" s="241"/>
      <c r="H123" s="241"/>
      <c r="I123" s="241"/>
      <c r="J123" s="241"/>
      <c r="K123" s="241"/>
      <c r="L123" s="241"/>
      <c r="M123" s="241"/>
      <c r="N123" s="241"/>
      <c r="O123" s="241"/>
      <c r="P123" s="241"/>
      <c r="Q123" s="241"/>
      <c r="R123" s="241"/>
      <c r="S123" s="241"/>
      <c r="T123" s="240"/>
      <c r="U123" s="77"/>
    </row>
    <row r="124" customFormat="false" ht="50.15" hidden="false" customHeight="true" outlineLevel="0" collapsed="false">
      <c r="B124" s="77"/>
      <c r="C124" s="240"/>
      <c r="D124" s="242" t="s">
        <v>52</v>
      </c>
      <c r="E124" s="243" t="s">
        <v>53</v>
      </c>
      <c r="F124" s="244" t="s">
        <v>83</v>
      </c>
      <c r="G124" s="245" t="s">
        <v>102</v>
      </c>
      <c r="H124" s="246" t="s">
        <v>103</v>
      </c>
      <c r="I124" s="246"/>
      <c r="J124" s="247" t="s">
        <v>104</v>
      </c>
      <c r="K124" s="248" t="s">
        <v>105</v>
      </c>
      <c r="L124" s="244" t="s">
        <v>106</v>
      </c>
      <c r="M124" s="248" t="s">
        <v>107</v>
      </c>
      <c r="N124" s="244" t="s">
        <v>108</v>
      </c>
      <c r="O124" s="249"/>
      <c r="P124" s="250"/>
      <c r="Q124" s="250"/>
      <c r="R124" s="250"/>
      <c r="S124" s="243" t="s">
        <v>109</v>
      </c>
      <c r="T124" s="240"/>
      <c r="U124" s="77"/>
    </row>
    <row r="125" customFormat="false" ht="20.15" hidden="false" customHeight="true" outlineLevel="0" collapsed="false">
      <c r="B125" s="77"/>
      <c r="C125" s="240"/>
      <c r="D125" s="251" t="s">
        <v>49</v>
      </c>
      <c r="E125" s="360" t="s">
        <v>50</v>
      </c>
      <c r="F125" s="327" t="n">
        <f aca="false">K125*6+L125*3+M125*1+N125*0</f>
        <v>15</v>
      </c>
      <c r="G125" s="328" t="n">
        <v>0</v>
      </c>
      <c r="H125" s="328" t="s">
        <v>66</v>
      </c>
      <c r="I125" s="328"/>
      <c r="J125" s="327" t="n">
        <f aca="false">F125+G125</f>
        <v>15</v>
      </c>
      <c r="K125" s="327" t="n">
        <v>2</v>
      </c>
      <c r="L125" s="327" t="n">
        <v>1</v>
      </c>
      <c r="M125" s="327" t="n">
        <v>0</v>
      </c>
      <c r="N125" s="327" t="n">
        <v>1</v>
      </c>
      <c r="O125" s="16"/>
      <c r="P125" s="328"/>
      <c r="Q125" s="328"/>
      <c r="R125" s="328"/>
      <c r="S125" s="329" t="n">
        <f aca="false">(L90+L99+L108+L117)/4</f>
        <v>91.3225885826772</v>
      </c>
      <c r="T125" s="240"/>
      <c r="U125" s="77"/>
    </row>
    <row r="126" customFormat="false" ht="20.15" hidden="false" customHeight="true" outlineLevel="0" collapsed="false">
      <c r="B126" s="77"/>
      <c r="C126" s="240"/>
      <c r="D126" s="263" t="s">
        <v>23</v>
      </c>
      <c r="E126" s="264" t="s">
        <v>24</v>
      </c>
      <c r="F126" s="330" t="n">
        <f aca="false">K126*6+L126*3+M126*1+N126*0</f>
        <v>13</v>
      </c>
      <c r="G126" s="331" t="n">
        <v>0</v>
      </c>
      <c r="H126" s="331" t="s">
        <v>66</v>
      </c>
      <c r="I126" s="331"/>
      <c r="J126" s="330" t="n">
        <f aca="false">F126+G126</f>
        <v>13</v>
      </c>
      <c r="K126" s="330" t="n">
        <v>2</v>
      </c>
      <c r="L126" s="330" t="n">
        <v>0</v>
      </c>
      <c r="M126" s="330" t="n">
        <v>1</v>
      </c>
      <c r="N126" s="330" t="n">
        <v>1</v>
      </c>
      <c r="O126" s="332"/>
      <c r="P126" s="331"/>
      <c r="Q126" s="331"/>
      <c r="R126" s="331"/>
      <c r="S126" s="333" t="n">
        <f aca="false">(L92+L101+L110+L119)/4</f>
        <v>77.4368686868687</v>
      </c>
      <c r="T126" s="240"/>
      <c r="U126" s="77"/>
      <c r="W126" s="334"/>
      <c r="X126" s="334"/>
      <c r="Y126" s="23"/>
      <c r="Z126" s="23"/>
      <c r="AA126" s="335"/>
      <c r="AB126" s="335"/>
      <c r="AC126" s="336"/>
      <c r="AD126" s="336"/>
      <c r="AE126" s="336"/>
    </row>
    <row r="127" customFormat="false" ht="20.15" hidden="false" customHeight="true" outlineLevel="0" collapsed="false">
      <c r="B127" s="77"/>
      <c r="C127" s="240"/>
      <c r="D127" s="257" t="s">
        <v>25</v>
      </c>
      <c r="E127" s="361" t="s">
        <v>26</v>
      </c>
      <c r="F127" s="330" t="n">
        <f aca="false">K127*6+L127*3+M127*1+N127*0</f>
        <v>8</v>
      </c>
      <c r="G127" s="331" t="n">
        <v>0</v>
      </c>
      <c r="H127" s="331" t="s">
        <v>66</v>
      </c>
      <c r="I127" s="331"/>
      <c r="J127" s="330" t="n">
        <f aca="false">F127+G127</f>
        <v>8</v>
      </c>
      <c r="K127" s="330" t="n">
        <v>0</v>
      </c>
      <c r="L127" s="330" t="n">
        <v>2</v>
      </c>
      <c r="M127" s="330" t="n">
        <v>2</v>
      </c>
      <c r="N127" s="330" t="n">
        <v>0</v>
      </c>
      <c r="O127" s="332"/>
      <c r="P127" s="331"/>
      <c r="Q127" s="331"/>
      <c r="R127" s="331"/>
      <c r="S127" s="333" t="n">
        <f aca="false">(L89+L98+L107+L116)/4</f>
        <v>76.4457443529786</v>
      </c>
      <c r="T127" s="240"/>
      <c r="U127" s="77"/>
    </row>
    <row r="128" customFormat="false" ht="20.15" hidden="false" customHeight="true" outlineLevel="0" collapsed="false">
      <c r="B128" s="77"/>
      <c r="C128" s="240"/>
      <c r="D128" s="337" t="s">
        <v>33</v>
      </c>
      <c r="E128" s="385" t="s">
        <v>34</v>
      </c>
      <c r="F128" s="338" t="n">
        <f aca="false">K128*6+L128*3+M128*1+N128*0</f>
        <v>4</v>
      </c>
      <c r="G128" s="339" t="n">
        <v>0</v>
      </c>
      <c r="H128" s="339" t="s">
        <v>66</v>
      </c>
      <c r="I128" s="339"/>
      <c r="J128" s="338" t="n">
        <f aca="false">F128+G128</f>
        <v>4</v>
      </c>
      <c r="K128" s="338" t="n">
        <v>0</v>
      </c>
      <c r="L128" s="338" t="n">
        <v>1</v>
      </c>
      <c r="M128" s="338" t="n">
        <v>1</v>
      </c>
      <c r="N128" s="338" t="n">
        <v>2</v>
      </c>
      <c r="O128" s="340"/>
      <c r="P128" s="339"/>
      <c r="Q128" s="339"/>
      <c r="R128" s="339"/>
      <c r="S128" s="341" t="n">
        <f aca="false">(L91+L100+L109+L118)/4</f>
        <v>62.1829515628728</v>
      </c>
      <c r="T128" s="240"/>
      <c r="U128" s="77"/>
    </row>
    <row r="129" customFormat="false" ht="20.15" hidden="false" customHeight="true" outlineLevel="0" collapsed="false">
      <c r="B129" s="77"/>
      <c r="C129" s="240"/>
      <c r="D129" s="240"/>
      <c r="E129" s="240"/>
      <c r="F129" s="240"/>
      <c r="G129" s="240"/>
      <c r="H129" s="240"/>
      <c r="I129" s="240"/>
      <c r="J129" s="240"/>
      <c r="K129" s="240"/>
      <c r="L129" s="240"/>
      <c r="M129" s="240"/>
      <c r="N129" s="240"/>
      <c r="O129" s="240"/>
      <c r="P129" s="240"/>
      <c r="Q129" s="240"/>
      <c r="R129" s="240"/>
      <c r="S129" s="240"/>
      <c r="T129" s="240"/>
      <c r="U129" s="77"/>
    </row>
    <row r="130" customFormat="false" ht="20.15" hidden="false" customHeight="true" outlineLevel="0" collapsed="false">
      <c r="B130" s="77"/>
      <c r="C130" s="77"/>
      <c r="D130" s="270"/>
      <c r="E130" s="270"/>
      <c r="F130" s="195"/>
      <c r="G130" s="195"/>
      <c r="H130" s="270"/>
      <c r="I130" s="270"/>
      <c r="J130" s="270"/>
      <c r="K130" s="207"/>
      <c r="L130" s="207"/>
      <c r="M130" s="207"/>
      <c r="N130" s="207"/>
      <c r="O130" s="207"/>
      <c r="P130" s="207"/>
      <c r="Q130" s="207"/>
      <c r="R130" s="207"/>
      <c r="S130" s="207"/>
      <c r="T130" s="77"/>
      <c r="U130" s="77"/>
    </row>
    <row r="131" customFormat="false" ht="20.15" hidden="false" customHeight="true" outlineLevel="0" collapsed="false"/>
  </sheetData>
  <mergeCells count="83">
    <mergeCell ref="A1:N2"/>
    <mergeCell ref="B4:J4"/>
    <mergeCell ref="L4:N4"/>
    <mergeCell ref="B5:C5"/>
    <mergeCell ref="B6:C6"/>
    <mergeCell ref="M6:M9"/>
    <mergeCell ref="B7:C7"/>
    <mergeCell ref="B8:C8"/>
    <mergeCell ref="B9:C9"/>
    <mergeCell ref="B10:C10"/>
    <mergeCell ref="M10:M13"/>
    <mergeCell ref="B11:C11"/>
    <mergeCell ref="B12:C12"/>
    <mergeCell ref="B13:C13"/>
    <mergeCell ref="B14:C14"/>
    <mergeCell ref="L14:M14"/>
    <mergeCell ref="B15:I15"/>
    <mergeCell ref="B16:C16"/>
    <mergeCell ref="B17:C17"/>
    <mergeCell ref="B18:C18"/>
    <mergeCell ref="B19:C19"/>
    <mergeCell ref="C22:T22"/>
    <mergeCell ref="D24:D25"/>
    <mergeCell ref="E24:E25"/>
    <mergeCell ref="F24:F25"/>
    <mergeCell ref="G24:J24"/>
    <mergeCell ref="L24:S24"/>
    <mergeCell ref="I25:J25"/>
    <mergeCell ref="N25:S25"/>
    <mergeCell ref="I26:J26"/>
    <mergeCell ref="N26:S26"/>
    <mergeCell ref="I27:J27"/>
    <mergeCell ref="N27:S27"/>
    <mergeCell ref="I28:J28"/>
    <mergeCell ref="N28:S28"/>
    <mergeCell ref="I29:J29"/>
    <mergeCell ref="N29:S29"/>
    <mergeCell ref="E31:N31"/>
    <mergeCell ref="F37:G37"/>
    <mergeCell ref="F38:G38"/>
    <mergeCell ref="E40:N40"/>
    <mergeCell ref="F46:G46"/>
    <mergeCell ref="E49:N49"/>
    <mergeCell ref="F55:G55"/>
    <mergeCell ref="E58:N58"/>
    <mergeCell ref="F64:G64"/>
    <mergeCell ref="D67:S67"/>
    <mergeCell ref="H68:I68"/>
    <mergeCell ref="H69:I69"/>
    <mergeCell ref="H70:I70"/>
    <mergeCell ref="H71:I71"/>
    <mergeCell ref="H72:I72"/>
    <mergeCell ref="C78:T78"/>
    <mergeCell ref="D80:D81"/>
    <mergeCell ref="E80:E81"/>
    <mergeCell ref="F80:F81"/>
    <mergeCell ref="G80:J80"/>
    <mergeCell ref="L80:S80"/>
    <mergeCell ref="I81:J81"/>
    <mergeCell ref="N81:S81"/>
    <mergeCell ref="I82:J82"/>
    <mergeCell ref="N82:S82"/>
    <mergeCell ref="I83:J83"/>
    <mergeCell ref="N83:S83"/>
    <mergeCell ref="I84:J84"/>
    <mergeCell ref="N84:S84"/>
    <mergeCell ref="I85:J85"/>
    <mergeCell ref="N85:S85"/>
    <mergeCell ref="E87:N87"/>
    <mergeCell ref="F93:G93"/>
    <mergeCell ref="E96:N96"/>
    <mergeCell ref="F102:G102"/>
    <mergeCell ref="E105:N105"/>
    <mergeCell ref="F111:G111"/>
    <mergeCell ref="E114:N114"/>
    <mergeCell ref="F120:G120"/>
    <mergeCell ref="D123:S123"/>
    <mergeCell ref="H124:I124"/>
    <mergeCell ref="H125:I125"/>
    <mergeCell ref="H126:I126"/>
    <mergeCell ref="Y126:Z126"/>
    <mergeCell ref="H127:I127"/>
    <mergeCell ref="H128:I128"/>
  </mergeCells>
  <conditionalFormatting sqref="B6:J13 D126:E128">
    <cfRule type="expression" priority="2" aboveAverage="0" equalAverage="0" bottom="0" percent="0" rank="0" text="" dxfId="0">
      <formula>$J6="Nein"</formula>
    </cfRule>
    <cfRule type="expression" priority="3" aboveAverage="0" equalAverage="0" bottom="0" percent="0" rank="0" text="" dxfId="1">
      <formula>$J6="Ja"</formula>
    </cfRule>
  </conditionalFormatting>
  <conditionalFormatting sqref="D26:E29">
    <cfRule type="expression" priority="4" aboveAverage="0" equalAverage="0" bottom="0" percent="0" rank="0" text="" dxfId="2">
      <formula>$J26="Nein"</formula>
    </cfRule>
    <cfRule type="expression" priority="5" aboveAverage="0" equalAverage="0" bottom="0" percent="0" rank="0" text="" dxfId="3">
      <formula>$J26="Ja"</formula>
    </cfRule>
  </conditionalFormatting>
  <conditionalFormatting sqref="E33:F36">
    <cfRule type="expression" priority="6" aboveAverage="0" equalAverage="0" bottom="0" percent="0" rank="0" text="" dxfId="4">
      <formula>$J33="Nein"</formula>
    </cfRule>
    <cfRule type="expression" priority="7" aboveAverage="0" equalAverage="0" bottom="0" percent="0" rank="0" text="" dxfId="5">
      <formula>$J33="Ja"</formula>
    </cfRule>
  </conditionalFormatting>
  <conditionalFormatting sqref="E42:F45">
    <cfRule type="expression" priority="8" aboveAverage="0" equalAverage="0" bottom="0" percent="0" rank="0" text="" dxfId="6">
      <formula>$J42="Nein"</formula>
    </cfRule>
    <cfRule type="expression" priority="9" aboveAverage="0" equalAverage="0" bottom="0" percent="0" rank="0" text="" dxfId="7">
      <formula>$J42="Ja"</formula>
    </cfRule>
  </conditionalFormatting>
  <conditionalFormatting sqref="E60:F63">
    <cfRule type="expression" priority="10" aboveAverage="0" equalAverage="0" bottom="0" percent="0" rank="0" text="" dxfId="8">
      <formula>$J60="Nein"</formula>
    </cfRule>
    <cfRule type="expression" priority="11" aboveAverage="0" equalAverage="0" bottom="0" percent="0" rank="0" text="" dxfId="9">
      <formula>$J60="Ja"</formula>
    </cfRule>
  </conditionalFormatting>
  <conditionalFormatting sqref="E51:F54">
    <cfRule type="expression" priority="12" aboveAverage="0" equalAverage="0" bottom="0" percent="0" rank="0" text="" dxfId="10">
      <formula>$J51="Nein"</formula>
    </cfRule>
    <cfRule type="expression" priority="13" aboveAverage="0" equalAverage="0" bottom="0" percent="0" rank="0" text="" dxfId="11">
      <formula>$J51="Ja"</formula>
    </cfRule>
  </conditionalFormatting>
  <conditionalFormatting sqref="D69:E72">
    <cfRule type="expression" priority="14" aboveAverage="0" equalAverage="0" bottom="0" percent="0" rank="0" text="" dxfId="12">
      <formula>$J69="Nein"</formula>
    </cfRule>
    <cfRule type="expression" priority="15" aboveAverage="0" equalAverage="0" bottom="0" percent="0" rank="0" text="" dxfId="13">
      <formula>$J69="Ja"</formula>
    </cfRule>
  </conditionalFormatting>
  <conditionalFormatting sqref="D82:E85">
    <cfRule type="expression" priority="16" aboveAverage="0" equalAverage="0" bottom="0" percent="0" rank="0" text="" dxfId="14">
      <formula>$J82="Nein"</formula>
    </cfRule>
    <cfRule type="expression" priority="17" aboveAverage="0" equalAverage="0" bottom="0" percent="0" rank="0" text="" dxfId="15">
      <formula>$J82="Ja"</formula>
    </cfRule>
  </conditionalFormatting>
  <conditionalFormatting sqref="E89:F92">
    <cfRule type="expression" priority="18" aboveAverage="0" equalAverage="0" bottom="0" percent="0" rank="0" text="" dxfId="16">
      <formula>$J89="Nein"</formula>
    </cfRule>
    <cfRule type="expression" priority="19" aboveAverage="0" equalAverage="0" bottom="0" percent="0" rank="0" text="" dxfId="17">
      <formula>$J89="Ja"</formula>
    </cfRule>
  </conditionalFormatting>
  <conditionalFormatting sqref="E98:F101">
    <cfRule type="expression" priority="20" aboveAverage="0" equalAverage="0" bottom="0" percent="0" rank="0" text="" dxfId="18">
      <formula>$J98="Nein"</formula>
    </cfRule>
    <cfRule type="expression" priority="21" aboveAverage="0" equalAverage="0" bottom="0" percent="0" rank="0" text="" dxfId="19">
      <formula>$J98="Ja"</formula>
    </cfRule>
  </conditionalFormatting>
  <conditionalFormatting sqref="E107:F110">
    <cfRule type="expression" priority="22" aboveAverage="0" equalAverage="0" bottom="0" percent="0" rank="0" text="" dxfId="20">
      <formula>$J107="Nein"</formula>
    </cfRule>
    <cfRule type="expression" priority="23" aboveAverage="0" equalAverage="0" bottom="0" percent="0" rank="0" text="" dxfId="21">
      <formula>$J107="Ja"</formula>
    </cfRule>
  </conditionalFormatting>
  <conditionalFormatting sqref="E116:F119">
    <cfRule type="expression" priority="24" aboveAverage="0" equalAverage="0" bottom="0" percent="0" rank="0" text="" dxfId="22">
      <formula>$J116="Nein"</formula>
    </cfRule>
    <cfRule type="expression" priority="25" aboveAverage="0" equalAverage="0" bottom="0" percent="0" rank="0" text="" dxfId="23">
      <formula>$J116="Ja"</formula>
    </cfRule>
  </conditionalFormatting>
  <conditionalFormatting sqref="D125:E125">
    <cfRule type="expression" priority="26" aboveAverage="0" equalAverage="0" bottom="0" percent="0" rank="0" text="" dxfId="24">
      <formula>$J125="Nein"</formula>
    </cfRule>
    <cfRule type="expression" priority="27" aboveAverage="0" equalAverage="0" bottom="0" percent="0" rank="0" text="" dxfId="25">
      <formula>$J125="Ja"</formula>
    </cfRule>
  </conditionalFormatting>
  <dataValidations count="1">
    <dataValidation allowBlank="true" operator="between" showDropDown="false" showErrorMessage="true" showInputMessage="true" sqref="J6:J13"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7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G169" activeCellId="0" sqref="G169"/>
    </sheetView>
  </sheetViews>
  <sheetFormatPr defaultColWidth="11.47265625" defaultRowHeight="14.5" zeroHeight="false" outlineLevelRow="1" outlineLevelCol="1"/>
  <cols>
    <col collapsed="false" customWidth="true" hidden="false" outlineLevel="0" max="3" min="1" style="1" width="3.72"/>
    <col collapsed="false" customWidth="true" hidden="false" outlineLevel="0" max="14" min="4" style="1" width="20.72"/>
    <col collapsed="false" customWidth="true" hidden="true" outlineLevel="1" max="18" min="15" style="1" width="20.72"/>
    <col collapsed="false" customWidth="true" hidden="false" outlineLevel="0" max="19" min="19" style="1" width="20.72"/>
    <col collapsed="false" customWidth="true" hidden="false" outlineLevel="0" max="21" min="20" style="1" width="3.72"/>
    <col collapsed="false" customWidth="true" hidden="false" outlineLevel="0" max="22" min="22" style="1" width="15.81"/>
    <col collapsed="false" customWidth="true" hidden="false" outlineLevel="0" max="24" min="23" style="1" width="20.72"/>
    <col collapsed="false" customWidth="false" hidden="false" outlineLevel="0" max="1024" min="25" style="1" width="11.45"/>
  </cols>
  <sheetData>
    <row r="1" customFormat="false" ht="14.5" hidden="false" customHeight="false" outlineLevel="0" collapsed="false">
      <c r="A1" s="2" t="s">
        <v>332</v>
      </c>
      <c r="B1" s="2"/>
      <c r="C1" s="2"/>
      <c r="D1" s="2"/>
      <c r="E1" s="2"/>
      <c r="F1" s="2"/>
      <c r="G1" s="2"/>
      <c r="H1" s="2"/>
      <c r="I1" s="2"/>
      <c r="J1" s="2"/>
      <c r="K1" s="2"/>
      <c r="L1" s="2"/>
      <c r="M1" s="2"/>
      <c r="N1" s="2"/>
    </row>
    <row r="2" customFormat="false" ht="14.5" hidden="false" customHeight="false" outlineLevel="0" collapsed="false">
      <c r="A2" s="2"/>
      <c r="B2" s="2"/>
      <c r="C2" s="2"/>
      <c r="D2" s="2"/>
      <c r="E2" s="2"/>
      <c r="F2" s="2"/>
      <c r="G2" s="2"/>
      <c r="H2" s="2"/>
      <c r="I2" s="2"/>
      <c r="J2" s="2"/>
      <c r="K2" s="2"/>
      <c r="L2" s="2"/>
      <c r="M2" s="2"/>
      <c r="N2" s="2"/>
    </row>
    <row r="3" customFormat="false" ht="20.15" hidden="false" customHeight="true" outlineLevel="0" collapsed="false"/>
    <row r="4" customFormat="false" ht="15" hidden="false" customHeight="false" outlineLevel="0" collapsed="false">
      <c r="B4" s="3" t="s">
        <v>333</v>
      </c>
      <c r="C4" s="3"/>
      <c r="D4" s="3"/>
      <c r="E4" s="3"/>
      <c r="F4" s="3"/>
      <c r="G4" s="3"/>
      <c r="H4" s="3"/>
      <c r="I4" s="3"/>
      <c r="J4" s="3"/>
      <c r="L4" s="3" t="s">
        <v>2</v>
      </c>
      <c r="M4" s="3"/>
      <c r="N4" s="3"/>
      <c r="Q4" s="4"/>
      <c r="R4" s="4"/>
      <c r="S4" s="4"/>
      <c r="T4" s="5"/>
      <c r="U4" s="4"/>
      <c r="V4" s="4"/>
      <c r="W4" s="4"/>
      <c r="X4" s="4"/>
    </row>
    <row r="5" customFormat="false" ht="50.15" hidden="false" customHeight="true" outlineLevel="0" collapsed="false">
      <c r="B5" s="6" t="s">
        <v>334</v>
      </c>
      <c r="C5" s="6"/>
      <c r="D5" s="7" t="s">
        <v>4</v>
      </c>
      <c r="E5" s="8" t="s">
        <v>5</v>
      </c>
      <c r="F5" s="9" t="s">
        <v>6</v>
      </c>
      <c r="G5" s="10" t="s">
        <v>7</v>
      </c>
      <c r="H5" s="10" t="s">
        <v>8</v>
      </c>
      <c r="I5" s="10" t="s">
        <v>9</v>
      </c>
      <c r="J5" s="9" t="s">
        <v>335</v>
      </c>
      <c r="L5" s="11" t="s">
        <v>4</v>
      </c>
      <c r="M5" s="12" t="s">
        <v>11</v>
      </c>
      <c r="N5" s="13" t="s">
        <v>12</v>
      </c>
      <c r="P5" s="14"/>
      <c r="Q5" s="5"/>
      <c r="S5" s="4"/>
      <c r="T5" s="4"/>
      <c r="U5" s="4"/>
      <c r="V5" s="5"/>
      <c r="W5" s="5"/>
    </row>
    <row r="6" customFormat="false" ht="20.15" hidden="false" customHeight="true" outlineLevel="0" collapsed="false">
      <c r="B6" s="15" t="n">
        <v>1</v>
      </c>
      <c r="C6" s="15"/>
      <c r="D6" s="16" t="s">
        <v>13</v>
      </c>
      <c r="E6" s="17" t="s">
        <v>14</v>
      </c>
      <c r="F6" s="17" t="s">
        <v>14</v>
      </c>
      <c r="G6" s="17" t="s">
        <v>14</v>
      </c>
      <c r="H6" s="18" t="s">
        <v>14</v>
      </c>
      <c r="I6" s="18" t="s">
        <v>14</v>
      </c>
      <c r="J6" s="19" t="s">
        <v>15</v>
      </c>
      <c r="L6" s="20" t="str">
        <f aca="false">D6</f>
        <v>Devid Fulterer</v>
      </c>
      <c r="M6" s="21" t="n">
        <v>1</v>
      </c>
      <c r="N6" s="22" t="n">
        <v>1</v>
      </c>
      <c r="P6" s="14"/>
      <c r="Q6" s="23"/>
      <c r="S6" s="14"/>
      <c r="T6" s="14"/>
      <c r="U6" s="14"/>
      <c r="V6" s="24"/>
      <c r="W6" s="24"/>
    </row>
    <row r="7" customFormat="false" ht="20.15" hidden="false" customHeight="true" outlineLevel="0" collapsed="false">
      <c r="B7" s="25" t="n">
        <v>2</v>
      </c>
      <c r="C7" s="25"/>
      <c r="D7" s="33" t="s">
        <v>27</v>
      </c>
      <c r="E7" s="36" t="s">
        <v>28</v>
      </c>
      <c r="F7" s="29" t="s">
        <v>29</v>
      </c>
      <c r="G7" s="29" t="s">
        <v>28</v>
      </c>
      <c r="H7" s="29" t="s">
        <v>28</v>
      </c>
      <c r="I7" s="36" t="s">
        <v>18</v>
      </c>
      <c r="J7" s="30" t="s">
        <v>15</v>
      </c>
      <c r="L7" s="31" t="str">
        <f aca="false">D7</f>
        <v>Judith Maibaum</v>
      </c>
      <c r="M7" s="21"/>
      <c r="N7" s="32" t="n">
        <v>2</v>
      </c>
      <c r="P7" s="14"/>
      <c r="Q7" s="23"/>
      <c r="S7" s="14"/>
      <c r="T7" s="14"/>
      <c r="U7" s="14"/>
      <c r="V7" s="24"/>
      <c r="W7" s="24"/>
    </row>
    <row r="8" customFormat="false" ht="20.15" hidden="false" customHeight="true" outlineLevel="0" collapsed="false">
      <c r="B8" s="25" t="n">
        <v>3</v>
      </c>
      <c r="C8" s="25"/>
      <c r="D8" s="33" t="s">
        <v>39</v>
      </c>
      <c r="E8" s="36" t="s">
        <v>40</v>
      </c>
      <c r="F8" s="29" t="s">
        <v>40</v>
      </c>
      <c r="G8" s="29" t="s">
        <v>40</v>
      </c>
      <c r="H8" s="29" t="s">
        <v>18</v>
      </c>
      <c r="I8" s="29" t="s">
        <v>18</v>
      </c>
      <c r="J8" s="30" t="s">
        <v>15</v>
      </c>
      <c r="L8" s="31" t="str">
        <f aca="false">D8</f>
        <v>Markus Hagenauer</v>
      </c>
      <c r="M8" s="21"/>
      <c r="N8" s="32" t="n">
        <v>3</v>
      </c>
      <c r="P8" s="14"/>
      <c r="Q8" s="23"/>
      <c r="S8" s="14"/>
      <c r="T8" s="14"/>
      <c r="U8" s="14"/>
      <c r="V8" s="24"/>
      <c r="W8" s="24"/>
    </row>
    <row r="9" customFormat="false" ht="20.15" hidden="false" customHeight="true" outlineLevel="0" collapsed="false">
      <c r="B9" s="39" t="n">
        <v>4</v>
      </c>
      <c r="C9" s="39"/>
      <c r="D9" s="40" t="s">
        <v>49</v>
      </c>
      <c r="E9" s="41" t="s">
        <v>50</v>
      </c>
      <c r="F9" s="42" t="s">
        <v>50</v>
      </c>
      <c r="G9" s="43" t="s">
        <v>18</v>
      </c>
      <c r="H9" s="44" t="s">
        <v>50</v>
      </c>
      <c r="I9" s="44" t="s">
        <v>18</v>
      </c>
      <c r="J9" s="45" t="s">
        <v>38</v>
      </c>
      <c r="L9" s="34" t="str">
        <f aca="false">D9</f>
        <v>Jonas Röhrig</v>
      </c>
      <c r="M9" s="21"/>
      <c r="N9" s="35" t="n">
        <v>4</v>
      </c>
      <c r="P9" s="14"/>
      <c r="Q9" s="23"/>
      <c r="S9" s="14"/>
      <c r="T9" s="14"/>
      <c r="U9" s="14"/>
      <c r="V9" s="24"/>
      <c r="W9" s="24"/>
    </row>
    <row r="10" customFormat="false" ht="20.15" hidden="false" customHeight="true" outlineLevel="0" collapsed="false">
      <c r="B10" s="25" t="n">
        <v>5</v>
      </c>
      <c r="C10" s="25"/>
      <c r="D10" s="26" t="s">
        <v>16</v>
      </c>
      <c r="E10" s="27" t="s">
        <v>17</v>
      </c>
      <c r="F10" s="28" t="s">
        <v>17</v>
      </c>
      <c r="G10" s="26" t="s">
        <v>17</v>
      </c>
      <c r="H10" s="29" t="s">
        <v>17</v>
      </c>
      <c r="I10" s="29" t="s">
        <v>18</v>
      </c>
      <c r="J10" s="30" t="s">
        <v>15</v>
      </c>
      <c r="L10" s="20" t="str">
        <f aca="false">D10</f>
        <v>Andreas Micke</v>
      </c>
      <c r="M10" s="37" t="n">
        <v>2</v>
      </c>
      <c r="N10" s="22" t="n">
        <v>1</v>
      </c>
      <c r="P10" s="14"/>
      <c r="Q10" s="23"/>
      <c r="S10" s="14"/>
      <c r="T10" s="14"/>
      <c r="U10" s="14"/>
      <c r="V10" s="24"/>
      <c r="W10" s="24"/>
    </row>
    <row r="11" customFormat="false" ht="20.15" hidden="false" customHeight="true" outlineLevel="0" collapsed="false">
      <c r="B11" s="25" t="n">
        <v>6</v>
      </c>
      <c r="C11" s="25"/>
      <c r="D11" s="33" t="s">
        <v>23</v>
      </c>
      <c r="E11" s="36" t="s">
        <v>24</v>
      </c>
      <c r="F11" s="29" t="s">
        <v>24</v>
      </c>
      <c r="G11" s="29" t="s">
        <v>18</v>
      </c>
      <c r="H11" s="29" t="s">
        <v>24</v>
      </c>
      <c r="I11" s="36" t="s">
        <v>18</v>
      </c>
      <c r="J11" s="30" t="s">
        <v>15</v>
      </c>
      <c r="L11" s="31" t="str">
        <f aca="false">D11</f>
        <v>Alex Ulbricht</v>
      </c>
      <c r="M11" s="37"/>
      <c r="N11" s="32" t="n">
        <v>2</v>
      </c>
      <c r="P11" s="14"/>
      <c r="Q11" s="23"/>
      <c r="S11" s="14"/>
      <c r="T11" s="14"/>
      <c r="U11" s="14"/>
      <c r="V11" s="24"/>
      <c r="W11" s="24"/>
    </row>
    <row r="12" customFormat="false" ht="20.15" hidden="false" customHeight="true" outlineLevel="0" collapsed="false">
      <c r="B12" s="25" t="n">
        <v>7</v>
      </c>
      <c r="C12" s="25"/>
      <c r="D12" s="26" t="s">
        <v>25</v>
      </c>
      <c r="E12" s="27" t="s">
        <v>26</v>
      </c>
      <c r="F12" s="28" t="s">
        <v>26</v>
      </c>
      <c r="G12" s="26" t="s">
        <v>26</v>
      </c>
      <c r="H12" s="29" t="s">
        <v>26</v>
      </c>
      <c r="I12" s="36" t="s">
        <v>18</v>
      </c>
      <c r="J12" s="30" t="s">
        <v>15</v>
      </c>
      <c r="L12" s="31" t="str">
        <f aca="false">D12</f>
        <v>Pauline Schätzle</v>
      </c>
      <c r="M12" s="37"/>
      <c r="N12" s="32" t="n">
        <v>3</v>
      </c>
      <c r="P12" s="14"/>
      <c r="Q12" s="23"/>
      <c r="S12" s="14"/>
      <c r="T12" s="14"/>
      <c r="U12" s="14"/>
      <c r="V12" s="24"/>
      <c r="W12" s="24"/>
    </row>
    <row r="13" customFormat="false" ht="20.15" hidden="false" customHeight="true" outlineLevel="0" collapsed="false">
      <c r="B13" s="25" t="n">
        <v>8</v>
      </c>
      <c r="C13" s="25"/>
      <c r="D13" s="33" t="s">
        <v>33</v>
      </c>
      <c r="E13" s="38" t="s">
        <v>34</v>
      </c>
      <c r="F13" s="29" t="s">
        <v>34</v>
      </c>
      <c r="G13" s="29" t="s">
        <v>34</v>
      </c>
      <c r="H13" s="29" t="s">
        <v>18</v>
      </c>
      <c r="I13" s="29" t="s">
        <v>18</v>
      </c>
      <c r="J13" s="30" t="s">
        <v>15</v>
      </c>
      <c r="L13" s="34" t="str">
        <f aca="false">D13</f>
        <v>Kai Maibaum</v>
      </c>
      <c r="M13" s="37"/>
      <c r="N13" s="35" t="n">
        <v>4</v>
      </c>
      <c r="P13" s="14"/>
      <c r="Q13" s="23"/>
      <c r="S13" s="14"/>
      <c r="T13" s="14"/>
      <c r="U13" s="14"/>
      <c r="V13" s="24"/>
      <c r="W13" s="24"/>
    </row>
    <row r="14" customFormat="false" ht="20.15" hidden="false" customHeight="true" outlineLevel="0" collapsed="false">
      <c r="B14" s="25" t="n">
        <v>9</v>
      </c>
      <c r="C14" s="25"/>
      <c r="D14" s="33" t="s">
        <v>19</v>
      </c>
      <c r="E14" s="27" t="s">
        <v>20</v>
      </c>
      <c r="F14" s="28" t="s">
        <v>20</v>
      </c>
      <c r="G14" s="26" t="s">
        <v>20</v>
      </c>
      <c r="H14" s="29" t="s">
        <v>20</v>
      </c>
      <c r="I14" s="29" t="s">
        <v>18</v>
      </c>
      <c r="J14" s="30" t="s">
        <v>15</v>
      </c>
      <c r="L14" s="20" t="str">
        <f aca="false">D14</f>
        <v>Jérôme Schätzle</v>
      </c>
      <c r="M14" s="21" t="n">
        <v>3</v>
      </c>
      <c r="N14" s="22" t="n">
        <v>1</v>
      </c>
      <c r="P14" s="14"/>
      <c r="Q14" s="23"/>
      <c r="S14" s="14"/>
      <c r="T14" s="14"/>
      <c r="U14" s="14"/>
      <c r="V14" s="24"/>
      <c r="W14" s="24"/>
    </row>
    <row r="15" customFormat="false" ht="20.15" hidden="false" customHeight="true" outlineLevel="0" collapsed="false">
      <c r="B15" s="25" t="n">
        <v>10</v>
      </c>
      <c r="C15" s="25"/>
      <c r="D15" s="33" t="s">
        <v>30</v>
      </c>
      <c r="E15" s="27" t="s">
        <v>31</v>
      </c>
      <c r="F15" s="28" t="s">
        <v>32</v>
      </c>
      <c r="G15" s="26" t="s">
        <v>18</v>
      </c>
      <c r="H15" s="29" t="s">
        <v>32</v>
      </c>
      <c r="I15" s="36" t="s">
        <v>18</v>
      </c>
      <c r="J15" s="30" t="s">
        <v>15</v>
      </c>
      <c r="L15" s="31" t="str">
        <f aca="false">D15</f>
        <v>Lisa Schätzle</v>
      </c>
      <c r="M15" s="21"/>
      <c r="N15" s="32" t="n">
        <v>2</v>
      </c>
      <c r="P15" s="14"/>
      <c r="Q15" s="23"/>
      <c r="S15" s="14"/>
      <c r="T15" s="14"/>
      <c r="U15" s="14"/>
      <c r="V15" s="24"/>
      <c r="W15" s="24"/>
    </row>
    <row r="16" customFormat="false" ht="20.15" hidden="false" customHeight="true" outlineLevel="0" collapsed="false">
      <c r="B16" s="47" t="n">
        <v>11</v>
      </c>
      <c r="C16" s="47"/>
      <c r="D16" s="51" t="s">
        <v>21</v>
      </c>
      <c r="E16" s="49" t="s">
        <v>22</v>
      </c>
      <c r="F16" s="50" t="s">
        <v>22</v>
      </c>
      <c r="G16" s="51" t="s">
        <v>18</v>
      </c>
      <c r="H16" s="52" t="s">
        <v>22</v>
      </c>
      <c r="I16" s="52" t="s">
        <v>18</v>
      </c>
      <c r="J16" s="53" t="s">
        <v>15</v>
      </c>
      <c r="L16" s="54" t="str">
        <f aca="false">D13</f>
        <v>Kai Maibaum</v>
      </c>
      <c r="M16" s="21"/>
      <c r="N16" s="55" t="n">
        <v>3</v>
      </c>
      <c r="P16" s="14"/>
      <c r="Q16" s="23"/>
      <c r="S16" s="14"/>
      <c r="T16" s="14"/>
      <c r="U16" s="14"/>
      <c r="V16" s="24"/>
      <c r="W16" s="24"/>
    </row>
    <row r="17" customFormat="false" ht="20.15" hidden="false" customHeight="true" outlineLevel="0" collapsed="false">
      <c r="B17" s="23"/>
      <c r="C17" s="23"/>
      <c r="L17" s="56" t="s">
        <v>336</v>
      </c>
      <c r="M17" s="56"/>
      <c r="N17" s="57" t="n">
        <v>11</v>
      </c>
      <c r="P17" s="4"/>
      <c r="Q17" s="4"/>
      <c r="S17" s="4"/>
      <c r="T17" s="4"/>
      <c r="U17" s="4"/>
      <c r="V17" s="4"/>
    </row>
    <row r="18" customFormat="false" ht="15" hidden="false" customHeight="false" outlineLevel="0" collapsed="false">
      <c r="B18" s="3" t="s">
        <v>337</v>
      </c>
      <c r="C18" s="3"/>
      <c r="D18" s="3"/>
      <c r="E18" s="3"/>
      <c r="F18" s="3"/>
      <c r="G18" s="3"/>
      <c r="H18" s="3"/>
      <c r="I18" s="3"/>
      <c r="M18" s="58"/>
      <c r="N18" s="58"/>
      <c r="O18" s="58"/>
      <c r="P18" s="5"/>
      <c r="Q18" s="4"/>
      <c r="R18" s="4"/>
      <c r="T18" s="4"/>
      <c r="U18" s="4"/>
      <c r="V18" s="4"/>
      <c r="W18" s="4"/>
    </row>
    <row r="19" customFormat="false" ht="29.5" hidden="false" customHeight="true" outlineLevel="0" collapsed="false">
      <c r="B19" s="59" t="s">
        <v>45</v>
      </c>
      <c r="C19" s="59"/>
      <c r="D19" s="60" t="s">
        <v>4</v>
      </c>
      <c r="E19" s="61" t="s">
        <v>5</v>
      </c>
      <c r="F19" s="62" t="s">
        <v>6</v>
      </c>
      <c r="G19" s="63" t="s">
        <v>7</v>
      </c>
      <c r="H19" s="64" t="s">
        <v>8</v>
      </c>
      <c r="I19" s="62" t="s">
        <v>9</v>
      </c>
      <c r="M19" s="58"/>
      <c r="N19" s="58"/>
      <c r="O19" s="58"/>
      <c r="P19" s="5"/>
      <c r="Q19" s="4"/>
      <c r="R19" s="4"/>
      <c r="T19" s="4"/>
      <c r="U19" s="4"/>
      <c r="V19" s="4"/>
      <c r="W19" s="4"/>
    </row>
    <row r="20" customFormat="false" ht="20.15" hidden="false" customHeight="true" outlineLevel="0" collapsed="false">
      <c r="B20" s="368" t="n">
        <v>1</v>
      </c>
      <c r="C20" s="368"/>
      <c r="D20" s="369"/>
      <c r="E20" s="370"/>
      <c r="F20" s="370"/>
      <c r="G20" s="370"/>
      <c r="H20" s="370"/>
      <c r="I20" s="371"/>
      <c r="M20" s="58"/>
      <c r="N20" s="58"/>
      <c r="O20" s="58"/>
      <c r="P20" s="5"/>
      <c r="Q20" s="4"/>
      <c r="R20" s="4"/>
      <c r="T20" s="4"/>
      <c r="U20" s="4"/>
      <c r="V20" s="4"/>
      <c r="W20" s="4"/>
    </row>
    <row r="21" customFormat="false" ht="20.15" hidden="false" customHeight="true" outlineLevel="0" collapsed="false">
      <c r="D21" s="76"/>
      <c r="E21" s="76"/>
      <c r="F21" s="76"/>
      <c r="M21" s="58"/>
      <c r="N21" s="58"/>
      <c r="O21" s="58"/>
      <c r="P21" s="5"/>
      <c r="Q21" s="4"/>
      <c r="R21" s="4"/>
      <c r="T21" s="4"/>
      <c r="U21" s="4"/>
      <c r="V21" s="4"/>
      <c r="W21" s="4"/>
    </row>
    <row r="22" customFormat="false" ht="20.15" hidden="false" customHeight="true" outlineLevel="0" collapsed="false">
      <c r="B22" s="77"/>
      <c r="C22" s="77"/>
      <c r="D22" s="78"/>
      <c r="E22" s="78"/>
      <c r="F22" s="78"/>
      <c r="G22" s="78"/>
      <c r="H22" s="77"/>
      <c r="I22" s="77"/>
      <c r="J22" s="77"/>
      <c r="K22" s="77"/>
      <c r="L22" s="77"/>
      <c r="M22" s="77"/>
      <c r="N22" s="77"/>
      <c r="O22" s="77"/>
      <c r="P22" s="77"/>
      <c r="Q22" s="77"/>
      <c r="R22" s="77"/>
      <c r="S22" s="77"/>
      <c r="T22" s="77"/>
      <c r="U22" s="77"/>
    </row>
    <row r="23" customFormat="false" ht="30" hidden="false" customHeight="true" outlineLevel="0" collapsed="false">
      <c r="B23" s="77"/>
      <c r="C23" s="79" t="s">
        <v>51</v>
      </c>
      <c r="D23" s="79"/>
      <c r="E23" s="79"/>
      <c r="F23" s="79"/>
      <c r="G23" s="79"/>
      <c r="H23" s="79"/>
      <c r="I23" s="79"/>
      <c r="J23" s="79"/>
      <c r="K23" s="79"/>
      <c r="L23" s="79"/>
      <c r="M23" s="79"/>
      <c r="N23" s="79"/>
      <c r="O23" s="79"/>
      <c r="P23" s="79"/>
      <c r="Q23" s="79"/>
      <c r="R23" s="79"/>
      <c r="S23" s="79"/>
      <c r="T23" s="79"/>
      <c r="U23" s="77"/>
    </row>
    <row r="24" customFormat="false" ht="20.15" hidden="false" customHeight="true" outlineLevel="0" collapsed="false">
      <c r="B24" s="77"/>
      <c r="U24" s="77"/>
    </row>
    <row r="25" customFormat="false" ht="20.15" hidden="false" customHeight="true" outlineLevel="0" collapsed="false">
      <c r="B25" s="77"/>
      <c r="D25" s="80" t="s">
        <v>52</v>
      </c>
      <c r="E25" s="81" t="s">
        <v>53</v>
      </c>
      <c r="F25" s="82" t="s">
        <v>12</v>
      </c>
      <c r="G25" s="81" t="s">
        <v>54</v>
      </c>
      <c r="H25" s="81"/>
      <c r="I25" s="81"/>
      <c r="J25" s="81"/>
      <c r="K25" s="81" t="s">
        <v>55</v>
      </c>
      <c r="L25" s="83" t="s">
        <v>56</v>
      </c>
      <c r="M25" s="83"/>
      <c r="N25" s="83"/>
      <c r="O25" s="83"/>
      <c r="P25" s="83"/>
      <c r="Q25" s="83"/>
      <c r="R25" s="83"/>
      <c r="S25" s="83"/>
      <c r="U25" s="77"/>
    </row>
    <row r="26" customFormat="false" ht="20.15" hidden="false" customHeight="true" outlineLevel="0" collapsed="false">
      <c r="B26" s="77"/>
      <c r="D26" s="80"/>
      <c r="E26" s="81"/>
      <c r="F26" s="81"/>
      <c r="G26" s="84" t="s">
        <v>57</v>
      </c>
      <c r="H26" s="84" t="s">
        <v>58</v>
      </c>
      <c r="I26" s="82" t="s">
        <v>59</v>
      </c>
      <c r="J26" s="82"/>
      <c r="K26" s="84" t="s">
        <v>60</v>
      </c>
      <c r="L26" s="84" t="s">
        <v>57</v>
      </c>
      <c r="M26" s="85" t="s">
        <v>61</v>
      </c>
      <c r="N26" s="82" t="s">
        <v>59</v>
      </c>
      <c r="O26" s="82"/>
      <c r="P26" s="82"/>
      <c r="Q26" s="82"/>
      <c r="R26" s="82"/>
      <c r="S26" s="82"/>
      <c r="U26" s="77"/>
    </row>
    <row r="27" customFormat="false" ht="110.15" hidden="false" customHeight="true" outlineLevel="0" collapsed="false">
      <c r="B27" s="77"/>
      <c r="D27" s="86" t="s">
        <v>13</v>
      </c>
      <c r="E27" s="87" t="s">
        <v>14</v>
      </c>
      <c r="F27" s="22" t="n">
        <v>1</v>
      </c>
      <c r="G27" s="89" t="s">
        <v>269</v>
      </c>
      <c r="H27" s="281" t="s">
        <v>63</v>
      </c>
      <c r="I27" s="282" t="s">
        <v>338</v>
      </c>
      <c r="J27" s="282"/>
      <c r="K27" s="373" t="s">
        <v>65</v>
      </c>
      <c r="L27" s="442" t="s">
        <v>66</v>
      </c>
      <c r="M27" s="495" t="s">
        <v>66</v>
      </c>
      <c r="N27" s="444" t="s">
        <v>66</v>
      </c>
      <c r="O27" s="444"/>
      <c r="P27" s="444"/>
      <c r="Q27" s="444"/>
      <c r="R27" s="444"/>
      <c r="S27" s="444"/>
      <c r="U27" s="77"/>
    </row>
    <row r="28" customFormat="false" ht="35.15" hidden="false" customHeight="true" outlineLevel="0" collapsed="false">
      <c r="B28" s="77"/>
      <c r="D28" s="105" t="s">
        <v>27</v>
      </c>
      <c r="E28" s="290" t="s">
        <v>28</v>
      </c>
      <c r="F28" s="32" t="n">
        <v>2</v>
      </c>
      <c r="G28" s="98" t="s">
        <v>67</v>
      </c>
      <c r="H28" s="99" t="s">
        <v>265</v>
      </c>
      <c r="I28" s="287" t="s">
        <v>66</v>
      </c>
      <c r="J28" s="287"/>
      <c r="K28" s="497" t="s">
        <v>331</v>
      </c>
      <c r="L28" s="376" t="s">
        <v>66</v>
      </c>
      <c r="M28" s="111" t="s">
        <v>66</v>
      </c>
      <c r="N28" s="445" t="s">
        <v>66</v>
      </c>
      <c r="O28" s="445"/>
      <c r="P28" s="445"/>
      <c r="Q28" s="445"/>
      <c r="R28" s="445"/>
      <c r="S28" s="445"/>
      <c r="U28" s="77"/>
    </row>
    <row r="29" customFormat="false" ht="20.15" hidden="false" customHeight="true" outlineLevel="0" collapsed="false">
      <c r="B29" s="77"/>
      <c r="D29" s="105" t="s">
        <v>39</v>
      </c>
      <c r="E29" s="290" t="s">
        <v>40</v>
      </c>
      <c r="F29" s="32" t="n">
        <v>3</v>
      </c>
      <c r="G29" s="106" t="s">
        <v>71</v>
      </c>
      <c r="H29" s="107" t="s">
        <v>339</v>
      </c>
      <c r="I29" s="293" t="s">
        <v>340</v>
      </c>
      <c r="J29" s="293"/>
      <c r="K29" s="294" t="s">
        <v>63</v>
      </c>
      <c r="L29" s="376" t="s">
        <v>66</v>
      </c>
      <c r="M29" s="464" t="s">
        <v>66</v>
      </c>
      <c r="N29" s="112" t="s">
        <v>66</v>
      </c>
      <c r="O29" s="112"/>
      <c r="P29" s="112"/>
      <c r="Q29" s="112"/>
      <c r="R29" s="112"/>
      <c r="S29" s="112"/>
      <c r="U29" s="77"/>
    </row>
    <row r="30" customFormat="false" ht="65.15" hidden="false" customHeight="true" outlineLevel="0" collapsed="false">
      <c r="B30" s="77"/>
      <c r="D30" s="295" t="s">
        <v>49</v>
      </c>
      <c r="E30" s="113" t="s">
        <v>50</v>
      </c>
      <c r="F30" s="55" t="n">
        <v>4</v>
      </c>
      <c r="G30" s="115" t="s">
        <v>67</v>
      </c>
      <c r="H30" s="101" t="s">
        <v>331</v>
      </c>
      <c r="I30" s="377" t="s">
        <v>138</v>
      </c>
      <c r="J30" s="377"/>
      <c r="K30" s="378" t="s">
        <v>65</v>
      </c>
      <c r="L30" s="379" t="s">
        <v>66</v>
      </c>
      <c r="M30" s="119" t="s">
        <v>66</v>
      </c>
      <c r="N30" s="120" t="s">
        <v>66</v>
      </c>
      <c r="O30" s="120"/>
      <c r="P30" s="120"/>
      <c r="Q30" s="120"/>
      <c r="R30" s="120"/>
      <c r="S30" s="120"/>
      <c r="U30" s="77"/>
    </row>
    <row r="31" customFormat="false" ht="20.15" hidden="false" customHeight="true" outlineLevel="0" collapsed="false">
      <c r="B31" s="77"/>
      <c r="D31" s="121"/>
      <c r="E31" s="121"/>
      <c r="U31" s="77"/>
    </row>
    <row r="32" customFormat="false" ht="20.15" hidden="false" customHeight="true" outlineLevel="0" collapsed="false">
      <c r="B32" s="77"/>
      <c r="C32" s="122"/>
      <c r="D32" s="122"/>
      <c r="E32" s="123" t="str">
        <f aca="false">IF(OR(M27="-",M27= ""),H27,M27)</f>
        <v>Gaia Project</v>
      </c>
      <c r="F32" s="123"/>
      <c r="G32" s="123"/>
      <c r="H32" s="123"/>
      <c r="I32" s="123"/>
      <c r="J32" s="123"/>
      <c r="K32" s="123"/>
      <c r="L32" s="123"/>
      <c r="M32" s="123"/>
      <c r="N32" s="123"/>
      <c r="O32" s="124"/>
      <c r="P32" s="124"/>
      <c r="Q32" s="124"/>
      <c r="R32" s="124"/>
      <c r="S32" s="124"/>
      <c r="T32" s="122"/>
      <c r="U32" s="77"/>
    </row>
    <row r="33" customFormat="false" ht="50.15" hidden="false" customHeight="true" outlineLevel="0" collapsed="false">
      <c r="B33" s="77"/>
      <c r="C33" s="122"/>
      <c r="D33" s="124"/>
      <c r="E33" s="125" t="s">
        <v>52</v>
      </c>
      <c r="F33" s="126" t="s">
        <v>75</v>
      </c>
      <c r="G33" s="82" t="s">
        <v>76</v>
      </c>
      <c r="H33" s="81" t="s">
        <v>77</v>
      </c>
      <c r="I33" s="59" t="s">
        <v>78</v>
      </c>
      <c r="J33" s="81" t="s">
        <v>79</v>
      </c>
      <c r="K33" s="127" t="s">
        <v>80</v>
      </c>
      <c r="L33" s="81" t="s">
        <v>81</v>
      </c>
      <c r="M33" s="128" t="s">
        <v>82</v>
      </c>
      <c r="N33" s="129" t="s">
        <v>83</v>
      </c>
      <c r="O33" s="130" t="s">
        <v>84</v>
      </c>
      <c r="P33" s="131" t="s">
        <v>85</v>
      </c>
      <c r="Q33" s="131" t="s">
        <v>86</v>
      </c>
      <c r="R33" s="131" t="s">
        <v>87</v>
      </c>
      <c r="S33" s="124"/>
      <c r="T33" s="122"/>
      <c r="U33" s="77"/>
    </row>
    <row r="34" customFormat="false" ht="20.15" hidden="false" customHeight="true" outlineLevel="0" collapsed="false">
      <c r="B34" s="77"/>
      <c r="C34" s="122"/>
      <c r="D34" s="132"/>
      <c r="E34" s="174" t="s">
        <v>13</v>
      </c>
      <c r="F34" s="175" t="s">
        <v>14</v>
      </c>
      <c r="G34" s="133" t="n">
        <v>3</v>
      </c>
      <c r="H34" s="134" t="s">
        <v>88</v>
      </c>
      <c r="I34" s="133" t="n">
        <v>10</v>
      </c>
      <c r="J34" s="133" t="n">
        <v>124</v>
      </c>
      <c r="K34" s="133" t="s">
        <v>66</v>
      </c>
      <c r="L34" s="135" t="n">
        <f aca="false">IF(J34="",0,(J34/J38)*100)</f>
        <v>56.8807339449541</v>
      </c>
      <c r="M34" s="133" t="n">
        <v>2</v>
      </c>
      <c r="N34" s="136" t="n">
        <v>3</v>
      </c>
      <c r="O34" s="137" t="n">
        <f aca="false">IF(M34=1,1,0)</f>
        <v>0</v>
      </c>
      <c r="P34" s="138" t="n">
        <f aca="false">IF(M34=2,1,0)</f>
        <v>1</v>
      </c>
      <c r="Q34" s="138" t="n">
        <f aca="false">IF(M34=3,1,0)</f>
        <v>0</v>
      </c>
      <c r="R34" s="139" t="n">
        <f aca="false">IF(M34=4,1,0)</f>
        <v>0</v>
      </c>
      <c r="S34" s="140"/>
      <c r="T34" s="122"/>
      <c r="U34" s="77"/>
    </row>
    <row r="35" customFormat="false" ht="20.15" hidden="false" customHeight="true" outlineLevel="0" collapsed="false">
      <c r="B35" s="77"/>
      <c r="C35" s="122"/>
      <c r="D35" s="132"/>
      <c r="E35" s="147" t="s">
        <v>27</v>
      </c>
      <c r="F35" s="355" t="s">
        <v>28</v>
      </c>
      <c r="G35" s="149" t="n">
        <v>1</v>
      </c>
      <c r="H35" s="149" t="s">
        <v>132</v>
      </c>
      <c r="I35" s="149" t="n">
        <v>10</v>
      </c>
      <c r="J35" s="149" t="n">
        <v>218</v>
      </c>
      <c r="K35" s="149" t="s">
        <v>66</v>
      </c>
      <c r="L35" s="150" t="n">
        <f aca="false">IF(J35="",0,(J35/J38)*100)</f>
        <v>100</v>
      </c>
      <c r="M35" s="149" t="n">
        <v>1</v>
      </c>
      <c r="N35" s="151" t="n">
        <v>6</v>
      </c>
      <c r="O35" s="144" t="n">
        <f aca="false">IF(M35=1,1,0)</f>
        <v>1</v>
      </c>
      <c r="P35" s="145" t="n">
        <f aca="false">IF(M35=2,1,0)</f>
        <v>0</v>
      </c>
      <c r="Q35" s="145" t="n">
        <f aca="false">IF(M35=3,1,0)</f>
        <v>0</v>
      </c>
      <c r="R35" s="146" t="n">
        <f aca="false">IF(M35=4,1,0)</f>
        <v>0</v>
      </c>
      <c r="S35" s="140"/>
      <c r="T35" s="122"/>
      <c r="U35" s="77"/>
    </row>
    <row r="36" customFormat="false" ht="20.15" hidden="false" customHeight="true" outlineLevel="0" collapsed="false">
      <c r="B36" s="77"/>
      <c r="C36" s="122"/>
      <c r="D36" s="132"/>
      <c r="E36" s="180" t="s">
        <v>39</v>
      </c>
      <c r="F36" s="312" t="s">
        <v>40</v>
      </c>
      <c r="G36" s="141" t="n">
        <v>4</v>
      </c>
      <c r="H36" s="141" t="s">
        <v>341</v>
      </c>
      <c r="I36" s="141" t="n">
        <v>10</v>
      </c>
      <c r="J36" s="141" t="n">
        <v>99</v>
      </c>
      <c r="K36" s="141" t="s">
        <v>66</v>
      </c>
      <c r="L36" s="142" t="n">
        <f aca="false">IF(J36="",0,(J36/J38)*100)</f>
        <v>45.4128440366972</v>
      </c>
      <c r="M36" s="141" t="n">
        <v>4</v>
      </c>
      <c r="N36" s="143" t="n">
        <v>0</v>
      </c>
      <c r="O36" s="144" t="n">
        <f aca="false">IF(M36=1,1,0)</f>
        <v>0</v>
      </c>
      <c r="P36" s="145" t="n">
        <f aca="false">IF(M36=2,1,0)</f>
        <v>0</v>
      </c>
      <c r="Q36" s="145" t="n">
        <f aca="false">IF(M36=3,1,0)</f>
        <v>0</v>
      </c>
      <c r="R36" s="146" t="n">
        <f aca="false">IF(M36=4,1,0)</f>
        <v>1</v>
      </c>
      <c r="S36" s="140"/>
      <c r="T36" s="122"/>
      <c r="U36" s="77"/>
    </row>
    <row r="37" customFormat="false" ht="20.15" hidden="false" customHeight="true" outlineLevel="0" collapsed="false">
      <c r="B37" s="77"/>
      <c r="C37" s="122"/>
      <c r="D37" s="152"/>
      <c r="E37" s="315" t="s">
        <v>49</v>
      </c>
      <c r="F37" s="113" t="s">
        <v>50</v>
      </c>
      <c r="G37" s="153" t="n">
        <v>2</v>
      </c>
      <c r="H37" s="153" t="s">
        <v>342</v>
      </c>
      <c r="I37" s="153" t="n">
        <v>10</v>
      </c>
      <c r="J37" s="153" t="n">
        <v>111</v>
      </c>
      <c r="K37" s="153" t="s">
        <v>66</v>
      </c>
      <c r="L37" s="154" t="n">
        <f aca="false">IF(J37="",0,(J37/J38)*100)</f>
        <v>50.9174311926605</v>
      </c>
      <c r="M37" s="153" t="n">
        <v>3</v>
      </c>
      <c r="N37" s="155" t="n">
        <v>1</v>
      </c>
      <c r="O37" s="156" t="n">
        <f aca="false">IF(M37=1,1,0)</f>
        <v>0</v>
      </c>
      <c r="P37" s="157" t="n">
        <f aca="false">IF(M37=2,1,0)</f>
        <v>0</v>
      </c>
      <c r="Q37" s="157" t="n">
        <f aca="false">IF(M37=3,1,0)</f>
        <v>1</v>
      </c>
      <c r="R37" s="158" t="n">
        <f aca="false">IF(M37=4,1,0)</f>
        <v>0</v>
      </c>
      <c r="S37" s="140"/>
      <c r="T37" s="122"/>
      <c r="U37" s="77"/>
    </row>
    <row r="38" customFormat="false" ht="20.15" hidden="true" customHeight="true" outlineLevel="1" collapsed="false">
      <c r="B38" s="77"/>
      <c r="C38" s="122"/>
      <c r="D38" s="159"/>
      <c r="E38" s="159"/>
      <c r="F38" s="140"/>
      <c r="G38" s="140"/>
      <c r="H38" s="122"/>
      <c r="I38" s="160" t="s">
        <v>92</v>
      </c>
      <c r="J38" s="161" t="n">
        <f aca="false">MAX(J34:J37)</f>
        <v>218</v>
      </c>
      <c r="K38" s="162"/>
      <c r="L38" s="163"/>
      <c r="M38" s="122"/>
      <c r="N38" s="164" t="s">
        <v>93</v>
      </c>
      <c r="O38" s="165" t="n">
        <f aca="false">SUM(O34:O37)</f>
        <v>1</v>
      </c>
      <c r="P38" s="166" t="n">
        <f aca="false">SUM(P34:P37)</f>
        <v>1</v>
      </c>
      <c r="Q38" s="165" t="n">
        <f aca="false">SUM(Q34:Q37)</f>
        <v>1</v>
      </c>
      <c r="R38" s="165" t="n">
        <f aca="false">SUM(R34:R37)</f>
        <v>1</v>
      </c>
      <c r="S38" s="167"/>
      <c r="T38" s="122"/>
      <c r="U38" s="77"/>
    </row>
    <row r="39" customFormat="false" ht="20.15" hidden="false" customHeight="true" outlineLevel="0" collapsed="false">
      <c r="B39" s="77"/>
      <c r="C39" s="122"/>
      <c r="D39" s="168"/>
      <c r="E39" s="168"/>
      <c r="F39" s="169"/>
      <c r="G39" s="169"/>
      <c r="H39" s="124"/>
      <c r="I39" s="122"/>
      <c r="J39" s="122"/>
      <c r="K39" s="122"/>
      <c r="L39" s="122"/>
      <c r="M39" s="122"/>
      <c r="N39" s="122"/>
      <c r="O39" s="122"/>
      <c r="P39" s="122"/>
      <c r="Q39" s="122"/>
      <c r="R39" s="122"/>
      <c r="S39" s="122"/>
      <c r="T39" s="122"/>
      <c r="U39" s="77"/>
    </row>
    <row r="40" customFormat="false" ht="20.15" hidden="false" customHeight="true" outlineLevel="0" collapsed="false">
      <c r="B40" s="77"/>
      <c r="U40" s="77"/>
    </row>
    <row r="41" customFormat="false" ht="20.15" hidden="false" customHeight="true" outlineLevel="0" collapsed="false">
      <c r="B41" s="77"/>
      <c r="C41" s="170"/>
      <c r="D41" s="170"/>
      <c r="E41" s="171" t="str">
        <f aca="false">IF(OR(M28="-",M28= ""),H28,M28)</f>
        <v>Yokohama</v>
      </c>
      <c r="F41" s="171"/>
      <c r="G41" s="171"/>
      <c r="H41" s="171"/>
      <c r="I41" s="171"/>
      <c r="J41" s="171"/>
      <c r="K41" s="171"/>
      <c r="L41" s="171"/>
      <c r="M41" s="171"/>
      <c r="N41" s="171"/>
      <c r="O41" s="172"/>
      <c r="P41" s="172"/>
      <c r="Q41" s="172"/>
      <c r="R41" s="172"/>
      <c r="S41" s="172"/>
      <c r="T41" s="170"/>
      <c r="U41" s="77"/>
    </row>
    <row r="42" customFormat="false" ht="50.15" hidden="false" customHeight="true" outlineLevel="0" collapsed="false">
      <c r="B42" s="77"/>
      <c r="C42" s="170"/>
      <c r="D42" s="172"/>
      <c r="E42" s="125" t="s">
        <v>52</v>
      </c>
      <c r="F42" s="126" t="s">
        <v>75</v>
      </c>
      <c r="G42" s="82" t="s">
        <v>76</v>
      </c>
      <c r="H42" s="81" t="s">
        <v>77</v>
      </c>
      <c r="I42" s="59" t="s">
        <v>78</v>
      </c>
      <c r="J42" s="81" t="s">
        <v>79</v>
      </c>
      <c r="K42" s="127" t="s">
        <v>80</v>
      </c>
      <c r="L42" s="81" t="s">
        <v>81</v>
      </c>
      <c r="M42" s="128" t="s">
        <v>82</v>
      </c>
      <c r="N42" s="129" t="s">
        <v>83</v>
      </c>
      <c r="O42" s="130" t="s">
        <v>84</v>
      </c>
      <c r="P42" s="131" t="s">
        <v>85</v>
      </c>
      <c r="Q42" s="131" t="s">
        <v>86</v>
      </c>
      <c r="R42" s="131" t="s">
        <v>87</v>
      </c>
      <c r="S42" s="172"/>
      <c r="T42" s="170"/>
      <c r="U42" s="77"/>
    </row>
    <row r="43" customFormat="false" ht="20.15" hidden="false" customHeight="true" outlineLevel="0" collapsed="false">
      <c r="B43" s="77"/>
      <c r="C43" s="170"/>
      <c r="D43" s="173"/>
      <c r="E43" s="86" t="s">
        <v>13</v>
      </c>
      <c r="F43" s="87" t="s">
        <v>14</v>
      </c>
      <c r="G43" s="221" t="n">
        <v>4</v>
      </c>
      <c r="H43" s="222" t="s">
        <v>66</v>
      </c>
      <c r="I43" s="221" t="n">
        <v>0</v>
      </c>
      <c r="J43" s="222" t="n">
        <v>90</v>
      </c>
      <c r="K43" s="222" t="s">
        <v>66</v>
      </c>
      <c r="L43" s="223" t="n">
        <f aca="false">IF(J43="",0,(J43/J47)*100)</f>
        <v>63.8297872340426</v>
      </c>
      <c r="M43" s="221" t="n">
        <v>3</v>
      </c>
      <c r="N43" s="224" t="n">
        <v>1</v>
      </c>
      <c r="O43" s="137" t="n">
        <f aca="false">IF(M43=1,1,0)</f>
        <v>0</v>
      </c>
      <c r="P43" s="138" t="n">
        <f aca="false">IF(M43=2,1,0)</f>
        <v>0</v>
      </c>
      <c r="Q43" s="138" t="n">
        <f aca="false">IF(M43=3,1,0)</f>
        <v>1</v>
      </c>
      <c r="R43" s="139" t="n">
        <f aca="false">IF(M43=4,1,0)</f>
        <v>0</v>
      </c>
      <c r="S43" s="176"/>
      <c r="T43" s="170"/>
      <c r="U43" s="77"/>
    </row>
    <row r="44" customFormat="false" ht="20.15" hidden="false" customHeight="true" outlineLevel="0" collapsed="false">
      <c r="B44" s="77"/>
      <c r="C44" s="170"/>
      <c r="D44" s="177"/>
      <c r="E44" s="105" t="s">
        <v>27</v>
      </c>
      <c r="F44" s="290" t="s">
        <v>29</v>
      </c>
      <c r="G44" s="228" t="n">
        <v>1</v>
      </c>
      <c r="H44" s="317" t="s">
        <v>66</v>
      </c>
      <c r="I44" s="228" t="n">
        <v>0</v>
      </c>
      <c r="J44" s="317" t="n">
        <v>126</v>
      </c>
      <c r="K44" s="317" t="s">
        <v>66</v>
      </c>
      <c r="L44" s="229" t="n">
        <f aca="false">IF(J44="",0,(J44/J47)*100)</f>
        <v>89.3617021276596</v>
      </c>
      <c r="M44" s="228" t="n">
        <v>2</v>
      </c>
      <c r="N44" s="230" t="n">
        <v>3</v>
      </c>
      <c r="O44" s="144" t="n">
        <f aca="false">IF(M44=1,1,0)</f>
        <v>0</v>
      </c>
      <c r="P44" s="145" t="n">
        <f aca="false">IF(M44=2,1,0)</f>
        <v>1</v>
      </c>
      <c r="Q44" s="145" t="n">
        <f aca="false">IF(M44=3,1,0)</f>
        <v>0</v>
      </c>
      <c r="R44" s="146" t="n">
        <f aca="false">IF(M44=4,1,0)</f>
        <v>0</v>
      </c>
      <c r="S44" s="176"/>
      <c r="T44" s="170"/>
      <c r="U44" s="77"/>
    </row>
    <row r="45" customFormat="false" ht="20.15" hidden="false" customHeight="true" outlineLevel="0" collapsed="false">
      <c r="B45" s="77"/>
      <c r="C45" s="170"/>
      <c r="D45" s="173"/>
      <c r="E45" s="105" t="s">
        <v>39</v>
      </c>
      <c r="F45" s="290" t="s">
        <v>40</v>
      </c>
      <c r="G45" s="228" t="n">
        <v>2</v>
      </c>
      <c r="H45" s="317" t="s">
        <v>66</v>
      </c>
      <c r="I45" s="228" t="n">
        <v>0</v>
      </c>
      <c r="J45" s="317" t="n">
        <v>88</v>
      </c>
      <c r="K45" s="317" t="s">
        <v>66</v>
      </c>
      <c r="L45" s="229" t="n">
        <f aca="false">IF(J45="",0,(J45/J47)*100)</f>
        <v>62.4113475177305</v>
      </c>
      <c r="M45" s="228" t="n">
        <v>4</v>
      </c>
      <c r="N45" s="230" t="n">
        <v>0</v>
      </c>
      <c r="O45" s="144" t="n">
        <f aca="false">IF(M45=1,1,0)</f>
        <v>0</v>
      </c>
      <c r="P45" s="145" t="n">
        <f aca="false">IF(M45=2,1,0)</f>
        <v>0</v>
      </c>
      <c r="Q45" s="145" t="n">
        <f aca="false">IF(M45=3,1,0)</f>
        <v>0</v>
      </c>
      <c r="R45" s="146" t="n">
        <f aca="false">IF(M45=4,1,0)</f>
        <v>1</v>
      </c>
      <c r="S45" s="176"/>
      <c r="T45" s="170"/>
      <c r="U45" s="77"/>
    </row>
    <row r="46" customFormat="false" ht="20.15" hidden="false" customHeight="true" outlineLevel="0" collapsed="false">
      <c r="B46" s="77"/>
      <c r="C46" s="170"/>
      <c r="D46" s="173"/>
      <c r="E46" s="318" t="s">
        <v>49</v>
      </c>
      <c r="F46" s="319" t="s">
        <v>50</v>
      </c>
      <c r="G46" s="322" t="n">
        <v>3</v>
      </c>
      <c r="H46" s="321" t="s">
        <v>66</v>
      </c>
      <c r="I46" s="322" t="n">
        <v>0</v>
      </c>
      <c r="J46" s="321" t="n">
        <v>141</v>
      </c>
      <c r="K46" s="322" t="s">
        <v>66</v>
      </c>
      <c r="L46" s="323" t="n">
        <f aca="false">IF(J46="",0,(J46/J47)*100)</f>
        <v>100</v>
      </c>
      <c r="M46" s="322" t="n">
        <v>1</v>
      </c>
      <c r="N46" s="324" t="n">
        <v>6</v>
      </c>
      <c r="O46" s="156" t="n">
        <f aca="false">IF(M46=1,1,0)</f>
        <v>1</v>
      </c>
      <c r="P46" s="157" t="n">
        <f aca="false">IF(M46=2,1,0)</f>
        <v>0</v>
      </c>
      <c r="Q46" s="157" t="n">
        <f aca="false">IF(M46=3,1,0)</f>
        <v>0</v>
      </c>
      <c r="R46" s="158" t="n">
        <f aca="false">IF(M46=4,1,0)</f>
        <v>0</v>
      </c>
      <c r="S46" s="176"/>
      <c r="T46" s="170"/>
      <c r="U46" s="77"/>
    </row>
    <row r="47" customFormat="false" ht="20.15" hidden="true" customHeight="true" outlineLevel="1" collapsed="false">
      <c r="B47" s="77"/>
      <c r="C47" s="170"/>
      <c r="D47" s="173"/>
      <c r="E47" s="173"/>
      <c r="F47" s="172"/>
      <c r="G47" s="172"/>
      <c r="H47" s="170"/>
      <c r="I47" s="185" t="s">
        <v>92</v>
      </c>
      <c r="J47" s="161" t="n">
        <f aca="false">MAX(J43:J46)</f>
        <v>141</v>
      </c>
      <c r="K47" s="186"/>
      <c r="L47" s="176"/>
      <c r="M47" s="170"/>
      <c r="N47" s="164" t="s">
        <v>93</v>
      </c>
      <c r="O47" s="165" t="n">
        <f aca="false">SUM(O43:O46)</f>
        <v>1</v>
      </c>
      <c r="P47" s="166" t="n">
        <f aca="false">SUM(P43:P46)</f>
        <v>1</v>
      </c>
      <c r="Q47" s="165" t="n">
        <f aca="false">SUM(Q43:Q46)</f>
        <v>1</v>
      </c>
      <c r="R47" s="187" t="n">
        <f aca="false">SUM(R43:R46)</f>
        <v>1</v>
      </c>
      <c r="S47" s="188"/>
      <c r="T47" s="170"/>
      <c r="U47" s="77"/>
    </row>
    <row r="48" customFormat="false" ht="20.15" hidden="false" customHeight="true" outlineLevel="0" collapsed="false">
      <c r="B48" s="77"/>
      <c r="C48" s="170"/>
      <c r="D48" s="189"/>
      <c r="E48" s="189"/>
      <c r="F48" s="170"/>
      <c r="G48" s="170"/>
      <c r="H48" s="170"/>
      <c r="I48" s="170"/>
      <c r="J48" s="170"/>
      <c r="K48" s="170"/>
      <c r="L48" s="170"/>
      <c r="M48" s="170"/>
      <c r="N48" s="170"/>
      <c r="O48" s="170"/>
      <c r="P48" s="170"/>
      <c r="Q48" s="170"/>
      <c r="R48" s="170"/>
      <c r="S48" s="170"/>
      <c r="T48" s="170"/>
      <c r="U48" s="77"/>
    </row>
    <row r="49" customFormat="false" ht="20.15" hidden="false" customHeight="true" outlineLevel="0" collapsed="false">
      <c r="B49" s="77"/>
      <c r="D49" s="190"/>
      <c r="E49" s="190"/>
      <c r="F49" s="190"/>
      <c r="G49" s="190"/>
      <c r="H49" s="191"/>
      <c r="I49" s="190"/>
      <c r="J49" s="190"/>
      <c r="K49" s="14"/>
      <c r="L49" s="14"/>
      <c r="M49" s="14"/>
      <c r="N49" s="14"/>
      <c r="O49" s="14"/>
      <c r="P49" s="14"/>
      <c r="Q49" s="14"/>
      <c r="R49" s="14"/>
      <c r="S49" s="14"/>
      <c r="U49" s="77"/>
    </row>
    <row r="50" customFormat="false" ht="20.15" hidden="false" customHeight="true" outlineLevel="0" collapsed="false">
      <c r="B50" s="77"/>
      <c r="C50" s="192"/>
      <c r="D50" s="192"/>
      <c r="E50" s="193" t="str">
        <f aca="false">IF(OR(M29="-",M29= ""),H29,M29)</f>
        <v>City of Rome</v>
      </c>
      <c r="F50" s="193"/>
      <c r="G50" s="193"/>
      <c r="H50" s="193"/>
      <c r="I50" s="193"/>
      <c r="J50" s="193"/>
      <c r="K50" s="193"/>
      <c r="L50" s="193"/>
      <c r="M50" s="193"/>
      <c r="N50" s="193"/>
      <c r="O50" s="194"/>
      <c r="P50" s="194"/>
      <c r="Q50" s="194"/>
      <c r="R50" s="194"/>
      <c r="S50" s="194"/>
      <c r="T50" s="192"/>
      <c r="U50" s="195"/>
      <c r="V50" s="196"/>
      <c r="W50" s="196"/>
    </row>
    <row r="51" customFormat="false" ht="50.15" hidden="false" customHeight="true" outlineLevel="0" collapsed="false">
      <c r="B51" s="77"/>
      <c r="C51" s="192"/>
      <c r="D51" s="194"/>
      <c r="E51" s="125" t="s">
        <v>52</v>
      </c>
      <c r="F51" s="126" t="s">
        <v>75</v>
      </c>
      <c r="G51" s="82" t="s">
        <v>76</v>
      </c>
      <c r="H51" s="81" t="s">
        <v>77</v>
      </c>
      <c r="I51" s="59" t="s">
        <v>78</v>
      </c>
      <c r="J51" s="81" t="s">
        <v>79</v>
      </c>
      <c r="K51" s="127" t="s">
        <v>80</v>
      </c>
      <c r="L51" s="81" t="s">
        <v>81</v>
      </c>
      <c r="M51" s="128" t="s">
        <v>82</v>
      </c>
      <c r="N51" s="129" t="s">
        <v>83</v>
      </c>
      <c r="O51" s="130" t="s">
        <v>84</v>
      </c>
      <c r="P51" s="131" t="s">
        <v>85</v>
      </c>
      <c r="Q51" s="131" t="s">
        <v>86</v>
      </c>
      <c r="R51" s="197" t="s">
        <v>87</v>
      </c>
      <c r="S51" s="194"/>
      <c r="T51" s="192"/>
      <c r="U51" s="195"/>
      <c r="V51" s="196"/>
      <c r="W51" s="196"/>
    </row>
    <row r="52" customFormat="false" ht="20.15" hidden="false" customHeight="true" outlineLevel="0" collapsed="false">
      <c r="B52" s="77"/>
      <c r="C52" s="192"/>
      <c r="D52" s="198"/>
      <c r="E52" s="86" t="s">
        <v>13</v>
      </c>
      <c r="F52" s="87" t="s">
        <v>14</v>
      </c>
      <c r="G52" s="221" t="n">
        <v>4</v>
      </c>
      <c r="H52" s="222" t="s">
        <v>66</v>
      </c>
      <c r="I52" s="221" t="n">
        <v>5</v>
      </c>
      <c r="J52" s="436" t="n">
        <v>79</v>
      </c>
      <c r="K52" s="221" t="s">
        <v>66</v>
      </c>
      <c r="L52" s="223" t="n">
        <f aca="false">IF(J52="",0,(J52/J56)*100)</f>
        <v>79</v>
      </c>
      <c r="M52" s="221" t="n">
        <v>4</v>
      </c>
      <c r="N52" s="224" t="n">
        <v>0</v>
      </c>
      <c r="O52" s="137" t="n">
        <f aca="false">IF(M52=1,1,0)</f>
        <v>0</v>
      </c>
      <c r="P52" s="138" t="n">
        <f aca="false">IF(M52=2,1,0)</f>
        <v>0</v>
      </c>
      <c r="Q52" s="138" t="n">
        <f aca="false">IF(M52=3,1,0)</f>
        <v>0</v>
      </c>
      <c r="R52" s="139" t="n">
        <f aca="false">IF(M52=4,1,0)</f>
        <v>1</v>
      </c>
      <c r="S52" s="206"/>
      <c r="T52" s="192"/>
      <c r="U52" s="207"/>
      <c r="V52" s="121"/>
      <c r="W52" s="121"/>
    </row>
    <row r="53" customFormat="false" ht="20.15" hidden="false" customHeight="true" outlineLevel="0" collapsed="false">
      <c r="B53" s="77"/>
      <c r="C53" s="192"/>
      <c r="D53" s="208"/>
      <c r="E53" s="105" t="s">
        <v>27</v>
      </c>
      <c r="F53" s="290" t="s">
        <v>28</v>
      </c>
      <c r="G53" s="228" t="n">
        <v>2</v>
      </c>
      <c r="H53" s="317" t="s">
        <v>66</v>
      </c>
      <c r="I53" s="228" t="n">
        <v>5</v>
      </c>
      <c r="J53" s="424" t="n">
        <v>97</v>
      </c>
      <c r="K53" s="228" t="s">
        <v>66</v>
      </c>
      <c r="L53" s="229" t="n">
        <f aca="false">IF(J53="",0,(J53/J56)*100)</f>
        <v>97</v>
      </c>
      <c r="M53" s="228" t="n">
        <v>2</v>
      </c>
      <c r="N53" s="230" t="n">
        <v>3</v>
      </c>
      <c r="O53" s="144" t="n">
        <f aca="false">IF(M53=1,1,0)</f>
        <v>0</v>
      </c>
      <c r="P53" s="145" t="n">
        <f aca="false">IF(M53=2,1,0)</f>
        <v>1</v>
      </c>
      <c r="Q53" s="145" t="n">
        <f aca="false">IF(M53=3,1,0)</f>
        <v>0</v>
      </c>
      <c r="R53" s="146" t="n">
        <f aca="false">IF(M53=4,1,0)</f>
        <v>0</v>
      </c>
      <c r="S53" s="206"/>
      <c r="T53" s="192"/>
      <c r="U53" s="211"/>
      <c r="V53" s="121"/>
      <c r="W53" s="121"/>
    </row>
    <row r="54" customFormat="false" ht="20.15" hidden="false" customHeight="true" outlineLevel="0" collapsed="false">
      <c r="B54" s="77"/>
      <c r="C54" s="192"/>
      <c r="D54" s="198"/>
      <c r="E54" s="105" t="s">
        <v>39</v>
      </c>
      <c r="F54" s="290" t="s">
        <v>40</v>
      </c>
      <c r="G54" s="228" t="n">
        <v>3</v>
      </c>
      <c r="H54" s="317" t="s">
        <v>66</v>
      </c>
      <c r="I54" s="228" t="n">
        <v>5</v>
      </c>
      <c r="J54" s="424" t="n">
        <v>93</v>
      </c>
      <c r="K54" s="317" t="s">
        <v>66</v>
      </c>
      <c r="L54" s="229" t="n">
        <f aca="false">IF(J54="",0,(J54/J56)*100)</f>
        <v>93</v>
      </c>
      <c r="M54" s="228" t="n">
        <v>3</v>
      </c>
      <c r="N54" s="230" t="n">
        <v>1</v>
      </c>
      <c r="O54" s="144" t="n">
        <f aca="false">IF(M54=1,1,0)</f>
        <v>0</v>
      </c>
      <c r="P54" s="145" t="n">
        <f aca="false">IF(M54=2,1,0)</f>
        <v>0</v>
      </c>
      <c r="Q54" s="145" t="n">
        <f aca="false">IF(M54=3,1,0)</f>
        <v>1</v>
      </c>
      <c r="R54" s="146" t="n">
        <f aca="false">IF(M54=4,1,0)</f>
        <v>0</v>
      </c>
      <c r="S54" s="206"/>
      <c r="T54" s="192"/>
      <c r="U54" s="211"/>
      <c r="V54" s="121"/>
      <c r="W54" s="121"/>
    </row>
    <row r="55" customFormat="false" ht="20.15" hidden="false" customHeight="true" outlineLevel="0" collapsed="false">
      <c r="B55" s="77"/>
      <c r="C55" s="192"/>
      <c r="D55" s="198"/>
      <c r="E55" s="318" t="s">
        <v>49</v>
      </c>
      <c r="F55" s="319" t="s">
        <v>50</v>
      </c>
      <c r="G55" s="322" t="n">
        <v>1</v>
      </c>
      <c r="H55" s="321" t="s">
        <v>66</v>
      </c>
      <c r="I55" s="322" t="n">
        <v>5</v>
      </c>
      <c r="J55" s="437" t="n">
        <v>100</v>
      </c>
      <c r="K55" s="321" t="s">
        <v>66</v>
      </c>
      <c r="L55" s="323" t="n">
        <f aca="false">IF(J55="",0,(J55/J56)*100)</f>
        <v>100</v>
      </c>
      <c r="M55" s="322" t="n">
        <v>1</v>
      </c>
      <c r="N55" s="324" t="n">
        <v>6</v>
      </c>
      <c r="O55" s="156" t="n">
        <f aca="false">IF(M55=1,1,0)</f>
        <v>1</v>
      </c>
      <c r="P55" s="157" t="n">
        <f aca="false">IF(M55=2,1,0)</f>
        <v>0</v>
      </c>
      <c r="Q55" s="157" t="n">
        <f aca="false">IF(M55=3,1,0)</f>
        <v>0</v>
      </c>
      <c r="R55" s="158" t="n">
        <f aca="false">IF(M55=4,1,0)</f>
        <v>0</v>
      </c>
      <c r="S55" s="206"/>
      <c r="T55" s="192"/>
      <c r="U55" s="211"/>
      <c r="V55" s="121"/>
      <c r="W55" s="121"/>
    </row>
    <row r="56" customFormat="false" ht="20.15" hidden="true" customHeight="true" outlineLevel="1" collapsed="false">
      <c r="B56" s="77"/>
      <c r="C56" s="192"/>
      <c r="D56" s="198"/>
      <c r="E56" s="198"/>
      <c r="F56" s="206"/>
      <c r="G56" s="206"/>
      <c r="H56" s="192"/>
      <c r="I56" s="213" t="s">
        <v>92</v>
      </c>
      <c r="J56" s="161" t="n">
        <f aca="false">MAX(J52:J55)</f>
        <v>100</v>
      </c>
      <c r="K56" s="214"/>
      <c r="L56" s="206"/>
      <c r="M56" s="192"/>
      <c r="N56" s="164" t="s">
        <v>93</v>
      </c>
      <c r="O56" s="165" t="n">
        <f aca="false">SUM(O52:O55)</f>
        <v>1</v>
      </c>
      <c r="P56" s="166" t="n">
        <f aca="false">SUM(P52:P55)</f>
        <v>1</v>
      </c>
      <c r="Q56" s="165" t="n">
        <f aca="false">SUM(Q52:Q55)</f>
        <v>1</v>
      </c>
      <c r="R56" s="187" t="n">
        <f aca="false">SUM(R52:R55)</f>
        <v>1</v>
      </c>
      <c r="S56" s="215"/>
      <c r="T56" s="192"/>
      <c r="U56" s="211"/>
      <c r="V56" s="121"/>
      <c r="W56" s="121"/>
    </row>
    <row r="57" customFormat="false" ht="20.15" hidden="false" customHeight="true" outlineLevel="0" collapsed="false">
      <c r="B57" s="77"/>
      <c r="C57" s="192"/>
      <c r="D57" s="216"/>
      <c r="E57" s="216"/>
      <c r="F57" s="192"/>
      <c r="G57" s="192"/>
      <c r="H57" s="192"/>
      <c r="I57" s="192"/>
      <c r="J57" s="192"/>
      <c r="K57" s="192"/>
      <c r="L57" s="192"/>
      <c r="M57" s="192"/>
      <c r="N57" s="192"/>
      <c r="O57" s="192"/>
      <c r="P57" s="192"/>
      <c r="Q57" s="192"/>
      <c r="R57" s="192"/>
      <c r="S57" s="192"/>
      <c r="T57" s="192"/>
      <c r="U57" s="211"/>
      <c r="V57" s="121"/>
      <c r="W57" s="121"/>
    </row>
    <row r="58" customFormat="false" ht="20.15" hidden="false" customHeight="true" outlineLevel="0" collapsed="false">
      <c r="B58" s="77"/>
      <c r="D58" s="190"/>
      <c r="E58" s="190"/>
      <c r="F58" s="190"/>
      <c r="G58" s="190"/>
      <c r="H58" s="191"/>
      <c r="I58" s="190"/>
      <c r="J58" s="190"/>
      <c r="K58" s="190"/>
      <c r="L58" s="14"/>
      <c r="M58" s="14"/>
      <c r="N58" s="14"/>
      <c r="O58" s="14"/>
      <c r="P58" s="14"/>
      <c r="Q58" s="14"/>
      <c r="R58" s="14"/>
      <c r="S58" s="14"/>
      <c r="U58" s="207"/>
      <c r="V58" s="121"/>
      <c r="W58" s="121"/>
    </row>
    <row r="59" customFormat="false" ht="20.15" hidden="false" customHeight="true" outlineLevel="0" collapsed="false">
      <c r="B59" s="77"/>
      <c r="C59" s="217"/>
      <c r="D59" s="217"/>
      <c r="E59" s="218" t="str">
        <f aca="false">IF(OR(M30="-",M30= ""),H30,M30)</f>
        <v>Teotihuacan: Die Stadt der Götter</v>
      </c>
      <c r="F59" s="218"/>
      <c r="G59" s="218"/>
      <c r="H59" s="218"/>
      <c r="I59" s="218"/>
      <c r="J59" s="218"/>
      <c r="K59" s="218"/>
      <c r="L59" s="218"/>
      <c r="M59" s="218"/>
      <c r="N59" s="218"/>
      <c r="O59" s="219"/>
      <c r="P59" s="219"/>
      <c r="Q59" s="219"/>
      <c r="R59" s="219"/>
      <c r="S59" s="219"/>
      <c r="T59" s="217"/>
      <c r="U59" s="77"/>
    </row>
    <row r="60" customFormat="false" ht="50.15" hidden="false" customHeight="true" outlineLevel="0" collapsed="false">
      <c r="B60" s="77"/>
      <c r="C60" s="217"/>
      <c r="D60" s="219"/>
      <c r="E60" s="125" t="s">
        <v>52</v>
      </c>
      <c r="F60" s="126" t="s">
        <v>75</v>
      </c>
      <c r="G60" s="82" t="s">
        <v>76</v>
      </c>
      <c r="H60" s="81" t="s">
        <v>77</v>
      </c>
      <c r="I60" s="59" t="s">
        <v>78</v>
      </c>
      <c r="J60" s="81" t="s">
        <v>79</v>
      </c>
      <c r="K60" s="127" t="s">
        <v>80</v>
      </c>
      <c r="L60" s="81" t="s">
        <v>81</v>
      </c>
      <c r="M60" s="128" t="s">
        <v>82</v>
      </c>
      <c r="N60" s="129" t="s">
        <v>83</v>
      </c>
      <c r="O60" s="130" t="s">
        <v>84</v>
      </c>
      <c r="P60" s="131" t="s">
        <v>85</v>
      </c>
      <c r="Q60" s="131" t="s">
        <v>86</v>
      </c>
      <c r="R60" s="197" t="s">
        <v>87</v>
      </c>
      <c r="S60" s="219"/>
      <c r="T60" s="217"/>
      <c r="U60" s="77"/>
    </row>
    <row r="61" customFormat="false" ht="20.15" hidden="false" customHeight="true" outlineLevel="0" collapsed="false">
      <c r="B61" s="77"/>
      <c r="C61" s="217"/>
      <c r="D61" s="220"/>
      <c r="E61" s="86" t="s">
        <v>13</v>
      </c>
      <c r="F61" s="87" t="s">
        <v>14</v>
      </c>
      <c r="G61" s="221" t="n">
        <v>2</v>
      </c>
      <c r="H61" s="222" t="s">
        <v>66</v>
      </c>
      <c r="I61" s="221" t="n">
        <v>0</v>
      </c>
      <c r="J61" s="221" t="n">
        <v>156</v>
      </c>
      <c r="K61" s="221" t="s">
        <v>66</v>
      </c>
      <c r="L61" s="223" t="n">
        <f aca="false">IF(J61="",0,(J61/J65)*100)</f>
        <v>94.5454545454546</v>
      </c>
      <c r="M61" s="221" t="n">
        <v>2</v>
      </c>
      <c r="N61" s="224" t="n">
        <v>3</v>
      </c>
      <c r="O61" s="137" t="n">
        <f aca="false">IF(M61=1,1,0)</f>
        <v>0</v>
      </c>
      <c r="P61" s="138" t="n">
        <f aca="false">IF(M61=2,1,0)</f>
        <v>1</v>
      </c>
      <c r="Q61" s="138" t="n">
        <f aca="false">IF(M61=3,1,0)</f>
        <v>0</v>
      </c>
      <c r="R61" s="139" t="n">
        <f aca="false">IF(M61=4,1,0)</f>
        <v>0</v>
      </c>
      <c r="S61" s="225"/>
      <c r="T61" s="217"/>
      <c r="U61" s="77"/>
    </row>
    <row r="62" customFormat="false" ht="20.15" hidden="false" customHeight="true" outlineLevel="0" collapsed="false">
      <c r="B62" s="77"/>
      <c r="C62" s="217"/>
      <c r="D62" s="220"/>
      <c r="E62" s="105" t="s">
        <v>27</v>
      </c>
      <c r="F62" s="290" t="s">
        <v>29</v>
      </c>
      <c r="G62" s="228" t="n">
        <v>4</v>
      </c>
      <c r="H62" s="317" t="s">
        <v>66</v>
      </c>
      <c r="I62" s="228" t="n">
        <v>0</v>
      </c>
      <c r="J62" s="228" t="n">
        <v>134</v>
      </c>
      <c r="K62" s="228" t="s">
        <v>66</v>
      </c>
      <c r="L62" s="229" t="n">
        <f aca="false">IF(J62="",0,(J62/J65)*100)</f>
        <v>81.2121212121212</v>
      </c>
      <c r="M62" s="228" t="n">
        <v>4</v>
      </c>
      <c r="N62" s="230" t="n">
        <v>0</v>
      </c>
      <c r="O62" s="144" t="n">
        <f aca="false">IF(M62=1,1,0)</f>
        <v>0</v>
      </c>
      <c r="P62" s="145" t="n">
        <f aca="false">IF(M62=2,1,0)</f>
        <v>0</v>
      </c>
      <c r="Q62" s="145" t="n">
        <f aca="false">IF(M62=3,1,0)</f>
        <v>0</v>
      </c>
      <c r="R62" s="146" t="n">
        <f aca="false">IF(M62=4,1,0)</f>
        <v>1</v>
      </c>
      <c r="S62" s="225"/>
      <c r="T62" s="217"/>
      <c r="U62" s="77"/>
    </row>
    <row r="63" customFormat="false" ht="20.15" hidden="false" customHeight="true" outlineLevel="0" collapsed="false">
      <c r="B63" s="77"/>
      <c r="C63" s="217"/>
      <c r="D63" s="220"/>
      <c r="E63" s="105" t="s">
        <v>39</v>
      </c>
      <c r="F63" s="290" t="s">
        <v>40</v>
      </c>
      <c r="G63" s="228" t="n">
        <v>1</v>
      </c>
      <c r="H63" s="317" t="s">
        <v>66</v>
      </c>
      <c r="I63" s="228" t="n">
        <v>0</v>
      </c>
      <c r="J63" s="228" t="n">
        <v>136</v>
      </c>
      <c r="K63" s="228" t="s">
        <v>66</v>
      </c>
      <c r="L63" s="229" t="n">
        <f aca="false">IF(J63="",0,(J63/J65)*100)</f>
        <v>82.4242424242424</v>
      </c>
      <c r="M63" s="228" t="n">
        <v>3</v>
      </c>
      <c r="N63" s="230" t="n">
        <v>1</v>
      </c>
      <c r="O63" s="144" t="n">
        <f aca="false">IF(M63=1,1,0)</f>
        <v>0</v>
      </c>
      <c r="P63" s="145" t="n">
        <f aca="false">IF(M63=2,1,0)</f>
        <v>0</v>
      </c>
      <c r="Q63" s="145" t="n">
        <f aca="false">IF(M63=3,1,0)</f>
        <v>1</v>
      </c>
      <c r="R63" s="146" t="n">
        <f aca="false">IF(M63=4,1,0)</f>
        <v>0</v>
      </c>
      <c r="S63" s="225"/>
      <c r="T63" s="217"/>
      <c r="U63" s="77"/>
    </row>
    <row r="64" customFormat="false" ht="20.15" hidden="false" customHeight="true" outlineLevel="0" collapsed="false">
      <c r="B64" s="77"/>
      <c r="C64" s="217"/>
      <c r="D64" s="231"/>
      <c r="E64" s="318" t="s">
        <v>49</v>
      </c>
      <c r="F64" s="319" t="s">
        <v>50</v>
      </c>
      <c r="G64" s="322" t="n">
        <v>3</v>
      </c>
      <c r="H64" s="321" t="s">
        <v>66</v>
      </c>
      <c r="I64" s="322" t="n">
        <v>0</v>
      </c>
      <c r="J64" s="322" t="n">
        <v>165</v>
      </c>
      <c r="K64" s="322" t="s">
        <v>66</v>
      </c>
      <c r="L64" s="323" t="n">
        <f aca="false">IF(J64="",0,(J64/J65)*100)</f>
        <v>100</v>
      </c>
      <c r="M64" s="322" t="n">
        <v>1</v>
      </c>
      <c r="N64" s="324" t="n">
        <v>6</v>
      </c>
      <c r="O64" s="156" t="n">
        <f aca="false">IF(M64=1,1,0)</f>
        <v>1</v>
      </c>
      <c r="P64" s="157" t="n">
        <f aca="false">IF(M64=2,1,0)</f>
        <v>0</v>
      </c>
      <c r="Q64" s="157" t="n">
        <f aca="false">IF(M64=3,1,0)</f>
        <v>0</v>
      </c>
      <c r="R64" s="158" t="n">
        <f aca="false">IF(M64=4,1,0)</f>
        <v>0</v>
      </c>
      <c r="S64" s="225"/>
      <c r="T64" s="217"/>
      <c r="U64" s="77"/>
    </row>
    <row r="65" customFormat="false" ht="20.15" hidden="true" customHeight="true" outlineLevel="1" collapsed="false">
      <c r="B65" s="77"/>
      <c r="C65" s="217"/>
      <c r="D65" s="220"/>
      <c r="E65" s="220"/>
      <c r="F65" s="225"/>
      <c r="G65" s="225"/>
      <c r="H65" s="217"/>
      <c r="I65" s="185" t="s">
        <v>92</v>
      </c>
      <c r="J65" s="161" t="n">
        <f aca="false">MAX(J61:J64)</f>
        <v>165</v>
      </c>
      <c r="K65" s="237"/>
      <c r="L65" s="225"/>
      <c r="M65" s="217"/>
      <c r="N65" s="164" t="s">
        <v>93</v>
      </c>
      <c r="O65" s="165" t="n">
        <f aca="false">SUM(O61:O64)</f>
        <v>1</v>
      </c>
      <c r="P65" s="166" t="n">
        <f aca="false">SUM(P61:P64)</f>
        <v>1</v>
      </c>
      <c r="Q65" s="165" t="n">
        <f aca="false">SUM(Q61:Q64)</f>
        <v>1</v>
      </c>
      <c r="R65" s="187" t="n">
        <f aca="false">SUM(R61:R64)</f>
        <v>1</v>
      </c>
      <c r="S65" s="238"/>
      <c r="T65" s="217"/>
      <c r="U65" s="77"/>
    </row>
    <row r="66" customFormat="false" ht="20.15" hidden="false" customHeight="true" outlineLevel="0" collapsed="false">
      <c r="B66" s="77"/>
      <c r="C66" s="217"/>
      <c r="D66" s="239"/>
      <c r="E66" s="239"/>
      <c r="F66" s="217"/>
      <c r="G66" s="217"/>
      <c r="H66" s="217"/>
      <c r="I66" s="217"/>
      <c r="J66" s="217"/>
      <c r="K66" s="217"/>
      <c r="L66" s="217"/>
      <c r="M66" s="217"/>
      <c r="N66" s="217"/>
      <c r="O66" s="217"/>
      <c r="P66" s="217"/>
      <c r="Q66" s="217"/>
      <c r="R66" s="217"/>
      <c r="S66" s="217"/>
      <c r="T66" s="217"/>
      <c r="U66" s="77"/>
    </row>
    <row r="67" customFormat="false" ht="20.15" hidden="false" customHeight="true" outlineLevel="0" collapsed="false">
      <c r="B67" s="77"/>
      <c r="D67" s="5"/>
      <c r="E67" s="5"/>
      <c r="F67" s="5"/>
      <c r="G67" s="5"/>
      <c r="H67" s="5"/>
      <c r="I67" s="5"/>
      <c r="J67" s="5"/>
      <c r="K67" s="14"/>
      <c r="L67" s="14"/>
      <c r="M67" s="14"/>
      <c r="N67" s="14"/>
      <c r="O67" s="14"/>
      <c r="P67" s="14"/>
      <c r="Q67" s="14"/>
      <c r="R67" s="14"/>
      <c r="S67" s="14"/>
      <c r="U67" s="77"/>
    </row>
    <row r="68" customFormat="false" ht="30" hidden="false" customHeight="true" outlineLevel="0" collapsed="false">
      <c r="B68" s="77"/>
      <c r="C68" s="240"/>
      <c r="D68" s="241" t="s">
        <v>101</v>
      </c>
      <c r="E68" s="241"/>
      <c r="F68" s="241"/>
      <c r="G68" s="241"/>
      <c r="H68" s="241"/>
      <c r="I68" s="241"/>
      <c r="J68" s="241"/>
      <c r="K68" s="241"/>
      <c r="L68" s="241"/>
      <c r="M68" s="241"/>
      <c r="N68" s="241"/>
      <c r="O68" s="241"/>
      <c r="P68" s="241"/>
      <c r="Q68" s="241"/>
      <c r="R68" s="241"/>
      <c r="S68" s="241"/>
      <c r="T68" s="240"/>
      <c r="U68" s="77"/>
    </row>
    <row r="69" customFormat="false" ht="50.15" hidden="false" customHeight="true" outlineLevel="0" collapsed="false">
      <c r="B69" s="77"/>
      <c r="C69" s="240"/>
      <c r="D69" s="242" t="s">
        <v>52</v>
      </c>
      <c r="E69" s="243" t="s">
        <v>53</v>
      </c>
      <c r="F69" s="244" t="s">
        <v>83</v>
      </c>
      <c r="G69" s="245" t="s">
        <v>102</v>
      </c>
      <c r="H69" s="246" t="s">
        <v>103</v>
      </c>
      <c r="I69" s="246"/>
      <c r="J69" s="247" t="s">
        <v>104</v>
      </c>
      <c r="K69" s="248" t="s">
        <v>105</v>
      </c>
      <c r="L69" s="244" t="s">
        <v>106</v>
      </c>
      <c r="M69" s="248" t="s">
        <v>107</v>
      </c>
      <c r="N69" s="244" t="s">
        <v>108</v>
      </c>
      <c r="O69" s="249"/>
      <c r="P69" s="250"/>
      <c r="Q69" s="250"/>
      <c r="R69" s="250"/>
      <c r="S69" s="243" t="s">
        <v>109</v>
      </c>
      <c r="T69" s="240"/>
      <c r="U69" s="77"/>
    </row>
    <row r="70" customFormat="false" ht="20.15" hidden="false" customHeight="true" outlineLevel="0" collapsed="false">
      <c r="B70" s="77"/>
      <c r="C70" s="240"/>
      <c r="D70" s="251" t="s">
        <v>49</v>
      </c>
      <c r="E70" s="252" t="s">
        <v>50</v>
      </c>
      <c r="F70" s="253" t="n">
        <f aca="false">(K70*6+L70*3+M70*1+N70*0)</f>
        <v>19</v>
      </c>
      <c r="G70" s="253" t="n">
        <v>0</v>
      </c>
      <c r="H70" s="254" t="s">
        <v>66</v>
      </c>
      <c r="I70" s="254"/>
      <c r="J70" s="253" t="n">
        <f aca="false">F70+G70</f>
        <v>19</v>
      </c>
      <c r="K70" s="253" t="n">
        <v>3</v>
      </c>
      <c r="L70" s="253" t="n">
        <v>0</v>
      </c>
      <c r="M70" s="253" t="n">
        <v>1</v>
      </c>
      <c r="N70" s="253" t="n">
        <v>0</v>
      </c>
      <c r="O70" s="253"/>
      <c r="P70" s="253"/>
      <c r="Q70" s="253"/>
      <c r="R70" s="253"/>
      <c r="S70" s="255" t="n">
        <f aca="false">(L37+L46+L55+L64)/4</f>
        <v>87.7293577981651</v>
      </c>
      <c r="T70" s="240"/>
      <c r="U70" s="77"/>
      <c r="W70" s="256"/>
      <c r="X70" s="256"/>
      <c r="Y70" s="256"/>
      <c r="Z70" s="256"/>
    </row>
    <row r="71" customFormat="false" ht="20.15" hidden="false" customHeight="true" outlineLevel="0" collapsed="false">
      <c r="B71" s="77"/>
      <c r="C71" s="240"/>
      <c r="D71" s="257" t="s">
        <v>27</v>
      </c>
      <c r="E71" s="258" t="s">
        <v>28</v>
      </c>
      <c r="F71" s="259" t="n">
        <f aca="false">(K71*6+L71*3+M71*1+N71*0)</f>
        <v>12</v>
      </c>
      <c r="G71" s="259" t="n">
        <v>0</v>
      </c>
      <c r="H71" s="260" t="s">
        <v>66</v>
      </c>
      <c r="I71" s="260"/>
      <c r="J71" s="259" t="n">
        <f aca="false">F71+G71</f>
        <v>12</v>
      </c>
      <c r="K71" s="259" t="n">
        <v>1</v>
      </c>
      <c r="L71" s="259" t="n">
        <v>2</v>
      </c>
      <c r="M71" s="259" t="n">
        <v>0</v>
      </c>
      <c r="N71" s="259" t="n">
        <v>1</v>
      </c>
      <c r="O71" s="259"/>
      <c r="P71" s="259"/>
      <c r="Q71" s="259"/>
      <c r="R71" s="259"/>
      <c r="S71" s="261" t="n">
        <f aca="false">(L35+L44+L53+L62)/4</f>
        <v>91.8934558349452</v>
      </c>
      <c r="T71" s="240"/>
      <c r="U71" s="77"/>
      <c r="W71" s="262"/>
      <c r="X71" s="262"/>
      <c r="Y71" s="262"/>
      <c r="Z71" s="262"/>
    </row>
    <row r="72" customFormat="false" ht="20.15" hidden="false" customHeight="true" outlineLevel="0" collapsed="false">
      <c r="B72" s="77"/>
      <c r="C72" s="240"/>
      <c r="D72" s="257" t="s">
        <v>13</v>
      </c>
      <c r="E72" s="258" t="s">
        <v>14</v>
      </c>
      <c r="F72" s="259" t="n">
        <f aca="false">(K72*6+L72*3+M72*1+N72*0)</f>
        <v>7</v>
      </c>
      <c r="G72" s="259" t="n">
        <v>0</v>
      </c>
      <c r="H72" s="260" t="s">
        <v>66</v>
      </c>
      <c r="I72" s="260"/>
      <c r="J72" s="259" t="n">
        <f aca="false">F72+G72</f>
        <v>7</v>
      </c>
      <c r="K72" s="259" t="n">
        <v>0</v>
      </c>
      <c r="L72" s="259" t="n">
        <v>2</v>
      </c>
      <c r="M72" s="259" t="n">
        <v>1</v>
      </c>
      <c r="N72" s="259" t="n">
        <v>1</v>
      </c>
      <c r="O72" s="259"/>
      <c r="P72" s="259"/>
      <c r="Q72" s="259"/>
      <c r="R72" s="259"/>
      <c r="S72" s="261" t="n">
        <f aca="false">(L34+L43+L52+L61)/4</f>
        <v>73.5639939311128</v>
      </c>
      <c r="T72" s="240"/>
      <c r="U72" s="77"/>
      <c r="W72" s="262"/>
      <c r="X72" s="262"/>
      <c r="Y72" s="262"/>
      <c r="Z72" s="262"/>
    </row>
    <row r="73" customFormat="false" ht="20.15" hidden="false" customHeight="true" outlineLevel="0" collapsed="false">
      <c r="B73" s="77"/>
      <c r="C73" s="240"/>
      <c r="D73" s="337" t="s">
        <v>39</v>
      </c>
      <c r="E73" s="385" t="s">
        <v>40</v>
      </c>
      <c r="F73" s="267" t="n">
        <f aca="false">(K73*6+L73*3+M73*1+N73*0)</f>
        <v>2</v>
      </c>
      <c r="G73" s="267" t="n">
        <v>0</v>
      </c>
      <c r="H73" s="268" t="s">
        <v>66</v>
      </c>
      <c r="I73" s="268"/>
      <c r="J73" s="267" t="n">
        <f aca="false">F73+G73</f>
        <v>2</v>
      </c>
      <c r="K73" s="267" t="n">
        <v>0</v>
      </c>
      <c r="L73" s="267" t="n">
        <v>0</v>
      </c>
      <c r="M73" s="267" t="n">
        <v>2</v>
      </c>
      <c r="N73" s="267" t="n">
        <v>2</v>
      </c>
      <c r="O73" s="267"/>
      <c r="P73" s="267"/>
      <c r="Q73" s="267"/>
      <c r="R73" s="267"/>
      <c r="S73" s="269" t="n">
        <f aca="false">(L36+L45+L54+L63)/4</f>
        <v>70.8121084946675</v>
      </c>
      <c r="T73" s="240"/>
      <c r="U73" s="77"/>
      <c r="W73" s="262"/>
      <c r="X73" s="262"/>
      <c r="Y73" s="262"/>
      <c r="Z73" s="262"/>
      <c r="AB73" s="262"/>
      <c r="AC73" s="262"/>
      <c r="AD73" s="262"/>
      <c r="AE73" s="262"/>
    </row>
    <row r="74" customFormat="false" ht="20.15" hidden="false" customHeight="true" outlineLevel="0" collapsed="false">
      <c r="B74" s="77"/>
      <c r="C74" s="240"/>
      <c r="D74" s="240"/>
      <c r="E74" s="240"/>
      <c r="F74" s="240"/>
      <c r="G74" s="240"/>
      <c r="H74" s="240"/>
      <c r="I74" s="240"/>
      <c r="J74" s="240"/>
      <c r="K74" s="240"/>
      <c r="L74" s="240"/>
      <c r="M74" s="240"/>
      <c r="N74" s="240"/>
      <c r="O74" s="240"/>
      <c r="P74" s="240"/>
      <c r="Q74" s="240"/>
      <c r="R74" s="240"/>
      <c r="S74" s="240"/>
      <c r="T74" s="240"/>
      <c r="U74" s="77"/>
      <c r="W74" s="262"/>
      <c r="X74" s="262"/>
      <c r="Y74" s="262"/>
      <c r="Z74" s="262"/>
    </row>
    <row r="75" customFormat="false" ht="20.15" hidden="false" customHeight="true" outlineLevel="0" collapsed="false">
      <c r="B75" s="77"/>
      <c r="C75" s="77"/>
      <c r="D75" s="270"/>
      <c r="E75" s="270"/>
      <c r="F75" s="195"/>
      <c r="G75" s="195"/>
      <c r="H75" s="270"/>
      <c r="I75" s="270"/>
      <c r="J75" s="270"/>
      <c r="K75" s="207"/>
      <c r="L75" s="207"/>
      <c r="M75" s="207"/>
      <c r="N75" s="207"/>
      <c r="O75" s="207"/>
      <c r="P75" s="207"/>
      <c r="Q75" s="207"/>
      <c r="R75" s="207"/>
      <c r="S75" s="207"/>
      <c r="T75" s="77"/>
      <c r="U75" s="77"/>
    </row>
    <row r="76" customFormat="false" ht="20.15" hidden="false" customHeight="true" outlineLevel="0" collapsed="false">
      <c r="C76" s="271"/>
      <c r="D76" s="272"/>
      <c r="O76" s="14"/>
      <c r="P76" s="14"/>
      <c r="Q76" s="14"/>
      <c r="R76" s="14"/>
      <c r="S76" s="14"/>
      <c r="U76" s="271"/>
    </row>
    <row r="77" customFormat="false" ht="20.15" hidden="false" customHeight="true" outlineLevel="0" collapsed="false">
      <c r="D77" s="273"/>
      <c r="O77" s="14"/>
      <c r="P77" s="14"/>
      <c r="Q77" s="14"/>
      <c r="R77" s="14"/>
      <c r="S77" s="14"/>
    </row>
    <row r="78" customFormat="false" ht="20.15" hidden="false" customHeight="true" outlineLevel="0" collapsed="false">
      <c r="B78" s="77"/>
      <c r="C78" s="77"/>
      <c r="D78" s="78"/>
      <c r="E78" s="78"/>
      <c r="F78" s="78"/>
      <c r="G78" s="78"/>
      <c r="H78" s="77"/>
      <c r="I78" s="77"/>
      <c r="J78" s="77"/>
      <c r="K78" s="77"/>
      <c r="L78" s="77"/>
      <c r="M78" s="77"/>
      <c r="N78" s="77"/>
      <c r="O78" s="77"/>
      <c r="P78" s="77"/>
      <c r="Q78" s="77"/>
      <c r="R78" s="77"/>
      <c r="S78" s="77"/>
      <c r="T78" s="77"/>
      <c r="U78" s="77"/>
    </row>
    <row r="79" customFormat="false" ht="30" hidden="false" customHeight="true" outlineLevel="0" collapsed="false">
      <c r="B79" s="77"/>
      <c r="C79" s="79" t="s">
        <v>110</v>
      </c>
      <c r="D79" s="79"/>
      <c r="E79" s="79"/>
      <c r="F79" s="79"/>
      <c r="G79" s="79"/>
      <c r="H79" s="79"/>
      <c r="I79" s="79"/>
      <c r="J79" s="79"/>
      <c r="K79" s="79"/>
      <c r="L79" s="79"/>
      <c r="M79" s="79"/>
      <c r="N79" s="79"/>
      <c r="O79" s="79"/>
      <c r="P79" s="79"/>
      <c r="Q79" s="79"/>
      <c r="R79" s="79"/>
      <c r="S79" s="79"/>
      <c r="T79" s="79"/>
      <c r="U79" s="77"/>
    </row>
    <row r="80" customFormat="false" ht="20.15" hidden="false" customHeight="true" outlineLevel="0" collapsed="false">
      <c r="B80" s="77"/>
      <c r="D80" s="121"/>
      <c r="E80" s="121"/>
      <c r="U80" s="77"/>
    </row>
    <row r="81" customFormat="false" ht="20.15" hidden="false" customHeight="true" outlineLevel="0" collapsed="false">
      <c r="B81" s="77"/>
      <c r="D81" s="274" t="s">
        <v>52</v>
      </c>
      <c r="E81" s="83" t="s">
        <v>111</v>
      </c>
      <c r="F81" s="82" t="s">
        <v>12</v>
      </c>
      <c r="G81" s="275" t="s">
        <v>54</v>
      </c>
      <c r="H81" s="275"/>
      <c r="I81" s="275"/>
      <c r="J81" s="275"/>
      <c r="K81" s="81" t="s">
        <v>55</v>
      </c>
      <c r="L81" s="83" t="s">
        <v>56</v>
      </c>
      <c r="M81" s="83"/>
      <c r="N81" s="83"/>
      <c r="O81" s="83"/>
      <c r="P81" s="83"/>
      <c r="Q81" s="83"/>
      <c r="R81" s="83"/>
      <c r="S81" s="83"/>
      <c r="U81" s="77"/>
    </row>
    <row r="82" customFormat="false" ht="20.15" hidden="false" customHeight="true" outlineLevel="0" collapsed="false">
      <c r="B82" s="77"/>
      <c r="D82" s="274"/>
      <c r="E82" s="83"/>
      <c r="F82" s="82"/>
      <c r="G82" s="85" t="s">
        <v>57</v>
      </c>
      <c r="H82" s="84" t="s">
        <v>58</v>
      </c>
      <c r="I82" s="82" t="s">
        <v>59</v>
      </c>
      <c r="J82" s="82"/>
      <c r="K82" s="84" t="s">
        <v>60</v>
      </c>
      <c r="L82" s="276" t="s">
        <v>57</v>
      </c>
      <c r="M82" s="277" t="s">
        <v>61</v>
      </c>
      <c r="N82" s="278" t="s">
        <v>59</v>
      </c>
      <c r="O82" s="278"/>
      <c r="P82" s="278"/>
      <c r="Q82" s="278"/>
      <c r="R82" s="278"/>
      <c r="S82" s="278"/>
      <c r="U82" s="77"/>
    </row>
    <row r="83" customFormat="false" ht="35.15" hidden="false" customHeight="true" outlineLevel="0" collapsed="false">
      <c r="B83" s="77"/>
      <c r="D83" s="367" t="s">
        <v>16</v>
      </c>
      <c r="E83" s="372" t="s">
        <v>17</v>
      </c>
      <c r="F83" s="343" t="n">
        <v>1</v>
      </c>
      <c r="G83" s="280" t="s">
        <v>71</v>
      </c>
      <c r="H83" s="281" t="s">
        <v>233</v>
      </c>
      <c r="I83" s="282" t="s">
        <v>343</v>
      </c>
      <c r="J83" s="282"/>
      <c r="K83" s="107" t="s">
        <v>72</v>
      </c>
      <c r="L83" s="284" t="s">
        <v>66</v>
      </c>
      <c r="M83" s="94" t="s">
        <v>66</v>
      </c>
      <c r="N83" s="95" t="s">
        <v>66</v>
      </c>
      <c r="O83" s="95"/>
      <c r="P83" s="95"/>
      <c r="Q83" s="95"/>
      <c r="R83" s="95"/>
      <c r="S83" s="95"/>
      <c r="U83" s="77"/>
    </row>
    <row r="84" customFormat="false" ht="20.15" hidden="false" customHeight="true" outlineLevel="0" collapsed="false">
      <c r="B84" s="77"/>
      <c r="D84" s="105" t="s">
        <v>23</v>
      </c>
      <c r="E84" s="290" t="s">
        <v>24</v>
      </c>
      <c r="F84" s="346" t="n">
        <v>2</v>
      </c>
      <c r="G84" s="286" t="s">
        <v>67</v>
      </c>
      <c r="H84" s="99" t="s">
        <v>344</v>
      </c>
      <c r="I84" s="287" t="s">
        <v>345</v>
      </c>
      <c r="J84" s="287"/>
      <c r="K84" s="288" t="s">
        <v>65</v>
      </c>
      <c r="L84" s="289" t="s">
        <v>66</v>
      </c>
      <c r="M84" s="103" t="s">
        <v>66</v>
      </c>
      <c r="N84" s="104" t="s">
        <v>66</v>
      </c>
      <c r="O84" s="104"/>
      <c r="P84" s="104"/>
      <c r="Q84" s="104"/>
      <c r="R84" s="104"/>
      <c r="S84" s="104"/>
      <c r="U84" s="77"/>
    </row>
    <row r="85" customFormat="false" ht="35.15" hidden="false" customHeight="true" outlineLevel="0" collapsed="false">
      <c r="B85" s="77"/>
      <c r="D85" s="46" t="s">
        <v>25</v>
      </c>
      <c r="E85" s="96" t="s">
        <v>26</v>
      </c>
      <c r="F85" s="346" t="n">
        <v>3</v>
      </c>
      <c r="G85" s="291" t="s">
        <v>71</v>
      </c>
      <c r="H85" s="107" t="s">
        <v>72</v>
      </c>
      <c r="I85" s="293" t="s">
        <v>346</v>
      </c>
      <c r="J85" s="293"/>
      <c r="K85" s="374" t="s">
        <v>65</v>
      </c>
      <c r="L85" s="289" t="s">
        <v>66</v>
      </c>
      <c r="M85" s="103" t="s">
        <v>66</v>
      </c>
      <c r="N85" s="104" t="s">
        <v>66</v>
      </c>
      <c r="O85" s="104"/>
      <c r="P85" s="104"/>
      <c r="Q85" s="104"/>
      <c r="R85" s="104"/>
      <c r="S85" s="104"/>
      <c r="U85" s="77"/>
    </row>
    <row r="86" customFormat="false" ht="50.15" hidden="false" customHeight="true" outlineLevel="0" collapsed="false">
      <c r="B86" s="77"/>
      <c r="D86" s="295" t="s">
        <v>33</v>
      </c>
      <c r="E86" s="410" t="s">
        <v>34</v>
      </c>
      <c r="F86" s="350" t="n">
        <v>4</v>
      </c>
      <c r="G86" s="387" t="s">
        <v>67</v>
      </c>
      <c r="H86" s="101" t="s">
        <v>347</v>
      </c>
      <c r="I86" s="377" t="s">
        <v>348</v>
      </c>
      <c r="J86" s="377"/>
      <c r="K86" s="300" t="s">
        <v>65</v>
      </c>
      <c r="L86" s="301" t="s">
        <v>66</v>
      </c>
      <c r="M86" s="302" t="s">
        <v>66</v>
      </c>
      <c r="N86" s="303" t="s">
        <v>66</v>
      </c>
      <c r="O86" s="303"/>
      <c r="P86" s="303"/>
      <c r="Q86" s="303"/>
      <c r="R86" s="303"/>
      <c r="S86" s="303"/>
      <c r="U86" s="77"/>
    </row>
    <row r="87" customFormat="false" ht="20.15" hidden="false" customHeight="true" outlineLevel="0" collapsed="false">
      <c r="B87" s="77"/>
      <c r="D87" s="121"/>
      <c r="E87" s="121"/>
      <c r="U87" s="77"/>
    </row>
    <row r="88" customFormat="false" ht="20.15" hidden="false" customHeight="true" outlineLevel="0" collapsed="false">
      <c r="B88" s="77"/>
      <c r="C88" s="122"/>
      <c r="D88" s="122"/>
      <c r="E88" s="123" t="str">
        <f aca="false">IF(OR(L83="-",L83= ""),H83,L83)</f>
        <v>Underwater Cities</v>
      </c>
      <c r="F88" s="123"/>
      <c r="G88" s="123"/>
      <c r="H88" s="123"/>
      <c r="I88" s="123"/>
      <c r="J88" s="123"/>
      <c r="K88" s="123"/>
      <c r="L88" s="123"/>
      <c r="M88" s="123"/>
      <c r="N88" s="123"/>
      <c r="O88" s="124"/>
      <c r="P88" s="124"/>
      <c r="Q88" s="124"/>
      <c r="R88" s="124"/>
      <c r="S88" s="124"/>
      <c r="T88" s="122"/>
      <c r="U88" s="77"/>
    </row>
    <row r="89" customFormat="false" ht="50.15" hidden="false" customHeight="true" outlineLevel="0" collapsed="false">
      <c r="B89" s="77"/>
      <c r="C89" s="122"/>
      <c r="D89" s="124"/>
      <c r="E89" s="125" t="s">
        <v>52</v>
      </c>
      <c r="F89" s="126" t="s">
        <v>75</v>
      </c>
      <c r="G89" s="82" t="s">
        <v>76</v>
      </c>
      <c r="H89" s="81" t="s">
        <v>77</v>
      </c>
      <c r="I89" s="59" t="s">
        <v>78</v>
      </c>
      <c r="J89" s="81" t="s">
        <v>79</v>
      </c>
      <c r="K89" s="127" t="s">
        <v>80</v>
      </c>
      <c r="L89" s="81" t="s">
        <v>81</v>
      </c>
      <c r="M89" s="128" t="s">
        <v>82</v>
      </c>
      <c r="N89" s="129" t="s">
        <v>83</v>
      </c>
      <c r="O89" s="130" t="s">
        <v>84</v>
      </c>
      <c r="P89" s="131" t="s">
        <v>85</v>
      </c>
      <c r="Q89" s="131" t="s">
        <v>86</v>
      </c>
      <c r="R89" s="197" t="s">
        <v>87</v>
      </c>
      <c r="S89" s="124"/>
      <c r="T89" s="122"/>
      <c r="U89" s="77"/>
    </row>
    <row r="90" customFormat="false" ht="20.15" hidden="false" customHeight="true" outlineLevel="0" collapsed="false">
      <c r="B90" s="77"/>
      <c r="C90" s="122"/>
      <c r="D90" s="152"/>
      <c r="E90" s="388" t="s">
        <v>16</v>
      </c>
      <c r="F90" s="382" t="s">
        <v>17</v>
      </c>
      <c r="G90" s="304" t="n">
        <v>3</v>
      </c>
      <c r="H90" s="221" t="s">
        <v>239</v>
      </c>
      <c r="I90" s="221" t="n">
        <v>2</v>
      </c>
      <c r="J90" s="221" t="n">
        <v>103</v>
      </c>
      <c r="K90" s="221" t="s">
        <v>66</v>
      </c>
      <c r="L90" s="223" t="n">
        <f aca="false">IF(J90="",0,(J90/J94)*100)</f>
        <v>81.7460317460317</v>
      </c>
      <c r="M90" s="221" t="n">
        <v>2</v>
      </c>
      <c r="N90" s="224" t="n">
        <v>3</v>
      </c>
      <c r="O90" s="137" t="n">
        <f aca="false">IF(M90=1,1,0)</f>
        <v>0</v>
      </c>
      <c r="P90" s="138" t="n">
        <f aca="false">IF(M90=2,1,0)</f>
        <v>1</v>
      </c>
      <c r="Q90" s="138" t="n">
        <f aca="false">IF(M90=3,1,0)</f>
        <v>0</v>
      </c>
      <c r="R90" s="139" t="n">
        <f aca="false">IF(M90=4,1,0)</f>
        <v>0</v>
      </c>
      <c r="S90" s="140"/>
      <c r="T90" s="122"/>
      <c r="U90" s="77"/>
    </row>
    <row r="91" customFormat="false" ht="20.15" hidden="false" customHeight="true" outlineLevel="0" collapsed="false">
      <c r="B91" s="77"/>
      <c r="C91" s="122"/>
      <c r="D91" s="132"/>
      <c r="E91" s="147" t="s">
        <v>23</v>
      </c>
      <c r="F91" s="355" t="s">
        <v>24</v>
      </c>
      <c r="G91" s="305" t="n">
        <v>4</v>
      </c>
      <c r="H91" s="149" t="s">
        <v>240</v>
      </c>
      <c r="I91" s="149" t="n">
        <v>2</v>
      </c>
      <c r="J91" s="149" t="n">
        <v>126</v>
      </c>
      <c r="K91" s="179" t="s">
        <v>66</v>
      </c>
      <c r="L91" s="150" t="n">
        <f aca="false">IF(J91="",0,(J91/J94)*100)</f>
        <v>100</v>
      </c>
      <c r="M91" s="149" t="n">
        <v>1</v>
      </c>
      <c r="N91" s="151" t="n">
        <v>6</v>
      </c>
      <c r="O91" s="144" t="n">
        <f aca="false">IF(M91=1,1,0)</f>
        <v>1</v>
      </c>
      <c r="P91" s="145" t="n">
        <f aca="false">IF(M91=2,1,0)</f>
        <v>0</v>
      </c>
      <c r="Q91" s="145" t="n">
        <f aca="false">IF(M91=3,1,0)</f>
        <v>0</v>
      </c>
      <c r="R91" s="146" t="n">
        <f aca="false">IF(M91=4,1,0)</f>
        <v>0</v>
      </c>
      <c r="S91" s="140"/>
      <c r="T91" s="122"/>
      <c r="U91" s="77"/>
    </row>
    <row r="92" customFormat="false" ht="20.15" hidden="false" customHeight="true" outlineLevel="0" collapsed="false">
      <c r="B92" s="77"/>
      <c r="C92" s="122"/>
      <c r="D92" s="132"/>
      <c r="E92" s="226" t="s">
        <v>25</v>
      </c>
      <c r="F92" s="227" t="s">
        <v>26</v>
      </c>
      <c r="G92" s="306" t="n">
        <v>2</v>
      </c>
      <c r="H92" s="228" t="s">
        <v>244</v>
      </c>
      <c r="I92" s="228" t="n">
        <v>2</v>
      </c>
      <c r="J92" s="228" t="n">
        <v>100</v>
      </c>
      <c r="K92" s="228" t="s">
        <v>66</v>
      </c>
      <c r="L92" s="229" t="n">
        <f aca="false">IF(J92="",0,(J92/J94)*100)</f>
        <v>79.3650793650794</v>
      </c>
      <c r="M92" s="228" t="n">
        <v>3</v>
      </c>
      <c r="N92" s="230" t="n">
        <v>1</v>
      </c>
      <c r="O92" s="144" t="n">
        <f aca="false">IF(M92=1,1,0)</f>
        <v>0</v>
      </c>
      <c r="P92" s="145" t="n">
        <f aca="false">IF(M92=2,1,0)</f>
        <v>0</v>
      </c>
      <c r="Q92" s="145" t="n">
        <f aca="false">IF(M92=3,1,0)</f>
        <v>1</v>
      </c>
      <c r="R92" s="146" t="n">
        <f aca="false">IF(M92=4,1,0)</f>
        <v>0</v>
      </c>
      <c r="S92" s="140"/>
      <c r="T92" s="122"/>
      <c r="U92" s="77"/>
    </row>
    <row r="93" customFormat="false" ht="20.15" hidden="false" customHeight="true" outlineLevel="0" collapsed="false">
      <c r="B93" s="77"/>
      <c r="C93" s="122"/>
      <c r="D93" s="132"/>
      <c r="E93" s="295" t="s">
        <v>33</v>
      </c>
      <c r="F93" s="386" t="s">
        <v>34</v>
      </c>
      <c r="G93" s="307" t="n">
        <v>1</v>
      </c>
      <c r="H93" s="234" t="s">
        <v>242</v>
      </c>
      <c r="I93" s="234" t="n">
        <v>2</v>
      </c>
      <c r="J93" s="234" t="n">
        <v>79</v>
      </c>
      <c r="K93" s="308" t="s">
        <v>66</v>
      </c>
      <c r="L93" s="235" t="n">
        <f aca="false">IF(J93="",0,(J93/J94)*100)</f>
        <v>62.6984126984127</v>
      </c>
      <c r="M93" s="234" t="n">
        <v>4</v>
      </c>
      <c r="N93" s="236" t="n">
        <v>0</v>
      </c>
      <c r="O93" s="156" t="n">
        <f aca="false">IF(M93=1,1,0)</f>
        <v>0</v>
      </c>
      <c r="P93" s="157" t="n">
        <f aca="false">IF(M93=2,1,0)</f>
        <v>0</v>
      </c>
      <c r="Q93" s="157" t="n">
        <f aca="false">IF(M93=3,1,0)</f>
        <v>0</v>
      </c>
      <c r="R93" s="158" t="n">
        <f aca="false">IF(M93=4,1,0)</f>
        <v>1</v>
      </c>
      <c r="S93" s="140"/>
      <c r="T93" s="122"/>
      <c r="U93" s="77"/>
    </row>
    <row r="94" customFormat="false" ht="20.15" hidden="true" customHeight="true" outlineLevel="1" collapsed="false">
      <c r="B94" s="77"/>
      <c r="C94" s="122"/>
      <c r="D94" s="152"/>
      <c r="E94" s="152"/>
      <c r="F94" s="140"/>
      <c r="G94" s="140"/>
      <c r="H94" s="122"/>
      <c r="I94" s="213" t="s">
        <v>92</v>
      </c>
      <c r="J94" s="161" t="n">
        <f aca="false">MAX(J90:J93)</f>
        <v>126</v>
      </c>
      <c r="K94" s="309"/>
      <c r="L94" s="167"/>
      <c r="M94" s="122"/>
      <c r="N94" s="164" t="s">
        <v>93</v>
      </c>
      <c r="O94" s="165" t="n">
        <f aca="false">SUM(O90:O93)</f>
        <v>1</v>
      </c>
      <c r="P94" s="166" t="n">
        <f aca="false">SUM(P90:P93)</f>
        <v>1</v>
      </c>
      <c r="Q94" s="165" t="n">
        <f aca="false">SUM(Q90:Q93)</f>
        <v>1</v>
      </c>
      <c r="R94" s="187" t="n">
        <f aca="false">SUM(R90:R93)</f>
        <v>1</v>
      </c>
      <c r="S94" s="167"/>
      <c r="T94" s="122"/>
      <c r="U94" s="77"/>
    </row>
    <row r="95" customFormat="false" ht="20.15" hidden="false" customHeight="true" outlineLevel="0" collapsed="false">
      <c r="B95" s="77"/>
      <c r="C95" s="122"/>
      <c r="D95" s="168"/>
      <c r="E95" s="168"/>
      <c r="F95" s="122"/>
      <c r="G95" s="122"/>
      <c r="H95" s="122"/>
      <c r="I95" s="122"/>
      <c r="J95" s="122"/>
      <c r="K95" s="122"/>
      <c r="L95" s="122"/>
      <c r="M95" s="122"/>
      <c r="N95" s="122"/>
      <c r="O95" s="122"/>
      <c r="P95" s="122"/>
      <c r="Q95" s="122"/>
      <c r="R95" s="122"/>
      <c r="S95" s="122"/>
      <c r="T95" s="122"/>
      <c r="U95" s="77"/>
    </row>
    <row r="96" customFormat="false" ht="20.15" hidden="false" customHeight="true" outlineLevel="0" collapsed="false">
      <c r="B96" s="77"/>
      <c r="U96" s="77"/>
    </row>
    <row r="97" customFormat="false" ht="20.15" hidden="false" customHeight="true" outlineLevel="0" collapsed="false">
      <c r="B97" s="77"/>
      <c r="C97" s="170"/>
      <c r="D97" s="170"/>
      <c r="E97" s="171" t="str">
        <f aca="false">IF(OR(L84="-",L84= ""),H84,L84)</f>
        <v>La Granja</v>
      </c>
      <c r="F97" s="171"/>
      <c r="G97" s="171"/>
      <c r="H97" s="171"/>
      <c r="I97" s="171"/>
      <c r="J97" s="171"/>
      <c r="K97" s="171"/>
      <c r="L97" s="171"/>
      <c r="M97" s="171"/>
      <c r="N97" s="171"/>
      <c r="O97" s="172"/>
      <c r="P97" s="172"/>
      <c r="Q97" s="172"/>
      <c r="R97" s="172"/>
      <c r="S97" s="172"/>
      <c r="T97" s="170"/>
      <c r="U97" s="77"/>
    </row>
    <row r="98" customFormat="false" ht="50.15" hidden="false" customHeight="true" outlineLevel="0" collapsed="false">
      <c r="B98" s="77"/>
      <c r="C98" s="170"/>
      <c r="D98" s="172"/>
      <c r="E98" s="125" t="s">
        <v>52</v>
      </c>
      <c r="F98" s="126" t="s">
        <v>75</v>
      </c>
      <c r="G98" s="82" t="s">
        <v>76</v>
      </c>
      <c r="H98" s="81" t="s">
        <v>77</v>
      </c>
      <c r="I98" s="59" t="s">
        <v>78</v>
      </c>
      <c r="J98" s="81" t="s">
        <v>79</v>
      </c>
      <c r="K98" s="127" t="s">
        <v>80</v>
      </c>
      <c r="L98" s="81" t="s">
        <v>81</v>
      </c>
      <c r="M98" s="128" t="s">
        <v>82</v>
      </c>
      <c r="N98" s="129" t="s">
        <v>83</v>
      </c>
      <c r="O98" s="130" t="s">
        <v>84</v>
      </c>
      <c r="P98" s="131" t="s">
        <v>85</v>
      </c>
      <c r="Q98" s="131" t="s">
        <v>86</v>
      </c>
      <c r="R98" s="197" t="s">
        <v>87</v>
      </c>
      <c r="S98" s="172"/>
      <c r="T98" s="170"/>
      <c r="U98" s="77"/>
    </row>
    <row r="99" customFormat="false" ht="20.15" hidden="false" customHeight="true" outlineLevel="0" collapsed="false">
      <c r="B99" s="77"/>
      <c r="C99" s="170"/>
      <c r="D99" s="177"/>
      <c r="E99" s="388" t="s">
        <v>16</v>
      </c>
      <c r="F99" s="382" t="s">
        <v>17</v>
      </c>
      <c r="G99" s="304" t="n">
        <v>1</v>
      </c>
      <c r="H99" s="222" t="s">
        <v>66</v>
      </c>
      <c r="I99" s="221" t="n">
        <v>0</v>
      </c>
      <c r="J99" s="222" t="n">
        <v>74</v>
      </c>
      <c r="K99" s="389" t="s">
        <v>66</v>
      </c>
      <c r="L99" s="223" t="n">
        <f aca="false">IF(J99="",0,(J99/J103)*100)</f>
        <v>89.1566265060241</v>
      </c>
      <c r="M99" s="221" t="n">
        <v>4</v>
      </c>
      <c r="N99" s="224" t="n">
        <v>0</v>
      </c>
      <c r="O99" s="137" t="n">
        <f aca="false">IF(M99=1,1,0)</f>
        <v>0</v>
      </c>
      <c r="P99" s="138" t="n">
        <f aca="false">IF(M99=2,1,0)</f>
        <v>0</v>
      </c>
      <c r="Q99" s="138" t="n">
        <f aca="false">IF(M99=3,1,0)</f>
        <v>0</v>
      </c>
      <c r="R99" s="139" t="n">
        <f aca="false">IF(M99=4,1,0)</f>
        <v>1</v>
      </c>
      <c r="S99" s="176"/>
      <c r="T99" s="170"/>
      <c r="U99" s="77"/>
    </row>
    <row r="100" customFormat="false" ht="20.15" hidden="false" customHeight="true" outlineLevel="0" collapsed="false">
      <c r="B100" s="77"/>
      <c r="C100" s="170"/>
      <c r="D100" s="173"/>
      <c r="E100" s="105" t="s">
        <v>23</v>
      </c>
      <c r="F100" s="290" t="s">
        <v>24</v>
      </c>
      <c r="G100" s="306" t="n">
        <v>4</v>
      </c>
      <c r="H100" s="317" t="s">
        <v>66</v>
      </c>
      <c r="I100" s="228" t="n">
        <v>0</v>
      </c>
      <c r="J100" s="317" t="n">
        <v>82</v>
      </c>
      <c r="K100" s="317" t="s">
        <v>66</v>
      </c>
      <c r="L100" s="229" t="n">
        <f aca="false">IF(J100="",0,(J100/J103)*100)</f>
        <v>98.7951807228916</v>
      </c>
      <c r="M100" s="228" t="n">
        <v>2</v>
      </c>
      <c r="N100" s="230" t="n">
        <v>3</v>
      </c>
      <c r="O100" s="144" t="n">
        <f aca="false">IF(M100=1,1,0)</f>
        <v>0</v>
      </c>
      <c r="P100" s="145" t="n">
        <f aca="false">IF(M100=2,1,0)</f>
        <v>1</v>
      </c>
      <c r="Q100" s="145" t="n">
        <f aca="false">IF(M100=3,1,0)</f>
        <v>0</v>
      </c>
      <c r="R100" s="146" t="n">
        <f aca="false">IF(M100=4,1,0)</f>
        <v>0</v>
      </c>
      <c r="S100" s="176"/>
      <c r="T100" s="170"/>
      <c r="U100" s="77"/>
    </row>
    <row r="101" customFormat="false" ht="20.15" hidden="false" customHeight="true" outlineLevel="0" collapsed="false">
      <c r="B101" s="77"/>
      <c r="C101" s="170"/>
      <c r="D101" s="177"/>
      <c r="E101" s="226" t="s">
        <v>25</v>
      </c>
      <c r="F101" s="227" t="s">
        <v>26</v>
      </c>
      <c r="G101" s="306" t="n">
        <v>3</v>
      </c>
      <c r="H101" s="317" t="s">
        <v>66</v>
      </c>
      <c r="I101" s="228" t="n">
        <v>0</v>
      </c>
      <c r="J101" s="317" t="n">
        <v>80</v>
      </c>
      <c r="K101" s="390" t="s">
        <v>66</v>
      </c>
      <c r="L101" s="229" t="n">
        <f aca="false">IF(J101="",0,(J101/J103)*100)</f>
        <v>96.3855421686747</v>
      </c>
      <c r="M101" s="228" t="n">
        <v>3</v>
      </c>
      <c r="N101" s="230" t="n">
        <v>1</v>
      </c>
      <c r="O101" s="144" t="n">
        <f aca="false">IF(M101=1,1,0)</f>
        <v>0</v>
      </c>
      <c r="P101" s="145" t="n">
        <f aca="false">IF(M101=2,1,0)</f>
        <v>0</v>
      </c>
      <c r="Q101" s="145" t="n">
        <f aca="false">IF(M101=3,1,0)</f>
        <v>1</v>
      </c>
      <c r="R101" s="146" t="n">
        <f aca="false">IF(M101=4,1,0)</f>
        <v>0</v>
      </c>
      <c r="S101" s="176"/>
      <c r="T101" s="170"/>
      <c r="U101" s="77"/>
    </row>
    <row r="102" customFormat="false" ht="20.15" hidden="false" customHeight="true" outlineLevel="0" collapsed="false">
      <c r="B102" s="77"/>
      <c r="C102" s="170"/>
      <c r="D102" s="173"/>
      <c r="E102" s="318" t="s">
        <v>33</v>
      </c>
      <c r="F102" s="391" t="s">
        <v>34</v>
      </c>
      <c r="G102" s="320" t="n">
        <v>2</v>
      </c>
      <c r="H102" s="321" t="s">
        <v>66</v>
      </c>
      <c r="I102" s="322" t="n">
        <v>0</v>
      </c>
      <c r="J102" s="321" t="n">
        <v>83</v>
      </c>
      <c r="K102" s="321" t="s">
        <v>66</v>
      </c>
      <c r="L102" s="323" t="n">
        <f aca="false">IF(J102="",0,(J102/J103)*100)</f>
        <v>100</v>
      </c>
      <c r="M102" s="322" t="n">
        <v>1</v>
      </c>
      <c r="N102" s="324" t="n">
        <v>6</v>
      </c>
      <c r="O102" s="156" t="n">
        <f aca="false">IF(M102=1,1,0)</f>
        <v>1</v>
      </c>
      <c r="P102" s="157" t="n">
        <f aca="false">IF(M102=2,1,0)</f>
        <v>0</v>
      </c>
      <c r="Q102" s="157" t="n">
        <f aca="false">IF(M102=3,1,0)</f>
        <v>0</v>
      </c>
      <c r="R102" s="158" t="n">
        <f aca="false">IF(M102=4,1,0)</f>
        <v>0</v>
      </c>
      <c r="S102" s="176"/>
      <c r="T102" s="170"/>
      <c r="U102" s="77"/>
    </row>
    <row r="103" customFormat="false" ht="20.15" hidden="true" customHeight="true" outlineLevel="1" collapsed="false">
      <c r="B103" s="77"/>
      <c r="C103" s="170"/>
      <c r="D103" s="173"/>
      <c r="E103" s="173"/>
      <c r="F103" s="172"/>
      <c r="G103" s="172"/>
      <c r="H103" s="170"/>
      <c r="I103" s="213" t="s">
        <v>92</v>
      </c>
      <c r="J103" s="161" t="n">
        <f aca="false">MAX(J99:J102)</f>
        <v>83</v>
      </c>
      <c r="K103" s="186"/>
      <c r="L103" s="176"/>
      <c r="M103" s="170"/>
      <c r="N103" s="164" t="s">
        <v>93</v>
      </c>
      <c r="O103" s="165" t="n">
        <f aca="false">SUM(O99:O102)</f>
        <v>1</v>
      </c>
      <c r="P103" s="166" t="n">
        <f aca="false">SUM(P99:P102)</f>
        <v>1</v>
      </c>
      <c r="Q103" s="165" t="n">
        <f aca="false">SUM(Q99:Q102)</f>
        <v>1</v>
      </c>
      <c r="R103" s="187" t="n">
        <f aca="false">SUM(R99:R102)</f>
        <v>1</v>
      </c>
      <c r="S103" s="188"/>
      <c r="T103" s="170"/>
      <c r="U103" s="77"/>
    </row>
    <row r="104" customFormat="false" ht="20.15" hidden="false" customHeight="true" outlineLevel="0" collapsed="false">
      <c r="B104" s="77"/>
      <c r="C104" s="170"/>
      <c r="D104" s="189"/>
      <c r="E104" s="189"/>
      <c r="F104" s="170"/>
      <c r="G104" s="170"/>
      <c r="H104" s="170"/>
      <c r="I104" s="170"/>
      <c r="J104" s="170"/>
      <c r="K104" s="170"/>
      <c r="L104" s="170"/>
      <c r="M104" s="170"/>
      <c r="N104" s="170"/>
      <c r="O104" s="170"/>
      <c r="P104" s="170"/>
      <c r="Q104" s="170"/>
      <c r="R104" s="170"/>
      <c r="S104" s="170"/>
      <c r="T104" s="170"/>
      <c r="U104" s="77"/>
    </row>
    <row r="105" customFormat="false" ht="20.15" hidden="false" customHeight="true" outlineLevel="0" collapsed="false">
      <c r="B105" s="77"/>
      <c r="D105" s="190"/>
      <c r="E105" s="190"/>
      <c r="F105" s="190"/>
      <c r="G105" s="190"/>
      <c r="H105" s="191"/>
      <c r="I105" s="190"/>
      <c r="J105" s="190"/>
      <c r="K105" s="14"/>
      <c r="L105" s="14"/>
      <c r="M105" s="14"/>
      <c r="N105" s="14"/>
      <c r="O105" s="14"/>
      <c r="P105" s="14"/>
      <c r="Q105" s="14"/>
      <c r="R105" s="14"/>
      <c r="S105" s="14"/>
      <c r="U105" s="77"/>
    </row>
    <row r="106" customFormat="false" ht="20.15" hidden="false" customHeight="true" outlineLevel="0" collapsed="false">
      <c r="B106" s="77"/>
      <c r="C106" s="192"/>
      <c r="D106" s="192"/>
      <c r="E106" s="193" t="str">
        <f aca="false">IF(OR(L85="-",L85= ""),H85,L85)</f>
        <v>Die Burgen von Burgund</v>
      </c>
      <c r="F106" s="193"/>
      <c r="G106" s="193"/>
      <c r="H106" s="193"/>
      <c r="I106" s="193"/>
      <c r="J106" s="193"/>
      <c r="K106" s="193"/>
      <c r="L106" s="193"/>
      <c r="M106" s="193"/>
      <c r="N106" s="193"/>
      <c r="O106" s="194"/>
      <c r="P106" s="194"/>
      <c r="Q106" s="194"/>
      <c r="R106" s="194"/>
      <c r="S106" s="194"/>
      <c r="T106" s="192"/>
      <c r="U106" s="195"/>
    </row>
    <row r="107" customFormat="false" ht="50.15" hidden="false" customHeight="true" outlineLevel="0" collapsed="false">
      <c r="B107" s="77"/>
      <c r="C107" s="192"/>
      <c r="D107" s="194"/>
      <c r="E107" s="125" t="s">
        <v>52</v>
      </c>
      <c r="F107" s="126" t="s">
        <v>75</v>
      </c>
      <c r="G107" s="82" t="s">
        <v>76</v>
      </c>
      <c r="H107" s="81" t="s">
        <v>77</v>
      </c>
      <c r="I107" s="59" t="s">
        <v>78</v>
      </c>
      <c r="J107" s="81" t="s">
        <v>79</v>
      </c>
      <c r="K107" s="127" t="s">
        <v>80</v>
      </c>
      <c r="L107" s="81" t="s">
        <v>81</v>
      </c>
      <c r="M107" s="128" t="s">
        <v>82</v>
      </c>
      <c r="N107" s="129" t="s">
        <v>83</v>
      </c>
      <c r="O107" s="130" t="s">
        <v>84</v>
      </c>
      <c r="P107" s="131" t="s">
        <v>85</v>
      </c>
      <c r="Q107" s="131" t="s">
        <v>86</v>
      </c>
      <c r="R107" s="197" t="s">
        <v>87</v>
      </c>
      <c r="S107" s="194"/>
      <c r="T107" s="192"/>
      <c r="U107" s="195"/>
    </row>
    <row r="108" customFormat="false" ht="20.15" hidden="false" customHeight="true" outlineLevel="0" collapsed="false">
      <c r="B108" s="77"/>
      <c r="C108" s="192"/>
      <c r="D108" s="208"/>
      <c r="E108" s="388" t="s">
        <v>16</v>
      </c>
      <c r="F108" s="382" t="s">
        <v>17</v>
      </c>
      <c r="G108" s="304" t="n">
        <v>3</v>
      </c>
      <c r="H108" s="222" t="s">
        <v>99</v>
      </c>
      <c r="I108" s="221" t="n">
        <v>0</v>
      </c>
      <c r="J108" s="222" t="n">
        <v>233</v>
      </c>
      <c r="K108" s="221" t="s">
        <v>66</v>
      </c>
      <c r="L108" s="223" t="n">
        <f aca="false">IF(J108="",0,(J108/J112)*100)</f>
        <v>88.9312977099237</v>
      </c>
      <c r="M108" s="221" t="n">
        <v>3</v>
      </c>
      <c r="N108" s="224" t="n">
        <v>1</v>
      </c>
      <c r="O108" s="137" t="n">
        <f aca="false">IF(M108=1,1,0)</f>
        <v>0</v>
      </c>
      <c r="P108" s="138" t="n">
        <f aca="false">IF(M108=2,1,0)</f>
        <v>0</v>
      </c>
      <c r="Q108" s="138" t="n">
        <f aca="false">IF(M108=3,1,0)</f>
        <v>1</v>
      </c>
      <c r="R108" s="139" t="n">
        <f aca="false">IF(M108=4,1,0)</f>
        <v>0</v>
      </c>
      <c r="S108" s="206"/>
      <c r="T108" s="192"/>
      <c r="U108" s="207"/>
    </row>
    <row r="109" customFormat="false" ht="20.15" hidden="false" customHeight="true" outlineLevel="0" collapsed="false">
      <c r="B109" s="77"/>
      <c r="C109" s="192"/>
      <c r="D109" s="198"/>
      <c r="E109" s="147" t="s">
        <v>23</v>
      </c>
      <c r="F109" s="355" t="s">
        <v>24</v>
      </c>
      <c r="G109" s="305" t="n">
        <v>2</v>
      </c>
      <c r="H109" s="179" t="s">
        <v>100</v>
      </c>
      <c r="I109" s="149" t="n">
        <v>0</v>
      </c>
      <c r="J109" s="179" t="n">
        <v>262</v>
      </c>
      <c r="K109" s="179" t="s">
        <v>66</v>
      </c>
      <c r="L109" s="150" t="n">
        <f aca="false">IF(J109="",0,(J109/J112)*100)</f>
        <v>100</v>
      </c>
      <c r="M109" s="149" t="n">
        <v>1</v>
      </c>
      <c r="N109" s="151" t="n">
        <v>6</v>
      </c>
      <c r="O109" s="144" t="n">
        <f aca="false">IF(M109=1,1,0)</f>
        <v>1</v>
      </c>
      <c r="P109" s="145" t="n">
        <f aca="false">IF(M109=2,1,0)</f>
        <v>0</v>
      </c>
      <c r="Q109" s="145" t="n">
        <f aca="false">IF(M109=3,1,0)</f>
        <v>0</v>
      </c>
      <c r="R109" s="146" t="n">
        <f aca="false">IF(M109=4,1,0)</f>
        <v>0</v>
      </c>
      <c r="S109" s="206"/>
      <c r="T109" s="192"/>
      <c r="U109" s="211"/>
    </row>
    <row r="110" customFormat="false" ht="20.15" hidden="false" customHeight="true" outlineLevel="0" collapsed="false">
      <c r="B110" s="77"/>
      <c r="C110" s="192"/>
      <c r="D110" s="198"/>
      <c r="E110" s="226" t="s">
        <v>25</v>
      </c>
      <c r="F110" s="227" t="s">
        <v>26</v>
      </c>
      <c r="G110" s="306" t="n">
        <v>4</v>
      </c>
      <c r="H110" s="317" t="s">
        <v>98</v>
      </c>
      <c r="I110" s="228" t="n">
        <v>0</v>
      </c>
      <c r="J110" s="317" t="n">
        <v>248</v>
      </c>
      <c r="K110" s="228" t="s">
        <v>66</v>
      </c>
      <c r="L110" s="229" t="n">
        <f aca="false">IF(J110="",0,(J110/J112)*100)</f>
        <v>94.6564885496183</v>
      </c>
      <c r="M110" s="228" t="n">
        <v>2</v>
      </c>
      <c r="N110" s="230" t="n">
        <v>3</v>
      </c>
      <c r="O110" s="144" t="n">
        <f aca="false">IF(M110=1,1,0)</f>
        <v>0</v>
      </c>
      <c r="P110" s="145" t="n">
        <f aca="false">IF(M110=2,1,0)</f>
        <v>1</v>
      </c>
      <c r="Q110" s="145" t="n">
        <f aca="false">IF(M110=3,1,0)</f>
        <v>0</v>
      </c>
      <c r="R110" s="146" t="n">
        <f aca="false">IF(M110=4,1,0)</f>
        <v>0</v>
      </c>
      <c r="S110" s="206"/>
      <c r="T110" s="192"/>
      <c r="U110" s="211"/>
    </row>
    <row r="111" customFormat="false" ht="20.15" hidden="false" customHeight="true" outlineLevel="0" collapsed="false">
      <c r="B111" s="77"/>
      <c r="C111" s="192"/>
      <c r="D111" s="198"/>
      <c r="E111" s="295" t="s">
        <v>33</v>
      </c>
      <c r="F111" s="386" t="s">
        <v>34</v>
      </c>
      <c r="G111" s="307" t="n">
        <v>1</v>
      </c>
      <c r="H111" s="308" t="s">
        <v>277</v>
      </c>
      <c r="I111" s="234" t="n">
        <v>0</v>
      </c>
      <c r="J111" s="308" t="n">
        <v>227</v>
      </c>
      <c r="K111" s="308" t="s">
        <v>66</v>
      </c>
      <c r="L111" s="235" t="n">
        <f aca="false">IF(J111="",0,(J111/J112)*100)</f>
        <v>86.6412213740458</v>
      </c>
      <c r="M111" s="234" t="n">
        <v>4</v>
      </c>
      <c r="N111" s="236" t="n">
        <v>0</v>
      </c>
      <c r="O111" s="156" t="n">
        <f aca="false">IF(M111=1,1,0)</f>
        <v>0</v>
      </c>
      <c r="P111" s="157" t="n">
        <f aca="false">IF(M111=2,1,0)</f>
        <v>0</v>
      </c>
      <c r="Q111" s="157" t="n">
        <f aca="false">IF(M111=3,1,0)</f>
        <v>0</v>
      </c>
      <c r="R111" s="158" t="n">
        <f aca="false">IF(M111=4,1,0)</f>
        <v>1</v>
      </c>
      <c r="S111" s="206"/>
      <c r="T111" s="192"/>
      <c r="U111" s="211"/>
    </row>
    <row r="112" customFormat="false" ht="20.15" hidden="true" customHeight="true" outlineLevel="1" collapsed="false">
      <c r="B112" s="77"/>
      <c r="C112" s="192"/>
      <c r="D112" s="198"/>
      <c r="E112" s="198"/>
      <c r="F112" s="206"/>
      <c r="G112" s="206"/>
      <c r="H112" s="192"/>
      <c r="I112" s="213" t="s">
        <v>92</v>
      </c>
      <c r="J112" s="161" t="n">
        <f aca="false">MAX(J108:J111)</f>
        <v>262</v>
      </c>
      <c r="K112" s="214"/>
      <c r="L112" s="206"/>
      <c r="M112" s="192"/>
      <c r="N112" s="164" t="s">
        <v>93</v>
      </c>
      <c r="O112" s="165" t="n">
        <f aca="false">SUM(O108:O111)</f>
        <v>1</v>
      </c>
      <c r="P112" s="166" t="n">
        <f aca="false">SUM(P108:P111)</f>
        <v>1</v>
      </c>
      <c r="Q112" s="165" t="n">
        <f aca="false">SUM(Q108:Q111)</f>
        <v>1</v>
      </c>
      <c r="R112" s="187" t="n">
        <f aca="false">SUM(R108:R111)</f>
        <v>1</v>
      </c>
      <c r="S112" s="215"/>
      <c r="T112" s="192"/>
      <c r="U112" s="211"/>
    </row>
    <row r="113" customFormat="false" ht="20.15" hidden="false" customHeight="true" outlineLevel="0" collapsed="false">
      <c r="B113" s="77"/>
      <c r="C113" s="192"/>
      <c r="D113" s="216"/>
      <c r="E113" s="216"/>
      <c r="F113" s="192"/>
      <c r="G113" s="192"/>
      <c r="H113" s="192"/>
      <c r="I113" s="192"/>
      <c r="J113" s="192"/>
      <c r="K113" s="192"/>
      <c r="L113" s="192"/>
      <c r="M113" s="192"/>
      <c r="N113" s="192"/>
      <c r="O113" s="192"/>
      <c r="P113" s="192"/>
      <c r="Q113" s="192"/>
      <c r="R113" s="192"/>
      <c r="S113" s="192"/>
      <c r="T113" s="192"/>
      <c r="U113" s="211"/>
    </row>
    <row r="114" customFormat="false" ht="20.15" hidden="false" customHeight="true" outlineLevel="0" collapsed="false">
      <c r="B114" s="77"/>
      <c r="D114" s="190"/>
      <c r="E114" s="190"/>
      <c r="F114" s="190"/>
      <c r="G114" s="190"/>
      <c r="H114" s="191"/>
      <c r="I114" s="190"/>
      <c r="J114" s="190"/>
      <c r="K114" s="190"/>
      <c r="L114" s="14"/>
      <c r="M114" s="14"/>
      <c r="N114" s="14"/>
      <c r="O114" s="14"/>
      <c r="P114" s="14"/>
      <c r="Q114" s="14"/>
      <c r="R114" s="14"/>
      <c r="S114" s="14"/>
      <c r="U114" s="207"/>
    </row>
    <row r="115" customFormat="false" ht="20.15" hidden="false" customHeight="true" outlineLevel="0" collapsed="false">
      <c r="B115" s="77"/>
      <c r="C115" s="217"/>
      <c r="D115" s="217"/>
      <c r="E115" s="218" t="str">
        <f aca="false">IF(OR(L86="-",L86= ""),H86,L86)</f>
        <v>Marco Polo II: Im Auftrag des Khan</v>
      </c>
      <c r="F115" s="218"/>
      <c r="G115" s="218"/>
      <c r="H115" s="218"/>
      <c r="I115" s="218"/>
      <c r="J115" s="218"/>
      <c r="K115" s="218"/>
      <c r="L115" s="218"/>
      <c r="M115" s="218"/>
      <c r="N115" s="218"/>
      <c r="O115" s="219"/>
      <c r="P115" s="219"/>
      <c r="Q115" s="219"/>
      <c r="R115" s="219"/>
      <c r="S115" s="219"/>
      <c r="T115" s="217"/>
      <c r="U115" s="77"/>
    </row>
    <row r="116" customFormat="false" ht="50.15" hidden="false" customHeight="true" outlineLevel="0" collapsed="false">
      <c r="B116" s="77"/>
      <c r="C116" s="217"/>
      <c r="D116" s="219"/>
      <c r="E116" s="125" t="s">
        <v>52</v>
      </c>
      <c r="F116" s="126" t="s">
        <v>75</v>
      </c>
      <c r="G116" s="82" t="s">
        <v>76</v>
      </c>
      <c r="H116" s="81" t="s">
        <v>77</v>
      </c>
      <c r="I116" s="59" t="s">
        <v>78</v>
      </c>
      <c r="J116" s="81" t="s">
        <v>79</v>
      </c>
      <c r="K116" s="127" t="s">
        <v>80</v>
      </c>
      <c r="L116" s="81" t="s">
        <v>81</v>
      </c>
      <c r="M116" s="128" t="s">
        <v>82</v>
      </c>
      <c r="N116" s="129" t="s">
        <v>83</v>
      </c>
      <c r="O116" s="130" t="s">
        <v>84</v>
      </c>
      <c r="P116" s="131" t="s">
        <v>85</v>
      </c>
      <c r="Q116" s="131" t="s">
        <v>86</v>
      </c>
      <c r="R116" s="197" t="s">
        <v>87</v>
      </c>
      <c r="S116" s="219"/>
      <c r="T116" s="217"/>
      <c r="U116" s="77"/>
    </row>
    <row r="117" customFormat="false" ht="20.15" hidden="false" customHeight="true" outlineLevel="0" collapsed="false">
      <c r="B117" s="77"/>
      <c r="C117" s="217"/>
      <c r="D117" s="220"/>
      <c r="E117" s="388" t="s">
        <v>16</v>
      </c>
      <c r="F117" s="382" t="s">
        <v>17</v>
      </c>
      <c r="G117" s="304" t="n">
        <v>2</v>
      </c>
      <c r="H117" s="222" t="s">
        <v>349</v>
      </c>
      <c r="I117" s="221" t="n">
        <v>0</v>
      </c>
      <c r="J117" s="221" t="n">
        <v>120</v>
      </c>
      <c r="K117" s="221" t="s">
        <v>66</v>
      </c>
      <c r="L117" s="223" t="n">
        <f aca="false">IF(J117="",0,(J117/J121)*100)</f>
        <v>73.1707317073171</v>
      </c>
      <c r="M117" s="221" t="n">
        <v>3</v>
      </c>
      <c r="N117" s="224" t="n">
        <v>1</v>
      </c>
      <c r="O117" s="137" t="n">
        <f aca="false">IF(M117=1,1,0)</f>
        <v>0</v>
      </c>
      <c r="P117" s="138" t="n">
        <f aca="false">IF(M117=2,1,0)</f>
        <v>0</v>
      </c>
      <c r="Q117" s="138" t="n">
        <f aca="false">IF(M117=3,1,0)</f>
        <v>1</v>
      </c>
      <c r="R117" s="139" t="n">
        <f aca="false">IF(M117=4,1,0)</f>
        <v>0</v>
      </c>
      <c r="S117" s="225"/>
      <c r="T117" s="217"/>
      <c r="U117" s="77"/>
    </row>
    <row r="118" customFormat="false" ht="20.15" hidden="false" customHeight="true" outlineLevel="0" collapsed="false">
      <c r="B118" s="77"/>
      <c r="C118" s="217"/>
      <c r="D118" s="220"/>
      <c r="E118" s="147" t="s">
        <v>23</v>
      </c>
      <c r="F118" s="355" t="s">
        <v>24</v>
      </c>
      <c r="G118" s="305" t="n">
        <v>3</v>
      </c>
      <c r="H118" s="179" t="s">
        <v>162</v>
      </c>
      <c r="I118" s="149" t="n">
        <v>0</v>
      </c>
      <c r="J118" s="149" t="n">
        <v>164</v>
      </c>
      <c r="K118" s="179" t="s">
        <v>66</v>
      </c>
      <c r="L118" s="150" t="n">
        <f aca="false">IF(J118="",0,(J118/J121)*100)</f>
        <v>100</v>
      </c>
      <c r="M118" s="149" t="n">
        <v>1</v>
      </c>
      <c r="N118" s="151" t="n">
        <v>6</v>
      </c>
      <c r="O118" s="144" t="n">
        <f aca="false">IF(M118=1,1,0)</f>
        <v>1</v>
      </c>
      <c r="P118" s="145" t="n">
        <f aca="false">IF(M118=2,1,0)</f>
        <v>0</v>
      </c>
      <c r="Q118" s="145" t="n">
        <f aca="false">IF(M118=3,1,0)</f>
        <v>0</v>
      </c>
      <c r="R118" s="146" t="n">
        <f aca="false">IF(M118=4,1,0)</f>
        <v>0</v>
      </c>
      <c r="S118" s="225"/>
      <c r="T118" s="217"/>
      <c r="U118" s="77"/>
    </row>
    <row r="119" customFormat="false" ht="20.15" hidden="false" customHeight="true" outlineLevel="0" collapsed="false">
      <c r="B119" s="77"/>
      <c r="C119" s="217"/>
      <c r="D119" s="220"/>
      <c r="E119" s="226" t="s">
        <v>25</v>
      </c>
      <c r="F119" s="227" t="s">
        <v>26</v>
      </c>
      <c r="G119" s="306" t="n">
        <v>1</v>
      </c>
      <c r="H119" s="317" t="s">
        <v>350</v>
      </c>
      <c r="I119" s="228" t="n">
        <v>0</v>
      </c>
      <c r="J119" s="228" t="n">
        <v>149</v>
      </c>
      <c r="K119" s="228" t="s">
        <v>66</v>
      </c>
      <c r="L119" s="229" t="n">
        <f aca="false">IF(J119="",0,(J119/J121)*100)</f>
        <v>90.8536585365854</v>
      </c>
      <c r="M119" s="228" t="n">
        <v>2</v>
      </c>
      <c r="N119" s="230" t="n">
        <v>3</v>
      </c>
      <c r="O119" s="144" t="n">
        <f aca="false">IF(M119=1,1,0)</f>
        <v>0</v>
      </c>
      <c r="P119" s="145" t="n">
        <f aca="false">IF(M119=2,1,0)</f>
        <v>1</v>
      </c>
      <c r="Q119" s="145" t="n">
        <f aca="false">IF(M119=3,1,0)</f>
        <v>0</v>
      </c>
      <c r="R119" s="146" t="n">
        <f aca="false">IF(M119=4,1,0)</f>
        <v>0</v>
      </c>
      <c r="S119" s="225"/>
      <c r="T119" s="217"/>
      <c r="U119" s="77"/>
    </row>
    <row r="120" customFormat="false" ht="20.15" hidden="false" customHeight="true" outlineLevel="0" collapsed="false">
      <c r="B120" s="77"/>
      <c r="C120" s="217"/>
      <c r="D120" s="231"/>
      <c r="E120" s="295" t="s">
        <v>33</v>
      </c>
      <c r="F120" s="386" t="s">
        <v>34</v>
      </c>
      <c r="G120" s="307" t="n">
        <v>4</v>
      </c>
      <c r="H120" s="308" t="s">
        <v>161</v>
      </c>
      <c r="I120" s="234" t="n">
        <v>0</v>
      </c>
      <c r="J120" s="234" t="n">
        <v>79</v>
      </c>
      <c r="K120" s="308" t="s">
        <v>66</v>
      </c>
      <c r="L120" s="235" t="n">
        <f aca="false">IF(J120="",0,(J120/J121)*100)</f>
        <v>48.1707317073171</v>
      </c>
      <c r="M120" s="234" t="n">
        <v>4</v>
      </c>
      <c r="N120" s="236" t="n">
        <v>0</v>
      </c>
      <c r="O120" s="156" t="n">
        <f aca="false">IF(M120=1,1,0)</f>
        <v>0</v>
      </c>
      <c r="P120" s="157" t="n">
        <f aca="false">IF(M120=2,1,0)</f>
        <v>0</v>
      </c>
      <c r="Q120" s="157" t="n">
        <f aca="false">IF(M120=3,1,0)</f>
        <v>0</v>
      </c>
      <c r="R120" s="158" t="n">
        <f aca="false">IF(M120=4,1,0)</f>
        <v>1</v>
      </c>
      <c r="S120" s="225"/>
      <c r="T120" s="217"/>
      <c r="U120" s="77"/>
    </row>
    <row r="121" customFormat="false" ht="20.15" hidden="true" customHeight="true" outlineLevel="1" collapsed="false">
      <c r="B121" s="77"/>
      <c r="C121" s="217"/>
      <c r="D121" s="220"/>
      <c r="E121" s="220"/>
      <c r="F121" s="225"/>
      <c r="G121" s="225"/>
      <c r="H121" s="217"/>
      <c r="I121" s="213" t="s">
        <v>92</v>
      </c>
      <c r="J121" s="161" t="n">
        <f aca="false">MAX(J117:J120)</f>
        <v>164</v>
      </c>
      <c r="K121" s="237"/>
      <c r="L121" s="225"/>
      <c r="M121" s="217"/>
      <c r="N121" s="164" t="s">
        <v>93</v>
      </c>
      <c r="O121" s="165" t="n">
        <f aca="false">SUM(O117:O120)</f>
        <v>1</v>
      </c>
      <c r="P121" s="166" t="n">
        <f aca="false">SUM(P117:P120)</f>
        <v>1</v>
      </c>
      <c r="Q121" s="165" t="n">
        <f aca="false">SUM(Q117:Q120)</f>
        <v>1</v>
      </c>
      <c r="R121" s="187" t="n">
        <f aca="false">SUM(R117:R120)</f>
        <v>1</v>
      </c>
      <c r="S121" s="238"/>
      <c r="T121" s="217"/>
      <c r="U121" s="77"/>
    </row>
    <row r="122" customFormat="false" ht="20.15" hidden="false" customHeight="true" outlineLevel="0" collapsed="false">
      <c r="B122" s="77"/>
      <c r="C122" s="217"/>
      <c r="D122" s="239"/>
      <c r="E122" s="239"/>
      <c r="F122" s="217"/>
      <c r="G122" s="217"/>
      <c r="H122" s="217"/>
      <c r="I122" s="217"/>
      <c r="J122" s="217"/>
      <c r="K122" s="217"/>
      <c r="L122" s="217"/>
      <c r="M122" s="217"/>
      <c r="N122" s="217"/>
      <c r="O122" s="217"/>
      <c r="P122" s="217"/>
      <c r="Q122" s="217"/>
      <c r="R122" s="217"/>
      <c r="S122" s="217"/>
      <c r="T122" s="217"/>
      <c r="U122" s="77"/>
    </row>
    <row r="123" customFormat="false" ht="20.15" hidden="false" customHeight="true" outlineLevel="0" collapsed="false">
      <c r="B123" s="77"/>
      <c r="D123" s="5"/>
      <c r="E123" s="5"/>
      <c r="F123" s="5"/>
      <c r="G123" s="5"/>
      <c r="H123" s="5"/>
      <c r="I123" s="5"/>
      <c r="J123" s="5"/>
      <c r="K123" s="14"/>
      <c r="L123" s="14"/>
      <c r="M123" s="14"/>
      <c r="N123" s="14"/>
      <c r="O123" s="14"/>
      <c r="P123" s="14"/>
      <c r="Q123" s="14"/>
      <c r="R123" s="14"/>
      <c r="S123" s="14"/>
      <c r="U123" s="77"/>
    </row>
    <row r="124" customFormat="false" ht="30" hidden="false" customHeight="true" outlineLevel="0" collapsed="false">
      <c r="B124" s="77"/>
      <c r="C124" s="240"/>
      <c r="D124" s="241" t="s">
        <v>135</v>
      </c>
      <c r="E124" s="241"/>
      <c r="F124" s="241"/>
      <c r="G124" s="241"/>
      <c r="H124" s="241"/>
      <c r="I124" s="241"/>
      <c r="J124" s="241"/>
      <c r="K124" s="241"/>
      <c r="L124" s="241"/>
      <c r="M124" s="241"/>
      <c r="N124" s="241"/>
      <c r="O124" s="241"/>
      <c r="P124" s="241"/>
      <c r="Q124" s="241"/>
      <c r="R124" s="241"/>
      <c r="S124" s="241"/>
      <c r="T124" s="240"/>
      <c r="U124" s="77"/>
    </row>
    <row r="125" customFormat="false" ht="50.15" hidden="false" customHeight="true" outlineLevel="0" collapsed="false">
      <c r="B125" s="77"/>
      <c r="C125" s="240"/>
      <c r="D125" s="242" t="s">
        <v>52</v>
      </c>
      <c r="E125" s="243" t="s">
        <v>53</v>
      </c>
      <c r="F125" s="244" t="s">
        <v>83</v>
      </c>
      <c r="G125" s="245" t="s">
        <v>102</v>
      </c>
      <c r="H125" s="246" t="s">
        <v>103</v>
      </c>
      <c r="I125" s="246"/>
      <c r="J125" s="247" t="s">
        <v>104</v>
      </c>
      <c r="K125" s="248" t="s">
        <v>105</v>
      </c>
      <c r="L125" s="244" t="s">
        <v>106</v>
      </c>
      <c r="M125" s="248" t="s">
        <v>107</v>
      </c>
      <c r="N125" s="244" t="s">
        <v>108</v>
      </c>
      <c r="O125" s="249"/>
      <c r="P125" s="250"/>
      <c r="Q125" s="250"/>
      <c r="R125" s="250"/>
      <c r="S125" s="243" t="s">
        <v>109</v>
      </c>
      <c r="T125" s="240"/>
      <c r="U125" s="77"/>
    </row>
    <row r="126" customFormat="false" ht="20.15" hidden="false" customHeight="true" outlineLevel="0" collapsed="false">
      <c r="B126" s="77"/>
      <c r="C126" s="240"/>
      <c r="D126" s="251" t="s">
        <v>23</v>
      </c>
      <c r="E126" s="17" t="s">
        <v>24</v>
      </c>
      <c r="F126" s="327" t="n">
        <f aca="false">K126*6+L126*3+M126*1+N126*0</f>
        <v>21</v>
      </c>
      <c r="G126" s="328" t="n">
        <v>0</v>
      </c>
      <c r="H126" s="328" t="s">
        <v>66</v>
      </c>
      <c r="I126" s="328"/>
      <c r="J126" s="327" t="n">
        <f aca="false">F126+G126</f>
        <v>21</v>
      </c>
      <c r="K126" s="327" t="n">
        <v>3</v>
      </c>
      <c r="L126" s="327" t="n">
        <v>1</v>
      </c>
      <c r="M126" s="327" t="n">
        <v>0</v>
      </c>
      <c r="N126" s="327" t="n">
        <v>0</v>
      </c>
      <c r="O126" s="16"/>
      <c r="P126" s="328"/>
      <c r="Q126" s="328"/>
      <c r="R126" s="328"/>
      <c r="S126" s="329" t="n">
        <f aca="false">(L91+L100+L109+L118)/4</f>
        <v>99.6987951807229</v>
      </c>
      <c r="T126" s="240"/>
      <c r="U126" s="77"/>
    </row>
    <row r="127" customFormat="false" ht="20.15" hidden="false" customHeight="true" outlineLevel="0" collapsed="false">
      <c r="B127" s="77"/>
      <c r="C127" s="240"/>
      <c r="D127" s="383" t="s">
        <v>25</v>
      </c>
      <c r="E127" s="384" t="s">
        <v>26</v>
      </c>
      <c r="F127" s="330" t="n">
        <f aca="false">K127*6+L127*3+M127*1+N127*0</f>
        <v>8</v>
      </c>
      <c r="G127" s="331" t="n">
        <v>0</v>
      </c>
      <c r="H127" s="331" t="s">
        <v>66</v>
      </c>
      <c r="I127" s="331"/>
      <c r="J127" s="330" t="n">
        <f aca="false">F127+G127</f>
        <v>8</v>
      </c>
      <c r="K127" s="330" t="n">
        <v>0</v>
      </c>
      <c r="L127" s="330" t="n">
        <v>2</v>
      </c>
      <c r="M127" s="330" t="n">
        <v>2</v>
      </c>
      <c r="N127" s="330" t="n">
        <v>0</v>
      </c>
      <c r="O127" s="332"/>
      <c r="P127" s="331"/>
      <c r="Q127" s="331"/>
      <c r="R127" s="331"/>
      <c r="S127" s="333" t="n">
        <f aca="false">(L92+L101+L110+L119)/4</f>
        <v>90.3151921549894</v>
      </c>
      <c r="T127" s="240"/>
      <c r="U127" s="77"/>
      <c r="W127" s="334"/>
      <c r="X127" s="334"/>
      <c r="Y127" s="23"/>
      <c r="Z127" s="23"/>
      <c r="AA127" s="335"/>
      <c r="AB127" s="335"/>
      <c r="AC127" s="336"/>
      <c r="AD127" s="336"/>
      <c r="AE127" s="336"/>
    </row>
    <row r="128" customFormat="false" ht="20.15" hidden="false" customHeight="true" outlineLevel="0" collapsed="false">
      <c r="B128" s="77"/>
      <c r="C128" s="240"/>
      <c r="D128" s="257" t="s">
        <v>33</v>
      </c>
      <c r="E128" s="258" t="s">
        <v>34</v>
      </c>
      <c r="F128" s="330" t="n">
        <f aca="false">K128*6+L128*3+M128*1+N128*0</f>
        <v>6</v>
      </c>
      <c r="G128" s="331" t="n">
        <v>0</v>
      </c>
      <c r="H128" s="331" t="s">
        <v>66</v>
      </c>
      <c r="I128" s="331"/>
      <c r="J128" s="330" t="n">
        <f aca="false">F128+G128</f>
        <v>6</v>
      </c>
      <c r="K128" s="330" t="n">
        <v>1</v>
      </c>
      <c r="L128" s="330" t="n">
        <v>0</v>
      </c>
      <c r="M128" s="330" t="n">
        <v>0</v>
      </c>
      <c r="N128" s="330" t="n">
        <v>3</v>
      </c>
      <c r="O128" s="332"/>
      <c r="P128" s="331"/>
      <c r="Q128" s="331"/>
      <c r="R128" s="331"/>
      <c r="S128" s="333" t="n">
        <f aca="false">(L93+L102+L111+L120)/4</f>
        <v>74.3775914449439</v>
      </c>
      <c r="T128" s="240"/>
      <c r="U128" s="77"/>
    </row>
    <row r="129" customFormat="false" ht="20.15" hidden="false" customHeight="true" outlineLevel="0" collapsed="false">
      <c r="B129" s="77"/>
      <c r="C129" s="240"/>
      <c r="D129" s="265" t="s">
        <v>16</v>
      </c>
      <c r="E129" s="266" t="s">
        <v>17</v>
      </c>
      <c r="F129" s="338" t="n">
        <f aca="false">K129*6+L129*3+M129*1+N129*0</f>
        <v>5</v>
      </c>
      <c r="G129" s="339" t="n">
        <v>0</v>
      </c>
      <c r="H129" s="339" t="s">
        <v>66</v>
      </c>
      <c r="I129" s="339"/>
      <c r="J129" s="338" t="n">
        <f aca="false">F129+G129</f>
        <v>5</v>
      </c>
      <c r="K129" s="338" t="n">
        <v>0</v>
      </c>
      <c r="L129" s="338" t="n">
        <v>1</v>
      </c>
      <c r="M129" s="338" t="n">
        <v>2</v>
      </c>
      <c r="N129" s="338" t="n">
        <v>1</v>
      </c>
      <c r="O129" s="340"/>
      <c r="P129" s="339"/>
      <c r="Q129" s="339"/>
      <c r="R129" s="339"/>
      <c r="S129" s="341" t="n">
        <f aca="false">(L90+L99+L108+L117)/4</f>
        <v>83.2511719173242</v>
      </c>
      <c r="T129" s="240"/>
      <c r="U129" s="77"/>
    </row>
    <row r="130" customFormat="false" ht="20.15" hidden="false" customHeight="true" outlineLevel="0" collapsed="false">
      <c r="B130" s="77"/>
      <c r="C130" s="240"/>
      <c r="D130" s="402"/>
      <c r="E130" s="498"/>
      <c r="F130" s="401"/>
      <c r="G130" s="401"/>
      <c r="H130" s="401"/>
      <c r="I130" s="401"/>
      <c r="J130" s="401"/>
      <c r="K130" s="401"/>
      <c r="L130" s="401"/>
      <c r="M130" s="401"/>
      <c r="N130" s="401"/>
      <c r="O130" s="401"/>
      <c r="P130" s="401"/>
      <c r="Q130" s="401"/>
      <c r="R130" s="401"/>
      <c r="S130" s="401"/>
      <c r="T130" s="240"/>
      <c r="U130" s="77"/>
    </row>
    <row r="131" customFormat="false" ht="20.15" hidden="false" customHeight="true" outlineLevel="0" collapsed="false">
      <c r="B131" s="77"/>
      <c r="C131" s="77"/>
      <c r="D131" s="270"/>
      <c r="E131" s="270"/>
      <c r="F131" s="195"/>
      <c r="G131" s="195"/>
      <c r="H131" s="270"/>
      <c r="I131" s="270"/>
      <c r="J131" s="270"/>
      <c r="K131" s="207"/>
      <c r="L131" s="207"/>
      <c r="M131" s="207"/>
      <c r="N131" s="207"/>
      <c r="O131" s="207"/>
      <c r="P131" s="207"/>
      <c r="Q131" s="207"/>
      <c r="R131" s="207"/>
      <c r="S131" s="207"/>
      <c r="T131" s="77"/>
      <c r="U131" s="77"/>
    </row>
    <row r="132" customFormat="false" ht="20.15" hidden="false" customHeight="true" outlineLevel="0" collapsed="false"/>
    <row r="133" customFormat="false" ht="20.15" hidden="false" customHeight="true" outlineLevel="0" collapsed="false"/>
    <row r="134" customFormat="false" ht="20.15" hidden="false" customHeight="true" outlineLevel="0" collapsed="false">
      <c r="B134" s="77"/>
      <c r="C134" s="77"/>
      <c r="D134" s="78"/>
      <c r="E134" s="78"/>
      <c r="F134" s="78"/>
      <c r="G134" s="78"/>
      <c r="H134" s="77"/>
      <c r="I134" s="77"/>
      <c r="J134" s="77"/>
      <c r="K134" s="77"/>
      <c r="L134" s="77"/>
      <c r="M134" s="77"/>
      <c r="N134" s="77"/>
      <c r="O134" s="77"/>
      <c r="P134" s="77"/>
      <c r="Q134" s="77"/>
      <c r="R134" s="77"/>
      <c r="S134" s="77"/>
      <c r="T134" s="77"/>
      <c r="U134" s="77"/>
    </row>
    <row r="135" customFormat="false" ht="30" hidden="false" customHeight="true" outlineLevel="0" collapsed="false">
      <c r="B135" s="77"/>
      <c r="C135" s="79" t="s">
        <v>183</v>
      </c>
      <c r="D135" s="79"/>
      <c r="E135" s="79"/>
      <c r="F135" s="79"/>
      <c r="G135" s="79"/>
      <c r="H135" s="79"/>
      <c r="I135" s="79"/>
      <c r="J135" s="79"/>
      <c r="K135" s="79"/>
      <c r="L135" s="79"/>
      <c r="M135" s="79"/>
      <c r="N135" s="79"/>
      <c r="O135" s="79"/>
      <c r="P135" s="79"/>
      <c r="Q135" s="79"/>
      <c r="R135" s="79"/>
      <c r="S135" s="79"/>
      <c r="T135" s="79"/>
      <c r="U135" s="77"/>
    </row>
    <row r="136" customFormat="false" ht="20.15" hidden="false" customHeight="true" outlineLevel="0" collapsed="false">
      <c r="B136" s="77"/>
      <c r="D136" s="121"/>
      <c r="E136" s="121"/>
      <c r="U136" s="77"/>
    </row>
    <row r="137" customFormat="false" ht="20.15" hidden="false" customHeight="true" outlineLevel="0" collapsed="false">
      <c r="B137" s="77"/>
      <c r="D137" s="80" t="s">
        <v>52</v>
      </c>
      <c r="E137" s="81" t="s">
        <v>111</v>
      </c>
      <c r="F137" s="82" t="s">
        <v>12</v>
      </c>
      <c r="G137" s="275" t="s">
        <v>54</v>
      </c>
      <c r="H137" s="275"/>
      <c r="I137" s="275"/>
      <c r="J137" s="275"/>
      <c r="K137" s="81" t="s">
        <v>55</v>
      </c>
      <c r="L137" s="83" t="s">
        <v>56</v>
      </c>
      <c r="M137" s="83"/>
      <c r="N137" s="83"/>
      <c r="O137" s="83"/>
      <c r="P137" s="83"/>
      <c r="Q137" s="83"/>
      <c r="R137" s="83"/>
      <c r="S137" s="83"/>
      <c r="U137" s="77"/>
    </row>
    <row r="138" customFormat="false" ht="20.15" hidden="false" customHeight="true" outlineLevel="0" collapsed="false">
      <c r="B138" s="77"/>
      <c r="D138" s="80"/>
      <c r="E138" s="81"/>
      <c r="F138" s="81"/>
      <c r="G138" s="85" t="s">
        <v>57</v>
      </c>
      <c r="H138" s="84" t="s">
        <v>58</v>
      </c>
      <c r="I138" s="82" t="s">
        <v>59</v>
      </c>
      <c r="J138" s="82"/>
      <c r="K138" s="84" t="s">
        <v>60</v>
      </c>
      <c r="L138" s="276" t="s">
        <v>57</v>
      </c>
      <c r="M138" s="277" t="s">
        <v>61</v>
      </c>
      <c r="N138" s="278" t="s">
        <v>59</v>
      </c>
      <c r="O138" s="278"/>
      <c r="P138" s="278"/>
      <c r="Q138" s="278"/>
      <c r="R138" s="278"/>
      <c r="S138" s="278"/>
      <c r="U138" s="77"/>
    </row>
    <row r="139" customFormat="false" ht="35.15" hidden="false" customHeight="true" outlineLevel="0" collapsed="false">
      <c r="B139" s="77"/>
      <c r="D139" s="86" t="s">
        <v>19</v>
      </c>
      <c r="E139" s="372" t="s">
        <v>20</v>
      </c>
      <c r="F139" s="343" t="n">
        <v>1</v>
      </c>
      <c r="G139" s="344" t="s">
        <v>71</v>
      </c>
      <c r="H139" s="281" t="s">
        <v>72</v>
      </c>
      <c r="I139" s="91" t="s">
        <v>346</v>
      </c>
      <c r="J139" s="91"/>
      <c r="K139" s="345" t="s">
        <v>65</v>
      </c>
      <c r="L139" s="442" t="s">
        <v>66</v>
      </c>
      <c r="M139" s="443" t="s">
        <v>66</v>
      </c>
      <c r="N139" s="444" t="s">
        <v>66</v>
      </c>
      <c r="O139" s="444"/>
      <c r="P139" s="444"/>
      <c r="Q139" s="444"/>
      <c r="R139" s="444"/>
      <c r="S139" s="444"/>
      <c r="U139" s="77"/>
    </row>
    <row r="140" customFormat="false" ht="50.15" hidden="false" customHeight="true" outlineLevel="0" collapsed="false">
      <c r="B140" s="77"/>
      <c r="D140" s="105" t="s">
        <v>30</v>
      </c>
      <c r="E140" s="96" t="s">
        <v>31</v>
      </c>
      <c r="F140" s="346" t="n">
        <v>2</v>
      </c>
      <c r="G140" s="347" t="s">
        <v>67</v>
      </c>
      <c r="H140" s="99" t="s">
        <v>351</v>
      </c>
      <c r="I140" s="100" t="s">
        <v>348</v>
      </c>
      <c r="J140" s="100"/>
      <c r="K140" s="348" t="s">
        <v>65</v>
      </c>
      <c r="L140" s="110" t="s">
        <v>66</v>
      </c>
      <c r="M140" s="111" t="s">
        <v>66</v>
      </c>
      <c r="N140" s="445" t="s">
        <v>66</v>
      </c>
      <c r="O140" s="445"/>
      <c r="P140" s="445"/>
      <c r="Q140" s="445"/>
      <c r="R140" s="445"/>
      <c r="S140" s="445"/>
      <c r="U140" s="77"/>
    </row>
    <row r="141" customFormat="false" ht="35.15" hidden="false" customHeight="true" outlineLevel="0" collapsed="false">
      <c r="B141" s="77"/>
      <c r="D141" s="54" t="s">
        <v>21</v>
      </c>
      <c r="E141" s="113" t="s">
        <v>22</v>
      </c>
      <c r="F141" s="350" t="n">
        <v>3</v>
      </c>
      <c r="G141" s="446" t="s">
        <v>67</v>
      </c>
      <c r="H141" s="393" t="s">
        <v>352</v>
      </c>
      <c r="I141" s="394" t="s">
        <v>353</v>
      </c>
      <c r="J141" s="394"/>
      <c r="K141" s="395" t="s">
        <v>65</v>
      </c>
      <c r="L141" s="118" t="s">
        <v>66</v>
      </c>
      <c r="M141" s="119" t="s">
        <v>66</v>
      </c>
      <c r="N141" s="447" t="s">
        <v>66</v>
      </c>
      <c r="O141" s="447"/>
      <c r="P141" s="447"/>
      <c r="Q141" s="447"/>
      <c r="R141" s="447"/>
      <c r="S141" s="447"/>
      <c r="U141" s="77"/>
    </row>
    <row r="142" customFormat="false" ht="20.15" hidden="false" customHeight="true" outlineLevel="0" collapsed="false">
      <c r="B142" s="77"/>
      <c r="D142" s="121"/>
      <c r="E142" s="121"/>
      <c r="U142" s="77"/>
    </row>
    <row r="143" customFormat="false" ht="20.15" hidden="false" customHeight="true" outlineLevel="0" collapsed="false">
      <c r="B143" s="77"/>
      <c r="C143" s="122"/>
      <c r="D143" s="122"/>
      <c r="E143" s="123" t="str">
        <f aca="false">IF(OR(M139="-",M139= ""),H139,M139)</f>
        <v>Die Burgen von Burgund</v>
      </c>
      <c r="F143" s="123"/>
      <c r="G143" s="123"/>
      <c r="H143" s="123"/>
      <c r="I143" s="123"/>
      <c r="J143" s="123"/>
      <c r="K143" s="123"/>
      <c r="L143" s="123"/>
      <c r="M143" s="123"/>
      <c r="N143" s="123"/>
      <c r="O143" s="124"/>
      <c r="P143" s="124"/>
      <c r="Q143" s="124"/>
      <c r="R143" s="124"/>
      <c r="S143" s="124"/>
      <c r="T143" s="122"/>
      <c r="U143" s="77"/>
    </row>
    <row r="144" customFormat="false" ht="50.15" hidden="false" customHeight="true" outlineLevel="0" collapsed="false">
      <c r="B144" s="77"/>
      <c r="C144" s="122"/>
      <c r="D144" s="124"/>
      <c r="E144" s="125" t="s">
        <v>52</v>
      </c>
      <c r="F144" s="126" t="s">
        <v>75</v>
      </c>
      <c r="G144" s="82" t="s">
        <v>76</v>
      </c>
      <c r="H144" s="81" t="s">
        <v>77</v>
      </c>
      <c r="I144" s="59" t="s">
        <v>78</v>
      </c>
      <c r="J144" s="81" t="s">
        <v>79</v>
      </c>
      <c r="K144" s="127" t="s">
        <v>80</v>
      </c>
      <c r="L144" s="81" t="s">
        <v>81</v>
      </c>
      <c r="M144" s="128" t="s">
        <v>82</v>
      </c>
      <c r="N144" s="129" t="s">
        <v>83</v>
      </c>
      <c r="O144" s="130" t="s">
        <v>84</v>
      </c>
      <c r="P144" s="131" t="s">
        <v>85</v>
      </c>
      <c r="Q144" s="131" t="s">
        <v>86</v>
      </c>
      <c r="R144" s="124"/>
      <c r="S144" s="124"/>
      <c r="T144" s="122"/>
      <c r="U144" s="77"/>
    </row>
    <row r="145" customFormat="false" ht="20.15" hidden="false" customHeight="true" outlineLevel="0" collapsed="false">
      <c r="B145" s="77"/>
      <c r="C145" s="122"/>
      <c r="D145" s="152"/>
      <c r="E145" s="199" t="s">
        <v>19</v>
      </c>
      <c r="F145" s="380" t="s">
        <v>20</v>
      </c>
      <c r="G145" s="325" t="n">
        <v>2</v>
      </c>
      <c r="H145" s="202" t="s">
        <v>100</v>
      </c>
      <c r="I145" s="201" t="n">
        <v>0</v>
      </c>
      <c r="J145" s="202" t="n">
        <v>234</v>
      </c>
      <c r="K145" s="202" t="s">
        <v>66</v>
      </c>
      <c r="L145" s="204" t="n">
        <f aca="false">IF(J145="",0,(J145/J148)*100)</f>
        <v>100</v>
      </c>
      <c r="M145" s="201" t="n">
        <v>1</v>
      </c>
      <c r="N145" s="205" t="n">
        <v>6</v>
      </c>
      <c r="O145" s="138" t="n">
        <f aca="false">IF(M145=1,1,0)</f>
        <v>1</v>
      </c>
      <c r="P145" s="138" t="n">
        <f aca="false">IF(M145=2,1,0)</f>
        <v>0</v>
      </c>
      <c r="Q145" s="139" t="n">
        <f aca="false">IF(M145=3,1,0)</f>
        <v>0</v>
      </c>
      <c r="R145" s="140"/>
      <c r="S145" s="140"/>
      <c r="T145" s="122"/>
      <c r="U145" s="77"/>
    </row>
    <row r="146" customFormat="false" ht="20.15" hidden="false" customHeight="true" outlineLevel="0" collapsed="false">
      <c r="B146" s="77"/>
      <c r="C146" s="122"/>
      <c r="D146" s="132"/>
      <c r="E146" s="105" t="s">
        <v>30</v>
      </c>
      <c r="F146" s="227" t="s">
        <v>31</v>
      </c>
      <c r="G146" s="306" t="n">
        <v>1</v>
      </c>
      <c r="H146" s="317" t="s">
        <v>277</v>
      </c>
      <c r="I146" s="228" t="n">
        <v>0</v>
      </c>
      <c r="J146" s="317" t="n">
        <v>182</v>
      </c>
      <c r="K146" s="317" t="s">
        <v>66</v>
      </c>
      <c r="L146" s="229" t="n">
        <f aca="false">IF(J146="",0,(J146/J148)*100)</f>
        <v>77.7777777777778</v>
      </c>
      <c r="M146" s="228" t="n">
        <v>2</v>
      </c>
      <c r="N146" s="230" t="n">
        <v>3</v>
      </c>
      <c r="O146" s="145" t="n">
        <f aca="false">IF(M146=1,1,0)</f>
        <v>0</v>
      </c>
      <c r="P146" s="145" t="n">
        <f aca="false">IF(M146=2,1,0)</f>
        <v>1</v>
      </c>
      <c r="Q146" s="146" t="n">
        <f aca="false">IF(M146=3,1,0)</f>
        <v>0</v>
      </c>
      <c r="R146" s="140"/>
      <c r="S146" s="140"/>
      <c r="T146" s="122"/>
      <c r="U146" s="77"/>
    </row>
    <row r="147" customFormat="false" ht="20.15" hidden="false" customHeight="true" outlineLevel="0" collapsed="false">
      <c r="B147" s="77"/>
      <c r="C147" s="122"/>
      <c r="D147" s="132"/>
      <c r="E147" s="232" t="s">
        <v>21</v>
      </c>
      <c r="F147" s="233" t="s">
        <v>22</v>
      </c>
      <c r="G147" s="307" t="n">
        <v>3</v>
      </c>
      <c r="H147" s="308" t="s">
        <v>98</v>
      </c>
      <c r="I147" s="234" t="n">
        <v>0</v>
      </c>
      <c r="J147" s="308" t="n">
        <v>148</v>
      </c>
      <c r="K147" s="308" t="s">
        <v>66</v>
      </c>
      <c r="L147" s="235" t="n">
        <f aca="false">IF(J147="",0,(J147/J148)*100)</f>
        <v>63.2478632478632</v>
      </c>
      <c r="M147" s="234" t="n">
        <v>3</v>
      </c>
      <c r="N147" s="236" t="n">
        <v>0</v>
      </c>
      <c r="O147" s="157" t="n">
        <f aca="false">IF(M147=1,1,0)</f>
        <v>0</v>
      </c>
      <c r="P147" s="157" t="n">
        <f aca="false">IF(M147=2,1,0)</f>
        <v>0</v>
      </c>
      <c r="Q147" s="158" t="n">
        <f aca="false">IF(M147=3,1,0)</f>
        <v>1</v>
      </c>
      <c r="R147" s="140"/>
      <c r="S147" s="140"/>
      <c r="T147" s="122"/>
      <c r="U147" s="77"/>
    </row>
    <row r="148" customFormat="false" ht="20.15" hidden="true" customHeight="true" outlineLevel="1" collapsed="false">
      <c r="B148" s="77"/>
      <c r="C148" s="122"/>
      <c r="D148" s="152"/>
      <c r="E148" s="152"/>
      <c r="F148" s="140"/>
      <c r="G148" s="140"/>
      <c r="H148" s="122"/>
      <c r="I148" s="213" t="s">
        <v>92</v>
      </c>
      <c r="J148" s="161" t="n">
        <f aca="false">MAX(J145:J147)</f>
        <v>234</v>
      </c>
      <c r="K148" s="309"/>
      <c r="L148" s="167"/>
      <c r="M148" s="122"/>
      <c r="N148" s="164" t="s">
        <v>93</v>
      </c>
      <c r="O148" s="165" t="n">
        <f aca="false">SUM(O145:O147)</f>
        <v>1</v>
      </c>
      <c r="P148" s="166" t="n">
        <f aca="false">SUM(P145:P147)</f>
        <v>1</v>
      </c>
      <c r="Q148" s="165" t="n">
        <f aca="false">SUM(Q145:Q147)</f>
        <v>1</v>
      </c>
      <c r="R148" s="167"/>
      <c r="S148" s="167"/>
      <c r="T148" s="122"/>
      <c r="U148" s="77"/>
    </row>
    <row r="149" customFormat="false" ht="20.15" hidden="false" customHeight="true" outlineLevel="0" collapsed="false">
      <c r="B149" s="77"/>
      <c r="C149" s="122"/>
      <c r="D149" s="168"/>
      <c r="E149" s="168"/>
      <c r="F149" s="122"/>
      <c r="G149" s="122"/>
      <c r="H149" s="122"/>
      <c r="I149" s="122"/>
      <c r="J149" s="122"/>
      <c r="K149" s="122"/>
      <c r="L149" s="122"/>
      <c r="M149" s="122"/>
      <c r="N149" s="122"/>
      <c r="O149" s="122"/>
      <c r="P149" s="122"/>
      <c r="Q149" s="122"/>
      <c r="R149" s="122"/>
      <c r="S149" s="122"/>
      <c r="T149" s="122"/>
      <c r="U149" s="77"/>
    </row>
    <row r="150" customFormat="false" ht="20.15" hidden="false" customHeight="true" outlineLevel="0" collapsed="false">
      <c r="B150" s="77"/>
      <c r="U150" s="77"/>
    </row>
    <row r="151" customFormat="false" ht="20.15" hidden="false" customHeight="true" outlineLevel="0" collapsed="false">
      <c r="B151" s="77"/>
      <c r="C151" s="170"/>
      <c r="D151" s="170"/>
      <c r="E151" s="171" t="str">
        <f aca="false">IF(OR(L140="-",L140= ""),H140,L140)</f>
        <v>Marco Polo 2 - Im Auftrag des Khan</v>
      </c>
      <c r="F151" s="171"/>
      <c r="G151" s="171"/>
      <c r="H151" s="171"/>
      <c r="I151" s="171"/>
      <c r="J151" s="171"/>
      <c r="K151" s="171"/>
      <c r="L151" s="171"/>
      <c r="M151" s="171"/>
      <c r="N151" s="171"/>
      <c r="O151" s="172"/>
      <c r="P151" s="172"/>
      <c r="Q151" s="172"/>
      <c r="R151" s="172"/>
      <c r="S151" s="172"/>
      <c r="T151" s="170"/>
      <c r="U151" s="77"/>
    </row>
    <row r="152" customFormat="false" ht="50.15" hidden="false" customHeight="true" outlineLevel="0" collapsed="false">
      <c r="B152" s="77"/>
      <c r="C152" s="170"/>
      <c r="D152" s="172"/>
      <c r="E152" s="125" t="s">
        <v>52</v>
      </c>
      <c r="F152" s="126" t="s">
        <v>75</v>
      </c>
      <c r="G152" s="82" t="s">
        <v>76</v>
      </c>
      <c r="H152" s="81" t="s">
        <v>77</v>
      </c>
      <c r="I152" s="59" t="s">
        <v>78</v>
      </c>
      <c r="J152" s="81" t="s">
        <v>79</v>
      </c>
      <c r="K152" s="127" t="s">
        <v>80</v>
      </c>
      <c r="L152" s="81" t="s">
        <v>81</v>
      </c>
      <c r="M152" s="128" t="s">
        <v>82</v>
      </c>
      <c r="N152" s="129" t="s">
        <v>83</v>
      </c>
      <c r="O152" s="130" t="s">
        <v>84</v>
      </c>
      <c r="P152" s="131" t="s">
        <v>85</v>
      </c>
      <c r="Q152" s="131" t="s">
        <v>86</v>
      </c>
      <c r="R152" s="172"/>
      <c r="S152" s="172"/>
      <c r="T152" s="170"/>
      <c r="U152" s="77"/>
    </row>
    <row r="153" customFormat="false" ht="20.15" hidden="false" customHeight="true" outlineLevel="0" collapsed="false">
      <c r="B153" s="77"/>
      <c r="C153" s="170"/>
      <c r="D153" s="177"/>
      <c r="E153" s="199" t="s">
        <v>19</v>
      </c>
      <c r="F153" s="380" t="s">
        <v>20</v>
      </c>
      <c r="G153" s="325" t="n">
        <v>2</v>
      </c>
      <c r="H153" s="201" t="s">
        <v>118</v>
      </c>
      <c r="I153" s="201" t="n">
        <v>0</v>
      </c>
      <c r="J153" s="201" t="n">
        <v>139</v>
      </c>
      <c r="K153" s="201" t="s">
        <v>66</v>
      </c>
      <c r="L153" s="204" t="n">
        <f aca="false">IF(J153="",0,(J153/J156)*100)</f>
        <v>100</v>
      </c>
      <c r="M153" s="201" t="n">
        <v>1</v>
      </c>
      <c r="N153" s="205" t="n">
        <v>6</v>
      </c>
      <c r="O153" s="138" t="n">
        <f aca="false">IF(M153=1,1,0)</f>
        <v>1</v>
      </c>
      <c r="P153" s="138" t="n">
        <f aca="false">IF(M153=2,1,0)</f>
        <v>0</v>
      </c>
      <c r="Q153" s="139" t="n">
        <f aca="false">IF(M153=3,1,0)</f>
        <v>0</v>
      </c>
      <c r="R153" s="176"/>
      <c r="S153" s="176"/>
      <c r="T153" s="170"/>
      <c r="U153" s="77"/>
    </row>
    <row r="154" customFormat="false" ht="20.15" hidden="false" customHeight="true" outlineLevel="0" collapsed="false">
      <c r="B154" s="77"/>
      <c r="C154" s="170"/>
      <c r="D154" s="173"/>
      <c r="E154" s="105" t="s">
        <v>30</v>
      </c>
      <c r="F154" s="227" t="s">
        <v>32</v>
      </c>
      <c r="G154" s="306" t="n">
        <v>1</v>
      </c>
      <c r="H154" s="228" t="s">
        <v>185</v>
      </c>
      <c r="I154" s="228" t="n">
        <v>0</v>
      </c>
      <c r="J154" s="228" t="n">
        <v>112</v>
      </c>
      <c r="K154" s="317" t="s">
        <v>66</v>
      </c>
      <c r="L154" s="229" t="n">
        <f aca="false">IF(J154="",0,(J154/J156)*100)</f>
        <v>80.5755395683453</v>
      </c>
      <c r="M154" s="228" t="n">
        <v>2</v>
      </c>
      <c r="N154" s="230" t="n">
        <v>3</v>
      </c>
      <c r="O154" s="145" t="n">
        <f aca="false">IF(M154=1,1,0)</f>
        <v>0</v>
      </c>
      <c r="P154" s="145" t="n">
        <f aca="false">IF(M154=2,1,0)</f>
        <v>1</v>
      </c>
      <c r="Q154" s="146" t="n">
        <f aca="false">IF(M154=3,1,0)</f>
        <v>0</v>
      </c>
      <c r="R154" s="176"/>
      <c r="S154" s="176"/>
      <c r="T154" s="170"/>
      <c r="U154" s="77"/>
    </row>
    <row r="155" customFormat="false" ht="20.15" hidden="false" customHeight="true" outlineLevel="0" collapsed="false">
      <c r="B155" s="77"/>
      <c r="C155" s="170"/>
      <c r="D155" s="177"/>
      <c r="E155" s="232" t="s">
        <v>21</v>
      </c>
      <c r="F155" s="233" t="s">
        <v>22</v>
      </c>
      <c r="G155" s="307" t="n">
        <v>3</v>
      </c>
      <c r="H155" s="234" t="s">
        <v>119</v>
      </c>
      <c r="I155" s="234" t="n">
        <v>0</v>
      </c>
      <c r="J155" s="234" t="n">
        <v>72</v>
      </c>
      <c r="K155" s="234" t="s">
        <v>66</v>
      </c>
      <c r="L155" s="235" t="n">
        <f aca="false">IF(J155="",0,(J155/J156)*100)</f>
        <v>51.7985611510791</v>
      </c>
      <c r="M155" s="234" t="n">
        <v>3</v>
      </c>
      <c r="N155" s="236" t="n">
        <v>1</v>
      </c>
      <c r="O155" s="157" t="n">
        <f aca="false">IF(M155=1,1,0)</f>
        <v>0</v>
      </c>
      <c r="P155" s="157" t="n">
        <f aca="false">IF(M155=2,1,0)</f>
        <v>0</v>
      </c>
      <c r="Q155" s="158" t="n">
        <f aca="false">IF(M155=3,1,0)</f>
        <v>1</v>
      </c>
      <c r="R155" s="176"/>
      <c r="S155" s="176"/>
      <c r="T155" s="170"/>
      <c r="U155" s="77"/>
    </row>
    <row r="156" customFormat="false" ht="20.15" hidden="true" customHeight="true" outlineLevel="1" collapsed="false">
      <c r="B156" s="77"/>
      <c r="C156" s="170"/>
      <c r="D156" s="173"/>
      <c r="E156" s="173"/>
      <c r="F156" s="172"/>
      <c r="G156" s="172"/>
      <c r="H156" s="170"/>
      <c r="I156" s="213" t="s">
        <v>92</v>
      </c>
      <c r="J156" s="161" t="n">
        <f aca="false">MAX(J153:J155)</f>
        <v>139</v>
      </c>
      <c r="K156" s="186"/>
      <c r="L156" s="176"/>
      <c r="M156" s="170"/>
      <c r="N156" s="164" t="s">
        <v>93</v>
      </c>
      <c r="O156" s="165" t="n">
        <f aca="false">SUM(O153:O155)</f>
        <v>1</v>
      </c>
      <c r="P156" s="166" t="n">
        <f aca="false">SUM(P153:P155)</f>
        <v>1</v>
      </c>
      <c r="Q156" s="165" t="n">
        <f aca="false">SUM(Q153:Q155)</f>
        <v>1</v>
      </c>
      <c r="R156" s="188"/>
      <c r="S156" s="188"/>
      <c r="T156" s="170"/>
      <c r="U156" s="77"/>
    </row>
    <row r="157" customFormat="false" ht="20.15" hidden="false" customHeight="true" outlineLevel="0" collapsed="false">
      <c r="B157" s="77"/>
      <c r="C157" s="170"/>
      <c r="D157" s="189"/>
      <c r="E157" s="189"/>
      <c r="F157" s="170"/>
      <c r="G157" s="170"/>
      <c r="H157" s="170"/>
      <c r="I157" s="170"/>
      <c r="J157" s="170"/>
      <c r="K157" s="170"/>
      <c r="L157" s="170"/>
      <c r="M157" s="170"/>
      <c r="N157" s="170"/>
      <c r="O157" s="170"/>
      <c r="P157" s="170"/>
      <c r="Q157" s="170"/>
      <c r="R157" s="170"/>
      <c r="S157" s="170"/>
      <c r="T157" s="170"/>
      <c r="U157" s="77"/>
    </row>
    <row r="158" customFormat="false" ht="20.15" hidden="false" customHeight="true" outlineLevel="0" collapsed="false">
      <c r="B158" s="77"/>
      <c r="D158" s="190"/>
      <c r="E158" s="190"/>
      <c r="F158" s="190"/>
      <c r="G158" s="190"/>
      <c r="H158" s="191"/>
      <c r="I158" s="190"/>
      <c r="J158" s="190"/>
      <c r="K158" s="14"/>
      <c r="L158" s="14"/>
      <c r="M158" s="14"/>
      <c r="N158" s="14"/>
      <c r="O158" s="14"/>
      <c r="P158" s="14"/>
      <c r="Q158" s="14"/>
      <c r="R158" s="14"/>
      <c r="S158" s="14"/>
      <c r="U158" s="77"/>
    </row>
    <row r="159" customFormat="false" ht="20.15" hidden="false" customHeight="true" outlineLevel="0" collapsed="false">
      <c r="B159" s="77"/>
      <c r="C159" s="192"/>
      <c r="D159" s="192"/>
      <c r="E159" s="193" t="str">
        <f aca="false">IF(OR(L141="-",L141= ""),H141,L141)</f>
        <v>Viticulture</v>
      </c>
      <c r="F159" s="193"/>
      <c r="G159" s="193"/>
      <c r="H159" s="193"/>
      <c r="I159" s="193"/>
      <c r="J159" s="193"/>
      <c r="K159" s="193"/>
      <c r="L159" s="193"/>
      <c r="M159" s="193"/>
      <c r="N159" s="193"/>
      <c r="O159" s="194"/>
      <c r="P159" s="194"/>
      <c r="Q159" s="194"/>
      <c r="R159" s="194"/>
      <c r="S159" s="194"/>
      <c r="T159" s="192"/>
      <c r="U159" s="195"/>
    </row>
    <row r="160" customFormat="false" ht="50.15" hidden="false" customHeight="true" outlineLevel="0" collapsed="false">
      <c r="B160" s="77"/>
      <c r="C160" s="192"/>
      <c r="D160" s="194"/>
      <c r="E160" s="125" t="s">
        <v>52</v>
      </c>
      <c r="F160" s="126" t="s">
        <v>75</v>
      </c>
      <c r="G160" s="82" t="s">
        <v>76</v>
      </c>
      <c r="H160" s="81" t="s">
        <v>77</v>
      </c>
      <c r="I160" s="59" t="s">
        <v>78</v>
      </c>
      <c r="J160" s="81" t="s">
        <v>79</v>
      </c>
      <c r="K160" s="127" t="s">
        <v>80</v>
      </c>
      <c r="L160" s="81" t="s">
        <v>81</v>
      </c>
      <c r="M160" s="128" t="s">
        <v>82</v>
      </c>
      <c r="N160" s="129" t="s">
        <v>83</v>
      </c>
      <c r="O160" s="130" t="s">
        <v>84</v>
      </c>
      <c r="P160" s="131" t="s">
        <v>85</v>
      </c>
      <c r="Q160" s="131" t="s">
        <v>86</v>
      </c>
      <c r="R160" s="194"/>
      <c r="S160" s="194"/>
      <c r="T160" s="192"/>
      <c r="U160" s="195"/>
    </row>
    <row r="161" customFormat="false" ht="20.15" hidden="false" customHeight="true" outlineLevel="0" collapsed="false">
      <c r="B161" s="77"/>
      <c r="C161" s="192"/>
      <c r="D161" s="208"/>
      <c r="E161" s="86" t="s">
        <v>19</v>
      </c>
      <c r="F161" s="382" t="s">
        <v>20</v>
      </c>
      <c r="G161" s="304" t="n">
        <v>2</v>
      </c>
      <c r="H161" s="222" t="s">
        <v>66</v>
      </c>
      <c r="I161" s="221" t="n">
        <v>0</v>
      </c>
      <c r="J161" s="222" t="n">
        <v>17</v>
      </c>
      <c r="K161" s="222" t="s">
        <v>66</v>
      </c>
      <c r="L161" s="223" t="n">
        <f aca="false">IF(J161="",0,(J161/J164)*100)</f>
        <v>80.952380952381</v>
      </c>
      <c r="M161" s="221" t="n">
        <v>3</v>
      </c>
      <c r="N161" s="224" t="n">
        <v>0</v>
      </c>
      <c r="O161" s="138" t="n">
        <f aca="false">IF(M161=1,1,0)</f>
        <v>0</v>
      </c>
      <c r="P161" s="138" t="n">
        <f aca="false">IF(M161=2,1,0)</f>
        <v>0</v>
      </c>
      <c r="Q161" s="139" t="n">
        <f aca="false">IF(M161=3,1,0)</f>
        <v>1</v>
      </c>
      <c r="R161" s="206"/>
      <c r="S161" s="206"/>
      <c r="T161" s="192"/>
      <c r="U161" s="207"/>
    </row>
    <row r="162" customFormat="false" ht="20.15" hidden="false" customHeight="true" outlineLevel="0" collapsed="false">
      <c r="B162" s="77"/>
      <c r="C162" s="192"/>
      <c r="D162" s="198"/>
      <c r="E162" s="147" t="s">
        <v>30</v>
      </c>
      <c r="F162" s="148" t="s">
        <v>32</v>
      </c>
      <c r="G162" s="305" t="n">
        <v>1</v>
      </c>
      <c r="H162" s="179" t="s">
        <v>66</v>
      </c>
      <c r="I162" s="149" t="n">
        <v>0</v>
      </c>
      <c r="J162" s="179" t="n">
        <v>21</v>
      </c>
      <c r="K162" s="179" t="s">
        <v>66</v>
      </c>
      <c r="L162" s="150" t="n">
        <f aca="false">IF(J162="",0,(J162/J164)*100)</f>
        <v>100</v>
      </c>
      <c r="M162" s="149" t="n">
        <v>1</v>
      </c>
      <c r="N162" s="151" t="n">
        <v>6</v>
      </c>
      <c r="O162" s="145" t="n">
        <f aca="false">IF(M162=1,1,0)</f>
        <v>1</v>
      </c>
      <c r="P162" s="145" t="n">
        <f aca="false">IF(M162=2,1,0)</f>
        <v>0</v>
      </c>
      <c r="Q162" s="146" t="n">
        <f aca="false">IF(M162=3,1,0)</f>
        <v>0</v>
      </c>
      <c r="R162" s="206"/>
      <c r="S162" s="206"/>
      <c r="T162" s="192"/>
      <c r="U162" s="211"/>
    </row>
    <row r="163" customFormat="false" ht="20.15" hidden="false" customHeight="true" outlineLevel="0" collapsed="false">
      <c r="B163" s="77"/>
      <c r="C163" s="192"/>
      <c r="D163" s="198"/>
      <c r="E163" s="232" t="s">
        <v>21</v>
      </c>
      <c r="F163" s="233" t="s">
        <v>22</v>
      </c>
      <c r="G163" s="307" t="n">
        <v>3</v>
      </c>
      <c r="H163" s="308" t="s">
        <v>66</v>
      </c>
      <c r="I163" s="234" t="n">
        <v>0</v>
      </c>
      <c r="J163" s="308" t="n">
        <v>18</v>
      </c>
      <c r="K163" s="308" t="s">
        <v>66</v>
      </c>
      <c r="L163" s="235" t="n">
        <f aca="false">IF(J163="",0,(J163/J164)*100)</f>
        <v>85.7142857142857</v>
      </c>
      <c r="M163" s="234" t="n">
        <v>2</v>
      </c>
      <c r="N163" s="236" t="n">
        <v>3</v>
      </c>
      <c r="O163" s="157" t="n">
        <f aca="false">IF(M163=1,1,0)</f>
        <v>0</v>
      </c>
      <c r="P163" s="157" t="n">
        <f aca="false">IF(M163=2,1,0)</f>
        <v>1</v>
      </c>
      <c r="Q163" s="158" t="n">
        <f aca="false">IF(M163=3,1,0)</f>
        <v>0</v>
      </c>
      <c r="R163" s="206"/>
      <c r="S163" s="206"/>
      <c r="T163" s="192"/>
      <c r="U163" s="211"/>
    </row>
    <row r="164" customFormat="false" ht="20.15" hidden="true" customHeight="true" outlineLevel="1" collapsed="false">
      <c r="B164" s="77"/>
      <c r="C164" s="192"/>
      <c r="D164" s="198"/>
      <c r="E164" s="198"/>
      <c r="F164" s="206"/>
      <c r="G164" s="206"/>
      <c r="H164" s="192"/>
      <c r="I164" s="213" t="s">
        <v>92</v>
      </c>
      <c r="J164" s="161" t="n">
        <f aca="false">MAX(J161:J163)</f>
        <v>21</v>
      </c>
      <c r="K164" s="214"/>
      <c r="L164" s="206"/>
      <c r="M164" s="192"/>
      <c r="N164" s="164" t="s">
        <v>93</v>
      </c>
      <c r="O164" s="165" t="n">
        <f aca="false">SUM(O161:O163)</f>
        <v>1</v>
      </c>
      <c r="P164" s="166" t="n">
        <f aca="false">SUM(P161:P163)</f>
        <v>1</v>
      </c>
      <c r="Q164" s="165" t="n">
        <f aca="false">SUM(Q161:Q163)</f>
        <v>1</v>
      </c>
      <c r="R164" s="215"/>
      <c r="S164" s="215"/>
      <c r="T164" s="192"/>
      <c r="U164" s="211"/>
    </row>
    <row r="165" customFormat="false" ht="20.15" hidden="false" customHeight="true" outlineLevel="0" collapsed="false">
      <c r="B165" s="77"/>
      <c r="C165" s="192"/>
      <c r="D165" s="216"/>
      <c r="E165" s="216"/>
      <c r="F165" s="192"/>
      <c r="G165" s="192"/>
      <c r="H165" s="192"/>
      <c r="I165" s="192"/>
      <c r="J165" s="192"/>
      <c r="K165" s="192"/>
      <c r="L165" s="192"/>
      <c r="M165" s="192"/>
      <c r="N165" s="192"/>
      <c r="O165" s="192"/>
      <c r="P165" s="192"/>
      <c r="Q165" s="192"/>
      <c r="R165" s="192"/>
      <c r="S165" s="192"/>
      <c r="T165" s="192"/>
      <c r="U165" s="211"/>
    </row>
    <row r="166" customFormat="false" ht="20.15" hidden="false" customHeight="true" outlineLevel="0" collapsed="false">
      <c r="B166" s="77"/>
      <c r="D166" s="5"/>
      <c r="E166" s="5"/>
      <c r="F166" s="5"/>
      <c r="G166" s="5"/>
      <c r="H166" s="5"/>
      <c r="I166" s="5"/>
      <c r="J166" s="5"/>
      <c r="K166" s="14"/>
      <c r="L166" s="14"/>
      <c r="M166" s="14"/>
      <c r="N166" s="14"/>
      <c r="O166" s="14"/>
      <c r="P166" s="14"/>
      <c r="Q166" s="14"/>
      <c r="R166" s="14"/>
      <c r="S166" s="14"/>
      <c r="U166" s="77"/>
    </row>
    <row r="167" customFormat="false" ht="30" hidden="false" customHeight="true" outlineLevel="0" collapsed="false">
      <c r="B167" s="77"/>
      <c r="C167" s="240"/>
      <c r="D167" s="241" t="s">
        <v>149</v>
      </c>
      <c r="E167" s="241"/>
      <c r="F167" s="241"/>
      <c r="G167" s="241"/>
      <c r="H167" s="241"/>
      <c r="I167" s="241"/>
      <c r="J167" s="241"/>
      <c r="K167" s="241"/>
      <c r="L167" s="241"/>
      <c r="M167" s="241"/>
      <c r="N167" s="241"/>
      <c r="O167" s="398"/>
      <c r="P167" s="398"/>
      <c r="Q167" s="398"/>
      <c r="R167" s="398"/>
      <c r="S167" s="398"/>
      <c r="T167" s="240"/>
      <c r="U167" s="77"/>
    </row>
    <row r="168" customFormat="false" ht="50.15" hidden="false" customHeight="true" outlineLevel="0" collapsed="false">
      <c r="B168" s="77"/>
      <c r="C168" s="240"/>
      <c r="D168" s="242" t="s">
        <v>52</v>
      </c>
      <c r="E168" s="243" t="s">
        <v>53</v>
      </c>
      <c r="F168" s="244" t="s">
        <v>83</v>
      </c>
      <c r="G168" s="245" t="s">
        <v>102</v>
      </c>
      <c r="H168" s="246" t="s">
        <v>103</v>
      </c>
      <c r="I168" s="246"/>
      <c r="J168" s="247" t="s">
        <v>104</v>
      </c>
      <c r="K168" s="248" t="s">
        <v>105</v>
      </c>
      <c r="L168" s="244" t="s">
        <v>106</v>
      </c>
      <c r="M168" s="248" t="s">
        <v>107</v>
      </c>
      <c r="N168" s="243" t="s">
        <v>109</v>
      </c>
      <c r="O168" s="399"/>
      <c r="P168" s="400"/>
      <c r="Q168" s="400"/>
      <c r="R168" s="401"/>
      <c r="S168" s="401"/>
      <c r="T168" s="240"/>
      <c r="U168" s="77"/>
    </row>
    <row r="169" customFormat="false" ht="20.15" hidden="false" customHeight="true" outlineLevel="0" collapsed="false">
      <c r="B169" s="77"/>
      <c r="C169" s="240"/>
      <c r="D169" s="251" t="s">
        <v>19</v>
      </c>
      <c r="E169" s="252" t="s">
        <v>20</v>
      </c>
      <c r="F169" s="327" t="n">
        <f aca="false">K169*6+L169*3+M169*0</f>
        <v>12</v>
      </c>
      <c r="G169" s="328" t="n">
        <v>0</v>
      </c>
      <c r="H169" s="328" t="s">
        <v>66</v>
      </c>
      <c r="I169" s="328"/>
      <c r="J169" s="327" t="n">
        <f aca="false">F169+G169</f>
        <v>12</v>
      </c>
      <c r="K169" s="327" t="n">
        <v>2</v>
      </c>
      <c r="L169" s="327" t="n">
        <v>0</v>
      </c>
      <c r="M169" s="327" t="n">
        <v>1</v>
      </c>
      <c r="N169" s="329" t="n">
        <f aca="false">(L145+L153+L161)/3</f>
        <v>93.6507936507937</v>
      </c>
      <c r="O169" s="402"/>
      <c r="P169" s="403"/>
      <c r="Q169" s="403"/>
      <c r="R169" s="401"/>
      <c r="S169" s="401"/>
      <c r="T169" s="240"/>
      <c r="U169" s="77"/>
    </row>
    <row r="170" customFormat="false" ht="20.15" hidden="false" customHeight="true" outlineLevel="0" collapsed="false">
      <c r="B170" s="77"/>
      <c r="C170" s="240"/>
      <c r="D170" s="257" t="s">
        <v>30</v>
      </c>
      <c r="E170" s="384" t="s">
        <v>31</v>
      </c>
      <c r="F170" s="330" t="n">
        <f aca="false">K170*6+L170*3+M170*0</f>
        <v>12</v>
      </c>
      <c r="G170" s="331" t="n">
        <v>0</v>
      </c>
      <c r="H170" s="331" t="s">
        <v>66</v>
      </c>
      <c r="I170" s="331"/>
      <c r="J170" s="330" t="n">
        <f aca="false">F170+G170</f>
        <v>12</v>
      </c>
      <c r="K170" s="330" t="n">
        <v>1</v>
      </c>
      <c r="L170" s="330" t="n">
        <v>2</v>
      </c>
      <c r="M170" s="330" t="n">
        <v>0</v>
      </c>
      <c r="N170" s="333" t="n">
        <f aca="false">(L146+L154+L162)/3</f>
        <v>86.1177724487077</v>
      </c>
      <c r="O170" s="402"/>
      <c r="P170" s="403"/>
      <c r="Q170" s="403"/>
      <c r="R170" s="401"/>
      <c r="S170" s="401"/>
      <c r="T170" s="240"/>
      <c r="U170" s="77"/>
    </row>
    <row r="171" customFormat="false" ht="20.15" hidden="false" customHeight="true" outlineLevel="0" collapsed="false">
      <c r="B171" s="77"/>
      <c r="C171" s="240"/>
      <c r="D171" s="265" t="s">
        <v>21</v>
      </c>
      <c r="E171" s="266" t="s">
        <v>22</v>
      </c>
      <c r="F171" s="338" t="n">
        <f aca="false">K171*6+L171*3+M171*0</f>
        <v>3</v>
      </c>
      <c r="G171" s="339" t="n">
        <v>0</v>
      </c>
      <c r="H171" s="339" t="s">
        <v>66</v>
      </c>
      <c r="I171" s="339"/>
      <c r="J171" s="338" t="n">
        <f aca="false">F171+G171</f>
        <v>3</v>
      </c>
      <c r="K171" s="338" t="n">
        <v>0</v>
      </c>
      <c r="L171" s="338" t="n">
        <v>1</v>
      </c>
      <c r="M171" s="338" t="n">
        <v>2</v>
      </c>
      <c r="N171" s="341" t="n">
        <f aca="false">(L147+L155+L163)/3</f>
        <v>66.9202367044094</v>
      </c>
      <c r="O171" s="402"/>
      <c r="P171" s="403"/>
      <c r="Q171" s="403"/>
      <c r="R171" s="401"/>
      <c r="S171" s="401"/>
      <c r="T171" s="240"/>
      <c r="U171" s="77"/>
    </row>
    <row r="172" customFormat="false" ht="20.15" hidden="false" customHeight="true" outlineLevel="0" collapsed="false">
      <c r="B172" s="77"/>
      <c r="C172" s="240"/>
      <c r="D172" s="240"/>
      <c r="E172" s="240"/>
      <c r="F172" s="240"/>
      <c r="G172" s="240"/>
      <c r="H172" s="240"/>
      <c r="I172" s="240"/>
      <c r="J172" s="240"/>
      <c r="K172" s="240"/>
      <c r="L172" s="240"/>
      <c r="M172" s="240"/>
      <c r="N172" s="240"/>
      <c r="O172" s="240"/>
      <c r="P172" s="240"/>
      <c r="Q172" s="240"/>
      <c r="R172" s="240"/>
      <c r="S172" s="240"/>
      <c r="T172" s="240"/>
      <c r="U172" s="77"/>
    </row>
    <row r="173" customFormat="false" ht="20.15" hidden="false" customHeight="true" outlineLevel="0" collapsed="false">
      <c r="B173" s="77"/>
      <c r="C173" s="77"/>
      <c r="D173" s="270"/>
      <c r="E173" s="270"/>
      <c r="F173" s="195"/>
      <c r="G173" s="195"/>
      <c r="H173" s="270"/>
      <c r="I173" s="270"/>
      <c r="J173" s="270"/>
      <c r="K173" s="207"/>
      <c r="L173" s="207"/>
      <c r="M173" s="207"/>
      <c r="N173" s="207"/>
      <c r="O173" s="207"/>
      <c r="P173" s="207"/>
      <c r="Q173" s="207"/>
      <c r="R173" s="207"/>
      <c r="S173" s="207"/>
      <c r="T173" s="77"/>
      <c r="U173" s="77"/>
    </row>
  </sheetData>
  <mergeCells count="110">
    <mergeCell ref="A1:N2"/>
    <mergeCell ref="B4:J4"/>
    <mergeCell ref="L4:N4"/>
    <mergeCell ref="B5:C5"/>
    <mergeCell ref="B6:C6"/>
    <mergeCell ref="M6:M9"/>
    <mergeCell ref="B7:C7"/>
    <mergeCell ref="B8:C8"/>
    <mergeCell ref="B9:C9"/>
    <mergeCell ref="B10:C10"/>
    <mergeCell ref="M10:M13"/>
    <mergeCell ref="B11:C11"/>
    <mergeCell ref="B12:C12"/>
    <mergeCell ref="B13:C13"/>
    <mergeCell ref="B14:C14"/>
    <mergeCell ref="M14:M16"/>
    <mergeCell ref="B15:C15"/>
    <mergeCell ref="B16:C16"/>
    <mergeCell ref="B17:C17"/>
    <mergeCell ref="L17:M17"/>
    <mergeCell ref="B18:I18"/>
    <mergeCell ref="B19:C19"/>
    <mergeCell ref="B20:C20"/>
    <mergeCell ref="C23:T23"/>
    <mergeCell ref="D25:D26"/>
    <mergeCell ref="E25:E26"/>
    <mergeCell ref="F25:F26"/>
    <mergeCell ref="G25:J25"/>
    <mergeCell ref="L25:S25"/>
    <mergeCell ref="I26:J26"/>
    <mergeCell ref="N26:S26"/>
    <mergeCell ref="I27:J27"/>
    <mergeCell ref="N27:S27"/>
    <mergeCell ref="I28:J28"/>
    <mergeCell ref="N28:S28"/>
    <mergeCell ref="I29:J29"/>
    <mergeCell ref="N29:S29"/>
    <mergeCell ref="I30:J30"/>
    <mergeCell ref="N30:S30"/>
    <mergeCell ref="E32:N32"/>
    <mergeCell ref="F38:G38"/>
    <mergeCell ref="F39:G39"/>
    <mergeCell ref="E41:N41"/>
    <mergeCell ref="F47:G47"/>
    <mergeCell ref="E50:N50"/>
    <mergeCell ref="F56:G56"/>
    <mergeCell ref="E59:N59"/>
    <mergeCell ref="F65:G65"/>
    <mergeCell ref="D68:S68"/>
    <mergeCell ref="H69:I69"/>
    <mergeCell ref="H70:I70"/>
    <mergeCell ref="H71:I71"/>
    <mergeCell ref="H72:I72"/>
    <mergeCell ref="H73:I73"/>
    <mergeCell ref="C79:T79"/>
    <mergeCell ref="D81:D82"/>
    <mergeCell ref="E81:E82"/>
    <mergeCell ref="F81:F82"/>
    <mergeCell ref="G81:J81"/>
    <mergeCell ref="L81:S81"/>
    <mergeCell ref="I82:J82"/>
    <mergeCell ref="N82:S82"/>
    <mergeCell ref="I83:J83"/>
    <mergeCell ref="N83:S83"/>
    <mergeCell ref="I84:J84"/>
    <mergeCell ref="N84:S84"/>
    <mergeCell ref="I85:J85"/>
    <mergeCell ref="N85:S85"/>
    <mergeCell ref="I86:J86"/>
    <mergeCell ref="N86:S86"/>
    <mergeCell ref="E88:N88"/>
    <mergeCell ref="F94:G94"/>
    <mergeCell ref="E97:N97"/>
    <mergeCell ref="F103:G103"/>
    <mergeCell ref="E106:N106"/>
    <mergeCell ref="F112:G112"/>
    <mergeCell ref="E115:N115"/>
    <mergeCell ref="F121:G121"/>
    <mergeCell ref="D124:S124"/>
    <mergeCell ref="H125:I125"/>
    <mergeCell ref="H126:I126"/>
    <mergeCell ref="H127:I127"/>
    <mergeCell ref="Y127:Z127"/>
    <mergeCell ref="H128:I128"/>
    <mergeCell ref="H129:I129"/>
    <mergeCell ref="C135:T135"/>
    <mergeCell ref="D137:D138"/>
    <mergeCell ref="E137:E138"/>
    <mergeCell ref="F137:F138"/>
    <mergeCell ref="G137:J137"/>
    <mergeCell ref="L137:S137"/>
    <mergeCell ref="I138:J138"/>
    <mergeCell ref="N138:S138"/>
    <mergeCell ref="I139:J139"/>
    <mergeCell ref="N139:S139"/>
    <mergeCell ref="I140:J140"/>
    <mergeCell ref="N140:S140"/>
    <mergeCell ref="I141:J141"/>
    <mergeCell ref="N141:S141"/>
    <mergeCell ref="E143:N143"/>
    <mergeCell ref="F148:G148"/>
    <mergeCell ref="E151:N151"/>
    <mergeCell ref="F156:G156"/>
    <mergeCell ref="E159:N159"/>
    <mergeCell ref="F164:G164"/>
    <mergeCell ref="D167:N167"/>
    <mergeCell ref="H168:I168"/>
    <mergeCell ref="H169:I169"/>
    <mergeCell ref="H170:I170"/>
    <mergeCell ref="H171:I171"/>
  </mergeCells>
  <dataValidations count="1">
    <dataValidation allowBlank="true" operator="between" showDropDown="false" showErrorMessage="true" showInputMessage="true" sqref="J6:J16"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7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H171" activeCellId="0" sqref="H171"/>
    </sheetView>
  </sheetViews>
  <sheetFormatPr defaultColWidth="11.47265625" defaultRowHeight="14.5" zeroHeight="false" outlineLevelRow="1" outlineLevelCol="1"/>
  <cols>
    <col collapsed="false" customWidth="true" hidden="false" outlineLevel="0" max="3" min="1" style="1" width="3.72"/>
    <col collapsed="false" customWidth="true" hidden="false" outlineLevel="0" max="14" min="4" style="1" width="20.72"/>
    <col collapsed="false" customWidth="true" hidden="true" outlineLevel="1" max="18" min="15" style="1" width="20.72"/>
    <col collapsed="false" customWidth="true" hidden="false" outlineLevel="0" max="19" min="19" style="1" width="20.72"/>
    <col collapsed="false" customWidth="true" hidden="false" outlineLevel="0" max="21" min="20" style="1" width="3.72"/>
    <col collapsed="false" customWidth="true" hidden="false" outlineLevel="0" max="22" min="22" style="1" width="15.81"/>
    <col collapsed="false" customWidth="true" hidden="false" outlineLevel="0" max="24" min="23" style="1" width="20.72"/>
    <col collapsed="false" customWidth="false" hidden="false" outlineLevel="0" max="1024" min="25" style="1" width="11.45"/>
  </cols>
  <sheetData>
    <row r="1" customFormat="false" ht="14.5" hidden="false" customHeight="false" outlineLevel="0" collapsed="false">
      <c r="A1" s="2" t="s">
        <v>354</v>
      </c>
      <c r="B1" s="2"/>
      <c r="C1" s="2"/>
      <c r="D1" s="2"/>
      <c r="E1" s="2"/>
      <c r="F1" s="2"/>
      <c r="G1" s="2"/>
      <c r="H1" s="2"/>
      <c r="I1" s="2"/>
      <c r="J1" s="2"/>
      <c r="K1" s="2"/>
      <c r="L1" s="2"/>
      <c r="M1" s="2"/>
      <c r="N1" s="2"/>
    </row>
    <row r="2" customFormat="false" ht="14.5" hidden="false" customHeight="false" outlineLevel="0" collapsed="false">
      <c r="A2" s="2"/>
      <c r="B2" s="2"/>
      <c r="C2" s="2"/>
      <c r="D2" s="2"/>
      <c r="E2" s="2"/>
      <c r="F2" s="2"/>
      <c r="G2" s="2"/>
      <c r="H2" s="2"/>
      <c r="I2" s="2"/>
      <c r="J2" s="2"/>
      <c r="K2" s="2"/>
      <c r="L2" s="2"/>
      <c r="M2" s="2"/>
      <c r="N2" s="2"/>
    </row>
    <row r="3" customFormat="false" ht="20.15" hidden="false" customHeight="true" outlineLevel="0" collapsed="false"/>
    <row r="4" customFormat="false" ht="15" hidden="false" customHeight="false" outlineLevel="0" collapsed="false">
      <c r="B4" s="3" t="s">
        <v>355</v>
      </c>
      <c r="C4" s="3"/>
      <c r="D4" s="3"/>
      <c r="E4" s="3"/>
      <c r="F4" s="3"/>
      <c r="G4" s="3"/>
      <c r="H4" s="3"/>
      <c r="I4" s="3"/>
      <c r="J4" s="3"/>
      <c r="L4" s="3" t="s">
        <v>2</v>
      </c>
      <c r="M4" s="3"/>
      <c r="N4" s="3"/>
      <c r="Q4" s="4"/>
      <c r="R4" s="4"/>
      <c r="S4" s="4"/>
      <c r="T4" s="5"/>
      <c r="U4" s="4"/>
      <c r="V4" s="4"/>
      <c r="W4" s="4"/>
      <c r="X4" s="4"/>
    </row>
    <row r="5" customFormat="false" ht="50.15" hidden="false" customHeight="true" outlineLevel="0" collapsed="false">
      <c r="B5" s="6" t="s">
        <v>356</v>
      </c>
      <c r="C5" s="6"/>
      <c r="D5" s="7" t="s">
        <v>4</v>
      </c>
      <c r="E5" s="8" t="s">
        <v>5</v>
      </c>
      <c r="F5" s="9" t="s">
        <v>6</v>
      </c>
      <c r="G5" s="10" t="s">
        <v>7</v>
      </c>
      <c r="H5" s="10" t="s">
        <v>8</v>
      </c>
      <c r="I5" s="10" t="s">
        <v>9</v>
      </c>
      <c r="J5" s="9" t="s">
        <v>357</v>
      </c>
      <c r="L5" s="11" t="s">
        <v>4</v>
      </c>
      <c r="M5" s="12" t="s">
        <v>11</v>
      </c>
      <c r="N5" s="13" t="s">
        <v>12</v>
      </c>
      <c r="P5" s="14"/>
      <c r="Q5" s="5"/>
      <c r="S5" s="4"/>
      <c r="T5" s="4"/>
      <c r="U5" s="4"/>
      <c r="V5" s="5"/>
      <c r="W5" s="5"/>
    </row>
    <row r="6" customFormat="false" ht="20.15" hidden="false" customHeight="true" outlineLevel="0" collapsed="false">
      <c r="B6" s="15" t="n">
        <v>1</v>
      </c>
      <c r="C6" s="15"/>
      <c r="D6" s="16" t="s">
        <v>27</v>
      </c>
      <c r="E6" s="17" t="s">
        <v>28</v>
      </c>
      <c r="F6" s="18" t="s">
        <v>29</v>
      </c>
      <c r="G6" s="18" t="s">
        <v>28</v>
      </c>
      <c r="H6" s="18" t="s">
        <v>28</v>
      </c>
      <c r="I6" s="17" t="s">
        <v>18</v>
      </c>
      <c r="J6" s="19" t="s">
        <v>15</v>
      </c>
      <c r="L6" s="20" t="str">
        <f aca="false">D6</f>
        <v>Judith Maibaum</v>
      </c>
      <c r="M6" s="21" t="n">
        <v>1</v>
      </c>
      <c r="N6" s="22" t="n">
        <v>1</v>
      </c>
      <c r="P6" s="14"/>
      <c r="Q6" s="23"/>
      <c r="S6" s="14"/>
      <c r="T6" s="14"/>
      <c r="U6" s="14"/>
      <c r="V6" s="24"/>
      <c r="W6" s="24"/>
    </row>
    <row r="7" customFormat="false" ht="20.15" hidden="false" customHeight="true" outlineLevel="0" collapsed="false">
      <c r="B7" s="25" t="n">
        <v>2</v>
      </c>
      <c r="C7" s="25"/>
      <c r="D7" s="33" t="s">
        <v>13</v>
      </c>
      <c r="E7" s="36" t="s">
        <v>14</v>
      </c>
      <c r="F7" s="36" t="s">
        <v>14</v>
      </c>
      <c r="G7" s="36" t="s">
        <v>14</v>
      </c>
      <c r="H7" s="29" t="s">
        <v>14</v>
      </c>
      <c r="I7" s="29" t="s">
        <v>14</v>
      </c>
      <c r="J7" s="30" t="s">
        <v>15</v>
      </c>
      <c r="L7" s="31" t="str">
        <f aca="false">D7</f>
        <v>Devid Fulterer</v>
      </c>
      <c r="M7" s="21"/>
      <c r="N7" s="32" t="n">
        <v>2</v>
      </c>
      <c r="P7" s="14"/>
      <c r="Q7" s="23"/>
      <c r="S7" s="14"/>
      <c r="T7" s="14"/>
      <c r="U7" s="14"/>
      <c r="V7" s="24"/>
      <c r="W7" s="24"/>
    </row>
    <row r="8" customFormat="false" ht="20.15" hidden="false" customHeight="true" outlineLevel="0" collapsed="false">
      <c r="B8" s="39" t="n">
        <v>3</v>
      </c>
      <c r="C8" s="39"/>
      <c r="D8" s="40" t="s">
        <v>23</v>
      </c>
      <c r="E8" s="418" t="s">
        <v>24</v>
      </c>
      <c r="F8" s="44" t="s">
        <v>24</v>
      </c>
      <c r="G8" s="44" t="s">
        <v>18</v>
      </c>
      <c r="H8" s="44" t="s">
        <v>24</v>
      </c>
      <c r="I8" s="418" t="s">
        <v>18</v>
      </c>
      <c r="J8" s="45" t="s">
        <v>38</v>
      </c>
      <c r="L8" s="31" t="str">
        <f aca="false">D8</f>
        <v>Alex Ulbricht</v>
      </c>
      <c r="M8" s="21"/>
      <c r="N8" s="32" t="n">
        <v>3</v>
      </c>
      <c r="P8" s="14"/>
      <c r="Q8" s="23"/>
      <c r="S8" s="14"/>
      <c r="T8" s="14"/>
      <c r="U8" s="14"/>
      <c r="V8" s="24"/>
      <c r="W8" s="24"/>
    </row>
    <row r="9" customFormat="false" ht="20.15" hidden="false" customHeight="true" outlineLevel="0" collapsed="false">
      <c r="B9" s="25" t="n">
        <v>4</v>
      </c>
      <c r="C9" s="25"/>
      <c r="D9" s="26" t="s">
        <v>25</v>
      </c>
      <c r="E9" s="27" t="s">
        <v>26</v>
      </c>
      <c r="F9" s="28" t="s">
        <v>26</v>
      </c>
      <c r="G9" s="26" t="s">
        <v>26</v>
      </c>
      <c r="H9" s="29" t="s">
        <v>26</v>
      </c>
      <c r="I9" s="36" t="s">
        <v>18</v>
      </c>
      <c r="J9" s="30" t="s">
        <v>15</v>
      </c>
      <c r="L9" s="34" t="str">
        <f aca="false">D9</f>
        <v>Pauline Schätzle</v>
      </c>
      <c r="M9" s="21"/>
      <c r="N9" s="35" t="n">
        <v>4</v>
      </c>
      <c r="P9" s="14"/>
      <c r="Q9" s="23"/>
      <c r="S9" s="14"/>
      <c r="T9" s="14"/>
      <c r="U9" s="14"/>
      <c r="V9" s="24"/>
      <c r="W9" s="24"/>
    </row>
    <row r="10" customFormat="false" ht="20.15" hidden="false" customHeight="true" outlineLevel="0" collapsed="false">
      <c r="B10" s="25" t="n">
        <v>5</v>
      </c>
      <c r="C10" s="25"/>
      <c r="D10" s="33" t="s">
        <v>39</v>
      </c>
      <c r="E10" s="36" t="s">
        <v>40</v>
      </c>
      <c r="F10" s="29" t="s">
        <v>40</v>
      </c>
      <c r="G10" s="29" t="s">
        <v>40</v>
      </c>
      <c r="H10" s="29" t="s">
        <v>18</v>
      </c>
      <c r="I10" s="29" t="s">
        <v>18</v>
      </c>
      <c r="J10" s="30" t="s">
        <v>15</v>
      </c>
      <c r="L10" s="20" t="str">
        <f aca="false">D10</f>
        <v>Markus Hagenauer</v>
      </c>
      <c r="M10" s="37" t="n">
        <v>2</v>
      </c>
      <c r="N10" s="22" t="n">
        <v>1</v>
      </c>
      <c r="P10" s="14"/>
      <c r="Q10" s="23"/>
      <c r="S10" s="14"/>
      <c r="T10" s="14"/>
      <c r="U10" s="14"/>
      <c r="V10" s="24"/>
      <c r="W10" s="24"/>
    </row>
    <row r="11" customFormat="false" ht="20.15" hidden="false" customHeight="true" outlineLevel="0" collapsed="false">
      <c r="B11" s="25" t="n">
        <v>6</v>
      </c>
      <c r="C11" s="25"/>
      <c r="D11" s="33" t="s">
        <v>33</v>
      </c>
      <c r="E11" s="38" t="s">
        <v>34</v>
      </c>
      <c r="F11" s="29" t="s">
        <v>34</v>
      </c>
      <c r="G11" s="29" t="s">
        <v>34</v>
      </c>
      <c r="H11" s="29" t="s">
        <v>18</v>
      </c>
      <c r="I11" s="29" t="s">
        <v>18</v>
      </c>
      <c r="J11" s="30" t="s">
        <v>15</v>
      </c>
      <c r="L11" s="31" t="str">
        <f aca="false">D11</f>
        <v>Kai Maibaum</v>
      </c>
      <c r="M11" s="37"/>
      <c r="N11" s="32" t="n">
        <v>2</v>
      </c>
      <c r="P11" s="14"/>
      <c r="Q11" s="23"/>
      <c r="S11" s="14"/>
      <c r="T11" s="14"/>
      <c r="U11" s="14"/>
      <c r="V11" s="24"/>
      <c r="W11" s="24"/>
    </row>
    <row r="12" customFormat="false" ht="20.15" hidden="false" customHeight="true" outlineLevel="0" collapsed="false">
      <c r="B12" s="25" t="n">
        <v>7</v>
      </c>
      <c r="C12" s="25"/>
      <c r="D12" s="33" t="s">
        <v>19</v>
      </c>
      <c r="E12" s="27" t="s">
        <v>20</v>
      </c>
      <c r="F12" s="28" t="s">
        <v>20</v>
      </c>
      <c r="G12" s="26" t="s">
        <v>20</v>
      </c>
      <c r="H12" s="29" t="s">
        <v>20</v>
      </c>
      <c r="I12" s="29" t="s">
        <v>18</v>
      </c>
      <c r="J12" s="30" t="s">
        <v>15</v>
      </c>
      <c r="L12" s="31" t="str">
        <f aca="false">D12</f>
        <v>Jérôme Schätzle</v>
      </c>
      <c r="M12" s="37"/>
      <c r="N12" s="32" t="n">
        <v>3</v>
      </c>
      <c r="P12" s="14"/>
      <c r="Q12" s="23"/>
      <c r="S12" s="14"/>
      <c r="T12" s="14"/>
      <c r="U12" s="14"/>
      <c r="V12" s="24"/>
      <c r="W12" s="24"/>
    </row>
    <row r="13" customFormat="false" ht="20.15" hidden="false" customHeight="true" outlineLevel="0" collapsed="false">
      <c r="B13" s="25" t="n">
        <v>8</v>
      </c>
      <c r="C13" s="25"/>
      <c r="D13" s="33" t="s">
        <v>30</v>
      </c>
      <c r="E13" s="27" t="s">
        <v>31</v>
      </c>
      <c r="F13" s="28" t="s">
        <v>32</v>
      </c>
      <c r="G13" s="26" t="s">
        <v>18</v>
      </c>
      <c r="H13" s="29" t="s">
        <v>32</v>
      </c>
      <c r="I13" s="36" t="s">
        <v>18</v>
      </c>
      <c r="J13" s="30" t="s">
        <v>15</v>
      </c>
      <c r="L13" s="34" t="str">
        <f aca="false">D13</f>
        <v>Lisa Schätzle</v>
      </c>
      <c r="M13" s="37"/>
      <c r="N13" s="35" t="n">
        <v>4</v>
      </c>
      <c r="P13" s="14"/>
      <c r="Q13" s="23"/>
      <c r="S13" s="14"/>
      <c r="T13" s="14"/>
      <c r="U13" s="14"/>
      <c r="V13" s="24"/>
      <c r="W13" s="24"/>
    </row>
    <row r="14" customFormat="false" ht="20.15" hidden="false" customHeight="true" outlineLevel="0" collapsed="false">
      <c r="B14" s="25" t="n">
        <v>9</v>
      </c>
      <c r="C14" s="25"/>
      <c r="D14" s="26" t="s">
        <v>16</v>
      </c>
      <c r="E14" s="27" t="s">
        <v>17</v>
      </c>
      <c r="F14" s="28" t="s">
        <v>17</v>
      </c>
      <c r="G14" s="26" t="s">
        <v>17</v>
      </c>
      <c r="H14" s="29" t="s">
        <v>17</v>
      </c>
      <c r="I14" s="29" t="s">
        <v>18</v>
      </c>
      <c r="J14" s="30" t="s">
        <v>15</v>
      </c>
      <c r="L14" s="20" t="str">
        <f aca="false">D14</f>
        <v>Andreas Micke</v>
      </c>
      <c r="M14" s="21" t="n">
        <v>3</v>
      </c>
      <c r="N14" s="22" t="n">
        <v>1</v>
      </c>
      <c r="P14" s="14"/>
      <c r="Q14" s="23"/>
      <c r="S14" s="14"/>
      <c r="T14" s="14"/>
      <c r="U14" s="14"/>
      <c r="V14" s="24"/>
      <c r="W14" s="24"/>
    </row>
    <row r="15" customFormat="false" ht="20.15" hidden="false" customHeight="true" outlineLevel="0" collapsed="false">
      <c r="B15" s="47" t="n">
        <v>10</v>
      </c>
      <c r="C15" s="47"/>
      <c r="D15" s="51" t="s">
        <v>21</v>
      </c>
      <c r="E15" s="49" t="s">
        <v>22</v>
      </c>
      <c r="F15" s="50" t="s">
        <v>22</v>
      </c>
      <c r="G15" s="51" t="s">
        <v>18</v>
      </c>
      <c r="H15" s="52" t="s">
        <v>22</v>
      </c>
      <c r="I15" s="52" t="s">
        <v>18</v>
      </c>
      <c r="J15" s="53" t="s">
        <v>15</v>
      </c>
      <c r="L15" s="449" t="str">
        <f aca="false">D15</f>
        <v>Daniel Zimmerman</v>
      </c>
      <c r="M15" s="21"/>
      <c r="N15" s="55" t="n">
        <v>2</v>
      </c>
      <c r="P15" s="14"/>
      <c r="Q15" s="23"/>
      <c r="S15" s="14"/>
      <c r="T15" s="14"/>
      <c r="U15" s="14"/>
      <c r="V15" s="24"/>
      <c r="W15" s="24"/>
    </row>
    <row r="16" customFormat="false" ht="20.15" hidden="false" customHeight="true" outlineLevel="0" collapsed="false">
      <c r="B16" s="23"/>
      <c r="C16" s="23"/>
      <c r="L16" s="56" t="s">
        <v>358</v>
      </c>
      <c r="M16" s="56"/>
      <c r="N16" s="57" t="n">
        <v>10</v>
      </c>
      <c r="P16" s="4"/>
      <c r="Q16" s="4"/>
      <c r="S16" s="4"/>
      <c r="T16" s="4"/>
      <c r="U16" s="4"/>
      <c r="V16" s="4"/>
    </row>
    <row r="17" customFormat="false" ht="15" hidden="false" customHeight="false" outlineLevel="0" collapsed="false">
      <c r="B17" s="3" t="s">
        <v>359</v>
      </c>
      <c r="C17" s="3"/>
      <c r="D17" s="3"/>
      <c r="E17" s="3"/>
      <c r="F17" s="3"/>
      <c r="G17" s="3"/>
      <c r="H17" s="3"/>
      <c r="I17" s="3"/>
      <c r="M17" s="58"/>
      <c r="N17" s="58"/>
      <c r="O17" s="58"/>
      <c r="P17" s="5"/>
      <c r="Q17" s="4"/>
      <c r="R17" s="4"/>
      <c r="T17" s="4"/>
      <c r="U17" s="4"/>
      <c r="V17" s="4"/>
      <c r="W17" s="4"/>
    </row>
    <row r="18" customFormat="false" ht="29.5" hidden="false" customHeight="true" outlineLevel="0" collapsed="false">
      <c r="B18" s="59" t="s">
        <v>45</v>
      </c>
      <c r="C18" s="59"/>
      <c r="D18" s="60" t="s">
        <v>4</v>
      </c>
      <c r="E18" s="61" t="s">
        <v>5</v>
      </c>
      <c r="F18" s="62" t="s">
        <v>6</v>
      </c>
      <c r="G18" s="63" t="s">
        <v>7</v>
      </c>
      <c r="H18" s="64" t="s">
        <v>8</v>
      </c>
      <c r="I18" s="62" t="s">
        <v>9</v>
      </c>
      <c r="M18" s="58"/>
      <c r="N18" s="58"/>
      <c r="O18" s="58"/>
      <c r="P18" s="5"/>
      <c r="Q18" s="4"/>
      <c r="R18" s="4"/>
      <c r="T18" s="4"/>
      <c r="U18" s="4"/>
      <c r="V18" s="4"/>
      <c r="W18" s="4"/>
    </row>
    <row r="19" customFormat="false" ht="20.15" hidden="false" customHeight="true" outlineLevel="0" collapsed="false">
      <c r="B19" s="485" t="n">
        <v>1</v>
      </c>
      <c r="C19" s="485"/>
      <c r="D19" s="499" t="s">
        <v>360</v>
      </c>
      <c r="E19" s="67" t="s">
        <v>361</v>
      </c>
      <c r="F19" s="67" t="s">
        <v>361</v>
      </c>
      <c r="G19" s="67" t="s">
        <v>18</v>
      </c>
      <c r="H19" s="67" t="s">
        <v>18</v>
      </c>
      <c r="I19" s="68" t="s">
        <v>18</v>
      </c>
      <c r="M19" s="58"/>
      <c r="N19" s="58"/>
      <c r="O19" s="58"/>
      <c r="P19" s="5"/>
      <c r="Q19" s="4"/>
      <c r="R19" s="4"/>
      <c r="T19" s="4"/>
      <c r="U19" s="4"/>
      <c r="V19" s="4"/>
      <c r="W19" s="4"/>
    </row>
    <row r="20" customFormat="false" ht="20.15" hidden="false" customHeight="true" outlineLevel="0" collapsed="false">
      <c r="B20" s="491" t="n">
        <v>2</v>
      </c>
      <c r="C20" s="491"/>
      <c r="D20" s="73" t="s">
        <v>49</v>
      </c>
      <c r="E20" s="500" t="s">
        <v>50</v>
      </c>
      <c r="F20" s="500" t="s">
        <v>50</v>
      </c>
      <c r="G20" s="500"/>
      <c r="H20" s="500" t="s">
        <v>50</v>
      </c>
      <c r="I20" s="501"/>
      <c r="M20" s="58"/>
      <c r="N20" s="58"/>
      <c r="O20" s="58"/>
      <c r="P20" s="5"/>
      <c r="Q20" s="4"/>
      <c r="R20" s="4"/>
      <c r="T20" s="4"/>
      <c r="U20" s="4"/>
      <c r="V20" s="4"/>
      <c r="W20" s="4"/>
    </row>
    <row r="21" customFormat="false" ht="20.15" hidden="false" customHeight="true" outlineLevel="0" collapsed="false">
      <c r="M21" s="58"/>
      <c r="N21" s="58"/>
      <c r="O21" s="58"/>
      <c r="P21" s="5"/>
      <c r="Q21" s="4"/>
      <c r="R21" s="4"/>
      <c r="T21" s="4"/>
      <c r="U21" s="4"/>
      <c r="V21" s="4"/>
      <c r="W21" s="4"/>
    </row>
    <row r="22" customFormat="false" ht="20.15" hidden="false" customHeight="true" outlineLevel="0" collapsed="false">
      <c r="B22" s="77"/>
      <c r="C22" s="77"/>
      <c r="D22" s="78"/>
      <c r="E22" s="78"/>
      <c r="F22" s="78"/>
      <c r="G22" s="78"/>
      <c r="H22" s="77"/>
      <c r="I22" s="77"/>
      <c r="J22" s="77"/>
      <c r="K22" s="77"/>
      <c r="L22" s="77"/>
      <c r="M22" s="77"/>
      <c r="N22" s="77"/>
      <c r="O22" s="77"/>
      <c r="P22" s="77"/>
      <c r="Q22" s="77"/>
      <c r="R22" s="77"/>
      <c r="S22" s="77"/>
      <c r="T22" s="77"/>
      <c r="U22" s="77"/>
    </row>
    <row r="23" customFormat="false" ht="30" hidden="false" customHeight="true" outlineLevel="0" collapsed="false">
      <c r="B23" s="77"/>
      <c r="C23" s="79" t="s">
        <v>51</v>
      </c>
      <c r="D23" s="79"/>
      <c r="E23" s="79"/>
      <c r="F23" s="79"/>
      <c r="G23" s="79"/>
      <c r="H23" s="79"/>
      <c r="I23" s="79"/>
      <c r="J23" s="79"/>
      <c r="K23" s="79"/>
      <c r="L23" s="79"/>
      <c r="M23" s="79"/>
      <c r="N23" s="79"/>
      <c r="O23" s="79"/>
      <c r="P23" s="79"/>
      <c r="Q23" s="79"/>
      <c r="R23" s="79"/>
      <c r="S23" s="79"/>
      <c r="T23" s="79"/>
      <c r="U23" s="77"/>
    </row>
    <row r="24" customFormat="false" ht="20.15" hidden="false" customHeight="true" outlineLevel="0" collapsed="false">
      <c r="B24" s="77"/>
      <c r="U24" s="77"/>
    </row>
    <row r="25" customFormat="false" ht="20.15" hidden="false" customHeight="true" outlineLevel="0" collapsed="false">
      <c r="B25" s="77"/>
      <c r="D25" s="80" t="s">
        <v>52</v>
      </c>
      <c r="E25" s="81" t="s">
        <v>53</v>
      </c>
      <c r="F25" s="82" t="s">
        <v>12</v>
      </c>
      <c r="G25" s="81" t="s">
        <v>54</v>
      </c>
      <c r="H25" s="81"/>
      <c r="I25" s="81"/>
      <c r="J25" s="81"/>
      <c r="K25" s="81" t="s">
        <v>55</v>
      </c>
      <c r="L25" s="83" t="s">
        <v>56</v>
      </c>
      <c r="M25" s="83"/>
      <c r="N25" s="83"/>
      <c r="O25" s="83"/>
      <c r="P25" s="83"/>
      <c r="Q25" s="83"/>
      <c r="R25" s="83"/>
      <c r="S25" s="83"/>
      <c r="U25" s="77"/>
    </row>
    <row r="26" customFormat="false" ht="20.15" hidden="false" customHeight="true" outlineLevel="0" collapsed="false">
      <c r="B26" s="77"/>
      <c r="D26" s="80"/>
      <c r="E26" s="81"/>
      <c r="F26" s="81"/>
      <c r="G26" s="84" t="s">
        <v>57</v>
      </c>
      <c r="H26" s="84" t="s">
        <v>58</v>
      </c>
      <c r="I26" s="82" t="s">
        <v>59</v>
      </c>
      <c r="J26" s="82"/>
      <c r="K26" s="84" t="s">
        <v>60</v>
      </c>
      <c r="L26" s="84" t="s">
        <v>57</v>
      </c>
      <c r="M26" s="85" t="s">
        <v>61</v>
      </c>
      <c r="N26" s="82" t="s">
        <v>59</v>
      </c>
      <c r="O26" s="82"/>
      <c r="P26" s="82"/>
      <c r="Q26" s="82"/>
      <c r="R26" s="82"/>
      <c r="S26" s="82"/>
      <c r="U26" s="77"/>
    </row>
    <row r="27" customFormat="false" ht="35.15" hidden="false" customHeight="true" outlineLevel="0" collapsed="false">
      <c r="B27" s="77"/>
      <c r="D27" s="86" t="s">
        <v>27</v>
      </c>
      <c r="E27" s="87" t="s">
        <v>28</v>
      </c>
      <c r="F27" s="22" t="n">
        <v>1</v>
      </c>
      <c r="G27" s="89" t="s">
        <v>67</v>
      </c>
      <c r="H27" s="281" t="s">
        <v>280</v>
      </c>
      <c r="I27" s="91" t="s">
        <v>362</v>
      </c>
      <c r="J27" s="91"/>
      <c r="K27" s="502" t="s">
        <v>68</v>
      </c>
      <c r="L27" s="442" t="s">
        <v>66</v>
      </c>
      <c r="M27" s="495" t="s">
        <v>66</v>
      </c>
      <c r="N27" s="444" t="s">
        <v>66</v>
      </c>
      <c r="O27" s="444"/>
      <c r="P27" s="444"/>
      <c r="Q27" s="444"/>
      <c r="R27" s="444"/>
      <c r="S27" s="444"/>
      <c r="U27" s="77"/>
    </row>
    <row r="28" customFormat="false" ht="65.15" hidden="false" customHeight="true" outlineLevel="0" collapsed="false">
      <c r="B28" s="77"/>
      <c r="D28" s="105" t="s">
        <v>13</v>
      </c>
      <c r="E28" s="290" t="s">
        <v>14</v>
      </c>
      <c r="F28" s="32" t="n">
        <v>2</v>
      </c>
      <c r="G28" s="98" t="s">
        <v>67</v>
      </c>
      <c r="H28" s="99" t="s">
        <v>331</v>
      </c>
      <c r="I28" s="100" t="s">
        <v>363</v>
      </c>
      <c r="J28" s="100"/>
      <c r="K28" s="374" t="s">
        <v>65</v>
      </c>
      <c r="L28" s="376" t="s">
        <v>66</v>
      </c>
      <c r="M28" s="111" t="s">
        <v>66</v>
      </c>
      <c r="N28" s="445" t="s">
        <v>66</v>
      </c>
      <c r="O28" s="445"/>
      <c r="P28" s="445"/>
      <c r="Q28" s="445"/>
      <c r="R28" s="445"/>
      <c r="S28" s="445"/>
      <c r="U28" s="77"/>
    </row>
    <row r="29" customFormat="false" ht="95.15" hidden="false" customHeight="true" outlineLevel="0" collapsed="false">
      <c r="B29" s="77"/>
      <c r="D29" s="105" t="s">
        <v>23</v>
      </c>
      <c r="E29" s="290" t="s">
        <v>24</v>
      </c>
      <c r="F29" s="32" t="n">
        <v>3</v>
      </c>
      <c r="G29" s="106" t="s">
        <v>67</v>
      </c>
      <c r="H29" s="107" t="s">
        <v>364</v>
      </c>
      <c r="I29" s="108" t="s">
        <v>365</v>
      </c>
      <c r="J29" s="108"/>
      <c r="K29" s="374" t="s">
        <v>65</v>
      </c>
      <c r="L29" s="376" t="s">
        <v>66</v>
      </c>
      <c r="M29" s="464" t="s">
        <v>66</v>
      </c>
      <c r="N29" s="112" t="s">
        <v>66</v>
      </c>
      <c r="O29" s="112"/>
      <c r="P29" s="112"/>
      <c r="Q29" s="112"/>
      <c r="R29" s="112"/>
      <c r="S29" s="112"/>
      <c r="U29" s="77"/>
    </row>
    <row r="30" customFormat="false" ht="155.15" hidden="false" customHeight="true" outlineLevel="0" collapsed="false">
      <c r="B30" s="77"/>
      <c r="D30" s="54" t="s">
        <v>25</v>
      </c>
      <c r="E30" s="113" t="s">
        <v>26</v>
      </c>
      <c r="F30" s="55" t="n">
        <v>4</v>
      </c>
      <c r="G30" s="115" t="s">
        <v>67</v>
      </c>
      <c r="H30" s="101" t="s">
        <v>68</v>
      </c>
      <c r="I30" s="116" t="s">
        <v>366</v>
      </c>
      <c r="J30" s="116"/>
      <c r="K30" s="378" t="s">
        <v>65</v>
      </c>
      <c r="L30" s="379" t="s">
        <v>66</v>
      </c>
      <c r="M30" s="119" t="s">
        <v>66</v>
      </c>
      <c r="N30" s="120" t="s">
        <v>66</v>
      </c>
      <c r="O30" s="120"/>
      <c r="P30" s="120"/>
      <c r="Q30" s="120"/>
      <c r="R30" s="120"/>
      <c r="S30" s="120"/>
      <c r="U30" s="77"/>
    </row>
    <row r="31" customFormat="false" ht="20.15" hidden="false" customHeight="true" outlineLevel="0" collapsed="false">
      <c r="B31" s="77"/>
      <c r="D31" s="121"/>
      <c r="E31" s="121"/>
      <c r="U31" s="77"/>
    </row>
    <row r="32" customFormat="false" ht="20.15" hidden="false" customHeight="true" outlineLevel="0" collapsed="false">
      <c r="B32" s="77"/>
      <c r="C32" s="122"/>
      <c r="D32" s="122"/>
      <c r="E32" s="123" t="str">
        <f aca="false">IF(OR(M27="-",M27= ""),H27,M27)</f>
        <v>Dungeon Petz</v>
      </c>
      <c r="F32" s="123"/>
      <c r="G32" s="123"/>
      <c r="H32" s="123"/>
      <c r="I32" s="123"/>
      <c r="J32" s="123"/>
      <c r="K32" s="123"/>
      <c r="L32" s="123"/>
      <c r="M32" s="123"/>
      <c r="N32" s="123"/>
      <c r="O32" s="124"/>
      <c r="P32" s="124"/>
      <c r="Q32" s="124"/>
      <c r="R32" s="124"/>
      <c r="S32" s="124"/>
      <c r="T32" s="122"/>
      <c r="U32" s="77"/>
    </row>
    <row r="33" customFormat="false" ht="50.15" hidden="false" customHeight="true" outlineLevel="0" collapsed="false">
      <c r="B33" s="77"/>
      <c r="C33" s="122"/>
      <c r="D33" s="124"/>
      <c r="E33" s="125" t="s">
        <v>52</v>
      </c>
      <c r="F33" s="126" t="s">
        <v>75</v>
      </c>
      <c r="G33" s="82" t="s">
        <v>76</v>
      </c>
      <c r="H33" s="81" t="s">
        <v>77</v>
      </c>
      <c r="I33" s="59" t="s">
        <v>78</v>
      </c>
      <c r="J33" s="81" t="s">
        <v>79</v>
      </c>
      <c r="K33" s="127" t="s">
        <v>80</v>
      </c>
      <c r="L33" s="81" t="s">
        <v>81</v>
      </c>
      <c r="M33" s="128" t="s">
        <v>82</v>
      </c>
      <c r="N33" s="129" t="s">
        <v>83</v>
      </c>
      <c r="O33" s="130" t="s">
        <v>84</v>
      </c>
      <c r="P33" s="131" t="s">
        <v>85</v>
      </c>
      <c r="Q33" s="131" t="s">
        <v>86</v>
      </c>
      <c r="R33" s="131" t="s">
        <v>87</v>
      </c>
      <c r="S33" s="124"/>
      <c r="T33" s="122"/>
      <c r="U33" s="77"/>
    </row>
    <row r="34" customFormat="false" ht="20.15" hidden="false" customHeight="true" outlineLevel="0" collapsed="false">
      <c r="B34" s="77"/>
      <c r="C34" s="122"/>
      <c r="D34" s="132"/>
      <c r="E34" s="199" t="s">
        <v>27</v>
      </c>
      <c r="F34" s="200" t="s">
        <v>29</v>
      </c>
      <c r="G34" s="201" t="n">
        <v>2</v>
      </c>
      <c r="H34" s="202" t="s">
        <v>66</v>
      </c>
      <c r="I34" s="201" t="n">
        <v>0</v>
      </c>
      <c r="J34" s="201" t="n">
        <v>66</v>
      </c>
      <c r="K34" s="201" t="s">
        <v>66</v>
      </c>
      <c r="L34" s="204" t="n">
        <f aca="false">IF(J34="",0,(J34/J38)*100)</f>
        <v>100</v>
      </c>
      <c r="M34" s="201" t="n">
        <v>1</v>
      </c>
      <c r="N34" s="205" t="n">
        <v>6</v>
      </c>
      <c r="O34" s="137" t="n">
        <f aca="false">IF(M34=1,1,0)</f>
        <v>1</v>
      </c>
      <c r="P34" s="138" t="n">
        <f aca="false">IF(M34=2,1,0)</f>
        <v>0</v>
      </c>
      <c r="Q34" s="138" t="n">
        <f aca="false">IF(M34=3,1,0)</f>
        <v>0</v>
      </c>
      <c r="R34" s="139" t="n">
        <f aca="false">IF(M34=4,1,0)</f>
        <v>0</v>
      </c>
      <c r="S34" s="140"/>
      <c r="T34" s="122"/>
      <c r="U34" s="77"/>
    </row>
    <row r="35" customFormat="false" ht="20.15" hidden="false" customHeight="true" outlineLevel="0" collapsed="false">
      <c r="B35" s="77"/>
      <c r="C35" s="122"/>
      <c r="D35" s="132"/>
      <c r="E35" s="105" t="s">
        <v>13</v>
      </c>
      <c r="F35" s="290" t="s">
        <v>14</v>
      </c>
      <c r="G35" s="228" t="n">
        <v>3</v>
      </c>
      <c r="H35" s="228" t="s">
        <v>66</v>
      </c>
      <c r="I35" s="228" t="n">
        <v>0</v>
      </c>
      <c r="J35" s="228" t="n">
        <v>32</v>
      </c>
      <c r="K35" s="228" t="s">
        <v>66</v>
      </c>
      <c r="L35" s="229" t="n">
        <f aca="false">IF(J35="",0,(J35/J38)*100)</f>
        <v>48.4848484848485</v>
      </c>
      <c r="M35" s="228" t="n">
        <v>4</v>
      </c>
      <c r="N35" s="230" t="n">
        <v>0</v>
      </c>
      <c r="O35" s="144" t="n">
        <f aca="false">IF(M35=1,1,0)</f>
        <v>0</v>
      </c>
      <c r="P35" s="145" t="n">
        <f aca="false">IF(M35=2,1,0)</f>
        <v>0</v>
      </c>
      <c r="Q35" s="145" t="n">
        <f aca="false">IF(M35=3,1,0)</f>
        <v>0</v>
      </c>
      <c r="R35" s="146" t="n">
        <f aca="false">IF(M35=4,1,0)</f>
        <v>1</v>
      </c>
      <c r="S35" s="140"/>
      <c r="T35" s="122"/>
      <c r="U35" s="77"/>
    </row>
    <row r="36" customFormat="false" ht="20.15" hidden="false" customHeight="true" outlineLevel="0" collapsed="false">
      <c r="B36" s="77"/>
      <c r="C36" s="122"/>
      <c r="D36" s="132"/>
      <c r="E36" s="105" t="s">
        <v>23</v>
      </c>
      <c r="F36" s="290" t="s">
        <v>24</v>
      </c>
      <c r="G36" s="228" t="n">
        <v>1</v>
      </c>
      <c r="H36" s="228" t="s">
        <v>66</v>
      </c>
      <c r="I36" s="228" t="n">
        <v>0</v>
      </c>
      <c r="J36" s="228" t="n">
        <v>53</v>
      </c>
      <c r="K36" s="228" t="s">
        <v>66</v>
      </c>
      <c r="L36" s="229" t="n">
        <f aca="false">IF(J36="",0,(J36/J38)*100)</f>
        <v>80.3030303030303</v>
      </c>
      <c r="M36" s="228" t="n">
        <v>2</v>
      </c>
      <c r="N36" s="230" t="n">
        <v>3</v>
      </c>
      <c r="O36" s="144" t="n">
        <f aca="false">IF(M36=1,1,0)</f>
        <v>0</v>
      </c>
      <c r="P36" s="145" t="n">
        <f aca="false">IF(M36=2,1,0)</f>
        <v>1</v>
      </c>
      <c r="Q36" s="145" t="n">
        <f aca="false">IF(M36=3,1,0)</f>
        <v>0</v>
      </c>
      <c r="R36" s="146" t="n">
        <f aca="false">IF(M36=4,1,0)</f>
        <v>0</v>
      </c>
      <c r="S36" s="140"/>
      <c r="T36" s="122"/>
      <c r="U36" s="77"/>
    </row>
    <row r="37" customFormat="false" ht="20.15" hidden="false" customHeight="true" outlineLevel="0" collapsed="false">
      <c r="B37" s="77"/>
      <c r="C37" s="122"/>
      <c r="D37" s="152"/>
      <c r="E37" s="54" t="s">
        <v>25</v>
      </c>
      <c r="F37" s="113" t="s">
        <v>26</v>
      </c>
      <c r="G37" s="234" t="n">
        <v>4</v>
      </c>
      <c r="H37" s="234" t="s">
        <v>66</v>
      </c>
      <c r="I37" s="234" t="n">
        <v>0</v>
      </c>
      <c r="J37" s="234" t="n">
        <v>49</v>
      </c>
      <c r="K37" s="234" t="s">
        <v>66</v>
      </c>
      <c r="L37" s="381" t="n">
        <f aca="false">IF(J37="",0,(J37/J38)*100)</f>
        <v>74.2424242424243</v>
      </c>
      <c r="M37" s="234" t="n">
        <v>3</v>
      </c>
      <c r="N37" s="236" t="n">
        <v>1</v>
      </c>
      <c r="O37" s="156" t="n">
        <f aca="false">IF(M37=1,1,0)</f>
        <v>0</v>
      </c>
      <c r="P37" s="157" t="n">
        <f aca="false">IF(M37=2,1,0)</f>
        <v>0</v>
      </c>
      <c r="Q37" s="157" t="n">
        <f aca="false">IF(M37=3,1,0)</f>
        <v>1</v>
      </c>
      <c r="R37" s="158" t="n">
        <f aca="false">IF(M37=4,1,0)</f>
        <v>0</v>
      </c>
      <c r="S37" s="140"/>
      <c r="T37" s="122"/>
      <c r="U37" s="77"/>
    </row>
    <row r="38" customFormat="false" ht="20.15" hidden="true" customHeight="true" outlineLevel="1" collapsed="false">
      <c r="B38" s="77"/>
      <c r="C38" s="122"/>
      <c r="D38" s="159"/>
      <c r="E38" s="159"/>
      <c r="F38" s="140"/>
      <c r="G38" s="140"/>
      <c r="H38" s="122"/>
      <c r="I38" s="160" t="s">
        <v>92</v>
      </c>
      <c r="J38" s="161" t="n">
        <f aca="false">MAX(J34:J37)</f>
        <v>66</v>
      </c>
      <c r="K38" s="162"/>
      <c r="L38" s="163"/>
      <c r="M38" s="122"/>
      <c r="N38" s="164" t="s">
        <v>93</v>
      </c>
      <c r="O38" s="165" t="n">
        <f aca="false">SUM(O34:O37)</f>
        <v>1</v>
      </c>
      <c r="P38" s="166" t="n">
        <f aca="false">SUM(P34:P37)</f>
        <v>1</v>
      </c>
      <c r="Q38" s="165" t="n">
        <f aca="false">SUM(Q34:Q37)</f>
        <v>1</v>
      </c>
      <c r="R38" s="165" t="n">
        <f aca="false">SUM(R34:R37)</f>
        <v>1</v>
      </c>
      <c r="S38" s="167"/>
      <c r="T38" s="122"/>
      <c r="U38" s="77"/>
    </row>
    <row r="39" customFormat="false" ht="20.15" hidden="false" customHeight="true" outlineLevel="0" collapsed="false">
      <c r="B39" s="77"/>
      <c r="C39" s="122"/>
      <c r="D39" s="168"/>
      <c r="E39" s="168"/>
      <c r="F39" s="169"/>
      <c r="G39" s="169"/>
      <c r="H39" s="124"/>
      <c r="I39" s="122"/>
      <c r="J39" s="122"/>
      <c r="K39" s="122"/>
      <c r="L39" s="122"/>
      <c r="M39" s="122"/>
      <c r="N39" s="122"/>
      <c r="O39" s="122"/>
      <c r="P39" s="122"/>
      <c r="Q39" s="122"/>
      <c r="R39" s="122"/>
      <c r="S39" s="122"/>
      <c r="T39" s="122"/>
      <c r="U39" s="77"/>
    </row>
    <row r="40" customFormat="false" ht="20.15" hidden="false" customHeight="true" outlineLevel="0" collapsed="false">
      <c r="B40" s="77"/>
      <c r="U40" s="77"/>
    </row>
    <row r="41" customFormat="false" ht="20.15" hidden="false" customHeight="true" outlineLevel="0" collapsed="false">
      <c r="B41" s="77"/>
      <c r="C41" s="170"/>
      <c r="D41" s="170"/>
      <c r="E41" s="171" t="str">
        <f aca="false">IF(OR(M28="-",M28= ""),H28,M28)</f>
        <v>Teotihuacan: Die Stadt der Götter</v>
      </c>
      <c r="F41" s="171"/>
      <c r="G41" s="171"/>
      <c r="H41" s="171"/>
      <c r="I41" s="171"/>
      <c r="J41" s="171"/>
      <c r="K41" s="171"/>
      <c r="L41" s="171"/>
      <c r="M41" s="171"/>
      <c r="N41" s="171"/>
      <c r="O41" s="172"/>
      <c r="P41" s="172"/>
      <c r="Q41" s="172"/>
      <c r="R41" s="172"/>
      <c r="S41" s="172"/>
      <c r="T41" s="170"/>
      <c r="U41" s="77"/>
    </row>
    <row r="42" customFormat="false" ht="50.15" hidden="false" customHeight="true" outlineLevel="0" collapsed="false">
      <c r="B42" s="77"/>
      <c r="C42" s="170"/>
      <c r="D42" s="172"/>
      <c r="E42" s="125" t="s">
        <v>52</v>
      </c>
      <c r="F42" s="126" t="s">
        <v>75</v>
      </c>
      <c r="G42" s="82" t="s">
        <v>76</v>
      </c>
      <c r="H42" s="81" t="s">
        <v>77</v>
      </c>
      <c r="I42" s="59" t="s">
        <v>78</v>
      </c>
      <c r="J42" s="81" t="s">
        <v>79</v>
      </c>
      <c r="K42" s="127" t="s">
        <v>80</v>
      </c>
      <c r="L42" s="81" t="s">
        <v>81</v>
      </c>
      <c r="M42" s="128" t="s">
        <v>82</v>
      </c>
      <c r="N42" s="129" t="s">
        <v>83</v>
      </c>
      <c r="O42" s="130" t="s">
        <v>84</v>
      </c>
      <c r="P42" s="131" t="s">
        <v>85</v>
      </c>
      <c r="Q42" s="131" t="s">
        <v>86</v>
      </c>
      <c r="R42" s="131" t="s">
        <v>87</v>
      </c>
      <c r="S42" s="172"/>
      <c r="T42" s="170"/>
      <c r="U42" s="77"/>
    </row>
    <row r="43" customFormat="false" ht="20.15" hidden="false" customHeight="true" outlineLevel="0" collapsed="false">
      <c r="B43" s="77"/>
      <c r="C43" s="170"/>
      <c r="D43" s="173"/>
      <c r="E43" s="86" t="s">
        <v>27</v>
      </c>
      <c r="F43" s="87" t="s">
        <v>29</v>
      </c>
      <c r="G43" s="221" t="n">
        <v>3</v>
      </c>
      <c r="H43" s="222" t="s">
        <v>66</v>
      </c>
      <c r="I43" s="221" t="n">
        <v>0</v>
      </c>
      <c r="J43" s="222" t="n">
        <v>155</v>
      </c>
      <c r="K43" s="222" t="s">
        <v>66</v>
      </c>
      <c r="L43" s="223" t="n">
        <f aca="false">IF(J43="",0,(J43/J47)*100)</f>
        <v>91.1764705882353</v>
      </c>
      <c r="M43" s="221" t="n">
        <v>3</v>
      </c>
      <c r="N43" s="224" t="n">
        <v>1</v>
      </c>
      <c r="O43" s="137" t="n">
        <f aca="false">IF(M43=1,1,0)</f>
        <v>0</v>
      </c>
      <c r="P43" s="138" t="n">
        <f aca="false">IF(M43=2,1,0)</f>
        <v>0</v>
      </c>
      <c r="Q43" s="138" t="n">
        <f aca="false">IF(M43=3,1,0)</f>
        <v>1</v>
      </c>
      <c r="R43" s="139" t="n">
        <f aca="false">IF(M43=4,1,0)</f>
        <v>0</v>
      </c>
      <c r="S43" s="176"/>
      <c r="T43" s="170"/>
      <c r="U43" s="77"/>
    </row>
    <row r="44" customFormat="false" ht="20.15" hidden="false" customHeight="true" outlineLevel="0" collapsed="false">
      <c r="B44" s="77"/>
      <c r="C44" s="170"/>
      <c r="D44" s="177"/>
      <c r="E44" s="105" t="s">
        <v>13</v>
      </c>
      <c r="F44" s="290" t="s">
        <v>14</v>
      </c>
      <c r="G44" s="228" t="n">
        <v>4</v>
      </c>
      <c r="H44" s="317" t="s">
        <v>66</v>
      </c>
      <c r="I44" s="228" t="n">
        <v>0</v>
      </c>
      <c r="J44" s="317" t="n">
        <v>150</v>
      </c>
      <c r="K44" s="317" t="s">
        <v>66</v>
      </c>
      <c r="L44" s="229" t="n">
        <f aca="false">IF(J44="",0,(J44/J47)*100)</f>
        <v>88.2352941176471</v>
      </c>
      <c r="M44" s="228" t="n">
        <v>4</v>
      </c>
      <c r="N44" s="230" t="n">
        <v>0</v>
      </c>
      <c r="O44" s="144" t="n">
        <f aca="false">IF(M44=1,1,0)</f>
        <v>0</v>
      </c>
      <c r="P44" s="145" t="n">
        <f aca="false">IF(M44=2,1,0)</f>
        <v>0</v>
      </c>
      <c r="Q44" s="145" t="n">
        <f aca="false">IF(M44=3,1,0)</f>
        <v>0</v>
      </c>
      <c r="R44" s="146" t="n">
        <f aca="false">IF(M44=4,1,0)</f>
        <v>1</v>
      </c>
      <c r="S44" s="176"/>
      <c r="T44" s="170"/>
      <c r="U44" s="77"/>
    </row>
    <row r="45" customFormat="false" ht="20.15" hidden="false" customHeight="true" outlineLevel="0" collapsed="false">
      <c r="B45" s="77"/>
      <c r="C45" s="170"/>
      <c r="D45" s="173"/>
      <c r="E45" s="105" t="s">
        <v>23</v>
      </c>
      <c r="F45" s="290" t="s">
        <v>24</v>
      </c>
      <c r="G45" s="228" t="n">
        <v>1</v>
      </c>
      <c r="H45" s="317" t="s">
        <v>66</v>
      </c>
      <c r="I45" s="228" t="n">
        <v>0</v>
      </c>
      <c r="J45" s="317" t="n">
        <v>170</v>
      </c>
      <c r="K45" s="317" t="s">
        <v>367</v>
      </c>
      <c r="L45" s="229" t="n">
        <f aca="false">IF(J45="",0,(J45/J47)*100)</f>
        <v>100</v>
      </c>
      <c r="M45" s="228" t="n">
        <v>2</v>
      </c>
      <c r="N45" s="230" t="n">
        <v>3</v>
      </c>
      <c r="O45" s="144" t="n">
        <f aca="false">IF(M45=1,1,0)</f>
        <v>0</v>
      </c>
      <c r="P45" s="145" t="n">
        <f aca="false">IF(M45=2,1,0)</f>
        <v>1</v>
      </c>
      <c r="Q45" s="145" t="n">
        <f aca="false">IF(M45=3,1,0)</f>
        <v>0</v>
      </c>
      <c r="R45" s="146" t="n">
        <f aca="false">IF(M45=4,1,0)</f>
        <v>0</v>
      </c>
      <c r="S45" s="176"/>
      <c r="T45" s="170"/>
      <c r="U45" s="77"/>
    </row>
    <row r="46" customFormat="false" ht="20.15" hidden="false" customHeight="true" outlineLevel="0" collapsed="false">
      <c r="B46" s="77"/>
      <c r="C46" s="170"/>
      <c r="D46" s="173"/>
      <c r="E46" s="439" t="s">
        <v>25</v>
      </c>
      <c r="F46" s="319" t="s">
        <v>26</v>
      </c>
      <c r="G46" s="322" t="n">
        <v>2</v>
      </c>
      <c r="H46" s="321" t="s">
        <v>66</v>
      </c>
      <c r="I46" s="322" t="n">
        <v>0</v>
      </c>
      <c r="J46" s="321" t="n">
        <v>170</v>
      </c>
      <c r="K46" s="322" t="s">
        <v>368</v>
      </c>
      <c r="L46" s="323" t="n">
        <f aca="false">IF(J46="",0,(J46/J47)*100)</f>
        <v>100</v>
      </c>
      <c r="M46" s="322" t="n">
        <v>1</v>
      </c>
      <c r="N46" s="324" t="n">
        <v>6</v>
      </c>
      <c r="O46" s="156" t="n">
        <f aca="false">IF(M46=1,1,0)</f>
        <v>1</v>
      </c>
      <c r="P46" s="157" t="n">
        <f aca="false">IF(M46=2,1,0)</f>
        <v>0</v>
      </c>
      <c r="Q46" s="157" t="n">
        <f aca="false">IF(M46=3,1,0)</f>
        <v>0</v>
      </c>
      <c r="R46" s="158" t="n">
        <f aca="false">IF(M46=4,1,0)</f>
        <v>0</v>
      </c>
      <c r="S46" s="176"/>
      <c r="T46" s="170"/>
      <c r="U46" s="77"/>
    </row>
    <row r="47" customFormat="false" ht="20.15" hidden="true" customHeight="true" outlineLevel="1" collapsed="false">
      <c r="B47" s="77"/>
      <c r="C47" s="170"/>
      <c r="D47" s="173"/>
      <c r="E47" s="173"/>
      <c r="F47" s="172"/>
      <c r="G47" s="172"/>
      <c r="H47" s="170"/>
      <c r="I47" s="185" t="s">
        <v>92</v>
      </c>
      <c r="J47" s="161" t="n">
        <f aca="false">MAX(J43:J46)</f>
        <v>170</v>
      </c>
      <c r="K47" s="186"/>
      <c r="L47" s="176"/>
      <c r="M47" s="170"/>
      <c r="N47" s="164" t="s">
        <v>93</v>
      </c>
      <c r="O47" s="165" t="n">
        <f aca="false">SUM(O43:O46)</f>
        <v>1</v>
      </c>
      <c r="P47" s="166" t="n">
        <f aca="false">SUM(P43:P46)</f>
        <v>1</v>
      </c>
      <c r="Q47" s="165" t="n">
        <f aca="false">SUM(Q43:Q46)</f>
        <v>1</v>
      </c>
      <c r="R47" s="187" t="n">
        <f aca="false">SUM(R43:R46)</f>
        <v>1</v>
      </c>
      <c r="S47" s="188"/>
      <c r="T47" s="170"/>
      <c r="U47" s="77"/>
    </row>
    <row r="48" customFormat="false" ht="20.15" hidden="false" customHeight="true" outlineLevel="0" collapsed="false">
      <c r="B48" s="77"/>
      <c r="C48" s="170"/>
      <c r="D48" s="189"/>
      <c r="E48" s="189"/>
      <c r="F48" s="170"/>
      <c r="G48" s="170"/>
      <c r="H48" s="170"/>
      <c r="I48" s="170"/>
      <c r="J48" s="170"/>
      <c r="K48" s="170"/>
      <c r="L48" s="170"/>
      <c r="M48" s="170"/>
      <c r="N48" s="170"/>
      <c r="O48" s="170"/>
      <c r="P48" s="170"/>
      <c r="Q48" s="170"/>
      <c r="R48" s="170"/>
      <c r="S48" s="170"/>
      <c r="T48" s="170"/>
      <c r="U48" s="77"/>
    </row>
    <row r="49" customFormat="false" ht="20.15" hidden="false" customHeight="true" outlineLevel="0" collapsed="false">
      <c r="B49" s="77"/>
      <c r="D49" s="190"/>
      <c r="E49" s="190"/>
      <c r="F49" s="190"/>
      <c r="G49" s="190"/>
      <c r="H49" s="191"/>
      <c r="I49" s="190"/>
      <c r="J49" s="190"/>
      <c r="K49" s="14"/>
      <c r="L49" s="14"/>
      <c r="M49" s="14"/>
      <c r="N49" s="14"/>
      <c r="O49" s="14"/>
      <c r="P49" s="14"/>
      <c r="Q49" s="14"/>
      <c r="R49" s="14"/>
      <c r="S49" s="14"/>
      <c r="U49" s="77"/>
    </row>
    <row r="50" customFormat="false" ht="20.15" hidden="false" customHeight="true" outlineLevel="0" collapsed="false">
      <c r="B50" s="77"/>
      <c r="C50" s="192"/>
      <c r="D50" s="192"/>
      <c r="E50" s="193" t="str">
        <f aca="false">IF(OR(M29="-",M29= ""),H29,M29)</f>
        <v>Stone Age</v>
      </c>
      <c r="F50" s="193"/>
      <c r="G50" s="193"/>
      <c r="H50" s="193"/>
      <c r="I50" s="193"/>
      <c r="J50" s="193"/>
      <c r="K50" s="193"/>
      <c r="L50" s="193"/>
      <c r="M50" s="193"/>
      <c r="N50" s="193"/>
      <c r="O50" s="194"/>
      <c r="P50" s="194"/>
      <c r="Q50" s="194"/>
      <c r="R50" s="194"/>
      <c r="S50" s="194"/>
      <c r="T50" s="192"/>
      <c r="U50" s="195"/>
      <c r="V50" s="196"/>
      <c r="W50" s="196"/>
    </row>
    <row r="51" customFormat="false" ht="50.15" hidden="false" customHeight="true" outlineLevel="0" collapsed="false">
      <c r="B51" s="77"/>
      <c r="C51" s="192"/>
      <c r="D51" s="194"/>
      <c r="E51" s="125" t="s">
        <v>52</v>
      </c>
      <c r="F51" s="126" t="s">
        <v>75</v>
      </c>
      <c r="G51" s="82" t="s">
        <v>76</v>
      </c>
      <c r="H51" s="81" t="s">
        <v>77</v>
      </c>
      <c r="I51" s="59" t="s">
        <v>78</v>
      </c>
      <c r="J51" s="81" t="s">
        <v>79</v>
      </c>
      <c r="K51" s="127" t="s">
        <v>80</v>
      </c>
      <c r="L51" s="81" t="s">
        <v>81</v>
      </c>
      <c r="M51" s="128" t="s">
        <v>82</v>
      </c>
      <c r="N51" s="129" t="s">
        <v>83</v>
      </c>
      <c r="O51" s="130" t="s">
        <v>84</v>
      </c>
      <c r="P51" s="131" t="s">
        <v>85</v>
      </c>
      <c r="Q51" s="131" t="s">
        <v>86</v>
      </c>
      <c r="R51" s="197" t="s">
        <v>87</v>
      </c>
      <c r="S51" s="194"/>
      <c r="T51" s="192"/>
      <c r="U51" s="195"/>
      <c r="V51" s="196"/>
      <c r="W51" s="196"/>
    </row>
    <row r="52" customFormat="false" ht="20.15" hidden="false" customHeight="true" outlineLevel="0" collapsed="false">
      <c r="B52" s="77"/>
      <c r="C52" s="192"/>
      <c r="D52" s="198"/>
      <c r="E52" s="86" t="s">
        <v>27</v>
      </c>
      <c r="F52" s="87" t="s">
        <v>29</v>
      </c>
      <c r="G52" s="221" t="n">
        <v>1</v>
      </c>
      <c r="H52" s="222" t="s">
        <v>66</v>
      </c>
      <c r="I52" s="221" t="n">
        <v>0</v>
      </c>
      <c r="J52" s="436" t="n">
        <v>177</v>
      </c>
      <c r="K52" s="221" t="s">
        <v>66</v>
      </c>
      <c r="L52" s="223" t="n">
        <f aca="false">IF(J52="",0,(J52/J56)*100)</f>
        <v>78.6666666666667</v>
      </c>
      <c r="M52" s="221" t="n">
        <v>2</v>
      </c>
      <c r="N52" s="224" t="n">
        <v>3</v>
      </c>
      <c r="O52" s="137" t="n">
        <f aca="false">IF(M52=1,1,0)</f>
        <v>0</v>
      </c>
      <c r="P52" s="138" t="n">
        <f aca="false">IF(M52=2,1,0)</f>
        <v>1</v>
      </c>
      <c r="Q52" s="138" t="n">
        <f aca="false">IF(M52=3,1,0)</f>
        <v>0</v>
      </c>
      <c r="R52" s="139" t="n">
        <f aca="false">IF(M52=4,1,0)</f>
        <v>0</v>
      </c>
      <c r="S52" s="206"/>
      <c r="T52" s="192"/>
      <c r="U52" s="207"/>
      <c r="V52" s="121"/>
      <c r="W52" s="121"/>
    </row>
    <row r="53" customFormat="false" ht="20.15" hidden="false" customHeight="true" outlineLevel="0" collapsed="false">
      <c r="B53" s="77"/>
      <c r="C53" s="192"/>
      <c r="D53" s="208"/>
      <c r="E53" s="105" t="s">
        <v>13</v>
      </c>
      <c r="F53" s="290" t="s">
        <v>14</v>
      </c>
      <c r="G53" s="228" t="n">
        <v>3</v>
      </c>
      <c r="H53" s="317" t="s">
        <v>66</v>
      </c>
      <c r="I53" s="228" t="n">
        <v>0</v>
      </c>
      <c r="J53" s="424" t="n">
        <v>162</v>
      </c>
      <c r="K53" s="228" t="s">
        <v>66</v>
      </c>
      <c r="L53" s="229" t="n">
        <f aca="false">IF(J53="",0,(J53/J56)*100)</f>
        <v>72</v>
      </c>
      <c r="M53" s="228" t="n">
        <v>3</v>
      </c>
      <c r="N53" s="230" t="n">
        <v>1</v>
      </c>
      <c r="O53" s="144" t="n">
        <f aca="false">IF(M53=1,1,0)</f>
        <v>0</v>
      </c>
      <c r="P53" s="145" t="n">
        <f aca="false">IF(M53=2,1,0)</f>
        <v>0</v>
      </c>
      <c r="Q53" s="145" t="n">
        <f aca="false">IF(M53=3,1,0)</f>
        <v>1</v>
      </c>
      <c r="R53" s="146" t="n">
        <f aca="false">IF(M53=4,1,0)</f>
        <v>0</v>
      </c>
      <c r="S53" s="206"/>
      <c r="T53" s="192"/>
      <c r="U53" s="211"/>
      <c r="V53" s="121"/>
      <c r="W53" s="121"/>
    </row>
    <row r="54" customFormat="false" ht="20.15" hidden="false" customHeight="true" outlineLevel="0" collapsed="false">
      <c r="B54" s="77"/>
      <c r="C54" s="192"/>
      <c r="D54" s="198"/>
      <c r="E54" s="147" t="s">
        <v>23</v>
      </c>
      <c r="F54" s="355" t="s">
        <v>24</v>
      </c>
      <c r="G54" s="149" t="n">
        <v>2</v>
      </c>
      <c r="H54" s="179" t="s">
        <v>66</v>
      </c>
      <c r="I54" s="149" t="n">
        <v>0</v>
      </c>
      <c r="J54" s="496" t="n">
        <v>225</v>
      </c>
      <c r="K54" s="179" t="s">
        <v>66</v>
      </c>
      <c r="L54" s="150" t="n">
        <f aca="false">IF(J54="",0,(J54/J56)*100)</f>
        <v>100</v>
      </c>
      <c r="M54" s="149" t="n">
        <v>1</v>
      </c>
      <c r="N54" s="151" t="n">
        <v>6</v>
      </c>
      <c r="O54" s="144" t="n">
        <f aca="false">IF(M54=1,1,0)</f>
        <v>1</v>
      </c>
      <c r="P54" s="145" t="n">
        <f aca="false">IF(M54=2,1,0)</f>
        <v>0</v>
      </c>
      <c r="Q54" s="145" t="n">
        <f aca="false">IF(M54=3,1,0)</f>
        <v>0</v>
      </c>
      <c r="R54" s="146" t="n">
        <f aca="false">IF(M54=4,1,0)</f>
        <v>0</v>
      </c>
      <c r="S54" s="206"/>
      <c r="T54" s="192"/>
      <c r="U54" s="211"/>
      <c r="V54" s="121"/>
      <c r="W54" s="121"/>
    </row>
    <row r="55" customFormat="false" ht="20.15" hidden="false" customHeight="true" outlineLevel="0" collapsed="false">
      <c r="B55" s="77"/>
      <c r="C55" s="192"/>
      <c r="D55" s="198"/>
      <c r="E55" s="54" t="s">
        <v>25</v>
      </c>
      <c r="F55" s="113" t="s">
        <v>26</v>
      </c>
      <c r="G55" s="234" t="n">
        <v>4</v>
      </c>
      <c r="H55" s="308" t="s">
        <v>66</v>
      </c>
      <c r="I55" s="234" t="n">
        <v>0</v>
      </c>
      <c r="J55" s="425" t="n">
        <v>94</v>
      </c>
      <c r="K55" s="308" t="s">
        <v>66</v>
      </c>
      <c r="L55" s="235" t="n">
        <f aca="false">IF(J55="",0,(J55/J56)*100)</f>
        <v>41.7777777777778</v>
      </c>
      <c r="M55" s="234" t="n">
        <v>4</v>
      </c>
      <c r="N55" s="236" t="n">
        <v>0</v>
      </c>
      <c r="O55" s="156" t="n">
        <f aca="false">IF(M55=1,1,0)</f>
        <v>0</v>
      </c>
      <c r="P55" s="157" t="n">
        <f aca="false">IF(M55=2,1,0)</f>
        <v>0</v>
      </c>
      <c r="Q55" s="157" t="n">
        <f aca="false">IF(M55=3,1,0)</f>
        <v>0</v>
      </c>
      <c r="R55" s="158" t="n">
        <f aca="false">IF(M55=4,1,0)</f>
        <v>1</v>
      </c>
      <c r="S55" s="206"/>
      <c r="T55" s="192"/>
      <c r="U55" s="211"/>
      <c r="V55" s="121"/>
      <c r="W55" s="121"/>
    </row>
    <row r="56" customFormat="false" ht="20.15" hidden="true" customHeight="true" outlineLevel="1" collapsed="false">
      <c r="B56" s="77"/>
      <c r="C56" s="192"/>
      <c r="D56" s="198"/>
      <c r="E56" s="198"/>
      <c r="F56" s="206"/>
      <c r="G56" s="206"/>
      <c r="H56" s="192"/>
      <c r="I56" s="213" t="s">
        <v>92</v>
      </c>
      <c r="J56" s="161" t="n">
        <f aca="false">MAX(J52:J55)</f>
        <v>225</v>
      </c>
      <c r="K56" s="214"/>
      <c r="L56" s="206"/>
      <c r="M56" s="192"/>
      <c r="N56" s="164" t="s">
        <v>93</v>
      </c>
      <c r="O56" s="165" t="n">
        <f aca="false">SUM(O52:O55)</f>
        <v>1</v>
      </c>
      <c r="P56" s="166" t="n">
        <f aca="false">SUM(P52:P55)</f>
        <v>1</v>
      </c>
      <c r="Q56" s="165" t="n">
        <f aca="false">SUM(Q52:Q55)</f>
        <v>1</v>
      </c>
      <c r="R56" s="187" t="n">
        <f aca="false">SUM(R52:R55)</f>
        <v>1</v>
      </c>
      <c r="S56" s="215"/>
      <c r="T56" s="192"/>
      <c r="U56" s="211"/>
      <c r="V56" s="121"/>
      <c r="W56" s="121"/>
    </row>
    <row r="57" customFormat="false" ht="20.15" hidden="false" customHeight="true" outlineLevel="0" collapsed="false">
      <c r="B57" s="77"/>
      <c r="C57" s="192"/>
      <c r="D57" s="216"/>
      <c r="E57" s="216"/>
      <c r="F57" s="192"/>
      <c r="G57" s="192"/>
      <c r="H57" s="192"/>
      <c r="I57" s="192"/>
      <c r="J57" s="192"/>
      <c r="K57" s="192"/>
      <c r="L57" s="192"/>
      <c r="M57" s="192"/>
      <c r="N57" s="192"/>
      <c r="O57" s="192"/>
      <c r="P57" s="192"/>
      <c r="Q57" s="192"/>
      <c r="R57" s="192"/>
      <c r="S57" s="192"/>
      <c r="T57" s="192"/>
      <c r="U57" s="211"/>
      <c r="V57" s="121"/>
      <c r="W57" s="121"/>
    </row>
    <row r="58" customFormat="false" ht="20.15" hidden="false" customHeight="true" outlineLevel="0" collapsed="false">
      <c r="B58" s="77"/>
      <c r="D58" s="190"/>
      <c r="E58" s="190"/>
      <c r="F58" s="190"/>
      <c r="G58" s="190"/>
      <c r="H58" s="191"/>
      <c r="I58" s="190"/>
      <c r="J58" s="190"/>
      <c r="K58" s="190"/>
      <c r="L58" s="14"/>
      <c r="M58" s="14"/>
      <c r="N58" s="14"/>
      <c r="O58" s="14"/>
      <c r="P58" s="14"/>
      <c r="Q58" s="14"/>
      <c r="R58" s="14"/>
      <c r="S58" s="14"/>
      <c r="U58" s="207"/>
      <c r="V58" s="121"/>
      <c r="W58" s="121"/>
    </row>
    <row r="59" customFormat="false" ht="20.15" hidden="false" customHeight="true" outlineLevel="0" collapsed="false">
      <c r="B59" s="77"/>
      <c r="C59" s="217"/>
      <c r="D59" s="217"/>
      <c r="E59" s="218" t="str">
        <f aca="false">IF(OR(M30="-",M30= ""),H30,M30)</f>
        <v>Clans of Caledonia</v>
      </c>
      <c r="F59" s="218"/>
      <c r="G59" s="218"/>
      <c r="H59" s="218"/>
      <c r="I59" s="218"/>
      <c r="J59" s="218"/>
      <c r="K59" s="218"/>
      <c r="L59" s="218"/>
      <c r="M59" s="218"/>
      <c r="N59" s="218"/>
      <c r="O59" s="219"/>
      <c r="P59" s="219"/>
      <c r="Q59" s="219"/>
      <c r="R59" s="219"/>
      <c r="S59" s="219"/>
      <c r="T59" s="217"/>
      <c r="U59" s="77"/>
    </row>
    <row r="60" customFormat="false" ht="50.15" hidden="false" customHeight="true" outlineLevel="0" collapsed="false">
      <c r="B60" s="77"/>
      <c r="C60" s="217"/>
      <c r="D60" s="219"/>
      <c r="E60" s="125" t="s">
        <v>52</v>
      </c>
      <c r="F60" s="126" t="s">
        <v>75</v>
      </c>
      <c r="G60" s="82" t="s">
        <v>76</v>
      </c>
      <c r="H60" s="81" t="s">
        <v>77</v>
      </c>
      <c r="I60" s="59" t="s">
        <v>78</v>
      </c>
      <c r="J60" s="81" t="s">
        <v>79</v>
      </c>
      <c r="K60" s="127" t="s">
        <v>80</v>
      </c>
      <c r="L60" s="81" t="s">
        <v>81</v>
      </c>
      <c r="M60" s="128" t="s">
        <v>82</v>
      </c>
      <c r="N60" s="129" t="s">
        <v>83</v>
      </c>
      <c r="O60" s="130" t="s">
        <v>84</v>
      </c>
      <c r="P60" s="131" t="s">
        <v>85</v>
      </c>
      <c r="Q60" s="131" t="s">
        <v>86</v>
      </c>
      <c r="R60" s="197" t="s">
        <v>87</v>
      </c>
      <c r="S60" s="219"/>
      <c r="T60" s="217"/>
      <c r="U60" s="77"/>
    </row>
    <row r="61" customFormat="false" ht="20.15" hidden="false" customHeight="true" outlineLevel="0" collapsed="false">
      <c r="B61" s="77"/>
      <c r="C61" s="217"/>
      <c r="D61" s="220"/>
      <c r="E61" s="86" t="s">
        <v>27</v>
      </c>
      <c r="F61" s="87" t="s">
        <v>29</v>
      </c>
      <c r="G61" s="221" t="n">
        <v>2</v>
      </c>
      <c r="H61" s="222" t="s">
        <v>94</v>
      </c>
      <c r="I61" s="221" t="n">
        <v>-17</v>
      </c>
      <c r="J61" s="221" t="n">
        <v>121</v>
      </c>
      <c r="K61" s="221" t="s">
        <v>66</v>
      </c>
      <c r="L61" s="223" t="n">
        <f aca="false">IF(J61="",0,(J61/J65)*100)</f>
        <v>78.0645161290323</v>
      </c>
      <c r="M61" s="221" t="n">
        <v>4</v>
      </c>
      <c r="N61" s="224" t="n">
        <v>0</v>
      </c>
      <c r="O61" s="137" t="n">
        <f aca="false">IF(M61=1,1,0)</f>
        <v>0</v>
      </c>
      <c r="P61" s="138" t="n">
        <f aca="false">IF(M61=2,1,0)</f>
        <v>0</v>
      </c>
      <c r="Q61" s="138" t="n">
        <f aca="false">IF(M61=3,1,0)</f>
        <v>0</v>
      </c>
      <c r="R61" s="139" t="n">
        <f aca="false">IF(M61=4,1,0)</f>
        <v>1</v>
      </c>
      <c r="S61" s="225"/>
      <c r="T61" s="217"/>
      <c r="U61" s="77"/>
    </row>
    <row r="62" customFormat="false" ht="20.15" hidden="false" customHeight="true" outlineLevel="0" collapsed="false">
      <c r="B62" s="77"/>
      <c r="C62" s="217"/>
      <c r="D62" s="220"/>
      <c r="E62" s="105" t="s">
        <v>13</v>
      </c>
      <c r="F62" s="290" t="s">
        <v>14</v>
      </c>
      <c r="G62" s="228" t="n">
        <v>4</v>
      </c>
      <c r="H62" s="317" t="s">
        <v>134</v>
      </c>
      <c r="I62" s="228" t="n">
        <v>0</v>
      </c>
      <c r="J62" s="228" t="n">
        <v>142</v>
      </c>
      <c r="K62" s="228" t="s">
        <v>66</v>
      </c>
      <c r="L62" s="229" t="n">
        <f aca="false">IF(J62="",0,(J62/J65)*100)</f>
        <v>91.6129032258064</v>
      </c>
      <c r="M62" s="228" t="n">
        <v>3</v>
      </c>
      <c r="N62" s="230" t="n">
        <v>1</v>
      </c>
      <c r="O62" s="144" t="n">
        <f aca="false">IF(M62=1,1,0)</f>
        <v>0</v>
      </c>
      <c r="P62" s="145" t="n">
        <f aca="false">IF(M62=2,1,0)</f>
        <v>0</v>
      </c>
      <c r="Q62" s="145" t="n">
        <f aca="false">IF(M62=3,1,0)</f>
        <v>1</v>
      </c>
      <c r="R62" s="146" t="n">
        <f aca="false">IF(M62=4,1,0)</f>
        <v>0</v>
      </c>
      <c r="S62" s="225"/>
      <c r="T62" s="217"/>
      <c r="U62" s="77"/>
    </row>
    <row r="63" customFormat="false" ht="20.15" hidden="false" customHeight="true" outlineLevel="0" collapsed="false">
      <c r="B63" s="77"/>
      <c r="C63" s="217"/>
      <c r="D63" s="220"/>
      <c r="E63" s="147" t="s">
        <v>23</v>
      </c>
      <c r="F63" s="355" t="s">
        <v>24</v>
      </c>
      <c r="G63" s="149" t="n">
        <v>1</v>
      </c>
      <c r="H63" s="179" t="s">
        <v>96</v>
      </c>
      <c r="I63" s="149" t="n">
        <v>-20</v>
      </c>
      <c r="J63" s="149" t="n">
        <v>155</v>
      </c>
      <c r="K63" s="149" t="s">
        <v>66</v>
      </c>
      <c r="L63" s="150" t="n">
        <f aca="false">IF(J63="",0,(J63/J65)*100)</f>
        <v>100</v>
      </c>
      <c r="M63" s="149" t="n">
        <v>1</v>
      </c>
      <c r="N63" s="151" t="n">
        <v>6</v>
      </c>
      <c r="O63" s="144" t="n">
        <f aca="false">IF(M63=1,1,0)</f>
        <v>1</v>
      </c>
      <c r="P63" s="145" t="n">
        <f aca="false">IF(M63=2,1,0)</f>
        <v>0</v>
      </c>
      <c r="Q63" s="145" t="n">
        <f aca="false">IF(M63=3,1,0)</f>
        <v>0</v>
      </c>
      <c r="R63" s="146" t="n">
        <f aca="false">IF(M63=4,1,0)</f>
        <v>0</v>
      </c>
      <c r="S63" s="225"/>
      <c r="T63" s="217"/>
      <c r="U63" s="77"/>
    </row>
    <row r="64" customFormat="false" ht="20.15" hidden="false" customHeight="true" outlineLevel="0" collapsed="false">
      <c r="B64" s="77"/>
      <c r="C64" s="217"/>
      <c r="D64" s="231"/>
      <c r="E64" s="54" t="s">
        <v>25</v>
      </c>
      <c r="F64" s="113" t="s">
        <v>26</v>
      </c>
      <c r="G64" s="234" t="n">
        <v>3</v>
      </c>
      <c r="H64" s="308" t="s">
        <v>168</v>
      </c>
      <c r="I64" s="234" t="n">
        <v>-3</v>
      </c>
      <c r="J64" s="234" t="n">
        <v>146</v>
      </c>
      <c r="K64" s="234" t="s">
        <v>66</v>
      </c>
      <c r="L64" s="235" t="n">
        <f aca="false">IF(J64="",0,(J64/J65)*100)</f>
        <v>94.1935483870968</v>
      </c>
      <c r="M64" s="234" t="n">
        <v>2</v>
      </c>
      <c r="N64" s="236" t="n">
        <v>3</v>
      </c>
      <c r="O64" s="156" t="n">
        <f aca="false">IF(M64=1,1,0)</f>
        <v>0</v>
      </c>
      <c r="P64" s="157" t="n">
        <f aca="false">IF(M64=2,1,0)</f>
        <v>1</v>
      </c>
      <c r="Q64" s="157" t="n">
        <f aca="false">IF(M64=3,1,0)</f>
        <v>0</v>
      </c>
      <c r="R64" s="158" t="n">
        <f aca="false">IF(M64=4,1,0)</f>
        <v>0</v>
      </c>
      <c r="S64" s="225"/>
      <c r="T64" s="217"/>
      <c r="U64" s="77"/>
    </row>
    <row r="65" customFormat="false" ht="20.15" hidden="true" customHeight="true" outlineLevel="1" collapsed="false">
      <c r="B65" s="77"/>
      <c r="C65" s="217"/>
      <c r="D65" s="220"/>
      <c r="E65" s="220"/>
      <c r="F65" s="225"/>
      <c r="G65" s="225"/>
      <c r="H65" s="217"/>
      <c r="I65" s="185" t="s">
        <v>92</v>
      </c>
      <c r="J65" s="161" t="n">
        <f aca="false">MAX(J61:J64)</f>
        <v>155</v>
      </c>
      <c r="K65" s="237"/>
      <c r="L65" s="225"/>
      <c r="M65" s="217"/>
      <c r="N65" s="164" t="s">
        <v>93</v>
      </c>
      <c r="O65" s="165" t="n">
        <f aca="false">SUM(O61:O64)</f>
        <v>1</v>
      </c>
      <c r="P65" s="166" t="n">
        <f aca="false">SUM(P61:P64)</f>
        <v>1</v>
      </c>
      <c r="Q65" s="165" t="n">
        <f aca="false">SUM(Q61:Q64)</f>
        <v>1</v>
      </c>
      <c r="R65" s="187" t="n">
        <f aca="false">SUM(R61:R64)</f>
        <v>1</v>
      </c>
      <c r="S65" s="238"/>
      <c r="T65" s="217"/>
      <c r="U65" s="77"/>
    </row>
    <row r="66" customFormat="false" ht="20.15" hidden="false" customHeight="true" outlineLevel="0" collapsed="false">
      <c r="B66" s="77"/>
      <c r="C66" s="217"/>
      <c r="D66" s="239"/>
      <c r="E66" s="239"/>
      <c r="F66" s="217"/>
      <c r="G66" s="217"/>
      <c r="H66" s="217"/>
      <c r="I66" s="217"/>
      <c r="J66" s="217"/>
      <c r="K66" s="217"/>
      <c r="L66" s="217"/>
      <c r="M66" s="217"/>
      <c r="N66" s="217"/>
      <c r="O66" s="217"/>
      <c r="P66" s="217"/>
      <c r="Q66" s="217"/>
      <c r="R66" s="217"/>
      <c r="S66" s="217"/>
      <c r="T66" s="217"/>
      <c r="U66" s="77"/>
    </row>
    <row r="67" customFormat="false" ht="20.15" hidden="false" customHeight="true" outlineLevel="0" collapsed="false">
      <c r="B67" s="77"/>
      <c r="D67" s="5"/>
      <c r="E67" s="5"/>
      <c r="F67" s="5"/>
      <c r="G67" s="5"/>
      <c r="H67" s="5"/>
      <c r="I67" s="5"/>
      <c r="J67" s="5"/>
      <c r="K67" s="14"/>
      <c r="L67" s="14"/>
      <c r="M67" s="14"/>
      <c r="N67" s="14"/>
      <c r="O67" s="14"/>
      <c r="P67" s="14"/>
      <c r="Q67" s="14"/>
      <c r="R67" s="14"/>
      <c r="S67" s="14"/>
      <c r="U67" s="77"/>
    </row>
    <row r="68" customFormat="false" ht="30" hidden="false" customHeight="true" outlineLevel="0" collapsed="false">
      <c r="B68" s="77"/>
      <c r="C68" s="240"/>
      <c r="D68" s="241" t="s">
        <v>101</v>
      </c>
      <c r="E68" s="241"/>
      <c r="F68" s="241"/>
      <c r="G68" s="241"/>
      <c r="H68" s="241"/>
      <c r="I68" s="241"/>
      <c r="J68" s="241"/>
      <c r="K68" s="241"/>
      <c r="L68" s="241"/>
      <c r="M68" s="241"/>
      <c r="N68" s="241"/>
      <c r="O68" s="241"/>
      <c r="P68" s="241"/>
      <c r="Q68" s="241"/>
      <c r="R68" s="241"/>
      <c r="S68" s="241"/>
      <c r="T68" s="240"/>
      <c r="U68" s="77"/>
    </row>
    <row r="69" customFormat="false" ht="50.15" hidden="false" customHeight="true" outlineLevel="0" collapsed="false">
      <c r="B69" s="77"/>
      <c r="C69" s="240"/>
      <c r="D69" s="242" t="s">
        <v>52</v>
      </c>
      <c r="E69" s="243" t="s">
        <v>53</v>
      </c>
      <c r="F69" s="244" t="s">
        <v>83</v>
      </c>
      <c r="G69" s="245" t="s">
        <v>102</v>
      </c>
      <c r="H69" s="246" t="s">
        <v>103</v>
      </c>
      <c r="I69" s="246"/>
      <c r="J69" s="247" t="s">
        <v>104</v>
      </c>
      <c r="K69" s="248" t="s">
        <v>105</v>
      </c>
      <c r="L69" s="244" t="s">
        <v>106</v>
      </c>
      <c r="M69" s="248" t="s">
        <v>107</v>
      </c>
      <c r="N69" s="244" t="s">
        <v>108</v>
      </c>
      <c r="O69" s="249"/>
      <c r="P69" s="250"/>
      <c r="Q69" s="250"/>
      <c r="R69" s="250"/>
      <c r="S69" s="243" t="s">
        <v>109</v>
      </c>
      <c r="T69" s="240"/>
      <c r="U69" s="77"/>
    </row>
    <row r="70" customFormat="false" ht="20.15" hidden="false" customHeight="true" outlineLevel="0" collapsed="false">
      <c r="B70" s="77"/>
      <c r="C70" s="240"/>
      <c r="D70" s="251" t="s">
        <v>23</v>
      </c>
      <c r="E70" s="17" t="s">
        <v>24</v>
      </c>
      <c r="F70" s="253" t="n">
        <f aca="false">(K70*6+L70*3+M70*1+N70*0)</f>
        <v>18</v>
      </c>
      <c r="G70" s="253" t="n">
        <v>0</v>
      </c>
      <c r="H70" s="254" t="s">
        <v>66</v>
      </c>
      <c r="I70" s="254"/>
      <c r="J70" s="253" t="n">
        <f aca="false">F70+G70</f>
        <v>18</v>
      </c>
      <c r="K70" s="253" t="n">
        <v>2</v>
      </c>
      <c r="L70" s="253" t="n">
        <v>2</v>
      </c>
      <c r="M70" s="253" t="n">
        <v>0</v>
      </c>
      <c r="N70" s="253" t="n">
        <v>0</v>
      </c>
      <c r="O70" s="253"/>
      <c r="P70" s="253"/>
      <c r="Q70" s="253"/>
      <c r="R70" s="253"/>
      <c r="S70" s="255" t="n">
        <f aca="false">(L36+L45+L54+L63)/4</f>
        <v>95.0757575757576</v>
      </c>
      <c r="T70" s="240"/>
      <c r="U70" s="77"/>
      <c r="W70" s="256"/>
      <c r="X70" s="256"/>
      <c r="Y70" s="256"/>
      <c r="Z70" s="256"/>
    </row>
    <row r="71" customFormat="false" ht="20.15" hidden="false" customHeight="true" outlineLevel="0" collapsed="false">
      <c r="B71" s="77"/>
      <c r="C71" s="240"/>
      <c r="D71" s="257" t="s">
        <v>27</v>
      </c>
      <c r="E71" s="258" t="s">
        <v>28</v>
      </c>
      <c r="F71" s="259" t="n">
        <f aca="false">(K71*6+L71*3+M71*1+N71*0)</f>
        <v>10</v>
      </c>
      <c r="G71" s="259" t="n">
        <v>0</v>
      </c>
      <c r="H71" s="260" t="s">
        <v>66</v>
      </c>
      <c r="I71" s="260"/>
      <c r="J71" s="259" t="n">
        <f aca="false">F71+G71</f>
        <v>10</v>
      </c>
      <c r="K71" s="259" t="n">
        <v>1</v>
      </c>
      <c r="L71" s="259" t="n">
        <v>1</v>
      </c>
      <c r="M71" s="259" t="n">
        <v>1</v>
      </c>
      <c r="N71" s="259" t="n">
        <v>1</v>
      </c>
      <c r="O71" s="259"/>
      <c r="P71" s="259"/>
      <c r="Q71" s="259"/>
      <c r="R71" s="259"/>
      <c r="S71" s="261" t="n">
        <f aca="false">(L34+L43+L52+L61)/4</f>
        <v>86.9769133459836</v>
      </c>
      <c r="T71" s="240"/>
      <c r="U71" s="77"/>
      <c r="W71" s="262"/>
      <c r="X71" s="262"/>
      <c r="Y71" s="262"/>
      <c r="Z71" s="262"/>
    </row>
    <row r="72" customFormat="false" ht="20.15" hidden="false" customHeight="true" outlineLevel="0" collapsed="false">
      <c r="B72" s="77"/>
      <c r="C72" s="240"/>
      <c r="D72" s="263" t="s">
        <v>25</v>
      </c>
      <c r="E72" s="264" t="s">
        <v>26</v>
      </c>
      <c r="F72" s="259" t="n">
        <f aca="false">(K72*6+L72*3+M72*1+N72*0)</f>
        <v>10</v>
      </c>
      <c r="G72" s="259" t="n">
        <v>0</v>
      </c>
      <c r="H72" s="260" t="s">
        <v>66</v>
      </c>
      <c r="I72" s="260"/>
      <c r="J72" s="259" t="n">
        <f aca="false">F72+G72</f>
        <v>10</v>
      </c>
      <c r="K72" s="259" t="n">
        <v>1</v>
      </c>
      <c r="L72" s="259" t="n">
        <v>1</v>
      </c>
      <c r="M72" s="259" t="n">
        <v>1</v>
      </c>
      <c r="N72" s="259" t="n">
        <v>1</v>
      </c>
      <c r="O72" s="259"/>
      <c r="P72" s="259"/>
      <c r="Q72" s="259"/>
      <c r="R72" s="259"/>
      <c r="S72" s="261" t="n">
        <f aca="false">(L37+L46+L55+L64)/4</f>
        <v>77.5534376018247</v>
      </c>
      <c r="T72" s="240"/>
      <c r="U72" s="77"/>
      <c r="W72" s="262"/>
      <c r="X72" s="262"/>
      <c r="Y72" s="262"/>
      <c r="Z72" s="262"/>
    </row>
    <row r="73" customFormat="false" ht="20.15" hidden="false" customHeight="true" outlineLevel="0" collapsed="false">
      <c r="B73" s="77"/>
      <c r="C73" s="240"/>
      <c r="D73" s="337" t="s">
        <v>13</v>
      </c>
      <c r="E73" s="385" t="s">
        <v>14</v>
      </c>
      <c r="F73" s="267" t="n">
        <f aca="false">(K73*6+L73*3+M73*1+N73*0)</f>
        <v>2</v>
      </c>
      <c r="G73" s="267" t="n">
        <v>0</v>
      </c>
      <c r="H73" s="268" t="s">
        <v>66</v>
      </c>
      <c r="I73" s="268"/>
      <c r="J73" s="267" t="n">
        <f aca="false">F73+G73</f>
        <v>2</v>
      </c>
      <c r="K73" s="267" t="n">
        <v>0</v>
      </c>
      <c r="L73" s="267" t="n">
        <v>0</v>
      </c>
      <c r="M73" s="267" t="n">
        <v>2</v>
      </c>
      <c r="N73" s="267" t="n">
        <v>2</v>
      </c>
      <c r="O73" s="267"/>
      <c r="P73" s="267"/>
      <c r="Q73" s="267"/>
      <c r="R73" s="267"/>
      <c r="S73" s="269" t="n">
        <f aca="false">(L35+L44+L53+L62)/4</f>
        <v>75.0832614570755</v>
      </c>
      <c r="T73" s="240"/>
      <c r="U73" s="77"/>
      <c r="W73" s="262"/>
      <c r="X73" s="262"/>
      <c r="Y73" s="262"/>
      <c r="Z73" s="262"/>
      <c r="AB73" s="262"/>
      <c r="AC73" s="262"/>
      <c r="AD73" s="262"/>
      <c r="AE73" s="262"/>
    </row>
    <row r="74" customFormat="false" ht="20.15" hidden="false" customHeight="true" outlineLevel="0" collapsed="false">
      <c r="B74" s="77"/>
      <c r="C74" s="240"/>
      <c r="D74" s="240"/>
      <c r="E74" s="240"/>
      <c r="F74" s="240"/>
      <c r="G74" s="240"/>
      <c r="H74" s="240"/>
      <c r="I74" s="240"/>
      <c r="J74" s="240"/>
      <c r="K74" s="240"/>
      <c r="L74" s="240"/>
      <c r="M74" s="240"/>
      <c r="N74" s="240"/>
      <c r="O74" s="240"/>
      <c r="P74" s="240"/>
      <c r="Q74" s="240"/>
      <c r="R74" s="240"/>
      <c r="S74" s="240"/>
      <c r="T74" s="240"/>
      <c r="U74" s="77"/>
      <c r="W74" s="262"/>
      <c r="X74" s="262"/>
      <c r="Y74" s="262"/>
      <c r="Z74" s="262"/>
    </row>
    <row r="75" customFormat="false" ht="20.15" hidden="false" customHeight="true" outlineLevel="0" collapsed="false">
      <c r="B75" s="77"/>
      <c r="C75" s="77"/>
      <c r="D75" s="270"/>
      <c r="E75" s="270"/>
      <c r="F75" s="195"/>
      <c r="G75" s="195"/>
      <c r="H75" s="270"/>
      <c r="I75" s="270"/>
      <c r="J75" s="270"/>
      <c r="K75" s="207"/>
      <c r="L75" s="207"/>
      <c r="M75" s="207"/>
      <c r="N75" s="207"/>
      <c r="O75" s="207"/>
      <c r="P75" s="207"/>
      <c r="Q75" s="207"/>
      <c r="R75" s="207"/>
      <c r="S75" s="207"/>
      <c r="T75" s="77"/>
      <c r="U75" s="77"/>
    </row>
    <row r="76" customFormat="false" ht="20.15" hidden="false" customHeight="true" outlineLevel="0" collapsed="false">
      <c r="C76" s="271"/>
      <c r="D76" s="272"/>
      <c r="O76" s="14"/>
      <c r="P76" s="14"/>
      <c r="Q76" s="14"/>
      <c r="R76" s="14"/>
      <c r="S76" s="14"/>
      <c r="U76" s="271"/>
    </row>
    <row r="77" customFormat="false" ht="20.15" hidden="false" customHeight="true" outlineLevel="0" collapsed="false">
      <c r="D77" s="273"/>
      <c r="O77" s="14"/>
      <c r="P77" s="14"/>
      <c r="Q77" s="14"/>
      <c r="R77" s="14"/>
      <c r="S77" s="14"/>
    </row>
    <row r="78" customFormat="false" ht="20.15" hidden="false" customHeight="true" outlineLevel="0" collapsed="false">
      <c r="B78" s="77"/>
      <c r="C78" s="77"/>
      <c r="D78" s="78"/>
      <c r="E78" s="78"/>
      <c r="F78" s="78"/>
      <c r="G78" s="78"/>
      <c r="H78" s="77"/>
      <c r="I78" s="77"/>
      <c r="J78" s="77"/>
      <c r="K78" s="77"/>
      <c r="L78" s="77"/>
      <c r="M78" s="77"/>
      <c r="N78" s="77"/>
      <c r="O78" s="77"/>
      <c r="P78" s="77"/>
      <c r="Q78" s="77"/>
      <c r="R78" s="77"/>
      <c r="S78" s="77"/>
      <c r="T78" s="77"/>
      <c r="U78" s="77"/>
    </row>
    <row r="79" customFormat="false" ht="30" hidden="false" customHeight="true" outlineLevel="0" collapsed="false">
      <c r="B79" s="77"/>
      <c r="C79" s="79" t="s">
        <v>110</v>
      </c>
      <c r="D79" s="79"/>
      <c r="E79" s="79"/>
      <c r="F79" s="79"/>
      <c r="G79" s="79"/>
      <c r="H79" s="79"/>
      <c r="I79" s="79"/>
      <c r="J79" s="79"/>
      <c r="K79" s="79"/>
      <c r="L79" s="79"/>
      <c r="M79" s="79"/>
      <c r="N79" s="79"/>
      <c r="O79" s="79"/>
      <c r="P79" s="79"/>
      <c r="Q79" s="79"/>
      <c r="R79" s="79"/>
      <c r="S79" s="79"/>
      <c r="T79" s="79"/>
      <c r="U79" s="77"/>
    </row>
    <row r="80" customFormat="false" ht="20.15" hidden="false" customHeight="true" outlineLevel="0" collapsed="false">
      <c r="B80" s="77"/>
      <c r="D80" s="121"/>
      <c r="E80" s="121"/>
      <c r="U80" s="77"/>
    </row>
    <row r="81" customFormat="false" ht="20.15" hidden="false" customHeight="true" outlineLevel="0" collapsed="false">
      <c r="B81" s="77"/>
      <c r="D81" s="274" t="s">
        <v>52</v>
      </c>
      <c r="E81" s="83" t="s">
        <v>111</v>
      </c>
      <c r="F81" s="82" t="s">
        <v>12</v>
      </c>
      <c r="G81" s="275" t="s">
        <v>54</v>
      </c>
      <c r="H81" s="275"/>
      <c r="I81" s="275"/>
      <c r="J81" s="275"/>
      <c r="K81" s="81" t="s">
        <v>55</v>
      </c>
      <c r="L81" s="83" t="s">
        <v>56</v>
      </c>
      <c r="M81" s="83"/>
      <c r="N81" s="83"/>
      <c r="O81" s="83"/>
      <c r="P81" s="83"/>
      <c r="Q81" s="83"/>
      <c r="R81" s="83"/>
      <c r="S81" s="83"/>
      <c r="U81" s="77"/>
    </row>
    <row r="82" customFormat="false" ht="20.15" hidden="false" customHeight="true" outlineLevel="0" collapsed="false">
      <c r="B82" s="77"/>
      <c r="D82" s="274"/>
      <c r="E82" s="83"/>
      <c r="F82" s="82"/>
      <c r="G82" s="85" t="s">
        <v>57</v>
      </c>
      <c r="H82" s="84" t="s">
        <v>58</v>
      </c>
      <c r="I82" s="82" t="s">
        <v>59</v>
      </c>
      <c r="J82" s="82"/>
      <c r="K82" s="84" t="s">
        <v>60</v>
      </c>
      <c r="L82" s="276" t="s">
        <v>57</v>
      </c>
      <c r="M82" s="277" t="s">
        <v>61</v>
      </c>
      <c r="N82" s="278" t="s">
        <v>59</v>
      </c>
      <c r="O82" s="278"/>
      <c r="P82" s="278"/>
      <c r="Q82" s="278"/>
      <c r="R82" s="278"/>
      <c r="S82" s="278"/>
      <c r="U82" s="77"/>
    </row>
    <row r="83" customFormat="false" ht="110.15" hidden="false" customHeight="true" outlineLevel="0" collapsed="false">
      <c r="B83" s="77"/>
      <c r="D83" s="86" t="s">
        <v>39</v>
      </c>
      <c r="E83" s="87" t="s">
        <v>40</v>
      </c>
      <c r="F83" s="343" t="n">
        <v>1</v>
      </c>
      <c r="G83" s="280" t="s">
        <v>71</v>
      </c>
      <c r="H83" s="281" t="s">
        <v>289</v>
      </c>
      <c r="I83" s="282" t="s">
        <v>369</v>
      </c>
      <c r="J83" s="282"/>
      <c r="K83" s="503" t="s">
        <v>65</v>
      </c>
      <c r="L83" s="284" t="s">
        <v>66</v>
      </c>
      <c r="M83" s="94" t="s">
        <v>66</v>
      </c>
      <c r="N83" s="95" t="s">
        <v>66</v>
      </c>
      <c r="O83" s="95"/>
      <c r="P83" s="95"/>
      <c r="Q83" s="95"/>
      <c r="R83" s="95"/>
      <c r="S83" s="95"/>
      <c r="U83" s="77"/>
    </row>
    <row r="84" customFormat="false" ht="20.15" hidden="false" customHeight="true" outlineLevel="0" collapsed="false">
      <c r="B84" s="77"/>
      <c r="D84" s="105" t="s">
        <v>33</v>
      </c>
      <c r="E84" s="312" t="s">
        <v>34</v>
      </c>
      <c r="F84" s="346" t="n">
        <v>2</v>
      </c>
      <c r="G84" s="286" t="s">
        <v>67</v>
      </c>
      <c r="H84" s="99" t="s">
        <v>344</v>
      </c>
      <c r="I84" s="287" t="s">
        <v>370</v>
      </c>
      <c r="J84" s="287"/>
      <c r="K84" s="504" t="s">
        <v>246</v>
      </c>
      <c r="L84" s="289" t="s">
        <v>66</v>
      </c>
      <c r="M84" s="103" t="s">
        <v>66</v>
      </c>
      <c r="N84" s="104" t="s">
        <v>66</v>
      </c>
      <c r="O84" s="104"/>
      <c r="P84" s="104"/>
      <c r="Q84" s="104"/>
      <c r="R84" s="104"/>
      <c r="S84" s="104"/>
      <c r="U84" s="77"/>
    </row>
    <row r="85" customFormat="false" ht="80.15" hidden="false" customHeight="true" outlineLevel="0" collapsed="false">
      <c r="B85" s="77"/>
      <c r="D85" s="105" t="s">
        <v>19</v>
      </c>
      <c r="E85" s="96" t="s">
        <v>20</v>
      </c>
      <c r="F85" s="346" t="n">
        <v>3</v>
      </c>
      <c r="G85" s="291" t="s">
        <v>71</v>
      </c>
      <c r="H85" s="107" t="s">
        <v>114</v>
      </c>
      <c r="I85" s="293" t="s">
        <v>371</v>
      </c>
      <c r="J85" s="293"/>
      <c r="K85" s="374" t="s">
        <v>65</v>
      </c>
      <c r="L85" s="289" t="s">
        <v>66</v>
      </c>
      <c r="M85" s="103" t="s">
        <v>66</v>
      </c>
      <c r="N85" s="104" t="s">
        <v>66</v>
      </c>
      <c r="O85" s="104"/>
      <c r="P85" s="104"/>
      <c r="Q85" s="104"/>
      <c r="R85" s="104"/>
      <c r="S85" s="104"/>
      <c r="U85" s="77"/>
    </row>
    <row r="86" customFormat="false" ht="50.15" hidden="false" customHeight="true" outlineLevel="0" collapsed="false">
      <c r="B86" s="77"/>
      <c r="D86" s="295" t="s">
        <v>30</v>
      </c>
      <c r="E86" s="113" t="s">
        <v>31</v>
      </c>
      <c r="F86" s="350" t="n">
        <v>4</v>
      </c>
      <c r="G86" s="387" t="s">
        <v>67</v>
      </c>
      <c r="H86" s="101" t="s">
        <v>246</v>
      </c>
      <c r="I86" s="377" t="s">
        <v>372</v>
      </c>
      <c r="J86" s="377"/>
      <c r="K86" s="300" t="s">
        <v>65</v>
      </c>
      <c r="L86" s="301" t="s">
        <v>66</v>
      </c>
      <c r="M86" s="302" t="s">
        <v>66</v>
      </c>
      <c r="N86" s="303" t="s">
        <v>66</v>
      </c>
      <c r="O86" s="303"/>
      <c r="P86" s="303"/>
      <c r="Q86" s="303"/>
      <c r="R86" s="303"/>
      <c r="S86" s="303"/>
      <c r="U86" s="77"/>
    </row>
    <row r="87" customFormat="false" ht="20.15" hidden="false" customHeight="true" outlineLevel="0" collapsed="false">
      <c r="B87" s="77"/>
      <c r="D87" s="121"/>
      <c r="E87" s="121"/>
      <c r="U87" s="77"/>
    </row>
    <row r="88" customFormat="false" ht="20.15" hidden="false" customHeight="true" outlineLevel="0" collapsed="false">
      <c r="B88" s="77"/>
      <c r="C88" s="122"/>
      <c r="D88" s="122"/>
      <c r="E88" s="123" t="str">
        <f aca="false">IF(OR(L83="-",L83= ""),H83,L83)</f>
        <v>Pandoria</v>
      </c>
      <c r="F88" s="123"/>
      <c r="G88" s="123"/>
      <c r="H88" s="123"/>
      <c r="I88" s="123"/>
      <c r="J88" s="123"/>
      <c r="K88" s="123"/>
      <c r="L88" s="123"/>
      <c r="M88" s="123"/>
      <c r="N88" s="123"/>
      <c r="O88" s="124"/>
      <c r="P88" s="124"/>
      <c r="Q88" s="124"/>
      <c r="R88" s="124"/>
      <c r="S88" s="124"/>
      <c r="T88" s="122"/>
      <c r="U88" s="77"/>
    </row>
    <row r="89" customFormat="false" ht="50.15" hidden="false" customHeight="true" outlineLevel="0" collapsed="false">
      <c r="B89" s="77"/>
      <c r="C89" s="122"/>
      <c r="D89" s="124"/>
      <c r="E89" s="125" t="s">
        <v>52</v>
      </c>
      <c r="F89" s="126" t="s">
        <v>75</v>
      </c>
      <c r="G89" s="82" t="s">
        <v>76</v>
      </c>
      <c r="H89" s="81" t="s">
        <v>77</v>
      </c>
      <c r="I89" s="59" t="s">
        <v>78</v>
      </c>
      <c r="J89" s="81" t="s">
        <v>79</v>
      </c>
      <c r="K89" s="127" t="s">
        <v>80</v>
      </c>
      <c r="L89" s="81" t="s">
        <v>81</v>
      </c>
      <c r="M89" s="128" t="s">
        <v>82</v>
      </c>
      <c r="N89" s="129" t="s">
        <v>83</v>
      </c>
      <c r="O89" s="130" t="s">
        <v>84</v>
      </c>
      <c r="P89" s="131" t="s">
        <v>85</v>
      </c>
      <c r="Q89" s="131" t="s">
        <v>86</v>
      </c>
      <c r="R89" s="197" t="s">
        <v>87</v>
      </c>
      <c r="S89" s="124"/>
      <c r="T89" s="122"/>
      <c r="U89" s="77"/>
    </row>
    <row r="90" customFormat="false" ht="20.15" hidden="false" customHeight="true" outlineLevel="0" collapsed="false">
      <c r="B90" s="77"/>
      <c r="C90" s="122"/>
      <c r="D90" s="152"/>
      <c r="E90" s="86" t="s">
        <v>39</v>
      </c>
      <c r="F90" s="87" t="s">
        <v>40</v>
      </c>
      <c r="G90" s="304" t="n">
        <v>1</v>
      </c>
      <c r="H90" s="221" t="s">
        <v>296</v>
      </c>
      <c r="I90" s="221" t="n">
        <v>0</v>
      </c>
      <c r="J90" s="221" t="n">
        <v>56</v>
      </c>
      <c r="K90" s="221" t="s">
        <v>66</v>
      </c>
      <c r="L90" s="223" t="n">
        <f aca="false">IF(J90="",0,(J90/J94)*100)</f>
        <v>96.551724137931</v>
      </c>
      <c r="M90" s="221" t="n">
        <v>2</v>
      </c>
      <c r="N90" s="224" t="n">
        <v>3</v>
      </c>
      <c r="O90" s="137" t="n">
        <f aca="false">IF(M90=1,1,0)</f>
        <v>0</v>
      </c>
      <c r="P90" s="138" t="n">
        <f aca="false">IF(M90=2,1,0)</f>
        <v>1</v>
      </c>
      <c r="Q90" s="138" t="n">
        <f aca="false">IF(M90=3,1,0)</f>
        <v>0</v>
      </c>
      <c r="R90" s="139" t="n">
        <f aca="false">IF(M90=4,1,0)</f>
        <v>0</v>
      </c>
      <c r="S90" s="140"/>
      <c r="T90" s="122"/>
      <c r="U90" s="77"/>
    </row>
    <row r="91" customFormat="false" ht="20.15" hidden="false" customHeight="true" outlineLevel="0" collapsed="false">
      <c r="B91" s="77"/>
      <c r="C91" s="122"/>
      <c r="D91" s="132"/>
      <c r="E91" s="105" t="s">
        <v>33</v>
      </c>
      <c r="F91" s="290" t="s">
        <v>34</v>
      </c>
      <c r="G91" s="306" t="n">
        <v>3</v>
      </c>
      <c r="H91" s="228" t="s">
        <v>295</v>
      </c>
      <c r="I91" s="228" t="n">
        <v>0</v>
      </c>
      <c r="J91" s="228" t="n">
        <v>39</v>
      </c>
      <c r="K91" s="317" t="s">
        <v>66</v>
      </c>
      <c r="L91" s="229" t="n">
        <f aca="false">IF(J91="",0,(J91/J94)*100)</f>
        <v>67.2413793103448</v>
      </c>
      <c r="M91" s="228" t="n">
        <v>3</v>
      </c>
      <c r="N91" s="230" t="n">
        <v>1</v>
      </c>
      <c r="O91" s="144" t="n">
        <f aca="false">IF(M91=1,1,0)</f>
        <v>0</v>
      </c>
      <c r="P91" s="145" t="n">
        <f aca="false">IF(M91=2,1,0)</f>
        <v>0</v>
      </c>
      <c r="Q91" s="145" t="n">
        <f aca="false">IF(M91=3,1,0)</f>
        <v>1</v>
      </c>
      <c r="R91" s="146" t="n">
        <f aca="false">IF(M91=4,1,0)</f>
        <v>0</v>
      </c>
      <c r="S91" s="140"/>
      <c r="T91" s="122"/>
      <c r="U91" s="77"/>
    </row>
    <row r="92" customFormat="false" ht="20.15" hidden="false" customHeight="true" outlineLevel="0" collapsed="false">
      <c r="B92" s="77"/>
      <c r="C92" s="122"/>
      <c r="D92" s="132"/>
      <c r="E92" s="105" t="s">
        <v>19</v>
      </c>
      <c r="F92" s="227" t="s">
        <v>20</v>
      </c>
      <c r="G92" s="306" t="n">
        <v>2</v>
      </c>
      <c r="H92" s="228" t="s">
        <v>283</v>
      </c>
      <c r="I92" s="228" t="n">
        <v>0</v>
      </c>
      <c r="J92" s="228" t="n">
        <v>38</v>
      </c>
      <c r="K92" s="228" t="s">
        <v>66</v>
      </c>
      <c r="L92" s="229" t="n">
        <f aca="false">IF(J92="",0,(J92/J94)*100)</f>
        <v>65.5172413793104</v>
      </c>
      <c r="M92" s="228" t="n">
        <v>4</v>
      </c>
      <c r="N92" s="230" t="n">
        <v>0</v>
      </c>
      <c r="O92" s="144" t="n">
        <f aca="false">IF(M92=1,1,0)</f>
        <v>0</v>
      </c>
      <c r="P92" s="145" t="n">
        <f aca="false">IF(M92=2,1,0)</f>
        <v>0</v>
      </c>
      <c r="Q92" s="145" t="n">
        <f aca="false">IF(M92=3,1,0)</f>
        <v>0</v>
      </c>
      <c r="R92" s="146" t="n">
        <f aca="false">IF(M92=4,1,0)</f>
        <v>1</v>
      </c>
      <c r="S92" s="140"/>
      <c r="T92" s="122"/>
      <c r="U92" s="77"/>
    </row>
    <row r="93" customFormat="false" ht="20.15" hidden="false" customHeight="true" outlineLevel="0" collapsed="false">
      <c r="B93" s="77"/>
      <c r="C93" s="122"/>
      <c r="D93" s="132"/>
      <c r="E93" s="318" t="s">
        <v>30</v>
      </c>
      <c r="F93" s="319" t="s">
        <v>31</v>
      </c>
      <c r="G93" s="320" t="n">
        <v>4</v>
      </c>
      <c r="H93" s="322" t="s">
        <v>294</v>
      </c>
      <c r="I93" s="322" t="n">
        <v>0</v>
      </c>
      <c r="J93" s="322" t="n">
        <v>58</v>
      </c>
      <c r="K93" s="321" t="s">
        <v>66</v>
      </c>
      <c r="L93" s="323" t="n">
        <f aca="false">IF(J93="",0,(J93/J94)*100)</f>
        <v>100</v>
      </c>
      <c r="M93" s="322" t="n">
        <v>1</v>
      </c>
      <c r="N93" s="324" t="n">
        <v>6</v>
      </c>
      <c r="O93" s="156" t="n">
        <f aca="false">IF(M93=1,1,0)</f>
        <v>1</v>
      </c>
      <c r="P93" s="157" t="n">
        <f aca="false">IF(M93=2,1,0)</f>
        <v>0</v>
      </c>
      <c r="Q93" s="157" t="n">
        <f aca="false">IF(M93=3,1,0)</f>
        <v>0</v>
      </c>
      <c r="R93" s="158" t="n">
        <f aca="false">IF(M93=4,1,0)</f>
        <v>0</v>
      </c>
      <c r="S93" s="140"/>
      <c r="T93" s="122"/>
      <c r="U93" s="77"/>
    </row>
    <row r="94" customFormat="false" ht="20.15" hidden="true" customHeight="true" outlineLevel="1" collapsed="false">
      <c r="B94" s="77"/>
      <c r="C94" s="122"/>
      <c r="D94" s="152"/>
      <c r="E94" s="152"/>
      <c r="F94" s="140"/>
      <c r="G94" s="140"/>
      <c r="H94" s="122"/>
      <c r="I94" s="213" t="s">
        <v>92</v>
      </c>
      <c r="J94" s="161" t="n">
        <f aca="false">MAX(J90:J93)</f>
        <v>58</v>
      </c>
      <c r="K94" s="309"/>
      <c r="L94" s="167"/>
      <c r="M94" s="122"/>
      <c r="N94" s="164" t="s">
        <v>93</v>
      </c>
      <c r="O94" s="165" t="n">
        <f aca="false">SUM(O90:O93)</f>
        <v>1</v>
      </c>
      <c r="P94" s="166" t="n">
        <f aca="false">SUM(P90:P93)</f>
        <v>1</v>
      </c>
      <c r="Q94" s="165" t="n">
        <f aca="false">SUM(Q90:Q93)</f>
        <v>1</v>
      </c>
      <c r="R94" s="187" t="n">
        <f aca="false">SUM(R90:R93)</f>
        <v>1</v>
      </c>
      <c r="S94" s="167"/>
      <c r="T94" s="122"/>
      <c r="U94" s="77"/>
    </row>
    <row r="95" customFormat="false" ht="20.15" hidden="false" customHeight="true" outlineLevel="0" collapsed="false">
      <c r="B95" s="77"/>
      <c r="C95" s="122"/>
      <c r="D95" s="168"/>
      <c r="E95" s="168"/>
      <c r="F95" s="122"/>
      <c r="G95" s="122"/>
      <c r="H95" s="122"/>
      <c r="I95" s="122"/>
      <c r="J95" s="122"/>
      <c r="K95" s="122"/>
      <c r="L95" s="122"/>
      <c r="M95" s="122"/>
      <c r="N95" s="122"/>
      <c r="O95" s="122"/>
      <c r="P95" s="122"/>
      <c r="Q95" s="122"/>
      <c r="R95" s="122"/>
      <c r="S95" s="122"/>
      <c r="T95" s="122"/>
      <c r="U95" s="77"/>
    </row>
    <row r="96" customFormat="false" ht="20.15" hidden="false" customHeight="true" outlineLevel="0" collapsed="false">
      <c r="B96" s="77"/>
      <c r="U96" s="77"/>
    </row>
    <row r="97" customFormat="false" ht="20.15" hidden="false" customHeight="true" outlineLevel="0" collapsed="false">
      <c r="B97" s="77"/>
      <c r="C97" s="170"/>
      <c r="D97" s="170"/>
      <c r="E97" s="171" t="str">
        <f aca="false">IF(OR(L84="-",L84= ""),H84,L84)</f>
        <v>La Granja</v>
      </c>
      <c r="F97" s="171"/>
      <c r="G97" s="171"/>
      <c r="H97" s="171"/>
      <c r="I97" s="171"/>
      <c r="J97" s="171"/>
      <c r="K97" s="171"/>
      <c r="L97" s="171"/>
      <c r="M97" s="171"/>
      <c r="N97" s="171"/>
      <c r="O97" s="172"/>
      <c r="P97" s="172"/>
      <c r="Q97" s="172"/>
      <c r="R97" s="172"/>
      <c r="S97" s="172"/>
      <c r="T97" s="170"/>
      <c r="U97" s="77"/>
    </row>
    <row r="98" customFormat="false" ht="50.15" hidden="false" customHeight="true" outlineLevel="0" collapsed="false">
      <c r="B98" s="77"/>
      <c r="C98" s="170"/>
      <c r="D98" s="172"/>
      <c r="E98" s="125" t="s">
        <v>52</v>
      </c>
      <c r="F98" s="126" t="s">
        <v>75</v>
      </c>
      <c r="G98" s="82" t="s">
        <v>76</v>
      </c>
      <c r="H98" s="81" t="s">
        <v>77</v>
      </c>
      <c r="I98" s="59" t="s">
        <v>78</v>
      </c>
      <c r="J98" s="81" t="s">
        <v>79</v>
      </c>
      <c r="K98" s="127" t="s">
        <v>80</v>
      </c>
      <c r="L98" s="81" t="s">
        <v>81</v>
      </c>
      <c r="M98" s="128" t="s">
        <v>82</v>
      </c>
      <c r="N98" s="129" t="s">
        <v>83</v>
      </c>
      <c r="O98" s="130" t="s">
        <v>84</v>
      </c>
      <c r="P98" s="131" t="s">
        <v>85</v>
      </c>
      <c r="Q98" s="131" t="s">
        <v>86</v>
      </c>
      <c r="R98" s="197" t="s">
        <v>87</v>
      </c>
      <c r="S98" s="172"/>
      <c r="T98" s="170"/>
      <c r="U98" s="77"/>
    </row>
    <row r="99" customFormat="false" ht="20.15" hidden="false" customHeight="true" outlineLevel="0" collapsed="false">
      <c r="B99" s="77"/>
      <c r="C99" s="170"/>
      <c r="D99" s="177"/>
      <c r="E99" s="199" t="s">
        <v>39</v>
      </c>
      <c r="F99" s="200" t="s">
        <v>40</v>
      </c>
      <c r="G99" s="325" t="n">
        <v>1</v>
      </c>
      <c r="H99" s="202" t="s">
        <v>66</v>
      </c>
      <c r="I99" s="201" t="n">
        <v>0</v>
      </c>
      <c r="J99" s="202" t="n">
        <v>82</v>
      </c>
      <c r="K99" s="438" t="s">
        <v>66</v>
      </c>
      <c r="L99" s="204" t="n">
        <f aca="false">IF(J99="",0,(J99/J103)*100)</f>
        <v>100</v>
      </c>
      <c r="M99" s="201" t="n">
        <v>1</v>
      </c>
      <c r="N99" s="205" t="n">
        <v>6</v>
      </c>
      <c r="O99" s="137" t="n">
        <f aca="false">IF(M99=1,1,0)</f>
        <v>1</v>
      </c>
      <c r="P99" s="138" t="n">
        <f aca="false">IF(M99=2,1,0)</f>
        <v>0</v>
      </c>
      <c r="Q99" s="138" t="n">
        <f aca="false">IF(M99=3,1,0)</f>
        <v>0</v>
      </c>
      <c r="R99" s="139" t="n">
        <f aca="false">IF(M99=4,1,0)</f>
        <v>0</v>
      </c>
      <c r="S99" s="176"/>
      <c r="T99" s="170"/>
      <c r="U99" s="77"/>
    </row>
    <row r="100" customFormat="false" ht="20.15" hidden="false" customHeight="true" outlineLevel="0" collapsed="false">
      <c r="B100" s="77"/>
      <c r="C100" s="170"/>
      <c r="D100" s="173"/>
      <c r="E100" s="105" t="s">
        <v>33</v>
      </c>
      <c r="F100" s="290" t="s">
        <v>34</v>
      </c>
      <c r="G100" s="306" t="n">
        <v>2</v>
      </c>
      <c r="H100" s="317" t="s">
        <v>66</v>
      </c>
      <c r="I100" s="228" t="n">
        <v>0</v>
      </c>
      <c r="J100" s="317" t="n">
        <v>77</v>
      </c>
      <c r="K100" s="317" t="s">
        <v>66</v>
      </c>
      <c r="L100" s="229" t="n">
        <f aca="false">IF(J100="",0,(J100/J103)*100)</f>
        <v>93.9024390243902</v>
      </c>
      <c r="M100" s="228" t="n">
        <v>3</v>
      </c>
      <c r="N100" s="230" t="n">
        <v>1</v>
      </c>
      <c r="O100" s="144" t="n">
        <f aca="false">IF(M100=1,1,0)</f>
        <v>0</v>
      </c>
      <c r="P100" s="145" t="n">
        <f aca="false">IF(M100=2,1,0)</f>
        <v>0</v>
      </c>
      <c r="Q100" s="145" t="n">
        <f aca="false">IF(M100=3,1,0)</f>
        <v>1</v>
      </c>
      <c r="R100" s="146" t="n">
        <f aca="false">IF(M100=4,1,0)</f>
        <v>0</v>
      </c>
      <c r="S100" s="176"/>
      <c r="T100" s="170"/>
      <c r="U100" s="77"/>
    </row>
    <row r="101" customFormat="false" ht="20.15" hidden="false" customHeight="true" outlineLevel="0" collapsed="false">
      <c r="B101" s="77"/>
      <c r="C101" s="170"/>
      <c r="D101" s="177"/>
      <c r="E101" s="105" t="s">
        <v>19</v>
      </c>
      <c r="F101" s="227" t="s">
        <v>20</v>
      </c>
      <c r="G101" s="306" t="n">
        <v>3</v>
      </c>
      <c r="H101" s="317" t="s">
        <v>66</v>
      </c>
      <c r="I101" s="228" t="n">
        <v>0</v>
      </c>
      <c r="J101" s="317" t="n">
        <v>80</v>
      </c>
      <c r="K101" s="390" t="s">
        <v>66</v>
      </c>
      <c r="L101" s="229" t="n">
        <f aca="false">IF(J101="",0,(J101/J103)*100)</f>
        <v>97.5609756097561</v>
      </c>
      <c r="M101" s="228" t="n">
        <v>2</v>
      </c>
      <c r="N101" s="230" t="n">
        <v>3</v>
      </c>
      <c r="O101" s="144" t="n">
        <f aca="false">IF(M101=1,1,0)</f>
        <v>0</v>
      </c>
      <c r="P101" s="145" t="n">
        <f aca="false">IF(M101=2,1,0)</f>
        <v>1</v>
      </c>
      <c r="Q101" s="145" t="n">
        <f aca="false">IF(M101=3,1,0)</f>
        <v>0</v>
      </c>
      <c r="R101" s="146" t="n">
        <f aca="false">IF(M101=4,1,0)</f>
        <v>0</v>
      </c>
      <c r="S101" s="176"/>
      <c r="T101" s="170"/>
      <c r="U101" s="77"/>
    </row>
    <row r="102" customFormat="false" ht="20.15" hidden="false" customHeight="true" outlineLevel="0" collapsed="false">
      <c r="B102" s="77"/>
      <c r="C102" s="170"/>
      <c r="D102" s="173"/>
      <c r="E102" s="295" t="s">
        <v>30</v>
      </c>
      <c r="F102" s="233" t="s">
        <v>32</v>
      </c>
      <c r="G102" s="307" t="n">
        <v>4</v>
      </c>
      <c r="H102" s="308" t="s">
        <v>66</v>
      </c>
      <c r="I102" s="234" t="n">
        <v>0</v>
      </c>
      <c r="J102" s="308" t="n">
        <v>76</v>
      </c>
      <c r="K102" s="308" t="s">
        <v>66</v>
      </c>
      <c r="L102" s="235" t="n">
        <f aca="false">IF(J102="",0,(J102/J103)*100)</f>
        <v>92.6829268292683</v>
      </c>
      <c r="M102" s="234" t="n">
        <v>4</v>
      </c>
      <c r="N102" s="236" t="n">
        <v>0</v>
      </c>
      <c r="O102" s="156" t="n">
        <f aca="false">IF(M102=1,1,0)</f>
        <v>0</v>
      </c>
      <c r="P102" s="157" t="n">
        <f aca="false">IF(M102=2,1,0)</f>
        <v>0</v>
      </c>
      <c r="Q102" s="157" t="n">
        <f aca="false">IF(M102=3,1,0)</f>
        <v>0</v>
      </c>
      <c r="R102" s="158" t="n">
        <f aca="false">IF(M102=4,1,0)</f>
        <v>1</v>
      </c>
      <c r="S102" s="176"/>
      <c r="T102" s="170"/>
      <c r="U102" s="77"/>
    </row>
    <row r="103" customFormat="false" ht="20.15" hidden="true" customHeight="true" outlineLevel="1" collapsed="false">
      <c r="B103" s="77"/>
      <c r="C103" s="170"/>
      <c r="D103" s="173"/>
      <c r="E103" s="173"/>
      <c r="F103" s="172"/>
      <c r="G103" s="172"/>
      <c r="H103" s="170"/>
      <c r="I103" s="213" t="s">
        <v>92</v>
      </c>
      <c r="J103" s="161" t="n">
        <f aca="false">MAX(J99:J102)</f>
        <v>82</v>
      </c>
      <c r="K103" s="186"/>
      <c r="L103" s="176"/>
      <c r="M103" s="170"/>
      <c r="N103" s="164" t="s">
        <v>93</v>
      </c>
      <c r="O103" s="165" t="n">
        <f aca="false">SUM(O99:O102)</f>
        <v>1</v>
      </c>
      <c r="P103" s="166" t="n">
        <f aca="false">SUM(P99:P102)</f>
        <v>1</v>
      </c>
      <c r="Q103" s="165" t="n">
        <f aca="false">SUM(Q99:Q102)</f>
        <v>1</v>
      </c>
      <c r="R103" s="187" t="n">
        <f aca="false">SUM(R99:R102)</f>
        <v>1</v>
      </c>
      <c r="S103" s="188"/>
      <c r="T103" s="170"/>
      <c r="U103" s="77"/>
    </row>
    <row r="104" customFormat="false" ht="20.15" hidden="false" customHeight="true" outlineLevel="0" collapsed="false">
      <c r="B104" s="77"/>
      <c r="C104" s="170"/>
      <c r="D104" s="189"/>
      <c r="E104" s="189"/>
      <c r="F104" s="170"/>
      <c r="G104" s="170"/>
      <c r="H104" s="170"/>
      <c r="I104" s="170"/>
      <c r="J104" s="170"/>
      <c r="K104" s="170"/>
      <c r="L104" s="170"/>
      <c r="M104" s="170"/>
      <c r="N104" s="170"/>
      <c r="O104" s="170"/>
      <c r="P104" s="170"/>
      <c r="Q104" s="170"/>
      <c r="R104" s="170"/>
      <c r="S104" s="170"/>
      <c r="T104" s="170"/>
      <c r="U104" s="77"/>
    </row>
    <row r="105" customFormat="false" ht="20.15" hidden="false" customHeight="true" outlineLevel="0" collapsed="false">
      <c r="B105" s="77"/>
      <c r="D105" s="190"/>
      <c r="E105" s="190"/>
      <c r="F105" s="190"/>
      <c r="G105" s="190"/>
      <c r="H105" s="191"/>
      <c r="I105" s="190"/>
      <c r="J105" s="190"/>
      <c r="K105" s="14"/>
      <c r="L105" s="14"/>
      <c r="M105" s="14"/>
      <c r="N105" s="14"/>
      <c r="O105" s="14"/>
      <c r="P105" s="14"/>
      <c r="Q105" s="14"/>
      <c r="R105" s="14"/>
      <c r="S105" s="14"/>
      <c r="U105" s="77"/>
    </row>
    <row r="106" customFormat="false" ht="20.15" hidden="false" customHeight="true" outlineLevel="0" collapsed="false">
      <c r="B106" s="77"/>
      <c r="C106" s="192"/>
      <c r="D106" s="192"/>
      <c r="E106" s="193" t="str">
        <f aca="false">IF(OR(L85="-",L85= ""),H85,L85)</f>
        <v>Orakel von Delphi</v>
      </c>
      <c r="F106" s="193"/>
      <c r="G106" s="193"/>
      <c r="H106" s="193"/>
      <c r="I106" s="193"/>
      <c r="J106" s="193"/>
      <c r="K106" s="193"/>
      <c r="L106" s="193"/>
      <c r="M106" s="193"/>
      <c r="N106" s="193"/>
      <c r="O106" s="194"/>
      <c r="P106" s="194"/>
      <c r="Q106" s="194"/>
      <c r="R106" s="194"/>
      <c r="S106" s="194"/>
      <c r="T106" s="192"/>
      <c r="U106" s="195"/>
    </row>
    <row r="107" customFormat="false" ht="50.15" hidden="false" customHeight="true" outlineLevel="0" collapsed="false">
      <c r="B107" s="77"/>
      <c r="C107" s="192"/>
      <c r="D107" s="194"/>
      <c r="E107" s="125" t="s">
        <v>52</v>
      </c>
      <c r="F107" s="126" t="s">
        <v>75</v>
      </c>
      <c r="G107" s="82" t="s">
        <v>76</v>
      </c>
      <c r="H107" s="81" t="s">
        <v>77</v>
      </c>
      <c r="I107" s="59" t="s">
        <v>78</v>
      </c>
      <c r="J107" s="81" t="s">
        <v>79</v>
      </c>
      <c r="K107" s="127" t="s">
        <v>80</v>
      </c>
      <c r="L107" s="81" t="s">
        <v>81</v>
      </c>
      <c r="M107" s="128" t="s">
        <v>82</v>
      </c>
      <c r="N107" s="129" t="s">
        <v>83</v>
      </c>
      <c r="O107" s="130" t="s">
        <v>84</v>
      </c>
      <c r="P107" s="131" t="s">
        <v>85</v>
      </c>
      <c r="Q107" s="131" t="s">
        <v>86</v>
      </c>
      <c r="R107" s="197" t="s">
        <v>87</v>
      </c>
      <c r="S107" s="194"/>
      <c r="T107" s="192"/>
      <c r="U107" s="195"/>
    </row>
    <row r="108" customFormat="false" ht="170.15" hidden="false" customHeight="true" outlineLevel="0" collapsed="false">
      <c r="B108" s="77"/>
      <c r="C108" s="192"/>
      <c r="D108" s="208"/>
      <c r="E108" s="86" t="s">
        <v>39</v>
      </c>
      <c r="F108" s="87" t="s">
        <v>40</v>
      </c>
      <c r="G108" s="304" t="n">
        <v>2</v>
      </c>
      <c r="H108" s="222" t="s">
        <v>373</v>
      </c>
      <c r="I108" s="221" t="s">
        <v>66</v>
      </c>
      <c r="J108" s="222" t="s">
        <v>374</v>
      </c>
      <c r="K108" s="221" t="s">
        <v>66</v>
      </c>
      <c r="L108" s="223" t="n">
        <f aca="false">(L91+L100+L119)/3</f>
        <v>82.245679557906</v>
      </c>
      <c r="M108" s="221" t="n">
        <v>3</v>
      </c>
      <c r="N108" s="224" t="n">
        <v>1</v>
      </c>
      <c r="O108" s="137" t="n">
        <f aca="false">IF(M108=1,1,0)</f>
        <v>0</v>
      </c>
      <c r="P108" s="138" t="n">
        <f aca="false">IF(M108=2,1,0)</f>
        <v>0</v>
      </c>
      <c r="Q108" s="138" t="n">
        <f aca="false">IF(M108=3,1,0)</f>
        <v>1</v>
      </c>
      <c r="R108" s="139" t="n">
        <f aca="false">IF(M108=4,1,0)</f>
        <v>0</v>
      </c>
      <c r="S108" s="206"/>
      <c r="T108" s="192"/>
      <c r="U108" s="207"/>
    </row>
    <row r="109" customFormat="false" ht="50.15" hidden="false" customHeight="true" outlineLevel="0" collapsed="false">
      <c r="B109" s="77"/>
      <c r="C109" s="192"/>
      <c r="D109" s="198"/>
      <c r="E109" s="105" t="s">
        <v>33</v>
      </c>
      <c r="F109" s="290" t="s">
        <v>34</v>
      </c>
      <c r="G109" s="306" t="n">
        <v>1</v>
      </c>
      <c r="H109" s="317" t="s">
        <v>375</v>
      </c>
      <c r="I109" s="228" t="s">
        <v>66</v>
      </c>
      <c r="J109" s="317" t="s">
        <v>376</v>
      </c>
      <c r="K109" s="317" t="s">
        <v>66</v>
      </c>
      <c r="L109" s="229" t="n">
        <f aca="false">(L92+L102+L118)/3</f>
        <v>76.4622029621816</v>
      </c>
      <c r="M109" s="228" t="n">
        <v>4</v>
      </c>
      <c r="N109" s="230" t="n">
        <v>0</v>
      </c>
      <c r="O109" s="144" t="n">
        <f aca="false">IF(M109=1,1,0)</f>
        <v>0</v>
      </c>
      <c r="P109" s="145" t="n">
        <f aca="false">IF(M109=2,1,0)</f>
        <v>0</v>
      </c>
      <c r="Q109" s="145" t="n">
        <f aca="false">IF(M109=3,1,0)</f>
        <v>0</v>
      </c>
      <c r="R109" s="146" t="n">
        <f aca="false">IF(M109=4,1,0)</f>
        <v>1</v>
      </c>
      <c r="S109" s="206"/>
      <c r="T109" s="192"/>
      <c r="U109" s="211"/>
    </row>
    <row r="110" customFormat="false" ht="110.15" hidden="false" customHeight="true" outlineLevel="0" collapsed="false">
      <c r="B110" s="77"/>
      <c r="C110" s="192"/>
      <c r="D110" s="198"/>
      <c r="E110" s="105" t="s">
        <v>19</v>
      </c>
      <c r="F110" s="227" t="s">
        <v>20</v>
      </c>
      <c r="G110" s="306" t="n">
        <v>3</v>
      </c>
      <c r="H110" s="317" t="s">
        <v>377</v>
      </c>
      <c r="I110" s="228" t="s">
        <v>66</v>
      </c>
      <c r="J110" s="317" t="s">
        <v>378</v>
      </c>
      <c r="K110" s="228" t="s">
        <v>66</v>
      </c>
      <c r="L110" s="229" t="n">
        <f aca="false">(L90+L101+L120)/3</f>
        <v>96.0601654526189</v>
      </c>
      <c r="M110" s="228" t="n">
        <v>2</v>
      </c>
      <c r="N110" s="230" t="n">
        <v>3</v>
      </c>
      <c r="O110" s="144" t="n">
        <f aca="false">IF(M110=1,1,0)</f>
        <v>0</v>
      </c>
      <c r="P110" s="145" t="n">
        <f aca="false">IF(M110=2,1,0)</f>
        <v>1</v>
      </c>
      <c r="Q110" s="145" t="n">
        <f aca="false">IF(M110=3,1,0)</f>
        <v>0</v>
      </c>
      <c r="R110" s="146" t="n">
        <f aca="false">IF(M110=4,1,0)</f>
        <v>0</v>
      </c>
      <c r="S110" s="206"/>
      <c r="T110" s="192"/>
      <c r="U110" s="211"/>
    </row>
    <row r="111" customFormat="false" ht="170.15" hidden="false" customHeight="true" outlineLevel="0" collapsed="false">
      <c r="B111" s="77"/>
      <c r="C111" s="192"/>
      <c r="D111" s="198"/>
      <c r="E111" s="318" t="s">
        <v>30</v>
      </c>
      <c r="F111" s="319" t="s">
        <v>31</v>
      </c>
      <c r="G111" s="320" t="n">
        <v>4</v>
      </c>
      <c r="H111" s="321" t="s">
        <v>379</v>
      </c>
      <c r="I111" s="322" t="s">
        <v>66</v>
      </c>
      <c r="J111" s="321" t="s">
        <v>380</v>
      </c>
      <c r="K111" s="321" t="s">
        <v>66</v>
      </c>
      <c r="L111" s="323" t="n">
        <v>100</v>
      </c>
      <c r="M111" s="322" t="n">
        <v>1</v>
      </c>
      <c r="N111" s="324" t="n">
        <v>6</v>
      </c>
      <c r="O111" s="156" t="n">
        <f aca="false">IF(M111=1,1,0)</f>
        <v>1</v>
      </c>
      <c r="P111" s="157" t="n">
        <f aca="false">IF(M111=2,1,0)</f>
        <v>0</v>
      </c>
      <c r="Q111" s="157" t="n">
        <f aca="false">IF(M111=3,1,0)</f>
        <v>0</v>
      </c>
      <c r="R111" s="158" t="n">
        <f aca="false">IF(M111=4,1,0)</f>
        <v>0</v>
      </c>
      <c r="S111" s="206"/>
      <c r="T111" s="192"/>
      <c r="U111" s="211"/>
    </row>
    <row r="112" customFormat="false" ht="20.15" hidden="true" customHeight="true" outlineLevel="1" collapsed="false">
      <c r="B112" s="77"/>
      <c r="C112" s="192"/>
      <c r="D112" s="198"/>
      <c r="E112" s="198"/>
      <c r="F112" s="206"/>
      <c r="G112" s="206"/>
      <c r="H112" s="192"/>
      <c r="I112" s="213" t="s">
        <v>92</v>
      </c>
      <c r="J112" s="161" t="n">
        <f aca="false">MAX(J108:J111)</f>
        <v>0</v>
      </c>
      <c r="K112" s="214"/>
      <c r="L112" s="206"/>
      <c r="M112" s="192"/>
      <c r="N112" s="164" t="s">
        <v>93</v>
      </c>
      <c r="O112" s="165" t="n">
        <f aca="false">SUM(O108:O111)</f>
        <v>1</v>
      </c>
      <c r="P112" s="166" t="n">
        <f aca="false">SUM(P108:P111)</f>
        <v>1</v>
      </c>
      <c r="Q112" s="165" t="n">
        <f aca="false">SUM(Q108:Q111)</f>
        <v>1</v>
      </c>
      <c r="R112" s="187" t="n">
        <f aca="false">SUM(R108:R111)</f>
        <v>1</v>
      </c>
      <c r="S112" s="215"/>
      <c r="T112" s="192"/>
      <c r="U112" s="211"/>
    </row>
    <row r="113" customFormat="false" ht="20.15" hidden="false" customHeight="true" outlineLevel="0" collapsed="false">
      <c r="B113" s="77"/>
      <c r="C113" s="192"/>
      <c r="D113" s="216"/>
      <c r="E113" s="216"/>
      <c r="F113" s="192"/>
      <c r="G113" s="192"/>
      <c r="H113" s="192"/>
      <c r="I113" s="192"/>
      <c r="J113" s="192"/>
      <c r="K113" s="192"/>
      <c r="L113" s="192"/>
      <c r="M113" s="192"/>
      <c r="N113" s="192"/>
      <c r="O113" s="192"/>
      <c r="P113" s="192"/>
      <c r="Q113" s="192"/>
      <c r="R113" s="192"/>
      <c r="S113" s="192"/>
      <c r="T113" s="192"/>
      <c r="U113" s="211"/>
    </row>
    <row r="114" customFormat="false" ht="20.15" hidden="false" customHeight="true" outlineLevel="0" collapsed="false">
      <c r="B114" s="77"/>
      <c r="D114" s="190"/>
      <c r="E114" s="190"/>
      <c r="F114" s="190"/>
      <c r="G114" s="190"/>
      <c r="H114" s="191"/>
      <c r="I114" s="190"/>
      <c r="J114" s="190"/>
      <c r="K114" s="190"/>
      <c r="L114" s="14"/>
      <c r="M114" s="14"/>
      <c r="N114" s="14"/>
      <c r="O114" s="14"/>
      <c r="P114" s="14"/>
      <c r="Q114" s="14"/>
      <c r="R114" s="14"/>
      <c r="S114" s="14"/>
      <c r="U114" s="207"/>
    </row>
    <row r="115" customFormat="false" ht="20.15" hidden="false" customHeight="true" outlineLevel="0" collapsed="false">
      <c r="B115" s="77"/>
      <c r="C115" s="217"/>
      <c r="D115" s="217"/>
      <c r="E115" s="218" t="str">
        <f aca="false">IF(OR(L86="-",L86= ""),H86,L86)</f>
        <v>Carnegie</v>
      </c>
      <c r="F115" s="218"/>
      <c r="G115" s="218"/>
      <c r="H115" s="218"/>
      <c r="I115" s="218"/>
      <c r="J115" s="218"/>
      <c r="K115" s="218"/>
      <c r="L115" s="218"/>
      <c r="M115" s="218"/>
      <c r="N115" s="218"/>
      <c r="O115" s="219"/>
      <c r="P115" s="219"/>
      <c r="Q115" s="219"/>
      <c r="R115" s="219"/>
      <c r="S115" s="219"/>
      <c r="T115" s="217"/>
      <c r="U115" s="77"/>
    </row>
    <row r="116" customFormat="false" ht="50.15" hidden="false" customHeight="true" outlineLevel="0" collapsed="false">
      <c r="B116" s="77"/>
      <c r="C116" s="217"/>
      <c r="D116" s="219"/>
      <c r="E116" s="125" t="s">
        <v>52</v>
      </c>
      <c r="F116" s="126" t="s">
        <v>75</v>
      </c>
      <c r="G116" s="82" t="s">
        <v>76</v>
      </c>
      <c r="H116" s="81" t="s">
        <v>77</v>
      </c>
      <c r="I116" s="59" t="s">
        <v>78</v>
      </c>
      <c r="J116" s="81" t="s">
        <v>79</v>
      </c>
      <c r="K116" s="127" t="s">
        <v>80</v>
      </c>
      <c r="L116" s="81" t="s">
        <v>81</v>
      </c>
      <c r="M116" s="128" t="s">
        <v>82</v>
      </c>
      <c r="N116" s="129" t="s">
        <v>83</v>
      </c>
      <c r="O116" s="130" t="s">
        <v>84</v>
      </c>
      <c r="P116" s="131" t="s">
        <v>85</v>
      </c>
      <c r="Q116" s="131" t="s">
        <v>86</v>
      </c>
      <c r="R116" s="197" t="s">
        <v>87</v>
      </c>
      <c r="S116" s="219"/>
      <c r="T116" s="217"/>
      <c r="U116" s="77"/>
    </row>
    <row r="117" customFormat="false" ht="20.15" hidden="false" customHeight="true" outlineLevel="0" collapsed="false">
      <c r="B117" s="77"/>
      <c r="C117" s="217"/>
      <c r="D117" s="220"/>
      <c r="E117" s="199" t="s">
        <v>39</v>
      </c>
      <c r="F117" s="200" t="s">
        <v>40</v>
      </c>
      <c r="G117" s="325" t="n">
        <v>2</v>
      </c>
      <c r="H117" s="202" t="s">
        <v>66</v>
      </c>
      <c r="I117" s="201" t="n">
        <v>0</v>
      </c>
      <c r="J117" s="201" t="n">
        <v>118</v>
      </c>
      <c r="K117" s="201" t="s">
        <v>66</v>
      </c>
      <c r="L117" s="204" t="n">
        <f aca="false">IF(J117="",0,(J117/J121)*100)</f>
        <v>100</v>
      </c>
      <c r="M117" s="201" t="n">
        <v>1</v>
      </c>
      <c r="N117" s="205" t="n">
        <v>6</v>
      </c>
      <c r="O117" s="137" t="n">
        <f aca="false">IF(M117=1,1,0)</f>
        <v>1</v>
      </c>
      <c r="P117" s="138" t="n">
        <f aca="false">IF(M117=2,1,0)</f>
        <v>0</v>
      </c>
      <c r="Q117" s="138" t="n">
        <f aca="false">IF(M117=3,1,0)</f>
        <v>0</v>
      </c>
      <c r="R117" s="139" t="n">
        <f aca="false">IF(M117=4,1,0)</f>
        <v>0</v>
      </c>
      <c r="S117" s="225"/>
      <c r="T117" s="217"/>
      <c r="U117" s="77"/>
    </row>
    <row r="118" customFormat="false" ht="20.15" hidden="false" customHeight="true" outlineLevel="0" collapsed="false">
      <c r="B118" s="77"/>
      <c r="C118" s="217"/>
      <c r="D118" s="220"/>
      <c r="E118" s="105" t="s">
        <v>33</v>
      </c>
      <c r="F118" s="290" t="s">
        <v>34</v>
      </c>
      <c r="G118" s="306" t="n">
        <v>3</v>
      </c>
      <c r="H118" s="317" t="s">
        <v>66</v>
      </c>
      <c r="I118" s="228" t="n">
        <v>0</v>
      </c>
      <c r="J118" s="228" t="n">
        <v>84</v>
      </c>
      <c r="K118" s="317" t="s">
        <v>66</v>
      </c>
      <c r="L118" s="229" t="n">
        <f aca="false">IF(J118="",0,(J118/J121)*100)</f>
        <v>71.1864406779661</v>
      </c>
      <c r="M118" s="228" t="n">
        <v>4</v>
      </c>
      <c r="N118" s="230" t="n">
        <v>0</v>
      </c>
      <c r="O118" s="144" t="n">
        <f aca="false">IF(M118=1,1,0)</f>
        <v>0</v>
      </c>
      <c r="P118" s="145" t="n">
        <f aca="false">IF(M118=2,1,0)</f>
        <v>0</v>
      </c>
      <c r="Q118" s="145" t="n">
        <f aca="false">IF(M118=3,1,0)</f>
        <v>0</v>
      </c>
      <c r="R118" s="146" t="n">
        <f aca="false">IF(M118=4,1,0)</f>
        <v>1</v>
      </c>
      <c r="S118" s="225"/>
      <c r="T118" s="217"/>
      <c r="U118" s="77"/>
    </row>
    <row r="119" customFormat="false" ht="20.15" hidden="false" customHeight="true" outlineLevel="0" collapsed="false">
      <c r="B119" s="77"/>
      <c r="C119" s="217"/>
      <c r="D119" s="220"/>
      <c r="E119" s="105" t="s">
        <v>19</v>
      </c>
      <c r="F119" s="227" t="s">
        <v>20</v>
      </c>
      <c r="G119" s="306" t="n">
        <v>1</v>
      </c>
      <c r="H119" s="317" t="s">
        <v>66</v>
      </c>
      <c r="I119" s="228" t="n">
        <v>0</v>
      </c>
      <c r="J119" s="228" t="n">
        <v>101</v>
      </c>
      <c r="K119" s="228" t="s">
        <v>66</v>
      </c>
      <c r="L119" s="229" t="n">
        <f aca="false">IF(J119="",0,(J119/J121)*100)</f>
        <v>85.5932203389831</v>
      </c>
      <c r="M119" s="228" t="n">
        <v>3</v>
      </c>
      <c r="N119" s="230" t="n">
        <v>1</v>
      </c>
      <c r="O119" s="144" t="n">
        <f aca="false">IF(M119=1,1,0)</f>
        <v>0</v>
      </c>
      <c r="P119" s="145" t="n">
        <f aca="false">IF(M119=2,1,0)</f>
        <v>0</v>
      </c>
      <c r="Q119" s="145" t="n">
        <f aca="false">IF(M119=3,1,0)</f>
        <v>1</v>
      </c>
      <c r="R119" s="146" t="n">
        <f aca="false">IF(M119=4,1,0)</f>
        <v>0</v>
      </c>
      <c r="S119" s="225"/>
      <c r="T119" s="217"/>
      <c r="U119" s="77"/>
    </row>
    <row r="120" customFormat="false" ht="20.15" hidden="false" customHeight="true" outlineLevel="0" collapsed="false">
      <c r="B120" s="77"/>
      <c r="C120" s="217"/>
      <c r="D120" s="231"/>
      <c r="E120" s="295" t="s">
        <v>30</v>
      </c>
      <c r="F120" s="233" t="s">
        <v>32</v>
      </c>
      <c r="G120" s="307" t="n">
        <v>4</v>
      </c>
      <c r="H120" s="308" t="s">
        <v>66</v>
      </c>
      <c r="I120" s="234" t="n">
        <v>0</v>
      </c>
      <c r="J120" s="234" t="n">
        <v>111</v>
      </c>
      <c r="K120" s="308" t="s">
        <v>66</v>
      </c>
      <c r="L120" s="235" t="n">
        <f aca="false">IF(J120="",0,(J120/J121)*100)</f>
        <v>94.0677966101695</v>
      </c>
      <c r="M120" s="234" t="n">
        <v>2</v>
      </c>
      <c r="N120" s="236" t="n">
        <v>3</v>
      </c>
      <c r="O120" s="156" t="n">
        <f aca="false">IF(M120=1,1,0)</f>
        <v>0</v>
      </c>
      <c r="P120" s="157" t="n">
        <f aca="false">IF(M120=2,1,0)</f>
        <v>1</v>
      </c>
      <c r="Q120" s="157" t="n">
        <f aca="false">IF(M120=3,1,0)</f>
        <v>0</v>
      </c>
      <c r="R120" s="158" t="n">
        <f aca="false">IF(M120=4,1,0)</f>
        <v>0</v>
      </c>
      <c r="S120" s="225"/>
      <c r="T120" s="217"/>
      <c r="U120" s="77"/>
    </row>
    <row r="121" customFormat="false" ht="20.15" hidden="true" customHeight="true" outlineLevel="1" collapsed="false">
      <c r="B121" s="77"/>
      <c r="C121" s="217"/>
      <c r="D121" s="220"/>
      <c r="E121" s="220"/>
      <c r="F121" s="225"/>
      <c r="G121" s="225"/>
      <c r="H121" s="217"/>
      <c r="I121" s="213" t="s">
        <v>92</v>
      </c>
      <c r="J121" s="161" t="n">
        <f aca="false">MAX(J117:J120)</f>
        <v>118</v>
      </c>
      <c r="K121" s="237"/>
      <c r="L121" s="225"/>
      <c r="M121" s="217"/>
      <c r="N121" s="164" t="s">
        <v>93</v>
      </c>
      <c r="O121" s="165" t="n">
        <f aca="false">SUM(O117:O120)</f>
        <v>1</v>
      </c>
      <c r="P121" s="166" t="n">
        <f aca="false">SUM(P117:P120)</f>
        <v>1</v>
      </c>
      <c r="Q121" s="165" t="n">
        <f aca="false">SUM(Q117:Q120)</f>
        <v>1</v>
      </c>
      <c r="R121" s="187" t="n">
        <f aca="false">SUM(R117:R120)</f>
        <v>1</v>
      </c>
      <c r="S121" s="238"/>
      <c r="T121" s="217"/>
      <c r="U121" s="77"/>
    </row>
    <row r="122" customFormat="false" ht="20.15" hidden="false" customHeight="true" outlineLevel="0" collapsed="false">
      <c r="B122" s="77"/>
      <c r="C122" s="217"/>
      <c r="D122" s="239"/>
      <c r="E122" s="239"/>
      <c r="F122" s="217"/>
      <c r="G122" s="217"/>
      <c r="H122" s="217"/>
      <c r="I122" s="217"/>
      <c r="J122" s="217"/>
      <c r="K122" s="217"/>
      <c r="L122" s="217"/>
      <c r="M122" s="217"/>
      <c r="N122" s="217"/>
      <c r="O122" s="217"/>
      <c r="P122" s="217"/>
      <c r="Q122" s="217"/>
      <c r="R122" s="217"/>
      <c r="S122" s="217"/>
      <c r="T122" s="217"/>
      <c r="U122" s="77"/>
    </row>
    <row r="123" customFormat="false" ht="20.15" hidden="false" customHeight="true" outlineLevel="0" collapsed="false">
      <c r="B123" s="77"/>
      <c r="D123" s="5"/>
      <c r="E123" s="5"/>
      <c r="F123" s="5"/>
      <c r="G123" s="5"/>
      <c r="H123" s="5"/>
      <c r="I123" s="5"/>
      <c r="J123" s="5"/>
      <c r="K123" s="14"/>
      <c r="L123" s="14"/>
      <c r="M123" s="14"/>
      <c r="N123" s="14"/>
      <c r="O123" s="14"/>
      <c r="P123" s="14"/>
      <c r="Q123" s="14"/>
      <c r="R123" s="14"/>
      <c r="S123" s="14"/>
      <c r="U123" s="77"/>
    </row>
    <row r="124" customFormat="false" ht="30" hidden="false" customHeight="true" outlineLevel="0" collapsed="false">
      <c r="B124" s="77"/>
      <c r="C124" s="240"/>
      <c r="D124" s="241" t="s">
        <v>135</v>
      </c>
      <c r="E124" s="241"/>
      <c r="F124" s="241"/>
      <c r="G124" s="241"/>
      <c r="H124" s="241"/>
      <c r="I124" s="241"/>
      <c r="J124" s="241"/>
      <c r="K124" s="241"/>
      <c r="L124" s="241"/>
      <c r="M124" s="241"/>
      <c r="N124" s="241"/>
      <c r="O124" s="241"/>
      <c r="P124" s="241"/>
      <c r="Q124" s="241"/>
      <c r="R124" s="241"/>
      <c r="S124" s="241"/>
      <c r="T124" s="240"/>
      <c r="U124" s="77"/>
    </row>
    <row r="125" customFormat="false" ht="50.15" hidden="false" customHeight="true" outlineLevel="0" collapsed="false">
      <c r="B125" s="77"/>
      <c r="C125" s="240"/>
      <c r="D125" s="242" t="s">
        <v>52</v>
      </c>
      <c r="E125" s="243" t="s">
        <v>53</v>
      </c>
      <c r="F125" s="244" t="s">
        <v>83</v>
      </c>
      <c r="G125" s="245" t="s">
        <v>102</v>
      </c>
      <c r="H125" s="246" t="s">
        <v>103</v>
      </c>
      <c r="I125" s="246"/>
      <c r="J125" s="247" t="s">
        <v>104</v>
      </c>
      <c r="K125" s="248" t="s">
        <v>105</v>
      </c>
      <c r="L125" s="244" t="s">
        <v>106</v>
      </c>
      <c r="M125" s="248" t="s">
        <v>107</v>
      </c>
      <c r="N125" s="244" t="s">
        <v>108</v>
      </c>
      <c r="O125" s="249"/>
      <c r="P125" s="250"/>
      <c r="Q125" s="250"/>
      <c r="R125" s="250"/>
      <c r="S125" s="243" t="s">
        <v>109</v>
      </c>
      <c r="T125" s="240"/>
      <c r="U125" s="77"/>
    </row>
    <row r="126" customFormat="false" ht="20.15" hidden="false" customHeight="true" outlineLevel="0" collapsed="false">
      <c r="B126" s="77"/>
      <c r="C126" s="240"/>
      <c r="D126" s="251" t="s">
        <v>39</v>
      </c>
      <c r="E126" s="17" t="s">
        <v>40</v>
      </c>
      <c r="F126" s="327" t="n">
        <f aca="false">K126*6+L126*3+M126*1+N126*0</f>
        <v>16</v>
      </c>
      <c r="G126" s="328" t="n">
        <v>0</v>
      </c>
      <c r="H126" s="328" t="s">
        <v>66</v>
      </c>
      <c r="I126" s="328"/>
      <c r="J126" s="327" t="n">
        <f aca="false">F126+G126</f>
        <v>16</v>
      </c>
      <c r="K126" s="327" t="n">
        <v>2</v>
      </c>
      <c r="L126" s="327" t="n">
        <v>1</v>
      </c>
      <c r="M126" s="327" t="n">
        <v>1</v>
      </c>
      <c r="N126" s="327" t="n">
        <v>0</v>
      </c>
      <c r="O126" s="16"/>
      <c r="P126" s="328"/>
      <c r="Q126" s="328"/>
      <c r="R126" s="328"/>
      <c r="S126" s="329" t="n">
        <f aca="false">(L90+L99+L108+L117)/4</f>
        <v>94.6993509239593</v>
      </c>
      <c r="T126" s="240"/>
      <c r="U126" s="77"/>
    </row>
    <row r="127" customFormat="false" ht="20.15" hidden="false" customHeight="true" outlineLevel="0" collapsed="false">
      <c r="B127" s="77"/>
      <c r="C127" s="240"/>
      <c r="D127" s="257" t="s">
        <v>30</v>
      </c>
      <c r="E127" s="384" t="s">
        <v>31</v>
      </c>
      <c r="F127" s="330" t="n">
        <f aca="false">K127*6+L127*3+M127*1+N127*0</f>
        <v>15</v>
      </c>
      <c r="G127" s="331" t="n">
        <v>0</v>
      </c>
      <c r="H127" s="331" t="s">
        <v>66</v>
      </c>
      <c r="I127" s="331"/>
      <c r="J127" s="330" t="n">
        <f aca="false">F127+G127</f>
        <v>15</v>
      </c>
      <c r="K127" s="330" t="n">
        <v>2</v>
      </c>
      <c r="L127" s="330" t="n">
        <v>1</v>
      </c>
      <c r="M127" s="330" t="n">
        <v>0</v>
      </c>
      <c r="N127" s="330" t="n">
        <v>1</v>
      </c>
      <c r="O127" s="332"/>
      <c r="P127" s="331"/>
      <c r="Q127" s="331"/>
      <c r="R127" s="331"/>
      <c r="S127" s="333" t="n">
        <f aca="false">(L93+L102+L111+L120)/4</f>
        <v>96.6876808598595</v>
      </c>
      <c r="T127" s="240"/>
      <c r="U127" s="77"/>
      <c r="W127" s="334"/>
      <c r="X127" s="334"/>
      <c r="Y127" s="23"/>
      <c r="Z127" s="23"/>
      <c r="AA127" s="335"/>
      <c r="AB127" s="335"/>
      <c r="AC127" s="336"/>
      <c r="AD127" s="336"/>
      <c r="AE127" s="336"/>
    </row>
    <row r="128" customFormat="false" ht="20.15" hidden="false" customHeight="true" outlineLevel="0" collapsed="false">
      <c r="B128" s="77"/>
      <c r="C128" s="240"/>
      <c r="D128" s="257" t="s">
        <v>19</v>
      </c>
      <c r="E128" s="384" t="s">
        <v>20</v>
      </c>
      <c r="F128" s="330" t="n">
        <f aca="false">K128*6+L128*3+M128*1+N128*0</f>
        <v>7</v>
      </c>
      <c r="G128" s="331" t="n">
        <v>0</v>
      </c>
      <c r="H128" s="331" t="s">
        <v>66</v>
      </c>
      <c r="I128" s="331"/>
      <c r="J128" s="330" t="n">
        <f aca="false">F128+G128</f>
        <v>7</v>
      </c>
      <c r="K128" s="330" t="n">
        <v>0</v>
      </c>
      <c r="L128" s="330" t="n">
        <v>2</v>
      </c>
      <c r="M128" s="330" t="n">
        <v>1</v>
      </c>
      <c r="N128" s="330" t="n">
        <v>1</v>
      </c>
      <c r="O128" s="332"/>
      <c r="P128" s="331"/>
      <c r="Q128" s="331"/>
      <c r="R128" s="331"/>
      <c r="S128" s="333" t="n">
        <f aca="false">(L92+L101+L110+L119)/4</f>
        <v>86.1829006951671</v>
      </c>
      <c r="T128" s="240"/>
      <c r="U128" s="77"/>
    </row>
    <row r="129" customFormat="false" ht="20.15" hidden="false" customHeight="true" outlineLevel="0" collapsed="false">
      <c r="B129" s="77"/>
      <c r="C129" s="240"/>
      <c r="D129" s="337" t="s">
        <v>33</v>
      </c>
      <c r="E129" s="385" t="s">
        <v>34</v>
      </c>
      <c r="F129" s="338" t="n">
        <f aca="false">K129*6+L129*3+M129*1+N129*0</f>
        <v>2</v>
      </c>
      <c r="G129" s="339" t="n">
        <v>0</v>
      </c>
      <c r="H129" s="339" t="s">
        <v>66</v>
      </c>
      <c r="I129" s="339"/>
      <c r="J129" s="338" t="n">
        <f aca="false">F129+G129</f>
        <v>2</v>
      </c>
      <c r="K129" s="338" t="n">
        <v>0</v>
      </c>
      <c r="L129" s="338" t="n">
        <v>0</v>
      </c>
      <c r="M129" s="338" t="n">
        <v>2</v>
      </c>
      <c r="N129" s="338" t="n">
        <v>2</v>
      </c>
      <c r="O129" s="340"/>
      <c r="P129" s="339"/>
      <c r="Q129" s="339"/>
      <c r="R129" s="339"/>
      <c r="S129" s="341" t="n">
        <f aca="false">(L91+L100+L109+L118)/4</f>
        <v>77.1981154937207</v>
      </c>
      <c r="T129" s="240"/>
      <c r="U129" s="77"/>
    </row>
    <row r="130" customFormat="false" ht="20.15" hidden="false" customHeight="true" outlineLevel="0" collapsed="false">
      <c r="B130" s="77"/>
      <c r="C130" s="240"/>
      <c r="D130" s="240"/>
      <c r="E130" s="240"/>
      <c r="F130" s="401"/>
      <c r="G130" s="401"/>
      <c r="H130" s="401"/>
      <c r="I130" s="401"/>
      <c r="J130" s="401"/>
      <c r="K130" s="401"/>
      <c r="L130" s="401"/>
      <c r="M130" s="401"/>
      <c r="N130" s="401"/>
      <c r="O130" s="401"/>
      <c r="P130" s="401"/>
      <c r="Q130" s="401"/>
      <c r="R130" s="401"/>
      <c r="S130" s="401"/>
      <c r="T130" s="240"/>
      <c r="U130" s="77"/>
    </row>
    <row r="131" customFormat="false" ht="20.15" hidden="false" customHeight="true" outlineLevel="0" collapsed="false">
      <c r="B131" s="77"/>
      <c r="C131" s="77"/>
      <c r="D131" s="270"/>
      <c r="E131" s="270"/>
      <c r="F131" s="195"/>
      <c r="G131" s="195"/>
      <c r="H131" s="270"/>
      <c r="I131" s="270"/>
      <c r="J131" s="270"/>
      <c r="K131" s="207"/>
      <c r="L131" s="207"/>
      <c r="M131" s="207"/>
      <c r="N131" s="207"/>
      <c r="O131" s="207"/>
      <c r="P131" s="207"/>
      <c r="Q131" s="207"/>
      <c r="R131" s="207"/>
      <c r="S131" s="207"/>
      <c r="T131" s="77"/>
      <c r="U131" s="77"/>
    </row>
    <row r="132" customFormat="false" ht="20.15" hidden="false" customHeight="true" outlineLevel="0" collapsed="false"/>
    <row r="133" customFormat="false" ht="20.15" hidden="false" customHeight="true" outlineLevel="0" collapsed="false"/>
    <row r="134" customFormat="false" ht="20.15" hidden="false" customHeight="true" outlineLevel="0" collapsed="false">
      <c r="B134" s="77"/>
      <c r="C134" s="77"/>
      <c r="D134" s="78"/>
      <c r="E134" s="78"/>
      <c r="F134" s="78"/>
      <c r="G134" s="78"/>
      <c r="H134" s="77"/>
      <c r="I134" s="77"/>
      <c r="J134" s="77"/>
      <c r="K134" s="77"/>
      <c r="L134" s="77"/>
      <c r="M134" s="77"/>
      <c r="N134" s="77"/>
      <c r="O134" s="77"/>
      <c r="P134" s="77"/>
      <c r="Q134" s="77"/>
      <c r="R134" s="77"/>
      <c r="S134" s="77"/>
      <c r="T134" s="77"/>
      <c r="U134" s="77"/>
    </row>
    <row r="135" customFormat="false" ht="30" hidden="false" customHeight="true" outlineLevel="0" collapsed="false">
      <c r="B135" s="77"/>
      <c r="C135" s="79" t="s">
        <v>317</v>
      </c>
      <c r="D135" s="79"/>
      <c r="E135" s="79"/>
      <c r="F135" s="79"/>
      <c r="G135" s="79"/>
      <c r="H135" s="79"/>
      <c r="I135" s="79"/>
      <c r="J135" s="79"/>
      <c r="K135" s="79"/>
      <c r="L135" s="79"/>
      <c r="M135" s="79"/>
      <c r="N135" s="79"/>
      <c r="O135" s="79"/>
      <c r="P135" s="79"/>
      <c r="Q135" s="79"/>
      <c r="R135" s="79"/>
      <c r="S135" s="79"/>
      <c r="T135" s="79"/>
      <c r="U135" s="77"/>
    </row>
    <row r="136" customFormat="false" ht="20.15" hidden="false" customHeight="true" outlineLevel="0" collapsed="false">
      <c r="B136" s="77"/>
      <c r="D136" s="121"/>
      <c r="E136" s="121"/>
      <c r="U136" s="77"/>
    </row>
    <row r="137" customFormat="false" ht="20.15" hidden="false" customHeight="true" outlineLevel="0" collapsed="false">
      <c r="B137" s="77"/>
      <c r="D137" s="80" t="s">
        <v>52</v>
      </c>
      <c r="E137" s="81" t="s">
        <v>111</v>
      </c>
      <c r="F137" s="82" t="s">
        <v>12</v>
      </c>
      <c r="G137" s="275" t="s">
        <v>54</v>
      </c>
      <c r="H137" s="275"/>
      <c r="I137" s="275"/>
      <c r="J137" s="275"/>
      <c r="K137" s="81" t="s">
        <v>55</v>
      </c>
      <c r="L137" s="83" t="s">
        <v>56</v>
      </c>
      <c r="M137" s="83"/>
      <c r="N137" s="83"/>
      <c r="O137" s="83"/>
      <c r="P137" s="83"/>
      <c r="Q137" s="83"/>
      <c r="R137" s="83"/>
      <c r="S137" s="83"/>
      <c r="U137" s="77"/>
    </row>
    <row r="138" customFormat="false" ht="20.15" hidden="false" customHeight="true" outlineLevel="0" collapsed="false">
      <c r="B138" s="77"/>
      <c r="D138" s="80"/>
      <c r="E138" s="81"/>
      <c r="F138" s="81"/>
      <c r="G138" s="85" t="s">
        <v>57</v>
      </c>
      <c r="H138" s="84" t="s">
        <v>58</v>
      </c>
      <c r="I138" s="82" t="s">
        <v>59</v>
      </c>
      <c r="J138" s="82"/>
      <c r="K138" s="84" t="s">
        <v>60</v>
      </c>
      <c r="L138" s="276" t="s">
        <v>57</v>
      </c>
      <c r="M138" s="277" t="s">
        <v>61</v>
      </c>
      <c r="N138" s="278" t="s">
        <v>59</v>
      </c>
      <c r="O138" s="278"/>
      <c r="P138" s="278"/>
      <c r="Q138" s="278"/>
      <c r="R138" s="278"/>
      <c r="S138" s="278"/>
      <c r="U138" s="77"/>
    </row>
    <row r="139" customFormat="false" ht="20.15" hidden="false" customHeight="true" outlineLevel="0" collapsed="false">
      <c r="B139" s="77"/>
      <c r="D139" s="367" t="s">
        <v>16</v>
      </c>
      <c r="E139" s="372" t="s">
        <v>17</v>
      </c>
      <c r="F139" s="343" t="n">
        <v>1</v>
      </c>
      <c r="G139" s="344" t="s">
        <v>67</v>
      </c>
      <c r="H139" s="281" t="s">
        <v>344</v>
      </c>
      <c r="I139" s="91" t="s">
        <v>370</v>
      </c>
      <c r="J139" s="91"/>
      <c r="K139" s="345" t="s">
        <v>65</v>
      </c>
      <c r="L139" s="442" t="s">
        <v>66</v>
      </c>
      <c r="M139" s="443" t="s">
        <v>66</v>
      </c>
      <c r="N139" s="444" t="s">
        <v>66</v>
      </c>
      <c r="O139" s="444"/>
      <c r="P139" s="444"/>
      <c r="Q139" s="444"/>
      <c r="R139" s="444"/>
      <c r="S139" s="444"/>
      <c r="U139" s="77"/>
    </row>
    <row r="140" customFormat="false" ht="80.15" hidden="false" customHeight="true" outlineLevel="0" collapsed="false">
      <c r="B140" s="77"/>
      <c r="D140" s="46" t="s">
        <v>21</v>
      </c>
      <c r="E140" s="96" t="s">
        <v>22</v>
      </c>
      <c r="F140" s="346" t="n">
        <v>2</v>
      </c>
      <c r="G140" s="347" t="s">
        <v>67</v>
      </c>
      <c r="H140" s="99" t="s">
        <v>381</v>
      </c>
      <c r="I140" s="100" t="s">
        <v>382</v>
      </c>
      <c r="J140" s="100"/>
      <c r="K140" s="348" t="s">
        <v>65</v>
      </c>
      <c r="L140" s="102" t="s">
        <v>66</v>
      </c>
      <c r="M140" s="103" t="s">
        <v>66</v>
      </c>
      <c r="N140" s="104" t="s">
        <v>66</v>
      </c>
      <c r="O140" s="104"/>
      <c r="P140" s="104"/>
      <c r="Q140" s="104"/>
      <c r="R140" s="104"/>
      <c r="S140" s="104"/>
      <c r="U140" s="77"/>
    </row>
    <row r="141" customFormat="false" ht="35.15" hidden="false" customHeight="true" outlineLevel="0" collapsed="false">
      <c r="B141" s="77"/>
      <c r="D141" s="46" t="s">
        <v>21</v>
      </c>
      <c r="E141" s="96" t="s">
        <v>22</v>
      </c>
      <c r="F141" s="346" t="n">
        <v>3</v>
      </c>
      <c r="G141" s="349" t="s">
        <v>67</v>
      </c>
      <c r="H141" s="107" t="s">
        <v>352</v>
      </c>
      <c r="I141" s="108" t="s">
        <v>383</v>
      </c>
      <c r="J141" s="108"/>
      <c r="K141" s="505" t="s">
        <v>65</v>
      </c>
      <c r="L141" s="506" t="s">
        <v>66</v>
      </c>
      <c r="M141" s="408" t="s">
        <v>66</v>
      </c>
      <c r="N141" s="409" t="s">
        <v>66</v>
      </c>
      <c r="O141" s="409"/>
      <c r="P141" s="409"/>
      <c r="Q141" s="409"/>
      <c r="R141" s="409"/>
      <c r="S141" s="409"/>
      <c r="U141" s="77"/>
    </row>
    <row r="142" customFormat="false" ht="65.15" hidden="false" customHeight="true" outlineLevel="0" collapsed="false">
      <c r="B142" s="77"/>
      <c r="D142" s="54" t="s">
        <v>16</v>
      </c>
      <c r="E142" s="113" t="s">
        <v>17</v>
      </c>
      <c r="F142" s="350" t="n">
        <v>4</v>
      </c>
      <c r="G142" s="351" t="s">
        <v>67</v>
      </c>
      <c r="H142" s="101" t="s">
        <v>196</v>
      </c>
      <c r="I142" s="116" t="s">
        <v>197</v>
      </c>
      <c r="J142" s="116"/>
      <c r="K142" s="507" t="s">
        <v>65</v>
      </c>
      <c r="L142" s="508" t="s">
        <v>66</v>
      </c>
      <c r="M142" s="509" t="s">
        <v>66</v>
      </c>
      <c r="N142" s="510" t="s">
        <v>66</v>
      </c>
      <c r="O142" s="510"/>
      <c r="P142" s="510"/>
      <c r="Q142" s="510"/>
      <c r="R142" s="510"/>
      <c r="S142" s="510"/>
      <c r="U142" s="77"/>
    </row>
    <row r="143" customFormat="false" ht="20.15" hidden="false" customHeight="true" outlineLevel="0" collapsed="false">
      <c r="B143" s="77"/>
      <c r="D143" s="121"/>
      <c r="E143" s="121"/>
      <c r="U143" s="77"/>
    </row>
    <row r="144" customFormat="false" ht="20.15" hidden="false" customHeight="true" outlineLevel="0" collapsed="false">
      <c r="B144" s="77"/>
      <c r="C144" s="122"/>
      <c r="D144" s="122"/>
      <c r="E144" s="123" t="str">
        <f aca="false">IF(OR(M139="-",M139= ""),H139,M139)</f>
        <v>La Granja</v>
      </c>
      <c r="F144" s="123"/>
      <c r="G144" s="123"/>
      <c r="H144" s="123"/>
      <c r="I144" s="123"/>
      <c r="J144" s="123"/>
      <c r="K144" s="123"/>
      <c r="L144" s="123"/>
      <c r="M144" s="123"/>
      <c r="N144" s="123"/>
      <c r="O144" s="124"/>
      <c r="P144" s="124"/>
      <c r="Q144" s="124"/>
      <c r="R144" s="124"/>
      <c r="S144" s="124"/>
      <c r="T144" s="122"/>
      <c r="U144" s="77"/>
    </row>
    <row r="145" customFormat="false" ht="50.15" hidden="false" customHeight="true" outlineLevel="0" collapsed="false">
      <c r="B145" s="77"/>
      <c r="C145" s="122"/>
      <c r="D145" s="124"/>
      <c r="E145" s="125" t="s">
        <v>52</v>
      </c>
      <c r="F145" s="126" t="s">
        <v>75</v>
      </c>
      <c r="G145" s="82" t="s">
        <v>76</v>
      </c>
      <c r="H145" s="81" t="s">
        <v>77</v>
      </c>
      <c r="I145" s="59" t="s">
        <v>78</v>
      </c>
      <c r="J145" s="81" t="s">
        <v>79</v>
      </c>
      <c r="K145" s="127" t="s">
        <v>80</v>
      </c>
      <c r="L145" s="81" t="s">
        <v>81</v>
      </c>
      <c r="M145" s="128" t="s">
        <v>82</v>
      </c>
      <c r="N145" s="129" t="s">
        <v>83</v>
      </c>
      <c r="O145" s="130" t="s">
        <v>84</v>
      </c>
      <c r="P145" s="131" t="s">
        <v>85</v>
      </c>
      <c r="Q145" s="124"/>
      <c r="R145" s="124"/>
      <c r="S145" s="124"/>
      <c r="T145" s="122"/>
      <c r="U145" s="77"/>
    </row>
    <row r="146" customFormat="false" ht="20.15" hidden="false" customHeight="true" outlineLevel="0" collapsed="false">
      <c r="B146" s="77"/>
      <c r="C146" s="122"/>
      <c r="D146" s="152"/>
      <c r="E146" s="416" t="s">
        <v>16</v>
      </c>
      <c r="F146" s="380" t="s">
        <v>17</v>
      </c>
      <c r="G146" s="325" t="n">
        <v>2</v>
      </c>
      <c r="H146" s="201" t="s">
        <v>66</v>
      </c>
      <c r="I146" s="201" t="n">
        <v>0</v>
      </c>
      <c r="J146" s="201" t="n">
        <v>89</v>
      </c>
      <c r="K146" s="201" t="s">
        <v>66</v>
      </c>
      <c r="L146" s="204" t="n">
        <f aca="false">IF(J146="",0,(J146/J148)*100)</f>
        <v>100</v>
      </c>
      <c r="M146" s="201" t="n">
        <v>1</v>
      </c>
      <c r="N146" s="205" t="n">
        <v>6</v>
      </c>
      <c r="O146" s="137" t="n">
        <f aca="false">IF(M146=1,1,0)</f>
        <v>1</v>
      </c>
      <c r="P146" s="139" t="n">
        <f aca="false">IF(M146=2,1,0)</f>
        <v>0</v>
      </c>
      <c r="Q146" s="140"/>
      <c r="R146" s="140"/>
      <c r="S146" s="140"/>
      <c r="T146" s="122"/>
      <c r="U146" s="77"/>
    </row>
    <row r="147" customFormat="false" ht="20.15" hidden="false" customHeight="true" outlineLevel="0" collapsed="false">
      <c r="B147" s="77"/>
      <c r="C147" s="122"/>
      <c r="D147" s="132"/>
      <c r="E147" s="232" t="s">
        <v>21</v>
      </c>
      <c r="F147" s="233" t="s">
        <v>22</v>
      </c>
      <c r="G147" s="307" t="n">
        <v>1</v>
      </c>
      <c r="H147" s="234" t="s">
        <v>66</v>
      </c>
      <c r="I147" s="234" t="n">
        <v>0</v>
      </c>
      <c r="J147" s="234" t="n">
        <v>80</v>
      </c>
      <c r="K147" s="308" t="s">
        <v>66</v>
      </c>
      <c r="L147" s="235" t="n">
        <f aca="false">IF(J147="",0,(J147/J148)*100)</f>
        <v>89.8876404494382</v>
      </c>
      <c r="M147" s="234" t="n">
        <v>2</v>
      </c>
      <c r="N147" s="236" t="n">
        <v>0</v>
      </c>
      <c r="O147" s="156" t="n">
        <f aca="false">IF(M147=1,1,0)</f>
        <v>0</v>
      </c>
      <c r="P147" s="158" t="n">
        <f aca="false">IF(M147=2,1,0)</f>
        <v>1</v>
      </c>
      <c r="Q147" s="140"/>
      <c r="R147" s="140"/>
      <c r="S147" s="140"/>
      <c r="T147" s="122"/>
      <c r="U147" s="77"/>
    </row>
    <row r="148" customFormat="false" ht="20.15" hidden="true" customHeight="true" outlineLevel="1" collapsed="false">
      <c r="B148" s="77"/>
      <c r="C148" s="122"/>
      <c r="D148" s="152"/>
      <c r="E148" s="152"/>
      <c r="F148" s="140"/>
      <c r="G148" s="140"/>
      <c r="H148" s="122"/>
      <c r="I148" s="213" t="s">
        <v>92</v>
      </c>
      <c r="J148" s="161" t="n">
        <f aca="false">MAX(J146:J147)</f>
        <v>89</v>
      </c>
      <c r="K148" s="309"/>
      <c r="L148" s="167"/>
      <c r="M148" s="122"/>
      <c r="N148" s="164" t="s">
        <v>93</v>
      </c>
      <c r="O148" s="165" t="n">
        <f aca="false">SUM(O146:O147)</f>
        <v>1</v>
      </c>
      <c r="P148" s="165" t="n">
        <f aca="false">SUM(P146:P147)</f>
        <v>1</v>
      </c>
      <c r="Q148" s="167"/>
      <c r="R148" s="167"/>
      <c r="S148" s="167"/>
      <c r="T148" s="122"/>
      <c r="U148" s="77"/>
    </row>
    <row r="149" customFormat="false" ht="20.15" hidden="false" customHeight="true" outlineLevel="0" collapsed="false">
      <c r="B149" s="77"/>
      <c r="C149" s="122"/>
      <c r="D149" s="168"/>
      <c r="E149" s="168"/>
      <c r="F149" s="122"/>
      <c r="G149" s="122"/>
      <c r="H149" s="122"/>
      <c r="I149" s="122"/>
      <c r="J149" s="122"/>
      <c r="K149" s="122"/>
      <c r="L149" s="122"/>
      <c r="M149" s="122"/>
      <c r="N149" s="122"/>
      <c r="O149" s="122"/>
      <c r="P149" s="122"/>
      <c r="Q149" s="122"/>
      <c r="R149" s="122"/>
      <c r="S149" s="122"/>
      <c r="T149" s="122"/>
      <c r="U149" s="77"/>
    </row>
    <row r="150" customFormat="false" ht="20.15" hidden="false" customHeight="true" outlineLevel="0" collapsed="false">
      <c r="B150" s="77"/>
      <c r="U150" s="77"/>
    </row>
    <row r="151" customFormat="false" ht="20.15" hidden="false" customHeight="true" outlineLevel="0" collapsed="false">
      <c r="B151" s="77"/>
      <c r="C151" s="170"/>
      <c r="D151" s="170"/>
      <c r="E151" s="171" t="str">
        <f aca="false">IF(OR(L140="-",L140= ""),H140,L140)</f>
        <v>Santorini</v>
      </c>
      <c r="F151" s="171"/>
      <c r="G151" s="171"/>
      <c r="H151" s="171"/>
      <c r="I151" s="171"/>
      <c r="J151" s="171"/>
      <c r="K151" s="171"/>
      <c r="L151" s="171"/>
      <c r="M151" s="171"/>
      <c r="N151" s="171"/>
      <c r="O151" s="172"/>
      <c r="P151" s="172"/>
      <c r="Q151" s="172"/>
      <c r="R151" s="172"/>
      <c r="S151" s="172"/>
      <c r="T151" s="170"/>
      <c r="U151" s="77"/>
    </row>
    <row r="152" customFormat="false" ht="50.15" hidden="false" customHeight="true" outlineLevel="0" collapsed="false">
      <c r="B152" s="77"/>
      <c r="C152" s="170"/>
      <c r="D152" s="172"/>
      <c r="E152" s="125" t="s">
        <v>52</v>
      </c>
      <c r="F152" s="126" t="s">
        <v>75</v>
      </c>
      <c r="G152" s="82" t="s">
        <v>76</v>
      </c>
      <c r="H152" s="81" t="s">
        <v>77</v>
      </c>
      <c r="I152" s="59" t="s">
        <v>78</v>
      </c>
      <c r="J152" s="81" t="s">
        <v>79</v>
      </c>
      <c r="K152" s="127" t="s">
        <v>80</v>
      </c>
      <c r="L152" s="81" t="s">
        <v>81</v>
      </c>
      <c r="M152" s="128" t="s">
        <v>82</v>
      </c>
      <c r="N152" s="129" t="s">
        <v>83</v>
      </c>
      <c r="O152" s="130" t="s">
        <v>84</v>
      </c>
      <c r="P152" s="131" t="s">
        <v>85</v>
      </c>
      <c r="Q152" s="172"/>
      <c r="R152" s="172"/>
      <c r="S152" s="172"/>
      <c r="T152" s="170"/>
      <c r="U152" s="77"/>
    </row>
    <row r="153" customFormat="false" ht="20.15" hidden="false" customHeight="true" outlineLevel="0" collapsed="false">
      <c r="B153" s="77"/>
      <c r="C153" s="170"/>
      <c r="D153" s="177"/>
      <c r="E153" s="388" t="s">
        <v>16</v>
      </c>
      <c r="F153" s="382" t="s">
        <v>17</v>
      </c>
      <c r="G153" s="304" t="n">
        <v>2</v>
      </c>
      <c r="H153" s="304" t="s">
        <v>384</v>
      </c>
      <c r="I153" s="221" t="n">
        <v>0</v>
      </c>
      <c r="J153" s="221" t="n">
        <v>0</v>
      </c>
      <c r="K153" s="221" t="s">
        <v>66</v>
      </c>
      <c r="L153" s="223" t="n">
        <f aca="false">IF(J153="",0,(J153/J155)*100)</f>
        <v>0</v>
      </c>
      <c r="M153" s="221" t="n">
        <v>2</v>
      </c>
      <c r="N153" s="224" t="n">
        <v>0</v>
      </c>
      <c r="O153" s="137" t="n">
        <f aca="false">IF(M153=1,1,0)</f>
        <v>0</v>
      </c>
      <c r="P153" s="139" t="n">
        <f aca="false">IF(M153=2,1,0)</f>
        <v>1</v>
      </c>
      <c r="Q153" s="176"/>
      <c r="R153" s="176"/>
      <c r="S153" s="176"/>
      <c r="T153" s="170"/>
      <c r="U153" s="77"/>
    </row>
    <row r="154" customFormat="false" ht="20.15" hidden="false" customHeight="true" outlineLevel="0" collapsed="false">
      <c r="B154" s="77"/>
      <c r="C154" s="170"/>
      <c r="D154" s="173"/>
      <c r="E154" s="439" t="s">
        <v>21</v>
      </c>
      <c r="F154" s="319" t="s">
        <v>22</v>
      </c>
      <c r="G154" s="320" t="n">
        <v>1</v>
      </c>
      <c r="H154" s="320" t="s">
        <v>385</v>
      </c>
      <c r="I154" s="322" t="n">
        <v>0</v>
      </c>
      <c r="J154" s="322" t="n">
        <v>1</v>
      </c>
      <c r="K154" s="321" t="s">
        <v>66</v>
      </c>
      <c r="L154" s="323" t="n">
        <f aca="false">IF(J154="",0,(J154/J155)*100)</f>
        <v>100</v>
      </c>
      <c r="M154" s="322" t="n">
        <v>1</v>
      </c>
      <c r="N154" s="324" t="n">
        <v>6</v>
      </c>
      <c r="O154" s="156" t="n">
        <f aca="false">IF(M154=1,1,0)</f>
        <v>1</v>
      </c>
      <c r="P154" s="158" t="n">
        <f aca="false">IF(M154=2,1,0)</f>
        <v>0</v>
      </c>
      <c r="Q154" s="176"/>
      <c r="R154" s="176"/>
      <c r="S154" s="176"/>
      <c r="T154" s="170"/>
      <c r="U154" s="77"/>
    </row>
    <row r="155" customFormat="false" ht="20.15" hidden="true" customHeight="true" outlineLevel="1" collapsed="false">
      <c r="B155" s="77"/>
      <c r="C155" s="170"/>
      <c r="D155" s="173"/>
      <c r="E155" s="173"/>
      <c r="F155" s="172"/>
      <c r="G155" s="172"/>
      <c r="H155" s="170"/>
      <c r="I155" s="213" t="s">
        <v>92</v>
      </c>
      <c r="J155" s="161" t="n">
        <f aca="false">MAX(J153:J154)</f>
        <v>1</v>
      </c>
      <c r="K155" s="186"/>
      <c r="L155" s="176"/>
      <c r="M155" s="170"/>
      <c r="N155" s="164" t="s">
        <v>93</v>
      </c>
      <c r="O155" s="165" t="n">
        <f aca="false">SUM(O153:O154)</f>
        <v>1</v>
      </c>
      <c r="P155" s="165" t="n">
        <f aca="false">SUM(P153:P154)</f>
        <v>1</v>
      </c>
      <c r="Q155" s="188"/>
      <c r="R155" s="188"/>
      <c r="S155" s="188"/>
      <c r="T155" s="170"/>
      <c r="U155" s="77"/>
    </row>
    <row r="156" customFormat="false" ht="20.15" hidden="false" customHeight="true" outlineLevel="0" collapsed="false">
      <c r="B156" s="77"/>
      <c r="C156" s="170"/>
      <c r="D156" s="189"/>
      <c r="E156" s="189"/>
      <c r="F156" s="170"/>
      <c r="G156" s="170"/>
      <c r="H156" s="170"/>
      <c r="I156" s="170"/>
      <c r="J156" s="170"/>
      <c r="K156" s="170"/>
      <c r="L156" s="170"/>
      <c r="M156" s="170"/>
      <c r="N156" s="170"/>
      <c r="O156" s="170"/>
      <c r="P156" s="170"/>
      <c r="Q156" s="170"/>
      <c r="R156" s="170"/>
      <c r="S156" s="170"/>
      <c r="T156" s="170"/>
      <c r="U156" s="77"/>
    </row>
    <row r="157" customFormat="false" ht="20.15" hidden="false" customHeight="true" outlineLevel="0" collapsed="false">
      <c r="B157" s="77"/>
      <c r="D157" s="190"/>
      <c r="E157" s="190"/>
      <c r="F157" s="190"/>
      <c r="G157" s="190"/>
      <c r="H157" s="191"/>
      <c r="I157" s="190"/>
      <c r="J157" s="190"/>
      <c r="K157" s="14"/>
      <c r="L157" s="14"/>
      <c r="M157" s="14"/>
      <c r="N157" s="14"/>
      <c r="O157" s="14"/>
      <c r="P157" s="14"/>
      <c r="Q157" s="14"/>
      <c r="R157" s="14"/>
      <c r="S157" s="14"/>
      <c r="U157" s="77"/>
    </row>
    <row r="158" customFormat="false" ht="20.15" hidden="false" customHeight="true" outlineLevel="0" collapsed="false">
      <c r="B158" s="77"/>
      <c r="C158" s="192"/>
      <c r="D158" s="192"/>
      <c r="E158" s="193" t="str">
        <f aca="false">IF(OR(L141="-",L141= ""),H141,L141)</f>
        <v>Viticulture</v>
      </c>
      <c r="F158" s="193"/>
      <c r="G158" s="193"/>
      <c r="H158" s="193"/>
      <c r="I158" s="193"/>
      <c r="J158" s="193"/>
      <c r="K158" s="193"/>
      <c r="L158" s="193"/>
      <c r="M158" s="193"/>
      <c r="N158" s="193"/>
      <c r="O158" s="194"/>
      <c r="P158" s="194"/>
      <c r="Q158" s="194"/>
      <c r="R158" s="194"/>
      <c r="S158" s="194"/>
      <c r="T158" s="192"/>
      <c r="U158" s="195"/>
    </row>
    <row r="159" customFormat="false" ht="50.15" hidden="false" customHeight="true" outlineLevel="0" collapsed="false">
      <c r="B159" s="77"/>
      <c r="C159" s="192"/>
      <c r="D159" s="194"/>
      <c r="E159" s="125" t="s">
        <v>52</v>
      </c>
      <c r="F159" s="126" t="s">
        <v>75</v>
      </c>
      <c r="G159" s="82" t="s">
        <v>76</v>
      </c>
      <c r="H159" s="81" t="s">
        <v>77</v>
      </c>
      <c r="I159" s="59" t="s">
        <v>78</v>
      </c>
      <c r="J159" s="81" t="s">
        <v>79</v>
      </c>
      <c r="K159" s="127" t="s">
        <v>80</v>
      </c>
      <c r="L159" s="81" t="s">
        <v>81</v>
      </c>
      <c r="M159" s="128" t="s">
        <v>82</v>
      </c>
      <c r="N159" s="129" t="s">
        <v>83</v>
      </c>
      <c r="O159" s="130" t="s">
        <v>84</v>
      </c>
      <c r="P159" s="131" t="s">
        <v>85</v>
      </c>
      <c r="Q159" s="194"/>
      <c r="R159" s="194"/>
      <c r="S159" s="194"/>
      <c r="T159" s="192"/>
      <c r="U159" s="195"/>
    </row>
    <row r="160" customFormat="false" ht="35.15" hidden="false" customHeight="true" outlineLevel="0" collapsed="false">
      <c r="B160" s="77"/>
      <c r="C160" s="192"/>
      <c r="D160" s="208"/>
      <c r="E160" s="416" t="s">
        <v>16</v>
      </c>
      <c r="F160" s="380" t="s">
        <v>17</v>
      </c>
      <c r="G160" s="325" t="n">
        <v>2</v>
      </c>
      <c r="H160" s="202" t="s">
        <v>386</v>
      </c>
      <c r="I160" s="201" t="n">
        <v>0</v>
      </c>
      <c r="J160" s="202" t="n">
        <v>21</v>
      </c>
      <c r="K160" s="202" t="s">
        <v>66</v>
      </c>
      <c r="L160" s="204" t="n">
        <f aca="false">IF(J160="",0,(J160/J162)*100)</f>
        <v>100</v>
      </c>
      <c r="M160" s="201" t="n">
        <v>1</v>
      </c>
      <c r="N160" s="205" t="n">
        <v>6</v>
      </c>
      <c r="O160" s="137" t="n">
        <f aca="false">IF(M160=1,1,0)</f>
        <v>1</v>
      </c>
      <c r="P160" s="139" t="n">
        <f aca="false">IF(M160=2,1,0)</f>
        <v>0</v>
      </c>
      <c r="Q160" s="206"/>
      <c r="R160" s="206"/>
      <c r="S160" s="206"/>
      <c r="T160" s="192"/>
      <c r="U160" s="207"/>
    </row>
    <row r="161" customFormat="false" ht="35.15" hidden="false" customHeight="true" outlineLevel="0" collapsed="false">
      <c r="B161" s="77"/>
      <c r="C161" s="192"/>
      <c r="D161" s="198"/>
      <c r="E161" s="232" t="s">
        <v>21</v>
      </c>
      <c r="F161" s="233" t="s">
        <v>22</v>
      </c>
      <c r="G161" s="307" t="n">
        <v>1</v>
      </c>
      <c r="H161" s="308" t="s">
        <v>387</v>
      </c>
      <c r="I161" s="234" t="n">
        <v>0</v>
      </c>
      <c r="J161" s="308" t="n">
        <v>14</v>
      </c>
      <c r="K161" s="308" t="s">
        <v>66</v>
      </c>
      <c r="L161" s="235" t="n">
        <f aca="false">IF(J161="",0,(J161/J162)*100)</f>
        <v>66.6666666666667</v>
      </c>
      <c r="M161" s="234" t="n">
        <v>2</v>
      </c>
      <c r="N161" s="236" t="n">
        <v>0</v>
      </c>
      <c r="O161" s="156" t="n">
        <f aca="false">IF(M161=1,1,0)</f>
        <v>0</v>
      </c>
      <c r="P161" s="158" t="n">
        <f aca="false">IF(M161=2,1,0)</f>
        <v>1</v>
      </c>
      <c r="Q161" s="206"/>
      <c r="R161" s="206"/>
      <c r="S161" s="206"/>
      <c r="T161" s="192"/>
      <c r="U161" s="211"/>
    </row>
    <row r="162" customFormat="false" ht="20.15" hidden="true" customHeight="true" outlineLevel="1" collapsed="false">
      <c r="B162" s="77"/>
      <c r="C162" s="192"/>
      <c r="D162" s="198"/>
      <c r="E162" s="198"/>
      <c r="F162" s="206"/>
      <c r="G162" s="206"/>
      <c r="H162" s="192"/>
      <c r="I162" s="213" t="s">
        <v>92</v>
      </c>
      <c r="J162" s="161" t="n">
        <f aca="false">MAX(J160:J161)</f>
        <v>21</v>
      </c>
      <c r="K162" s="214"/>
      <c r="L162" s="206"/>
      <c r="M162" s="192"/>
      <c r="N162" s="164" t="s">
        <v>93</v>
      </c>
      <c r="O162" s="165" t="n">
        <f aca="false">SUM(O160:O161)</f>
        <v>1</v>
      </c>
      <c r="P162" s="165" t="n">
        <f aca="false">SUM(P160:P161)</f>
        <v>1</v>
      </c>
      <c r="Q162" s="215"/>
      <c r="R162" s="215"/>
      <c r="S162" s="215"/>
      <c r="T162" s="192"/>
      <c r="U162" s="211"/>
    </row>
    <row r="163" customFormat="false" ht="20.15" hidden="false" customHeight="true" outlineLevel="0" collapsed="false">
      <c r="B163" s="77"/>
      <c r="C163" s="192"/>
      <c r="D163" s="216"/>
      <c r="E163" s="216"/>
      <c r="F163" s="192"/>
      <c r="G163" s="192"/>
      <c r="H163" s="192"/>
      <c r="I163" s="192"/>
      <c r="J163" s="192"/>
      <c r="K163" s="192"/>
      <c r="L163" s="192"/>
      <c r="M163" s="192"/>
      <c r="N163" s="192"/>
      <c r="O163" s="192"/>
      <c r="P163" s="192"/>
      <c r="Q163" s="192"/>
      <c r="R163" s="192"/>
      <c r="S163" s="192"/>
      <c r="T163" s="192"/>
      <c r="U163" s="211"/>
    </row>
    <row r="164" customFormat="false" ht="20.15" hidden="false" customHeight="true" outlineLevel="0" collapsed="false">
      <c r="B164" s="77"/>
      <c r="D164" s="190"/>
      <c r="E164" s="190"/>
      <c r="F164" s="190"/>
      <c r="G164" s="190"/>
      <c r="H164" s="191"/>
      <c r="I164" s="190"/>
      <c r="J164" s="190"/>
      <c r="K164" s="190"/>
      <c r="L164" s="14"/>
      <c r="M164" s="14"/>
      <c r="N164" s="14"/>
      <c r="O164" s="14"/>
      <c r="P164" s="14"/>
      <c r="Q164" s="14"/>
      <c r="R164" s="14"/>
      <c r="S164" s="14"/>
      <c r="U164" s="207"/>
    </row>
    <row r="165" customFormat="false" ht="20.15" hidden="false" customHeight="true" outlineLevel="0" collapsed="false">
      <c r="B165" s="77"/>
      <c r="C165" s="217"/>
      <c r="D165" s="217"/>
      <c r="E165" s="218" t="str">
        <f aca="false">IF(OR(M142="-",M142= ""),H142,M142)</f>
        <v>Hive</v>
      </c>
      <c r="F165" s="218"/>
      <c r="G165" s="218"/>
      <c r="H165" s="218"/>
      <c r="I165" s="218"/>
      <c r="J165" s="218"/>
      <c r="K165" s="218"/>
      <c r="L165" s="218"/>
      <c r="M165" s="218"/>
      <c r="N165" s="218"/>
      <c r="O165" s="219"/>
      <c r="P165" s="219"/>
      <c r="Q165" s="219"/>
      <c r="R165" s="219"/>
      <c r="S165" s="219"/>
      <c r="T165" s="217"/>
      <c r="U165" s="77"/>
    </row>
    <row r="166" customFormat="false" ht="50.15" hidden="false" customHeight="true" outlineLevel="0" collapsed="false">
      <c r="B166" s="77"/>
      <c r="C166" s="217"/>
      <c r="D166" s="219"/>
      <c r="E166" s="125" t="s">
        <v>52</v>
      </c>
      <c r="F166" s="126" t="s">
        <v>75</v>
      </c>
      <c r="G166" s="82" t="s">
        <v>76</v>
      </c>
      <c r="H166" s="81" t="s">
        <v>77</v>
      </c>
      <c r="I166" s="59" t="s">
        <v>78</v>
      </c>
      <c r="J166" s="81" t="s">
        <v>79</v>
      </c>
      <c r="K166" s="127" t="s">
        <v>80</v>
      </c>
      <c r="L166" s="81" t="s">
        <v>81</v>
      </c>
      <c r="M166" s="128" t="s">
        <v>82</v>
      </c>
      <c r="N166" s="129" t="s">
        <v>83</v>
      </c>
      <c r="O166" s="130" t="s">
        <v>84</v>
      </c>
      <c r="P166" s="131" t="s">
        <v>85</v>
      </c>
      <c r="Q166" s="219"/>
      <c r="R166" s="219"/>
      <c r="S166" s="219"/>
      <c r="T166" s="217"/>
      <c r="U166" s="77"/>
    </row>
    <row r="167" customFormat="false" ht="20.15" hidden="false" customHeight="true" outlineLevel="0" collapsed="false">
      <c r="B167" s="77"/>
      <c r="C167" s="217"/>
      <c r="D167" s="220"/>
      <c r="E167" s="416" t="s">
        <v>16</v>
      </c>
      <c r="F167" s="380" t="s">
        <v>17</v>
      </c>
      <c r="G167" s="325" t="n">
        <v>1</v>
      </c>
      <c r="H167" s="202" t="s">
        <v>66</v>
      </c>
      <c r="I167" s="201" t="n">
        <v>0</v>
      </c>
      <c r="J167" s="203" t="n">
        <v>1</v>
      </c>
      <c r="K167" s="202" t="s">
        <v>66</v>
      </c>
      <c r="L167" s="204" t="n">
        <f aca="false">IF(J167="",0,(J167/J169)*100)</f>
        <v>100</v>
      </c>
      <c r="M167" s="201" t="n">
        <v>1</v>
      </c>
      <c r="N167" s="205" t="n">
        <v>6</v>
      </c>
      <c r="O167" s="137" t="n">
        <f aca="false">IF(M167=1,1,0)</f>
        <v>1</v>
      </c>
      <c r="P167" s="139" t="n">
        <f aca="false">IF(M167=2,1,0)</f>
        <v>0</v>
      </c>
      <c r="Q167" s="225"/>
      <c r="R167" s="225"/>
      <c r="S167" s="225"/>
      <c r="T167" s="217"/>
      <c r="U167" s="77"/>
    </row>
    <row r="168" customFormat="false" ht="20.15" hidden="false" customHeight="true" outlineLevel="0" collapsed="false">
      <c r="B168" s="77"/>
      <c r="C168" s="217"/>
      <c r="D168" s="231"/>
      <c r="E168" s="232" t="s">
        <v>21</v>
      </c>
      <c r="F168" s="233" t="s">
        <v>22</v>
      </c>
      <c r="G168" s="307" t="n">
        <v>2</v>
      </c>
      <c r="H168" s="234" t="s">
        <v>66</v>
      </c>
      <c r="I168" s="234" t="n">
        <v>0</v>
      </c>
      <c r="J168" s="359" t="n">
        <v>0</v>
      </c>
      <c r="K168" s="308" t="s">
        <v>66</v>
      </c>
      <c r="L168" s="235" t="n">
        <f aca="false">IF(J168="",0,(J168/J169)*100)</f>
        <v>0</v>
      </c>
      <c r="M168" s="234" t="n">
        <v>2</v>
      </c>
      <c r="N168" s="236" t="n">
        <v>0</v>
      </c>
      <c r="O168" s="156" t="n">
        <f aca="false">IF(M168=1,1,0)</f>
        <v>0</v>
      </c>
      <c r="P168" s="158" t="n">
        <f aca="false">IF(M168=2,1,0)</f>
        <v>1</v>
      </c>
      <c r="Q168" s="225"/>
      <c r="R168" s="225"/>
      <c r="S168" s="225"/>
      <c r="T168" s="217"/>
      <c r="U168" s="77"/>
    </row>
    <row r="169" customFormat="false" ht="20.15" hidden="true" customHeight="true" outlineLevel="1" collapsed="false">
      <c r="B169" s="77"/>
      <c r="C169" s="217"/>
      <c r="D169" s="220"/>
      <c r="E169" s="220"/>
      <c r="F169" s="225"/>
      <c r="G169" s="225"/>
      <c r="H169" s="217"/>
      <c r="I169" s="213" t="s">
        <v>92</v>
      </c>
      <c r="J169" s="161" t="n">
        <f aca="false">MAX(J167:J168)</f>
        <v>1</v>
      </c>
      <c r="K169" s="237"/>
      <c r="L169" s="225"/>
      <c r="M169" s="217"/>
      <c r="N169" s="164" t="s">
        <v>93</v>
      </c>
      <c r="O169" s="165" t="n">
        <f aca="false">SUM(O167:O168)</f>
        <v>1</v>
      </c>
      <c r="P169" s="165" t="n">
        <f aca="false">SUM(P167:P168)</f>
        <v>1</v>
      </c>
      <c r="Q169" s="238"/>
      <c r="R169" s="238"/>
      <c r="S169" s="238"/>
      <c r="T169" s="217"/>
      <c r="U169" s="77"/>
    </row>
    <row r="170" customFormat="false" ht="20.15" hidden="false" customHeight="true" outlineLevel="0" collapsed="false">
      <c r="B170" s="77"/>
      <c r="C170" s="217"/>
      <c r="D170" s="239"/>
      <c r="E170" s="239"/>
      <c r="F170" s="217"/>
      <c r="G170" s="217"/>
      <c r="H170" s="217"/>
      <c r="I170" s="217"/>
      <c r="J170" s="217"/>
      <c r="K170" s="217"/>
      <c r="L170" s="217"/>
      <c r="M170" s="217"/>
      <c r="N170" s="217"/>
      <c r="O170" s="217"/>
      <c r="P170" s="217"/>
      <c r="Q170" s="217"/>
      <c r="R170" s="217"/>
      <c r="S170" s="217"/>
      <c r="T170" s="217"/>
      <c r="U170" s="77"/>
    </row>
    <row r="171" customFormat="false" ht="20.15" hidden="false" customHeight="true" outlineLevel="0" collapsed="false">
      <c r="B171" s="77"/>
      <c r="D171" s="5"/>
      <c r="E171" s="5"/>
      <c r="F171" s="5"/>
      <c r="G171" s="5"/>
      <c r="H171" s="5"/>
      <c r="I171" s="5"/>
      <c r="J171" s="5"/>
      <c r="K171" s="14"/>
      <c r="L171" s="14"/>
      <c r="M171" s="14"/>
      <c r="N171" s="14"/>
      <c r="O171" s="14"/>
      <c r="P171" s="14"/>
      <c r="Q171" s="14"/>
      <c r="R171" s="14"/>
      <c r="S171" s="14"/>
      <c r="U171" s="77"/>
    </row>
    <row r="172" customFormat="false" ht="30" hidden="false" customHeight="true" outlineLevel="0" collapsed="false">
      <c r="B172" s="77"/>
      <c r="C172" s="240"/>
      <c r="D172" s="511" t="s">
        <v>149</v>
      </c>
      <c r="E172" s="511"/>
      <c r="F172" s="511"/>
      <c r="G172" s="511"/>
      <c r="H172" s="511"/>
      <c r="I172" s="511"/>
      <c r="J172" s="511"/>
      <c r="K172" s="511"/>
      <c r="L172" s="511"/>
      <c r="M172" s="511"/>
      <c r="N172" s="511"/>
      <c r="O172" s="511"/>
      <c r="P172" s="511"/>
      <c r="Q172" s="511"/>
      <c r="R172" s="511"/>
      <c r="S172" s="511"/>
      <c r="T172" s="240"/>
      <c r="U172" s="77"/>
    </row>
    <row r="173" customFormat="false" ht="50.15" hidden="false" customHeight="true" outlineLevel="0" collapsed="false">
      <c r="B173" s="77"/>
      <c r="C173" s="240"/>
      <c r="D173" s="401"/>
      <c r="E173" s="512" t="s">
        <v>52</v>
      </c>
      <c r="F173" s="513" t="s">
        <v>53</v>
      </c>
      <c r="G173" s="514" t="s">
        <v>83</v>
      </c>
      <c r="H173" s="515" t="s">
        <v>102</v>
      </c>
      <c r="I173" s="516" t="s">
        <v>103</v>
      </c>
      <c r="J173" s="516"/>
      <c r="K173" s="513" t="s">
        <v>104</v>
      </c>
      <c r="L173" s="514" t="s">
        <v>105</v>
      </c>
      <c r="M173" s="514" t="s">
        <v>106</v>
      </c>
      <c r="N173" s="517" t="s">
        <v>109</v>
      </c>
      <c r="O173" s="399"/>
      <c r="P173" s="400"/>
      <c r="Q173" s="400"/>
      <c r="R173" s="400"/>
      <c r="S173" s="401"/>
      <c r="T173" s="240"/>
      <c r="U173" s="77"/>
    </row>
    <row r="174" customFormat="false" ht="20.15" hidden="false" customHeight="true" outlineLevel="0" collapsed="false">
      <c r="B174" s="77"/>
      <c r="C174" s="240"/>
      <c r="D174" s="401"/>
      <c r="E174" s="326" t="s">
        <v>16</v>
      </c>
      <c r="F174" s="252" t="s">
        <v>17</v>
      </c>
      <c r="G174" s="327" t="n">
        <f aca="false">L174*6+M174*0</f>
        <v>18</v>
      </c>
      <c r="H174" s="328" t="n">
        <v>0</v>
      </c>
      <c r="I174" s="328" t="s">
        <v>66</v>
      </c>
      <c r="J174" s="328"/>
      <c r="K174" s="327" t="n">
        <f aca="false">G174+H174</f>
        <v>18</v>
      </c>
      <c r="L174" s="327" t="n">
        <v>3</v>
      </c>
      <c r="M174" s="327" t="n">
        <v>1</v>
      </c>
      <c r="N174" s="329" t="n">
        <f aca="false">(L146+L153+L160+L167)/4</f>
        <v>75</v>
      </c>
      <c r="O174" s="402"/>
      <c r="P174" s="403"/>
      <c r="Q174" s="403"/>
      <c r="R174" s="403"/>
      <c r="S174" s="401"/>
      <c r="T174" s="240"/>
      <c r="U174" s="77"/>
    </row>
    <row r="175" customFormat="false" ht="20.15" hidden="false" customHeight="true" outlineLevel="0" collapsed="false">
      <c r="B175" s="77"/>
      <c r="C175" s="240"/>
      <c r="D175" s="401"/>
      <c r="E175" s="265" t="s">
        <v>21</v>
      </c>
      <c r="F175" s="266" t="s">
        <v>22</v>
      </c>
      <c r="G175" s="338" t="n">
        <f aca="false">L175*6+M175*0</f>
        <v>6</v>
      </c>
      <c r="H175" s="339" t="n">
        <v>0</v>
      </c>
      <c r="I175" s="339" t="s">
        <v>66</v>
      </c>
      <c r="J175" s="339"/>
      <c r="K175" s="338" t="n">
        <f aca="false">G175+H175</f>
        <v>6</v>
      </c>
      <c r="L175" s="338" t="n">
        <v>1</v>
      </c>
      <c r="M175" s="338" t="n">
        <v>3</v>
      </c>
      <c r="N175" s="341" t="n">
        <f aca="false">(L147+L154+L161+L168)/4</f>
        <v>64.1385767790262</v>
      </c>
      <c r="O175" s="402"/>
      <c r="P175" s="403"/>
      <c r="Q175" s="403"/>
      <c r="R175" s="403"/>
      <c r="S175" s="401"/>
      <c r="T175" s="240"/>
      <c r="U175" s="77"/>
    </row>
    <row r="176" customFormat="false" ht="20.15" hidden="false" customHeight="true" outlineLevel="0" collapsed="false">
      <c r="B176" s="77"/>
      <c r="C176" s="240"/>
      <c r="D176" s="240"/>
      <c r="E176" s="240"/>
      <c r="F176" s="240"/>
      <c r="G176" s="240"/>
      <c r="H176" s="240"/>
      <c r="I176" s="240"/>
      <c r="J176" s="240"/>
      <c r="K176" s="240"/>
      <c r="L176" s="240"/>
      <c r="M176" s="240"/>
      <c r="N176" s="240"/>
      <c r="O176" s="240"/>
      <c r="P176" s="240"/>
      <c r="Q176" s="240"/>
      <c r="R176" s="240"/>
      <c r="S176" s="240"/>
      <c r="T176" s="240"/>
      <c r="U176" s="77"/>
    </row>
    <row r="177" customFormat="false" ht="20.15" hidden="false" customHeight="true" outlineLevel="0" collapsed="false">
      <c r="B177" s="77"/>
      <c r="C177" s="77"/>
      <c r="D177" s="270"/>
      <c r="E177" s="270"/>
      <c r="F177" s="195"/>
      <c r="G177" s="195"/>
      <c r="H177" s="270"/>
      <c r="I177" s="270"/>
      <c r="J177" s="270"/>
      <c r="K177" s="207"/>
      <c r="L177" s="207"/>
      <c r="M177" s="207"/>
      <c r="N177" s="207"/>
      <c r="O177" s="207"/>
      <c r="P177" s="207"/>
      <c r="Q177" s="207"/>
      <c r="R177" s="207"/>
      <c r="S177" s="207"/>
      <c r="T177" s="77"/>
      <c r="U177" s="77"/>
    </row>
  </sheetData>
  <mergeCells count="113">
    <mergeCell ref="A1:N2"/>
    <mergeCell ref="B4:J4"/>
    <mergeCell ref="L4:N4"/>
    <mergeCell ref="B5:C5"/>
    <mergeCell ref="B6:C6"/>
    <mergeCell ref="M6:M9"/>
    <mergeCell ref="B7:C7"/>
    <mergeCell ref="B8:C8"/>
    <mergeCell ref="B9:C9"/>
    <mergeCell ref="B10:C10"/>
    <mergeCell ref="M10:M13"/>
    <mergeCell ref="B11:C11"/>
    <mergeCell ref="B12:C12"/>
    <mergeCell ref="B13:C13"/>
    <mergeCell ref="B14:C14"/>
    <mergeCell ref="M14:M15"/>
    <mergeCell ref="B15:C15"/>
    <mergeCell ref="B16:C16"/>
    <mergeCell ref="L16:M16"/>
    <mergeCell ref="B17:I17"/>
    <mergeCell ref="B18:C18"/>
    <mergeCell ref="B19:C19"/>
    <mergeCell ref="B20:C20"/>
    <mergeCell ref="C23:T23"/>
    <mergeCell ref="D25:D26"/>
    <mergeCell ref="E25:E26"/>
    <mergeCell ref="F25:F26"/>
    <mergeCell ref="G25:J25"/>
    <mergeCell ref="L25:S25"/>
    <mergeCell ref="I26:J26"/>
    <mergeCell ref="N26:S26"/>
    <mergeCell ref="I27:J27"/>
    <mergeCell ref="N27:S27"/>
    <mergeCell ref="I28:J28"/>
    <mergeCell ref="N28:S28"/>
    <mergeCell ref="I29:J29"/>
    <mergeCell ref="N29:S29"/>
    <mergeCell ref="I30:J30"/>
    <mergeCell ref="N30:S30"/>
    <mergeCell ref="E32:N32"/>
    <mergeCell ref="F38:G38"/>
    <mergeCell ref="F39:G39"/>
    <mergeCell ref="E41:N41"/>
    <mergeCell ref="F47:G47"/>
    <mergeCell ref="E50:N50"/>
    <mergeCell ref="F56:G56"/>
    <mergeCell ref="E59:N59"/>
    <mergeCell ref="F65:G65"/>
    <mergeCell ref="D68:S68"/>
    <mergeCell ref="H69:I69"/>
    <mergeCell ref="H70:I70"/>
    <mergeCell ref="H71:I71"/>
    <mergeCell ref="H72:I72"/>
    <mergeCell ref="H73:I73"/>
    <mergeCell ref="C79:T79"/>
    <mergeCell ref="D81:D82"/>
    <mergeCell ref="E81:E82"/>
    <mergeCell ref="F81:F82"/>
    <mergeCell ref="G81:J81"/>
    <mergeCell ref="L81:S81"/>
    <mergeCell ref="I82:J82"/>
    <mergeCell ref="N82:S82"/>
    <mergeCell ref="I83:J83"/>
    <mergeCell ref="N83:S83"/>
    <mergeCell ref="I84:J84"/>
    <mergeCell ref="N84:S84"/>
    <mergeCell ref="I85:J85"/>
    <mergeCell ref="N85:S85"/>
    <mergeCell ref="I86:J86"/>
    <mergeCell ref="N86:S86"/>
    <mergeCell ref="E88:N88"/>
    <mergeCell ref="F94:G94"/>
    <mergeCell ref="E97:N97"/>
    <mergeCell ref="F103:G103"/>
    <mergeCell ref="E106:N106"/>
    <mergeCell ref="F112:G112"/>
    <mergeCell ref="E115:N115"/>
    <mergeCell ref="F121:G121"/>
    <mergeCell ref="D124:S124"/>
    <mergeCell ref="H125:I125"/>
    <mergeCell ref="H126:I126"/>
    <mergeCell ref="H127:I127"/>
    <mergeCell ref="Y127:Z127"/>
    <mergeCell ref="H128:I128"/>
    <mergeCell ref="H129:I129"/>
    <mergeCell ref="C135:T135"/>
    <mergeCell ref="D137:D138"/>
    <mergeCell ref="E137:E138"/>
    <mergeCell ref="F137:F138"/>
    <mergeCell ref="G137:J137"/>
    <mergeCell ref="L137:S137"/>
    <mergeCell ref="I138:J138"/>
    <mergeCell ref="N138:S138"/>
    <mergeCell ref="I139:J139"/>
    <mergeCell ref="N139:S139"/>
    <mergeCell ref="I140:J140"/>
    <mergeCell ref="N140:S140"/>
    <mergeCell ref="I141:J141"/>
    <mergeCell ref="N141:S141"/>
    <mergeCell ref="I142:J142"/>
    <mergeCell ref="N142:S142"/>
    <mergeCell ref="E144:N144"/>
    <mergeCell ref="F148:G148"/>
    <mergeCell ref="E151:N151"/>
    <mergeCell ref="F155:G155"/>
    <mergeCell ref="E158:N158"/>
    <mergeCell ref="F162:G162"/>
    <mergeCell ref="E165:N165"/>
    <mergeCell ref="F169:G169"/>
    <mergeCell ref="D172:S172"/>
    <mergeCell ref="I173:J173"/>
    <mergeCell ref="I174:J174"/>
    <mergeCell ref="I175:J175"/>
  </mergeCells>
  <dataValidations count="1">
    <dataValidation allowBlank="true" operator="between" showDropDown="false" showErrorMessage="true" showInputMessage="true" sqref="J6:J15"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73"/>
  <sheetViews>
    <sheetView showFormulas="false" showGridLines="false" showRowColHeaders="true" showZeros="true" rightToLeft="false" tabSelected="false" showOutlineSymbols="true" defaultGridColor="true" view="normal" topLeftCell="A22" colorId="64" zoomScale="100" zoomScaleNormal="100" zoomScalePageLayoutView="100" workbookViewId="0">
      <selection pane="topLeft" activeCell="H27" activeCellId="0" sqref="H27"/>
    </sheetView>
  </sheetViews>
  <sheetFormatPr defaultColWidth="11.47265625" defaultRowHeight="14.5" zeroHeight="false" outlineLevelRow="1" outlineLevelCol="1"/>
  <cols>
    <col collapsed="false" customWidth="true" hidden="false" outlineLevel="0" max="3" min="1" style="1" width="3.72"/>
    <col collapsed="false" customWidth="true" hidden="false" outlineLevel="0" max="14" min="4" style="1" width="20.72"/>
    <col collapsed="false" customWidth="true" hidden="true" outlineLevel="1" max="18" min="15" style="1" width="20.72"/>
    <col collapsed="false" customWidth="true" hidden="false" outlineLevel="0" max="19" min="19" style="1" width="20.72"/>
    <col collapsed="false" customWidth="true" hidden="false" outlineLevel="0" max="21" min="20" style="1" width="3.72"/>
    <col collapsed="false" customWidth="true" hidden="false" outlineLevel="0" max="22" min="22" style="1" width="15.81"/>
    <col collapsed="false" customWidth="true" hidden="false" outlineLevel="0" max="24" min="23" style="1" width="20.72"/>
    <col collapsed="false" customWidth="false" hidden="false" outlineLevel="0" max="1024" min="25" style="1" width="11.45"/>
  </cols>
  <sheetData>
    <row r="1" customFormat="false" ht="14.5" hidden="false" customHeight="false" outlineLevel="0" collapsed="false">
      <c r="A1" s="2" t="s">
        <v>388</v>
      </c>
      <c r="B1" s="2"/>
      <c r="C1" s="2"/>
      <c r="D1" s="2"/>
      <c r="E1" s="2"/>
      <c r="F1" s="2"/>
      <c r="G1" s="2"/>
      <c r="H1" s="2"/>
      <c r="I1" s="2"/>
      <c r="J1" s="2"/>
      <c r="K1" s="2"/>
      <c r="L1" s="2"/>
      <c r="M1" s="2"/>
      <c r="N1" s="2"/>
    </row>
    <row r="2" customFormat="false" ht="14.5" hidden="false" customHeight="false" outlineLevel="0" collapsed="false">
      <c r="A2" s="2"/>
      <c r="B2" s="2"/>
      <c r="C2" s="2"/>
      <c r="D2" s="2"/>
      <c r="E2" s="2"/>
      <c r="F2" s="2"/>
      <c r="G2" s="2"/>
      <c r="H2" s="2"/>
      <c r="I2" s="2"/>
      <c r="J2" s="2"/>
      <c r="K2" s="2"/>
      <c r="L2" s="2"/>
      <c r="M2" s="2"/>
      <c r="N2" s="2"/>
    </row>
    <row r="3" customFormat="false" ht="20.15" hidden="false" customHeight="true" outlineLevel="0" collapsed="false"/>
    <row r="4" customFormat="false" ht="15" hidden="false" customHeight="false" outlineLevel="0" collapsed="false">
      <c r="B4" s="3" t="s">
        <v>389</v>
      </c>
      <c r="C4" s="3"/>
      <c r="D4" s="3"/>
      <c r="E4" s="3"/>
      <c r="F4" s="3"/>
      <c r="G4" s="3"/>
      <c r="H4" s="3"/>
      <c r="I4" s="3"/>
      <c r="J4" s="3"/>
      <c r="L4" s="3" t="s">
        <v>2</v>
      </c>
      <c r="M4" s="3"/>
      <c r="N4" s="3"/>
      <c r="Q4" s="4"/>
      <c r="R4" s="4"/>
      <c r="S4" s="4"/>
      <c r="T4" s="5"/>
      <c r="U4" s="4"/>
      <c r="V4" s="4"/>
      <c r="W4" s="4"/>
      <c r="X4" s="4"/>
    </row>
    <row r="5" customFormat="false" ht="50.15" hidden="false" customHeight="true" outlineLevel="0" collapsed="false">
      <c r="B5" s="6" t="s">
        <v>390</v>
      </c>
      <c r="C5" s="6"/>
      <c r="D5" s="7" t="s">
        <v>4</v>
      </c>
      <c r="E5" s="8" t="s">
        <v>5</v>
      </c>
      <c r="F5" s="9" t="s">
        <v>6</v>
      </c>
      <c r="G5" s="10" t="s">
        <v>7</v>
      </c>
      <c r="H5" s="10" t="s">
        <v>8</v>
      </c>
      <c r="I5" s="10" t="s">
        <v>9</v>
      </c>
      <c r="J5" s="9" t="s">
        <v>391</v>
      </c>
      <c r="L5" s="11" t="s">
        <v>4</v>
      </c>
      <c r="M5" s="12" t="s">
        <v>11</v>
      </c>
      <c r="N5" s="13" t="s">
        <v>12</v>
      </c>
      <c r="P5" s="14"/>
      <c r="Q5" s="5"/>
      <c r="S5" s="4"/>
      <c r="T5" s="4"/>
      <c r="U5" s="4"/>
      <c r="V5" s="5"/>
      <c r="W5" s="5"/>
    </row>
    <row r="6" customFormat="false" ht="20.15" hidden="false" customHeight="true" outlineLevel="0" collapsed="false">
      <c r="B6" s="15" t="n">
        <v>1</v>
      </c>
      <c r="C6" s="15"/>
      <c r="D6" s="16" t="s">
        <v>27</v>
      </c>
      <c r="E6" s="17" t="s">
        <v>28</v>
      </c>
      <c r="F6" s="18" t="s">
        <v>29</v>
      </c>
      <c r="G6" s="18" t="s">
        <v>28</v>
      </c>
      <c r="H6" s="18" t="s">
        <v>28</v>
      </c>
      <c r="I6" s="17" t="s">
        <v>18</v>
      </c>
      <c r="J6" s="19" t="s">
        <v>15</v>
      </c>
      <c r="L6" s="20" t="str">
        <f aca="false">D6</f>
        <v>Judith Maibaum</v>
      </c>
      <c r="M6" s="21" t="n">
        <v>1</v>
      </c>
      <c r="N6" s="22" t="n">
        <v>1</v>
      </c>
      <c r="P6" s="14"/>
      <c r="Q6" s="23"/>
      <c r="S6" s="14"/>
      <c r="T6" s="14"/>
      <c r="U6" s="14"/>
      <c r="V6" s="24"/>
      <c r="W6" s="24"/>
    </row>
    <row r="7" customFormat="false" ht="20.15" hidden="false" customHeight="true" outlineLevel="0" collapsed="false">
      <c r="B7" s="25" t="n">
        <v>2</v>
      </c>
      <c r="C7" s="25"/>
      <c r="D7" s="26" t="s">
        <v>25</v>
      </c>
      <c r="E7" s="27" t="s">
        <v>26</v>
      </c>
      <c r="F7" s="28" t="s">
        <v>26</v>
      </c>
      <c r="G7" s="26" t="s">
        <v>26</v>
      </c>
      <c r="H7" s="29" t="s">
        <v>26</v>
      </c>
      <c r="I7" s="36" t="s">
        <v>18</v>
      </c>
      <c r="J7" s="30" t="s">
        <v>15</v>
      </c>
      <c r="L7" s="31" t="str">
        <f aca="false">D7</f>
        <v>Pauline Schätzle</v>
      </c>
      <c r="M7" s="21"/>
      <c r="N7" s="32" t="n">
        <v>2</v>
      </c>
      <c r="P7" s="14"/>
      <c r="Q7" s="23"/>
      <c r="S7" s="14"/>
      <c r="T7" s="14"/>
      <c r="U7" s="14"/>
      <c r="V7" s="24"/>
      <c r="W7" s="24"/>
    </row>
    <row r="8" customFormat="false" ht="20.15" hidden="false" customHeight="true" outlineLevel="0" collapsed="false">
      <c r="B8" s="25" t="n">
        <v>3</v>
      </c>
      <c r="C8" s="25"/>
      <c r="D8" s="33" t="s">
        <v>39</v>
      </c>
      <c r="E8" s="36" t="s">
        <v>40</v>
      </c>
      <c r="F8" s="29" t="s">
        <v>40</v>
      </c>
      <c r="G8" s="29" t="s">
        <v>40</v>
      </c>
      <c r="H8" s="29" t="s">
        <v>18</v>
      </c>
      <c r="I8" s="29" t="s">
        <v>18</v>
      </c>
      <c r="J8" s="30" t="s">
        <v>15</v>
      </c>
      <c r="L8" s="31" t="str">
        <f aca="false">D8</f>
        <v>Markus Hagenauer</v>
      </c>
      <c r="M8" s="21"/>
      <c r="N8" s="32" t="n">
        <v>3</v>
      </c>
      <c r="P8" s="14"/>
      <c r="Q8" s="23"/>
      <c r="S8" s="14"/>
      <c r="T8" s="14"/>
      <c r="U8" s="14"/>
      <c r="V8" s="24"/>
      <c r="W8" s="24"/>
    </row>
    <row r="9" customFormat="false" ht="20.15" hidden="false" customHeight="true" outlineLevel="0" collapsed="false">
      <c r="B9" s="25" t="n">
        <v>4</v>
      </c>
      <c r="C9" s="25"/>
      <c r="D9" s="33" t="s">
        <v>30</v>
      </c>
      <c r="E9" s="27" t="s">
        <v>31</v>
      </c>
      <c r="F9" s="28" t="s">
        <v>32</v>
      </c>
      <c r="G9" s="26" t="s">
        <v>18</v>
      </c>
      <c r="H9" s="29" t="s">
        <v>32</v>
      </c>
      <c r="I9" s="36" t="s">
        <v>18</v>
      </c>
      <c r="J9" s="30" t="s">
        <v>15</v>
      </c>
      <c r="L9" s="34" t="str">
        <f aca="false">D9</f>
        <v>Lisa Schätzle</v>
      </c>
      <c r="M9" s="21"/>
      <c r="N9" s="35" t="n">
        <v>4</v>
      </c>
      <c r="P9" s="14"/>
      <c r="Q9" s="23"/>
      <c r="S9" s="14"/>
      <c r="T9" s="14"/>
      <c r="U9" s="14"/>
      <c r="V9" s="24"/>
      <c r="W9" s="24"/>
    </row>
    <row r="10" customFormat="false" ht="20.15" hidden="false" customHeight="true" outlineLevel="0" collapsed="false">
      <c r="B10" s="25" t="n">
        <v>5</v>
      </c>
      <c r="C10" s="25"/>
      <c r="D10" s="33" t="s">
        <v>13</v>
      </c>
      <c r="E10" s="36" t="s">
        <v>14</v>
      </c>
      <c r="F10" s="36" t="s">
        <v>14</v>
      </c>
      <c r="G10" s="36" t="s">
        <v>14</v>
      </c>
      <c r="H10" s="29" t="s">
        <v>14</v>
      </c>
      <c r="I10" s="29" t="s">
        <v>14</v>
      </c>
      <c r="J10" s="30" t="s">
        <v>15</v>
      </c>
      <c r="L10" s="20" t="str">
        <f aca="false">D10</f>
        <v>Devid Fulterer</v>
      </c>
      <c r="M10" s="37" t="n">
        <v>2</v>
      </c>
      <c r="N10" s="22" t="n">
        <v>1</v>
      </c>
      <c r="P10" s="14"/>
      <c r="Q10" s="23"/>
      <c r="S10" s="14"/>
      <c r="T10" s="14"/>
      <c r="U10" s="14"/>
      <c r="V10" s="24"/>
      <c r="W10" s="24"/>
    </row>
    <row r="11" customFormat="false" ht="20.15" hidden="false" customHeight="true" outlineLevel="0" collapsed="false">
      <c r="B11" s="25" t="n">
        <v>6</v>
      </c>
      <c r="C11" s="25"/>
      <c r="D11" s="33" t="s">
        <v>19</v>
      </c>
      <c r="E11" s="27" t="s">
        <v>20</v>
      </c>
      <c r="F11" s="28" t="s">
        <v>20</v>
      </c>
      <c r="G11" s="26" t="s">
        <v>20</v>
      </c>
      <c r="H11" s="29" t="s">
        <v>20</v>
      </c>
      <c r="I11" s="29" t="s">
        <v>18</v>
      </c>
      <c r="J11" s="30" t="s">
        <v>15</v>
      </c>
      <c r="L11" s="31" t="str">
        <f aca="false">D11</f>
        <v>Jérôme Schätzle</v>
      </c>
      <c r="M11" s="37"/>
      <c r="N11" s="32" t="n">
        <v>2</v>
      </c>
      <c r="P11" s="14"/>
      <c r="Q11" s="23"/>
      <c r="S11" s="14"/>
      <c r="T11" s="14"/>
      <c r="U11" s="14"/>
      <c r="V11" s="24"/>
      <c r="W11" s="24"/>
    </row>
    <row r="12" customFormat="false" ht="20.15" hidden="false" customHeight="true" outlineLevel="0" collapsed="false">
      <c r="B12" s="25" t="n">
        <v>7</v>
      </c>
      <c r="C12" s="25"/>
      <c r="D12" s="26" t="s">
        <v>16</v>
      </c>
      <c r="E12" s="27" t="s">
        <v>17</v>
      </c>
      <c r="F12" s="28" t="s">
        <v>17</v>
      </c>
      <c r="G12" s="26" t="s">
        <v>17</v>
      </c>
      <c r="H12" s="29" t="s">
        <v>17</v>
      </c>
      <c r="I12" s="29" t="s">
        <v>18</v>
      </c>
      <c r="J12" s="30" t="s">
        <v>15</v>
      </c>
      <c r="L12" s="31" t="str">
        <f aca="false">D12</f>
        <v>Andreas Micke</v>
      </c>
      <c r="M12" s="37"/>
      <c r="N12" s="32" t="n">
        <v>3</v>
      </c>
      <c r="P12" s="14"/>
      <c r="Q12" s="23"/>
      <c r="S12" s="14"/>
      <c r="T12" s="14"/>
      <c r="U12" s="14"/>
      <c r="V12" s="24"/>
      <c r="W12" s="24"/>
    </row>
    <row r="13" customFormat="false" ht="20.15" hidden="false" customHeight="true" outlineLevel="0" collapsed="false">
      <c r="B13" s="39" t="n">
        <v>8</v>
      </c>
      <c r="C13" s="39"/>
      <c r="D13" s="40" t="s">
        <v>33</v>
      </c>
      <c r="E13" s="366" t="s">
        <v>34</v>
      </c>
      <c r="F13" s="44" t="s">
        <v>34</v>
      </c>
      <c r="G13" s="44" t="s">
        <v>34</v>
      </c>
      <c r="H13" s="44" t="s">
        <v>18</v>
      </c>
      <c r="I13" s="44" t="s">
        <v>18</v>
      </c>
      <c r="J13" s="45" t="s">
        <v>38</v>
      </c>
      <c r="L13" s="34" t="str">
        <f aca="false">D13</f>
        <v>Kai Maibaum</v>
      </c>
      <c r="M13" s="37"/>
      <c r="N13" s="35" t="n">
        <v>4</v>
      </c>
      <c r="P13" s="14"/>
      <c r="Q13" s="23"/>
      <c r="S13" s="14"/>
      <c r="T13" s="14"/>
      <c r="U13" s="14"/>
      <c r="V13" s="24"/>
      <c r="W13" s="24"/>
    </row>
    <row r="14" customFormat="false" ht="20.15" hidden="false" customHeight="true" outlineLevel="0" collapsed="false">
      <c r="B14" s="25" t="n">
        <v>9</v>
      </c>
      <c r="C14" s="25"/>
      <c r="D14" s="26" t="s">
        <v>21</v>
      </c>
      <c r="E14" s="27" t="s">
        <v>22</v>
      </c>
      <c r="F14" s="28" t="s">
        <v>22</v>
      </c>
      <c r="G14" s="26" t="s">
        <v>18</v>
      </c>
      <c r="H14" s="29" t="s">
        <v>22</v>
      </c>
      <c r="I14" s="29" t="s">
        <v>18</v>
      </c>
      <c r="J14" s="30" t="s">
        <v>15</v>
      </c>
      <c r="L14" s="20" t="str">
        <f aca="false">D14</f>
        <v>Daniel Zimmerman</v>
      </c>
      <c r="M14" s="21" t="n">
        <v>3</v>
      </c>
      <c r="N14" s="22" t="n">
        <v>1</v>
      </c>
      <c r="P14" s="14"/>
      <c r="Q14" s="23"/>
      <c r="S14" s="14"/>
      <c r="T14" s="14"/>
      <c r="U14" s="14"/>
      <c r="V14" s="24"/>
      <c r="W14" s="24"/>
    </row>
    <row r="15" customFormat="false" ht="20.15" hidden="false" customHeight="true" outlineLevel="0" collapsed="false">
      <c r="B15" s="25" t="n">
        <v>10</v>
      </c>
      <c r="C15" s="25"/>
      <c r="D15" s="26" t="s">
        <v>360</v>
      </c>
      <c r="E15" s="38" t="s">
        <v>361</v>
      </c>
      <c r="F15" s="38" t="s">
        <v>361</v>
      </c>
      <c r="G15" s="38" t="s">
        <v>18</v>
      </c>
      <c r="H15" s="38" t="s">
        <v>18</v>
      </c>
      <c r="I15" s="38" t="s">
        <v>18</v>
      </c>
      <c r="J15" s="30" t="s">
        <v>15</v>
      </c>
      <c r="L15" s="31" t="str">
        <f aca="false">D15</f>
        <v>Peter Ratschiller</v>
      </c>
      <c r="M15" s="21"/>
      <c r="N15" s="32" t="n">
        <v>2</v>
      </c>
      <c r="P15" s="14"/>
      <c r="Q15" s="23"/>
      <c r="S15" s="14"/>
      <c r="T15" s="14"/>
      <c r="U15" s="14"/>
      <c r="V15" s="24"/>
      <c r="W15" s="24"/>
    </row>
    <row r="16" customFormat="false" ht="20.15" hidden="false" customHeight="true" outlineLevel="0" collapsed="false">
      <c r="B16" s="47" t="n">
        <v>11</v>
      </c>
      <c r="C16" s="47"/>
      <c r="D16" s="51" t="s">
        <v>49</v>
      </c>
      <c r="E16" s="433" t="s">
        <v>50</v>
      </c>
      <c r="F16" s="433" t="s">
        <v>50</v>
      </c>
      <c r="G16" s="433"/>
      <c r="H16" s="433" t="s">
        <v>50</v>
      </c>
      <c r="I16" s="433"/>
      <c r="J16" s="53" t="s">
        <v>15</v>
      </c>
      <c r="L16" s="449" t="str">
        <f aca="false">D16</f>
        <v>Jonas Röhrig</v>
      </c>
      <c r="M16" s="21"/>
      <c r="N16" s="55" t="n">
        <v>3</v>
      </c>
      <c r="P16" s="14"/>
      <c r="Q16" s="23"/>
      <c r="S16" s="14"/>
      <c r="T16" s="14"/>
      <c r="U16" s="14"/>
      <c r="V16" s="24"/>
      <c r="W16" s="24"/>
    </row>
    <row r="17" customFormat="false" ht="20.15" hidden="false" customHeight="true" outlineLevel="0" collapsed="false">
      <c r="B17" s="23"/>
      <c r="C17" s="23"/>
      <c r="L17" s="56" t="s">
        <v>392</v>
      </c>
      <c r="M17" s="56"/>
      <c r="N17" s="57" t="n">
        <v>11</v>
      </c>
      <c r="P17" s="4"/>
      <c r="Q17" s="4"/>
      <c r="S17" s="4"/>
      <c r="T17" s="4"/>
      <c r="U17" s="4"/>
      <c r="V17" s="4"/>
    </row>
    <row r="18" customFormat="false" ht="15" hidden="false" customHeight="false" outlineLevel="0" collapsed="false">
      <c r="B18" s="3" t="s">
        <v>393</v>
      </c>
      <c r="C18" s="3"/>
      <c r="D18" s="3"/>
      <c r="E18" s="3"/>
      <c r="F18" s="3"/>
      <c r="G18" s="3"/>
      <c r="H18" s="3"/>
      <c r="I18" s="3"/>
      <c r="M18" s="58"/>
      <c r="N18" s="58"/>
      <c r="O18" s="58"/>
      <c r="P18" s="5"/>
      <c r="Q18" s="4"/>
      <c r="R18" s="4"/>
      <c r="T18" s="4"/>
      <c r="U18" s="4"/>
      <c r="V18" s="4"/>
      <c r="W18" s="4"/>
    </row>
    <row r="19" customFormat="false" ht="29.5" hidden="false" customHeight="true" outlineLevel="0" collapsed="false">
      <c r="B19" s="59" t="s">
        <v>45</v>
      </c>
      <c r="C19" s="59"/>
      <c r="D19" s="60" t="s">
        <v>4</v>
      </c>
      <c r="E19" s="61" t="s">
        <v>5</v>
      </c>
      <c r="F19" s="62" t="s">
        <v>6</v>
      </c>
      <c r="G19" s="63" t="s">
        <v>7</v>
      </c>
      <c r="H19" s="64" t="s">
        <v>8</v>
      </c>
      <c r="I19" s="62" t="s">
        <v>9</v>
      </c>
      <c r="M19" s="58"/>
      <c r="N19" s="58"/>
      <c r="O19" s="58"/>
      <c r="P19" s="5"/>
      <c r="Q19" s="4"/>
      <c r="R19" s="4"/>
      <c r="T19" s="4"/>
      <c r="U19" s="4"/>
      <c r="V19" s="4"/>
      <c r="W19" s="4"/>
    </row>
    <row r="20" customFormat="false" ht="20.15" hidden="false" customHeight="true" outlineLevel="0" collapsed="false">
      <c r="B20" s="518" t="n">
        <v>1</v>
      </c>
      <c r="C20" s="518"/>
      <c r="D20" s="519"/>
      <c r="E20" s="370"/>
      <c r="F20" s="370"/>
      <c r="G20" s="370"/>
      <c r="H20" s="370"/>
      <c r="I20" s="371"/>
      <c r="M20" s="58"/>
      <c r="N20" s="58"/>
      <c r="O20" s="58"/>
      <c r="P20" s="5"/>
      <c r="Q20" s="4"/>
      <c r="R20" s="4"/>
      <c r="T20" s="4"/>
      <c r="U20" s="4"/>
      <c r="V20" s="4"/>
      <c r="W20" s="4"/>
    </row>
    <row r="21" customFormat="false" ht="20.15" hidden="false" customHeight="true" outlineLevel="0" collapsed="false">
      <c r="M21" s="58"/>
      <c r="N21" s="58"/>
      <c r="O21" s="58"/>
      <c r="P21" s="5"/>
      <c r="Q21" s="4"/>
      <c r="R21" s="4"/>
      <c r="T21" s="4"/>
      <c r="U21" s="4"/>
      <c r="V21" s="4"/>
      <c r="W21" s="4"/>
    </row>
    <row r="22" customFormat="false" ht="20.15" hidden="false" customHeight="true" outlineLevel="0" collapsed="false">
      <c r="B22" s="77"/>
      <c r="C22" s="77"/>
      <c r="D22" s="78"/>
      <c r="E22" s="78"/>
      <c r="F22" s="78"/>
      <c r="G22" s="78"/>
      <c r="H22" s="77"/>
      <c r="I22" s="77"/>
      <c r="J22" s="77"/>
      <c r="K22" s="77"/>
      <c r="L22" s="77"/>
      <c r="M22" s="77"/>
      <c r="N22" s="77"/>
      <c r="O22" s="77"/>
      <c r="P22" s="77"/>
      <c r="Q22" s="77"/>
      <c r="R22" s="77"/>
      <c r="S22" s="77"/>
      <c r="T22" s="77"/>
      <c r="U22" s="77"/>
    </row>
    <row r="23" customFormat="false" ht="30" hidden="false" customHeight="true" outlineLevel="0" collapsed="false">
      <c r="B23" s="77"/>
      <c r="C23" s="79" t="s">
        <v>51</v>
      </c>
      <c r="D23" s="79"/>
      <c r="E23" s="79"/>
      <c r="F23" s="79"/>
      <c r="G23" s="79"/>
      <c r="H23" s="79"/>
      <c r="I23" s="79"/>
      <c r="J23" s="79"/>
      <c r="K23" s="79"/>
      <c r="L23" s="79"/>
      <c r="M23" s="79"/>
      <c r="N23" s="79"/>
      <c r="O23" s="79"/>
      <c r="P23" s="79"/>
      <c r="Q23" s="79"/>
      <c r="R23" s="79"/>
      <c r="S23" s="79"/>
      <c r="T23" s="79"/>
      <c r="U23" s="77"/>
    </row>
    <row r="24" customFormat="false" ht="20.15" hidden="false" customHeight="true" outlineLevel="0" collapsed="false">
      <c r="B24" s="77"/>
      <c r="U24" s="77"/>
    </row>
    <row r="25" customFormat="false" ht="20.15" hidden="false" customHeight="true" outlineLevel="0" collapsed="false">
      <c r="B25" s="77"/>
      <c r="D25" s="80" t="s">
        <v>52</v>
      </c>
      <c r="E25" s="81" t="s">
        <v>53</v>
      </c>
      <c r="F25" s="82" t="s">
        <v>12</v>
      </c>
      <c r="G25" s="81" t="s">
        <v>54</v>
      </c>
      <c r="H25" s="81"/>
      <c r="I25" s="81"/>
      <c r="J25" s="81"/>
      <c r="K25" s="81" t="s">
        <v>55</v>
      </c>
      <c r="L25" s="83" t="s">
        <v>56</v>
      </c>
      <c r="M25" s="83"/>
      <c r="N25" s="83"/>
      <c r="O25" s="83"/>
      <c r="P25" s="83"/>
      <c r="Q25" s="83"/>
      <c r="R25" s="83"/>
      <c r="S25" s="83"/>
      <c r="U25" s="77"/>
    </row>
    <row r="26" customFormat="false" ht="20.15" hidden="false" customHeight="true" outlineLevel="0" collapsed="false">
      <c r="B26" s="77"/>
      <c r="D26" s="80"/>
      <c r="E26" s="81"/>
      <c r="F26" s="81"/>
      <c r="G26" s="84" t="s">
        <v>57</v>
      </c>
      <c r="H26" s="84" t="s">
        <v>58</v>
      </c>
      <c r="I26" s="82" t="s">
        <v>59</v>
      </c>
      <c r="J26" s="82"/>
      <c r="K26" s="84" t="s">
        <v>60</v>
      </c>
      <c r="L26" s="84" t="s">
        <v>57</v>
      </c>
      <c r="M26" s="85" t="s">
        <v>61</v>
      </c>
      <c r="N26" s="82" t="s">
        <v>59</v>
      </c>
      <c r="O26" s="82"/>
      <c r="P26" s="82"/>
      <c r="Q26" s="82"/>
      <c r="R26" s="82"/>
      <c r="S26" s="82"/>
      <c r="U26" s="77"/>
    </row>
    <row r="27" customFormat="false" ht="110.15" hidden="false" customHeight="true" outlineLevel="0" collapsed="false">
      <c r="B27" s="77"/>
      <c r="D27" s="86" t="s">
        <v>27</v>
      </c>
      <c r="E27" s="87" t="s">
        <v>28</v>
      </c>
      <c r="F27" s="22" t="n">
        <v>1</v>
      </c>
      <c r="G27" s="89" t="s">
        <v>67</v>
      </c>
      <c r="H27" s="281" t="s">
        <v>158</v>
      </c>
      <c r="I27" s="91" t="s">
        <v>394</v>
      </c>
      <c r="J27" s="91"/>
      <c r="K27" s="373" t="s">
        <v>65</v>
      </c>
      <c r="L27" s="442" t="s">
        <v>66</v>
      </c>
      <c r="M27" s="495" t="s">
        <v>66</v>
      </c>
      <c r="N27" s="444" t="s">
        <v>66</v>
      </c>
      <c r="O27" s="444"/>
      <c r="P27" s="444"/>
      <c r="Q27" s="444"/>
      <c r="R27" s="444"/>
      <c r="S27" s="444"/>
      <c r="U27" s="77"/>
    </row>
    <row r="28" customFormat="false" ht="80.15" hidden="false" customHeight="true" outlineLevel="0" collapsed="false">
      <c r="B28" s="77"/>
      <c r="D28" s="46" t="s">
        <v>25</v>
      </c>
      <c r="E28" s="96" t="s">
        <v>26</v>
      </c>
      <c r="F28" s="32" t="n">
        <v>2</v>
      </c>
      <c r="G28" s="98" t="s">
        <v>67</v>
      </c>
      <c r="H28" s="99" t="s">
        <v>72</v>
      </c>
      <c r="I28" s="100" t="s">
        <v>395</v>
      </c>
      <c r="J28" s="100"/>
      <c r="K28" s="422" t="s">
        <v>396</v>
      </c>
      <c r="L28" s="376" t="s">
        <v>66</v>
      </c>
      <c r="M28" s="111" t="s">
        <v>66</v>
      </c>
      <c r="N28" s="445" t="s">
        <v>66</v>
      </c>
      <c r="O28" s="445"/>
      <c r="P28" s="445"/>
      <c r="Q28" s="445"/>
      <c r="R28" s="445"/>
      <c r="S28" s="445"/>
      <c r="U28" s="77"/>
    </row>
    <row r="29" customFormat="false" ht="35.15" hidden="false" customHeight="true" outlineLevel="0" collapsed="false">
      <c r="B29" s="77"/>
      <c r="D29" s="105" t="s">
        <v>39</v>
      </c>
      <c r="E29" s="290" t="s">
        <v>40</v>
      </c>
      <c r="F29" s="32" t="n">
        <v>3</v>
      </c>
      <c r="G29" s="106" t="s">
        <v>67</v>
      </c>
      <c r="H29" s="107" t="s">
        <v>396</v>
      </c>
      <c r="I29" s="108" t="s">
        <v>397</v>
      </c>
      <c r="J29" s="108"/>
      <c r="K29" s="374" t="s">
        <v>65</v>
      </c>
      <c r="L29" s="434" t="s">
        <v>67</v>
      </c>
      <c r="M29" s="107" t="s">
        <v>398</v>
      </c>
      <c r="N29" s="108" t="s">
        <v>399</v>
      </c>
      <c r="O29" s="108"/>
      <c r="P29" s="108"/>
      <c r="Q29" s="108"/>
      <c r="R29" s="108"/>
      <c r="S29" s="108"/>
      <c r="U29" s="77"/>
    </row>
    <row r="30" customFormat="false" ht="35.15" hidden="false" customHeight="true" outlineLevel="0" collapsed="false">
      <c r="B30" s="77"/>
      <c r="D30" s="295" t="s">
        <v>30</v>
      </c>
      <c r="E30" s="113" t="s">
        <v>31</v>
      </c>
      <c r="F30" s="55" t="n">
        <v>4</v>
      </c>
      <c r="G30" s="115" t="s">
        <v>71</v>
      </c>
      <c r="H30" s="101" t="s">
        <v>233</v>
      </c>
      <c r="I30" s="116" t="s">
        <v>400</v>
      </c>
      <c r="J30" s="116"/>
      <c r="K30" s="435" t="s">
        <v>396</v>
      </c>
      <c r="L30" s="379" t="s">
        <v>66</v>
      </c>
      <c r="M30" s="119" t="s">
        <v>66</v>
      </c>
      <c r="N30" s="120" t="s">
        <v>66</v>
      </c>
      <c r="O30" s="120"/>
      <c r="P30" s="120"/>
      <c r="Q30" s="120"/>
      <c r="R30" s="120"/>
      <c r="S30" s="120"/>
      <c r="U30" s="77"/>
    </row>
    <row r="31" customFormat="false" ht="20.15" hidden="false" customHeight="true" outlineLevel="0" collapsed="false">
      <c r="B31" s="77"/>
      <c r="D31" s="121"/>
      <c r="E31" s="121"/>
      <c r="U31" s="77"/>
    </row>
    <row r="32" customFormat="false" ht="20.15" hidden="false" customHeight="true" outlineLevel="0" collapsed="false">
      <c r="B32" s="77"/>
      <c r="C32" s="122"/>
      <c r="D32" s="122"/>
      <c r="E32" s="123" t="str">
        <f aca="false">IF(OR(M27="-",M27= ""),H27,M27)</f>
        <v>Terra Mystica</v>
      </c>
      <c r="F32" s="123"/>
      <c r="G32" s="123"/>
      <c r="H32" s="123"/>
      <c r="I32" s="123"/>
      <c r="J32" s="123"/>
      <c r="K32" s="123"/>
      <c r="L32" s="123"/>
      <c r="M32" s="123"/>
      <c r="N32" s="123"/>
      <c r="O32" s="124"/>
      <c r="P32" s="124"/>
      <c r="Q32" s="124"/>
      <c r="R32" s="124"/>
      <c r="S32" s="124"/>
      <c r="T32" s="122"/>
      <c r="U32" s="77"/>
    </row>
    <row r="33" customFormat="false" ht="50.15" hidden="false" customHeight="true" outlineLevel="0" collapsed="false">
      <c r="B33" s="77"/>
      <c r="C33" s="122"/>
      <c r="D33" s="124"/>
      <c r="E33" s="125" t="s">
        <v>52</v>
      </c>
      <c r="F33" s="126" t="s">
        <v>75</v>
      </c>
      <c r="G33" s="82" t="s">
        <v>76</v>
      </c>
      <c r="H33" s="81" t="s">
        <v>77</v>
      </c>
      <c r="I33" s="59" t="s">
        <v>78</v>
      </c>
      <c r="J33" s="81" t="s">
        <v>79</v>
      </c>
      <c r="K33" s="127" t="s">
        <v>80</v>
      </c>
      <c r="L33" s="81" t="s">
        <v>81</v>
      </c>
      <c r="M33" s="128" t="s">
        <v>82</v>
      </c>
      <c r="N33" s="129" t="s">
        <v>83</v>
      </c>
      <c r="O33" s="130" t="s">
        <v>84</v>
      </c>
      <c r="P33" s="131" t="s">
        <v>85</v>
      </c>
      <c r="Q33" s="131" t="s">
        <v>86</v>
      </c>
      <c r="R33" s="131" t="s">
        <v>87</v>
      </c>
      <c r="S33" s="124"/>
      <c r="T33" s="122"/>
      <c r="U33" s="77"/>
    </row>
    <row r="34" customFormat="false" ht="20.15" hidden="false" customHeight="true" outlineLevel="0" collapsed="false">
      <c r="B34" s="77"/>
      <c r="C34" s="122"/>
      <c r="D34" s="132"/>
      <c r="E34" s="199" t="s">
        <v>27</v>
      </c>
      <c r="F34" s="200" t="s">
        <v>29</v>
      </c>
      <c r="G34" s="201" t="n">
        <v>4</v>
      </c>
      <c r="H34" s="202" t="s">
        <v>401</v>
      </c>
      <c r="I34" s="201" t="n">
        <v>30</v>
      </c>
      <c r="J34" s="201" t="n">
        <v>165</v>
      </c>
      <c r="K34" s="201" t="s">
        <v>66</v>
      </c>
      <c r="L34" s="204" t="n">
        <f aca="false">IF(J34="",0,(J34/J38)*100)</f>
        <v>100</v>
      </c>
      <c r="M34" s="201" t="n">
        <v>1</v>
      </c>
      <c r="N34" s="205" t="n">
        <v>6</v>
      </c>
      <c r="O34" s="137" t="n">
        <f aca="false">IF(M34=1,1,0)</f>
        <v>1</v>
      </c>
      <c r="P34" s="138" t="n">
        <f aca="false">IF(M34=2,1,0)</f>
        <v>0</v>
      </c>
      <c r="Q34" s="138" t="n">
        <f aca="false">IF(M34=3,1,0)</f>
        <v>0</v>
      </c>
      <c r="R34" s="139" t="n">
        <f aca="false">IF(M34=4,1,0)</f>
        <v>0</v>
      </c>
      <c r="S34" s="140"/>
      <c r="T34" s="122"/>
      <c r="U34" s="77"/>
    </row>
    <row r="35" customFormat="false" ht="20.15" hidden="false" customHeight="true" outlineLevel="0" collapsed="false">
      <c r="B35" s="77"/>
      <c r="C35" s="122"/>
      <c r="D35" s="132"/>
      <c r="E35" s="226" t="s">
        <v>25</v>
      </c>
      <c r="F35" s="227" t="s">
        <v>26</v>
      </c>
      <c r="G35" s="228" t="n">
        <v>1</v>
      </c>
      <c r="H35" s="228" t="s">
        <v>402</v>
      </c>
      <c r="I35" s="228" t="n">
        <v>22</v>
      </c>
      <c r="J35" s="228" t="n">
        <v>138</v>
      </c>
      <c r="K35" s="228" t="s">
        <v>66</v>
      </c>
      <c r="L35" s="229" t="n">
        <f aca="false">IF(J35="",0,(J35/J38)*100)</f>
        <v>83.6363636363636</v>
      </c>
      <c r="M35" s="228" t="n">
        <v>3</v>
      </c>
      <c r="N35" s="230" t="n">
        <v>1</v>
      </c>
      <c r="O35" s="144" t="n">
        <f aca="false">IF(M35=1,1,0)</f>
        <v>0</v>
      </c>
      <c r="P35" s="145" t="n">
        <f aca="false">IF(M35=2,1,0)</f>
        <v>0</v>
      </c>
      <c r="Q35" s="145" t="n">
        <f aca="false">IF(M35=3,1,0)</f>
        <v>1</v>
      </c>
      <c r="R35" s="146" t="n">
        <f aca="false">IF(M35=4,1,0)</f>
        <v>0</v>
      </c>
      <c r="S35" s="140"/>
      <c r="T35" s="122"/>
      <c r="U35" s="77"/>
    </row>
    <row r="36" customFormat="false" ht="20.15" hidden="false" customHeight="true" outlineLevel="0" collapsed="false">
      <c r="B36" s="77"/>
      <c r="C36" s="122"/>
      <c r="D36" s="132"/>
      <c r="E36" s="105" t="s">
        <v>39</v>
      </c>
      <c r="F36" s="290" t="s">
        <v>40</v>
      </c>
      <c r="G36" s="228" t="n">
        <v>2</v>
      </c>
      <c r="H36" s="228" t="s">
        <v>165</v>
      </c>
      <c r="I36" s="228" t="n">
        <v>30</v>
      </c>
      <c r="J36" s="228" t="n">
        <v>87</v>
      </c>
      <c r="K36" s="228" t="s">
        <v>66</v>
      </c>
      <c r="L36" s="229" t="n">
        <f aca="false">IF(J36="",0,(J36/J38)*100)</f>
        <v>52.7272727272727</v>
      </c>
      <c r="M36" s="228" t="n">
        <v>4</v>
      </c>
      <c r="N36" s="230" t="n">
        <v>0</v>
      </c>
      <c r="O36" s="144" t="n">
        <f aca="false">IF(M36=1,1,0)</f>
        <v>0</v>
      </c>
      <c r="P36" s="145" t="n">
        <f aca="false">IF(M36=2,1,0)</f>
        <v>0</v>
      </c>
      <c r="Q36" s="145" t="n">
        <f aca="false">IF(M36=3,1,0)</f>
        <v>0</v>
      </c>
      <c r="R36" s="146" t="n">
        <f aca="false">IF(M36=4,1,0)</f>
        <v>1</v>
      </c>
      <c r="S36" s="140"/>
      <c r="T36" s="122"/>
      <c r="U36" s="77"/>
    </row>
    <row r="37" customFormat="false" ht="20.15" hidden="false" customHeight="true" outlineLevel="0" collapsed="false">
      <c r="B37" s="77"/>
      <c r="C37" s="122"/>
      <c r="D37" s="152"/>
      <c r="E37" s="295" t="s">
        <v>30</v>
      </c>
      <c r="F37" s="233" t="s">
        <v>32</v>
      </c>
      <c r="G37" s="234" t="n">
        <v>3</v>
      </c>
      <c r="H37" s="234" t="s">
        <v>164</v>
      </c>
      <c r="I37" s="234" t="n">
        <v>28</v>
      </c>
      <c r="J37" s="234" t="n">
        <v>141</v>
      </c>
      <c r="K37" s="234" t="s">
        <v>66</v>
      </c>
      <c r="L37" s="381" t="n">
        <f aca="false">IF(J37="",0,(J37/J38)*100)</f>
        <v>85.4545454545455</v>
      </c>
      <c r="M37" s="234" t="n">
        <v>2</v>
      </c>
      <c r="N37" s="236" t="n">
        <v>3</v>
      </c>
      <c r="O37" s="156" t="n">
        <f aca="false">IF(M37=1,1,0)</f>
        <v>0</v>
      </c>
      <c r="P37" s="157" t="n">
        <f aca="false">IF(M37=2,1,0)</f>
        <v>1</v>
      </c>
      <c r="Q37" s="157" t="n">
        <f aca="false">IF(M37=3,1,0)</f>
        <v>0</v>
      </c>
      <c r="R37" s="158" t="n">
        <f aca="false">IF(M37=4,1,0)</f>
        <v>0</v>
      </c>
      <c r="S37" s="140"/>
      <c r="T37" s="122"/>
      <c r="U37" s="77"/>
    </row>
    <row r="38" customFormat="false" ht="20.15" hidden="true" customHeight="true" outlineLevel="1" collapsed="false">
      <c r="B38" s="77"/>
      <c r="C38" s="122"/>
      <c r="D38" s="159"/>
      <c r="E38" s="159"/>
      <c r="F38" s="140"/>
      <c r="G38" s="140"/>
      <c r="H38" s="122"/>
      <c r="I38" s="160" t="s">
        <v>92</v>
      </c>
      <c r="J38" s="161" t="n">
        <f aca="false">MAX(J34:J37)</f>
        <v>165</v>
      </c>
      <c r="K38" s="162"/>
      <c r="L38" s="163"/>
      <c r="M38" s="122"/>
      <c r="N38" s="164" t="s">
        <v>93</v>
      </c>
      <c r="O38" s="165" t="n">
        <f aca="false">SUM(O34:O37)</f>
        <v>1</v>
      </c>
      <c r="P38" s="166" t="n">
        <f aca="false">SUM(P34:P37)</f>
        <v>1</v>
      </c>
      <c r="Q38" s="165" t="n">
        <f aca="false">SUM(Q34:Q37)</f>
        <v>1</v>
      </c>
      <c r="R38" s="165" t="n">
        <f aca="false">SUM(R34:R37)</f>
        <v>1</v>
      </c>
      <c r="S38" s="167"/>
      <c r="T38" s="122"/>
      <c r="U38" s="77"/>
    </row>
    <row r="39" customFormat="false" ht="20.15" hidden="false" customHeight="true" outlineLevel="0" collapsed="false">
      <c r="B39" s="77"/>
      <c r="C39" s="122"/>
      <c r="D39" s="168"/>
      <c r="E39" s="168"/>
      <c r="F39" s="169"/>
      <c r="G39" s="169"/>
      <c r="H39" s="124"/>
      <c r="I39" s="122"/>
      <c r="J39" s="122"/>
      <c r="K39" s="122"/>
      <c r="L39" s="122"/>
      <c r="M39" s="122"/>
      <c r="N39" s="122"/>
      <c r="O39" s="122"/>
      <c r="P39" s="122"/>
      <c r="Q39" s="122"/>
      <c r="R39" s="122"/>
      <c r="S39" s="122"/>
      <c r="T39" s="122"/>
      <c r="U39" s="77"/>
    </row>
    <row r="40" customFormat="false" ht="20.15" hidden="false" customHeight="true" outlineLevel="0" collapsed="false">
      <c r="B40" s="77"/>
      <c r="U40" s="77"/>
    </row>
    <row r="41" customFormat="false" ht="20.15" hidden="false" customHeight="true" outlineLevel="0" collapsed="false">
      <c r="B41" s="77"/>
      <c r="C41" s="170"/>
      <c r="D41" s="170"/>
      <c r="E41" s="171" t="str">
        <f aca="false">IF(OR(M28="-",M28= ""),H28,M28)</f>
        <v>Die Burgen von Burgund</v>
      </c>
      <c r="F41" s="171"/>
      <c r="G41" s="171"/>
      <c r="H41" s="171"/>
      <c r="I41" s="171"/>
      <c r="J41" s="171"/>
      <c r="K41" s="171"/>
      <c r="L41" s="171"/>
      <c r="M41" s="171"/>
      <c r="N41" s="171"/>
      <c r="O41" s="172"/>
      <c r="P41" s="172"/>
      <c r="Q41" s="172"/>
      <c r="R41" s="172"/>
      <c r="S41" s="172"/>
      <c r="T41" s="170"/>
      <c r="U41" s="77"/>
    </row>
    <row r="42" customFormat="false" ht="50.15" hidden="false" customHeight="true" outlineLevel="0" collapsed="false">
      <c r="B42" s="77"/>
      <c r="C42" s="170"/>
      <c r="D42" s="172"/>
      <c r="E42" s="125" t="s">
        <v>52</v>
      </c>
      <c r="F42" s="126" t="s">
        <v>75</v>
      </c>
      <c r="G42" s="82" t="s">
        <v>76</v>
      </c>
      <c r="H42" s="81" t="s">
        <v>77</v>
      </c>
      <c r="I42" s="59" t="s">
        <v>78</v>
      </c>
      <c r="J42" s="81" t="s">
        <v>79</v>
      </c>
      <c r="K42" s="127" t="s">
        <v>80</v>
      </c>
      <c r="L42" s="81" t="s">
        <v>81</v>
      </c>
      <c r="M42" s="128" t="s">
        <v>82</v>
      </c>
      <c r="N42" s="129" t="s">
        <v>83</v>
      </c>
      <c r="O42" s="130" t="s">
        <v>84</v>
      </c>
      <c r="P42" s="131" t="s">
        <v>85</v>
      </c>
      <c r="Q42" s="131" t="s">
        <v>86</v>
      </c>
      <c r="R42" s="131" t="s">
        <v>87</v>
      </c>
      <c r="S42" s="172"/>
      <c r="T42" s="170"/>
      <c r="U42" s="77"/>
    </row>
    <row r="43" customFormat="false" ht="20.15" hidden="false" customHeight="true" outlineLevel="0" collapsed="false">
      <c r="B43" s="77"/>
      <c r="C43" s="170"/>
      <c r="D43" s="173"/>
      <c r="E43" s="199" t="s">
        <v>27</v>
      </c>
      <c r="F43" s="200" t="s">
        <v>29</v>
      </c>
      <c r="G43" s="201" t="n">
        <v>4</v>
      </c>
      <c r="H43" s="202" t="s">
        <v>403</v>
      </c>
      <c r="I43" s="201" t="n">
        <v>0</v>
      </c>
      <c r="J43" s="202" t="n">
        <v>247</v>
      </c>
      <c r="K43" s="202" t="s">
        <v>66</v>
      </c>
      <c r="L43" s="204" t="n">
        <f aca="false">IF(J43="",0,(J43/J47)*100)</f>
        <v>100</v>
      </c>
      <c r="M43" s="201" t="n">
        <v>1</v>
      </c>
      <c r="N43" s="205" t="n">
        <v>6</v>
      </c>
      <c r="O43" s="137" t="n">
        <f aca="false">IF(M43=1,1,0)</f>
        <v>1</v>
      </c>
      <c r="P43" s="138" t="n">
        <f aca="false">IF(M43=2,1,0)</f>
        <v>0</v>
      </c>
      <c r="Q43" s="138" t="n">
        <f aca="false">IF(M43=3,1,0)</f>
        <v>0</v>
      </c>
      <c r="R43" s="139" t="n">
        <f aca="false">IF(M43=4,1,0)</f>
        <v>0</v>
      </c>
      <c r="S43" s="176"/>
      <c r="T43" s="170"/>
      <c r="U43" s="77"/>
    </row>
    <row r="44" customFormat="false" ht="20.15" hidden="false" customHeight="true" outlineLevel="0" collapsed="false">
      <c r="B44" s="77"/>
      <c r="C44" s="170"/>
      <c r="D44" s="177"/>
      <c r="E44" s="226" t="s">
        <v>25</v>
      </c>
      <c r="F44" s="227" t="s">
        <v>26</v>
      </c>
      <c r="G44" s="228" t="n">
        <v>3</v>
      </c>
      <c r="H44" s="317" t="s">
        <v>403</v>
      </c>
      <c r="I44" s="228" t="n">
        <v>0</v>
      </c>
      <c r="J44" s="317" t="n">
        <v>237</v>
      </c>
      <c r="K44" s="317" t="s">
        <v>66</v>
      </c>
      <c r="L44" s="229" t="n">
        <f aca="false">IF(J44="",0,(J44/J47)*100)</f>
        <v>95.9514170040486</v>
      </c>
      <c r="M44" s="228" t="n">
        <v>2</v>
      </c>
      <c r="N44" s="230" t="n">
        <v>3</v>
      </c>
      <c r="O44" s="144" t="n">
        <f aca="false">IF(M44=1,1,0)</f>
        <v>0</v>
      </c>
      <c r="P44" s="145" t="n">
        <f aca="false">IF(M44=2,1,0)</f>
        <v>1</v>
      </c>
      <c r="Q44" s="145" t="n">
        <f aca="false">IF(M44=3,1,0)</f>
        <v>0</v>
      </c>
      <c r="R44" s="146" t="n">
        <f aca="false">IF(M44=4,1,0)</f>
        <v>0</v>
      </c>
      <c r="S44" s="176"/>
      <c r="T44" s="170"/>
      <c r="U44" s="77"/>
    </row>
    <row r="45" customFormat="false" ht="20.15" hidden="false" customHeight="true" outlineLevel="0" collapsed="false">
      <c r="B45" s="77"/>
      <c r="C45" s="170"/>
      <c r="D45" s="173"/>
      <c r="E45" s="105" t="s">
        <v>39</v>
      </c>
      <c r="F45" s="290" t="s">
        <v>40</v>
      </c>
      <c r="G45" s="228" t="n">
        <v>2</v>
      </c>
      <c r="H45" s="317" t="s">
        <v>403</v>
      </c>
      <c r="I45" s="228" t="n">
        <v>0</v>
      </c>
      <c r="J45" s="317" t="n">
        <v>176</v>
      </c>
      <c r="K45" s="317" t="s">
        <v>66</v>
      </c>
      <c r="L45" s="229" t="n">
        <f aca="false">IF(J45="",0,(J45/J47)*100)</f>
        <v>71.2550607287449</v>
      </c>
      <c r="M45" s="228" t="n">
        <v>4</v>
      </c>
      <c r="N45" s="230" t="n">
        <v>0</v>
      </c>
      <c r="O45" s="144" t="n">
        <f aca="false">IF(M45=1,1,0)</f>
        <v>0</v>
      </c>
      <c r="P45" s="145" t="n">
        <f aca="false">IF(M45=2,1,0)</f>
        <v>0</v>
      </c>
      <c r="Q45" s="145" t="n">
        <f aca="false">IF(M45=3,1,0)</f>
        <v>0</v>
      </c>
      <c r="R45" s="146" t="n">
        <f aca="false">IF(M45=4,1,0)</f>
        <v>1</v>
      </c>
      <c r="S45" s="176"/>
      <c r="T45" s="170"/>
      <c r="U45" s="77"/>
    </row>
    <row r="46" customFormat="false" ht="20.15" hidden="false" customHeight="true" outlineLevel="0" collapsed="false">
      <c r="B46" s="77"/>
      <c r="C46" s="170"/>
      <c r="D46" s="173"/>
      <c r="E46" s="295" t="s">
        <v>30</v>
      </c>
      <c r="F46" s="233" t="s">
        <v>32</v>
      </c>
      <c r="G46" s="234" t="n">
        <v>1</v>
      </c>
      <c r="H46" s="308" t="s">
        <v>403</v>
      </c>
      <c r="I46" s="234" t="n">
        <v>0</v>
      </c>
      <c r="J46" s="308" t="n">
        <v>223</v>
      </c>
      <c r="K46" s="234" t="s">
        <v>66</v>
      </c>
      <c r="L46" s="235" t="n">
        <f aca="false">IF(J46="",0,(J46/J47)*100)</f>
        <v>90.2834008097166</v>
      </c>
      <c r="M46" s="234" t="n">
        <v>3</v>
      </c>
      <c r="N46" s="236" t="n">
        <v>1</v>
      </c>
      <c r="O46" s="156" t="n">
        <f aca="false">IF(M46=1,1,0)</f>
        <v>0</v>
      </c>
      <c r="P46" s="157" t="n">
        <f aca="false">IF(M46=2,1,0)</f>
        <v>0</v>
      </c>
      <c r="Q46" s="157" t="n">
        <f aca="false">IF(M46=3,1,0)</f>
        <v>1</v>
      </c>
      <c r="R46" s="158" t="n">
        <f aca="false">IF(M46=4,1,0)</f>
        <v>0</v>
      </c>
      <c r="S46" s="176"/>
      <c r="T46" s="170"/>
      <c r="U46" s="77"/>
    </row>
    <row r="47" customFormat="false" ht="20.15" hidden="true" customHeight="true" outlineLevel="1" collapsed="false">
      <c r="B47" s="77"/>
      <c r="C47" s="170"/>
      <c r="D47" s="173"/>
      <c r="E47" s="173"/>
      <c r="F47" s="172"/>
      <c r="G47" s="172"/>
      <c r="H47" s="170"/>
      <c r="I47" s="185" t="s">
        <v>92</v>
      </c>
      <c r="J47" s="161" t="n">
        <f aca="false">MAX(J43:J46)</f>
        <v>247</v>
      </c>
      <c r="K47" s="186"/>
      <c r="L47" s="176"/>
      <c r="M47" s="170"/>
      <c r="N47" s="164" t="s">
        <v>93</v>
      </c>
      <c r="O47" s="165" t="n">
        <f aca="false">SUM(O43:O46)</f>
        <v>1</v>
      </c>
      <c r="P47" s="166" t="n">
        <f aca="false">SUM(P43:P46)</f>
        <v>1</v>
      </c>
      <c r="Q47" s="165" t="n">
        <f aca="false">SUM(Q43:Q46)</f>
        <v>1</v>
      </c>
      <c r="R47" s="187" t="n">
        <f aca="false">SUM(R43:R46)</f>
        <v>1</v>
      </c>
      <c r="S47" s="188"/>
      <c r="T47" s="170"/>
      <c r="U47" s="77"/>
    </row>
    <row r="48" customFormat="false" ht="20.15" hidden="false" customHeight="true" outlineLevel="0" collapsed="false">
      <c r="B48" s="77"/>
      <c r="C48" s="170"/>
      <c r="D48" s="189"/>
      <c r="E48" s="189"/>
      <c r="F48" s="170"/>
      <c r="G48" s="170"/>
      <c r="H48" s="170"/>
      <c r="I48" s="170"/>
      <c r="J48" s="170"/>
      <c r="K48" s="170"/>
      <c r="L48" s="170"/>
      <c r="M48" s="170"/>
      <c r="N48" s="170"/>
      <c r="O48" s="170"/>
      <c r="P48" s="170"/>
      <c r="Q48" s="170"/>
      <c r="R48" s="170"/>
      <c r="S48" s="170"/>
      <c r="T48" s="170"/>
      <c r="U48" s="77"/>
    </row>
    <row r="49" customFormat="false" ht="20.15" hidden="false" customHeight="true" outlineLevel="0" collapsed="false">
      <c r="B49" s="77"/>
      <c r="D49" s="190"/>
      <c r="E49" s="190"/>
      <c r="F49" s="190"/>
      <c r="G49" s="190"/>
      <c r="H49" s="191"/>
      <c r="I49" s="190"/>
      <c r="J49" s="190"/>
      <c r="K49" s="14"/>
      <c r="L49" s="14"/>
      <c r="M49" s="14"/>
      <c r="N49" s="14"/>
      <c r="O49" s="14"/>
      <c r="P49" s="14"/>
      <c r="Q49" s="14"/>
      <c r="R49" s="14"/>
      <c r="S49" s="14"/>
      <c r="U49" s="77"/>
    </row>
    <row r="50" customFormat="false" ht="20.15" hidden="false" customHeight="true" outlineLevel="0" collapsed="false">
      <c r="B50" s="77"/>
      <c r="C50" s="192"/>
      <c r="D50" s="192"/>
      <c r="E50" s="193" t="str">
        <f aca="false">IF(OR(M29="-",M29= ""),H29,M29)</f>
        <v>Im Jahr des Drachen</v>
      </c>
      <c r="F50" s="193"/>
      <c r="G50" s="193"/>
      <c r="H50" s="193"/>
      <c r="I50" s="193"/>
      <c r="J50" s="193"/>
      <c r="K50" s="193"/>
      <c r="L50" s="193"/>
      <c r="M50" s="193"/>
      <c r="N50" s="193"/>
      <c r="O50" s="194"/>
      <c r="P50" s="194"/>
      <c r="Q50" s="194"/>
      <c r="R50" s="194"/>
      <c r="S50" s="194"/>
      <c r="T50" s="192"/>
      <c r="U50" s="195"/>
      <c r="V50" s="196"/>
      <c r="W50" s="196"/>
    </row>
    <row r="51" customFormat="false" ht="50.15" hidden="false" customHeight="true" outlineLevel="0" collapsed="false">
      <c r="B51" s="77"/>
      <c r="C51" s="192"/>
      <c r="D51" s="194"/>
      <c r="E51" s="125" t="s">
        <v>52</v>
      </c>
      <c r="F51" s="126" t="s">
        <v>75</v>
      </c>
      <c r="G51" s="82" t="s">
        <v>76</v>
      </c>
      <c r="H51" s="81" t="s">
        <v>77</v>
      </c>
      <c r="I51" s="59" t="s">
        <v>78</v>
      </c>
      <c r="J51" s="81" t="s">
        <v>79</v>
      </c>
      <c r="K51" s="127" t="s">
        <v>80</v>
      </c>
      <c r="L51" s="81" t="s">
        <v>81</v>
      </c>
      <c r="M51" s="128" t="s">
        <v>82</v>
      </c>
      <c r="N51" s="129" t="s">
        <v>83</v>
      </c>
      <c r="O51" s="130" t="s">
        <v>84</v>
      </c>
      <c r="P51" s="131" t="s">
        <v>85</v>
      </c>
      <c r="Q51" s="131" t="s">
        <v>86</v>
      </c>
      <c r="R51" s="197" t="s">
        <v>87</v>
      </c>
      <c r="S51" s="194"/>
      <c r="T51" s="192"/>
      <c r="U51" s="195"/>
      <c r="V51" s="196"/>
      <c r="W51" s="196"/>
    </row>
    <row r="52" customFormat="false" ht="20.15" hidden="false" customHeight="true" outlineLevel="0" collapsed="false">
      <c r="B52" s="77"/>
      <c r="C52" s="192"/>
      <c r="D52" s="198"/>
      <c r="E52" s="199" t="s">
        <v>27</v>
      </c>
      <c r="F52" s="200" t="s">
        <v>29</v>
      </c>
      <c r="G52" s="201" t="n">
        <v>2</v>
      </c>
      <c r="H52" s="202" t="s">
        <v>66</v>
      </c>
      <c r="I52" s="201" t="n">
        <v>0</v>
      </c>
      <c r="J52" s="423" t="n">
        <v>88</v>
      </c>
      <c r="K52" s="201" t="s">
        <v>66</v>
      </c>
      <c r="L52" s="204" t="n">
        <f aca="false">IF(J52="",0,(J52/J56)*100)</f>
        <v>100</v>
      </c>
      <c r="M52" s="201" t="n">
        <v>1</v>
      </c>
      <c r="N52" s="205" t="n">
        <v>6</v>
      </c>
      <c r="O52" s="137" t="n">
        <f aca="false">IF(M52=1,1,0)</f>
        <v>1</v>
      </c>
      <c r="P52" s="138" t="n">
        <f aca="false">IF(M52=2,1,0)</f>
        <v>0</v>
      </c>
      <c r="Q52" s="138" t="n">
        <f aca="false">IF(M52=3,1,0)</f>
        <v>0</v>
      </c>
      <c r="R52" s="139" t="n">
        <f aca="false">IF(M52=4,1,0)</f>
        <v>0</v>
      </c>
      <c r="S52" s="206"/>
      <c r="T52" s="192"/>
      <c r="U52" s="207"/>
      <c r="V52" s="121"/>
      <c r="W52" s="121"/>
    </row>
    <row r="53" customFormat="false" ht="20.15" hidden="false" customHeight="true" outlineLevel="0" collapsed="false">
      <c r="B53" s="77"/>
      <c r="C53" s="192"/>
      <c r="D53" s="208"/>
      <c r="E53" s="226" t="s">
        <v>25</v>
      </c>
      <c r="F53" s="227" t="s">
        <v>26</v>
      </c>
      <c r="G53" s="228" t="n">
        <v>3</v>
      </c>
      <c r="H53" s="317" t="s">
        <v>66</v>
      </c>
      <c r="I53" s="228" t="n">
        <v>0</v>
      </c>
      <c r="J53" s="424" t="n">
        <v>56</v>
      </c>
      <c r="K53" s="228" t="s">
        <v>66</v>
      </c>
      <c r="L53" s="229" t="n">
        <f aca="false">IF(J53="",0,(J53/J56)*100)</f>
        <v>63.6363636363636</v>
      </c>
      <c r="M53" s="228" t="n">
        <v>4</v>
      </c>
      <c r="N53" s="230" t="n">
        <v>0</v>
      </c>
      <c r="O53" s="144" t="n">
        <f aca="false">IF(M53=1,1,0)</f>
        <v>0</v>
      </c>
      <c r="P53" s="145" t="n">
        <f aca="false">IF(M53=2,1,0)</f>
        <v>0</v>
      </c>
      <c r="Q53" s="145" t="n">
        <f aca="false">IF(M53=3,1,0)</f>
        <v>0</v>
      </c>
      <c r="R53" s="146" t="n">
        <f aca="false">IF(M53=4,1,0)</f>
        <v>1</v>
      </c>
      <c r="S53" s="206"/>
      <c r="T53" s="192"/>
      <c r="U53" s="211"/>
      <c r="V53" s="121"/>
      <c r="W53" s="121"/>
    </row>
    <row r="54" customFormat="false" ht="20.15" hidden="false" customHeight="true" outlineLevel="0" collapsed="false">
      <c r="B54" s="77"/>
      <c r="C54" s="192"/>
      <c r="D54" s="198"/>
      <c r="E54" s="105" t="s">
        <v>39</v>
      </c>
      <c r="F54" s="290" t="s">
        <v>40</v>
      </c>
      <c r="G54" s="228" t="n">
        <v>4</v>
      </c>
      <c r="H54" s="317" t="s">
        <v>66</v>
      </c>
      <c r="I54" s="228" t="n">
        <v>0</v>
      </c>
      <c r="J54" s="424" t="n">
        <v>83</v>
      </c>
      <c r="K54" s="317" t="s">
        <v>66</v>
      </c>
      <c r="L54" s="229" t="n">
        <f aca="false">IF(J54="",0,(J54/J56)*100)</f>
        <v>94.3181818181818</v>
      </c>
      <c r="M54" s="228" t="n">
        <v>2</v>
      </c>
      <c r="N54" s="230" t="n">
        <v>3</v>
      </c>
      <c r="O54" s="144" t="n">
        <f aca="false">IF(M54=1,1,0)</f>
        <v>0</v>
      </c>
      <c r="P54" s="145" t="n">
        <f aca="false">IF(M54=2,1,0)</f>
        <v>1</v>
      </c>
      <c r="Q54" s="145" t="n">
        <f aca="false">IF(M54=3,1,0)</f>
        <v>0</v>
      </c>
      <c r="R54" s="146" t="n">
        <f aca="false">IF(M54=4,1,0)</f>
        <v>0</v>
      </c>
      <c r="S54" s="206"/>
      <c r="T54" s="192"/>
      <c r="U54" s="211"/>
      <c r="V54" s="121"/>
      <c r="W54" s="121"/>
    </row>
    <row r="55" customFormat="false" ht="20.15" hidden="false" customHeight="true" outlineLevel="0" collapsed="false">
      <c r="B55" s="77"/>
      <c r="C55" s="192"/>
      <c r="D55" s="198"/>
      <c r="E55" s="295" t="s">
        <v>30</v>
      </c>
      <c r="F55" s="233" t="s">
        <v>32</v>
      </c>
      <c r="G55" s="234" t="n">
        <v>1</v>
      </c>
      <c r="H55" s="308" t="s">
        <v>66</v>
      </c>
      <c r="I55" s="234" t="n">
        <v>0</v>
      </c>
      <c r="J55" s="425" t="n">
        <v>82</v>
      </c>
      <c r="K55" s="308" t="s">
        <v>66</v>
      </c>
      <c r="L55" s="235" t="n">
        <f aca="false">IF(J55="",0,(J55/J56)*100)</f>
        <v>93.1818181818182</v>
      </c>
      <c r="M55" s="234" t="n">
        <v>3</v>
      </c>
      <c r="N55" s="236" t="n">
        <v>1</v>
      </c>
      <c r="O55" s="156" t="n">
        <f aca="false">IF(M55=1,1,0)</f>
        <v>0</v>
      </c>
      <c r="P55" s="157" t="n">
        <f aca="false">IF(M55=2,1,0)</f>
        <v>0</v>
      </c>
      <c r="Q55" s="157" t="n">
        <f aca="false">IF(M55=3,1,0)</f>
        <v>1</v>
      </c>
      <c r="R55" s="158" t="n">
        <f aca="false">IF(M55=4,1,0)</f>
        <v>0</v>
      </c>
      <c r="S55" s="206"/>
      <c r="T55" s="192"/>
      <c r="U55" s="211"/>
      <c r="V55" s="121"/>
      <c r="W55" s="121"/>
    </row>
    <row r="56" customFormat="false" ht="20.15" hidden="true" customHeight="true" outlineLevel="1" collapsed="false">
      <c r="B56" s="77"/>
      <c r="C56" s="192"/>
      <c r="D56" s="198"/>
      <c r="E56" s="198"/>
      <c r="F56" s="206"/>
      <c r="G56" s="206"/>
      <c r="H56" s="192"/>
      <c r="I56" s="213" t="s">
        <v>92</v>
      </c>
      <c r="J56" s="161" t="n">
        <f aca="false">MAX(J52:J55)</f>
        <v>88</v>
      </c>
      <c r="K56" s="214"/>
      <c r="L56" s="206"/>
      <c r="M56" s="192"/>
      <c r="N56" s="164" t="s">
        <v>93</v>
      </c>
      <c r="O56" s="165" t="n">
        <f aca="false">SUM(O52:O55)</f>
        <v>1</v>
      </c>
      <c r="P56" s="166" t="n">
        <f aca="false">SUM(P52:P55)</f>
        <v>1</v>
      </c>
      <c r="Q56" s="165" t="n">
        <f aca="false">SUM(Q52:Q55)</f>
        <v>1</v>
      </c>
      <c r="R56" s="187" t="n">
        <f aca="false">SUM(R52:R55)</f>
        <v>1</v>
      </c>
      <c r="S56" s="215"/>
      <c r="T56" s="192"/>
      <c r="U56" s="211"/>
      <c r="V56" s="121"/>
      <c r="W56" s="121"/>
    </row>
    <row r="57" customFormat="false" ht="20.15" hidden="false" customHeight="true" outlineLevel="0" collapsed="false">
      <c r="B57" s="77"/>
      <c r="C57" s="192"/>
      <c r="D57" s="216"/>
      <c r="E57" s="216"/>
      <c r="F57" s="192"/>
      <c r="G57" s="192"/>
      <c r="H57" s="192"/>
      <c r="I57" s="192"/>
      <c r="J57" s="192"/>
      <c r="K57" s="192"/>
      <c r="L57" s="192"/>
      <c r="M57" s="192"/>
      <c r="N57" s="192"/>
      <c r="O57" s="192"/>
      <c r="P57" s="192"/>
      <c r="Q57" s="192"/>
      <c r="R57" s="192"/>
      <c r="S57" s="192"/>
      <c r="T57" s="192"/>
      <c r="U57" s="211"/>
      <c r="V57" s="121"/>
      <c r="W57" s="121"/>
    </row>
    <row r="58" customFormat="false" ht="20.15" hidden="false" customHeight="true" outlineLevel="0" collapsed="false">
      <c r="B58" s="77"/>
      <c r="D58" s="190"/>
      <c r="E58" s="190"/>
      <c r="F58" s="190"/>
      <c r="G58" s="190"/>
      <c r="H58" s="191"/>
      <c r="I58" s="190"/>
      <c r="J58" s="190"/>
      <c r="K58" s="190"/>
      <c r="L58" s="14"/>
      <c r="M58" s="14"/>
      <c r="N58" s="14"/>
      <c r="O58" s="14"/>
      <c r="P58" s="14"/>
      <c r="Q58" s="14"/>
      <c r="R58" s="14"/>
      <c r="S58" s="14"/>
      <c r="U58" s="207"/>
      <c r="V58" s="121"/>
      <c r="W58" s="121"/>
    </row>
    <row r="59" customFormat="false" ht="20.15" hidden="false" customHeight="true" outlineLevel="0" collapsed="false">
      <c r="B59" s="77"/>
      <c r="C59" s="217"/>
      <c r="D59" s="217"/>
      <c r="E59" s="218" t="str">
        <f aca="false">IF(OR(M30="-",M30= ""),H30,M30)</f>
        <v>Underwater Cities</v>
      </c>
      <c r="F59" s="218"/>
      <c r="G59" s="218"/>
      <c r="H59" s="218"/>
      <c r="I59" s="218"/>
      <c r="J59" s="218"/>
      <c r="K59" s="218"/>
      <c r="L59" s="218"/>
      <c r="M59" s="218"/>
      <c r="N59" s="218"/>
      <c r="O59" s="219"/>
      <c r="P59" s="219"/>
      <c r="Q59" s="219"/>
      <c r="R59" s="219"/>
      <c r="S59" s="219"/>
      <c r="T59" s="217"/>
      <c r="U59" s="77"/>
    </row>
    <row r="60" customFormat="false" ht="50.15" hidden="false" customHeight="true" outlineLevel="0" collapsed="false">
      <c r="B60" s="77"/>
      <c r="C60" s="217"/>
      <c r="D60" s="219"/>
      <c r="E60" s="125" t="s">
        <v>52</v>
      </c>
      <c r="F60" s="126" t="s">
        <v>75</v>
      </c>
      <c r="G60" s="82" t="s">
        <v>76</v>
      </c>
      <c r="H60" s="81" t="s">
        <v>77</v>
      </c>
      <c r="I60" s="59" t="s">
        <v>78</v>
      </c>
      <c r="J60" s="81" t="s">
        <v>79</v>
      </c>
      <c r="K60" s="127" t="s">
        <v>80</v>
      </c>
      <c r="L60" s="81" t="s">
        <v>81</v>
      </c>
      <c r="M60" s="128" t="s">
        <v>82</v>
      </c>
      <c r="N60" s="129" t="s">
        <v>83</v>
      </c>
      <c r="O60" s="130" t="s">
        <v>84</v>
      </c>
      <c r="P60" s="131" t="s">
        <v>85</v>
      </c>
      <c r="Q60" s="131" t="s">
        <v>86</v>
      </c>
      <c r="R60" s="197" t="s">
        <v>87</v>
      </c>
      <c r="S60" s="219"/>
      <c r="T60" s="217"/>
      <c r="U60" s="77"/>
    </row>
    <row r="61" customFormat="false" ht="20.15" hidden="false" customHeight="true" outlineLevel="0" collapsed="false">
      <c r="B61" s="77"/>
      <c r="C61" s="217"/>
      <c r="D61" s="220"/>
      <c r="E61" s="86" t="s">
        <v>27</v>
      </c>
      <c r="F61" s="87" t="s">
        <v>28</v>
      </c>
      <c r="G61" s="221" t="n">
        <v>3</v>
      </c>
      <c r="H61" s="222" t="s">
        <v>404</v>
      </c>
      <c r="I61" s="221" t="n">
        <v>2</v>
      </c>
      <c r="J61" s="221" t="n">
        <v>110</v>
      </c>
      <c r="K61" s="221" t="s">
        <v>66</v>
      </c>
      <c r="L61" s="223" t="n">
        <f aca="false">IF(J61="",0,(J61/J65)*100)</f>
        <v>92.436974789916</v>
      </c>
      <c r="M61" s="221" t="n">
        <v>2</v>
      </c>
      <c r="N61" s="224" t="n">
        <v>3</v>
      </c>
      <c r="O61" s="137" t="n">
        <f aca="false">IF(M61=1,1,0)</f>
        <v>0</v>
      </c>
      <c r="P61" s="138" t="n">
        <f aca="false">IF(M61=2,1,0)</f>
        <v>1</v>
      </c>
      <c r="Q61" s="138" t="n">
        <f aca="false">IF(M61=3,1,0)</f>
        <v>0</v>
      </c>
      <c r="R61" s="139" t="n">
        <f aca="false">IF(M61=4,1,0)</f>
        <v>0</v>
      </c>
      <c r="S61" s="225"/>
      <c r="T61" s="217"/>
      <c r="U61" s="77"/>
    </row>
    <row r="62" customFormat="false" ht="20.15" hidden="false" customHeight="true" outlineLevel="0" collapsed="false">
      <c r="B62" s="77"/>
      <c r="C62" s="217"/>
      <c r="D62" s="220"/>
      <c r="E62" s="226" t="s">
        <v>25</v>
      </c>
      <c r="F62" s="227" t="s">
        <v>26</v>
      </c>
      <c r="G62" s="228" t="n">
        <v>2</v>
      </c>
      <c r="H62" s="317" t="s">
        <v>405</v>
      </c>
      <c r="I62" s="228" t="n">
        <v>2</v>
      </c>
      <c r="J62" s="228" t="n">
        <v>82</v>
      </c>
      <c r="K62" s="228" t="s">
        <v>66</v>
      </c>
      <c r="L62" s="229" t="n">
        <f aca="false">IF(J62="",0,(J62/J65)*100)</f>
        <v>68.9075630252101</v>
      </c>
      <c r="M62" s="228" t="n">
        <v>3</v>
      </c>
      <c r="N62" s="230" t="n">
        <v>1</v>
      </c>
      <c r="O62" s="144" t="n">
        <f aca="false">IF(M62=1,1,0)</f>
        <v>0</v>
      </c>
      <c r="P62" s="145" t="n">
        <f aca="false">IF(M62=2,1,0)</f>
        <v>0</v>
      </c>
      <c r="Q62" s="145" t="n">
        <f aca="false">IF(M62=3,1,0)</f>
        <v>1</v>
      </c>
      <c r="R62" s="146" t="n">
        <f aca="false">IF(M62=4,1,0)</f>
        <v>0</v>
      </c>
      <c r="S62" s="225"/>
      <c r="T62" s="217"/>
      <c r="U62" s="77"/>
    </row>
    <row r="63" customFormat="false" ht="20.15" hidden="false" customHeight="true" outlineLevel="0" collapsed="false">
      <c r="B63" s="77"/>
      <c r="C63" s="217"/>
      <c r="D63" s="220"/>
      <c r="E63" s="105" t="s">
        <v>39</v>
      </c>
      <c r="F63" s="290" t="s">
        <v>40</v>
      </c>
      <c r="G63" s="228" t="n">
        <v>1</v>
      </c>
      <c r="H63" s="317" t="s">
        <v>406</v>
      </c>
      <c r="I63" s="228" t="n">
        <v>2</v>
      </c>
      <c r="J63" s="228" t="n">
        <v>79</v>
      </c>
      <c r="K63" s="228" t="s">
        <v>66</v>
      </c>
      <c r="L63" s="229" t="n">
        <f aca="false">IF(J63="",0,(J63/J65)*100)</f>
        <v>66.3865546218487</v>
      </c>
      <c r="M63" s="228" t="n">
        <v>4</v>
      </c>
      <c r="N63" s="230" t="n">
        <v>0</v>
      </c>
      <c r="O63" s="144" t="n">
        <f aca="false">IF(M63=1,1,0)</f>
        <v>0</v>
      </c>
      <c r="P63" s="145" t="n">
        <f aca="false">IF(M63=2,1,0)</f>
        <v>0</v>
      </c>
      <c r="Q63" s="145" t="n">
        <f aca="false">IF(M63=3,1,0)</f>
        <v>0</v>
      </c>
      <c r="R63" s="146" t="n">
        <f aca="false">IF(M63=4,1,0)</f>
        <v>1</v>
      </c>
      <c r="S63" s="225"/>
      <c r="T63" s="217"/>
      <c r="U63" s="77"/>
    </row>
    <row r="64" customFormat="false" ht="20.15" hidden="false" customHeight="true" outlineLevel="0" collapsed="false">
      <c r="B64" s="77"/>
      <c r="C64" s="217"/>
      <c r="D64" s="231"/>
      <c r="E64" s="318" t="s">
        <v>30</v>
      </c>
      <c r="F64" s="319" t="s">
        <v>31</v>
      </c>
      <c r="G64" s="322" t="n">
        <v>4</v>
      </c>
      <c r="H64" s="321" t="s">
        <v>407</v>
      </c>
      <c r="I64" s="322" t="n">
        <v>2</v>
      </c>
      <c r="J64" s="322" t="n">
        <v>119</v>
      </c>
      <c r="K64" s="322" t="s">
        <v>66</v>
      </c>
      <c r="L64" s="323" t="n">
        <f aca="false">IF(J64="",0,(J64/J65)*100)</f>
        <v>100</v>
      </c>
      <c r="M64" s="322" t="n">
        <v>1</v>
      </c>
      <c r="N64" s="324" t="n">
        <v>6</v>
      </c>
      <c r="O64" s="156" t="n">
        <f aca="false">IF(M64=1,1,0)</f>
        <v>1</v>
      </c>
      <c r="P64" s="157" t="n">
        <f aca="false">IF(M64=2,1,0)</f>
        <v>0</v>
      </c>
      <c r="Q64" s="157" t="n">
        <f aca="false">IF(M64=3,1,0)</f>
        <v>0</v>
      </c>
      <c r="R64" s="158" t="n">
        <f aca="false">IF(M64=4,1,0)</f>
        <v>0</v>
      </c>
      <c r="S64" s="225"/>
      <c r="T64" s="217"/>
      <c r="U64" s="77"/>
    </row>
    <row r="65" customFormat="false" ht="20.15" hidden="true" customHeight="true" outlineLevel="1" collapsed="false">
      <c r="B65" s="77"/>
      <c r="C65" s="217"/>
      <c r="D65" s="220"/>
      <c r="E65" s="220"/>
      <c r="F65" s="225"/>
      <c r="G65" s="225"/>
      <c r="H65" s="217"/>
      <c r="I65" s="185" t="s">
        <v>92</v>
      </c>
      <c r="J65" s="161" t="n">
        <f aca="false">MAX(J61:J64)</f>
        <v>119</v>
      </c>
      <c r="K65" s="237"/>
      <c r="L65" s="225"/>
      <c r="M65" s="217"/>
      <c r="N65" s="164" t="s">
        <v>93</v>
      </c>
      <c r="O65" s="165" t="n">
        <f aca="false">SUM(O61:O64)</f>
        <v>1</v>
      </c>
      <c r="P65" s="166" t="n">
        <f aca="false">SUM(P61:P64)</f>
        <v>1</v>
      </c>
      <c r="Q65" s="165" t="n">
        <f aca="false">SUM(Q61:Q64)</f>
        <v>1</v>
      </c>
      <c r="R65" s="187" t="n">
        <f aca="false">SUM(R61:R64)</f>
        <v>1</v>
      </c>
      <c r="S65" s="238"/>
      <c r="T65" s="217"/>
      <c r="U65" s="77"/>
    </row>
    <row r="66" customFormat="false" ht="20.15" hidden="false" customHeight="true" outlineLevel="0" collapsed="false">
      <c r="B66" s="77"/>
      <c r="C66" s="217"/>
      <c r="D66" s="239"/>
      <c r="E66" s="239"/>
      <c r="F66" s="217"/>
      <c r="G66" s="217"/>
      <c r="H66" s="217"/>
      <c r="I66" s="217"/>
      <c r="J66" s="217"/>
      <c r="K66" s="217"/>
      <c r="L66" s="217"/>
      <c r="M66" s="217"/>
      <c r="N66" s="217"/>
      <c r="O66" s="217"/>
      <c r="P66" s="217"/>
      <c r="Q66" s="217"/>
      <c r="R66" s="217"/>
      <c r="S66" s="217"/>
      <c r="T66" s="217"/>
      <c r="U66" s="77"/>
    </row>
    <row r="67" customFormat="false" ht="20.15" hidden="false" customHeight="true" outlineLevel="0" collapsed="false">
      <c r="B67" s="77"/>
      <c r="D67" s="5"/>
      <c r="E67" s="5"/>
      <c r="F67" s="5"/>
      <c r="G67" s="5"/>
      <c r="H67" s="5"/>
      <c r="I67" s="5"/>
      <c r="J67" s="5"/>
      <c r="K67" s="14"/>
      <c r="L67" s="14"/>
      <c r="M67" s="14"/>
      <c r="N67" s="14"/>
      <c r="O67" s="14"/>
      <c r="P67" s="14"/>
      <c r="Q67" s="14"/>
      <c r="R67" s="14"/>
      <c r="S67" s="14"/>
      <c r="U67" s="77"/>
    </row>
    <row r="68" customFormat="false" ht="30" hidden="false" customHeight="true" outlineLevel="0" collapsed="false">
      <c r="B68" s="77"/>
      <c r="C68" s="240"/>
      <c r="D68" s="241" t="s">
        <v>101</v>
      </c>
      <c r="E68" s="241"/>
      <c r="F68" s="241"/>
      <c r="G68" s="241"/>
      <c r="H68" s="241"/>
      <c r="I68" s="241"/>
      <c r="J68" s="241"/>
      <c r="K68" s="241"/>
      <c r="L68" s="241"/>
      <c r="M68" s="241"/>
      <c r="N68" s="241"/>
      <c r="O68" s="241"/>
      <c r="P68" s="241"/>
      <c r="Q68" s="241"/>
      <c r="R68" s="241"/>
      <c r="S68" s="241"/>
      <c r="T68" s="240"/>
      <c r="U68" s="77"/>
    </row>
    <row r="69" customFormat="false" ht="50.15" hidden="false" customHeight="true" outlineLevel="0" collapsed="false">
      <c r="B69" s="77"/>
      <c r="C69" s="240"/>
      <c r="D69" s="242" t="s">
        <v>52</v>
      </c>
      <c r="E69" s="243" t="s">
        <v>53</v>
      </c>
      <c r="F69" s="244" t="s">
        <v>83</v>
      </c>
      <c r="G69" s="245" t="s">
        <v>102</v>
      </c>
      <c r="H69" s="246" t="s">
        <v>103</v>
      </c>
      <c r="I69" s="246"/>
      <c r="J69" s="247" t="s">
        <v>104</v>
      </c>
      <c r="K69" s="248" t="s">
        <v>105</v>
      </c>
      <c r="L69" s="244" t="s">
        <v>106</v>
      </c>
      <c r="M69" s="248" t="s">
        <v>107</v>
      </c>
      <c r="N69" s="244" t="s">
        <v>108</v>
      </c>
      <c r="O69" s="249"/>
      <c r="P69" s="250"/>
      <c r="Q69" s="250"/>
      <c r="R69" s="250"/>
      <c r="S69" s="243" t="s">
        <v>109</v>
      </c>
      <c r="T69" s="240"/>
      <c r="U69" s="77"/>
    </row>
    <row r="70" customFormat="false" ht="20.15" hidden="false" customHeight="true" outlineLevel="0" collapsed="false">
      <c r="B70" s="77"/>
      <c r="C70" s="240"/>
      <c r="D70" s="251" t="s">
        <v>27</v>
      </c>
      <c r="E70" s="17" t="s">
        <v>28</v>
      </c>
      <c r="F70" s="253" t="n">
        <f aca="false">(K70*6+L70*3+M70*1+N70*0)</f>
        <v>21</v>
      </c>
      <c r="G70" s="253" t="n">
        <v>0</v>
      </c>
      <c r="H70" s="254" t="s">
        <v>66</v>
      </c>
      <c r="I70" s="254"/>
      <c r="J70" s="253" t="n">
        <f aca="false">F70+G70</f>
        <v>21</v>
      </c>
      <c r="K70" s="253" t="n">
        <v>3</v>
      </c>
      <c r="L70" s="253" t="n">
        <v>1</v>
      </c>
      <c r="M70" s="253" t="n">
        <v>0</v>
      </c>
      <c r="N70" s="253" t="n">
        <v>0</v>
      </c>
      <c r="O70" s="253"/>
      <c r="P70" s="253"/>
      <c r="Q70" s="253"/>
      <c r="R70" s="253"/>
      <c r="S70" s="255" t="n">
        <f aca="false">(L34+L43+L52+L61)/4</f>
        <v>98.109243697479</v>
      </c>
      <c r="T70" s="240"/>
      <c r="U70" s="77"/>
      <c r="W70" s="256"/>
      <c r="X70" s="256"/>
      <c r="Y70" s="256"/>
      <c r="Z70" s="256"/>
    </row>
    <row r="71" customFormat="false" ht="20.15" hidden="false" customHeight="true" outlineLevel="0" collapsed="false">
      <c r="B71" s="77"/>
      <c r="C71" s="240"/>
      <c r="D71" s="257" t="s">
        <v>30</v>
      </c>
      <c r="E71" s="384" t="s">
        <v>31</v>
      </c>
      <c r="F71" s="259" t="n">
        <f aca="false">(K71*6+L71*3+M71*1+N71*0)</f>
        <v>11</v>
      </c>
      <c r="G71" s="259" t="n">
        <v>0</v>
      </c>
      <c r="H71" s="260" t="s">
        <v>66</v>
      </c>
      <c r="I71" s="260"/>
      <c r="J71" s="259" t="n">
        <f aca="false">F71+G71</f>
        <v>11</v>
      </c>
      <c r="K71" s="259" t="n">
        <v>1</v>
      </c>
      <c r="L71" s="259" t="n">
        <v>1</v>
      </c>
      <c r="M71" s="259" t="n">
        <v>2</v>
      </c>
      <c r="N71" s="259" t="n">
        <v>0</v>
      </c>
      <c r="O71" s="259"/>
      <c r="P71" s="259"/>
      <c r="Q71" s="259"/>
      <c r="R71" s="259"/>
      <c r="S71" s="261" t="n">
        <f aca="false">(L37+L46+L55+L64)/4</f>
        <v>92.2299411115201</v>
      </c>
      <c r="T71" s="240"/>
      <c r="U71" s="77"/>
      <c r="W71" s="262"/>
      <c r="X71" s="262"/>
      <c r="Y71" s="262"/>
      <c r="Z71" s="262"/>
    </row>
    <row r="72" customFormat="false" ht="20.15" hidden="false" customHeight="true" outlineLevel="0" collapsed="false">
      <c r="B72" s="77"/>
      <c r="C72" s="240"/>
      <c r="D72" s="383" t="s">
        <v>25</v>
      </c>
      <c r="E72" s="384" t="s">
        <v>26</v>
      </c>
      <c r="F72" s="259" t="n">
        <f aca="false">(K72*6+L72*3+M72*1+N72*0)</f>
        <v>5</v>
      </c>
      <c r="G72" s="259" t="n">
        <v>0</v>
      </c>
      <c r="H72" s="260" t="s">
        <v>66</v>
      </c>
      <c r="I72" s="260"/>
      <c r="J72" s="259" t="n">
        <f aca="false">F72+G72</f>
        <v>5</v>
      </c>
      <c r="K72" s="259" t="n">
        <v>0</v>
      </c>
      <c r="L72" s="259" t="n">
        <v>1</v>
      </c>
      <c r="M72" s="259" t="n">
        <v>2</v>
      </c>
      <c r="N72" s="259" t="n">
        <v>1</v>
      </c>
      <c r="O72" s="259"/>
      <c r="P72" s="259"/>
      <c r="Q72" s="259"/>
      <c r="R72" s="259"/>
      <c r="S72" s="261" t="n">
        <f aca="false">(L35+L44+L53+L62)/4</f>
        <v>78.0329268254965</v>
      </c>
      <c r="T72" s="240"/>
      <c r="U72" s="77"/>
      <c r="W72" s="262"/>
      <c r="X72" s="262"/>
      <c r="Y72" s="262"/>
      <c r="Z72" s="262"/>
    </row>
    <row r="73" customFormat="false" ht="20.15" hidden="false" customHeight="true" outlineLevel="0" collapsed="false">
      <c r="B73" s="77"/>
      <c r="C73" s="240"/>
      <c r="D73" s="337" t="s">
        <v>39</v>
      </c>
      <c r="E73" s="385" t="s">
        <v>40</v>
      </c>
      <c r="F73" s="267" t="n">
        <f aca="false">(K73*6+L73*3+M73*1+N73*0)</f>
        <v>3</v>
      </c>
      <c r="G73" s="267" t="n">
        <v>0</v>
      </c>
      <c r="H73" s="268" t="s">
        <v>66</v>
      </c>
      <c r="I73" s="268"/>
      <c r="J73" s="267" t="n">
        <f aca="false">F73+G73</f>
        <v>3</v>
      </c>
      <c r="K73" s="267" t="n">
        <v>0</v>
      </c>
      <c r="L73" s="267" t="n">
        <v>1</v>
      </c>
      <c r="M73" s="267" t="n">
        <v>0</v>
      </c>
      <c r="N73" s="267" t="n">
        <v>3</v>
      </c>
      <c r="O73" s="267"/>
      <c r="P73" s="267"/>
      <c r="Q73" s="267"/>
      <c r="R73" s="267"/>
      <c r="S73" s="269" t="n">
        <f aca="false">(L36+L45+L54+L63)/4</f>
        <v>71.1717674740121</v>
      </c>
      <c r="T73" s="240"/>
      <c r="U73" s="77"/>
      <c r="W73" s="262"/>
      <c r="X73" s="262"/>
      <c r="Y73" s="262"/>
      <c r="Z73" s="262"/>
      <c r="AB73" s="262"/>
      <c r="AC73" s="262"/>
      <c r="AD73" s="262"/>
      <c r="AE73" s="262"/>
    </row>
    <row r="74" customFormat="false" ht="20.15" hidden="false" customHeight="true" outlineLevel="0" collapsed="false">
      <c r="B74" s="77"/>
      <c r="C74" s="240"/>
      <c r="D74" s="240"/>
      <c r="E74" s="240"/>
      <c r="F74" s="240"/>
      <c r="G74" s="240"/>
      <c r="H74" s="240"/>
      <c r="I74" s="240"/>
      <c r="J74" s="240"/>
      <c r="K74" s="240"/>
      <c r="L74" s="240"/>
      <c r="M74" s="240"/>
      <c r="N74" s="240"/>
      <c r="O74" s="240"/>
      <c r="P74" s="240"/>
      <c r="Q74" s="240"/>
      <c r="R74" s="240"/>
      <c r="S74" s="240"/>
      <c r="T74" s="240"/>
      <c r="U74" s="77"/>
      <c r="W74" s="262"/>
      <c r="X74" s="262"/>
      <c r="Y74" s="262"/>
      <c r="Z74" s="262"/>
    </row>
    <row r="75" customFormat="false" ht="20.15" hidden="false" customHeight="true" outlineLevel="0" collapsed="false">
      <c r="B75" s="77"/>
      <c r="C75" s="77"/>
      <c r="D75" s="270"/>
      <c r="E75" s="270"/>
      <c r="F75" s="195"/>
      <c r="G75" s="195"/>
      <c r="H75" s="270"/>
      <c r="I75" s="270"/>
      <c r="J75" s="270"/>
      <c r="K75" s="207"/>
      <c r="L75" s="207"/>
      <c r="M75" s="207"/>
      <c r="N75" s="207"/>
      <c r="O75" s="207"/>
      <c r="P75" s="207"/>
      <c r="Q75" s="207"/>
      <c r="R75" s="207"/>
      <c r="S75" s="207"/>
      <c r="T75" s="77"/>
      <c r="U75" s="77"/>
    </row>
    <row r="76" customFormat="false" ht="20.15" hidden="false" customHeight="true" outlineLevel="0" collapsed="false">
      <c r="C76" s="271"/>
      <c r="D76" s="272"/>
      <c r="O76" s="14"/>
      <c r="P76" s="14"/>
      <c r="Q76" s="14"/>
      <c r="R76" s="14"/>
      <c r="S76" s="14"/>
      <c r="U76" s="271"/>
    </row>
    <row r="77" customFormat="false" ht="20.15" hidden="false" customHeight="true" outlineLevel="0" collapsed="false">
      <c r="D77" s="273"/>
      <c r="O77" s="14"/>
      <c r="P77" s="14"/>
      <c r="Q77" s="14"/>
      <c r="R77" s="14"/>
      <c r="S77" s="14"/>
    </row>
    <row r="78" customFormat="false" ht="20.15" hidden="false" customHeight="true" outlineLevel="0" collapsed="false">
      <c r="B78" s="77"/>
      <c r="C78" s="77"/>
      <c r="D78" s="78"/>
      <c r="E78" s="78"/>
      <c r="F78" s="78"/>
      <c r="G78" s="78"/>
      <c r="H78" s="77"/>
      <c r="I78" s="77"/>
      <c r="J78" s="77"/>
      <c r="K78" s="77"/>
      <c r="L78" s="77"/>
      <c r="M78" s="77"/>
      <c r="N78" s="77"/>
      <c r="O78" s="77"/>
      <c r="P78" s="77"/>
      <c r="Q78" s="77"/>
      <c r="R78" s="77"/>
      <c r="S78" s="77"/>
      <c r="T78" s="77"/>
      <c r="U78" s="77"/>
    </row>
    <row r="79" customFormat="false" ht="30" hidden="false" customHeight="true" outlineLevel="0" collapsed="false">
      <c r="B79" s="77"/>
      <c r="C79" s="79" t="s">
        <v>110</v>
      </c>
      <c r="D79" s="79"/>
      <c r="E79" s="79"/>
      <c r="F79" s="79"/>
      <c r="G79" s="79"/>
      <c r="H79" s="79"/>
      <c r="I79" s="79"/>
      <c r="J79" s="79"/>
      <c r="K79" s="79"/>
      <c r="L79" s="79"/>
      <c r="M79" s="79"/>
      <c r="N79" s="79"/>
      <c r="O79" s="79"/>
      <c r="P79" s="79"/>
      <c r="Q79" s="79"/>
      <c r="R79" s="79"/>
      <c r="S79" s="79"/>
      <c r="T79" s="79"/>
      <c r="U79" s="77"/>
    </row>
    <row r="80" customFormat="false" ht="20.15" hidden="false" customHeight="true" outlineLevel="0" collapsed="false">
      <c r="B80" s="77"/>
      <c r="D80" s="121"/>
      <c r="E80" s="121"/>
      <c r="U80" s="77"/>
    </row>
    <row r="81" customFormat="false" ht="20.15" hidden="false" customHeight="true" outlineLevel="0" collapsed="false">
      <c r="B81" s="77"/>
      <c r="D81" s="80" t="s">
        <v>52</v>
      </c>
      <c r="E81" s="81" t="s">
        <v>111</v>
      </c>
      <c r="F81" s="82" t="s">
        <v>12</v>
      </c>
      <c r="G81" s="275" t="s">
        <v>54</v>
      </c>
      <c r="H81" s="275"/>
      <c r="I81" s="275"/>
      <c r="J81" s="275"/>
      <c r="K81" s="81" t="s">
        <v>55</v>
      </c>
      <c r="L81" s="83" t="s">
        <v>56</v>
      </c>
      <c r="M81" s="83"/>
      <c r="N81" s="83"/>
      <c r="O81" s="83"/>
      <c r="P81" s="83"/>
      <c r="Q81" s="83"/>
      <c r="R81" s="83"/>
      <c r="S81" s="83"/>
      <c r="U81" s="77"/>
    </row>
    <row r="82" customFormat="false" ht="20.15" hidden="false" customHeight="true" outlineLevel="0" collapsed="false">
      <c r="B82" s="77"/>
      <c r="D82" s="80"/>
      <c r="E82" s="81"/>
      <c r="F82" s="81"/>
      <c r="G82" s="85" t="s">
        <v>57</v>
      </c>
      <c r="H82" s="84" t="s">
        <v>58</v>
      </c>
      <c r="I82" s="82" t="s">
        <v>59</v>
      </c>
      <c r="J82" s="82"/>
      <c r="K82" s="84" t="s">
        <v>60</v>
      </c>
      <c r="L82" s="276" t="s">
        <v>57</v>
      </c>
      <c r="M82" s="277" t="s">
        <v>61</v>
      </c>
      <c r="N82" s="82" t="s">
        <v>59</v>
      </c>
      <c r="O82" s="82"/>
      <c r="P82" s="82"/>
      <c r="Q82" s="82"/>
      <c r="R82" s="82"/>
      <c r="S82" s="82"/>
      <c r="U82" s="77"/>
    </row>
    <row r="83" customFormat="false" ht="110.15" hidden="false" customHeight="true" outlineLevel="0" collapsed="false">
      <c r="B83" s="77"/>
      <c r="D83" s="86" t="s">
        <v>13</v>
      </c>
      <c r="E83" s="87" t="s">
        <v>14</v>
      </c>
      <c r="F83" s="343" t="n">
        <v>1</v>
      </c>
      <c r="G83" s="280" t="s">
        <v>67</v>
      </c>
      <c r="H83" s="281" t="s">
        <v>158</v>
      </c>
      <c r="I83" s="282" t="s">
        <v>408</v>
      </c>
      <c r="J83" s="282"/>
      <c r="K83" s="520" t="s">
        <v>352</v>
      </c>
      <c r="L83" s="284" t="s">
        <v>66</v>
      </c>
      <c r="M83" s="94" t="s">
        <v>66</v>
      </c>
      <c r="N83" s="95" t="s">
        <v>66</v>
      </c>
      <c r="O83" s="95"/>
      <c r="P83" s="95"/>
      <c r="Q83" s="95"/>
      <c r="R83" s="95"/>
      <c r="S83" s="95"/>
      <c r="U83" s="77"/>
    </row>
    <row r="84" customFormat="false" ht="35.15" hidden="false" customHeight="true" outlineLevel="0" collapsed="false">
      <c r="B84" s="77"/>
      <c r="D84" s="105" t="s">
        <v>19</v>
      </c>
      <c r="E84" s="96" t="s">
        <v>20</v>
      </c>
      <c r="F84" s="346" t="n">
        <v>2</v>
      </c>
      <c r="G84" s="286" t="s">
        <v>67</v>
      </c>
      <c r="H84" s="99" t="s">
        <v>352</v>
      </c>
      <c r="I84" s="287" t="s">
        <v>383</v>
      </c>
      <c r="J84" s="287"/>
      <c r="K84" s="288" t="s">
        <v>65</v>
      </c>
      <c r="L84" s="289" t="s">
        <v>66</v>
      </c>
      <c r="M84" s="103" t="s">
        <v>66</v>
      </c>
      <c r="N84" s="104" t="s">
        <v>66</v>
      </c>
      <c r="O84" s="104"/>
      <c r="P84" s="104"/>
      <c r="Q84" s="104"/>
      <c r="R84" s="104"/>
      <c r="S84" s="104"/>
      <c r="U84" s="77"/>
    </row>
    <row r="85" customFormat="false" ht="20.15" hidden="false" customHeight="true" outlineLevel="0" collapsed="false">
      <c r="B85" s="77"/>
      <c r="D85" s="46" t="s">
        <v>16</v>
      </c>
      <c r="E85" s="96" t="s">
        <v>17</v>
      </c>
      <c r="F85" s="346" t="n">
        <v>3</v>
      </c>
      <c r="G85" s="291" t="s">
        <v>67</v>
      </c>
      <c r="H85" s="107" t="s">
        <v>344</v>
      </c>
      <c r="I85" s="293" t="s">
        <v>409</v>
      </c>
      <c r="J85" s="293"/>
      <c r="K85" s="374" t="s">
        <v>65</v>
      </c>
      <c r="L85" s="289" t="s">
        <v>66</v>
      </c>
      <c r="M85" s="103" t="s">
        <v>66</v>
      </c>
      <c r="N85" s="104" t="s">
        <v>66</v>
      </c>
      <c r="O85" s="104"/>
      <c r="P85" s="104"/>
      <c r="Q85" s="104"/>
      <c r="R85" s="104"/>
      <c r="S85" s="104"/>
      <c r="U85" s="77"/>
    </row>
    <row r="86" customFormat="false" ht="65.15" hidden="false" customHeight="true" outlineLevel="0" collapsed="false">
      <c r="B86" s="77"/>
      <c r="D86" s="295" t="s">
        <v>33</v>
      </c>
      <c r="E86" s="410" t="s">
        <v>34</v>
      </c>
      <c r="F86" s="350" t="n">
        <v>4</v>
      </c>
      <c r="G86" s="387" t="s">
        <v>67</v>
      </c>
      <c r="H86" s="101" t="s">
        <v>331</v>
      </c>
      <c r="I86" s="377" t="s">
        <v>410</v>
      </c>
      <c r="J86" s="377"/>
      <c r="K86" s="300" t="s">
        <v>65</v>
      </c>
      <c r="L86" s="301" t="s">
        <v>66</v>
      </c>
      <c r="M86" s="302" t="s">
        <v>66</v>
      </c>
      <c r="N86" s="303" t="s">
        <v>66</v>
      </c>
      <c r="O86" s="303"/>
      <c r="P86" s="303"/>
      <c r="Q86" s="303"/>
      <c r="R86" s="303"/>
      <c r="S86" s="303"/>
      <c r="U86" s="77"/>
    </row>
    <row r="87" customFormat="false" ht="20.15" hidden="false" customHeight="true" outlineLevel="0" collapsed="false">
      <c r="B87" s="77"/>
      <c r="D87" s="121"/>
      <c r="E87" s="121"/>
      <c r="U87" s="77"/>
    </row>
    <row r="88" customFormat="false" ht="20.15" hidden="false" customHeight="true" outlineLevel="0" collapsed="false">
      <c r="B88" s="77"/>
      <c r="C88" s="122"/>
      <c r="D88" s="122"/>
      <c r="E88" s="123" t="str">
        <f aca="false">IF(OR(L83="-",L83= ""),H83,L83)</f>
        <v>Terra Mystica</v>
      </c>
      <c r="F88" s="123"/>
      <c r="G88" s="123"/>
      <c r="H88" s="123"/>
      <c r="I88" s="123"/>
      <c r="J88" s="123"/>
      <c r="K88" s="123"/>
      <c r="L88" s="123"/>
      <c r="M88" s="123"/>
      <c r="N88" s="123"/>
      <c r="O88" s="124"/>
      <c r="P88" s="124"/>
      <c r="Q88" s="124"/>
      <c r="R88" s="124"/>
      <c r="S88" s="124"/>
      <c r="T88" s="122"/>
      <c r="U88" s="77"/>
    </row>
    <row r="89" customFormat="false" ht="50.15" hidden="false" customHeight="true" outlineLevel="0" collapsed="false">
      <c r="B89" s="77"/>
      <c r="C89" s="122"/>
      <c r="D89" s="124"/>
      <c r="E89" s="125" t="s">
        <v>52</v>
      </c>
      <c r="F89" s="126" t="s">
        <v>75</v>
      </c>
      <c r="G89" s="82" t="s">
        <v>76</v>
      </c>
      <c r="H89" s="81" t="s">
        <v>77</v>
      </c>
      <c r="I89" s="59" t="s">
        <v>78</v>
      </c>
      <c r="J89" s="81" t="s">
        <v>79</v>
      </c>
      <c r="K89" s="127" t="s">
        <v>80</v>
      </c>
      <c r="L89" s="81" t="s">
        <v>81</v>
      </c>
      <c r="M89" s="128" t="s">
        <v>82</v>
      </c>
      <c r="N89" s="129" t="s">
        <v>83</v>
      </c>
      <c r="O89" s="130" t="s">
        <v>84</v>
      </c>
      <c r="P89" s="131" t="s">
        <v>85</v>
      </c>
      <c r="Q89" s="131" t="s">
        <v>86</v>
      </c>
      <c r="R89" s="197" t="s">
        <v>87</v>
      </c>
      <c r="S89" s="124"/>
      <c r="T89" s="122"/>
      <c r="U89" s="77"/>
    </row>
    <row r="90" customFormat="false" ht="20.15" hidden="false" customHeight="true" outlineLevel="0" collapsed="false">
      <c r="B90" s="77"/>
      <c r="C90" s="122"/>
      <c r="D90" s="152"/>
      <c r="E90" s="86" t="s">
        <v>13</v>
      </c>
      <c r="F90" s="87" t="s">
        <v>14</v>
      </c>
      <c r="G90" s="304" t="n">
        <v>1</v>
      </c>
      <c r="H90" s="221" t="s">
        <v>66</v>
      </c>
      <c r="I90" s="221" t="n">
        <v>30</v>
      </c>
      <c r="J90" s="221" t="n">
        <v>123</v>
      </c>
      <c r="K90" s="221" t="s">
        <v>66</v>
      </c>
      <c r="L90" s="223" t="n">
        <f aca="false">IF(J90="",0,(J90/J94)*100)</f>
        <v>87.8571428571429</v>
      </c>
      <c r="M90" s="221" t="n">
        <v>3</v>
      </c>
      <c r="N90" s="224" t="n">
        <v>1</v>
      </c>
      <c r="O90" s="137" t="n">
        <f aca="false">IF(M90=1,1,0)</f>
        <v>0</v>
      </c>
      <c r="P90" s="138" t="n">
        <f aca="false">IF(M90=2,1,0)</f>
        <v>0</v>
      </c>
      <c r="Q90" s="138" t="n">
        <f aca="false">IF(M90=3,1,0)</f>
        <v>1</v>
      </c>
      <c r="R90" s="139" t="n">
        <f aca="false">IF(M90=4,1,0)</f>
        <v>0</v>
      </c>
      <c r="S90" s="140"/>
      <c r="T90" s="122"/>
      <c r="U90" s="77"/>
    </row>
    <row r="91" customFormat="false" ht="20.15" hidden="false" customHeight="true" outlineLevel="0" collapsed="false">
      <c r="B91" s="77"/>
      <c r="C91" s="122"/>
      <c r="D91" s="132"/>
      <c r="E91" s="105" t="s">
        <v>19</v>
      </c>
      <c r="F91" s="227" t="s">
        <v>20</v>
      </c>
      <c r="G91" s="306" t="n">
        <v>4</v>
      </c>
      <c r="H91" s="228" t="s">
        <v>66</v>
      </c>
      <c r="I91" s="228" t="n">
        <v>19</v>
      </c>
      <c r="J91" s="228" t="n">
        <v>137</v>
      </c>
      <c r="K91" s="317" t="s">
        <v>66</v>
      </c>
      <c r="L91" s="229" t="n">
        <f aca="false">IF(J91="",0,(J91/J94)*100)</f>
        <v>97.8571428571429</v>
      </c>
      <c r="M91" s="228" t="n">
        <v>2</v>
      </c>
      <c r="N91" s="230" t="n">
        <v>3</v>
      </c>
      <c r="O91" s="144" t="n">
        <f aca="false">IF(M91=1,1,0)</f>
        <v>0</v>
      </c>
      <c r="P91" s="145" t="n">
        <f aca="false">IF(M91=2,1,0)</f>
        <v>1</v>
      </c>
      <c r="Q91" s="145" t="n">
        <f aca="false">IF(M91=3,1,0)</f>
        <v>0</v>
      </c>
      <c r="R91" s="146" t="n">
        <f aca="false">IF(M91=4,1,0)</f>
        <v>0</v>
      </c>
      <c r="S91" s="140"/>
      <c r="T91" s="122"/>
      <c r="U91" s="77"/>
    </row>
    <row r="92" customFormat="false" ht="20.15" hidden="false" customHeight="true" outlineLevel="0" collapsed="false">
      <c r="B92" s="77"/>
      <c r="C92" s="122"/>
      <c r="D92" s="132"/>
      <c r="E92" s="178" t="s">
        <v>16</v>
      </c>
      <c r="F92" s="148" t="s">
        <v>17</v>
      </c>
      <c r="G92" s="305" t="n">
        <v>3</v>
      </c>
      <c r="H92" s="149" t="s">
        <v>66</v>
      </c>
      <c r="I92" s="149" t="n">
        <v>24</v>
      </c>
      <c r="J92" s="149" t="n">
        <v>140</v>
      </c>
      <c r="K92" s="149" t="s">
        <v>66</v>
      </c>
      <c r="L92" s="150" t="n">
        <f aca="false">IF(J92="",0,(J92/J94)*100)</f>
        <v>100</v>
      </c>
      <c r="M92" s="149" t="n">
        <v>1</v>
      </c>
      <c r="N92" s="151" t="n">
        <v>6</v>
      </c>
      <c r="O92" s="144" t="n">
        <f aca="false">IF(M92=1,1,0)</f>
        <v>1</v>
      </c>
      <c r="P92" s="145" t="n">
        <f aca="false">IF(M92=2,1,0)</f>
        <v>0</v>
      </c>
      <c r="Q92" s="145" t="n">
        <f aca="false">IF(M92=3,1,0)</f>
        <v>0</v>
      </c>
      <c r="R92" s="146" t="n">
        <f aca="false">IF(M92=4,1,0)</f>
        <v>0</v>
      </c>
      <c r="S92" s="140"/>
      <c r="T92" s="122"/>
      <c r="U92" s="77"/>
    </row>
    <row r="93" customFormat="false" ht="20.15" hidden="false" customHeight="true" outlineLevel="0" collapsed="false">
      <c r="B93" s="77"/>
      <c r="C93" s="122"/>
      <c r="D93" s="132"/>
      <c r="E93" s="295" t="s">
        <v>33</v>
      </c>
      <c r="F93" s="386" t="s">
        <v>34</v>
      </c>
      <c r="G93" s="307" t="n">
        <v>2</v>
      </c>
      <c r="H93" s="234" t="s">
        <v>66</v>
      </c>
      <c r="I93" s="234" t="n">
        <v>30</v>
      </c>
      <c r="J93" s="234" t="n">
        <v>98</v>
      </c>
      <c r="K93" s="308" t="s">
        <v>66</v>
      </c>
      <c r="L93" s="235" t="n">
        <f aca="false">IF(J93="",0,(J93/J94)*100)</f>
        <v>70</v>
      </c>
      <c r="M93" s="234" t="n">
        <v>4</v>
      </c>
      <c r="N93" s="236" t="n">
        <v>0</v>
      </c>
      <c r="O93" s="156" t="n">
        <f aca="false">IF(M93=1,1,0)</f>
        <v>0</v>
      </c>
      <c r="P93" s="157" t="n">
        <f aca="false">IF(M93=2,1,0)</f>
        <v>0</v>
      </c>
      <c r="Q93" s="157" t="n">
        <f aca="false">IF(M93=3,1,0)</f>
        <v>0</v>
      </c>
      <c r="R93" s="158" t="n">
        <f aca="false">IF(M93=4,1,0)</f>
        <v>1</v>
      </c>
      <c r="S93" s="140"/>
      <c r="T93" s="122"/>
      <c r="U93" s="77"/>
    </row>
    <row r="94" customFormat="false" ht="20.15" hidden="true" customHeight="true" outlineLevel="1" collapsed="false">
      <c r="B94" s="77"/>
      <c r="C94" s="122"/>
      <c r="D94" s="152"/>
      <c r="E94" s="152"/>
      <c r="F94" s="140"/>
      <c r="G94" s="140"/>
      <c r="H94" s="122"/>
      <c r="I94" s="213" t="s">
        <v>92</v>
      </c>
      <c r="J94" s="161" t="n">
        <f aca="false">MAX(J90:J93)</f>
        <v>140</v>
      </c>
      <c r="K94" s="309"/>
      <c r="L94" s="167"/>
      <c r="M94" s="122"/>
      <c r="N94" s="164" t="s">
        <v>93</v>
      </c>
      <c r="O94" s="165" t="n">
        <f aca="false">SUM(O90:O93)</f>
        <v>1</v>
      </c>
      <c r="P94" s="166" t="n">
        <f aca="false">SUM(P90:P93)</f>
        <v>1</v>
      </c>
      <c r="Q94" s="165" t="n">
        <f aca="false">SUM(Q90:Q93)</f>
        <v>1</v>
      </c>
      <c r="R94" s="187" t="n">
        <f aca="false">SUM(R90:R93)</f>
        <v>1</v>
      </c>
      <c r="S94" s="167"/>
      <c r="T94" s="122"/>
      <c r="U94" s="77"/>
    </row>
    <row r="95" customFormat="false" ht="20.15" hidden="false" customHeight="true" outlineLevel="0" collapsed="false">
      <c r="B95" s="77"/>
      <c r="C95" s="122"/>
      <c r="D95" s="168"/>
      <c r="E95" s="168"/>
      <c r="F95" s="122"/>
      <c r="G95" s="122"/>
      <c r="H95" s="122"/>
      <c r="I95" s="122"/>
      <c r="J95" s="122"/>
      <c r="K95" s="122"/>
      <c r="L95" s="122"/>
      <c r="M95" s="122"/>
      <c r="N95" s="122"/>
      <c r="O95" s="122"/>
      <c r="P95" s="122"/>
      <c r="Q95" s="122"/>
      <c r="R95" s="122"/>
      <c r="S95" s="122"/>
      <c r="T95" s="122"/>
      <c r="U95" s="77"/>
    </row>
    <row r="96" customFormat="false" ht="20.15" hidden="false" customHeight="true" outlineLevel="0" collapsed="false">
      <c r="B96" s="77"/>
      <c r="U96" s="77"/>
    </row>
    <row r="97" customFormat="false" ht="20.15" hidden="false" customHeight="true" outlineLevel="0" collapsed="false">
      <c r="B97" s="77"/>
      <c r="C97" s="170"/>
      <c r="D97" s="170"/>
      <c r="E97" s="171" t="str">
        <f aca="false">IF(OR(L84="-",L84= ""),H84,L84)</f>
        <v>Viticulture</v>
      </c>
      <c r="F97" s="171"/>
      <c r="G97" s="171"/>
      <c r="H97" s="171"/>
      <c r="I97" s="171"/>
      <c r="J97" s="171"/>
      <c r="K97" s="171"/>
      <c r="L97" s="171"/>
      <c r="M97" s="171"/>
      <c r="N97" s="171"/>
      <c r="O97" s="172"/>
      <c r="P97" s="172"/>
      <c r="Q97" s="172"/>
      <c r="R97" s="172"/>
      <c r="S97" s="172"/>
      <c r="T97" s="170"/>
      <c r="U97" s="77"/>
    </row>
    <row r="98" customFormat="false" ht="50.15" hidden="false" customHeight="true" outlineLevel="0" collapsed="false">
      <c r="B98" s="77"/>
      <c r="C98" s="170"/>
      <c r="D98" s="172"/>
      <c r="E98" s="125" t="s">
        <v>52</v>
      </c>
      <c r="F98" s="126" t="s">
        <v>75</v>
      </c>
      <c r="G98" s="82" t="s">
        <v>76</v>
      </c>
      <c r="H98" s="81" t="s">
        <v>77</v>
      </c>
      <c r="I98" s="59" t="s">
        <v>78</v>
      </c>
      <c r="J98" s="81" t="s">
        <v>79</v>
      </c>
      <c r="K98" s="127" t="s">
        <v>80</v>
      </c>
      <c r="L98" s="81" t="s">
        <v>81</v>
      </c>
      <c r="M98" s="128" t="s">
        <v>82</v>
      </c>
      <c r="N98" s="129" t="s">
        <v>83</v>
      </c>
      <c r="O98" s="130" t="s">
        <v>84</v>
      </c>
      <c r="P98" s="131" t="s">
        <v>85</v>
      </c>
      <c r="Q98" s="131" t="s">
        <v>86</v>
      </c>
      <c r="R98" s="197" t="s">
        <v>87</v>
      </c>
      <c r="S98" s="172"/>
      <c r="T98" s="170"/>
      <c r="U98" s="77"/>
    </row>
    <row r="99" customFormat="false" ht="35.15" hidden="false" customHeight="true" outlineLevel="0" collapsed="false">
      <c r="B99" s="77"/>
      <c r="C99" s="170"/>
      <c r="D99" s="177"/>
      <c r="E99" s="86" t="s">
        <v>13</v>
      </c>
      <c r="F99" s="87" t="s">
        <v>14</v>
      </c>
      <c r="G99" s="304" t="n">
        <v>4</v>
      </c>
      <c r="H99" s="222" t="s">
        <v>411</v>
      </c>
      <c r="I99" s="221" t="n">
        <v>0</v>
      </c>
      <c r="J99" s="222" t="n">
        <v>14</v>
      </c>
      <c r="K99" s="389" t="s">
        <v>66</v>
      </c>
      <c r="L99" s="223" t="n">
        <f aca="false">IF(J99="",0,(J99/J103)*100)</f>
        <v>53.8461538461539</v>
      </c>
      <c r="M99" s="221" t="n">
        <v>4</v>
      </c>
      <c r="N99" s="224" t="n">
        <v>0</v>
      </c>
      <c r="O99" s="137" t="n">
        <f aca="false">IF(M99=1,1,0)</f>
        <v>0</v>
      </c>
      <c r="P99" s="138" t="n">
        <f aca="false">IF(M99=2,1,0)</f>
        <v>0</v>
      </c>
      <c r="Q99" s="138" t="n">
        <f aca="false">IF(M99=3,1,0)</f>
        <v>0</v>
      </c>
      <c r="R99" s="139" t="n">
        <f aca="false">IF(M99=4,1,0)</f>
        <v>1</v>
      </c>
      <c r="S99" s="176"/>
      <c r="T99" s="170"/>
      <c r="U99" s="77"/>
    </row>
    <row r="100" customFormat="false" ht="35.15" hidden="false" customHeight="true" outlineLevel="0" collapsed="false">
      <c r="B100" s="77"/>
      <c r="C100" s="170"/>
      <c r="D100" s="173"/>
      <c r="E100" s="147" t="s">
        <v>19</v>
      </c>
      <c r="F100" s="148" t="s">
        <v>20</v>
      </c>
      <c r="G100" s="305" t="n">
        <v>3</v>
      </c>
      <c r="H100" s="179" t="s">
        <v>412</v>
      </c>
      <c r="I100" s="149" t="n">
        <v>0</v>
      </c>
      <c r="J100" s="179" t="n">
        <v>26</v>
      </c>
      <c r="K100" s="179" t="s">
        <v>66</v>
      </c>
      <c r="L100" s="150" t="n">
        <f aca="false">IF(J100="",0,(J100/J103)*100)</f>
        <v>100</v>
      </c>
      <c r="M100" s="149" t="n">
        <v>1</v>
      </c>
      <c r="N100" s="151" t="n">
        <v>6</v>
      </c>
      <c r="O100" s="144" t="n">
        <f aca="false">IF(M100=1,1,0)</f>
        <v>1</v>
      </c>
      <c r="P100" s="145" t="n">
        <f aca="false">IF(M100=2,1,0)</f>
        <v>0</v>
      </c>
      <c r="Q100" s="145" t="n">
        <f aca="false">IF(M100=3,1,0)</f>
        <v>0</v>
      </c>
      <c r="R100" s="146" t="n">
        <f aca="false">IF(M100=4,1,0)</f>
        <v>0</v>
      </c>
      <c r="S100" s="176"/>
      <c r="T100" s="170"/>
      <c r="U100" s="77"/>
    </row>
    <row r="101" customFormat="false" ht="35.15" hidden="false" customHeight="true" outlineLevel="0" collapsed="false">
      <c r="B101" s="77"/>
      <c r="C101" s="170"/>
      <c r="D101" s="177"/>
      <c r="E101" s="226" t="s">
        <v>16</v>
      </c>
      <c r="F101" s="227" t="s">
        <v>17</v>
      </c>
      <c r="G101" s="306" t="n">
        <v>2</v>
      </c>
      <c r="H101" s="317" t="s">
        <v>413</v>
      </c>
      <c r="I101" s="228" t="n">
        <v>0</v>
      </c>
      <c r="J101" s="317" t="n">
        <v>25</v>
      </c>
      <c r="K101" s="390" t="s">
        <v>414</v>
      </c>
      <c r="L101" s="229" t="n">
        <f aca="false">IF(J101="",0,(J101/J103)*100)</f>
        <v>96.1538461538462</v>
      </c>
      <c r="M101" s="228" t="n">
        <v>2</v>
      </c>
      <c r="N101" s="230" t="n">
        <v>3</v>
      </c>
      <c r="O101" s="144" t="n">
        <f aca="false">IF(M101=1,1,0)</f>
        <v>0</v>
      </c>
      <c r="P101" s="145" t="n">
        <f aca="false">IF(M101=2,1,0)</f>
        <v>1</v>
      </c>
      <c r="Q101" s="145" t="n">
        <f aca="false">IF(M101=3,1,0)</f>
        <v>0</v>
      </c>
      <c r="R101" s="146" t="n">
        <f aca="false">IF(M101=4,1,0)</f>
        <v>0</v>
      </c>
      <c r="S101" s="176"/>
      <c r="T101" s="170"/>
      <c r="U101" s="77"/>
    </row>
    <row r="102" customFormat="false" ht="35.15" hidden="false" customHeight="true" outlineLevel="0" collapsed="false">
      <c r="B102" s="77"/>
      <c r="C102" s="170"/>
      <c r="D102" s="173"/>
      <c r="E102" s="295" t="s">
        <v>33</v>
      </c>
      <c r="F102" s="386" t="s">
        <v>34</v>
      </c>
      <c r="G102" s="307" t="n">
        <v>1</v>
      </c>
      <c r="H102" s="308" t="s">
        <v>415</v>
      </c>
      <c r="I102" s="234" t="n">
        <v>0</v>
      </c>
      <c r="J102" s="308" t="n">
        <v>25</v>
      </c>
      <c r="K102" s="308" t="s">
        <v>416</v>
      </c>
      <c r="L102" s="235" t="n">
        <f aca="false">IF(J102="",0,(J102/J103)*100)</f>
        <v>96.1538461538462</v>
      </c>
      <c r="M102" s="234" t="n">
        <v>3</v>
      </c>
      <c r="N102" s="236" t="n">
        <v>1</v>
      </c>
      <c r="O102" s="156" t="n">
        <f aca="false">IF(M102=1,1,0)</f>
        <v>0</v>
      </c>
      <c r="P102" s="157" t="n">
        <f aca="false">IF(M102=2,1,0)</f>
        <v>0</v>
      </c>
      <c r="Q102" s="157" t="n">
        <f aca="false">IF(M102=3,1,0)</f>
        <v>1</v>
      </c>
      <c r="R102" s="158" t="n">
        <f aca="false">IF(M102=4,1,0)</f>
        <v>0</v>
      </c>
      <c r="S102" s="176"/>
      <c r="T102" s="170"/>
      <c r="U102" s="77"/>
    </row>
    <row r="103" customFormat="false" ht="20.15" hidden="true" customHeight="true" outlineLevel="1" collapsed="false">
      <c r="B103" s="77"/>
      <c r="C103" s="170"/>
      <c r="D103" s="173"/>
      <c r="E103" s="173"/>
      <c r="F103" s="172"/>
      <c r="G103" s="172"/>
      <c r="H103" s="170"/>
      <c r="I103" s="213" t="s">
        <v>92</v>
      </c>
      <c r="J103" s="161" t="n">
        <f aca="false">MAX(J99:J102)</f>
        <v>26</v>
      </c>
      <c r="K103" s="186"/>
      <c r="L103" s="176"/>
      <c r="M103" s="170"/>
      <c r="N103" s="164" t="s">
        <v>93</v>
      </c>
      <c r="O103" s="165" t="n">
        <f aca="false">SUM(O99:O102)</f>
        <v>1</v>
      </c>
      <c r="P103" s="166" t="n">
        <f aca="false">SUM(P99:P102)</f>
        <v>1</v>
      </c>
      <c r="Q103" s="165" t="n">
        <f aca="false">SUM(Q99:Q102)</f>
        <v>1</v>
      </c>
      <c r="R103" s="187" t="n">
        <f aca="false">SUM(R99:R102)</f>
        <v>1</v>
      </c>
      <c r="S103" s="188"/>
      <c r="T103" s="170"/>
      <c r="U103" s="77"/>
    </row>
    <row r="104" customFormat="false" ht="20.15" hidden="false" customHeight="true" outlineLevel="0" collapsed="false">
      <c r="B104" s="77"/>
      <c r="C104" s="170"/>
      <c r="D104" s="189"/>
      <c r="E104" s="189"/>
      <c r="F104" s="170"/>
      <c r="G104" s="170"/>
      <c r="H104" s="170"/>
      <c r="I104" s="170"/>
      <c r="J104" s="170"/>
      <c r="K104" s="170"/>
      <c r="L104" s="170"/>
      <c r="M104" s="170"/>
      <c r="N104" s="170"/>
      <c r="O104" s="170"/>
      <c r="P104" s="170"/>
      <c r="Q104" s="170"/>
      <c r="R104" s="170"/>
      <c r="S104" s="170"/>
      <c r="T104" s="170"/>
      <c r="U104" s="77"/>
    </row>
    <row r="105" customFormat="false" ht="20.15" hidden="false" customHeight="true" outlineLevel="0" collapsed="false">
      <c r="B105" s="77"/>
      <c r="D105" s="190"/>
      <c r="E105" s="190"/>
      <c r="F105" s="190"/>
      <c r="G105" s="190"/>
      <c r="H105" s="191"/>
      <c r="I105" s="190"/>
      <c r="J105" s="190"/>
      <c r="K105" s="14"/>
      <c r="L105" s="14"/>
      <c r="M105" s="14"/>
      <c r="N105" s="14"/>
      <c r="O105" s="14"/>
      <c r="P105" s="14"/>
      <c r="Q105" s="14"/>
      <c r="R105" s="14"/>
      <c r="S105" s="14"/>
      <c r="U105" s="77"/>
    </row>
    <row r="106" customFormat="false" ht="20.15" hidden="false" customHeight="true" outlineLevel="0" collapsed="false">
      <c r="B106" s="77"/>
      <c r="C106" s="192"/>
      <c r="D106" s="192"/>
      <c r="E106" s="193" t="str">
        <f aca="false">IF(OR(L85="-",L85= ""),H85,L85)</f>
        <v>La Granja</v>
      </c>
      <c r="F106" s="193"/>
      <c r="G106" s="193"/>
      <c r="H106" s="193"/>
      <c r="I106" s="193"/>
      <c r="J106" s="193"/>
      <c r="K106" s="193"/>
      <c r="L106" s="193"/>
      <c r="M106" s="193"/>
      <c r="N106" s="193"/>
      <c r="O106" s="194"/>
      <c r="P106" s="194"/>
      <c r="Q106" s="194"/>
      <c r="R106" s="194"/>
      <c r="S106" s="194"/>
      <c r="T106" s="192"/>
      <c r="U106" s="195"/>
    </row>
    <row r="107" customFormat="false" ht="50.15" hidden="false" customHeight="true" outlineLevel="0" collapsed="false">
      <c r="B107" s="77"/>
      <c r="C107" s="192"/>
      <c r="D107" s="194"/>
      <c r="E107" s="125" t="s">
        <v>52</v>
      </c>
      <c r="F107" s="126" t="s">
        <v>75</v>
      </c>
      <c r="G107" s="82" t="s">
        <v>76</v>
      </c>
      <c r="H107" s="81" t="s">
        <v>77</v>
      </c>
      <c r="I107" s="59" t="s">
        <v>78</v>
      </c>
      <c r="J107" s="81" t="s">
        <v>79</v>
      </c>
      <c r="K107" s="127" t="s">
        <v>80</v>
      </c>
      <c r="L107" s="81" t="s">
        <v>81</v>
      </c>
      <c r="M107" s="128" t="s">
        <v>82</v>
      </c>
      <c r="N107" s="129" t="s">
        <v>83</v>
      </c>
      <c r="O107" s="130" t="s">
        <v>84</v>
      </c>
      <c r="P107" s="131" t="s">
        <v>85</v>
      </c>
      <c r="Q107" s="131" t="s">
        <v>86</v>
      </c>
      <c r="R107" s="197" t="s">
        <v>87</v>
      </c>
      <c r="S107" s="194"/>
      <c r="T107" s="192"/>
      <c r="U107" s="195"/>
    </row>
    <row r="108" customFormat="false" ht="20.15" hidden="false" customHeight="true" outlineLevel="0" collapsed="false">
      <c r="B108" s="77"/>
      <c r="C108" s="192"/>
      <c r="D108" s="208"/>
      <c r="E108" s="199" t="s">
        <v>13</v>
      </c>
      <c r="F108" s="200" t="s">
        <v>14</v>
      </c>
      <c r="G108" s="325" t="n">
        <v>4</v>
      </c>
      <c r="H108" s="202" t="s">
        <v>66</v>
      </c>
      <c r="I108" s="201" t="n">
        <v>0</v>
      </c>
      <c r="J108" s="202" t="n">
        <v>88</v>
      </c>
      <c r="K108" s="201" t="s">
        <v>66</v>
      </c>
      <c r="L108" s="204" t="n">
        <f aca="false">IF(J108="",0,(J108/J112)*100)</f>
        <v>100</v>
      </c>
      <c r="M108" s="201" t="n">
        <v>1</v>
      </c>
      <c r="N108" s="205" t="n">
        <v>6</v>
      </c>
      <c r="O108" s="137" t="n">
        <f aca="false">IF(M108=1,1,0)</f>
        <v>1</v>
      </c>
      <c r="P108" s="138" t="n">
        <f aca="false">IF(M108=2,1,0)</f>
        <v>0</v>
      </c>
      <c r="Q108" s="138" t="n">
        <f aca="false">IF(M108=3,1,0)</f>
        <v>0</v>
      </c>
      <c r="R108" s="139" t="n">
        <f aca="false">IF(M108=4,1,0)</f>
        <v>0</v>
      </c>
      <c r="S108" s="206"/>
      <c r="T108" s="192"/>
      <c r="U108" s="207"/>
    </row>
    <row r="109" customFormat="false" ht="20.15" hidden="false" customHeight="true" outlineLevel="0" collapsed="false">
      <c r="B109" s="77"/>
      <c r="C109" s="192"/>
      <c r="D109" s="198"/>
      <c r="E109" s="105" t="s">
        <v>19</v>
      </c>
      <c r="F109" s="227" t="s">
        <v>20</v>
      </c>
      <c r="G109" s="306" t="n">
        <v>2</v>
      </c>
      <c r="H109" s="317" t="s">
        <v>66</v>
      </c>
      <c r="I109" s="228" t="n">
        <v>0</v>
      </c>
      <c r="J109" s="317" t="n">
        <v>81</v>
      </c>
      <c r="K109" s="317" t="s">
        <v>66</v>
      </c>
      <c r="L109" s="229" t="n">
        <f aca="false">IF(J109="",0,(J109/J112)*100)</f>
        <v>92.0454545454546</v>
      </c>
      <c r="M109" s="228" t="n">
        <v>3</v>
      </c>
      <c r="N109" s="230" t="n">
        <v>1</v>
      </c>
      <c r="O109" s="144" t="n">
        <f aca="false">IF(M109=1,1,0)</f>
        <v>0</v>
      </c>
      <c r="P109" s="145" t="n">
        <f aca="false">IF(M109=2,1,0)</f>
        <v>0</v>
      </c>
      <c r="Q109" s="145" t="n">
        <f aca="false">IF(M109=3,1,0)</f>
        <v>1</v>
      </c>
      <c r="R109" s="146" t="n">
        <f aca="false">IF(M109=4,1,0)</f>
        <v>0</v>
      </c>
      <c r="S109" s="206"/>
      <c r="T109" s="192"/>
      <c r="U109" s="211"/>
    </row>
    <row r="110" customFormat="false" ht="20.15" hidden="false" customHeight="true" outlineLevel="0" collapsed="false">
      <c r="B110" s="77"/>
      <c r="C110" s="192"/>
      <c r="D110" s="198"/>
      <c r="E110" s="226" t="s">
        <v>16</v>
      </c>
      <c r="F110" s="227" t="s">
        <v>17</v>
      </c>
      <c r="G110" s="306" t="n">
        <v>1</v>
      </c>
      <c r="H110" s="317" t="s">
        <v>66</v>
      </c>
      <c r="I110" s="228" t="n">
        <v>0</v>
      </c>
      <c r="J110" s="317" t="n">
        <v>82</v>
      </c>
      <c r="K110" s="228" t="s">
        <v>66</v>
      </c>
      <c r="L110" s="229" t="n">
        <f aca="false">IF(J110="",0,(J110/J112)*100)</f>
        <v>93.1818181818182</v>
      </c>
      <c r="M110" s="228" t="n">
        <v>2</v>
      </c>
      <c r="N110" s="230" t="n">
        <v>3</v>
      </c>
      <c r="O110" s="144" t="n">
        <f aca="false">IF(M110=1,1,0)</f>
        <v>0</v>
      </c>
      <c r="P110" s="145" t="n">
        <f aca="false">IF(M110=2,1,0)</f>
        <v>1</v>
      </c>
      <c r="Q110" s="145" t="n">
        <f aca="false">IF(M110=3,1,0)</f>
        <v>0</v>
      </c>
      <c r="R110" s="146" t="n">
        <f aca="false">IF(M110=4,1,0)</f>
        <v>0</v>
      </c>
      <c r="S110" s="206"/>
      <c r="T110" s="192"/>
      <c r="U110" s="211"/>
    </row>
    <row r="111" customFormat="false" ht="20.15" hidden="false" customHeight="true" outlineLevel="0" collapsed="false">
      <c r="B111" s="77"/>
      <c r="C111" s="192"/>
      <c r="D111" s="198"/>
      <c r="E111" s="295" t="s">
        <v>33</v>
      </c>
      <c r="F111" s="386" t="s">
        <v>34</v>
      </c>
      <c r="G111" s="307" t="n">
        <v>3</v>
      </c>
      <c r="H111" s="308" t="s">
        <v>66</v>
      </c>
      <c r="I111" s="234" t="n">
        <v>0</v>
      </c>
      <c r="J111" s="308" t="n">
        <v>72</v>
      </c>
      <c r="K111" s="308" t="s">
        <v>66</v>
      </c>
      <c r="L111" s="235" t="n">
        <f aca="false">IF(J111="",0,(J111/J112)*100)</f>
        <v>81.8181818181818</v>
      </c>
      <c r="M111" s="234" t="n">
        <v>4</v>
      </c>
      <c r="N111" s="236" t="n">
        <v>0</v>
      </c>
      <c r="O111" s="156" t="n">
        <f aca="false">IF(M111=1,1,0)</f>
        <v>0</v>
      </c>
      <c r="P111" s="157" t="n">
        <f aca="false">IF(M111=2,1,0)</f>
        <v>0</v>
      </c>
      <c r="Q111" s="157" t="n">
        <f aca="false">IF(M111=3,1,0)</f>
        <v>0</v>
      </c>
      <c r="R111" s="158" t="n">
        <f aca="false">IF(M111=4,1,0)</f>
        <v>1</v>
      </c>
      <c r="S111" s="206"/>
      <c r="T111" s="192"/>
      <c r="U111" s="211"/>
    </row>
    <row r="112" customFormat="false" ht="20.15" hidden="true" customHeight="true" outlineLevel="1" collapsed="false">
      <c r="B112" s="77"/>
      <c r="C112" s="192"/>
      <c r="D112" s="198"/>
      <c r="E112" s="198"/>
      <c r="F112" s="206"/>
      <c r="G112" s="206"/>
      <c r="H112" s="192"/>
      <c r="I112" s="213" t="s">
        <v>92</v>
      </c>
      <c r="J112" s="161" t="n">
        <f aca="false">MAX(J108:J111)</f>
        <v>88</v>
      </c>
      <c r="K112" s="214"/>
      <c r="L112" s="206"/>
      <c r="M112" s="192"/>
      <c r="N112" s="164" t="s">
        <v>93</v>
      </c>
      <c r="O112" s="165" t="n">
        <f aca="false">SUM(O108:O111)</f>
        <v>1</v>
      </c>
      <c r="P112" s="166" t="n">
        <f aca="false">SUM(P108:P111)</f>
        <v>1</v>
      </c>
      <c r="Q112" s="165" t="n">
        <f aca="false">SUM(Q108:Q111)</f>
        <v>1</v>
      </c>
      <c r="R112" s="187" t="n">
        <f aca="false">SUM(R108:R111)</f>
        <v>1</v>
      </c>
      <c r="S112" s="215"/>
      <c r="T112" s="192"/>
      <c r="U112" s="211"/>
    </row>
    <row r="113" customFormat="false" ht="20.15" hidden="false" customHeight="true" outlineLevel="0" collapsed="false">
      <c r="B113" s="77"/>
      <c r="C113" s="192"/>
      <c r="D113" s="216"/>
      <c r="E113" s="216"/>
      <c r="F113" s="192"/>
      <c r="G113" s="192"/>
      <c r="H113" s="192"/>
      <c r="I113" s="192"/>
      <c r="J113" s="192"/>
      <c r="K113" s="192"/>
      <c r="L113" s="192"/>
      <c r="M113" s="192"/>
      <c r="N113" s="192"/>
      <c r="O113" s="192"/>
      <c r="P113" s="192"/>
      <c r="Q113" s="192"/>
      <c r="R113" s="192"/>
      <c r="S113" s="192"/>
      <c r="T113" s="192"/>
      <c r="U113" s="211"/>
    </row>
    <row r="114" customFormat="false" ht="20.15" hidden="false" customHeight="true" outlineLevel="0" collapsed="false">
      <c r="B114" s="77"/>
      <c r="D114" s="190"/>
      <c r="E114" s="190"/>
      <c r="F114" s="190"/>
      <c r="G114" s="190"/>
      <c r="H114" s="191"/>
      <c r="I114" s="190"/>
      <c r="J114" s="190"/>
      <c r="K114" s="190"/>
      <c r="L114" s="14"/>
      <c r="M114" s="14"/>
      <c r="N114" s="14"/>
      <c r="O114" s="14"/>
      <c r="P114" s="14"/>
      <c r="Q114" s="14"/>
      <c r="R114" s="14"/>
      <c r="S114" s="14"/>
      <c r="U114" s="207"/>
    </row>
    <row r="115" customFormat="false" ht="20.15" hidden="false" customHeight="true" outlineLevel="0" collapsed="false">
      <c r="B115" s="77"/>
      <c r="C115" s="217"/>
      <c r="D115" s="217"/>
      <c r="E115" s="218" t="str">
        <f aca="false">IF(OR(L86="-",L86= ""),H86,L86)</f>
        <v>Teotihuacan: Die Stadt der Götter</v>
      </c>
      <c r="F115" s="218"/>
      <c r="G115" s="218"/>
      <c r="H115" s="218"/>
      <c r="I115" s="218"/>
      <c r="J115" s="218"/>
      <c r="K115" s="218"/>
      <c r="L115" s="218"/>
      <c r="M115" s="218"/>
      <c r="N115" s="218"/>
      <c r="O115" s="219"/>
      <c r="P115" s="219"/>
      <c r="Q115" s="219"/>
      <c r="R115" s="219"/>
      <c r="S115" s="219"/>
      <c r="T115" s="217"/>
      <c r="U115" s="77"/>
    </row>
    <row r="116" customFormat="false" ht="50.15" hidden="false" customHeight="true" outlineLevel="0" collapsed="false">
      <c r="B116" s="77"/>
      <c r="C116" s="217"/>
      <c r="D116" s="219"/>
      <c r="E116" s="125" t="s">
        <v>52</v>
      </c>
      <c r="F116" s="126" t="s">
        <v>75</v>
      </c>
      <c r="G116" s="82" t="s">
        <v>76</v>
      </c>
      <c r="H116" s="81" t="s">
        <v>77</v>
      </c>
      <c r="I116" s="59" t="s">
        <v>78</v>
      </c>
      <c r="J116" s="81" t="s">
        <v>79</v>
      </c>
      <c r="K116" s="127" t="s">
        <v>80</v>
      </c>
      <c r="L116" s="81" t="s">
        <v>81</v>
      </c>
      <c r="M116" s="128" t="s">
        <v>82</v>
      </c>
      <c r="N116" s="129" t="s">
        <v>83</v>
      </c>
      <c r="O116" s="130" t="s">
        <v>84</v>
      </c>
      <c r="P116" s="131" t="s">
        <v>85</v>
      </c>
      <c r="Q116" s="131" t="s">
        <v>86</v>
      </c>
      <c r="R116" s="197" t="s">
        <v>87</v>
      </c>
      <c r="S116" s="219"/>
      <c r="T116" s="217"/>
      <c r="U116" s="77"/>
    </row>
    <row r="117" customFormat="false" ht="20.15" hidden="false" customHeight="true" outlineLevel="0" collapsed="false">
      <c r="B117" s="77"/>
      <c r="C117" s="217"/>
      <c r="D117" s="220"/>
      <c r="E117" s="199" t="s">
        <v>13</v>
      </c>
      <c r="F117" s="200" t="s">
        <v>14</v>
      </c>
      <c r="G117" s="325" t="n">
        <v>2</v>
      </c>
      <c r="H117" s="202" t="s">
        <v>66</v>
      </c>
      <c r="I117" s="201" t="n">
        <v>0</v>
      </c>
      <c r="J117" s="201" t="n">
        <v>166</v>
      </c>
      <c r="K117" s="201" t="s">
        <v>66</v>
      </c>
      <c r="L117" s="204" t="n">
        <f aca="false">IF(J117="",0,(J117/J121)*100)</f>
        <v>100</v>
      </c>
      <c r="M117" s="201" t="n">
        <v>1</v>
      </c>
      <c r="N117" s="205" t="n">
        <v>6</v>
      </c>
      <c r="O117" s="137" t="n">
        <f aca="false">IF(M117=1,1,0)</f>
        <v>1</v>
      </c>
      <c r="P117" s="138" t="n">
        <f aca="false">IF(M117=2,1,0)</f>
        <v>0</v>
      </c>
      <c r="Q117" s="138" t="n">
        <f aca="false">IF(M117=3,1,0)</f>
        <v>0</v>
      </c>
      <c r="R117" s="139" t="n">
        <f aca="false">IF(M117=4,1,0)</f>
        <v>0</v>
      </c>
      <c r="S117" s="225"/>
      <c r="T117" s="217"/>
      <c r="U117" s="77"/>
    </row>
    <row r="118" customFormat="false" ht="20.15" hidden="false" customHeight="true" outlineLevel="0" collapsed="false">
      <c r="B118" s="77"/>
      <c r="C118" s="217"/>
      <c r="D118" s="220"/>
      <c r="E118" s="105" t="s">
        <v>19</v>
      </c>
      <c r="F118" s="227" t="s">
        <v>20</v>
      </c>
      <c r="G118" s="306" t="n">
        <v>3</v>
      </c>
      <c r="H118" s="317" t="s">
        <v>66</v>
      </c>
      <c r="I118" s="228" t="n">
        <v>0</v>
      </c>
      <c r="J118" s="228" t="n">
        <v>144</v>
      </c>
      <c r="K118" s="317" t="s">
        <v>66</v>
      </c>
      <c r="L118" s="229" t="n">
        <f aca="false">IF(J118="",0,(J118/J121)*100)</f>
        <v>86.7469879518072</v>
      </c>
      <c r="M118" s="228" t="n">
        <v>2</v>
      </c>
      <c r="N118" s="230" t="n">
        <v>3</v>
      </c>
      <c r="O118" s="144" t="n">
        <f aca="false">IF(M118=1,1,0)</f>
        <v>0</v>
      </c>
      <c r="P118" s="145" t="n">
        <f aca="false">IF(M118=2,1,0)</f>
        <v>1</v>
      </c>
      <c r="Q118" s="145" t="n">
        <f aca="false">IF(M118=3,1,0)</f>
        <v>0</v>
      </c>
      <c r="R118" s="146" t="n">
        <f aca="false">IF(M118=4,1,0)</f>
        <v>0</v>
      </c>
      <c r="S118" s="225"/>
      <c r="T118" s="217"/>
      <c r="U118" s="77"/>
    </row>
    <row r="119" customFormat="false" ht="20.15" hidden="false" customHeight="true" outlineLevel="0" collapsed="false">
      <c r="B119" s="77"/>
      <c r="C119" s="217"/>
      <c r="D119" s="220"/>
      <c r="E119" s="226" t="s">
        <v>16</v>
      </c>
      <c r="F119" s="227" t="s">
        <v>17</v>
      </c>
      <c r="G119" s="306" t="n">
        <v>1</v>
      </c>
      <c r="H119" s="317" t="s">
        <v>66</v>
      </c>
      <c r="I119" s="228" t="n">
        <v>0</v>
      </c>
      <c r="J119" s="228" t="n">
        <v>135</v>
      </c>
      <c r="K119" s="228" t="s">
        <v>66</v>
      </c>
      <c r="L119" s="229" t="n">
        <f aca="false">IF(J119="",0,(J119/J121)*100)</f>
        <v>81.3253012048193</v>
      </c>
      <c r="M119" s="228" t="n">
        <v>3</v>
      </c>
      <c r="N119" s="230" t="n">
        <v>1</v>
      </c>
      <c r="O119" s="144" t="n">
        <f aca="false">IF(M119=1,1,0)</f>
        <v>0</v>
      </c>
      <c r="P119" s="145" t="n">
        <f aca="false">IF(M119=2,1,0)</f>
        <v>0</v>
      </c>
      <c r="Q119" s="145" t="n">
        <f aca="false">IF(M119=3,1,0)</f>
        <v>1</v>
      </c>
      <c r="R119" s="146" t="n">
        <f aca="false">IF(M119=4,1,0)</f>
        <v>0</v>
      </c>
      <c r="S119" s="225"/>
      <c r="T119" s="217"/>
      <c r="U119" s="77"/>
    </row>
    <row r="120" customFormat="false" ht="20.15" hidden="false" customHeight="true" outlineLevel="0" collapsed="false">
      <c r="B120" s="77"/>
      <c r="C120" s="217"/>
      <c r="D120" s="231"/>
      <c r="E120" s="295" t="s">
        <v>33</v>
      </c>
      <c r="F120" s="386" t="s">
        <v>34</v>
      </c>
      <c r="G120" s="307" t="n">
        <v>4</v>
      </c>
      <c r="H120" s="308" t="s">
        <v>66</v>
      </c>
      <c r="I120" s="234" t="n">
        <v>0</v>
      </c>
      <c r="J120" s="234" t="n">
        <v>118</v>
      </c>
      <c r="K120" s="308" t="s">
        <v>66</v>
      </c>
      <c r="L120" s="235" t="n">
        <f aca="false">IF(J120="",0,(J120/J121)*100)</f>
        <v>71.0843373493976</v>
      </c>
      <c r="M120" s="234" t="n">
        <v>4</v>
      </c>
      <c r="N120" s="236" t="n">
        <v>0</v>
      </c>
      <c r="O120" s="156" t="n">
        <f aca="false">IF(M120=1,1,0)</f>
        <v>0</v>
      </c>
      <c r="P120" s="157" t="n">
        <f aca="false">IF(M120=2,1,0)</f>
        <v>0</v>
      </c>
      <c r="Q120" s="157" t="n">
        <f aca="false">IF(M120=3,1,0)</f>
        <v>0</v>
      </c>
      <c r="R120" s="158" t="n">
        <f aca="false">IF(M120=4,1,0)</f>
        <v>1</v>
      </c>
      <c r="S120" s="225"/>
      <c r="T120" s="217"/>
      <c r="U120" s="77"/>
    </row>
    <row r="121" customFormat="false" ht="20.15" hidden="true" customHeight="true" outlineLevel="1" collapsed="false">
      <c r="B121" s="77"/>
      <c r="C121" s="217"/>
      <c r="D121" s="220"/>
      <c r="E121" s="220"/>
      <c r="F121" s="225"/>
      <c r="G121" s="225"/>
      <c r="H121" s="217"/>
      <c r="I121" s="213" t="s">
        <v>92</v>
      </c>
      <c r="J121" s="161" t="n">
        <f aca="false">MAX(J117:J120)</f>
        <v>166</v>
      </c>
      <c r="K121" s="237"/>
      <c r="L121" s="225"/>
      <c r="M121" s="217"/>
      <c r="N121" s="164" t="s">
        <v>93</v>
      </c>
      <c r="O121" s="165" t="n">
        <f aca="false">SUM(O117:O120)</f>
        <v>1</v>
      </c>
      <c r="P121" s="166" t="n">
        <f aca="false">SUM(P117:P120)</f>
        <v>1</v>
      </c>
      <c r="Q121" s="165" t="n">
        <f aca="false">SUM(Q117:Q120)</f>
        <v>1</v>
      </c>
      <c r="R121" s="187" t="n">
        <f aca="false">SUM(R117:R120)</f>
        <v>1</v>
      </c>
      <c r="S121" s="238"/>
      <c r="T121" s="217"/>
      <c r="U121" s="77"/>
    </row>
    <row r="122" customFormat="false" ht="20.15" hidden="false" customHeight="true" outlineLevel="0" collapsed="false">
      <c r="B122" s="77"/>
      <c r="C122" s="217"/>
      <c r="D122" s="239"/>
      <c r="E122" s="239"/>
      <c r="F122" s="217"/>
      <c r="G122" s="217"/>
      <c r="H122" s="217"/>
      <c r="I122" s="217"/>
      <c r="J122" s="217"/>
      <c r="K122" s="217"/>
      <c r="L122" s="217"/>
      <c r="M122" s="217"/>
      <c r="N122" s="217"/>
      <c r="O122" s="217"/>
      <c r="P122" s="217"/>
      <c r="Q122" s="217"/>
      <c r="R122" s="217"/>
      <c r="S122" s="217"/>
      <c r="T122" s="217"/>
      <c r="U122" s="77"/>
    </row>
    <row r="123" customFormat="false" ht="20.15" hidden="false" customHeight="true" outlineLevel="0" collapsed="false">
      <c r="B123" s="77"/>
      <c r="D123" s="5"/>
      <c r="E123" s="5"/>
      <c r="F123" s="5"/>
      <c r="G123" s="5"/>
      <c r="H123" s="5"/>
      <c r="I123" s="5"/>
      <c r="J123" s="5"/>
      <c r="K123" s="14"/>
      <c r="L123" s="14"/>
      <c r="M123" s="14"/>
      <c r="N123" s="14"/>
      <c r="O123" s="14"/>
      <c r="P123" s="14"/>
      <c r="Q123" s="14"/>
      <c r="R123" s="14"/>
      <c r="S123" s="14"/>
      <c r="U123" s="77"/>
    </row>
    <row r="124" customFormat="false" ht="30" hidden="false" customHeight="true" outlineLevel="0" collapsed="false">
      <c r="B124" s="77"/>
      <c r="C124" s="240"/>
      <c r="D124" s="241" t="s">
        <v>135</v>
      </c>
      <c r="E124" s="241"/>
      <c r="F124" s="241"/>
      <c r="G124" s="241"/>
      <c r="H124" s="241"/>
      <c r="I124" s="241"/>
      <c r="J124" s="241"/>
      <c r="K124" s="241"/>
      <c r="L124" s="241"/>
      <c r="M124" s="241"/>
      <c r="N124" s="241"/>
      <c r="O124" s="241"/>
      <c r="P124" s="241"/>
      <c r="Q124" s="241"/>
      <c r="R124" s="241"/>
      <c r="S124" s="241"/>
      <c r="T124" s="240"/>
      <c r="U124" s="77"/>
    </row>
    <row r="125" customFormat="false" ht="50.15" hidden="false" customHeight="true" outlineLevel="0" collapsed="false">
      <c r="B125" s="77"/>
      <c r="C125" s="240"/>
      <c r="D125" s="242" t="s">
        <v>52</v>
      </c>
      <c r="E125" s="243" t="s">
        <v>53</v>
      </c>
      <c r="F125" s="244" t="s">
        <v>83</v>
      </c>
      <c r="G125" s="245" t="s">
        <v>102</v>
      </c>
      <c r="H125" s="246" t="s">
        <v>103</v>
      </c>
      <c r="I125" s="246"/>
      <c r="J125" s="247" t="s">
        <v>104</v>
      </c>
      <c r="K125" s="248" t="s">
        <v>105</v>
      </c>
      <c r="L125" s="244" t="s">
        <v>106</v>
      </c>
      <c r="M125" s="248" t="s">
        <v>107</v>
      </c>
      <c r="N125" s="244" t="s">
        <v>108</v>
      </c>
      <c r="O125" s="249"/>
      <c r="P125" s="250"/>
      <c r="Q125" s="250"/>
      <c r="R125" s="250"/>
      <c r="S125" s="243" t="s">
        <v>109</v>
      </c>
      <c r="T125" s="240"/>
      <c r="U125" s="77"/>
    </row>
    <row r="126" customFormat="false" ht="20.15" hidden="false" customHeight="true" outlineLevel="0" collapsed="false">
      <c r="B126" s="77"/>
      <c r="C126" s="240"/>
      <c r="D126" s="251" t="s">
        <v>13</v>
      </c>
      <c r="E126" s="17" t="s">
        <v>14</v>
      </c>
      <c r="F126" s="327" t="n">
        <f aca="false">K126*6+L126*3+M126*1+N126*0</f>
        <v>13</v>
      </c>
      <c r="G126" s="328" t="n">
        <v>0</v>
      </c>
      <c r="H126" s="328" t="s">
        <v>66</v>
      </c>
      <c r="I126" s="328"/>
      <c r="J126" s="327" t="n">
        <f aca="false">F126+G126</f>
        <v>13</v>
      </c>
      <c r="K126" s="327" t="n">
        <v>2</v>
      </c>
      <c r="L126" s="327" t="n">
        <v>0</v>
      </c>
      <c r="M126" s="327" t="n">
        <v>1</v>
      </c>
      <c r="N126" s="327" t="n">
        <v>1</v>
      </c>
      <c r="O126" s="16"/>
      <c r="P126" s="328"/>
      <c r="Q126" s="328"/>
      <c r="R126" s="328"/>
      <c r="S126" s="329" t="n">
        <f aca="false">(L90+L99+L108+L117)/4</f>
        <v>85.4258241758242</v>
      </c>
      <c r="T126" s="240"/>
      <c r="U126" s="77"/>
    </row>
    <row r="127" customFormat="false" ht="20.15" hidden="false" customHeight="true" outlineLevel="0" collapsed="false">
      <c r="B127" s="77"/>
      <c r="C127" s="240"/>
      <c r="D127" s="257" t="s">
        <v>19</v>
      </c>
      <c r="E127" s="384" t="s">
        <v>20</v>
      </c>
      <c r="F127" s="330" t="n">
        <f aca="false">K127*6+L127*3+M127*1+N127*0</f>
        <v>13</v>
      </c>
      <c r="G127" s="331" t="n">
        <v>0</v>
      </c>
      <c r="H127" s="331" t="s">
        <v>66</v>
      </c>
      <c r="I127" s="331"/>
      <c r="J127" s="330" t="n">
        <f aca="false">F127+G127</f>
        <v>13</v>
      </c>
      <c r="K127" s="330" t="n">
        <v>1</v>
      </c>
      <c r="L127" s="330" t="n">
        <v>2</v>
      </c>
      <c r="M127" s="330" t="n">
        <v>1</v>
      </c>
      <c r="N127" s="330" t="n">
        <v>0</v>
      </c>
      <c r="O127" s="332"/>
      <c r="P127" s="331"/>
      <c r="Q127" s="331"/>
      <c r="R127" s="331"/>
      <c r="S127" s="333" t="n">
        <f aca="false">(L91+L100+L109+L118)/4</f>
        <v>94.1623963386012</v>
      </c>
      <c r="T127" s="240"/>
      <c r="U127" s="77"/>
      <c r="W127" s="334"/>
      <c r="X127" s="334"/>
      <c r="Y127" s="23"/>
      <c r="Z127" s="23"/>
      <c r="AA127" s="335"/>
      <c r="AB127" s="335"/>
      <c r="AC127" s="336"/>
      <c r="AD127" s="336"/>
      <c r="AE127" s="336"/>
    </row>
    <row r="128" customFormat="false" ht="20.15" hidden="false" customHeight="true" outlineLevel="0" collapsed="false">
      <c r="B128" s="77"/>
      <c r="C128" s="240"/>
      <c r="D128" s="383" t="s">
        <v>16</v>
      </c>
      <c r="E128" s="384" t="s">
        <v>17</v>
      </c>
      <c r="F128" s="330" t="n">
        <f aca="false">K128*6+L128*3+M128*1+N128*0</f>
        <v>13</v>
      </c>
      <c r="G128" s="331" t="n">
        <v>0</v>
      </c>
      <c r="H128" s="331" t="s">
        <v>66</v>
      </c>
      <c r="I128" s="331"/>
      <c r="J128" s="330" t="n">
        <f aca="false">F128+G128</f>
        <v>13</v>
      </c>
      <c r="K128" s="330" t="n">
        <v>1</v>
      </c>
      <c r="L128" s="330" t="n">
        <v>2</v>
      </c>
      <c r="M128" s="330" t="n">
        <v>1</v>
      </c>
      <c r="N128" s="330" t="n">
        <v>0</v>
      </c>
      <c r="O128" s="332"/>
      <c r="P128" s="331"/>
      <c r="Q128" s="331"/>
      <c r="R128" s="331"/>
      <c r="S128" s="333" t="n">
        <f aca="false">(L92+L101+L110+L119)/4</f>
        <v>92.6652413851209</v>
      </c>
      <c r="T128" s="240"/>
      <c r="U128" s="77"/>
    </row>
    <row r="129" customFormat="false" ht="20.15" hidden="false" customHeight="true" outlineLevel="0" collapsed="false">
      <c r="B129" s="77"/>
      <c r="C129" s="240"/>
      <c r="D129" s="337" t="s">
        <v>33</v>
      </c>
      <c r="E129" s="385" t="s">
        <v>34</v>
      </c>
      <c r="F129" s="338" t="n">
        <f aca="false">K129*6+L129*3+M129*1+N129*0</f>
        <v>1</v>
      </c>
      <c r="G129" s="339" t="n">
        <v>0</v>
      </c>
      <c r="H129" s="339" t="s">
        <v>66</v>
      </c>
      <c r="I129" s="339"/>
      <c r="J129" s="338" t="n">
        <f aca="false">F129+G129</f>
        <v>1</v>
      </c>
      <c r="K129" s="338" t="n">
        <v>0</v>
      </c>
      <c r="L129" s="338" t="n">
        <v>0</v>
      </c>
      <c r="M129" s="338" t="n">
        <v>1</v>
      </c>
      <c r="N129" s="338" t="n">
        <v>3</v>
      </c>
      <c r="O129" s="340"/>
      <c r="P129" s="339"/>
      <c r="Q129" s="339"/>
      <c r="R129" s="339"/>
      <c r="S129" s="341" t="n">
        <f aca="false">(L93+L102+L111+L120)/4</f>
        <v>79.7640913303564</v>
      </c>
      <c r="T129" s="240"/>
      <c r="U129" s="77"/>
    </row>
    <row r="130" customFormat="false" ht="20.15" hidden="false" customHeight="true" outlineLevel="0" collapsed="false">
      <c r="B130" s="77"/>
      <c r="C130" s="240"/>
      <c r="D130" s="240"/>
      <c r="E130" s="240"/>
      <c r="F130" s="401"/>
      <c r="G130" s="401"/>
      <c r="H130" s="401"/>
      <c r="I130" s="401"/>
      <c r="J130" s="401"/>
      <c r="K130" s="401"/>
      <c r="L130" s="401"/>
      <c r="M130" s="401"/>
      <c r="N130" s="401"/>
      <c r="O130" s="401"/>
      <c r="P130" s="401"/>
      <c r="Q130" s="401"/>
      <c r="R130" s="401"/>
      <c r="S130" s="401"/>
      <c r="T130" s="240"/>
      <c r="U130" s="77"/>
    </row>
    <row r="131" customFormat="false" ht="20.15" hidden="false" customHeight="true" outlineLevel="0" collapsed="false">
      <c r="B131" s="77"/>
      <c r="C131" s="77"/>
      <c r="D131" s="270"/>
      <c r="E131" s="270"/>
      <c r="F131" s="195"/>
      <c r="G131" s="195"/>
      <c r="H131" s="270"/>
      <c r="I131" s="270"/>
      <c r="J131" s="270"/>
      <c r="K131" s="207"/>
      <c r="L131" s="207"/>
      <c r="M131" s="207"/>
      <c r="N131" s="207"/>
      <c r="O131" s="207"/>
      <c r="P131" s="207"/>
      <c r="Q131" s="207"/>
      <c r="R131" s="207"/>
      <c r="S131" s="207"/>
      <c r="T131" s="77"/>
      <c r="U131" s="77"/>
    </row>
    <row r="132" customFormat="false" ht="20.15" hidden="false" customHeight="true" outlineLevel="0" collapsed="false"/>
    <row r="133" customFormat="false" ht="20.15" hidden="false" customHeight="true" outlineLevel="0" collapsed="false"/>
    <row r="134" customFormat="false" ht="20.15" hidden="false" customHeight="true" outlineLevel="0" collapsed="false">
      <c r="B134" s="77"/>
      <c r="C134" s="77"/>
      <c r="D134" s="78"/>
      <c r="E134" s="78"/>
      <c r="F134" s="78"/>
      <c r="G134" s="78"/>
      <c r="H134" s="77"/>
      <c r="I134" s="77"/>
      <c r="J134" s="77"/>
      <c r="K134" s="77"/>
      <c r="L134" s="77"/>
      <c r="M134" s="77"/>
      <c r="N134" s="77"/>
      <c r="O134" s="77"/>
      <c r="P134" s="77"/>
      <c r="Q134" s="77"/>
      <c r="R134" s="77"/>
      <c r="S134" s="77"/>
      <c r="T134" s="77"/>
      <c r="U134" s="77"/>
    </row>
    <row r="135" customFormat="false" ht="30" hidden="false" customHeight="true" outlineLevel="0" collapsed="false">
      <c r="B135" s="77"/>
      <c r="C135" s="79" t="s">
        <v>183</v>
      </c>
      <c r="D135" s="79"/>
      <c r="E135" s="79"/>
      <c r="F135" s="79"/>
      <c r="G135" s="79"/>
      <c r="H135" s="79"/>
      <c r="I135" s="79"/>
      <c r="J135" s="79"/>
      <c r="K135" s="79"/>
      <c r="L135" s="79"/>
      <c r="M135" s="79"/>
      <c r="N135" s="79"/>
      <c r="O135" s="79"/>
      <c r="P135" s="79"/>
      <c r="Q135" s="79"/>
      <c r="R135" s="79"/>
      <c r="S135" s="79"/>
      <c r="T135" s="79"/>
      <c r="U135" s="77"/>
    </row>
    <row r="136" customFormat="false" ht="20.15" hidden="false" customHeight="true" outlineLevel="0" collapsed="false">
      <c r="B136" s="77"/>
      <c r="D136" s="121"/>
      <c r="E136" s="121"/>
      <c r="U136" s="77"/>
    </row>
    <row r="137" customFormat="false" ht="20.15" hidden="false" customHeight="true" outlineLevel="0" collapsed="false">
      <c r="B137" s="77"/>
      <c r="D137" s="80" t="s">
        <v>52</v>
      </c>
      <c r="E137" s="81" t="s">
        <v>111</v>
      </c>
      <c r="F137" s="82" t="s">
        <v>12</v>
      </c>
      <c r="G137" s="275" t="s">
        <v>54</v>
      </c>
      <c r="H137" s="275"/>
      <c r="I137" s="275"/>
      <c r="J137" s="275"/>
      <c r="K137" s="81" t="s">
        <v>55</v>
      </c>
      <c r="L137" s="83" t="s">
        <v>56</v>
      </c>
      <c r="M137" s="83"/>
      <c r="N137" s="83"/>
      <c r="O137" s="83"/>
      <c r="P137" s="83"/>
      <c r="Q137" s="83"/>
      <c r="R137" s="83"/>
      <c r="S137" s="83"/>
      <c r="U137" s="77"/>
    </row>
    <row r="138" customFormat="false" ht="20.15" hidden="false" customHeight="true" outlineLevel="0" collapsed="false">
      <c r="B138" s="77"/>
      <c r="D138" s="80"/>
      <c r="E138" s="81"/>
      <c r="F138" s="81"/>
      <c r="G138" s="85" t="s">
        <v>57</v>
      </c>
      <c r="H138" s="84" t="s">
        <v>58</v>
      </c>
      <c r="I138" s="82" t="s">
        <v>59</v>
      </c>
      <c r="J138" s="82"/>
      <c r="K138" s="84" t="s">
        <v>60</v>
      </c>
      <c r="L138" s="276" t="s">
        <v>57</v>
      </c>
      <c r="M138" s="277" t="s">
        <v>61</v>
      </c>
      <c r="N138" s="82" t="s">
        <v>59</v>
      </c>
      <c r="O138" s="82"/>
      <c r="P138" s="82"/>
      <c r="Q138" s="82"/>
      <c r="R138" s="82"/>
      <c r="S138" s="82"/>
      <c r="U138" s="77"/>
    </row>
    <row r="139" customFormat="false" ht="35.15" hidden="false" customHeight="true" outlineLevel="0" collapsed="false">
      <c r="B139" s="77"/>
      <c r="D139" s="367" t="s">
        <v>21</v>
      </c>
      <c r="E139" s="372" t="s">
        <v>22</v>
      </c>
      <c r="F139" s="343" t="n">
        <v>1</v>
      </c>
      <c r="G139" s="344" t="s">
        <v>67</v>
      </c>
      <c r="H139" s="281" t="s">
        <v>246</v>
      </c>
      <c r="I139" s="91" t="s">
        <v>417</v>
      </c>
      <c r="J139" s="91"/>
      <c r="K139" s="345" t="s">
        <v>65</v>
      </c>
      <c r="L139" s="442" t="s">
        <v>66</v>
      </c>
      <c r="M139" s="443" t="s">
        <v>66</v>
      </c>
      <c r="N139" s="444" t="s">
        <v>66</v>
      </c>
      <c r="O139" s="444"/>
      <c r="P139" s="444"/>
      <c r="Q139" s="444"/>
      <c r="R139" s="444"/>
      <c r="S139" s="444"/>
      <c r="U139" s="77"/>
    </row>
    <row r="140" customFormat="false" ht="20.15" hidden="false" customHeight="true" outlineLevel="0" collapsed="false">
      <c r="B140" s="77"/>
      <c r="D140" s="209" t="s">
        <v>360</v>
      </c>
      <c r="E140" s="312" t="s">
        <v>361</v>
      </c>
      <c r="F140" s="346" t="n">
        <v>2</v>
      </c>
      <c r="G140" s="347" t="s">
        <v>67</v>
      </c>
      <c r="H140" s="99" t="s">
        <v>398</v>
      </c>
      <c r="I140" s="100" t="s">
        <v>418</v>
      </c>
      <c r="J140" s="100"/>
      <c r="K140" s="348" t="s">
        <v>65</v>
      </c>
      <c r="L140" s="110" t="s">
        <v>66</v>
      </c>
      <c r="M140" s="111" t="s">
        <v>66</v>
      </c>
      <c r="N140" s="445" t="s">
        <v>66</v>
      </c>
      <c r="O140" s="445"/>
      <c r="P140" s="445"/>
      <c r="Q140" s="445"/>
      <c r="R140" s="445"/>
      <c r="S140" s="445"/>
      <c r="U140" s="77"/>
    </row>
    <row r="141" customFormat="false" ht="35.15" hidden="false" customHeight="true" outlineLevel="0" collapsed="false">
      <c r="B141" s="77"/>
      <c r="D141" s="182" t="s">
        <v>49</v>
      </c>
      <c r="E141" s="410" t="s">
        <v>50</v>
      </c>
      <c r="F141" s="350" t="n">
        <v>3</v>
      </c>
      <c r="G141" s="446" t="s">
        <v>67</v>
      </c>
      <c r="H141" s="393" t="s">
        <v>329</v>
      </c>
      <c r="I141" s="394" t="s">
        <v>330</v>
      </c>
      <c r="J141" s="394"/>
      <c r="K141" s="395" t="s">
        <v>65</v>
      </c>
      <c r="L141" s="118" t="s">
        <v>66</v>
      </c>
      <c r="M141" s="119" t="s">
        <v>66</v>
      </c>
      <c r="N141" s="447" t="s">
        <v>66</v>
      </c>
      <c r="O141" s="447"/>
      <c r="P141" s="447"/>
      <c r="Q141" s="447"/>
      <c r="R141" s="447"/>
      <c r="S141" s="447"/>
      <c r="U141" s="77"/>
    </row>
    <row r="142" customFormat="false" ht="20.15" hidden="false" customHeight="true" outlineLevel="0" collapsed="false">
      <c r="B142" s="77"/>
      <c r="D142" s="121"/>
      <c r="E142" s="121"/>
      <c r="U142" s="77"/>
    </row>
    <row r="143" customFormat="false" ht="20.15" hidden="false" customHeight="true" outlineLevel="0" collapsed="false">
      <c r="B143" s="77"/>
      <c r="C143" s="122"/>
      <c r="D143" s="122"/>
      <c r="E143" s="123" t="str">
        <f aca="false">IF(OR(M139="-",M139= ""),H139,M139)</f>
        <v>Carnegie</v>
      </c>
      <c r="F143" s="123"/>
      <c r="G143" s="123"/>
      <c r="H143" s="123"/>
      <c r="I143" s="123"/>
      <c r="J143" s="123"/>
      <c r="K143" s="123"/>
      <c r="L143" s="123"/>
      <c r="M143" s="123"/>
      <c r="N143" s="123"/>
      <c r="O143" s="124"/>
      <c r="P143" s="124"/>
      <c r="Q143" s="124"/>
      <c r="R143" s="124"/>
      <c r="S143" s="124"/>
      <c r="T143" s="122"/>
      <c r="U143" s="77"/>
    </row>
    <row r="144" customFormat="false" ht="50.15" hidden="false" customHeight="true" outlineLevel="0" collapsed="false">
      <c r="B144" s="77"/>
      <c r="C144" s="122"/>
      <c r="D144" s="124"/>
      <c r="E144" s="521" t="s">
        <v>52</v>
      </c>
      <c r="F144" s="522" t="s">
        <v>75</v>
      </c>
      <c r="G144" s="523" t="s">
        <v>76</v>
      </c>
      <c r="H144" s="524" t="s">
        <v>77</v>
      </c>
      <c r="I144" s="525" t="s">
        <v>78</v>
      </c>
      <c r="J144" s="524" t="s">
        <v>79</v>
      </c>
      <c r="K144" s="526" t="s">
        <v>80</v>
      </c>
      <c r="L144" s="524" t="s">
        <v>81</v>
      </c>
      <c r="M144" s="527" t="s">
        <v>82</v>
      </c>
      <c r="N144" s="528" t="s">
        <v>83</v>
      </c>
      <c r="O144" s="130" t="s">
        <v>84</v>
      </c>
      <c r="P144" s="131" t="s">
        <v>85</v>
      </c>
      <c r="Q144" s="131" t="s">
        <v>86</v>
      </c>
      <c r="R144" s="124"/>
      <c r="S144" s="124"/>
      <c r="T144" s="122"/>
      <c r="U144" s="77"/>
    </row>
    <row r="145" customFormat="false" ht="20.15" hidden="false" customHeight="true" outlineLevel="0" collapsed="false">
      <c r="B145" s="77"/>
      <c r="C145" s="122"/>
      <c r="D145" s="152"/>
      <c r="E145" s="416" t="s">
        <v>21</v>
      </c>
      <c r="F145" s="380" t="s">
        <v>22</v>
      </c>
      <c r="G145" s="325" t="n">
        <v>1</v>
      </c>
      <c r="H145" s="202" t="s">
        <v>66</v>
      </c>
      <c r="I145" s="201" t="n">
        <v>0</v>
      </c>
      <c r="J145" s="202" t="n">
        <v>134</v>
      </c>
      <c r="K145" s="202" t="s">
        <v>66</v>
      </c>
      <c r="L145" s="204" t="n">
        <f aca="false">IF(J145="",0,(J145/J148)*100)</f>
        <v>100</v>
      </c>
      <c r="M145" s="201" t="n">
        <v>1</v>
      </c>
      <c r="N145" s="205" t="n">
        <v>6</v>
      </c>
      <c r="O145" s="138" t="n">
        <f aca="false">IF(M145=1,1,0)</f>
        <v>1</v>
      </c>
      <c r="P145" s="138" t="n">
        <f aca="false">IF(M145=2,1,0)</f>
        <v>0</v>
      </c>
      <c r="Q145" s="139" t="n">
        <f aca="false">IF(M145=3,1,0)</f>
        <v>0</v>
      </c>
      <c r="R145" s="140"/>
      <c r="S145" s="140"/>
      <c r="T145" s="122"/>
      <c r="U145" s="77"/>
    </row>
    <row r="146" customFormat="false" ht="20.15" hidden="false" customHeight="true" outlineLevel="0" collapsed="false">
      <c r="B146" s="77"/>
      <c r="C146" s="122"/>
      <c r="D146" s="132"/>
      <c r="E146" s="226" t="s">
        <v>360</v>
      </c>
      <c r="F146" s="290" t="s">
        <v>361</v>
      </c>
      <c r="G146" s="306" t="n">
        <v>2</v>
      </c>
      <c r="H146" s="317" t="s">
        <v>66</v>
      </c>
      <c r="I146" s="228" t="n">
        <v>0</v>
      </c>
      <c r="J146" s="317" t="n">
        <v>105</v>
      </c>
      <c r="K146" s="317" t="s">
        <v>66</v>
      </c>
      <c r="L146" s="229" t="n">
        <f aca="false">IF(J146="",0,(J146/J148)*100)</f>
        <v>78.3582089552239</v>
      </c>
      <c r="M146" s="228" t="n">
        <v>3</v>
      </c>
      <c r="N146" s="230" t="n">
        <v>0</v>
      </c>
      <c r="O146" s="145" t="n">
        <f aca="false">IF(M146=1,1,0)</f>
        <v>0</v>
      </c>
      <c r="P146" s="145" t="n">
        <f aca="false">IF(M146=2,1,0)</f>
        <v>0</v>
      </c>
      <c r="Q146" s="146" t="n">
        <f aca="false">IF(M146=3,1,0)</f>
        <v>1</v>
      </c>
      <c r="R146" s="140"/>
      <c r="S146" s="140"/>
      <c r="T146" s="122"/>
      <c r="U146" s="77"/>
    </row>
    <row r="147" customFormat="false" ht="20.15" hidden="false" customHeight="true" outlineLevel="0" collapsed="false">
      <c r="B147" s="77"/>
      <c r="C147" s="122"/>
      <c r="D147" s="132"/>
      <c r="E147" s="232" t="s">
        <v>49</v>
      </c>
      <c r="F147" s="386" t="s">
        <v>50</v>
      </c>
      <c r="G147" s="307" t="n">
        <v>3</v>
      </c>
      <c r="H147" s="308" t="s">
        <v>66</v>
      </c>
      <c r="I147" s="234" t="n">
        <v>0</v>
      </c>
      <c r="J147" s="308" t="n">
        <v>121</v>
      </c>
      <c r="K147" s="308" t="s">
        <v>66</v>
      </c>
      <c r="L147" s="235" t="n">
        <f aca="false">IF(J147="",0,(J147/J148)*100)</f>
        <v>90.2985074626866</v>
      </c>
      <c r="M147" s="234" t="n">
        <v>2</v>
      </c>
      <c r="N147" s="236" t="n">
        <v>3</v>
      </c>
      <c r="O147" s="157" t="n">
        <f aca="false">IF(M147=1,1,0)</f>
        <v>0</v>
      </c>
      <c r="P147" s="157" t="n">
        <f aca="false">IF(M147=2,1,0)</f>
        <v>1</v>
      </c>
      <c r="Q147" s="158" t="n">
        <f aca="false">IF(M147=3,1,0)</f>
        <v>0</v>
      </c>
      <c r="R147" s="140"/>
      <c r="S147" s="140"/>
      <c r="T147" s="122"/>
      <c r="U147" s="77"/>
    </row>
    <row r="148" customFormat="false" ht="20.15" hidden="true" customHeight="true" outlineLevel="1" collapsed="false">
      <c r="B148" s="77"/>
      <c r="C148" s="122"/>
      <c r="D148" s="152"/>
      <c r="E148" s="152"/>
      <c r="F148" s="140"/>
      <c r="G148" s="140"/>
      <c r="H148" s="122"/>
      <c r="I148" s="213" t="s">
        <v>92</v>
      </c>
      <c r="J148" s="161" t="n">
        <f aca="false">MAX(J145:J147)</f>
        <v>134</v>
      </c>
      <c r="K148" s="309"/>
      <c r="L148" s="167"/>
      <c r="M148" s="122"/>
      <c r="N148" s="164" t="s">
        <v>93</v>
      </c>
      <c r="O148" s="165" t="n">
        <f aca="false">SUM(O145:O147)</f>
        <v>1</v>
      </c>
      <c r="P148" s="166" t="n">
        <f aca="false">SUM(P145:P147)</f>
        <v>1</v>
      </c>
      <c r="Q148" s="165" t="n">
        <f aca="false">SUM(Q145:Q147)</f>
        <v>1</v>
      </c>
      <c r="R148" s="167"/>
      <c r="S148" s="167"/>
      <c r="T148" s="122"/>
      <c r="U148" s="77"/>
    </row>
    <row r="149" customFormat="false" ht="20.15" hidden="false" customHeight="true" outlineLevel="0" collapsed="false">
      <c r="B149" s="77"/>
      <c r="C149" s="122"/>
      <c r="D149" s="168"/>
      <c r="E149" s="168"/>
      <c r="F149" s="122"/>
      <c r="G149" s="122"/>
      <c r="H149" s="122"/>
      <c r="I149" s="122"/>
      <c r="J149" s="122"/>
      <c r="K149" s="122"/>
      <c r="L149" s="122"/>
      <c r="M149" s="122"/>
      <c r="N149" s="122"/>
      <c r="O149" s="122"/>
      <c r="P149" s="122"/>
      <c r="Q149" s="122"/>
      <c r="R149" s="122"/>
      <c r="S149" s="122"/>
      <c r="T149" s="122"/>
      <c r="U149" s="77"/>
    </row>
    <row r="150" customFormat="false" ht="20.15" hidden="false" customHeight="true" outlineLevel="0" collapsed="false">
      <c r="B150" s="77"/>
      <c r="U150" s="77"/>
    </row>
    <row r="151" customFormat="false" ht="20.15" hidden="false" customHeight="true" outlineLevel="0" collapsed="false">
      <c r="B151" s="77"/>
      <c r="C151" s="170"/>
      <c r="D151" s="170"/>
      <c r="E151" s="171" t="str">
        <f aca="false">IF(OR(L140="-",L140= ""),H140,L140)</f>
        <v>Im Jahr des Drachen</v>
      </c>
      <c r="F151" s="171"/>
      <c r="G151" s="171"/>
      <c r="H151" s="171"/>
      <c r="I151" s="171"/>
      <c r="J151" s="171"/>
      <c r="K151" s="171"/>
      <c r="L151" s="171"/>
      <c r="M151" s="171"/>
      <c r="N151" s="171"/>
      <c r="O151" s="172"/>
      <c r="P151" s="172"/>
      <c r="Q151" s="172"/>
      <c r="R151" s="172"/>
      <c r="S151" s="172"/>
      <c r="T151" s="170"/>
      <c r="U151" s="77"/>
    </row>
    <row r="152" customFormat="false" ht="50.15" hidden="false" customHeight="true" outlineLevel="0" collapsed="false">
      <c r="B152" s="77"/>
      <c r="C152" s="170"/>
      <c r="D152" s="172"/>
      <c r="E152" s="521" t="s">
        <v>52</v>
      </c>
      <c r="F152" s="522" t="s">
        <v>75</v>
      </c>
      <c r="G152" s="523" t="s">
        <v>76</v>
      </c>
      <c r="H152" s="524" t="s">
        <v>77</v>
      </c>
      <c r="I152" s="525" t="s">
        <v>78</v>
      </c>
      <c r="J152" s="524" t="s">
        <v>79</v>
      </c>
      <c r="K152" s="526" t="s">
        <v>80</v>
      </c>
      <c r="L152" s="524" t="s">
        <v>81</v>
      </c>
      <c r="M152" s="527" t="s">
        <v>82</v>
      </c>
      <c r="N152" s="528" t="s">
        <v>83</v>
      </c>
      <c r="O152" s="130" t="s">
        <v>84</v>
      </c>
      <c r="P152" s="131" t="s">
        <v>85</v>
      </c>
      <c r="Q152" s="131" t="s">
        <v>86</v>
      </c>
      <c r="R152" s="172"/>
      <c r="S152" s="172"/>
      <c r="T152" s="170"/>
      <c r="U152" s="77"/>
    </row>
    <row r="153" customFormat="false" ht="20.15" hidden="false" customHeight="true" outlineLevel="0" collapsed="false">
      <c r="B153" s="77"/>
      <c r="C153" s="170"/>
      <c r="D153" s="177"/>
      <c r="E153" s="388" t="s">
        <v>21</v>
      </c>
      <c r="F153" s="382" t="s">
        <v>22</v>
      </c>
      <c r="G153" s="304" t="n">
        <v>2</v>
      </c>
      <c r="H153" s="221" t="s">
        <v>66</v>
      </c>
      <c r="I153" s="221" t="n">
        <v>0</v>
      </c>
      <c r="J153" s="221" t="n">
        <v>86</v>
      </c>
      <c r="K153" s="221" t="s">
        <v>66</v>
      </c>
      <c r="L153" s="223" t="n">
        <f aca="false">IF(J153="",0,(J153/J156)*100)</f>
        <v>85.1485148514852</v>
      </c>
      <c r="M153" s="221" t="n">
        <v>3</v>
      </c>
      <c r="N153" s="224" t="n">
        <v>0</v>
      </c>
      <c r="O153" s="138" t="n">
        <f aca="false">IF(M153=1,1,0)</f>
        <v>0</v>
      </c>
      <c r="P153" s="138" t="n">
        <f aca="false">IF(M153=2,1,0)</f>
        <v>0</v>
      </c>
      <c r="Q153" s="139" t="n">
        <f aca="false">IF(M153=3,1,0)</f>
        <v>1</v>
      </c>
      <c r="R153" s="176"/>
      <c r="S153" s="176"/>
      <c r="T153" s="170"/>
      <c r="U153" s="77"/>
    </row>
    <row r="154" customFormat="false" ht="20.15" hidden="false" customHeight="true" outlineLevel="0" collapsed="false">
      <c r="B154" s="77"/>
      <c r="C154" s="170"/>
      <c r="D154" s="173"/>
      <c r="E154" s="226" t="s">
        <v>360</v>
      </c>
      <c r="F154" s="290" t="s">
        <v>361</v>
      </c>
      <c r="G154" s="306" t="n">
        <v>1</v>
      </c>
      <c r="H154" s="228" t="s">
        <v>66</v>
      </c>
      <c r="I154" s="228" t="n">
        <v>0</v>
      </c>
      <c r="J154" s="228" t="n">
        <v>98</v>
      </c>
      <c r="K154" s="317" t="s">
        <v>66</v>
      </c>
      <c r="L154" s="229" t="n">
        <f aca="false">IF(J154="",0,(J154/J156)*100)</f>
        <v>97.029702970297</v>
      </c>
      <c r="M154" s="228" t="n">
        <v>2</v>
      </c>
      <c r="N154" s="230" t="n">
        <v>3</v>
      </c>
      <c r="O154" s="145" t="n">
        <f aca="false">IF(M154=1,1,0)</f>
        <v>0</v>
      </c>
      <c r="P154" s="145" t="n">
        <f aca="false">IF(M154=2,1,0)</f>
        <v>1</v>
      </c>
      <c r="Q154" s="146" t="n">
        <f aca="false">IF(M154=3,1,0)</f>
        <v>0</v>
      </c>
      <c r="R154" s="176"/>
      <c r="S154" s="176"/>
      <c r="T154" s="170"/>
      <c r="U154" s="77"/>
    </row>
    <row r="155" customFormat="false" ht="20.15" hidden="false" customHeight="true" outlineLevel="0" collapsed="false">
      <c r="B155" s="77"/>
      <c r="C155" s="170"/>
      <c r="D155" s="177"/>
      <c r="E155" s="439" t="s">
        <v>49</v>
      </c>
      <c r="F155" s="391" t="s">
        <v>50</v>
      </c>
      <c r="G155" s="320" t="n">
        <v>3</v>
      </c>
      <c r="H155" s="322" t="s">
        <v>66</v>
      </c>
      <c r="I155" s="322" t="n">
        <v>0</v>
      </c>
      <c r="J155" s="322" t="n">
        <v>101</v>
      </c>
      <c r="K155" s="322" t="s">
        <v>66</v>
      </c>
      <c r="L155" s="323" t="n">
        <f aca="false">IF(J155="",0,(J155/J156)*100)</f>
        <v>100</v>
      </c>
      <c r="M155" s="322" t="n">
        <v>1</v>
      </c>
      <c r="N155" s="324" t="n">
        <v>6</v>
      </c>
      <c r="O155" s="157" t="n">
        <f aca="false">IF(M155=1,1,0)</f>
        <v>1</v>
      </c>
      <c r="P155" s="157" t="n">
        <f aca="false">IF(M155=2,1,0)</f>
        <v>0</v>
      </c>
      <c r="Q155" s="158" t="n">
        <f aca="false">IF(M155=3,1,0)</f>
        <v>0</v>
      </c>
      <c r="R155" s="176"/>
      <c r="S155" s="176"/>
      <c r="T155" s="170"/>
      <c r="U155" s="77"/>
    </row>
    <row r="156" customFormat="false" ht="20.15" hidden="true" customHeight="true" outlineLevel="1" collapsed="false">
      <c r="B156" s="77"/>
      <c r="C156" s="170"/>
      <c r="D156" s="173"/>
      <c r="E156" s="173"/>
      <c r="F156" s="172"/>
      <c r="G156" s="172"/>
      <c r="H156" s="170"/>
      <c r="I156" s="213" t="s">
        <v>92</v>
      </c>
      <c r="J156" s="161" t="n">
        <f aca="false">MAX(J153:J155)</f>
        <v>101</v>
      </c>
      <c r="K156" s="186"/>
      <c r="L156" s="176"/>
      <c r="M156" s="170"/>
      <c r="N156" s="164" t="s">
        <v>93</v>
      </c>
      <c r="O156" s="165" t="n">
        <f aca="false">SUM(O153:O155)</f>
        <v>1</v>
      </c>
      <c r="P156" s="166" t="n">
        <f aca="false">SUM(P153:P155)</f>
        <v>1</v>
      </c>
      <c r="Q156" s="165" t="n">
        <f aca="false">SUM(Q153:Q155)</f>
        <v>1</v>
      </c>
      <c r="R156" s="188"/>
      <c r="S156" s="188"/>
      <c r="T156" s="170"/>
      <c r="U156" s="77"/>
    </row>
    <row r="157" customFormat="false" ht="20.15" hidden="false" customHeight="true" outlineLevel="0" collapsed="false">
      <c r="B157" s="77"/>
      <c r="C157" s="170"/>
      <c r="D157" s="189"/>
      <c r="E157" s="189"/>
      <c r="F157" s="170"/>
      <c r="G157" s="170"/>
      <c r="H157" s="170"/>
      <c r="I157" s="170"/>
      <c r="J157" s="170"/>
      <c r="K157" s="170"/>
      <c r="L157" s="170"/>
      <c r="M157" s="170"/>
      <c r="N157" s="170"/>
      <c r="O157" s="170"/>
      <c r="P157" s="170"/>
      <c r="Q157" s="170"/>
      <c r="R157" s="170"/>
      <c r="S157" s="170"/>
      <c r="T157" s="170"/>
      <c r="U157" s="77"/>
    </row>
    <row r="158" customFormat="false" ht="20.15" hidden="false" customHeight="true" outlineLevel="0" collapsed="false">
      <c r="B158" s="77"/>
      <c r="D158" s="190"/>
      <c r="E158" s="190"/>
      <c r="F158" s="190"/>
      <c r="G158" s="190"/>
      <c r="H158" s="191"/>
      <c r="I158" s="190"/>
      <c r="J158" s="190"/>
      <c r="K158" s="14"/>
      <c r="L158" s="14"/>
      <c r="M158" s="14"/>
      <c r="N158" s="14"/>
      <c r="O158" s="14"/>
      <c r="P158" s="14"/>
      <c r="Q158" s="14"/>
      <c r="R158" s="14"/>
      <c r="S158" s="14"/>
      <c r="U158" s="77"/>
    </row>
    <row r="159" customFormat="false" ht="20.15" hidden="false" customHeight="true" outlineLevel="0" collapsed="false">
      <c r="B159" s="77"/>
      <c r="C159" s="192"/>
      <c r="D159" s="192"/>
      <c r="E159" s="193" t="str">
        <f aca="false">IF(OR(L141="-",L141= ""),H141,L141)</f>
        <v>Tzolk'in</v>
      </c>
      <c r="F159" s="193"/>
      <c r="G159" s="193"/>
      <c r="H159" s="193"/>
      <c r="I159" s="193"/>
      <c r="J159" s="193"/>
      <c r="K159" s="193"/>
      <c r="L159" s="193"/>
      <c r="M159" s="193"/>
      <c r="N159" s="193"/>
      <c r="O159" s="194"/>
      <c r="P159" s="194"/>
      <c r="Q159" s="194"/>
      <c r="R159" s="194"/>
      <c r="S159" s="194"/>
      <c r="T159" s="192"/>
      <c r="U159" s="195"/>
    </row>
    <row r="160" customFormat="false" ht="50.15" hidden="false" customHeight="true" outlineLevel="0" collapsed="false">
      <c r="B160" s="77"/>
      <c r="C160" s="192"/>
      <c r="D160" s="194"/>
      <c r="E160" s="521" t="s">
        <v>52</v>
      </c>
      <c r="F160" s="522" t="s">
        <v>75</v>
      </c>
      <c r="G160" s="523" t="s">
        <v>76</v>
      </c>
      <c r="H160" s="524" t="s">
        <v>77</v>
      </c>
      <c r="I160" s="525" t="s">
        <v>78</v>
      </c>
      <c r="J160" s="524" t="s">
        <v>79</v>
      </c>
      <c r="K160" s="526" t="s">
        <v>80</v>
      </c>
      <c r="L160" s="524" t="s">
        <v>81</v>
      </c>
      <c r="M160" s="527" t="s">
        <v>82</v>
      </c>
      <c r="N160" s="528" t="s">
        <v>83</v>
      </c>
      <c r="O160" s="130" t="s">
        <v>84</v>
      </c>
      <c r="P160" s="131" t="s">
        <v>85</v>
      </c>
      <c r="Q160" s="131" t="s">
        <v>86</v>
      </c>
      <c r="R160" s="194"/>
      <c r="S160" s="194"/>
      <c r="T160" s="192"/>
      <c r="U160" s="195"/>
    </row>
    <row r="161" customFormat="false" ht="20.15" hidden="false" customHeight="true" outlineLevel="0" collapsed="false">
      <c r="B161" s="77"/>
      <c r="C161" s="192"/>
      <c r="D161" s="208"/>
      <c r="E161" s="388" t="s">
        <v>21</v>
      </c>
      <c r="F161" s="382" t="s">
        <v>22</v>
      </c>
      <c r="G161" s="304" t="n">
        <v>1</v>
      </c>
      <c r="H161" s="222" t="s">
        <v>66</v>
      </c>
      <c r="I161" s="221" t="n">
        <v>0</v>
      </c>
      <c r="J161" s="222" t="n">
        <v>47</v>
      </c>
      <c r="K161" s="222" t="s">
        <v>66</v>
      </c>
      <c r="L161" s="223" t="n">
        <f aca="false">IF(J161="",0,(J161/J164)*100)</f>
        <v>39.8305084745763</v>
      </c>
      <c r="M161" s="221" t="n">
        <v>3</v>
      </c>
      <c r="N161" s="224" t="n">
        <v>0</v>
      </c>
      <c r="O161" s="138" t="n">
        <f aca="false">IF(M161=1,1,0)</f>
        <v>0</v>
      </c>
      <c r="P161" s="138" t="n">
        <f aca="false">IF(M161=2,1,0)</f>
        <v>0</v>
      </c>
      <c r="Q161" s="139" t="n">
        <f aca="false">IF(M161=3,1,0)</f>
        <v>1</v>
      </c>
      <c r="R161" s="206"/>
      <c r="S161" s="206"/>
      <c r="T161" s="192"/>
      <c r="U161" s="207"/>
    </row>
    <row r="162" customFormat="false" ht="20.15" hidden="false" customHeight="true" outlineLevel="0" collapsed="false">
      <c r="B162" s="77"/>
      <c r="C162" s="192"/>
      <c r="D162" s="198"/>
      <c r="E162" s="226" t="s">
        <v>360</v>
      </c>
      <c r="F162" s="290" t="s">
        <v>361</v>
      </c>
      <c r="G162" s="306" t="n">
        <v>3</v>
      </c>
      <c r="H162" s="317" t="s">
        <v>66</v>
      </c>
      <c r="I162" s="228" t="n">
        <v>0</v>
      </c>
      <c r="J162" s="317" t="n">
        <v>82</v>
      </c>
      <c r="K162" s="317" t="s">
        <v>66</v>
      </c>
      <c r="L162" s="229" t="n">
        <f aca="false">IF(J162="",0,(J162/J164)*100)</f>
        <v>69.4915254237288</v>
      </c>
      <c r="M162" s="228" t="n">
        <v>2</v>
      </c>
      <c r="N162" s="230" t="n">
        <v>3</v>
      </c>
      <c r="O162" s="145" t="n">
        <f aca="false">IF(M162=1,1,0)</f>
        <v>0</v>
      </c>
      <c r="P162" s="145" t="n">
        <f aca="false">IF(M162=2,1,0)</f>
        <v>1</v>
      </c>
      <c r="Q162" s="146" t="n">
        <f aca="false">IF(M162=3,1,0)</f>
        <v>0</v>
      </c>
      <c r="R162" s="206"/>
      <c r="S162" s="206"/>
      <c r="T162" s="192"/>
      <c r="U162" s="211"/>
    </row>
    <row r="163" customFormat="false" ht="20.15" hidden="false" customHeight="true" outlineLevel="0" collapsed="false">
      <c r="B163" s="77"/>
      <c r="C163" s="192"/>
      <c r="D163" s="198"/>
      <c r="E163" s="439" t="s">
        <v>49</v>
      </c>
      <c r="F163" s="391" t="s">
        <v>50</v>
      </c>
      <c r="G163" s="320" t="n">
        <v>2</v>
      </c>
      <c r="H163" s="321" t="s">
        <v>66</v>
      </c>
      <c r="I163" s="322" t="n">
        <v>0</v>
      </c>
      <c r="J163" s="321" t="n">
        <v>118</v>
      </c>
      <c r="K163" s="321" t="s">
        <v>66</v>
      </c>
      <c r="L163" s="323" t="n">
        <f aca="false">IF(J163="",0,(J163/J164)*100)</f>
        <v>100</v>
      </c>
      <c r="M163" s="322" t="n">
        <v>1</v>
      </c>
      <c r="N163" s="324" t="n">
        <v>6</v>
      </c>
      <c r="O163" s="157" t="n">
        <f aca="false">IF(M163=1,1,0)</f>
        <v>1</v>
      </c>
      <c r="P163" s="157" t="n">
        <f aca="false">IF(M163=2,1,0)</f>
        <v>0</v>
      </c>
      <c r="Q163" s="158" t="n">
        <f aca="false">IF(M163=3,1,0)</f>
        <v>0</v>
      </c>
      <c r="R163" s="206"/>
      <c r="S163" s="206"/>
      <c r="T163" s="192"/>
      <c r="U163" s="211"/>
    </row>
    <row r="164" customFormat="false" ht="20.15" hidden="true" customHeight="true" outlineLevel="1" collapsed="false">
      <c r="B164" s="77"/>
      <c r="C164" s="192"/>
      <c r="D164" s="198"/>
      <c r="E164" s="198"/>
      <c r="F164" s="206"/>
      <c r="G164" s="206"/>
      <c r="H164" s="192"/>
      <c r="I164" s="213" t="s">
        <v>92</v>
      </c>
      <c r="J164" s="161" t="n">
        <f aca="false">MAX(J161:J163)</f>
        <v>118</v>
      </c>
      <c r="K164" s="214"/>
      <c r="L164" s="206"/>
      <c r="M164" s="192"/>
      <c r="N164" s="164" t="s">
        <v>93</v>
      </c>
      <c r="O164" s="165" t="n">
        <f aca="false">SUM(O161:O163)</f>
        <v>1</v>
      </c>
      <c r="P164" s="166" t="n">
        <f aca="false">SUM(P161:P163)</f>
        <v>1</v>
      </c>
      <c r="Q164" s="165" t="n">
        <f aca="false">SUM(Q161:Q163)</f>
        <v>1</v>
      </c>
      <c r="R164" s="215"/>
      <c r="S164" s="215"/>
      <c r="T164" s="192"/>
      <c r="U164" s="211"/>
    </row>
    <row r="165" customFormat="false" ht="20.15" hidden="false" customHeight="true" outlineLevel="0" collapsed="false">
      <c r="B165" s="77"/>
      <c r="C165" s="192"/>
      <c r="D165" s="216"/>
      <c r="E165" s="216"/>
      <c r="F165" s="192"/>
      <c r="G165" s="192"/>
      <c r="H165" s="192"/>
      <c r="I165" s="192"/>
      <c r="J165" s="192"/>
      <c r="K165" s="192"/>
      <c r="L165" s="192"/>
      <c r="M165" s="192"/>
      <c r="N165" s="192"/>
      <c r="O165" s="192"/>
      <c r="P165" s="192"/>
      <c r="Q165" s="192"/>
      <c r="R165" s="192"/>
      <c r="S165" s="192"/>
      <c r="T165" s="192"/>
      <c r="U165" s="211"/>
    </row>
    <row r="166" customFormat="false" ht="20.15" hidden="false" customHeight="true" outlineLevel="0" collapsed="false">
      <c r="B166" s="77"/>
      <c r="D166" s="5"/>
      <c r="E166" s="5"/>
      <c r="F166" s="5"/>
      <c r="G166" s="5"/>
      <c r="H166" s="5"/>
      <c r="I166" s="5"/>
      <c r="J166" s="5"/>
      <c r="K166" s="14"/>
      <c r="L166" s="14"/>
      <c r="M166" s="14"/>
      <c r="N166" s="14"/>
      <c r="O166" s="14"/>
      <c r="P166" s="14"/>
      <c r="Q166" s="14"/>
      <c r="R166" s="14"/>
      <c r="S166" s="14"/>
      <c r="U166" s="77"/>
    </row>
    <row r="167" customFormat="false" ht="30" hidden="false" customHeight="true" outlineLevel="0" collapsed="false">
      <c r="B167" s="77"/>
      <c r="C167" s="240"/>
      <c r="D167" s="241" t="s">
        <v>149</v>
      </c>
      <c r="E167" s="241"/>
      <c r="F167" s="241"/>
      <c r="G167" s="241"/>
      <c r="H167" s="241"/>
      <c r="I167" s="241"/>
      <c r="J167" s="241"/>
      <c r="K167" s="241"/>
      <c r="L167" s="241"/>
      <c r="M167" s="241"/>
      <c r="N167" s="241"/>
      <c r="O167" s="398"/>
      <c r="P167" s="398"/>
      <c r="Q167" s="398"/>
      <c r="R167" s="398"/>
      <c r="S167" s="398"/>
      <c r="T167" s="240"/>
      <c r="U167" s="77"/>
    </row>
    <row r="168" customFormat="false" ht="50.15" hidden="false" customHeight="true" outlineLevel="0" collapsed="false">
      <c r="B168" s="77"/>
      <c r="C168" s="240"/>
      <c r="D168" s="242" t="s">
        <v>52</v>
      </c>
      <c r="E168" s="243" t="s">
        <v>53</v>
      </c>
      <c r="F168" s="244" t="s">
        <v>83</v>
      </c>
      <c r="G168" s="245" t="s">
        <v>102</v>
      </c>
      <c r="H168" s="246" t="s">
        <v>103</v>
      </c>
      <c r="I168" s="246"/>
      <c r="J168" s="247" t="s">
        <v>104</v>
      </c>
      <c r="K168" s="248" t="s">
        <v>105</v>
      </c>
      <c r="L168" s="244" t="s">
        <v>106</v>
      </c>
      <c r="M168" s="248" t="s">
        <v>107</v>
      </c>
      <c r="N168" s="243" t="s">
        <v>109</v>
      </c>
      <c r="O168" s="399"/>
      <c r="P168" s="400"/>
      <c r="Q168" s="400"/>
      <c r="R168" s="401"/>
      <c r="S168" s="401"/>
      <c r="T168" s="240"/>
      <c r="U168" s="77"/>
    </row>
    <row r="169" customFormat="false" ht="20.15" hidden="false" customHeight="true" outlineLevel="0" collapsed="false">
      <c r="B169" s="77"/>
      <c r="C169" s="240"/>
      <c r="D169" s="326" t="s">
        <v>49</v>
      </c>
      <c r="E169" s="17" t="s">
        <v>50</v>
      </c>
      <c r="F169" s="327" t="n">
        <f aca="false">K169*6+L169*3+M169*0</f>
        <v>15</v>
      </c>
      <c r="G169" s="328" t="n">
        <v>0</v>
      </c>
      <c r="H169" s="328" t="s">
        <v>66</v>
      </c>
      <c r="I169" s="328"/>
      <c r="J169" s="327" t="n">
        <f aca="false">F169+G169</f>
        <v>15</v>
      </c>
      <c r="K169" s="327" t="n">
        <v>2</v>
      </c>
      <c r="L169" s="327" t="n">
        <v>1</v>
      </c>
      <c r="M169" s="327" t="n">
        <v>0</v>
      </c>
      <c r="N169" s="329" t="n">
        <f aca="false">(L147+L155+L163)/3</f>
        <v>96.7661691542289</v>
      </c>
      <c r="O169" s="402"/>
      <c r="P169" s="403"/>
      <c r="Q169" s="403"/>
      <c r="R169" s="401"/>
      <c r="S169" s="401"/>
      <c r="T169" s="240"/>
      <c r="U169" s="77"/>
    </row>
    <row r="170" customFormat="false" ht="20.15" hidden="false" customHeight="true" outlineLevel="0" collapsed="false">
      <c r="B170" s="77"/>
      <c r="C170" s="240"/>
      <c r="D170" s="383" t="s">
        <v>21</v>
      </c>
      <c r="E170" s="384" t="s">
        <v>22</v>
      </c>
      <c r="F170" s="330" t="n">
        <f aca="false">K170*6+L170*3+M170*0</f>
        <v>6</v>
      </c>
      <c r="G170" s="331" t="n">
        <v>0</v>
      </c>
      <c r="H170" s="331" t="s">
        <v>66</v>
      </c>
      <c r="I170" s="331"/>
      <c r="J170" s="330" t="n">
        <f aca="false">F170+G170</f>
        <v>6</v>
      </c>
      <c r="K170" s="330" t="n">
        <v>1</v>
      </c>
      <c r="L170" s="330" t="n">
        <v>0</v>
      </c>
      <c r="M170" s="330" t="n">
        <v>2</v>
      </c>
      <c r="N170" s="333" t="n">
        <f aca="false">(L145+L153+L161)/3</f>
        <v>74.9930077753538</v>
      </c>
      <c r="O170" s="402"/>
      <c r="P170" s="403"/>
      <c r="Q170" s="403"/>
      <c r="R170" s="401"/>
      <c r="S170" s="401"/>
      <c r="T170" s="240"/>
      <c r="U170" s="77"/>
    </row>
    <row r="171" customFormat="false" ht="20.15" hidden="false" customHeight="true" outlineLevel="0" collapsed="false">
      <c r="B171" s="77"/>
      <c r="C171" s="240"/>
      <c r="D171" s="265" t="s">
        <v>360</v>
      </c>
      <c r="E171" s="385" t="s">
        <v>361</v>
      </c>
      <c r="F171" s="338" t="n">
        <f aca="false">K171*6+L171*3+M171*0</f>
        <v>6</v>
      </c>
      <c r="G171" s="339" t="n">
        <v>0</v>
      </c>
      <c r="H171" s="339" t="s">
        <v>66</v>
      </c>
      <c r="I171" s="339"/>
      <c r="J171" s="338" t="n">
        <f aca="false">F171+G171</f>
        <v>6</v>
      </c>
      <c r="K171" s="338" t="n">
        <v>0</v>
      </c>
      <c r="L171" s="338" t="n">
        <v>2</v>
      </c>
      <c r="M171" s="338" t="n">
        <v>1</v>
      </c>
      <c r="N171" s="341" t="n">
        <f aca="false">(L146+L154+L162)/3</f>
        <v>81.6264791164166</v>
      </c>
      <c r="O171" s="402"/>
      <c r="P171" s="403"/>
      <c r="Q171" s="403"/>
      <c r="R171" s="401"/>
      <c r="S171" s="401"/>
      <c r="T171" s="240"/>
      <c r="U171" s="77"/>
    </row>
    <row r="172" customFormat="false" ht="20.15" hidden="false" customHeight="true" outlineLevel="0" collapsed="false">
      <c r="B172" s="77"/>
      <c r="C172" s="240"/>
      <c r="D172" s="240"/>
      <c r="E172" s="240"/>
      <c r="F172" s="240"/>
      <c r="G172" s="240"/>
      <c r="H172" s="240"/>
      <c r="I172" s="240"/>
      <c r="J172" s="240"/>
      <c r="K172" s="240"/>
      <c r="L172" s="240"/>
      <c r="M172" s="240"/>
      <c r="N172" s="240"/>
      <c r="O172" s="240"/>
      <c r="P172" s="240"/>
      <c r="Q172" s="240"/>
      <c r="R172" s="240"/>
      <c r="S172" s="240"/>
      <c r="T172" s="240"/>
      <c r="U172" s="77"/>
    </row>
    <row r="173" customFormat="false" ht="20.15" hidden="false" customHeight="true" outlineLevel="0" collapsed="false">
      <c r="B173" s="77"/>
      <c r="C173" s="77"/>
      <c r="D173" s="270"/>
      <c r="E173" s="270"/>
      <c r="F173" s="195"/>
      <c r="G173" s="195"/>
      <c r="H173" s="270"/>
      <c r="I173" s="270"/>
      <c r="J173" s="270"/>
      <c r="K173" s="207"/>
      <c r="L173" s="207"/>
      <c r="M173" s="207"/>
      <c r="N173" s="207"/>
      <c r="O173" s="207"/>
      <c r="P173" s="207"/>
      <c r="Q173" s="207"/>
      <c r="R173" s="207"/>
      <c r="S173" s="207"/>
      <c r="T173" s="77"/>
      <c r="U173" s="77"/>
    </row>
  </sheetData>
  <mergeCells count="110">
    <mergeCell ref="A1:N2"/>
    <mergeCell ref="B4:J4"/>
    <mergeCell ref="L4:N4"/>
    <mergeCell ref="B5:C5"/>
    <mergeCell ref="B6:C6"/>
    <mergeCell ref="M6:M9"/>
    <mergeCell ref="B7:C7"/>
    <mergeCell ref="B8:C8"/>
    <mergeCell ref="B9:C9"/>
    <mergeCell ref="B10:C10"/>
    <mergeCell ref="M10:M13"/>
    <mergeCell ref="B11:C11"/>
    <mergeCell ref="B12:C12"/>
    <mergeCell ref="B13:C13"/>
    <mergeCell ref="B14:C14"/>
    <mergeCell ref="M14:M16"/>
    <mergeCell ref="B15:C15"/>
    <mergeCell ref="B16:C16"/>
    <mergeCell ref="B17:C17"/>
    <mergeCell ref="L17:M17"/>
    <mergeCell ref="B18:I18"/>
    <mergeCell ref="B19:C19"/>
    <mergeCell ref="B20:C20"/>
    <mergeCell ref="C23:T23"/>
    <mergeCell ref="D25:D26"/>
    <mergeCell ref="E25:E26"/>
    <mergeCell ref="F25:F26"/>
    <mergeCell ref="G25:J25"/>
    <mergeCell ref="L25:S25"/>
    <mergeCell ref="I26:J26"/>
    <mergeCell ref="N26:S26"/>
    <mergeCell ref="I27:J27"/>
    <mergeCell ref="N27:S27"/>
    <mergeCell ref="I28:J28"/>
    <mergeCell ref="N28:S28"/>
    <mergeCell ref="I29:J29"/>
    <mergeCell ref="N29:S29"/>
    <mergeCell ref="I30:J30"/>
    <mergeCell ref="N30:S30"/>
    <mergeCell ref="E32:N32"/>
    <mergeCell ref="F38:G38"/>
    <mergeCell ref="F39:G39"/>
    <mergeCell ref="E41:N41"/>
    <mergeCell ref="F47:G47"/>
    <mergeCell ref="E50:N50"/>
    <mergeCell ref="F56:G56"/>
    <mergeCell ref="E59:N59"/>
    <mergeCell ref="F65:G65"/>
    <mergeCell ref="D68:S68"/>
    <mergeCell ref="H69:I69"/>
    <mergeCell ref="H70:I70"/>
    <mergeCell ref="H71:I71"/>
    <mergeCell ref="H72:I72"/>
    <mergeCell ref="H73:I73"/>
    <mergeCell ref="C79:T79"/>
    <mergeCell ref="D81:D82"/>
    <mergeCell ref="E81:E82"/>
    <mergeCell ref="F81:F82"/>
    <mergeCell ref="G81:J81"/>
    <mergeCell ref="L81:S81"/>
    <mergeCell ref="I82:J82"/>
    <mergeCell ref="N82:S82"/>
    <mergeCell ref="I83:J83"/>
    <mergeCell ref="N83:S83"/>
    <mergeCell ref="I84:J84"/>
    <mergeCell ref="N84:S84"/>
    <mergeCell ref="I85:J85"/>
    <mergeCell ref="N85:S85"/>
    <mergeCell ref="I86:J86"/>
    <mergeCell ref="N86:S86"/>
    <mergeCell ref="E88:N88"/>
    <mergeCell ref="F94:G94"/>
    <mergeCell ref="E97:N97"/>
    <mergeCell ref="F103:G103"/>
    <mergeCell ref="E106:N106"/>
    <mergeCell ref="F112:G112"/>
    <mergeCell ref="E115:N115"/>
    <mergeCell ref="F121:G121"/>
    <mergeCell ref="D124:S124"/>
    <mergeCell ref="H125:I125"/>
    <mergeCell ref="H126:I126"/>
    <mergeCell ref="H127:I127"/>
    <mergeCell ref="Y127:Z127"/>
    <mergeCell ref="H128:I128"/>
    <mergeCell ref="H129:I129"/>
    <mergeCell ref="C135:T135"/>
    <mergeCell ref="D137:D138"/>
    <mergeCell ref="E137:E138"/>
    <mergeCell ref="F137:F138"/>
    <mergeCell ref="G137:J137"/>
    <mergeCell ref="L137:S137"/>
    <mergeCell ref="I138:J138"/>
    <mergeCell ref="N138:S138"/>
    <mergeCell ref="I139:J139"/>
    <mergeCell ref="N139:S139"/>
    <mergeCell ref="I140:J140"/>
    <mergeCell ref="N140:S140"/>
    <mergeCell ref="I141:J141"/>
    <mergeCell ref="N141:S141"/>
    <mergeCell ref="E143:N143"/>
    <mergeCell ref="F148:G148"/>
    <mergeCell ref="E151:N151"/>
    <mergeCell ref="F156:G156"/>
    <mergeCell ref="E159:N159"/>
    <mergeCell ref="F164:G164"/>
    <mergeCell ref="D167:N167"/>
    <mergeCell ref="H168:I168"/>
    <mergeCell ref="H169:I169"/>
    <mergeCell ref="H170:I170"/>
    <mergeCell ref="H171:I171"/>
  </mergeCells>
  <dataValidations count="1">
    <dataValidation allowBlank="true" operator="between" showDropDown="false" showErrorMessage="true" showInputMessage="true" sqref="J6:J16"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76"/>
  <sheetViews>
    <sheetView showFormulas="false" showGridLines="false" showRowColHeaders="true" showZeros="true" rightToLeft="false" tabSelected="false" showOutlineSymbols="true" defaultGridColor="true" view="normal" topLeftCell="A67" colorId="64" zoomScale="100" zoomScaleNormal="100" zoomScalePageLayoutView="100" workbookViewId="0">
      <selection pane="topLeft" activeCell="I82" activeCellId="0" sqref="I82"/>
    </sheetView>
  </sheetViews>
  <sheetFormatPr defaultColWidth="11.47265625" defaultRowHeight="14.5" zeroHeight="false" outlineLevelRow="1" outlineLevelCol="1"/>
  <cols>
    <col collapsed="false" customWidth="true" hidden="false" outlineLevel="0" max="3" min="1" style="1" width="3.72"/>
    <col collapsed="false" customWidth="true" hidden="false" outlineLevel="0" max="14" min="4" style="1" width="20.72"/>
    <col collapsed="false" customWidth="true" hidden="true" outlineLevel="1" max="18" min="15" style="1" width="20.72"/>
    <col collapsed="false" customWidth="true" hidden="false" outlineLevel="0" max="19" min="19" style="1" width="20.72"/>
    <col collapsed="false" customWidth="true" hidden="false" outlineLevel="0" max="21" min="20" style="1" width="3.72"/>
    <col collapsed="false" customWidth="true" hidden="false" outlineLevel="0" max="22" min="22" style="1" width="15.81"/>
    <col collapsed="false" customWidth="true" hidden="false" outlineLevel="0" max="24" min="23" style="1" width="20.72"/>
    <col collapsed="false" customWidth="false" hidden="false" outlineLevel="0" max="1024" min="25" style="1" width="11.45"/>
  </cols>
  <sheetData>
    <row r="1" customFormat="false" ht="14.5" hidden="false" customHeight="false" outlineLevel="0" collapsed="false">
      <c r="A1" s="2" t="s">
        <v>419</v>
      </c>
      <c r="B1" s="2"/>
      <c r="C1" s="2"/>
      <c r="D1" s="2"/>
      <c r="E1" s="2"/>
      <c r="F1" s="2"/>
      <c r="G1" s="2"/>
      <c r="H1" s="2"/>
      <c r="I1" s="2"/>
      <c r="J1" s="2"/>
      <c r="K1" s="2"/>
      <c r="L1" s="2"/>
      <c r="M1" s="2"/>
      <c r="N1" s="2"/>
    </row>
    <row r="2" customFormat="false" ht="14.5" hidden="false" customHeight="false" outlineLevel="0" collapsed="false">
      <c r="A2" s="2"/>
      <c r="B2" s="2"/>
      <c r="C2" s="2"/>
      <c r="D2" s="2"/>
      <c r="E2" s="2"/>
      <c r="F2" s="2"/>
      <c r="G2" s="2"/>
      <c r="H2" s="2"/>
      <c r="I2" s="2"/>
      <c r="J2" s="2"/>
      <c r="K2" s="2"/>
      <c r="L2" s="2"/>
      <c r="M2" s="2"/>
      <c r="N2" s="2"/>
    </row>
    <row r="3" customFormat="false" ht="20.15" hidden="false" customHeight="true" outlineLevel="0" collapsed="false"/>
    <row r="4" customFormat="false" ht="15" hidden="false" customHeight="false" outlineLevel="0" collapsed="false">
      <c r="B4" s="3" t="s">
        <v>420</v>
      </c>
      <c r="C4" s="3"/>
      <c r="D4" s="3"/>
      <c r="E4" s="3"/>
      <c r="F4" s="3"/>
      <c r="G4" s="3"/>
      <c r="H4" s="3"/>
      <c r="I4" s="3"/>
      <c r="J4" s="3"/>
      <c r="L4" s="3" t="s">
        <v>2</v>
      </c>
      <c r="M4" s="3"/>
      <c r="N4" s="3"/>
      <c r="Q4" s="4"/>
      <c r="R4" s="4"/>
      <c r="S4" s="4"/>
      <c r="T4" s="5"/>
      <c r="U4" s="4"/>
      <c r="V4" s="4"/>
      <c r="W4" s="4"/>
      <c r="X4" s="4"/>
    </row>
    <row r="5" customFormat="false" ht="50.15" hidden="false" customHeight="true" outlineLevel="0" collapsed="false">
      <c r="B5" s="6" t="s">
        <v>421</v>
      </c>
      <c r="C5" s="6"/>
      <c r="D5" s="7" t="s">
        <v>4</v>
      </c>
      <c r="E5" s="8" t="s">
        <v>5</v>
      </c>
      <c r="F5" s="9" t="s">
        <v>6</v>
      </c>
      <c r="G5" s="10" t="s">
        <v>7</v>
      </c>
      <c r="H5" s="10" t="s">
        <v>8</v>
      </c>
      <c r="I5" s="10" t="s">
        <v>9</v>
      </c>
      <c r="J5" s="9" t="s">
        <v>422</v>
      </c>
      <c r="L5" s="11" t="s">
        <v>4</v>
      </c>
      <c r="M5" s="12" t="s">
        <v>11</v>
      </c>
      <c r="N5" s="13" t="s">
        <v>12</v>
      </c>
      <c r="P5" s="14"/>
      <c r="Q5" s="5"/>
      <c r="S5" s="4"/>
      <c r="T5" s="4"/>
      <c r="U5" s="4"/>
      <c r="V5" s="5"/>
      <c r="W5" s="5"/>
    </row>
    <row r="6" customFormat="false" ht="20.15" hidden="false" customHeight="true" outlineLevel="0" collapsed="false">
      <c r="B6" s="471" t="n">
        <v>1</v>
      </c>
      <c r="C6" s="471"/>
      <c r="D6" s="472" t="s">
        <v>27</v>
      </c>
      <c r="E6" s="87" t="s">
        <v>28</v>
      </c>
      <c r="F6" s="473" t="s">
        <v>29</v>
      </c>
      <c r="G6" s="473" t="s">
        <v>28</v>
      </c>
      <c r="H6" s="473" t="s">
        <v>28</v>
      </c>
      <c r="I6" s="87" t="s">
        <v>18</v>
      </c>
      <c r="J6" s="474" t="s">
        <v>15</v>
      </c>
      <c r="L6" s="20" t="str">
        <f aca="false">D6</f>
        <v>Judith Maibaum</v>
      </c>
      <c r="M6" s="21" t="n">
        <v>1</v>
      </c>
      <c r="N6" s="22" t="n">
        <v>1</v>
      </c>
      <c r="P6" s="14"/>
      <c r="Q6" s="23"/>
      <c r="S6" s="14"/>
      <c r="T6" s="14"/>
      <c r="U6" s="14"/>
      <c r="V6" s="24"/>
      <c r="W6" s="24"/>
    </row>
    <row r="7" customFormat="false" ht="20.15" hidden="false" customHeight="true" outlineLevel="0" collapsed="false">
      <c r="B7" s="475" t="n">
        <v>2</v>
      </c>
      <c r="C7" s="475"/>
      <c r="D7" s="480" t="s">
        <v>30</v>
      </c>
      <c r="E7" s="96" t="s">
        <v>31</v>
      </c>
      <c r="F7" s="477" t="s">
        <v>32</v>
      </c>
      <c r="G7" s="476" t="s">
        <v>18</v>
      </c>
      <c r="H7" s="478" t="s">
        <v>32</v>
      </c>
      <c r="I7" s="290" t="s">
        <v>18</v>
      </c>
      <c r="J7" s="479" t="s">
        <v>15</v>
      </c>
      <c r="L7" s="31" t="str">
        <f aca="false">D7</f>
        <v>Lisa Schätzle</v>
      </c>
      <c r="M7" s="21"/>
      <c r="N7" s="32" t="n">
        <v>2</v>
      </c>
      <c r="P7" s="14"/>
      <c r="Q7" s="23"/>
      <c r="S7" s="14"/>
      <c r="T7" s="14"/>
      <c r="U7" s="14"/>
      <c r="V7" s="24"/>
      <c r="W7" s="24"/>
    </row>
    <row r="8" customFormat="false" ht="20.15" hidden="false" customHeight="true" outlineLevel="0" collapsed="false">
      <c r="B8" s="475" t="n">
        <v>3</v>
      </c>
      <c r="C8" s="475"/>
      <c r="D8" s="476" t="s">
        <v>25</v>
      </c>
      <c r="E8" s="96" t="s">
        <v>26</v>
      </c>
      <c r="F8" s="477" t="s">
        <v>26</v>
      </c>
      <c r="G8" s="476" t="s">
        <v>26</v>
      </c>
      <c r="H8" s="478" t="s">
        <v>26</v>
      </c>
      <c r="I8" s="290" t="s">
        <v>18</v>
      </c>
      <c r="J8" s="479" t="s">
        <v>15</v>
      </c>
      <c r="L8" s="31" t="str">
        <f aca="false">D8</f>
        <v>Pauline Schätzle</v>
      </c>
      <c r="M8" s="21"/>
      <c r="N8" s="32" t="n">
        <v>3</v>
      </c>
      <c r="P8" s="14"/>
      <c r="Q8" s="23"/>
      <c r="S8" s="14"/>
      <c r="T8" s="14"/>
      <c r="U8" s="14"/>
      <c r="V8" s="24"/>
      <c r="W8" s="24"/>
    </row>
    <row r="9" customFormat="false" ht="20.15" hidden="false" customHeight="true" outlineLevel="0" collapsed="false">
      <c r="B9" s="475" t="n">
        <v>4</v>
      </c>
      <c r="C9" s="475"/>
      <c r="D9" s="480" t="s">
        <v>13</v>
      </c>
      <c r="E9" s="290" t="s">
        <v>14</v>
      </c>
      <c r="F9" s="290" t="s">
        <v>14</v>
      </c>
      <c r="G9" s="290" t="s">
        <v>14</v>
      </c>
      <c r="H9" s="478" t="s">
        <v>14</v>
      </c>
      <c r="I9" s="478" t="s">
        <v>14</v>
      </c>
      <c r="J9" s="479" t="s">
        <v>15</v>
      </c>
      <c r="L9" s="34" t="str">
        <f aca="false">D9</f>
        <v>Devid Fulterer</v>
      </c>
      <c r="M9" s="21"/>
      <c r="N9" s="35" t="n">
        <v>4</v>
      </c>
      <c r="P9" s="14"/>
      <c r="Q9" s="23"/>
      <c r="S9" s="14"/>
      <c r="T9" s="14"/>
      <c r="U9" s="14"/>
      <c r="V9" s="24"/>
      <c r="W9" s="24"/>
    </row>
    <row r="10" customFormat="false" ht="20.15" hidden="false" customHeight="true" outlineLevel="0" collapsed="false">
      <c r="B10" s="475" t="n">
        <v>5</v>
      </c>
      <c r="C10" s="475"/>
      <c r="D10" s="480" t="s">
        <v>39</v>
      </c>
      <c r="E10" s="290" t="s">
        <v>40</v>
      </c>
      <c r="F10" s="478" t="s">
        <v>40</v>
      </c>
      <c r="G10" s="478" t="s">
        <v>40</v>
      </c>
      <c r="H10" s="478" t="s">
        <v>18</v>
      </c>
      <c r="I10" s="478" t="s">
        <v>18</v>
      </c>
      <c r="J10" s="479" t="s">
        <v>15</v>
      </c>
      <c r="L10" s="20" t="str">
        <f aca="false">D10</f>
        <v>Markus Hagenauer</v>
      </c>
      <c r="M10" s="37" t="n">
        <v>2</v>
      </c>
      <c r="N10" s="22" t="n">
        <v>1</v>
      </c>
      <c r="P10" s="14"/>
      <c r="Q10" s="23"/>
      <c r="S10" s="14"/>
      <c r="T10" s="14"/>
      <c r="U10" s="14"/>
      <c r="V10" s="24"/>
      <c r="W10" s="24"/>
    </row>
    <row r="11" customFormat="false" ht="20.15" hidden="false" customHeight="true" outlineLevel="0" collapsed="false">
      <c r="B11" s="475" t="n">
        <v>6</v>
      </c>
      <c r="C11" s="475"/>
      <c r="D11" s="480" t="s">
        <v>19</v>
      </c>
      <c r="E11" s="96" t="s">
        <v>20</v>
      </c>
      <c r="F11" s="477" t="s">
        <v>20</v>
      </c>
      <c r="G11" s="476" t="s">
        <v>20</v>
      </c>
      <c r="H11" s="478" t="s">
        <v>20</v>
      </c>
      <c r="I11" s="478" t="s">
        <v>18</v>
      </c>
      <c r="J11" s="479" t="s">
        <v>15</v>
      </c>
      <c r="L11" s="31" t="str">
        <f aca="false">D11</f>
        <v>Jérôme Schätzle</v>
      </c>
      <c r="M11" s="37"/>
      <c r="N11" s="32" t="n">
        <v>2</v>
      </c>
      <c r="P11" s="14"/>
      <c r="Q11" s="23"/>
      <c r="S11" s="14"/>
      <c r="T11" s="14"/>
      <c r="U11" s="14"/>
      <c r="V11" s="24"/>
      <c r="W11" s="24"/>
    </row>
    <row r="12" customFormat="false" ht="20.15" hidden="false" customHeight="true" outlineLevel="0" collapsed="false">
      <c r="B12" s="475" t="n">
        <v>7</v>
      </c>
      <c r="C12" s="475"/>
      <c r="D12" s="476" t="s">
        <v>16</v>
      </c>
      <c r="E12" s="96" t="s">
        <v>17</v>
      </c>
      <c r="F12" s="477" t="s">
        <v>17</v>
      </c>
      <c r="G12" s="476" t="s">
        <v>17</v>
      </c>
      <c r="H12" s="478" t="s">
        <v>17</v>
      </c>
      <c r="I12" s="478" t="s">
        <v>18</v>
      </c>
      <c r="J12" s="479" t="s">
        <v>15</v>
      </c>
      <c r="L12" s="31" t="str">
        <f aca="false">D12</f>
        <v>Andreas Micke</v>
      </c>
      <c r="M12" s="37"/>
      <c r="N12" s="32" t="n">
        <v>3</v>
      </c>
      <c r="P12" s="14"/>
      <c r="Q12" s="23"/>
      <c r="S12" s="14"/>
      <c r="T12" s="14"/>
      <c r="U12" s="14"/>
      <c r="V12" s="24"/>
      <c r="W12" s="24"/>
    </row>
    <row r="13" customFormat="false" ht="20.15" hidden="false" customHeight="true" outlineLevel="0" collapsed="false">
      <c r="B13" s="475" t="n">
        <v>8</v>
      </c>
      <c r="C13" s="475"/>
      <c r="D13" s="476" t="s">
        <v>49</v>
      </c>
      <c r="E13" s="312" t="s">
        <v>50</v>
      </c>
      <c r="F13" s="312" t="s">
        <v>50</v>
      </c>
      <c r="G13" s="312"/>
      <c r="H13" s="312" t="s">
        <v>50</v>
      </c>
      <c r="I13" s="312"/>
      <c r="J13" s="479" t="s">
        <v>15</v>
      </c>
      <c r="L13" s="34" t="str">
        <f aca="false">D13</f>
        <v>Jonas Röhrig</v>
      </c>
      <c r="M13" s="37"/>
      <c r="N13" s="35" t="n">
        <v>4</v>
      </c>
      <c r="P13" s="14"/>
      <c r="Q13" s="23"/>
      <c r="S13" s="14"/>
      <c r="T13" s="14"/>
      <c r="U13" s="14"/>
      <c r="V13" s="24"/>
      <c r="W13" s="24"/>
    </row>
    <row r="14" customFormat="false" ht="20.15" hidden="false" customHeight="true" outlineLevel="0" collapsed="false">
      <c r="B14" s="475" t="n">
        <v>9</v>
      </c>
      <c r="C14" s="475"/>
      <c r="D14" s="476" t="s">
        <v>21</v>
      </c>
      <c r="E14" s="96" t="s">
        <v>22</v>
      </c>
      <c r="F14" s="477" t="s">
        <v>22</v>
      </c>
      <c r="G14" s="476" t="s">
        <v>18</v>
      </c>
      <c r="H14" s="478" t="s">
        <v>22</v>
      </c>
      <c r="I14" s="478" t="s">
        <v>18</v>
      </c>
      <c r="J14" s="479" t="s">
        <v>15</v>
      </c>
      <c r="L14" s="20" t="str">
        <f aca="false">D14</f>
        <v>Daniel Zimmerman</v>
      </c>
      <c r="M14" s="21" t="n">
        <v>3</v>
      </c>
      <c r="N14" s="22" t="n">
        <v>1</v>
      </c>
      <c r="P14" s="14"/>
      <c r="Q14" s="23"/>
      <c r="S14" s="14"/>
      <c r="T14" s="14"/>
      <c r="U14" s="14"/>
      <c r="V14" s="24"/>
      <c r="W14" s="24"/>
    </row>
    <row r="15" customFormat="false" ht="20.15" hidden="false" customHeight="true" outlineLevel="0" collapsed="false">
      <c r="B15" s="481" t="n">
        <v>10</v>
      </c>
      <c r="C15" s="481"/>
      <c r="D15" s="493" t="s">
        <v>360</v>
      </c>
      <c r="E15" s="410" t="s">
        <v>361</v>
      </c>
      <c r="F15" s="410" t="s">
        <v>361</v>
      </c>
      <c r="G15" s="410" t="s">
        <v>18</v>
      </c>
      <c r="H15" s="410" t="s">
        <v>18</v>
      </c>
      <c r="I15" s="410" t="s">
        <v>18</v>
      </c>
      <c r="J15" s="484" t="s">
        <v>15</v>
      </c>
      <c r="L15" s="449" t="str">
        <f aca="false">D15</f>
        <v>Peter Ratschiller</v>
      </c>
      <c r="M15" s="21"/>
      <c r="N15" s="55" t="n">
        <v>2</v>
      </c>
      <c r="P15" s="14"/>
      <c r="Q15" s="23"/>
      <c r="S15" s="14"/>
      <c r="T15" s="14"/>
      <c r="U15" s="14"/>
      <c r="V15" s="24"/>
      <c r="W15" s="24"/>
    </row>
    <row r="16" customFormat="false" ht="20.15" hidden="false" customHeight="true" outlineLevel="0" collapsed="false">
      <c r="B16" s="23"/>
      <c r="C16" s="23"/>
      <c r="D16" s="419"/>
      <c r="E16" s="529"/>
      <c r="F16" s="14"/>
      <c r="G16" s="14"/>
      <c r="H16" s="14"/>
      <c r="I16" s="14"/>
      <c r="J16" s="419"/>
      <c r="L16" s="56" t="s">
        <v>423</v>
      </c>
      <c r="M16" s="56"/>
      <c r="N16" s="57" t="n">
        <v>10</v>
      </c>
      <c r="P16" s="4"/>
      <c r="Q16" s="4"/>
      <c r="S16" s="4"/>
      <c r="T16" s="4"/>
      <c r="U16" s="4"/>
      <c r="V16" s="4"/>
    </row>
    <row r="17" customFormat="false" ht="15" hidden="false" customHeight="false" outlineLevel="0" collapsed="false">
      <c r="B17" s="3" t="s">
        <v>424</v>
      </c>
      <c r="C17" s="3"/>
      <c r="D17" s="3"/>
      <c r="E17" s="3"/>
      <c r="F17" s="3"/>
      <c r="G17" s="3"/>
      <c r="H17" s="3"/>
      <c r="I17" s="3"/>
      <c r="M17" s="58"/>
      <c r="N17" s="58"/>
      <c r="O17" s="58"/>
      <c r="P17" s="5"/>
      <c r="Q17" s="4"/>
      <c r="R17" s="4"/>
      <c r="T17" s="4"/>
      <c r="U17" s="4"/>
      <c r="V17" s="4"/>
      <c r="W17" s="4"/>
    </row>
    <row r="18" customFormat="false" ht="29.5" hidden="false" customHeight="true" outlineLevel="0" collapsed="false">
      <c r="B18" s="59" t="s">
        <v>45</v>
      </c>
      <c r="C18" s="59"/>
      <c r="D18" s="60" t="s">
        <v>4</v>
      </c>
      <c r="E18" s="61" t="s">
        <v>5</v>
      </c>
      <c r="F18" s="62" t="s">
        <v>6</v>
      </c>
      <c r="G18" s="63" t="s">
        <v>7</v>
      </c>
      <c r="H18" s="64" t="s">
        <v>8</v>
      </c>
      <c r="I18" s="62" t="s">
        <v>9</v>
      </c>
      <c r="M18" s="58"/>
      <c r="N18" s="58"/>
      <c r="O18" s="58"/>
      <c r="P18" s="5"/>
      <c r="Q18" s="4"/>
      <c r="R18" s="4"/>
      <c r="T18" s="4"/>
      <c r="U18" s="4"/>
      <c r="V18" s="4"/>
      <c r="W18" s="4"/>
    </row>
    <row r="19" customFormat="false" ht="20.15" hidden="false" customHeight="true" outlineLevel="0" collapsed="false">
      <c r="B19" s="518" t="n">
        <v>1</v>
      </c>
      <c r="C19" s="518"/>
      <c r="D19" s="519" t="s">
        <v>33</v>
      </c>
      <c r="E19" s="370" t="s">
        <v>34</v>
      </c>
      <c r="F19" s="370" t="s">
        <v>34</v>
      </c>
      <c r="G19" s="370" t="s">
        <v>34</v>
      </c>
      <c r="H19" s="370" t="s">
        <v>18</v>
      </c>
      <c r="I19" s="371" t="s">
        <v>18</v>
      </c>
      <c r="M19" s="58"/>
      <c r="N19" s="58"/>
      <c r="O19" s="58"/>
      <c r="P19" s="5"/>
      <c r="Q19" s="4"/>
      <c r="R19" s="4"/>
      <c r="T19" s="4"/>
      <c r="U19" s="4"/>
      <c r="V19" s="4"/>
      <c r="W19" s="4"/>
    </row>
    <row r="20" customFormat="false" ht="20.15" hidden="false" customHeight="true" outlineLevel="0" collapsed="false">
      <c r="D20" s="419"/>
      <c r="E20" s="530"/>
      <c r="F20" s="14"/>
      <c r="G20" s="14"/>
      <c r="H20" s="14"/>
      <c r="I20" s="14"/>
      <c r="J20" s="419"/>
      <c r="M20" s="58"/>
      <c r="N20" s="58"/>
      <c r="O20" s="58"/>
      <c r="P20" s="5"/>
      <c r="Q20" s="4"/>
      <c r="R20" s="4"/>
      <c r="T20" s="4"/>
      <c r="U20" s="4"/>
      <c r="V20" s="4"/>
      <c r="W20" s="4"/>
    </row>
    <row r="21" customFormat="false" ht="20.15" hidden="false" customHeight="true" outlineLevel="0" collapsed="false">
      <c r="B21" s="77"/>
      <c r="C21" s="77"/>
      <c r="D21" s="78"/>
      <c r="E21" s="78"/>
      <c r="F21" s="78"/>
      <c r="G21" s="78"/>
      <c r="H21" s="77"/>
      <c r="I21" s="77"/>
      <c r="J21" s="77"/>
      <c r="K21" s="77"/>
      <c r="L21" s="77"/>
      <c r="M21" s="77"/>
      <c r="N21" s="77"/>
      <c r="O21" s="77"/>
      <c r="P21" s="77"/>
      <c r="Q21" s="77"/>
      <c r="R21" s="77"/>
      <c r="S21" s="77"/>
      <c r="T21" s="77"/>
      <c r="U21" s="77"/>
    </row>
    <row r="22" customFormat="false" ht="30" hidden="false" customHeight="true" outlineLevel="0" collapsed="false">
      <c r="B22" s="77"/>
      <c r="C22" s="79" t="s">
        <v>51</v>
      </c>
      <c r="D22" s="79"/>
      <c r="E22" s="79"/>
      <c r="F22" s="79"/>
      <c r="G22" s="79"/>
      <c r="H22" s="79"/>
      <c r="I22" s="79"/>
      <c r="J22" s="79"/>
      <c r="K22" s="79"/>
      <c r="L22" s="79"/>
      <c r="M22" s="79"/>
      <c r="N22" s="79"/>
      <c r="O22" s="79"/>
      <c r="P22" s="79"/>
      <c r="Q22" s="79"/>
      <c r="R22" s="79"/>
      <c r="S22" s="79"/>
      <c r="T22" s="79"/>
      <c r="U22" s="77"/>
    </row>
    <row r="23" customFormat="false" ht="20.15" hidden="false" customHeight="true" outlineLevel="0" collapsed="false">
      <c r="B23" s="77"/>
      <c r="U23" s="77"/>
    </row>
    <row r="24" customFormat="false" ht="20.15" hidden="false" customHeight="true" outlineLevel="0" collapsed="false">
      <c r="B24" s="77"/>
      <c r="D24" s="80" t="s">
        <v>52</v>
      </c>
      <c r="E24" s="81" t="s">
        <v>53</v>
      </c>
      <c r="F24" s="82" t="s">
        <v>12</v>
      </c>
      <c r="G24" s="81" t="s">
        <v>54</v>
      </c>
      <c r="H24" s="81"/>
      <c r="I24" s="81"/>
      <c r="J24" s="81"/>
      <c r="K24" s="81" t="s">
        <v>55</v>
      </c>
      <c r="L24" s="83" t="s">
        <v>56</v>
      </c>
      <c r="M24" s="83"/>
      <c r="N24" s="83"/>
      <c r="O24" s="83"/>
      <c r="P24" s="83"/>
      <c r="Q24" s="83"/>
      <c r="R24" s="83"/>
      <c r="S24" s="83"/>
      <c r="U24" s="77"/>
    </row>
    <row r="25" customFormat="false" ht="20.15" hidden="false" customHeight="true" outlineLevel="0" collapsed="false">
      <c r="B25" s="77"/>
      <c r="D25" s="80"/>
      <c r="E25" s="81"/>
      <c r="F25" s="81"/>
      <c r="G25" s="84" t="s">
        <v>57</v>
      </c>
      <c r="H25" s="84" t="s">
        <v>58</v>
      </c>
      <c r="I25" s="82" t="s">
        <v>59</v>
      </c>
      <c r="J25" s="82"/>
      <c r="K25" s="84" t="s">
        <v>60</v>
      </c>
      <c r="L25" s="84" t="s">
        <v>57</v>
      </c>
      <c r="M25" s="85" t="s">
        <v>61</v>
      </c>
      <c r="N25" s="82" t="s">
        <v>59</v>
      </c>
      <c r="O25" s="82"/>
      <c r="P25" s="82"/>
      <c r="Q25" s="82"/>
      <c r="R25" s="82"/>
      <c r="S25" s="82"/>
      <c r="U25" s="77"/>
    </row>
    <row r="26" customFormat="false" ht="20.15" hidden="false" customHeight="true" outlineLevel="0" collapsed="false">
      <c r="B26" s="77"/>
      <c r="D26" s="86" t="s">
        <v>27</v>
      </c>
      <c r="E26" s="87" t="s">
        <v>28</v>
      </c>
      <c r="F26" s="22" t="n">
        <v>1</v>
      </c>
      <c r="G26" s="89" t="s">
        <v>67</v>
      </c>
      <c r="H26" s="281" t="s">
        <v>425</v>
      </c>
      <c r="I26" s="91" t="s">
        <v>66</v>
      </c>
      <c r="J26" s="91"/>
      <c r="K26" s="461" t="s">
        <v>68</v>
      </c>
      <c r="L26" s="442" t="s">
        <v>66</v>
      </c>
      <c r="M26" s="495" t="s">
        <v>66</v>
      </c>
      <c r="N26" s="444" t="s">
        <v>66</v>
      </c>
      <c r="O26" s="444"/>
      <c r="P26" s="444"/>
      <c r="Q26" s="444"/>
      <c r="R26" s="444"/>
      <c r="S26" s="444"/>
      <c r="U26" s="77"/>
    </row>
    <row r="27" customFormat="false" ht="110.15" hidden="false" customHeight="true" outlineLevel="0" collapsed="false">
      <c r="B27" s="77"/>
      <c r="D27" s="105" t="s">
        <v>30</v>
      </c>
      <c r="E27" s="96" t="s">
        <v>31</v>
      </c>
      <c r="F27" s="32" t="n">
        <v>2</v>
      </c>
      <c r="G27" s="98" t="s">
        <v>67</v>
      </c>
      <c r="H27" s="99" t="s">
        <v>68</v>
      </c>
      <c r="I27" s="100" t="s">
        <v>426</v>
      </c>
      <c r="J27" s="100"/>
      <c r="K27" s="374" t="s">
        <v>65</v>
      </c>
      <c r="L27" s="376" t="s">
        <v>66</v>
      </c>
      <c r="M27" s="111" t="s">
        <v>66</v>
      </c>
      <c r="N27" s="445" t="s">
        <v>66</v>
      </c>
      <c r="O27" s="445"/>
      <c r="P27" s="445"/>
      <c r="Q27" s="445"/>
      <c r="R27" s="445"/>
      <c r="S27" s="445"/>
      <c r="U27" s="77"/>
    </row>
    <row r="28" customFormat="false" ht="35.15" hidden="false" customHeight="true" outlineLevel="0" collapsed="false">
      <c r="B28" s="77"/>
      <c r="D28" s="209" t="s">
        <v>25</v>
      </c>
      <c r="E28" s="96" t="s">
        <v>26</v>
      </c>
      <c r="F28" s="32" t="n">
        <v>3</v>
      </c>
      <c r="G28" s="106" t="s">
        <v>67</v>
      </c>
      <c r="H28" s="107" t="s">
        <v>427</v>
      </c>
      <c r="I28" s="108" t="s">
        <v>428</v>
      </c>
      <c r="J28" s="108"/>
      <c r="K28" s="374" t="s">
        <v>65</v>
      </c>
      <c r="L28" s="376"/>
      <c r="M28" s="464"/>
      <c r="N28" s="112"/>
      <c r="O28" s="112"/>
      <c r="P28" s="112"/>
      <c r="Q28" s="112"/>
      <c r="R28" s="112"/>
      <c r="S28" s="112"/>
      <c r="U28" s="77"/>
    </row>
    <row r="29" customFormat="false" ht="20.15" hidden="false" customHeight="true" outlineLevel="0" collapsed="false">
      <c r="B29" s="77"/>
      <c r="D29" s="295" t="s">
        <v>13</v>
      </c>
      <c r="E29" s="386" t="s">
        <v>14</v>
      </c>
      <c r="F29" s="55" t="n">
        <v>4</v>
      </c>
      <c r="G29" s="115" t="s">
        <v>67</v>
      </c>
      <c r="H29" s="101" t="s">
        <v>344</v>
      </c>
      <c r="I29" s="116" t="s">
        <v>370</v>
      </c>
      <c r="J29" s="116"/>
      <c r="K29" s="378" t="s">
        <v>65</v>
      </c>
      <c r="L29" s="379" t="s">
        <v>66</v>
      </c>
      <c r="M29" s="119" t="s">
        <v>66</v>
      </c>
      <c r="N29" s="120" t="s">
        <v>66</v>
      </c>
      <c r="O29" s="120"/>
      <c r="P29" s="120"/>
      <c r="Q29" s="120"/>
      <c r="R29" s="120"/>
      <c r="S29" s="120"/>
      <c r="U29" s="77"/>
    </row>
    <row r="30" customFormat="false" ht="20.15" hidden="false" customHeight="true" outlineLevel="0" collapsed="false">
      <c r="B30" s="77"/>
      <c r="D30" s="121"/>
      <c r="E30" s="121"/>
      <c r="U30" s="77"/>
    </row>
    <row r="31" customFormat="false" ht="20.15" hidden="false" customHeight="true" outlineLevel="0" collapsed="false">
      <c r="B31" s="77"/>
      <c r="C31" s="122"/>
      <c r="D31" s="122"/>
      <c r="E31" s="123" t="str">
        <f aca="false">IF(OR(M26="-",M26= ""),H26,M26)</f>
        <v>Northwest Passage</v>
      </c>
      <c r="F31" s="123"/>
      <c r="G31" s="123"/>
      <c r="H31" s="123"/>
      <c r="I31" s="123"/>
      <c r="J31" s="123"/>
      <c r="K31" s="123"/>
      <c r="L31" s="123"/>
      <c r="M31" s="123"/>
      <c r="N31" s="123"/>
      <c r="O31" s="124"/>
      <c r="P31" s="124"/>
      <c r="Q31" s="124"/>
      <c r="R31" s="124"/>
      <c r="S31" s="124"/>
      <c r="T31" s="122"/>
      <c r="U31" s="77"/>
    </row>
    <row r="32" customFormat="false" ht="50.15" hidden="false" customHeight="true" outlineLevel="0" collapsed="false">
      <c r="B32" s="77"/>
      <c r="C32" s="122"/>
      <c r="D32" s="124"/>
      <c r="E32" s="125" t="s">
        <v>52</v>
      </c>
      <c r="F32" s="126" t="s">
        <v>75</v>
      </c>
      <c r="G32" s="82" t="s">
        <v>76</v>
      </c>
      <c r="H32" s="81" t="s">
        <v>77</v>
      </c>
      <c r="I32" s="59" t="s">
        <v>78</v>
      </c>
      <c r="J32" s="81" t="s">
        <v>79</v>
      </c>
      <c r="K32" s="127" t="s">
        <v>80</v>
      </c>
      <c r="L32" s="81" t="s">
        <v>81</v>
      </c>
      <c r="M32" s="128" t="s">
        <v>82</v>
      </c>
      <c r="N32" s="129" t="s">
        <v>83</v>
      </c>
      <c r="O32" s="130" t="s">
        <v>84</v>
      </c>
      <c r="P32" s="131" t="s">
        <v>85</v>
      </c>
      <c r="Q32" s="131" t="s">
        <v>86</v>
      </c>
      <c r="R32" s="131" t="s">
        <v>87</v>
      </c>
      <c r="S32" s="124"/>
      <c r="T32" s="122"/>
      <c r="U32" s="77"/>
    </row>
    <row r="33" customFormat="false" ht="20.15" hidden="false" customHeight="true" outlineLevel="0" collapsed="false">
      <c r="B33" s="77"/>
      <c r="C33" s="122"/>
      <c r="D33" s="132"/>
      <c r="E33" s="199" t="s">
        <v>27</v>
      </c>
      <c r="F33" s="200" t="s">
        <v>29</v>
      </c>
      <c r="G33" s="201" t="n">
        <v>4</v>
      </c>
      <c r="H33" s="202" t="s">
        <v>66</v>
      </c>
      <c r="I33" s="201" t="n">
        <v>0</v>
      </c>
      <c r="J33" s="201" t="n">
        <v>61</v>
      </c>
      <c r="K33" s="201" t="s">
        <v>66</v>
      </c>
      <c r="L33" s="204" t="n">
        <f aca="false">IF(J33="",0,(J33/J37)*100)</f>
        <v>100</v>
      </c>
      <c r="M33" s="201" t="n">
        <v>1</v>
      </c>
      <c r="N33" s="205" t="n">
        <v>6</v>
      </c>
      <c r="O33" s="137" t="n">
        <f aca="false">IF(M33=1,1,0)</f>
        <v>1</v>
      </c>
      <c r="P33" s="138" t="n">
        <f aca="false">IF(M33=2,1,0)</f>
        <v>0</v>
      </c>
      <c r="Q33" s="138" t="n">
        <f aca="false">IF(M33=3,1,0)</f>
        <v>0</v>
      </c>
      <c r="R33" s="139" t="n">
        <f aca="false">IF(M33=4,1,0)</f>
        <v>0</v>
      </c>
      <c r="S33" s="140"/>
      <c r="T33" s="122"/>
      <c r="U33" s="77"/>
    </row>
    <row r="34" customFormat="false" ht="20.15" hidden="false" customHeight="true" outlineLevel="0" collapsed="false">
      <c r="B34" s="77"/>
      <c r="C34" s="122"/>
      <c r="D34" s="132"/>
      <c r="E34" s="180" t="s">
        <v>30</v>
      </c>
      <c r="F34" s="96" t="s">
        <v>32</v>
      </c>
      <c r="G34" s="141" t="n">
        <v>3</v>
      </c>
      <c r="H34" s="141" t="s">
        <v>66</v>
      </c>
      <c r="I34" s="141" t="n">
        <v>0</v>
      </c>
      <c r="J34" s="141" t="n">
        <v>50</v>
      </c>
      <c r="K34" s="141" t="s">
        <v>66</v>
      </c>
      <c r="L34" s="142" t="n">
        <f aca="false">IF(J34="",0,(J34/J37)*100)</f>
        <v>81.9672131147541</v>
      </c>
      <c r="M34" s="141" t="n">
        <v>2</v>
      </c>
      <c r="N34" s="143" t="n">
        <v>3</v>
      </c>
      <c r="O34" s="144" t="n">
        <f aca="false">IF(M34=1,1,0)</f>
        <v>0</v>
      </c>
      <c r="P34" s="145" t="n">
        <f aca="false">IF(M34=2,1,0)</f>
        <v>1</v>
      </c>
      <c r="Q34" s="145" t="n">
        <f aca="false">IF(M34=3,1,0)</f>
        <v>0</v>
      </c>
      <c r="R34" s="146" t="n">
        <f aca="false">IF(M34=4,1,0)</f>
        <v>0</v>
      </c>
      <c r="S34" s="140"/>
      <c r="T34" s="122"/>
      <c r="U34" s="77"/>
    </row>
    <row r="35" customFormat="false" ht="20.15" hidden="false" customHeight="true" outlineLevel="0" collapsed="false">
      <c r="B35" s="77"/>
      <c r="C35" s="122"/>
      <c r="D35" s="132"/>
      <c r="E35" s="209" t="s">
        <v>25</v>
      </c>
      <c r="F35" s="96" t="s">
        <v>26</v>
      </c>
      <c r="G35" s="141" t="n">
        <v>2</v>
      </c>
      <c r="H35" s="141" t="s">
        <v>66</v>
      </c>
      <c r="I35" s="141" t="n">
        <v>0</v>
      </c>
      <c r="J35" s="141" t="n">
        <v>38</v>
      </c>
      <c r="K35" s="141" t="s">
        <v>66</v>
      </c>
      <c r="L35" s="142" t="n">
        <f aca="false">IF(J35="",0,(J35/J37)*100)</f>
        <v>62.2950819672131</v>
      </c>
      <c r="M35" s="141" t="n">
        <v>4</v>
      </c>
      <c r="N35" s="143" t="n">
        <v>0</v>
      </c>
      <c r="O35" s="144" t="n">
        <f aca="false">IF(M35=1,1,0)</f>
        <v>0</v>
      </c>
      <c r="P35" s="145" t="n">
        <f aca="false">IF(M35=2,1,0)</f>
        <v>0</v>
      </c>
      <c r="Q35" s="145" t="n">
        <f aca="false">IF(M35=3,1,0)</f>
        <v>0</v>
      </c>
      <c r="R35" s="146" t="n">
        <f aca="false">IF(M35=4,1,0)</f>
        <v>1</v>
      </c>
      <c r="S35" s="140"/>
      <c r="T35" s="122"/>
      <c r="U35" s="77"/>
    </row>
    <row r="36" customFormat="false" ht="20.15" hidden="false" customHeight="true" outlineLevel="0" collapsed="false">
      <c r="B36" s="77"/>
      <c r="C36" s="122"/>
      <c r="D36" s="152"/>
      <c r="E36" s="315" t="s">
        <v>13</v>
      </c>
      <c r="F36" s="410" t="s">
        <v>14</v>
      </c>
      <c r="G36" s="153" t="n">
        <v>1</v>
      </c>
      <c r="H36" s="153" t="s">
        <v>66</v>
      </c>
      <c r="I36" s="153" t="n">
        <v>0</v>
      </c>
      <c r="J36" s="153" t="n">
        <v>48</v>
      </c>
      <c r="K36" s="153" t="s">
        <v>66</v>
      </c>
      <c r="L36" s="154" t="n">
        <f aca="false">IF(J36="",0,(J36/J37)*100)</f>
        <v>78.6885245901639</v>
      </c>
      <c r="M36" s="153" t="n">
        <v>3</v>
      </c>
      <c r="N36" s="155" t="n">
        <v>1</v>
      </c>
      <c r="O36" s="156" t="n">
        <f aca="false">IF(M36=1,1,0)</f>
        <v>0</v>
      </c>
      <c r="P36" s="157" t="n">
        <f aca="false">IF(M36=2,1,0)</f>
        <v>0</v>
      </c>
      <c r="Q36" s="157" t="n">
        <f aca="false">IF(M36=3,1,0)</f>
        <v>1</v>
      </c>
      <c r="R36" s="158" t="n">
        <f aca="false">IF(M36=4,1,0)</f>
        <v>0</v>
      </c>
      <c r="S36" s="140"/>
      <c r="T36" s="122"/>
      <c r="U36" s="77"/>
    </row>
    <row r="37" customFormat="false" ht="20.15" hidden="true" customHeight="true" outlineLevel="1" collapsed="false">
      <c r="B37" s="77"/>
      <c r="C37" s="122"/>
      <c r="D37" s="159"/>
      <c r="E37" s="159"/>
      <c r="F37" s="140"/>
      <c r="G37" s="140"/>
      <c r="H37" s="122"/>
      <c r="I37" s="160" t="s">
        <v>92</v>
      </c>
      <c r="J37" s="161" t="n">
        <f aca="false">MAX(J33:J36)</f>
        <v>61</v>
      </c>
      <c r="K37" s="162"/>
      <c r="L37" s="163"/>
      <c r="M37" s="122"/>
      <c r="N37" s="164" t="s">
        <v>93</v>
      </c>
      <c r="O37" s="165" t="n">
        <f aca="false">SUM(O33:O36)</f>
        <v>1</v>
      </c>
      <c r="P37" s="166" t="n">
        <f aca="false">SUM(P33:P36)</f>
        <v>1</v>
      </c>
      <c r="Q37" s="165" t="n">
        <f aca="false">SUM(Q33:Q36)</f>
        <v>1</v>
      </c>
      <c r="R37" s="165" t="n">
        <f aca="false">SUM(R33:R36)</f>
        <v>1</v>
      </c>
      <c r="S37" s="167"/>
      <c r="T37" s="122"/>
      <c r="U37" s="77"/>
    </row>
    <row r="38" customFormat="false" ht="20.15" hidden="false" customHeight="true" outlineLevel="0" collapsed="false">
      <c r="B38" s="77"/>
      <c r="C38" s="122"/>
      <c r="D38" s="168"/>
      <c r="E38" s="168"/>
      <c r="F38" s="169"/>
      <c r="G38" s="169"/>
      <c r="H38" s="124"/>
      <c r="I38" s="122"/>
      <c r="J38" s="122"/>
      <c r="K38" s="122"/>
      <c r="L38" s="122"/>
      <c r="M38" s="122"/>
      <c r="N38" s="122"/>
      <c r="O38" s="122"/>
      <c r="P38" s="122"/>
      <c r="Q38" s="122"/>
      <c r="R38" s="122"/>
      <c r="S38" s="122"/>
      <c r="T38" s="122"/>
      <c r="U38" s="77"/>
    </row>
    <row r="39" customFormat="false" ht="20.15" hidden="false" customHeight="true" outlineLevel="0" collapsed="false">
      <c r="B39" s="77"/>
      <c r="U39" s="77"/>
    </row>
    <row r="40" customFormat="false" ht="20.15" hidden="false" customHeight="true" outlineLevel="0" collapsed="false">
      <c r="B40" s="77"/>
      <c r="C40" s="170"/>
      <c r="D40" s="170"/>
      <c r="E40" s="171" t="str">
        <f aca="false">IF(OR(M27="-",M27= ""),H27,M27)</f>
        <v>Clans of Caledonia</v>
      </c>
      <c r="F40" s="171"/>
      <c r="G40" s="171"/>
      <c r="H40" s="171"/>
      <c r="I40" s="171"/>
      <c r="J40" s="171"/>
      <c r="K40" s="171"/>
      <c r="L40" s="171"/>
      <c r="M40" s="171"/>
      <c r="N40" s="171"/>
      <c r="O40" s="172"/>
      <c r="P40" s="172"/>
      <c r="Q40" s="172"/>
      <c r="R40" s="172"/>
      <c r="S40" s="172"/>
      <c r="T40" s="170"/>
      <c r="U40" s="77"/>
    </row>
    <row r="41" customFormat="false" ht="50.15" hidden="false" customHeight="true" outlineLevel="0" collapsed="false">
      <c r="B41" s="77"/>
      <c r="C41" s="170"/>
      <c r="D41" s="172"/>
      <c r="E41" s="125" t="s">
        <v>52</v>
      </c>
      <c r="F41" s="126" t="s">
        <v>75</v>
      </c>
      <c r="G41" s="82" t="s">
        <v>76</v>
      </c>
      <c r="H41" s="81" t="s">
        <v>77</v>
      </c>
      <c r="I41" s="59" t="s">
        <v>78</v>
      </c>
      <c r="J41" s="81" t="s">
        <v>79</v>
      </c>
      <c r="K41" s="127" t="s">
        <v>80</v>
      </c>
      <c r="L41" s="81" t="s">
        <v>81</v>
      </c>
      <c r="M41" s="128" t="s">
        <v>82</v>
      </c>
      <c r="N41" s="129" t="s">
        <v>83</v>
      </c>
      <c r="O41" s="130" t="s">
        <v>84</v>
      </c>
      <c r="P41" s="131" t="s">
        <v>85</v>
      </c>
      <c r="Q41" s="131" t="s">
        <v>86</v>
      </c>
      <c r="R41" s="131" t="s">
        <v>87</v>
      </c>
      <c r="S41" s="172"/>
      <c r="T41" s="170"/>
      <c r="U41" s="77"/>
    </row>
    <row r="42" customFormat="false" ht="20.15" hidden="false" customHeight="true" outlineLevel="0" collapsed="false">
      <c r="B42" s="77"/>
      <c r="C42" s="170"/>
      <c r="D42" s="173"/>
      <c r="E42" s="199" t="s">
        <v>27</v>
      </c>
      <c r="F42" s="200" t="s">
        <v>29</v>
      </c>
      <c r="G42" s="201" t="n">
        <v>1</v>
      </c>
      <c r="H42" s="202" t="s">
        <v>328</v>
      </c>
      <c r="I42" s="201" t="n">
        <v>0</v>
      </c>
      <c r="J42" s="202" t="n">
        <v>178</v>
      </c>
      <c r="K42" s="202" t="s">
        <v>66</v>
      </c>
      <c r="L42" s="204" t="n">
        <f aca="false">IF(J42="",0,(J42/J46)*100)</f>
        <v>100</v>
      </c>
      <c r="M42" s="201" t="n">
        <v>1</v>
      </c>
      <c r="N42" s="205" t="n">
        <v>6</v>
      </c>
      <c r="O42" s="137" t="n">
        <f aca="false">IF(M42=1,1,0)</f>
        <v>1</v>
      </c>
      <c r="P42" s="138" t="n">
        <f aca="false">IF(M42=2,1,0)</f>
        <v>0</v>
      </c>
      <c r="Q42" s="138" t="n">
        <f aca="false">IF(M42=3,1,0)</f>
        <v>0</v>
      </c>
      <c r="R42" s="139" t="n">
        <f aca="false">IF(M42=4,1,0)</f>
        <v>0</v>
      </c>
      <c r="S42" s="176"/>
      <c r="T42" s="170"/>
      <c r="U42" s="77"/>
    </row>
    <row r="43" customFormat="false" ht="20.15" hidden="false" customHeight="true" outlineLevel="0" collapsed="false">
      <c r="B43" s="77"/>
      <c r="C43" s="170"/>
      <c r="D43" s="177"/>
      <c r="E43" s="180" t="s">
        <v>30</v>
      </c>
      <c r="F43" s="96" t="s">
        <v>32</v>
      </c>
      <c r="G43" s="141" t="n">
        <v>4</v>
      </c>
      <c r="H43" s="181" t="s">
        <v>94</v>
      </c>
      <c r="I43" s="141" t="n">
        <v>0</v>
      </c>
      <c r="J43" s="181" t="n">
        <v>148</v>
      </c>
      <c r="K43" s="181" t="s">
        <v>66</v>
      </c>
      <c r="L43" s="142" t="n">
        <f aca="false">IF(J43="",0,(J43/J46)*100)</f>
        <v>83.1460674157303</v>
      </c>
      <c r="M43" s="141" t="n">
        <v>3</v>
      </c>
      <c r="N43" s="143" t="n">
        <v>1</v>
      </c>
      <c r="O43" s="144" t="n">
        <f aca="false">IF(M43=1,1,0)</f>
        <v>0</v>
      </c>
      <c r="P43" s="145" t="n">
        <f aca="false">IF(M43=2,1,0)</f>
        <v>0</v>
      </c>
      <c r="Q43" s="145" t="n">
        <f aca="false">IF(M43=3,1,0)</f>
        <v>1</v>
      </c>
      <c r="R43" s="146" t="n">
        <f aca="false">IF(M43=4,1,0)</f>
        <v>0</v>
      </c>
      <c r="S43" s="176"/>
      <c r="T43" s="170"/>
      <c r="U43" s="77"/>
    </row>
    <row r="44" customFormat="false" ht="20.15" hidden="false" customHeight="true" outlineLevel="0" collapsed="false">
      <c r="B44" s="77"/>
      <c r="C44" s="170"/>
      <c r="D44" s="173"/>
      <c r="E44" s="209" t="s">
        <v>25</v>
      </c>
      <c r="F44" s="96" t="s">
        <v>26</v>
      </c>
      <c r="G44" s="141" t="n">
        <v>3</v>
      </c>
      <c r="H44" s="181" t="s">
        <v>96</v>
      </c>
      <c r="I44" s="141" t="n">
        <v>0</v>
      </c>
      <c r="J44" s="181" t="n">
        <v>156</v>
      </c>
      <c r="K44" s="181" t="s">
        <v>66</v>
      </c>
      <c r="L44" s="142" t="n">
        <f aca="false">IF(J44="",0,(J44/J46)*100)</f>
        <v>87.6404494382023</v>
      </c>
      <c r="M44" s="141" t="n">
        <v>2</v>
      </c>
      <c r="N44" s="143" t="n">
        <v>3</v>
      </c>
      <c r="O44" s="144" t="n">
        <f aca="false">IF(M44=1,1,0)</f>
        <v>0</v>
      </c>
      <c r="P44" s="145" t="n">
        <f aca="false">IF(M44=2,1,0)</f>
        <v>1</v>
      </c>
      <c r="Q44" s="145" t="n">
        <f aca="false">IF(M44=3,1,0)</f>
        <v>0</v>
      </c>
      <c r="R44" s="146" t="n">
        <f aca="false">IF(M44=4,1,0)</f>
        <v>0</v>
      </c>
      <c r="S44" s="176"/>
      <c r="T44" s="170"/>
      <c r="U44" s="77"/>
    </row>
    <row r="45" customFormat="false" ht="20.15" hidden="false" customHeight="true" outlineLevel="0" collapsed="false">
      <c r="B45" s="77"/>
      <c r="C45" s="170"/>
      <c r="D45" s="173"/>
      <c r="E45" s="315" t="s">
        <v>13</v>
      </c>
      <c r="F45" s="410" t="s">
        <v>14</v>
      </c>
      <c r="G45" s="153" t="n">
        <v>2</v>
      </c>
      <c r="H45" s="183" t="s">
        <v>327</v>
      </c>
      <c r="I45" s="153" t="n">
        <v>0</v>
      </c>
      <c r="J45" s="183" t="n">
        <v>125</v>
      </c>
      <c r="K45" s="153" t="s">
        <v>66</v>
      </c>
      <c r="L45" s="184" t="n">
        <f aca="false">IF(J45="",0,(J45/J46)*100)</f>
        <v>70.2247191011236</v>
      </c>
      <c r="M45" s="153" t="n">
        <v>4</v>
      </c>
      <c r="N45" s="155" t="n">
        <v>0</v>
      </c>
      <c r="O45" s="156" t="n">
        <f aca="false">IF(M45=1,1,0)</f>
        <v>0</v>
      </c>
      <c r="P45" s="157" t="n">
        <f aca="false">IF(M45=2,1,0)</f>
        <v>0</v>
      </c>
      <c r="Q45" s="157" t="n">
        <f aca="false">IF(M45=3,1,0)</f>
        <v>0</v>
      </c>
      <c r="R45" s="158" t="n">
        <f aca="false">IF(M45=4,1,0)</f>
        <v>1</v>
      </c>
      <c r="S45" s="176"/>
      <c r="T45" s="170"/>
      <c r="U45" s="77"/>
    </row>
    <row r="46" customFormat="false" ht="20.15" hidden="true" customHeight="true" outlineLevel="1" collapsed="false">
      <c r="B46" s="77"/>
      <c r="C46" s="170"/>
      <c r="D46" s="173"/>
      <c r="E46" s="173"/>
      <c r="F46" s="172"/>
      <c r="G46" s="172"/>
      <c r="H46" s="170"/>
      <c r="I46" s="185" t="s">
        <v>92</v>
      </c>
      <c r="J46" s="161" t="n">
        <f aca="false">MAX(J42:J45)</f>
        <v>178</v>
      </c>
      <c r="K46" s="186"/>
      <c r="L46" s="176"/>
      <c r="M46" s="170"/>
      <c r="N46" s="164" t="s">
        <v>93</v>
      </c>
      <c r="O46" s="165" t="n">
        <f aca="false">SUM(O42:O45)</f>
        <v>1</v>
      </c>
      <c r="P46" s="166" t="n">
        <f aca="false">SUM(P42:P45)</f>
        <v>1</v>
      </c>
      <c r="Q46" s="165" t="n">
        <f aca="false">SUM(Q42:Q45)</f>
        <v>1</v>
      </c>
      <c r="R46" s="187" t="n">
        <f aca="false">SUM(R42:R45)</f>
        <v>1</v>
      </c>
      <c r="S46" s="188"/>
      <c r="T46" s="170"/>
      <c r="U46" s="77"/>
    </row>
    <row r="47" customFormat="false" ht="20.15" hidden="false" customHeight="true" outlineLevel="0" collapsed="false">
      <c r="B47" s="77"/>
      <c r="C47" s="170"/>
      <c r="D47" s="189"/>
      <c r="E47" s="189"/>
      <c r="F47" s="170"/>
      <c r="G47" s="170"/>
      <c r="H47" s="170"/>
      <c r="I47" s="170"/>
      <c r="J47" s="170"/>
      <c r="K47" s="170"/>
      <c r="L47" s="170"/>
      <c r="M47" s="170"/>
      <c r="N47" s="170"/>
      <c r="O47" s="170"/>
      <c r="P47" s="170"/>
      <c r="Q47" s="170"/>
      <c r="R47" s="170"/>
      <c r="S47" s="170"/>
      <c r="T47" s="170"/>
      <c r="U47" s="77"/>
    </row>
    <row r="48" customFormat="false" ht="20.15" hidden="false" customHeight="true" outlineLevel="0" collapsed="false">
      <c r="B48" s="77"/>
      <c r="D48" s="190"/>
      <c r="E48" s="190"/>
      <c r="F48" s="190"/>
      <c r="G48" s="190"/>
      <c r="H48" s="191"/>
      <c r="I48" s="190"/>
      <c r="J48" s="190"/>
      <c r="K48" s="14"/>
      <c r="L48" s="14"/>
      <c r="M48" s="14"/>
      <c r="N48" s="14"/>
      <c r="O48" s="14"/>
      <c r="P48" s="14"/>
      <c r="Q48" s="14"/>
      <c r="R48" s="14"/>
      <c r="S48" s="14"/>
      <c r="U48" s="77"/>
    </row>
    <row r="49" customFormat="false" ht="20.15" hidden="false" customHeight="true" outlineLevel="0" collapsed="false">
      <c r="B49" s="77"/>
      <c r="C49" s="192"/>
      <c r="D49" s="192"/>
      <c r="E49" s="193" t="str">
        <f aca="false">IF(OR(M28="-",M28= ""),H28,M28)</f>
        <v>Dice Hospital</v>
      </c>
      <c r="F49" s="193"/>
      <c r="G49" s="193"/>
      <c r="H49" s="193"/>
      <c r="I49" s="193"/>
      <c r="J49" s="193"/>
      <c r="K49" s="193"/>
      <c r="L49" s="193"/>
      <c r="M49" s="193"/>
      <c r="N49" s="193"/>
      <c r="O49" s="194"/>
      <c r="P49" s="194"/>
      <c r="Q49" s="194"/>
      <c r="R49" s="194"/>
      <c r="S49" s="194"/>
      <c r="T49" s="192"/>
      <c r="U49" s="195"/>
      <c r="V49" s="196"/>
      <c r="W49" s="196"/>
    </row>
    <row r="50" customFormat="false" ht="50.15" hidden="false" customHeight="true" outlineLevel="0" collapsed="false">
      <c r="B50" s="77"/>
      <c r="C50" s="192"/>
      <c r="D50" s="194"/>
      <c r="E50" s="125" t="s">
        <v>52</v>
      </c>
      <c r="F50" s="126" t="s">
        <v>75</v>
      </c>
      <c r="G50" s="82" t="s">
        <v>76</v>
      </c>
      <c r="H50" s="81" t="s">
        <v>77</v>
      </c>
      <c r="I50" s="59" t="s">
        <v>78</v>
      </c>
      <c r="J50" s="81" t="s">
        <v>79</v>
      </c>
      <c r="K50" s="127" t="s">
        <v>80</v>
      </c>
      <c r="L50" s="81" t="s">
        <v>81</v>
      </c>
      <c r="M50" s="128" t="s">
        <v>82</v>
      </c>
      <c r="N50" s="129" t="s">
        <v>83</v>
      </c>
      <c r="O50" s="130" t="s">
        <v>84</v>
      </c>
      <c r="P50" s="131" t="s">
        <v>85</v>
      </c>
      <c r="Q50" s="131" t="s">
        <v>86</v>
      </c>
      <c r="R50" s="197" t="s">
        <v>87</v>
      </c>
      <c r="S50" s="194"/>
      <c r="T50" s="192"/>
      <c r="U50" s="195"/>
      <c r="V50" s="196"/>
      <c r="W50" s="196"/>
    </row>
    <row r="51" customFormat="false" ht="50.15" hidden="false" customHeight="true" outlineLevel="0" collapsed="false">
      <c r="B51" s="77"/>
      <c r="C51" s="192"/>
      <c r="D51" s="198"/>
      <c r="E51" s="174" t="s">
        <v>27</v>
      </c>
      <c r="F51" s="175" t="s">
        <v>29</v>
      </c>
      <c r="G51" s="133" t="n">
        <v>3</v>
      </c>
      <c r="H51" s="134" t="s">
        <v>429</v>
      </c>
      <c r="I51" s="133" t="n">
        <v>0</v>
      </c>
      <c r="J51" s="531" t="n">
        <v>56</v>
      </c>
      <c r="K51" s="134" t="s">
        <v>430</v>
      </c>
      <c r="L51" s="135" t="n">
        <f aca="false">IF(J51="",0,(J51/J55)*100)</f>
        <v>84.8484848484848</v>
      </c>
      <c r="M51" s="133" t="n">
        <v>3</v>
      </c>
      <c r="N51" s="136" t="n">
        <v>0.5</v>
      </c>
      <c r="O51" s="137" t="n">
        <f aca="false">IF(M51=1,1,0)</f>
        <v>0</v>
      </c>
      <c r="P51" s="138" t="n">
        <f aca="false">IF(M51=2,1,0)</f>
        <v>0</v>
      </c>
      <c r="Q51" s="138" t="n">
        <f aca="false">IF(M51=3,1,0)</f>
        <v>1</v>
      </c>
      <c r="R51" s="139" t="n">
        <f aca="false">IF(M51=4,1,0)</f>
        <v>0</v>
      </c>
      <c r="S51" s="206"/>
      <c r="T51" s="192"/>
      <c r="U51" s="207"/>
      <c r="V51" s="121"/>
      <c r="W51" s="121"/>
    </row>
    <row r="52" customFormat="false" ht="50.15" hidden="false" customHeight="true" outlineLevel="0" collapsed="false">
      <c r="B52" s="77"/>
      <c r="C52" s="192"/>
      <c r="D52" s="208"/>
      <c r="E52" s="180" t="s">
        <v>30</v>
      </c>
      <c r="F52" s="96" t="s">
        <v>32</v>
      </c>
      <c r="G52" s="141" t="n">
        <v>2</v>
      </c>
      <c r="H52" s="181" t="s">
        <v>431</v>
      </c>
      <c r="I52" s="141" t="n">
        <v>0</v>
      </c>
      <c r="J52" s="532" t="n">
        <v>56</v>
      </c>
      <c r="K52" s="181" t="s">
        <v>430</v>
      </c>
      <c r="L52" s="142" t="n">
        <f aca="false">IF(J52="",0,(J52/J55)*100)</f>
        <v>84.8484848484848</v>
      </c>
      <c r="M52" s="141" t="n">
        <v>3</v>
      </c>
      <c r="N52" s="143" t="n">
        <v>0.5</v>
      </c>
      <c r="O52" s="144" t="n">
        <f aca="false">IF(M52=1,1,0)</f>
        <v>0</v>
      </c>
      <c r="P52" s="145" t="n">
        <f aca="false">IF(M52=2,1,0)</f>
        <v>0</v>
      </c>
      <c r="Q52" s="145" t="n">
        <f aca="false">IF(M52=3,1,0)</f>
        <v>1</v>
      </c>
      <c r="R52" s="146" t="n">
        <f aca="false">IF(M52=4,1,0)</f>
        <v>0</v>
      </c>
      <c r="S52" s="206"/>
      <c r="T52" s="192"/>
      <c r="U52" s="211"/>
      <c r="V52" s="121"/>
      <c r="W52" s="121"/>
    </row>
    <row r="53" customFormat="false" ht="20.15" hidden="false" customHeight="true" outlineLevel="0" collapsed="false">
      <c r="B53" s="77"/>
      <c r="C53" s="192"/>
      <c r="D53" s="198"/>
      <c r="E53" s="209" t="s">
        <v>25</v>
      </c>
      <c r="F53" s="96" t="s">
        <v>26</v>
      </c>
      <c r="G53" s="141" t="n">
        <v>4</v>
      </c>
      <c r="H53" s="181" t="s">
        <v>432</v>
      </c>
      <c r="I53" s="141" t="n">
        <v>0</v>
      </c>
      <c r="J53" s="532" t="n">
        <v>63</v>
      </c>
      <c r="K53" s="181" t="s">
        <v>66</v>
      </c>
      <c r="L53" s="142" t="n">
        <f aca="false">IF(J53="",0,(J53/J55)*100)</f>
        <v>95.4545454545455</v>
      </c>
      <c r="M53" s="141" t="n">
        <v>2</v>
      </c>
      <c r="N53" s="143" t="n">
        <v>3</v>
      </c>
      <c r="O53" s="144" t="n">
        <f aca="false">IF(M53=1,1,0)</f>
        <v>0</v>
      </c>
      <c r="P53" s="145" t="n">
        <f aca="false">IF(M53=2,1,0)</f>
        <v>1</v>
      </c>
      <c r="Q53" s="145" t="n">
        <f aca="false">IF(M53=3,1,0)</f>
        <v>0</v>
      </c>
      <c r="R53" s="146" t="n">
        <f aca="false">IF(M53=4,1,0)</f>
        <v>0</v>
      </c>
      <c r="S53" s="206"/>
      <c r="T53" s="192"/>
      <c r="U53" s="211"/>
      <c r="V53" s="121"/>
      <c r="W53" s="121"/>
    </row>
    <row r="54" customFormat="false" ht="20.15" hidden="false" customHeight="true" outlineLevel="0" collapsed="false">
      <c r="B54" s="77"/>
      <c r="C54" s="192"/>
      <c r="D54" s="198"/>
      <c r="E54" s="318" t="s">
        <v>13</v>
      </c>
      <c r="F54" s="391" t="s">
        <v>14</v>
      </c>
      <c r="G54" s="322" t="n">
        <v>1</v>
      </c>
      <c r="H54" s="321" t="s">
        <v>433</v>
      </c>
      <c r="I54" s="322" t="n">
        <v>0</v>
      </c>
      <c r="J54" s="437" t="n">
        <v>66</v>
      </c>
      <c r="K54" s="321" t="s">
        <v>66</v>
      </c>
      <c r="L54" s="323" t="n">
        <f aca="false">IF(J54="",0,(J54/J55)*100)</f>
        <v>100</v>
      </c>
      <c r="M54" s="322" t="n">
        <v>1</v>
      </c>
      <c r="N54" s="324" t="n">
        <v>6</v>
      </c>
      <c r="O54" s="156" t="n">
        <f aca="false">IF(M54=1,1,0)</f>
        <v>1</v>
      </c>
      <c r="P54" s="157" t="n">
        <f aca="false">IF(M54=2,1,0)</f>
        <v>0</v>
      </c>
      <c r="Q54" s="157" t="n">
        <f aca="false">IF(M54=3,1,0)</f>
        <v>0</v>
      </c>
      <c r="R54" s="158" t="n">
        <f aca="false">IF(M54=4,1,0)</f>
        <v>0</v>
      </c>
      <c r="S54" s="206"/>
      <c r="T54" s="192"/>
      <c r="U54" s="211"/>
      <c r="V54" s="121"/>
      <c r="W54" s="121"/>
    </row>
    <row r="55" customFormat="false" ht="20.15" hidden="true" customHeight="true" outlineLevel="1" collapsed="false">
      <c r="B55" s="77"/>
      <c r="C55" s="192"/>
      <c r="D55" s="198"/>
      <c r="E55" s="198"/>
      <c r="F55" s="206"/>
      <c r="G55" s="206"/>
      <c r="H55" s="192"/>
      <c r="I55" s="213" t="s">
        <v>92</v>
      </c>
      <c r="J55" s="161" t="n">
        <f aca="false">MAX(J51:J54)</f>
        <v>66</v>
      </c>
      <c r="K55" s="214"/>
      <c r="L55" s="206"/>
      <c r="M55" s="192"/>
      <c r="N55" s="164" t="s">
        <v>93</v>
      </c>
      <c r="O55" s="165" t="n">
        <f aca="false">SUM(O51:O54)</f>
        <v>1</v>
      </c>
      <c r="P55" s="166" t="n">
        <f aca="false">SUM(P51:P54)</f>
        <v>1</v>
      </c>
      <c r="Q55" s="165" t="n">
        <f aca="false">SUM(Q51:Q54)</f>
        <v>2</v>
      </c>
      <c r="R55" s="187" t="n">
        <f aca="false">SUM(R51:R54)</f>
        <v>0</v>
      </c>
      <c r="S55" s="215"/>
      <c r="T55" s="192"/>
      <c r="U55" s="211"/>
      <c r="V55" s="121"/>
      <c r="W55" s="121"/>
    </row>
    <row r="56" customFormat="false" ht="20.15" hidden="false" customHeight="true" outlineLevel="0" collapsed="false">
      <c r="B56" s="77"/>
      <c r="C56" s="192"/>
      <c r="D56" s="216"/>
      <c r="E56" s="216"/>
      <c r="F56" s="192"/>
      <c r="G56" s="192"/>
      <c r="H56" s="192"/>
      <c r="I56" s="192"/>
      <c r="J56" s="192"/>
      <c r="K56" s="192"/>
      <c r="L56" s="192"/>
      <c r="M56" s="192"/>
      <c r="N56" s="192"/>
      <c r="O56" s="192"/>
      <c r="P56" s="192"/>
      <c r="Q56" s="192"/>
      <c r="R56" s="192"/>
      <c r="S56" s="192"/>
      <c r="T56" s="192"/>
      <c r="U56" s="211"/>
      <c r="V56" s="121"/>
      <c r="W56" s="121"/>
    </row>
    <row r="57" customFormat="false" ht="20.15" hidden="false" customHeight="true" outlineLevel="0" collapsed="false">
      <c r="B57" s="77"/>
      <c r="D57" s="190"/>
      <c r="E57" s="190"/>
      <c r="F57" s="190"/>
      <c r="G57" s="190"/>
      <c r="H57" s="191"/>
      <c r="I57" s="190"/>
      <c r="J57" s="190"/>
      <c r="K57" s="190"/>
      <c r="L57" s="14"/>
      <c r="M57" s="14"/>
      <c r="N57" s="14"/>
      <c r="O57" s="14"/>
      <c r="P57" s="14"/>
      <c r="Q57" s="14"/>
      <c r="R57" s="14"/>
      <c r="S57" s="14"/>
      <c r="U57" s="207"/>
      <c r="V57" s="121"/>
      <c r="W57" s="121"/>
    </row>
    <row r="58" customFormat="false" ht="20.15" hidden="false" customHeight="true" outlineLevel="0" collapsed="false">
      <c r="B58" s="77"/>
      <c r="C58" s="217"/>
      <c r="D58" s="217"/>
      <c r="E58" s="218" t="str">
        <f aca="false">IF(OR(M29="-",M29= ""),H29,M29)</f>
        <v>La Granja</v>
      </c>
      <c r="F58" s="218"/>
      <c r="G58" s="218"/>
      <c r="H58" s="218"/>
      <c r="I58" s="218"/>
      <c r="J58" s="218"/>
      <c r="K58" s="218"/>
      <c r="L58" s="218"/>
      <c r="M58" s="218"/>
      <c r="N58" s="218"/>
      <c r="O58" s="219"/>
      <c r="P58" s="219"/>
      <c r="Q58" s="219"/>
      <c r="R58" s="219"/>
      <c r="S58" s="219"/>
      <c r="T58" s="217"/>
      <c r="U58" s="77"/>
    </row>
    <row r="59" customFormat="false" ht="50.15" hidden="false" customHeight="true" outlineLevel="0" collapsed="false">
      <c r="B59" s="77"/>
      <c r="C59" s="217"/>
      <c r="D59" s="219"/>
      <c r="E59" s="125" t="s">
        <v>52</v>
      </c>
      <c r="F59" s="126" t="s">
        <v>75</v>
      </c>
      <c r="G59" s="82" t="s">
        <v>76</v>
      </c>
      <c r="H59" s="81" t="s">
        <v>77</v>
      </c>
      <c r="I59" s="59" t="s">
        <v>78</v>
      </c>
      <c r="J59" s="81" t="s">
        <v>79</v>
      </c>
      <c r="K59" s="127" t="s">
        <v>80</v>
      </c>
      <c r="L59" s="81" t="s">
        <v>81</v>
      </c>
      <c r="M59" s="128" t="s">
        <v>82</v>
      </c>
      <c r="N59" s="129" t="s">
        <v>83</v>
      </c>
      <c r="O59" s="130" t="s">
        <v>84</v>
      </c>
      <c r="P59" s="131" t="s">
        <v>85</v>
      </c>
      <c r="Q59" s="131" t="s">
        <v>86</v>
      </c>
      <c r="R59" s="197" t="s">
        <v>87</v>
      </c>
      <c r="S59" s="219"/>
      <c r="T59" s="217"/>
      <c r="U59" s="77"/>
    </row>
    <row r="60" customFormat="false" ht="20.15" hidden="false" customHeight="true" outlineLevel="0" collapsed="false">
      <c r="B60" s="77"/>
      <c r="C60" s="217"/>
      <c r="D60" s="220"/>
      <c r="E60" s="174" t="s">
        <v>27</v>
      </c>
      <c r="F60" s="175" t="s">
        <v>29</v>
      </c>
      <c r="G60" s="133" t="n">
        <v>4</v>
      </c>
      <c r="H60" s="134" t="s">
        <v>66</v>
      </c>
      <c r="I60" s="133" t="n">
        <v>1</v>
      </c>
      <c r="J60" s="133" t="n">
        <v>85</v>
      </c>
      <c r="K60" s="133" t="s">
        <v>66</v>
      </c>
      <c r="L60" s="135" t="n">
        <f aca="false">IF(J60="",0,(J60/J64)*100)</f>
        <v>96.5909090909091</v>
      </c>
      <c r="M60" s="133" t="n">
        <v>2</v>
      </c>
      <c r="N60" s="136" t="n">
        <v>3</v>
      </c>
      <c r="O60" s="137" t="n">
        <f aca="false">IF(M60=1,1,0)</f>
        <v>0</v>
      </c>
      <c r="P60" s="138" t="n">
        <f aca="false">IF(M60=2,1,0)</f>
        <v>1</v>
      </c>
      <c r="Q60" s="138" t="n">
        <f aca="false">IF(M60=3,1,0)</f>
        <v>0</v>
      </c>
      <c r="R60" s="139" t="n">
        <f aca="false">IF(M60=4,1,0)</f>
        <v>0</v>
      </c>
      <c r="S60" s="225"/>
      <c r="T60" s="217"/>
      <c r="U60" s="77"/>
    </row>
    <row r="61" customFormat="false" ht="20.15" hidden="false" customHeight="true" outlineLevel="0" collapsed="false">
      <c r="B61" s="77"/>
      <c r="C61" s="217"/>
      <c r="D61" s="220"/>
      <c r="E61" s="180" t="s">
        <v>30</v>
      </c>
      <c r="F61" s="96" t="s">
        <v>32</v>
      </c>
      <c r="G61" s="141" t="n">
        <v>1</v>
      </c>
      <c r="H61" s="181" t="s">
        <v>66</v>
      </c>
      <c r="I61" s="141" t="n">
        <v>1</v>
      </c>
      <c r="J61" s="141" t="n">
        <v>61</v>
      </c>
      <c r="K61" s="141" t="s">
        <v>66</v>
      </c>
      <c r="L61" s="142" t="n">
        <f aca="false">IF(J61="",0,(J61/J64)*100)</f>
        <v>69.3181818181818</v>
      </c>
      <c r="M61" s="141" t="n">
        <v>4</v>
      </c>
      <c r="N61" s="143" t="n">
        <v>0</v>
      </c>
      <c r="O61" s="144" t="n">
        <f aca="false">IF(M61=1,1,0)</f>
        <v>0</v>
      </c>
      <c r="P61" s="145" t="n">
        <f aca="false">IF(M61=2,1,0)</f>
        <v>0</v>
      </c>
      <c r="Q61" s="145" t="n">
        <f aca="false">IF(M61=3,1,0)</f>
        <v>0</v>
      </c>
      <c r="R61" s="146" t="n">
        <f aca="false">IF(M61=4,1,0)</f>
        <v>1</v>
      </c>
      <c r="S61" s="225"/>
      <c r="T61" s="217"/>
      <c r="U61" s="77"/>
    </row>
    <row r="62" customFormat="false" ht="20.15" hidden="false" customHeight="true" outlineLevel="0" collapsed="false">
      <c r="B62" s="77"/>
      <c r="C62" s="217"/>
      <c r="D62" s="220"/>
      <c r="E62" s="209" t="s">
        <v>25</v>
      </c>
      <c r="F62" s="96" t="s">
        <v>26</v>
      </c>
      <c r="G62" s="141" t="n">
        <v>2</v>
      </c>
      <c r="H62" s="181" t="s">
        <v>66</v>
      </c>
      <c r="I62" s="141" t="n">
        <v>1</v>
      </c>
      <c r="J62" s="141" t="n">
        <v>80</v>
      </c>
      <c r="K62" s="141" t="s">
        <v>66</v>
      </c>
      <c r="L62" s="142" t="n">
        <f aca="false">IF(J62="",0,(J62/J64)*100)</f>
        <v>90.9090909090909</v>
      </c>
      <c r="M62" s="141" t="n">
        <v>3</v>
      </c>
      <c r="N62" s="143" t="n">
        <v>1</v>
      </c>
      <c r="O62" s="144" t="n">
        <f aca="false">IF(M62=1,1,0)</f>
        <v>0</v>
      </c>
      <c r="P62" s="145" t="n">
        <f aca="false">IF(M62=2,1,0)</f>
        <v>0</v>
      </c>
      <c r="Q62" s="145" t="n">
        <f aca="false">IF(M62=3,1,0)</f>
        <v>1</v>
      </c>
      <c r="R62" s="146" t="n">
        <f aca="false">IF(M62=4,1,0)</f>
        <v>0</v>
      </c>
      <c r="S62" s="225"/>
      <c r="T62" s="217"/>
      <c r="U62" s="77"/>
    </row>
    <row r="63" customFormat="false" ht="20.15" hidden="false" customHeight="true" outlineLevel="0" collapsed="false">
      <c r="B63" s="77"/>
      <c r="C63" s="217"/>
      <c r="D63" s="231"/>
      <c r="E63" s="318" t="s">
        <v>13</v>
      </c>
      <c r="F63" s="391" t="s">
        <v>14</v>
      </c>
      <c r="G63" s="322" t="n">
        <v>3</v>
      </c>
      <c r="H63" s="321" t="s">
        <v>66</v>
      </c>
      <c r="I63" s="322" t="n">
        <v>1</v>
      </c>
      <c r="J63" s="322" t="n">
        <v>88</v>
      </c>
      <c r="K63" s="322" t="s">
        <v>66</v>
      </c>
      <c r="L63" s="323" t="n">
        <f aca="false">IF(J63="",0,(J63/J64)*100)</f>
        <v>100</v>
      </c>
      <c r="M63" s="322" t="n">
        <v>1</v>
      </c>
      <c r="N63" s="324" t="n">
        <v>6</v>
      </c>
      <c r="O63" s="156" t="n">
        <f aca="false">IF(M63=1,1,0)</f>
        <v>1</v>
      </c>
      <c r="P63" s="157" t="n">
        <f aca="false">IF(M63=2,1,0)</f>
        <v>0</v>
      </c>
      <c r="Q63" s="157" t="n">
        <f aca="false">IF(M63=3,1,0)</f>
        <v>0</v>
      </c>
      <c r="R63" s="158" t="n">
        <f aca="false">IF(M63=4,1,0)</f>
        <v>0</v>
      </c>
      <c r="S63" s="225"/>
      <c r="T63" s="217"/>
      <c r="U63" s="77"/>
    </row>
    <row r="64" customFormat="false" ht="20.15" hidden="true" customHeight="true" outlineLevel="1" collapsed="false">
      <c r="B64" s="77"/>
      <c r="C64" s="217"/>
      <c r="D64" s="220"/>
      <c r="E64" s="220"/>
      <c r="F64" s="225"/>
      <c r="G64" s="225"/>
      <c r="H64" s="217"/>
      <c r="I64" s="185" t="s">
        <v>92</v>
      </c>
      <c r="J64" s="161" t="n">
        <f aca="false">MAX(J60:J63)</f>
        <v>88</v>
      </c>
      <c r="K64" s="237"/>
      <c r="L64" s="225"/>
      <c r="M64" s="217"/>
      <c r="N64" s="164" t="s">
        <v>93</v>
      </c>
      <c r="O64" s="165" t="n">
        <f aca="false">SUM(O60:O63)</f>
        <v>1</v>
      </c>
      <c r="P64" s="166" t="n">
        <f aca="false">SUM(P60:P63)</f>
        <v>1</v>
      </c>
      <c r="Q64" s="165" t="n">
        <f aca="false">SUM(Q60:Q63)</f>
        <v>1</v>
      </c>
      <c r="R64" s="187" t="n">
        <f aca="false">SUM(R60:R63)</f>
        <v>1</v>
      </c>
      <c r="S64" s="238"/>
      <c r="T64" s="217"/>
      <c r="U64" s="77"/>
    </row>
    <row r="65" customFormat="false" ht="20.15" hidden="false" customHeight="true" outlineLevel="0" collapsed="false">
      <c r="B65" s="77"/>
      <c r="C65" s="217"/>
      <c r="D65" s="239"/>
      <c r="E65" s="239"/>
      <c r="F65" s="217"/>
      <c r="G65" s="217"/>
      <c r="H65" s="217"/>
      <c r="I65" s="217"/>
      <c r="J65" s="217"/>
      <c r="K65" s="217"/>
      <c r="L65" s="217"/>
      <c r="M65" s="217"/>
      <c r="N65" s="217"/>
      <c r="O65" s="217"/>
      <c r="P65" s="217"/>
      <c r="Q65" s="217"/>
      <c r="R65" s="217"/>
      <c r="S65" s="217"/>
      <c r="T65" s="217"/>
      <c r="U65" s="77"/>
    </row>
    <row r="66" customFormat="false" ht="20.15" hidden="false" customHeight="true" outlineLevel="0" collapsed="false">
      <c r="B66" s="77"/>
      <c r="D66" s="5"/>
      <c r="E66" s="5"/>
      <c r="F66" s="5"/>
      <c r="G66" s="5"/>
      <c r="H66" s="5"/>
      <c r="I66" s="5"/>
      <c r="J66" s="5"/>
      <c r="K66" s="14"/>
      <c r="L66" s="14"/>
      <c r="M66" s="14"/>
      <c r="N66" s="14"/>
      <c r="O66" s="14"/>
      <c r="P66" s="14"/>
      <c r="Q66" s="14"/>
      <c r="R66" s="14"/>
      <c r="S66" s="14"/>
      <c r="U66" s="77"/>
    </row>
    <row r="67" customFormat="false" ht="30" hidden="false" customHeight="true" outlineLevel="0" collapsed="false">
      <c r="B67" s="77"/>
      <c r="C67" s="240"/>
      <c r="D67" s="241" t="s">
        <v>101</v>
      </c>
      <c r="E67" s="241"/>
      <c r="F67" s="241"/>
      <c r="G67" s="241"/>
      <c r="H67" s="241"/>
      <c r="I67" s="241"/>
      <c r="J67" s="241"/>
      <c r="K67" s="241"/>
      <c r="L67" s="241"/>
      <c r="M67" s="241"/>
      <c r="N67" s="241"/>
      <c r="O67" s="241"/>
      <c r="P67" s="241"/>
      <c r="Q67" s="241"/>
      <c r="R67" s="241"/>
      <c r="S67" s="241"/>
      <c r="T67" s="240"/>
      <c r="U67" s="77"/>
    </row>
    <row r="68" customFormat="false" ht="50.15" hidden="false" customHeight="true" outlineLevel="0" collapsed="false">
      <c r="B68" s="77"/>
      <c r="C68" s="240"/>
      <c r="D68" s="242" t="s">
        <v>52</v>
      </c>
      <c r="E68" s="243" t="s">
        <v>53</v>
      </c>
      <c r="F68" s="244" t="s">
        <v>83</v>
      </c>
      <c r="G68" s="245" t="s">
        <v>102</v>
      </c>
      <c r="H68" s="246" t="s">
        <v>103</v>
      </c>
      <c r="I68" s="246"/>
      <c r="J68" s="247" t="s">
        <v>104</v>
      </c>
      <c r="K68" s="248" t="s">
        <v>105</v>
      </c>
      <c r="L68" s="244" t="s">
        <v>106</v>
      </c>
      <c r="M68" s="248" t="s">
        <v>107</v>
      </c>
      <c r="N68" s="244" t="s">
        <v>108</v>
      </c>
      <c r="O68" s="249"/>
      <c r="P68" s="250"/>
      <c r="Q68" s="250"/>
      <c r="R68" s="250"/>
      <c r="S68" s="243" t="s">
        <v>109</v>
      </c>
      <c r="T68" s="240"/>
      <c r="U68" s="77"/>
    </row>
    <row r="69" customFormat="false" ht="20.15" hidden="false" customHeight="true" outlineLevel="0" collapsed="false">
      <c r="B69" s="77"/>
      <c r="C69" s="240"/>
      <c r="D69" s="251" t="s">
        <v>27</v>
      </c>
      <c r="E69" s="17" t="s">
        <v>28</v>
      </c>
      <c r="F69" s="253" t="n">
        <f aca="false">(K69*6+L69*3+M69*1+N69*0)</f>
        <v>15.5</v>
      </c>
      <c r="G69" s="253" t="n">
        <v>0</v>
      </c>
      <c r="H69" s="254" t="s">
        <v>66</v>
      </c>
      <c r="I69" s="254"/>
      <c r="J69" s="253" t="n">
        <f aca="false">F69+G69</f>
        <v>15.5</v>
      </c>
      <c r="K69" s="253" t="n">
        <v>2</v>
      </c>
      <c r="L69" s="253" t="n">
        <v>1</v>
      </c>
      <c r="M69" s="253" t="n">
        <v>0.5</v>
      </c>
      <c r="N69" s="253" t="n">
        <v>0.5</v>
      </c>
      <c r="O69" s="253"/>
      <c r="P69" s="253"/>
      <c r="Q69" s="253"/>
      <c r="R69" s="253"/>
      <c r="S69" s="255" t="n">
        <f aca="false">(L33+L42+L51+L60)/4</f>
        <v>95.3598484848485</v>
      </c>
      <c r="T69" s="240"/>
      <c r="U69" s="77"/>
      <c r="W69" s="256"/>
      <c r="X69" s="256"/>
      <c r="Y69" s="256"/>
      <c r="Z69" s="256"/>
    </row>
    <row r="70" customFormat="false" ht="20.15" hidden="false" customHeight="true" outlineLevel="0" collapsed="false">
      <c r="B70" s="77"/>
      <c r="C70" s="240"/>
      <c r="D70" s="257" t="s">
        <v>13</v>
      </c>
      <c r="E70" s="258" t="s">
        <v>14</v>
      </c>
      <c r="F70" s="259" t="n">
        <f aca="false">(K70*6+L70*3+M70*1+N70*0)</f>
        <v>13</v>
      </c>
      <c r="G70" s="259" t="n">
        <v>0</v>
      </c>
      <c r="H70" s="260" t="s">
        <v>66</v>
      </c>
      <c r="I70" s="260"/>
      <c r="J70" s="259" t="n">
        <f aca="false">F70+G70</f>
        <v>13</v>
      </c>
      <c r="K70" s="259" t="n">
        <v>2</v>
      </c>
      <c r="L70" s="259" t="n">
        <v>0</v>
      </c>
      <c r="M70" s="259" t="n">
        <v>1</v>
      </c>
      <c r="N70" s="259" t="n">
        <v>1</v>
      </c>
      <c r="O70" s="259"/>
      <c r="P70" s="259"/>
      <c r="Q70" s="259"/>
      <c r="R70" s="259"/>
      <c r="S70" s="261" t="n">
        <f aca="false">(L36+L45+L54+L63)/4</f>
        <v>87.2283109228219</v>
      </c>
      <c r="T70" s="240"/>
      <c r="U70" s="77"/>
      <c r="W70" s="262"/>
      <c r="X70" s="262"/>
      <c r="Y70" s="262"/>
      <c r="Z70" s="262"/>
    </row>
    <row r="71" customFormat="false" ht="20.15" hidden="false" customHeight="true" outlineLevel="0" collapsed="false">
      <c r="B71" s="77"/>
      <c r="C71" s="240"/>
      <c r="D71" s="263" t="s">
        <v>25</v>
      </c>
      <c r="E71" s="264" t="s">
        <v>26</v>
      </c>
      <c r="F71" s="259" t="n">
        <f aca="false">(K71*6+L71*3+M71*1+N71*0)</f>
        <v>7</v>
      </c>
      <c r="G71" s="259" t="n">
        <v>0</v>
      </c>
      <c r="H71" s="260" t="s">
        <v>66</v>
      </c>
      <c r="I71" s="260"/>
      <c r="J71" s="259" t="n">
        <f aca="false">F71+G71</f>
        <v>7</v>
      </c>
      <c r="K71" s="259" t="n">
        <v>0</v>
      </c>
      <c r="L71" s="259" t="n">
        <v>2</v>
      </c>
      <c r="M71" s="259" t="n">
        <v>1</v>
      </c>
      <c r="N71" s="259" t="n">
        <v>1</v>
      </c>
      <c r="O71" s="259"/>
      <c r="P71" s="259"/>
      <c r="Q71" s="259"/>
      <c r="R71" s="259"/>
      <c r="S71" s="261" t="n">
        <f aca="false">(L35+L44+L53+L62)/4</f>
        <v>84.0747919422629</v>
      </c>
      <c r="T71" s="240"/>
      <c r="U71" s="77"/>
      <c r="W71" s="262"/>
      <c r="X71" s="262"/>
      <c r="Y71" s="262"/>
      <c r="Z71" s="262"/>
    </row>
    <row r="72" customFormat="false" ht="20.15" hidden="false" customHeight="true" outlineLevel="0" collapsed="false">
      <c r="B72" s="77"/>
      <c r="C72" s="240"/>
      <c r="D72" s="533" t="s">
        <v>30</v>
      </c>
      <c r="E72" s="362" t="s">
        <v>32</v>
      </c>
      <c r="F72" s="267" t="n">
        <f aca="false">(K72*6+L72*3+M72*1+N72*0)</f>
        <v>4.5</v>
      </c>
      <c r="G72" s="267" t="n">
        <v>0</v>
      </c>
      <c r="H72" s="268" t="s">
        <v>66</v>
      </c>
      <c r="I72" s="268"/>
      <c r="J72" s="267" t="n">
        <f aca="false">F72+G72</f>
        <v>4.5</v>
      </c>
      <c r="K72" s="267" t="n">
        <v>0</v>
      </c>
      <c r="L72" s="267" t="n">
        <v>1</v>
      </c>
      <c r="M72" s="267" t="n">
        <v>1.5</v>
      </c>
      <c r="N72" s="267" t="n">
        <v>1.5</v>
      </c>
      <c r="O72" s="267"/>
      <c r="P72" s="267"/>
      <c r="Q72" s="267"/>
      <c r="R72" s="267"/>
      <c r="S72" s="269" t="n">
        <f aca="false">(L34+L43+L52+L61)/4</f>
        <v>79.8199867992878</v>
      </c>
      <c r="T72" s="240"/>
      <c r="U72" s="77"/>
      <c r="W72" s="262"/>
      <c r="X72" s="262"/>
      <c r="Y72" s="262"/>
      <c r="Z72" s="262"/>
      <c r="AB72" s="262"/>
      <c r="AC72" s="262"/>
      <c r="AD72" s="262"/>
      <c r="AE72" s="262"/>
    </row>
    <row r="73" customFormat="false" ht="20.15" hidden="false" customHeight="true" outlineLevel="0" collapsed="false">
      <c r="B73" s="77"/>
      <c r="C73" s="240"/>
      <c r="D73" s="240"/>
      <c r="E73" s="240"/>
      <c r="F73" s="240"/>
      <c r="G73" s="240"/>
      <c r="H73" s="240"/>
      <c r="I73" s="240"/>
      <c r="J73" s="240"/>
      <c r="K73" s="240"/>
      <c r="L73" s="240"/>
      <c r="M73" s="240"/>
      <c r="N73" s="240"/>
      <c r="O73" s="240"/>
      <c r="P73" s="240"/>
      <c r="Q73" s="240"/>
      <c r="R73" s="240"/>
      <c r="S73" s="240"/>
      <c r="T73" s="240"/>
      <c r="U73" s="77"/>
      <c r="W73" s="262"/>
      <c r="X73" s="262"/>
      <c r="Y73" s="262"/>
      <c r="Z73" s="262"/>
    </row>
    <row r="74" customFormat="false" ht="20.15" hidden="false" customHeight="true" outlineLevel="0" collapsed="false">
      <c r="B74" s="77"/>
      <c r="C74" s="77"/>
      <c r="D74" s="270"/>
      <c r="E74" s="270"/>
      <c r="F74" s="195"/>
      <c r="G74" s="195"/>
      <c r="H74" s="270"/>
      <c r="I74" s="270"/>
      <c r="J74" s="270"/>
      <c r="K74" s="207"/>
      <c r="L74" s="207"/>
      <c r="M74" s="207"/>
      <c r="N74" s="207"/>
      <c r="O74" s="207"/>
      <c r="P74" s="207"/>
      <c r="Q74" s="207"/>
      <c r="R74" s="207"/>
      <c r="S74" s="207"/>
      <c r="T74" s="77"/>
      <c r="U74" s="77"/>
    </row>
    <row r="75" customFormat="false" ht="20.15" hidden="false" customHeight="true" outlineLevel="0" collapsed="false">
      <c r="C75" s="271"/>
      <c r="D75" s="272"/>
      <c r="O75" s="14"/>
      <c r="P75" s="14"/>
      <c r="Q75" s="14"/>
      <c r="R75" s="14"/>
      <c r="S75" s="14"/>
      <c r="U75" s="271"/>
    </row>
    <row r="76" customFormat="false" ht="20.15" hidden="false" customHeight="true" outlineLevel="0" collapsed="false">
      <c r="D76" s="273"/>
      <c r="O76" s="14"/>
      <c r="P76" s="14"/>
      <c r="Q76" s="14"/>
      <c r="R76" s="14"/>
      <c r="S76" s="14"/>
    </row>
    <row r="77" customFormat="false" ht="20.15" hidden="false" customHeight="true" outlineLevel="0" collapsed="false">
      <c r="B77" s="77"/>
      <c r="C77" s="77"/>
      <c r="D77" s="78"/>
      <c r="E77" s="78"/>
      <c r="F77" s="78"/>
      <c r="G77" s="78"/>
      <c r="H77" s="77"/>
      <c r="I77" s="77"/>
      <c r="J77" s="77"/>
      <c r="K77" s="77"/>
      <c r="L77" s="77"/>
      <c r="M77" s="77"/>
      <c r="N77" s="77"/>
      <c r="O77" s="77"/>
      <c r="P77" s="77"/>
      <c r="Q77" s="77"/>
      <c r="R77" s="77"/>
      <c r="S77" s="77"/>
      <c r="T77" s="77"/>
      <c r="U77" s="77"/>
    </row>
    <row r="78" customFormat="false" ht="30" hidden="false" customHeight="true" outlineLevel="0" collapsed="false">
      <c r="B78" s="77"/>
      <c r="C78" s="79" t="s">
        <v>110</v>
      </c>
      <c r="D78" s="79"/>
      <c r="E78" s="79"/>
      <c r="F78" s="79"/>
      <c r="G78" s="79"/>
      <c r="H78" s="79"/>
      <c r="I78" s="79"/>
      <c r="J78" s="79"/>
      <c r="K78" s="79"/>
      <c r="L78" s="79"/>
      <c r="M78" s="79"/>
      <c r="N78" s="79"/>
      <c r="O78" s="79"/>
      <c r="P78" s="79"/>
      <c r="Q78" s="79"/>
      <c r="R78" s="79"/>
      <c r="S78" s="79"/>
      <c r="T78" s="79"/>
      <c r="U78" s="77"/>
    </row>
    <row r="79" customFormat="false" ht="20.15" hidden="false" customHeight="true" outlineLevel="0" collapsed="false">
      <c r="B79" s="77"/>
      <c r="D79" s="121"/>
      <c r="E79" s="121"/>
      <c r="U79" s="77"/>
    </row>
    <row r="80" customFormat="false" ht="20.15" hidden="false" customHeight="true" outlineLevel="0" collapsed="false">
      <c r="B80" s="77"/>
      <c r="D80" s="80" t="s">
        <v>52</v>
      </c>
      <c r="E80" s="81" t="s">
        <v>111</v>
      </c>
      <c r="F80" s="82" t="s">
        <v>12</v>
      </c>
      <c r="G80" s="275" t="s">
        <v>54</v>
      </c>
      <c r="H80" s="275"/>
      <c r="I80" s="275"/>
      <c r="J80" s="275"/>
      <c r="K80" s="81" t="s">
        <v>55</v>
      </c>
      <c r="L80" s="83" t="s">
        <v>56</v>
      </c>
      <c r="M80" s="83"/>
      <c r="N80" s="83"/>
      <c r="O80" s="83"/>
      <c r="P80" s="83"/>
      <c r="Q80" s="83"/>
      <c r="R80" s="83"/>
      <c r="S80" s="83"/>
      <c r="U80" s="77"/>
    </row>
    <row r="81" customFormat="false" ht="20.15" hidden="false" customHeight="true" outlineLevel="0" collapsed="false">
      <c r="B81" s="77"/>
      <c r="D81" s="80"/>
      <c r="E81" s="81"/>
      <c r="F81" s="81"/>
      <c r="G81" s="85" t="s">
        <v>57</v>
      </c>
      <c r="H81" s="84" t="s">
        <v>58</v>
      </c>
      <c r="I81" s="82" t="s">
        <v>59</v>
      </c>
      <c r="J81" s="82"/>
      <c r="K81" s="84" t="s">
        <v>60</v>
      </c>
      <c r="L81" s="276" t="s">
        <v>57</v>
      </c>
      <c r="M81" s="277" t="s">
        <v>61</v>
      </c>
      <c r="N81" s="82" t="s">
        <v>59</v>
      </c>
      <c r="O81" s="82"/>
      <c r="P81" s="82"/>
      <c r="Q81" s="82"/>
      <c r="R81" s="82"/>
      <c r="S81" s="82"/>
      <c r="U81" s="77"/>
    </row>
    <row r="82" customFormat="false" ht="20.15" hidden="false" customHeight="true" outlineLevel="0" collapsed="false">
      <c r="B82" s="77"/>
      <c r="D82" s="86" t="s">
        <v>39</v>
      </c>
      <c r="E82" s="87" t="s">
        <v>40</v>
      </c>
      <c r="F82" s="343" t="n">
        <v>1</v>
      </c>
      <c r="G82" s="280" t="s">
        <v>67</v>
      </c>
      <c r="H82" s="281" t="s">
        <v>398</v>
      </c>
      <c r="I82" s="282" t="s">
        <v>434</v>
      </c>
      <c r="J82" s="282"/>
      <c r="K82" s="503" t="s">
        <v>65</v>
      </c>
      <c r="L82" s="284" t="s">
        <v>66</v>
      </c>
      <c r="M82" s="94" t="s">
        <v>66</v>
      </c>
      <c r="N82" s="95" t="s">
        <v>66</v>
      </c>
      <c r="O82" s="95"/>
      <c r="P82" s="95"/>
      <c r="Q82" s="95"/>
      <c r="R82" s="95"/>
      <c r="S82" s="95"/>
      <c r="U82" s="77"/>
    </row>
    <row r="83" customFormat="false" ht="35.15" hidden="false" customHeight="true" outlineLevel="0" collapsed="false">
      <c r="B83" s="77"/>
      <c r="D83" s="105" t="s">
        <v>19</v>
      </c>
      <c r="E83" s="96" t="s">
        <v>20</v>
      </c>
      <c r="F83" s="346" t="n">
        <v>2</v>
      </c>
      <c r="G83" s="286" t="s">
        <v>67</v>
      </c>
      <c r="H83" s="99" t="s">
        <v>352</v>
      </c>
      <c r="I83" s="287" t="s">
        <v>383</v>
      </c>
      <c r="J83" s="287"/>
      <c r="K83" s="288" t="s">
        <v>65</v>
      </c>
      <c r="L83" s="289" t="s">
        <v>66</v>
      </c>
      <c r="M83" s="103" t="s">
        <v>66</v>
      </c>
      <c r="N83" s="104" t="s">
        <v>66</v>
      </c>
      <c r="O83" s="104"/>
      <c r="P83" s="104"/>
      <c r="Q83" s="104"/>
      <c r="R83" s="104"/>
      <c r="S83" s="104"/>
      <c r="U83" s="77"/>
    </row>
    <row r="84" customFormat="false" ht="20.15" hidden="false" customHeight="true" outlineLevel="0" collapsed="false">
      <c r="B84" s="77"/>
      <c r="D84" s="209" t="s">
        <v>16</v>
      </c>
      <c r="E84" s="96" t="s">
        <v>17</v>
      </c>
      <c r="F84" s="346" t="n">
        <v>3</v>
      </c>
      <c r="G84" s="291" t="s">
        <v>67</v>
      </c>
      <c r="H84" s="107" t="s">
        <v>344</v>
      </c>
      <c r="I84" s="293" t="s">
        <v>370</v>
      </c>
      <c r="J84" s="293"/>
      <c r="K84" s="497" t="s">
        <v>280</v>
      </c>
      <c r="L84" s="289" t="s">
        <v>66</v>
      </c>
      <c r="M84" s="103" t="s">
        <v>66</v>
      </c>
      <c r="N84" s="104" t="s">
        <v>66</v>
      </c>
      <c r="O84" s="104"/>
      <c r="P84" s="104"/>
      <c r="Q84" s="104"/>
      <c r="R84" s="104"/>
      <c r="S84" s="104"/>
      <c r="U84" s="77"/>
    </row>
    <row r="85" customFormat="false" ht="35.15" hidden="false" customHeight="true" outlineLevel="0" collapsed="false">
      <c r="B85" s="77"/>
      <c r="D85" s="182" t="s">
        <v>49</v>
      </c>
      <c r="E85" s="410" t="s">
        <v>50</v>
      </c>
      <c r="F85" s="350" t="n">
        <v>4</v>
      </c>
      <c r="G85" s="387" t="s">
        <v>67</v>
      </c>
      <c r="H85" s="101" t="s">
        <v>280</v>
      </c>
      <c r="I85" s="377" t="s">
        <v>435</v>
      </c>
      <c r="J85" s="377"/>
      <c r="K85" s="300" t="s">
        <v>65</v>
      </c>
      <c r="L85" s="301" t="s">
        <v>66</v>
      </c>
      <c r="M85" s="302" t="s">
        <v>66</v>
      </c>
      <c r="N85" s="303" t="s">
        <v>66</v>
      </c>
      <c r="O85" s="303"/>
      <c r="P85" s="303"/>
      <c r="Q85" s="303"/>
      <c r="R85" s="303"/>
      <c r="S85" s="303"/>
      <c r="U85" s="77"/>
    </row>
    <row r="86" customFormat="false" ht="20.15" hidden="false" customHeight="true" outlineLevel="0" collapsed="false">
      <c r="B86" s="77"/>
      <c r="D86" s="121"/>
      <c r="E86" s="121"/>
      <c r="U86" s="77"/>
    </row>
    <row r="87" customFormat="false" ht="20.15" hidden="false" customHeight="true" outlineLevel="0" collapsed="false">
      <c r="B87" s="77"/>
      <c r="C87" s="122"/>
      <c r="D87" s="122"/>
      <c r="E87" s="123" t="str">
        <f aca="false">IF(OR(L82="-",L82= ""),H82,L82)</f>
        <v>Im Jahr des Drachen</v>
      </c>
      <c r="F87" s="123"/>
      <c r="G87" s="123"/>
      <c r="H87" s="123"/>
      <c r="I87" s="123"/>
      <c r="J87" s="123"/>
      <c r="K87" s="123"/>
      <c r="L87" s="123"/>
      <c r="M87" s="123"/>
      <c r="N87" s="123"/>
      <c r="O87" s="124"/>
      <c r="P87" s="124"/>
      <c r="Q87" s="124"/>
      <c r="R87" s="124"/>
      <c r="S87" s="124"/>
      <c r="T87" s="122"/>
      <c r="U87" s="77"/>
    </row>
    <row r="88" customFormat="false" ht="50.15" hidden="false" customHeight="true" outlineLevel="0" collapsed="false">
      <c r="B88" s="77"/>
      <c r="C88" s="122"/>
      <c r="D88" s="124"/>
      <c r="E88" s="125" t="s">
        <v>52</v>
      </c>
      <c r="F88" s="126" t="s">
        <v>75</v>
      </c>
      <c r="G88" s="82" t="s">
        <v>76</v>
      </c>
      <c r="H88" s="81" t="s">
        <v>77</v>
      </c>
      <c r="I88" s="59" t="s">
        <v>78</v>
      </c>
      <c r="J88" s="81" t="s">
        <v>79</v>
      </c>
      <c r="K88" s="127" t="s">
        <v>80</v>
      </c>
      <c r="L88" s="81" t="s">
        <v>81</v>
      </c>
      <c r="M88" s="128" t="s">
        <v>82</v>
      </c>
      <c r="N88" s="129" t="s">
        <v>83</v>
      </c>
      <c r="O88" s="130" t="s">
        <v>84</v>
      </c>
      <c r="P88" s="131" t="s">
        <v>85</v>
      </c>
      <c r="Q88" s="131" t="s">
        <v>86</v>
      </c>
      <c r="R88" s="197" t="s">
        <v>87</v>
      </c>
      <c r="S88" s="124"/>
      <c r="T88" s="122"/>
      <c r="U88" s="77"/>
    </row>
    <row r="89" customFormat="false" ht="20.15" hidden="false" customHeight="true" outlineLevel="0" collapsed="false">
      <c r="B89" s="77"/>
      <c r="C89" s="122"/>
      <c r="D89" s="152"/>
      <c r="E89" s="86" t="s">
        <v>39</v>
      </c>
      <c r="F89" s="87" t="s">
        <v>40</v>
      </c>
      <c r="G89" s="304" t="n">
        <v>1</v>
      </c>
      <c r="H89" s="221" t="s">
        <v>66</v>
      </c>
      <c r="I89" s="221" t="n">
        <v>0</v>
      </c>
      <c r="J89" s="221" t="n">
        <v>89</v>
      </c>
      <c r="K89" s="221" t="s">
        <v>66</v>
      </c>
      <c r="L89" s="223" t="n">
        <f aca="false">IF(J89="",0,(J89/J93)*100)</f>
        <v>89</v>
      </c>
      <c r="M89" s="221" t="n">
        <v>3</v>
      </c>
      <c r="N89" s="224" t="n">
        <v>1</v>
      </c>
      <c r="O89" s="137" t="n">
        <f aca="false">IF(M89=1,1,0)</f>
        <v>0</v>
      </c>
      <c r="P89" s="138" t="n">
        <f aca="false">IF(M89=2,1,0)</f>
        <v>0</v>
      </c>
      <c r="Q89" s="138" t="n">
        <f aca="false">IF(M89=3,1,0)</f>
        <v>1</v>
      </c>
      <c r="R89" s="139" t="n">
        <f aca="false">IF(M89=4,1,0)</f>
        <v>0</v>
      </c>
      <c r="S89" s="140"/>
      <c r="T89" s="122"/>
      <c r="U89" s="77"/>
    </row>
    <row r="90" customFormat="false" ht="20.15" hidden="false" customHeight="true" outlineLevel="0" collapsed="false">
      <c r="B90" s="77"/>
      <c r="C90" s="122"/>
      <c r="D90" s="132"/>
      <c r="E90" s="105" t="s">
        <v>19</v>
      </c>
      <c r="F90" s="227" t="s">
        <v>20</v>
      </c>
      <c r="G90" s="306" t="n">
        <v>4</v>
      </c>
      <c r="H90" s="228" t="s">
        <v>66</v>
      </c>
      <c r="I90" s="228" t="n">
        <v>0</v>
      </c>
      <c r="J90" s="228" t="n">
        <v>90</v>
      </c>
      <c r="K90" s="317" t="s">
        <v>66</v>
      </c>
      <c r="L90" s="229" t="n">
        <f aca="false">IF(J90="",0,(J90/J93)*100)</f>
        <v>90</v>
      </c>
      <c r="M90" s="228" t="n">
        <v>2</v>
      </c>
      <c r="N90" s="230" t="n">
        <v>3</v>
      </c>
      <c r="O90" s="144" t="n">
        <f aca="false">IF(M90=1,1,0)</f>
        <v>0</v>
      </c>
      <c r="P90" s="145" t="n">
        <f aca="false">IF(M90=2,1,0)</f>
        <v>1</v>
      </c>
      <c r="Q90" s="145" t="n">
        <f aca="false">IF(M90=3,1,0)</f>
        <v>0</v>
      </c>
      <c r="R90" s="146" t="n">
        <f aca="false">IF(M90=4,1,0)</f>
        <v>0</v>
      </c>
      <c r="S90" s="140"/>
      <c r="T90" s="122"/>
      <c r="U90" s="77"/>
    </row>
    <row r="91" customFormat="false" ht="20.15" hidden="false" customHeight="true" outlineLevel="0" collapsed="false">
      <c r="B91" s="77"/>
      <c r="C91" s="122"/>
      <c r="D91" s="132"/>
      <c r="E91" s="226" t="s">
        <v>16</v>
      </c>
      <c r="F91" s="227" t="s">
        <v>17</v>
      </c>
      <c r="G91" s="306" t="n">
        <v>2</v>
      </c>
      <c r="H91" s="228" t="s">
        <v>66</v>
      </c>
      <c r="I91" s="228" t="n">
        <v>0</v>
      </c>
      <c r="J91" s="228" t="n">
        <v>88</v>
      </c>
      <c r="K91" s="228" t="s">
        <v>66</v>
      </c>
      <c r="L91" s="229" t="n">
        <f aca="false">IF(J91="",0,(J91/J93)*100)</f>
        <v>88</v>
      </c>
      <c r="M91" s="228" t="n">
        <v>4</v>
      </c>
      <c r="N91" s="230" t="n">
        <v>0</v>
      </c>
      <c r="O91" s="144" t="n">
        <f aca="false">IF(M91=1,1,0)</f>
        <v>0</v>
      </c>
      <c r="P91" s="145" t="n">
        <f aca="false">IF(M91=2,1,0)</f>
        <v>0</v>
      </c>
      <c r="Q91" s="145" t="n">
        <f aca="false">IF(M91=3,1,0)</f>
        <v>0</v>
      </c>
      <c r="R91" s="146" t="n">
        <f aca="false">IF(M91=4,1,0)</f>
        <v>1</v>
      </c>
      <c r="S91" s="140"/>
      <c r="T91" s="122"/>
      <c r="U91" s="77"/>
    </row>
    <row r="92" customFormat="false" ht="20.15" hidden="false" customHeight="true" outlineLevel="0" collapsed="false">
      <c r="B92" s="77"/>
      <c r="C92" s="122"/>
      <c r="D92" s="132"/>
      <c r="E92" s="439" t="s">
        <v>49</v>
      </c>
      <c r="F92" s="391" t="s">
        <v>50</v>
      </c>
      <c r="G92" s="320" t="n">
        <v>3</v>
      </c>
      <c r="H92" s="322" t="s">
        <v>66</v>
      </c>
      <c r="I92" s="322" t="n">
        <v>0</v>
      </c>
      <c r="J92" s="322" t="n">
        <v>100</v>
      </c>
      <c r="K92" s="321" t="s">
        <v>66</v>
      </c>
      <c r="L92" s="323" t="n">
        <f aca="false">IF(J92="",0,(J92/J93)*100)</f>
        <v>100</v>
      </c>
      <c r="M92" s="322" t="n">
        <v>1</v>
      </c>
      <c r="N92" s="324" t="n">
        <v>6</v>
      </c>
      <c r="O92" s="156" t="n">
        <f aca="false">IF(M92=1,1,0)</f>
        <v>1</v>
      </c>
      <c r="P92" s="157" t="n">
        <f aca="false">IF(M92=2,1,0)</f>
        <v>0</v>
      </c>
      <c r="Q92" s="157" t="n">
        <f aca="false">IF(M92=3,1,0)</f>
        <v>0</v>
      </c>
      <c r="R92" s="158" t="n">
        <f aca="false">IF(M92=4,1,0)</f>
        <v>0</v>
      </c>
      <c r="S92" s="140"/>
      <c r="T92" s="122"/>
      <c r="U92" s="77"/>
    </row>
    <row r="93" customFormat="false" ht="20.15" hidden="true" customHeight="true" outlineLevel="1" collapsed="false">
      <c r="B93" s="77"/>
      <c r="C93" s="122"/>
      <c r="D93" s="152"/>
      <c r="E93" s="152"/>
      <c r="F93" s="140"/>
      <c r="G93" s="140"/>
      <c r="H93" s="122"/>
      <c r="I93" s="213" t="s">
        <v>92</v>
      </c>
      <c r="J93" s="161" t="n">
        <f aca="false">MAX(J89:J92)</f>
        <v>100</v>
      </c>
      <c r="K93" s="309"/>
      <c r="L93" s="167"/>
      <c r="M93" s="122"/>
      <c r="N93" s="164" t="s">
        <v>93</v>
      </c>
      <c r="O93" s="165" t="n">
        <f aca="false">SUM(O89:O92)</f>
        <v>1</v>
      </c>
      <c r="P93" s="166" t="n">
        <f aca="false">SUM(P89:P92)</f>
        <v>1</v>
      </c>
      <c r="Q93" s="165" t="n">
        <f aca="false">SUM(Q89:Q92)</f>
        <v>1</v>
      </c>
      <c r="R93" s="187" t="n">
        <f aca="false">SUM(R89:R92)</f>
        <v>1</v>
      </c>
      <c r="S93" s="167"/>
      <c r="T93" s="122"/>
      <c r="U93" s="77"/>
    </row>
    <row r="94" customFormat="false" ht="20.15" hidden="false" customHeight="true" outlineLevel="0" collapsed="false">
      <c r="B94" s="77"/>
      <c r="C94" s="122"/>
      <c r="D94" s="168"/>
      <c r="E94" s="168"/>
      <c r="F94" s="122"/>
      <c r="G94" s="122"/>
      <c r="H94" s="122"/>
      <c r="I94" s="122"/>
      <c r="J94" s="122"/>
      <c r="K94" s="122"/>
      <c r="L94" s="122"/>
      <c r="M94" s="122"/>
      <c r="N94" s="122"/>
      <c r="O94" s="122"/>
      <c r="P94" s="122"/>
      <c r="Q94" s="122"/>
      <c r="R94" s="122"/>
      <c r="S94" s="122"/>
      <c r="T94" s="122"/>
      <c r="U94" s="77"/>
    </row>
    <row r="95" customFormat="false" ht="20.15" hidden="false" customHeight="true" outlineLevel="0" collapsed="false">
      <c r="B95" s="77"/>
      <c r="U95" s="77"/>
    </row>
    <row r="96" customFormat="false" ht="20.15" hidden="false" customHeight="true" outlineLevel="0" collapsed="false">
      <c r="B96" s="77"/>
      <c r="C96" s="170"/>
      <c r="D96" s="170"/>
      <c r="E96" s="171" t="str">
        <f aca="false">IF(OR(L83="-",L83= ""),H83,L83)</f>
        <v>Viticulture</v>
      </c>
      <c r="F96" s="171"/>
      <c r="G96" s="171"/>
      <c r="H96" s="171"/>
      <c r="I96" s="171"/>
      <c r="J96" s="171"/>
      <c r="K96" s="171"/>
      <c r="L96" s="171"/>
      <c r="M96" s="171"/>
      <c r="N96" s="171"/>
      <c r="O96" s="172"/>
      <c r="P96" s="172"/>
      <c r="Q96" s="172"/>
      <c r="R96" s="172"/>
      <c r="S96" s="172"/>
      <c r="T96" s="170"/>
      <c r="U96" s="77"/>
    </row>
    <row r="97" customFormat="false" ht="50.15" hidden="false" customHeight="true" outlineLevel="0" collapsed="false">
      <c r="B97" s="77"/>
      <c r="C97" s="170"/>
      <c r="D97" s="172"/>
      <c r="E97" s="125" t="s">
        <v>52</v>
      </c>
      <c r="F97" s="126" t="s">
        <v>75</v>
      </c>
      <c r="G97" s="82" t="s">
        <v>76</v>
      </c>
      <c r="H97" s="81" t="s">
        <v>77</v>
      </c>
      <c r="I97" s="59" t="s">
        <v>78</v>
      </c>
      <c r="J97" s="81" t="s">
        <v>79</v>
      </c>
      <c r="K97" s="127" t="s">
        <v>80</v>
      </c>
      <c r="L97" s="81" t="s">
        <v>81</v>
      </c>
      <c r="M97" s="128" t="s">
        <v>82</v>
      </c>
      <c r="N97" s="129" t="s">
        <v>83</v>
      </c>
      <c r="O97" s="130" t="s">
        <v>84</v>
      </c>
      <c r="P97" s="131" t="s">
        <v>85</v>
      </c>
      <c r="Q97" s="131" t="s">
        <v>86</v>
      </c>
      <c r="R97" s="197" t="s">
        <v>87</v>
      </c>
      <c r="S97" s="172"/>
      <c r="T97" s="170"/>
      <c r="U97" s="77"/>
    </row>
    <row r="98" customFormat="false" ht="35.15" hidden="false" customHeight="true" outlineLevel="0" collapsed="false">
      <c r="B98" s="77"/>
      <c r="C98" s="170"/>
      <c r="D98" s="177"/>
      <c r="E98" s="86" t="s">
        <v>39</v>
      </c>
      <c r="F98" s="87" t="s">
        <v>40</v>
      </c>
      <c r="G98" s="304" t="n">
        <v>1</v>
      </c>
      <c r="H98" s="222" t="s">
        <v>436</v>
      </c>
      <c r="I98" s="221" t="n">
        <v>0</v>
      </c>
      <c r="J98" s="222" t="n">
        <v>16</v>
      </c>
      <c r="K98" s="389" t="s">
        <v>66</v>
      </c>
      <c r="L98" s="223" t="n">
        <f aca="false">IF(J98="",0,(J98/J102)*100)</f>
        <v>69.5652173913043</v>
      </c>
      <c r="M98" s="221" t="n">
        <v>3</v>
      </c>
      <c r="N98" s="224" t="n">
        <v>1</v>
      </c>
      <c r="O98" s="137" t="n">
        <f aca="false">IF(M98=1,1,0)</f>
        <v>0</v>
      </c>
      <c r="P98" s="138" t="n">
        <f aca="false">IF(M98=2,1,0)</f>
        <v>0</v>
      </c>
      <c r="Q98" s="138" t="n">
        <f aca="false">IF(M98=3,1,0)</f>
        <v>1</v>
      </c>
      <c r="R98" s="139" t="n">
        <f aca="false">IF(M98=4,1,0)</f>
        <v>0</v>
      </c>
      <c r="S98" s="176"/>
      <c r="T98" s="170"/>
      <c r="U98" s="77"/>
    </row>
    <row r="99" customFormat="false" ht="35.15" hidden="false" customHeight="true" outlineLevel="0" collapsed="false">
      <c r="B99" s="77"/>
      <c r="C99" s="170"/>
      <c r="D99" s="173"/>
      <c r="E99" s="105" t="s">
        <v>19</v>
      </c>
      <c r="F99" s="227" t="s">
        <v>20</v>
      </c>
      <c r="G99" s="306" t="n">
        <v>2</v>
      </c>
      <c r="H99" s="317" t="s">
        <v>437</v>
      </c>
      <c r="I99" s="228" t="n">
        <v>0</v>
      </c>
      <c r="J99" s="317" t="n">
        <v>15</v>
      </c>
      <c r="K99" s="317" t="s">
        <v>66</v>
      </c>
      <c r="L99" s="229" t="n">
        <f aca="false">IF(J99="",0,(J99/J102)*100)</f>
        <v>65.2173913043478</v>
      </c>
      <c r="M99" s="228" t="n">
        <v>4</v>
      </c>
      <c r="N99" s="230" t="n">
        <v>0</v>
      </c>
      <c r="O99" s="144" t="n">
        <f aca="false">IF(M99=1,1,0)</f>
        <v>0</v>
      </c>
      <c r="P99" s="145" t="n">
        <f aca="false">IF(M99=2,1,0)</f>
        <v>0</v>
      </c>
      <c r="Q99" s="145" t="n">
        <f aca="false">IF(M99=3,1,0)</f>
        <v>0</v>
      </c>
      <c r="R99" s="146" t="n">
        <f aca="false">IF(M99=4,1,0)</f>
        <v>1</v>
      </c>
      <c r="S99" s="176"/>
      <c r="T99" s="170"/>
      <c r="U99" s="77"/>
    </row>
    <row r="100" customFormat="false" ht="35.15" hidden="false" customHeight="true" outlineLevel="0" collapsed="false">
      <c r="B100" s="77"/>
      <c r="C100" s="170"/>
      <c r="D100" s="177"/>
      <c r="E100" s="178" t="s">
        <v>16</v>
      </c>
      <c r="F100" s="148" t="s">
        <v>17</v>
      </c>
      <c r="G100" s="305" t="n">
        <v>4</v>
      </c>
      <c r="H100" s="179" t="s">
        <v>438</v>
      </c>
      <c r="I100" s="149" t="n">
        <v>0</v>
      </c>
      <c r="J100" s="179" t="n">
        <v>23</v>
      </c>
      <c r="K100" s="534" t="s">
        <v>66</v>
      </c>
      <c r="L100" s="150" t="n">
        <f aca="false">IF(J100="",0,(J100/J102)*100)</f>
        <v>100</v>
      </c>
      <c r="M100" s="149" t="n">
        <v>1</v>
      </c>
      <c r="N100" s="151" t="n">
        <v>6</v>
      </c>
      <c r="O100" s="144" t="n">
        <f aca="false">IF(M100=1,1,0)</f>
        <v>1</v>
      </c>
      <c r="P100" s="145" t="n">
        <f aca="false">IF(M100=2,1,0)</f>
        <v>0</v>
      </c>
      <c r="Q100" s="145" t="n">
        <f aca="false">IF(M100=3,1,0)</f>
        <v>0</v>
      </c>
      <c r="R100" s="146" t="n">
        <f aca="false">IF(M100=4,1,0)</f>
        <v>0</v>
      </c>
      <c r="S100" s="176"/>
      <c r="T100" s="170"/>
      <c r="U100" s="77"/>
    </row>
    <row r="101" customFormat="false" ht="35.15" hidden="false" customHeight="true" outlineLevel="0" collapsed="false">
      <c r="B101" s="77"/>
      <c r="C101" s="170"/>
      <c r="D101" s="173"/>
      <c r="E101" s="232" t="s">
        <v>49</v>
      </c>
      <c r="F101" s="386" t="s">
        <v>50</v>
      </c>
      <c r="G101" s="307" t="n">
        <v>3</v>
      </c>
      <c r="H101" s="308" t="s">
        <v>439</v>
      </c>
      <c r="I101" s="234" t="n">
        <v>0</v>
      </c>
      <c r="J101" s="308" t="n">
        <v>20</v>
      </c>
      <c r="K101" s="308" t="s">
        <v>66</v>
      </c>
      <c r="L101" s="235" t="n">
        <f aca="false">IF(J101="",0,(J101/J102)*100)</f>
        <v>86.9565217391304</v>
      </c>
      <c r="M101" s="234" t="n">
        <v>2</v>
      </c>
      <c r="N101" s="236" t="n">
        <v>3</v>
      </c>
      <c r="O101" s="156" t="n">
        <f aca="false">IF(M101=1,1,0)</f>
        <v>0</v>
      </c>
      <c r="P101" s="157" t="n">
        <f aca="false">IF(M101=2,1,0)</f>
        <v>1</v>
      </c>
      <c r="Q101" s="157" t="n">
        <f aca="false">IF(M101=3,1,0)</f>
        <v>0</v>
      </c>
      <c r="R101" s="158" t="n">
        <f aca="false">IF(M101=4,1,0)</f>
        <v>0</v>
      </c>
      <c r="S101" s="176"/>
      <c r="T101" s="170"/>
      <c r="U101" s="77"/>
    </row>
    <row r="102" customFormat="false" ht="20.15" hidden="true" customHeight="true" outlineLevel="1" collapsed="false">
      <c r="B102" s="77"/>
      <c r="C102" s="170"/>
      <c r="D102" s="173"/>
      <c r="E102" s="173"/>
      <c r="F102" s="172"/>
      <c r="G102" s="172"/>
      <c r="H102" s="170"/>
      <c r="I102" s="213" t="s">
        <v>92</v>
      </c>
      <c r="J102" s="161" t="n">
        <f aca="false">MAX(J98:J101)</f>
        <v>23</v>
      </c>
      <c r="K102" s="186"/>
      <c r="L102" s="176"/>
      <c r="M102" s="170"/>
      <c r="N102" s="164" t="s">
        <v>93</v>
      </c>
      <c r="O102" s="165" t="n">
        <f aca="false">SUM(O98:O101)</f>
        <v>1</v>
      </c>
      <c r="P102" s="166" t="n">
        <f aca="false">SUM(P98:P101)</f>
        <v>1</v>
      </c>
      <c r="Q102" s="165" t="n">
        <f aca="false">SUM(Q98:Q101)</f>
        <v>1</v>
      </c>
      <c r="R102" s="187" t="n">
        <f aca="false">SUM(R98:R101)</f>
        <v>1</v>
      </c>
      <c r="S102" s="188"/>
      <c r="T102" s="170"/>
      <c r="U102" s="77"/>
    </row>
    <row r="103" customFormat="false" ht="20.15" hidden="false" customHeight="true" outlineLevel="0" collapsed="false">
      <c r="B103" s="77"/>
      <c r="C103" s="170"/>
      <c r="D103" s="189"/>
      <c r="E103" s="189"/>
      <c r="F103" s="170"/>
      <c r="G103" s="170"/>
      <c r="H103" s="170"/>
      <c r="I103" s="170"/>
      <c r="J103" s="170"/>
      <c r="K103" s="170"/>
      <c r="L103" s="170"/>
      <c r="M103" s="170"/>
      <c r="N103" s="170"/>
      <c r="O103" s="170"/>
      <c r="P103" s="170"/>
      <c r="Q103" s="170"/>
      <c r="R103" s="170"/>
      <c r="S103" s="170"/>
      <c r="T103" s="170"/>
      <c r="U103" s="77"/>
    </row>
    <row r="104" customFormat="false" ht="20.15" hidden="false" customHeight="true" outlineLevel="0" collapsed="false">
      <c r="B104" s="77"/>
      <c r="D104" s="190"/>
      <c r="E104" s="190"/>
      <c r="F104" s="190"/>
      <c r="G104" s="190"/>
      <c r="H104" s="191"/>
      <c r="I104" s="190"/>
      <c r="J104" s="190"/>
      <c r="K104" s="14"/>
      <c r="L104" s="14"/>
      <c r="M104" s="14"/>
      <c r="N104" s="14"/>
      <c r="O104" s="14"/>
      <c r="P104" s="14"/>
      <c r="Q104" s="14"/>
      <c r="R104" s="14"/>
      <c r="S104" s="14"/>
      <c r="U104" s="77"/>
    </row>
    <row r="105" customFormat="false" ht="20.15" hidden="false" customHeight="true" outlineLevel="0" collapsed="false">
      <c r="B105" s="77"/>
      <c r="C105" s="192"/>
      <c r="D105" s="192"/>
      <c r="E105" s="193" t="str">
        <f aca="false">IF(OR(L84="-",L84= ""),H84,L84)</f>
        <v>La Granja</v>
      </c>
      <c r="F105" s="193"/>
      <c r="G105" s="193"/>
      <c r="H105" s="193"/>
      <c r="I105" s="193"/>
      <c r="J105" s="193"/>
      <c r="K105" s="193"/>
      <c r="L105" s="193"/>
      <c r="M105" s="193"/>
      <c r="N105" s="193"/>
      <c r="O105" s="194"/>
      <c r="P105" s="194"/>
      <c r="Q105" s="194"/>
      <c r="R105" s="194"/>
      <c r="S105" s="194"/>
      <c r="T105" s="192"/>
      <c r="U105" s="195"/>
    </row>
    <row r="106" customFormat="false" ht="50.15" hidden="false" customHeight="true" outlineLevel="0" collapsed="false">
      <c r="B106" s="77"/>
      <c r="C106" s="192"/>
      <c r="D106" s="194"/>
      <c r="E106" s="125" t="s">
        <v>52</v>
      </c>
      <c r="F106" s="126" t="s">
        <v>75</v>
      </c>
      <c r="G106" s="82" t="s">
        <v>76</v>
      </c>
      <c r="H106" s="81" t="s">
        <v>77</v>
      </c>
      <c r="I106" s="59" t="s">
        <v>78</v>
      </c>
      <c r="J106" s="81" t="s">
        <v>79</v>
      </c>
      <c r="K106" s="127" t="s">
        <v>80</v>
      </c>
      <c r="L106" s="81" t="s">
        <v>81</v>
      </c>
      <c r="M106" s="128" t="s">
        <v>82</v>
      </c>
      <c r="N106" s="129" t="s">
        <v>83</v>
      </c>
      <c r="O106" s="130" t="s">
        <v>84</v>
      </c>
      <c r="P106" s="131" t="s">
        <v>85</v>
      </c>
      <c r="Q106" s="131" t="s">
        <v>86</v>
      </c>
      <c r="R106" s="197" t="s">
        <v>87</v>
      </c>
      <c r="S106" s="194"/>
      <c r="T106" s="192"/>
      <c r="U106" s="195"/>
    </row>
    <row r="107" customFormat="false" ht="20.15" hidden="false" customHeight="true" outlineLevel="0" collapsed="false">
      <c r="B107" s="77"/>
      <c r="C107" s="192"/>
      <c r="D107" s="208"/>
      <c r="E107" s="86" t="s">
        <v>39</v>
      </c>
      <c r="F107" s="87" t="s">
        <v>40</v>
      </c>
      <c r="G107" s="304" t="n">
        <v>2</v>
      </c>
      <c r="H107" s="222" t="s">
        <v>66</v>
      </c>
      <c r="I107" s="221" t="n">
        <v>1</v>
      </c>
      <c r="J107" s="222" t="n">
        <v>79</v>
      </c>
      <c r="K107" s="221" t="s">
        <v>66</v>
      </c>
      <c r="L107" s="223" t="n">
        <f aca="false">IF(J107="",0,(J107/J111)*100)</f>
        <v>96.3414634146342</v>
      </c>
      <c r="M107" s="221" t="n">
        <v>3</v>
      </c>
      <c r="N107" s="224" t="n">
        <v>1</v>
      </c>
      <c r="O107" s="137" t="n">
        <f aca="false">IF(M107=1,1,0)</f>
        <v>0</v>
      </c>
      <c r="P107" s="138" t="n">
        <f aca="false">IF(M107=2,1,0)</f>
        <v>0</v>
      </c>
      <c r="Q107" s="138" t="n">
        <f aca="false">IF(M107=3,1,0)</f>
        <v>1</v>
      </c>
      <c r="R107" s="139" t="n">
        <f aca="false">IF(M107=4,1,0)</f>
        <v>0</v>
      </c>
      <c r="S107" s="206"/>
      <c r="T107" s="192"/>
      <c r="U107" s="207"/>
    </row>
    <row r="108" customFormat="false" ht="20.15" hidden="false" customHeight="true" outlineLevel="0" collapsed="false">
      <c r="B108" s="77"/>
      <c r="C108" s="192"/>
      <c r="D108" s="198"/>
      <c r="E108" s="105" t="s">
        <v>19</v>
      </c>
      <c r="F108" s="227" t="s">
        <v>20</v>
      </c>
      <c r="G108" s="306" t="n">
        <v>1</v>
      </c>
      <c r="H108" s="317" t="s">
        <v>66</v>
      </c>
      <c r="I108" s="228" t="n">
        <v>1</v>
      </c>
      <c r="J108" s="317" t="n">
        <v>81</v>
      </c>
      <c r="K108" s="317" t="s">
        <v>66</v>
      </c>
      <c r="L108" s="229" t="n">
        <f aca="false">IF(J108="",0,(J108/J111)*100)</f>
        <v>98.7804878048781</v>
      </c>
      <c r="M108" s="228" t="n">
        <v>2</v>
      </c>
      <c r="N108" s="230" t="n">
        <v>3</v>
      </c>
      <c r="O108" s="144" t="n">
        <f aca="false">IF(M108=1,1,0)</f>
        <v>0</v>
      </c>
      <c r="P108" s="145" t="n">
        <f aca="false">IF(M108=2,1,0)</f>
        <v>1</v>
      </c>
      <c r="Q108" s="145" t="n">
        <f aca="false">IF(M108=3,1,0)</f>
        <v>0</v>
      </c>
      <c r="R108" s="146" t="n">
        <f aca="false">IF(M108=4,1,0)</f>
        <v>0</v>
      </c>
      <c r="S108" s="206"/>
      <c r="T108" s="192"/>
      <c r="U108" s="211"/>
    </row>
    <row r="109" customFormat="false" ht="20.15" hidden="false" customHeight="true" outlineLevel="0" collapsed="false">
      <c r="B109" s="77"/>
      <c r="C109" s="192"/>
      <c r="D109" s="198"/>
      <c r="E109" s="178" t="s">
        <v>16</v>
      </c>
      <c r="F109" s="148" t="s">
        <v>17</v>
      </c>
      <c r="G109" s="305" t="n">
        <v>4</v>
      </c>
      <c r="H109" s="179" t="s">
        <v>66</v>
      </c>
      <c r="I109" s="149" t="n">
        <v>1</v>
      </c>
      <c r="J109" s="179" t="n">
        <v>82</v>
      </c>
      <c r="K109" s="149" t="s">
        <v>66</v>
      </c>
      <c r="L109" s="150" t="n">
        <f aca="false">IF(J109="",0,(J109/J111)*100)</f>
        <v>100</v>
      </c>
      <c r="M109" s="149" t="n">
        <v>1</v>
      </c>
      <c r="N109" s="151" t="n">
        <v>6</v>
      </c>
      <c r="O109" s="144" t="n">
        <f aca="false">IF(M109=1,1,0)</f>
        <v>1</v>
      </c>
      <c r="P109" s="145" t="n">
        <f aca="false">IF(M109=2,1,0)</f>
        <v>0</v>
      </c>
      <c r="Q109" s="145" t="n">
        <f aca="false">IF(M109=3,1,0)</f>
        <v>0</v>
      </c>
      <c r="R109" s="146" t="n">
        <f aca="false">IF(M109=4,1,0)</f>
        <v>0</v>
      </c>
      <c r="S109" s="206"/>
      <c r="T109" s="192"/>
      <c r="U109" s="211"/>
    </row>
    <row r="110" customFormat="false" ht="20.15" hidden="false" customHeight="true" outlineLevel="0" collapsed="false">
      <c r="B110" s="77"/>
      <c r="C110" s="192"/>
      <c r="D110" s="198"/>
      <c r="E110" s="232" t="s">
        <v>49</v>
      </c>
      <c r="F110" s="386" t="s">
        <v>50</v>
      </c>
      <c r="G110" s="307" t="n">
        <v>3</v>
      </c>
      <c r="H110" s="308" t="s">
        <v>66</v>
      </c>
      <c r="I110" s="234" t="n">
        <v>1</v>
      </c>
      <c r="J110" s="308" t="n">
        <v>77</v>
      </c>
      <c r="K110" s="308" t="s">
        <v>66</v>
      </c>
      <c r="L110" s="235" t="n">
        <f aca="false">IF(J110="",0,(J110/J111)*100)</f>
        <v>93.9024390243902</v>
      </c>
      <c r="M110" s="234" t="n">
        <v>4</v>
      </c>
      <c r="N110" s="236" t="n">
        <v>0</v>
      </c>
      <c r="O110" s="156" t="n">
        <f aca="false">IF(M110=1,1,0)</f>
        <v>0</v>
      </c>
      <c r="P110" s="157" t="n">
        <f aca="false">IF(M110=2,1,0)</f>
        <v>0</v>
      </c>
      <c r="Q110" s="157" t="n">
        <f aca="false">IF(M110=3,1,0)</f>
        <v>0</v>
      </c>
      <c r="R110" s="158" t="n">
        <f aca="false">IF(M110=4,1,0)</f>
        <v>1</v>
      </c>
      <c r="S110" s="206"/>
      <c r="T110" s="192"/>
      <c r="U110" s="211"/>
    </row>
    <row r="111" customFormat="false" ht="20.15" hidden="true" customHeight="true" outlineLevel="1" collapsed="false">
      <c r="B111" s="77"/>
      <c r="C111" s="192"/>
      <c r="D111" s="198"/>
      <c r="E111" s="198"/>
      <c r="F111" s="206"/>
      <c r="G111" s="206"/>
      <c r="H111" s="192"/>
      <c r="I111" s="213" t="s">
        <v>92</v>
      </c>
      <c r="J111" s="161" t="n">
        <f aca="false">MAX(J107:J110)</f>
        <v>82</v>
      </c>
      <c r="K111" s="214"/>
      <c r="L111" s="206"/>
      <c r="M111" s="192"/>
      <c r="N111" s="164" t="s">
        <v>93</v>
      </c>
      <c r="O111" s="165" t="n">
        <f aca="false">SUM(O107:O110)</f>
        <v>1</v>
      </c>
      <c r="P111" s="166" t="n">
        <f aca="false">SUM(P107:P110)</f>
        <v>1</v>
      </c>
      <c r="Q111" s="165" t="n">
        <f aca="false">SUM(Q107:Q110)</f>
        <v>1</v>
      </c>
      <c r="R111" s="187" t="n">
        <f aca="false">SUM(R107:R110)</f>
        <v>1</v>
      </c>
      <c r="S111" s="215"/>
      <c r="T111" s="192"/>
      <c r="U111" s="211"/>
    </row>
    <row r="112" customFormat="false" ht="20.15" hidden="false" customHeight="true" outlineLevel="0" collapsed="false">
      <c r="B112" s="77"/>
      <c r="C112" s="192"/>
      <c r="D112" s="216"/>
      <c r="E112" s="216"/>
      <c r="F112" s="192"/>
      <c r="G112" s="192"/>
      <c r="H112" s="192"/>
      <c r="I112" s="192"/>
      <c r="J112" s="192"/>
      <c r="K112" s="192"/>
      <c r="L112" s="192"/>
      <c r="M112" s="192"/>
      <c r="N112" s="192"/>
      <c r="O112" s="192"/>
      <c r="P112" s="192"/>
      <c r="Q112" s="192"/>
      <c r="R112" s="192"/>
      <c r="S112" s="192"/>
      <c r="T112" s="192"/>
      <c r="U112" s="211"/>
    </row>
    <row r="113" customFormat="false" ht="20.15" hidden="false" customHeight="true" outlineLevel="0" collapsed="false">
      <c r="B113" s="77"/>
      <c r="D113" s="190"/>
      <c r="E113" s="190"/>
      <c r="F113" s="190"/>
      <c r="G113" s="190"/>
      <c r="H113" s="191"/>
      <c r="I113" s="190"/>
      <c r="J113" s="190"/>
      <c r="K113" s="190"/>
      <c r="L113" s="14"/>
      <c r="M113" s="14"/>
      <c r="N113" s="14"/>
      <c r="O113" s="14"/>
      <c r="P113" s="14"/>
      <c r="Q113" s="14"/>
      <c r="R113" s="14"/>
      <c r="S113" s="14"/>
      <c r="U113" s="207"/>
    </row>
    <row r="114" customFormat="false" ht="20.15" hidden="false" customHeight="true" outlineLevel="0" collapsed="false">
      <c r="B114" s="77"/>
      <c r="C114" s="217"/>
      <c r="D114" s="217"/>
      <c r="E114" s="218" t="str">
        <f aca="false">IF(OR(L85="-",L85= ""),H85,L85)</f>
        <v>Dungeon Petz</v>
      </c>
      <c r="F114" s="218"/>
      <c r="G114" s="218"/>
      <c r="H114" s="218"/>
      <c r="I114" s="218"/>
      <c r="J114" s="218"/>
      <c r="K114" s="218"/>
      <c r="L114" s="218"/>
      <c r="M114" s="218"/>
      <c r="N114" s="218"/>
      <c r="O114" s="219"/>
      <c r="P114" s="219"/>
      <c r="Q114" s="219"/>
      <c r="R114" s="219"/>
      <c r="S114" s="219"/>
      <c r="T114" s="217"/>
      <c r="U114" s="77"/>
    </row>
    <row r="115" customFormat="false" ht="50.15" hidden="false" customHeight="true" outlineLevel="0" collapsed="false">
      <c r="B115" s="77"/>
      <c r="C115" s="217"/>
      <c r="D115" s="219"/>
      <c r="E115" s="125" t="s">
        <v>52</v>
      </c>
      <c r="F115" s="126" t="s">
        <v>75</v>
      </c>
      <c r="G115" s="82" t="s">
        <v>76</v>
      </c>
      <c r="H115" s="81" t="s">
        <v>77</v>
      </c>
      <c r="I115" s="59" t="s">
        <v>78</v>
      </c>
      <c r="J115" s="81" t="s">
        <v>79</v>
      </c>
      <c r="K115" s="127" t="s">
        <v>80</v>
      </c>
      <c r="L115" s="81" t="s">
        <v>81</v>
      </c>
      <c r="M115" s="128" t="s">
        <v>82</v>
      </c>
      <c r="N115" s="129" t="s">
        <v>83</v>
      </c>
      <c r="O115" s="130" t="s">
        <v>84</v>
      </c>
      <c r="P115" s="131" t="s">
        <v>85</v>
      </c>
      <c r="Q115" s="131" t="s">
        <v>86</v>
      </c>
      <c r="R115" s="197" t="s">
        <v>87</v>
      </c>
      <c r="S115" s="219"/>
      <c r="T115" s="217"/>
      <c r="U115" s="77"/>
    </row>
    <row r="116" customFormat="false" ht="20.15" hidden="false" customHeight="true" outlineLevel="0" collapsed="false">
      <c r="B116" s="77"/>
      <c r="C116" s="217"/>
      <c r="D116" s="220"/>
      <c r="E116" s="86" t="s">
        <v>39</v>
      </c>
      <c r="F116" s="87" t="s">
        <v>40</v>
      </c>
      <c r="G116" s="304" t="n">
        <v>4</v>
      </c>
      <c r="H116" s="222" t="s">
        <v>66</v>
      </c>
      <c r="I116" s="221" t="n">
        <v>0</v>
      </c>
      <c r="J116" s="221" t="n">
        <v>82</v>
      </c>
      <c r="K116" s="221" t="s">
        <v>66</v>
      </c>
      <c r="L116" s="223" t="n">
        <f aca="false">IF(J116="",0,(J116/J120)*100)</f>
        <v>86.3157894736842</v>
      </c>
      <c r="M116" s="221" t="n">
        <v>2</v>
      </c>
      <c r="N116" s="224" t="n">
        <v>3</v>
      </c>
      <c r="O116" s="137" t="n">
        <f aca="false">IF(M116=1,1,0)</f>
        <v>0</v>
      </c>
      <c r="P116" s="138" t="n">
        <f aca="false">IF(M116=2,1,0)</f>
        <v>1</v>
      </c>
      <c r="Q116" s="138" t="n">
        <f aca="false">IF(M116=3,1,0)</f>
        <v>0</v>
      </c>
      <c r="R116" s="139" t="n">
        <f aca="false">IF(M116=4,1,0)</f>
        <v>0</v>
      </c>
      <c r="S116" s="225"/>
      <c r="T116" s="217"/>
      <c r="U116" s="77"/>
    </row>
    <row r="117" customFormat="false" ht="20.15" hidden="false" customHeight="true" outlineLevel="0" collapsed="false">
      <c r="B117" s="77"/>
      <c r="C117" s="217"/>
      <c r="D117" s="220"/>
      <c r="E117" s="105" t="s">
        <v>19</v>
      </c>
      <c r="F117" s="227" t="s">
        <v>20</v>
      </c>
      <c r="G117" s="306" t="n">
        <v>3</v>
      </c>
      <c r="H117" s="317" t="s">
        <v>66</v>
      </c>
      <c r="I117" s="228" t="n">
        <v>0</v>
      </c>
      <c r="J117" s="228" t="n">
        <v>29</v>
      </c>
      <c r="K117" s="317" t="s">
        <v>66</v>
      </c>
      <c r="L117" s="229" t="n">
        <f aca="false">IF(J117="",0,(J117/J120)*100)</f>
        <v>30.5263157894737</v>
      </c>
      <c r="M117" s="228" t="n">
        <v>4</v>
      </c>
      <c r="N117" s="230" t="n">
        <v>0</v>
      </c>
      <c r="O117" s="144" t="n">
        <f aca="false">IF(M117=1,1,0)</f>
        <v>0</v>
      </c>
      <c r="P117" s="145" t="n">
        <f aca="false">IF(M117=2,1,0)</f>
        <v>0</v>
      </c>
      <c r="Q117" s="145" t="n">
        <f aca="false">IF(M117=3,1,0)</f>
        <v>0</v>
      </c>
      <c r="R117" s="146" t="n">
        <f aca="false">IF(M117=4,1,0)</f>
        <v>1</v>
      </c>
      <c r="S117" s="225"/>
      <c r="T117" s="217"/>
      <c r="U117" s="77"/>
    </row>
    <row r="118" customFormat="false" ht="20.15" hidden="false" customHeight="true" outlineLevel="0" collapsed="false">
      <c r="B118" s="77"/>
      <c r="C118" s="217"/>
      <c r="D118" s="220"/>
      <c r="E118" s="226" t="s">
        <v>16</v>
      </c>
      <c r="F118" s="227" t="s">
        <v>17</v>
      </c>
      <c r="G118" s="306" t="n">
        <v>1</v>
      </c>
      <c r="H118" s="317" t="s">
        <v>66</v>
      </c>
      <c r="I118" s="228" t="n">
        <v>0</v>
      </c>
      <c r="J118" s="228" t="n">
        <v>65</v>
      </c>
      <c r="K118" s="228" t="s">
        <v>66</v>
      </c>
      <c r="L118" s="229" t="n">
        <f aca="false">IF(J118="",0,(J118/J120)*100)</f>
        <v>68.421052631579</v>
      </c>
      <c r="M118" s="228" t="n">
        <v>3</v>
      </c>
      <c r="N118" s="230" t="n">
        <v>1</v>
      </c>
      <c r="O118" s="144" t="n">
        <f aca="false">IF(M118=1,1,0)</f>
        <v>0</v>
      </c>
      <c r="P118" s="145" t="n">
        <f aca="false">IF(M118=2,1,0)</f>
        <v>0</v>
      </c>
      <c r="Q118" s="145" t="n">
        <f aca="false">IF(M118=3,1,0)</f>
        <v>1</v>
      </c>
      <c r="R118" s="146" t="n">
        <f aca="false">IF(M118=4,1,0)</f>
        <v>0</v>
      </c>
      <c r="S118" s="225"/>
      <c r="T118" s="217"/>
      <c r="U118" s="77"/>
    </row>
    <row r="119" customFormat="false" ht="20.15" hidden="false" customHeight="true" outlineLevel="0" collapsed="false">
      <c r="B119" s="77"/>
      <c r="C119" s="217"/>
      <c r="D119" s="231"/>
      <c r="E119" s="439" t="s">
        <v>49</v>
      </c>
      <c r="F119" s="391" t="s">
        <v>50</v>
      </c>
      <c r="G119" s="320" t="n">
        <v>2</v>
      </c>
      <c r="H119" s="321" t="s">
        <v>66</v>
      </c>
      <c r="I119" s="322" t="n">
        <v>0</v>
      </c>
      <c r="J119" s="322" t="n">
        <v>95</v>
      </c>
      <c r="K119" s="321" t="s">
        <v>66</v>
      </c>
      <c r="L119" s="323" t="n">
        <f aca="false">IF(J119="",0,(J119/J120)*100)</f>
        <v>100</v>
      </c>
      <c r="M119" s="322" t="n">
        <v>1</v>
      </c>
      <c r="N119" s="324" t="n">
        <v>6</v>
      </c>
      <c r="O119" s="156" t="n">
        <f aca="false">IF(M119=1,1,0)</f>
        <v>1</v>
      </c>
      <c r="P119" s="157" t="n">
        <f aca="false">IF(M119=2,1,0)</f>
        <v>0</v>
      </c>
      <c r="Q119" s="157" t="n">
        <f aca="false">IF(M119=3,1,0)</f>
        <v>0</v>
      </c>
      <c r="R119" s="158" t="n">
        <f aca="false">IF(M119=4,1,0)</f>
        <v>0</v>
      </c>
      <c r="S119" s="225"/>
      <c r="T119" s="217"/>
      <c r="U119" s="77"/>
    </row>
    <row r="120" customFormat="false" ht="20.15" hidden="true" customHeight="true" outlineLevel="1" collapsed="false">
      <c r="B120" s="77"/>
      <c r="C120" s="217"/>
      <c r="D120" s="220"/>
      <c r="E120" s="220"/>
      <c r="F120" s="225"/>
      <c r="G120" s="225"/>
      <c r="H120" s="217"/>
      <c r="I120" s="213" t="s">
        <v>92</v>
      </c>
      <c r="J120" s="161" t="n">
        <f aca="false">MAX(J116:J119)</f>
        <v>95</v>
      </c>
      <c r="K120" s="237"/>
      <c r="L120" s="225"/>
      <c r="M120" s="217"/>
      <c r="N120" s="164" t="s">
        <v>93</v>
      </c>
      <c r="O120" s="165" t="n">
        <f aca="false">SUM(O116:O119)</f>
        <v>1</v>
      </c>
      <c r="P120" s="166" t="n">
        <f aca="false">SUM(P116:P119)</f>
        <v>1</v>
      </c>
      <c r="Q120" s="165" t="n">
        <f aca="false">SUM(Q116:Q119)</f>
        <v>1</v>
      </c>
      <c r="R120" s="187" t="n">
        <f aca="false">SUM(R116:R119)</f>
        <v>1</v>
      </c>
      <c r="S120" s="238"/>
      <c r="T120" s="217"/>
      <c r="U120" s="77"/>
    </row>
    <row r="121" customFormat="false" ht="20.15" hidden="false" customHeight="true" outlineLevel="0" collapsed="false">
      <c r="B121" s="77"/>
      <c r="C121" s="217"/>
      <c r="D121" s="239"/>
      <c r="E121" s="239"/>
      <c r="F121" s="217"/>
      <c r="G121" s="217"/>
      <c r="H121" s="217"/>
      <c r="I121" s="217"/>
      <c r="J121" s="217"/>
      <c r="K121" s="217"/>
      <c r="L121" s="217"/>
      <c r="M121" s="217"/>
      <c r="N121" s="217"/>
      <c r="O121" s="217"/>
      <c r="P121" s="217"/>
      <c r="Q121" s="217"/>
      <c r="R121" s="217"/>
      <c r="S121" s="217"/>
      <c r="T121" s="217"/>
      <c r="U121" s="77"/>
    </row>
    <row r="122" customFormat="false" ht="20.15" hidden="false" customHeight="true" outlineLevel="0" collapsed="false">
      <c r="B122" s="77"/>
      <c r="D122" s="5"/>
      <c r="E122" s="5"/>
      <c r="F122" s="5"/>
      <c r="G122" s="5"/>
      <c r="H122" s="5"/>
      <c r="I122" s="5"/>
      <c r="J122" s="5"/>
      <c r="K122" s="14"/>
      <c r="L122" s="14"/>
      <c r="M122" s="14"/>
      <c r="N122" s="14"/>
      <c r="O122" s="14"/>
      <c r="P122" s="14"/>
      <c r="Q122" s="14"/>
      <c r="R122" s="14"/>
      <c r="S122" s="14"/>
      <c r="U122" s="77"/>
    </row>
    <row r="123" customFormat="false" ht="30" hidden="false" customHeight="true" outlineLevel="0" collapsed="false">
      <c r="B123" s="77"/>
      <c r="C123" s="240"/>
      <c r="D123" s="241" t="s">
        <v>135</v>
      </c>
      <c r="E123" s="241"/>
      <c r="F123" s="241"/>
      <c r="G123" s="241"/>
      <c r="H123" s="241"/>
      <c r="I123" s="241"/>
      <c r="J123" s="241"/>
      <c r="K123" s="241"/>
      <c r="L123" s="241"/>
      <c r="M123" s="241"/>
      <c r="N123" s="241"/>
      <c r="O123" s="241"/>
      <c r="P123" s="241"/>
      <c r="Q123" s="241"/>
      <c r="R123" s="241"/>
      <c r="S123" s="241"/>
      <c r="T123" s="240"/>
      <c r="U123" s="77"/>
    </row>
    <row r="124" customFormat="false" ht="50.15" hidden="false" customHeight="true" outlineLevel="0" collapsed="false">
      <c r="B124" s="77"/>
      <c r="C124" s="240"/>
      <c r="D124" s="242" t="s">
        <v>52</v>
      </c>
      <c r="E124" s="243" t="s">
        <v>53</v>
      </c>
      <c r="F124" s="244" t="s">
        <v>83</v>
      </c>
      <c r="G124" s="245" t="s">
        <v>102</v>
      </c>
      <c r="H124" s="246" t="s">
        <v>103</v>
      </c>
      <c r="I124" s="246"/>
      <c r="J124" s="247" t="s">
        <v>104</v>
      </c>
      <c r="K124" s="248" t="s">
        <v>105</v>
      </c>
      <c r="L124" s="244" t="s">
        <v>106</v>
      </c>
      <c r="M124" s="248" t="s">
        <v>107</v>
      </c>
      <c r="N124" s="244" t="s">
        <v>108</v>
      </c>
      <c r="O124" s="249"/>
      <c r="P124" s="250"/>
      <c r="Q124" s="250"/>
      <c r="R124" s="250"/>
      <c r="S124" s="243" t="s">
        <v>109</v>
      </c>
      <c r="T124" s="240"/>
      <c r="U124" s="77"/>
    </row>
    <row r="125" customFormat="false" ht="20.15" hidden="false" customHeight="true" outlineLevel="0" collapsed="false">
      <c r="B125" s="77"/>
      <c r="C125" s="240"/>
      <c r="D125" s="326" t="s">
        <v>49</v>
      </c>
      <c r="E125" s="17" t="s">
        <v>50</v>
      </c>
      <c r="F125" s="327" t="n">
        <f aca="false">K125*6+L125*3+M125*1+N125*0</f>
        <v>15</v>
      </c>
      <c r="G125" s="328" t="n">
        <v>0</v>
      </c>
      <c r="H125" s="328" t="s">
        <v>66</v>
      </c>
      <c r="I125" s="328"/>
      <c r="J125" s="327" t="n">
        <f aca="false">F125+G125</f>
        <v>15</v>
      </c>
      <c r="K125" s="327" t="n">
        <v>2</v>
      </c>
      <c r="L125" s="327" t="n">
        <v>1</v>
      </c>
      <c r="M125" s="327" t="n">
        <v>0</v>
      </c>
      <c r="N125" s="327" t="n">
        <v>1</v>
      </c>
      <c r="O125" s="16"/>
      <c r="P125" s="328"/>
      <c r="Q125" s="328"/>
      <c r="R125" s="328"/>
      <c r="S125" s="329" t="n">
        <f aca="false">(L92+L101+L110+L119)/4</f>
        <v>95.2147401908802</v>
      </c>
      <c r="T125" s="240"/>
      <c r="U125" s="77"/>
    </row>
    <row r="126" customFormat="false" ht="20.15" hidden="false" customHeight="true" outlineLevel="0" collapsed="false">
      <c r="B126" s="77"/>
      <c r="C126" s="240"/>
      <c r="D126" s="383" t="s">
        <v>16</v>
      </c>
      <c r="E126" s="384" t="s">
        <v>17</v>
      </c>
      <c r="F126" s="330" t="n">
        <f aca="false">K126*6+L126*3+M126*1+N126*0</f>
        <v>13</v>
      </c>
      <c r="G126" s="331" t="n">
        <v>0</v>
      </c>
      <c r="H126" s="331" t="s">
        <v>66</v>
      </c>
      <c r="I126" s="331"/>
      <c r="J126" s="330" t="n">
        <f aca="false">F126+G126</f>
        <v>13</v>
      </c>
      <c r="K126" s="330" t="n">
        <v>2</v>
      </c>
      <c r="L126" s="330" t="n">
        <v>0</v>
      </c>
      <c r="M126" s="330" t="n">
        <v>1</v>
      </c>
      <c r="N126" s="330" t="n">
        <v>1</v>
      </c>
      <c r="O126" s="332"/>
      <c r="P126" s="331"/>
      <c r="Q126" s="331"/>
      <c r="R126" s="331"/>
      <c r="S126" s="333" t="n">
        <f aca="false">(L91+L100+L109+L118)/4</f>
        <v>89.1052631578947</v>
      </c>
      <c r="T126" s="240"/>
      <c r="U126" s="77"/>
      <c r="W126" s="334"/>
      <c r="X126" s="334"/>
      <c r="Y126" s="23"/>
      <c r="Z126" s="23"/>
      <c r="AA126" s="335"/>
      <c r="AB126" s="335"/>
      <c r="AC126" s="336"/>
      <c r="AD126" s="336"/>
      <c r="AE126" s="336"/>
    </row>
    <row r="127" customFormat="false" ht="20.15" hidden="false" customHeight="true" outlineLevel="0" collapsed="false">
      <c r="B127" s="77"/>
      <c r="C127" s="240"/>
      <c r="D127" s="257" t="s">
        <v>19</v>
      </c>
      <c r="E127" s="384" t="s">
        <v>20</v>
      </c>
      <c r="F127" s="330" t="n">
        <f aca="false">K127*6+L127*3+M127*1+N127*0</f>
        <v>6</v>
      </c>
      <c r="G127" s="331" t="n">
        <v>0</v>
      </c>
      <c r="H127" s="331" t="s">
        <v>66</v>
      </c>
      <c r="I127" s="331"/>
      <c r="J127" s="330" t="n">
        <f aca="false">F127+G127</f>
        <v>6</v>
      </c>
      <c r="K127" s="330" t="n">
        <v>0</v>
      </c>
      <c r="L127" s="330" t="n">
        <v>2</v>
      </c>
      <c r="M127" s="330" t="n">
        <v>0</v>
      </c>
      <c r="N127" s="330" t="n">
        <v>2</v>
      </c>
      <c r="O127" s="332"/>
      <c r="P127" s="331"/>
      <c r="Q127" s="331"/>
      <c r="R127" s="331"/>
      <c r="S127" s="333" t="n">
        <f aca="false">(L90+L99+L108+L117)/4</f>
        <v>71.1310487246749</v>
      </c>
      <c r="T127" s="240"/>
      <c r="U127" s="77"/>
    </row>
    <row r="128" customFormat="false" ht="20.15" hidden="false" customHeight="true" outlineLevel="0" collapsed="false">
      <c r="B128" s="77"/>
      <c r="C128" s="240"/>
      <c r="D128" s="337" t="s">
        <v>39</v>
      </c>
      <c r="E128" s="385" t="s">
        <v>40</v>
      </c>
      <c r="F128" s="338" t="n">
        <f aca="false">K128*6+L128*3+M128*1+N128*0</f>
        <v>6</v>
      </c>
      <c r="G128" s="339" t="n">
        <v>0</v>
      </c>
      <c r="H128" s="339" t="s">
        <v>66</v>
      </c>
      <c r="I128" s="339"/>
      <c r="J128" s="338" t="n">
        <f aca="false">F128+G128</f>
        <v>6</v>
      </c>
      <c r="K128" s="338" t="n">
        <v>0</v>
      </c>
      <c r="L128" s="338" t="n">
        <v>1</v>
      </c>
      <c r="M128" s="338" t="n">
        <v>3</v>
      </c>
      <c r="N128" s="338" t="n">
        <v>0</v>
      </c>
      <c r="O128" s="340"/>
      <c r="P128" s="339"/>
      <c r="Q128" s="339"/>
      <c r="R128" s="339"/>
      <c r="S128" s="341" t="n">
        <f aca="false">(L89+L98+L107+L116)/4</f>
        <v>85.3056175699057</v>
      </c>
      <c r="T128" s="240"/>
      <c r="U128" s="77"/>
    </row>
    <row r="129" customFormat="false" ht="20.15" hidden="false" customHeight="true" outlineLevel="0" collapsed="false">
      <c r="B129" s="77"/>
      <c r="C129" s="240"/>
      <c r="D129" s="240"/>
      <c r="E129" s="240"/>
      <c r="F129" s="401"/>
      <c r="G129" s="401"/>
      <c r="H129" s="401"/>
      <c r="I129" s="401"/>
      <c r="J129" s="401"/>
      <c r="K129" s="401"/>
      <c r="L129" s="401"/>
      <c r="M129" s="401"/>
      <c r="N129" s="401"/>
      <c r="O129" s="401"/>
      <c r="P129" s="401"/>
      <c r="Q129" s="401"/>
      <c r="R129" s="401"/>
      <c r="S129" s="401"/>
      <c r="T129" s="240"/>
      <c r="U129" s="77"/>
    </row>
    <row r="130" customFormat="false" ht="20.15" hidden="false" customHeight="true" outlineLevel="0" collapsed="false">
      <c r="B130" s="77"/>
      <c r="C130" s="77"/>
      <c r="D130" s="270"/>
      <c r="E130" s="270"/>
      <c r="F130" s="195"/>
      <c r="G130" s="195"/>
      <c r="H130" s="270"/>
      <c r="I130" s="270"/>
      <c r="J130" s="270"/>
      <c r="K130" s="207"/>
      <c r="L130" s="207"/>
      <c r="M130" s="207"/>
      <c r="N130" s="207"/>
      <c r="O130" s="207"/>
      <c r="P130" s="207"/>
      <c r="Q130" s="207"/>
      <c r="R130" s="207"/>
      <c r="S130" s="207"/>
      <c r="T130" s="77"/>
      <c r="U130" s="77"/>
    </row>
    <row r="131" customFormat="false" ht="20.15" hidden="false" customHeight="true" outlineLevel="0" collapsed="false"/>
    <row r="132" customFormat="false" ht="20.15" hidden="false" customHeight="true" outlineLevel="0" collapsed="false"/>
    <row r="133" customFormat="false" ht="20.15" hidden="false" customHeight="true" outlineLevel="0" collapsed="false">
      <c r="B133" s="77"/>
      <c r="C133" s="77"/>
      <c r="D133" s="78"/>
      <c r="E133" s="78"/>
      <c r="F133" s="78"/>
      <c r="G133" s="78"/>
      <c r="H133" s="77"/>
      <c r="I133" s="77"/>
      <c r="J133" s="77"/>
      <c r="K133" s="77"/>
      <c r="L133" s="77"/>
      <c r="M133" s="77"/>
      <c r="N133" s="77"/>
      <c r="O133" s="77"/>
      <c r="P133" s="77"/>
      <c r="Q133" s="77"/>
      <c r="R133" s="77"/>
      <c r="S133" s="77"/>
      <c r="T133" s="77"/>
      <c r="U133" s="77"/>
    </row>
    <row r="134" customFormat="false" ht="30" hidden="false" customHeight="true" outlineLevel="0" collapsed="false">
      <c r="B134" s="77"/>
      <c r="C134" s="79" t="s">
        <v>317</v>
      </c>
      <c r="D134" s="79"/>
      <c r="E134" s="79"/>
      <c r="F134" s="79"/>
      <c r="G134" s="79"/>
      <c r="H134" s="79"/>
      <c r="I134" s="79"/>
      <c r="J134" s="79"/>
      <c r="K134" s="79"/>
      <c r="L134" s="79"/>
      <c r="M134" s="79"/>
      <c r="N134" s="79"/>
      <c r="O134" s="79"/>
      <c r="P134" s="79"/>
      <c r="Q134" s="79"/>
      <c r="R134" s="79"/>
      <c r="S134" s="79"/>
      <c r="T134" s="79"/>
      <c r="U134" s="77"/>
    </row>
    <row r="135" customFormat="false" ht="20.15" hidden="false" customHeight="true" outlineLevel="0" collapsed="false">
      <c r="B135" s="77"/>
      <c r="D135" s="121"/>
      <c r="E135" s="121"/>
      <c r="U135" s="77"/>
    </row>
    <row r="136" customFormat="false" ht="20.15" hidden="false" customHeight="true" outlineLevel="0" collapsed="false">
      <c r="B136" s="77"/>
      <c r="D136" s="80" t="s">
        <v>52</v>
      </c>
      <c r="E136" s="81" t="s">
        <v>111</v>
      </c>
      <c r="F136" s="82" t="s">
        <v>12</v>
      </c>
      <c r="G136" s="275" t="s">
        <v>54</v>
      </c>
      <c r="H136" s="275"/>
      <c r="I136" s="275"/>
      <c r="J136" s="275"/>
      <c r="K136" s="81" t="s">
        <v>55</v>
      </c>
      <c r="L136" s="83" t="s">
        <v>56</v>
      </c>
      <c r="M136" s="83"/>
      <c r="N136" s="83"/>
      <c r="O136" s="83"/>
      <c r="P136" s="83"/>
      <c r="Q136" s="83"/>
      <c r="R136" s="83"/>
      <c r="S136" s="83"/>
      <c r="U136" s="77"/>
    </row>
    <row r="137" customFormat="false" ht="20.15" hidden="false" customHeight="true" outlineLevel="0" collapsed="false">
      <c r="B137" s="77"/>
      <c r="D137" s="80"/>
      <c r="E137" s="81"/>
      <c r="F137" s="81"/>
      <c r="G137" s="85" t="s">
        <v>57</v>
      </c>
      <c r="H137" s="84" t="s">
        <v>58</v>
      </c>
      <c r="I137" s="82" t="s">
        <v>59</v>
      </c>
      <c r="J137" s="82"/>
      <c r="K137" s="84" t="s">
        <v>60</v>
      </c>
      <c r="L137" s="276" t="s">
        <v>57</v>
      </c>
      <c r="M137" s="277" t="s">
        <v>61</v>
      </c>
      <c r="N137" s="278" t="s">
        <v>59</v>
      </c>
      <c r="O137" s="278"/>
      <c r="P137" s="278"/>
      <c r="Q137" s="278"/>
      <c r="R137" s="278"/>
      <c r="S137" s="278"/>
      <c r="U137" s="77"/>
    </row>
    <row r="138" customFormat="false" ht="80.15" hidden="false" customHeight="true" outlineLevel="0" collapsed="false">
      <c r="B138" s="77"/>
      <c r="D138" s="404" t="s">
        <v>21</v>
      </c>
      <c r="E138" s="372" t="s">
        <v>22</v>
      </c>
      <c r="F138" s="343" t="n">
        <v>1</v>
      </c>
      <c r="G138" s="344" t="s">
        <v>67</v>
      </c>
      <c r="H138" s="281" t="s">
        <v>381</v>
      </c>
      <c r="I138" s="91" t="s">
        <v>440</v>
      </c>
      <c r="J138" s="91"/>
      <c r="K138" s="345" t="s">
        <v>65</v>
      </c>
      <c r="L138" s="442" t="s">
        <v>66</v>
      </c>
      <c r="M138" s="443" t="s">
        <v>66</v>
      </c>
      <c r="N138" s="444" t="s">
        <v>66</v>
      </c>
      <c r="O138" s="444"/>
      <c r="P138" s="444"/>
      <c r="Q138" s="444"/>
      <c r="R138" s="444"/>
      <c r="S138" s="444"/>
      <c r="U138" s="77"/>
    </row>
    <row r="139" customFormat="false" ht="35.15" hidden="false" customHeight="true" outlineLevel="0" collapsed="false">
      <c r="B139" s="77"/>
      <c r="D139" s="209" t="s">
        <v>360</v>
      </c>
      <c r="E139" s="312" t="s">
        <v>361</v>
      </c>
      <c r="F139" s="346" t="n">
        <v>2</v>
      </c>
      <c r="G139" s="347" t="s">
        <v>227</v>
      </c>
      <c r="H139" s="99" t="s">
        <v>441</v>
      </c>
      <c r="I139" s="100" t="s">
        <v>442</v>
      </c>
      <c r="J139" s="100"/>
      <c r="K139" s="348" t="s">
        <v>65</v>
      </c>
      <c r="L139" s="102" t="s">
        <v>66</v>
      </c>
      <c r="M139" s="103" t="s">
        <v>66</v>
      </c>
      <c r="N139" s="104" t="s">
        <v>66</v>
      </c>
      <c r="O139" s="104"/>
      <c r="P139" s="104"/>
      <c r="Q139" s="104"/>
      <c r="R139" s="104"/>
      <c r="S139" s="104"/>
      <c r="U139" s="77"/>
    </row>
    <row r="140" customFormat="false" ht="80.15" hidden="false" customHeight="true" outlineLevel="0" collapsed="false">
      <c r="B140" s="77"/>
      <c r="D140" s="209" t="s">
        <v>360</v>
      </c>
      <c r="E140" s="312" t="s">
        <v>361</v>
      </c>
      <c r="F140" s="346" t="n">
        <v>3</v>
      </c>
      <c r="G140" s="349" t="s">
        <v>71</v>
      </c>
      <c r="H140" s="107" t="s">
        <v>443</v>
      </c>
      <c r="I140" s="108" t="s">
        <v>444</v>
      </c>
      <c r="J140" s="108"/>
      <c r="K140" s="505" t="s">
        <v>65</v>
      </c>
      <c r="L140" s="506" t="s">
        <v>66</v>
      </c>
      <c r="M140" s="408" t="s">
        <v>66</v>
      </c>
      <c r="N140" s="409" t="s">
        <v>66</v>
      </c>
      <c r="O140" s="409"/>
      <c r="P140" s="409"/>
      <c r="Q140" s="409"/>
      <c r="R140" s="409"/>
      <c r="S140" s="409"/>
      <c r="U140" s="77"/>
    </row>
    <row r="141" customFormat="false" ht="50.15" hidden="false" customHeight="true" outlineLevel="0" collapsed="false">
      <c r="B141" s="77"/>
      <c r="D141" s="182" t="s">
        <v>21</v>
      </c>
      <c r="E141" s="113" t="s">
        <v>22</v>
      </c>
      <c r="F141" s="350" t="n">
        <v>4</v>
      </c>
      <c r="G141" s="351" t="s">
        <v>67</v>
      </c>
      <c r="H141" s="101" t="s">
        <v>445</v>
      </c>
      <c r="I141" s="116" t="s">
        <v>74</v>
      </c>
      <c r="J141" s="116"/>
      <c r="K141" s="507" t="s">
        <v>65</v>
      </c>
      <c r="L141" s="508" t="s">
        <v>66</v>
      </c>
      <c r="M141" s="509" t="s">
        <v>66</v>
      </c>
      <c r="N141" s="510" t="s">
        <v>66</v>
      </c>
      <c r="O141" s="510"/>
      <c r="P141" s="510"/>
      <c r="Q141" s="510"/>
      <c r="R141" s="510"/>
      <c r="S141" s="510"/>
      <c r="U141" s="77"/>
    </row>
    <row r="142" customFormat="false" ht="20.15" hidden="false" customHeight="true" outlineLevel="0" collapsed="false">
      <c r="B142" s="77"/>
      <c r="D142" s="121"/>
      <c r="E142" s="121"/>
      <c r="U142" s="77"/>
    </row>
    <row r="143" customFormat="false" ht="20.15" hidden="false" customHeight="true" outlineLevel="0" collapsed="false">
      <c r="B143" s="77"/>
      <c r="C143" s="122"/>
      <c r="D143" s="122"/>
      <c r="E143" s="123" t="str">
        <f aca="false">IF(OR(M138="-",M138= ""),H138,M138)</f>
        <v>Santorini</v>
      </c>
      <c r="F143" s="123"/>
      <c r="G143" s="123"/>
      <c r="H143" s="123"/>
      <c r="I143" s="123"/>
      <c r="J143" s="123"/>
      <c r="K143" s="123"/>
      <c r="L143" s="123"/>
      <c r="M143" s="123"/>
      <c r="N143" s="123"/>
      <c r="O143" s="124"/>
      <c r="P143" s="124"/>
      <c r="Q143" s="124"/>
      <c r="R143" s="124"/>
      <c r="S143" s="124"/>
      <c r="T143" s="122"/>
      <c r="U143" s="77"/>
    </row>
    <row r="144" customFormat="false" ht="50.15" hidden="false" customHeight="true" outlineLevel="0" collapsed="false">
      <c r="B144" s="77"/>
      <c r="C144" s="122"/>
      <c r="D144" s="124"/>
      <c r="E144" s="125" t="s">
        <v>52</v>
      </c>
      <c r="F144" s="126" t="s">
        <v>75</v>
      </c>
      <c r="G144" s="82" t="s">
        <v>76</v>
      </c>
      <c r="H144" s="81" t="s">
        <v>77</v>
      </c>
      <c r="I144" s="59" t="s">
        <v>78</v>
      </c>
      <c r="J144" s="81" t="s">
        <v>79</v>
      </c>
      <c r="K144" s="127" t="s">
        <v>80</v>
      </c>
      <c r="L144" s="81" t="s">
        <v>81</v>
      </c>
      <c r="M144" s="128" t="s">
        <v>82</v>
      </c>
      <c r="N144" s="129" t="s">
        <v>83</v>
      </c>
      <c r="O144" s="130" t="s">
        <v>84</v>
      </c>
      <c r="P144" s="131" t="s">
        <v>85</v>
      </c>
      <c r="Q144" s="124"/>
      <c r="R144" s="124"/>
      <c r="S144" s="124"/>
      <c r="T144" s="122"/>
      <c r="U144" s="77"/>
    </row>
    <row r="145" customFormat="false" ht="20.15" hidden="false" customHeight="true" outlineLevel="0" collapsed="false">
      <c r="B145" s="77"/>
      <c r="C145" s="122"/>
      <c r="D145" s="152"/>
      <c r="E145" s="416" t="s">
        <v>21</v>
      </c>
      <c r="F145" s="380" t="s">
        <v>22</v>
      </c>
      <c r="G145" s="325" t="n">
        <v>1</v>
      </c>
      <c r="H145" s="201" t="s">
        <v>446</v>
      </c>
      <c r="I145" s="201" t="n">
        <v>0</v>
      </c>
      <c r="J145" s="201" t="n">
        <v>1</v>
      </c>
      <c r="K145" s="201" t="s">
        <v>66</v>
      </c>
      <c r="L145" s="204" t="n">
        <f aca="false">IF(J145="",0,(J145/J147)*100)</f>
        <v>100</v>
      </c>
      <c r="M145" s="201" t="n">
        <v>1</v>
      </c>
      <c r="N145" s="205" t="n">
        <v>6</v>
      </c>
      <c r="O145" s="137" t="n">
        <f aca="false">IF(M145=1,1,0)</f>
        <v>1</v>
      </c>
      <c r="P145" s="139" t="n">
        <f aca="false">IF(M145=2,1,0)</f>
        <v>0</v>
      </c>
      <c r="Q145" s="140"/>
      <c r="R145" s="140"/>
      <c r="S145" s="140"/>
      <c r="T145" s="122"/>
      <c r="U145" s="77"/>
    </row>
    <row r="146" customFormat="false" ht="20.15" hidden="false" customHeight="true" outlineLevel="0" collapsed="false">
      <c r="B146" s="77"/>
      <c r="C146" s="122"/>
      <c r="D146" s="132"/>
      <c r="E146" s="182" t="s">
        <v>360</v>
      </c>
      <c r="F146" s="410" t="s">
        <v>361</v>
      </c>
      <c r="G146" s="307" t="n">
        <v>2</v>
      </c>
      <c r="H146" s="234" t="s">
        <v>447</v>
      </c>
      <c r="I146" s="234" t="n">
        <v>0</v>
      </c>
      <c r="J146" s="234" t="n">
        <v>0</v>
      </c>
      <c r="K146" s="308" t="s">
        <v>66</v>
      </c>
      <c r="L146" s="235" t="n">
        <f aca="false">IF(J146="",0,(J146/J147)*100)</f>
        <v>0</v>
      </c>
      <c r="M146" s="234" t="n">
        <v>2</v>
      </c>
      <c r="N146" s="236" t="n">
        <v>0</v>
      </c>
      <c r="O146" s="156" t="n">
        <f aca="false">IF(M146=1,1,0)</f>
        <v>0</v>
      </c>
      <c r="P146" s="158" t="n">
        <f aca="false">IF(M146=2,1,0)</f>
        <v>1</v>
      </c>
      <c r="Q146" s="140"/>
      <c r="R146" s="140"/>
      <c r="S146" s="140"/>
      <c r="T146" s="122"/>
      <c r="U146" s="77"/>
    </row>
    <row r="147" customFormat="false" ht="20.15" hidden="true" customHeight="true" outlineLevel="1" collapsed="false">
      <c r="B147" s="77"/>
      <c r="C147" s="122"/>
      <c r="D147" s="152"/>
      <c r="E147" s="152"/>
      <c r="F147" s="140"/>
      <c r="G147" s="140"/>
      <c r="H147" s="122"/>
      <c r="I147" s="213" t="s">
        <v>92</v>
      </c>
      <c r="J147" s="161" t="n">
        <f aca="false">MAX(J145:J146)</f>
        <v>1</v>
      </c>
      <c r="K147" s="309"/>
      <c r="L147" s="167"/>
      <c r="M147" s="122"/>
      <c r="N147" s="164" t="s">
        <v>93</v>
      </c>
      <c r="O147" s="165" t="n">
        <f aca="false">SUM(O145:O146)</f>
        <v>1</v>
      </c>
      <c r="P147" s="165" t="n">
        <f aca="false">SUM(P145:P146)</f>
        <v>1</v>
      </c>
      <c r="Q147" s="167"/>
      <c r="R147" s="167"/>
      <c r="S147" s="167"/>
      <c r="T147" s="122"/>
      <c r="U147" s="77"/>
    </row>
    <row r="148" customFormat="false" ht="20.15" hidden="false" customHeight="true" outlineLevel="0" collapsed="false">
      <c r="B148" s="77"/>
      <c r="C148" s="122"/>
      <c r="D148" s="168"/>
      <c r="E148" s="168"/>
      <c r="F148" s="122"/>
      <c r="G148" s="122"/>
      <c r="H148" s="122"/>
      <c r="I148" s="122"/>
      <c r="J148" s="122"/>
      <c r="K148" s="122"/>
      <c r="L148" s="122"/>
      <c r="M148" s="122"/>
      <c r="N148" s="122"/>
      <c r="O148" s="122"/>
      <c r="P148" s="122"/>
      <c r="Q148" s="122"/>
      <c r="R148" s="122"/>
      <c r="S148" s="122"/>
      <c r="T148" s="122"/>
      <c r="U148" s="77"/>
    </row>
    <row r="149" customFormat="false" ht="20.15" hidden="false" customHeight="true" outlineLevel="0" collapsed="false">
      <c r="B149" s="77"/>
      <c r="U149" s="77"/>
    </row>
    <row r="150" customFormat="false" ht="20.15" hidden="false" customHeight="true" outlineLevel="0" collapsed="false">
      <c r="B150" s="77"/>
      <c r="C150" s="170"/>
      <c r="D150" s="170"/>
      <c r="E150" s="171" t="str">
        <f aca="false">IF(OR(L139="-",L139= ""),H139,L139)</f>
        <v>Dungeon Lords</v>
      </c>
      <c r="F150" s="171"/>
      <c r="G150" s="171"/>
      <c r="H150" s="171"/>
      <c r="I150" s="171"/>
      <c r="J150" s="171"/>
      <c r="K150" s="171"/>
      <c r="L150" s="171"/>
      <c r="M150" s="171"/>
      <c r="N150" s="171"/>
      <c r="O150" s="172"/>
      <c r="P150" s="172"/>
      <c r="Q150" s="172"/>
      <c r="R150" s="172"/>
      <c r="S150" s="172"/>
      <c r="T150" s="170"/>
      <c r="U150" s="77"/>
    </row>
    <row r="151" customFormat="false" ht="50.15" hidden="false" customHeight="true" outlineLevel="0" collapsed="false">
      <c r="B151" s="77"/>
      <c r="C151" s="170"/>
      <c r="D151" s="172"/>
      <c r="E151" s="125" t="s">
        <v>52</v>
      </c>
      <c r="F151" s="126" t="s">
        <v>75</v>
      </c>
      <c r="G151" s="82" t="s">
        <v>76</v>
      </c>
      <c r="H151" s="81" t="s">
        <v>77</v>
      </c>
      <c r="I151" s="59" t="s">
        <v>78</v>
      </c>
      <c r="J151" s="81" t="s">
        <v>79</v>
      </c>
      <c r="K151" s="127" t="s">
        <v>80</v>
      </c>
      <c r="L151" s="81" t="s">
        <v>81</v>
      </c>
      <c r="M151" s="128" t="s">
        <v>82</v>
      </c>
      <c r="N151" s="129" t="s">
        <v>83</v>
      </c>
      <c r="O151" s="130" t="s">
        <v>84</v>
      </c>
      <c r="P151" s="131" t="s">
        <v>85</v>
      </c>
      <c r="Q151" s="172"/>
      <c r="R151" s="172"/>
      <c r="S151" s="172"/>
      <c r="T151" s="170"/>
      <c r="U151" s="77"/>
    </row>
    <row r="152" customFormat="false" ht="20.15" hidden="false" customHeight="true" outlineLevel="0" collapsed="false">
      <c r="B152" s="77"/>
      <c r="C152" s="170"/>
      <c r="D152" s="177"/>
      <c r="E152" s="404" t="s">
        <v>21</v>
      </c>
      <c r="F152" s="372" t="s">
        <v>22</v>
      </c>
      <c r="G152" s="304" t="n">
        <v>2</v>
      </c>
      <c r="H152" s="304" t="s">
        <v>66</v>
      </c>
      <c r="I152" s="221" t="n">
        <v>0</v>
      </c>
      <c r="J152" s="221" t="n">
        <v>-15</v>
      </c>
      <c r="K152" s="221" t="s">
        <v>66</v>
      </c>
      <c r="L152" s="135" t="n">
        <v>0</v>
      </c>
      <c r="M152" s="221" t="n">
        <v>2</v>
      </c>
      <c r="N152" s="224" t="n">
        <v>0</v>
      </c>
      <c r="O152" s="137" t="n">
        <f aca="false">IF(M152=1,1,0)</f>
        <v>0</v>
      </c>
      <c r="P152" s="139" t="n">
        <f aca="false">IF(M152=2,1,0)</f>
        <v>1</v>
      </c>
      <c r="Q152" s="176"/>
      <c r="R152" s="176"/>
      <c r="S152" s="176"/>
      <c r="T152" s="170"/>
      <c r="U152" s="77"/>
    </row>
    <row r="153" customFormat="false" ht="20.15" hidden="false" customHeight="true" outlineLevel="0" collapsed="false">
      <c r="B153" s="77"/>
      <c r="C153" s="170"/>
      <c r="D153" s="173"/>
      <c r="E153" s="439" t="s">
        <v>360</v>
      </c>
      <c r="F153" s="391" t="s">
        <v>361</v>
      </c>
      <c r="G153" s="320" t="n">
        <v>1</v>
      </c>
      <c r="H153" s="320" t="s">
        <v>66</v>
      </c>
      <c r="I153" s="322" t="n">
        <v>0</v>
      </c>
      <c r="J153" s="322" t="n">
        <v>19</v>
      </c>
      <c r="K153" s="321" t="s">
        <v>66</v>
      </c>
      <c r="L153" s="323" t="n">
        <f aca="false">IF(J153="",0,(J153/J154)*100)</f>
        <v>100</v>
      </c>
      <c r="M153" s="322" t="n">
        <v>1</v>
      </c>
      <c r="N153" s="324" t="n">
        <v>6</v>
      </c>
      <c r="O153" s="156" t="n">
        <f aca="false">IF(M153=1,1,0)</f>
        <v>1</v>
      </c>
      <c r="P153" s="158" t="n">
        <f aca="false">IF(M153=2,1,0)</f>
        <v>0</v>
      </c>
      <c r="Q153" s="176"/>
      <c r="R153" s="176"/>
      <c r="S153" s="176"/>
      <c r="T153" s="170"/>
      <c r="U153" s="77"/>
    </row>
    <row r="154" customFormat="false" ht="20.15" hidden="true" customHeight="true" outlineLevel="1" collapsed="false">
      <c r="B154" s="77"/>
      <c r="C154" s="170"/>
      <c r="D154" s="173"/>
      <c r="E154" s="173"/>
      <c r="F154" s="172"/>
      <c r="G154" s="172"/>
      <c r="H154" s="170"/>
      <c r="I154" s="213" t="s">
        <v>92</v>
      </c>
      <c r="J154" s="161" t="n">
        <f aca="false">MAX(J152:J153)</f>
        <v>19</v>
      </c>
      <c r="K154" s="186"/>
      <c r="L154" s="176"/>
      <c r="M154" s="170"/>
      <c r="N154" s="164" t="s">
        <v>93</v>
      </c>
      <c r="O154" s="165" t="n">
        <f aca="false">SUM(O152:O153)</f>
        <v>1</v>
      </c>
      <c r="P154" s="165" t="n">
        <f aca="false">SUM(P152:P153)</f>
        <v>1</v>
      </c>
      <c r="Q154" s="188"/>
      <c r="R154" s="188"/>
      <c r="S154" s="188"/>
      <c r="T154" s="170"/>
      <c r="U154" s="77"/>
    </row>
    <row r="155" customFormat="false" ht="20.15" hidden="false" customHeight="true" outlineLevel="0" collapsed="false">
      <c r="B155" s="77"/>
      <c r="C155" s="170"/>
      <c r="D155" s="189"/>
      <c r="E155" s="189"/>
      <c r="F155" s="170"/>
      <c r="G155" s="170"/>
      <c r="H155" s="170"/>
      <c r="I155" s="170"/>
      <c r="J155" s="170"/>
      <c r="K155" s="170"/>
      <c r="L155" s="170"/>
      <c r="M155" s="170"/>
      <c r="N155" s="170"/>
      <c r="O155" s="170"/>
      <c r="P155" s="170"/>
      <c r="Q155" s="170"/>
      <c r="R155" s="170"/>
      <c r="S155" s="170"/>
      <c r="T155" s="170"/>
      <c r="U155" s="77"/>
    </row>
    <row r="156" customFormat="false" ht="20.15" hidden="false" customHeight="true" outlineLevel="0" collapsed="false">
      <c r="B156" s="77"/>
      <c r="D156" s="190"/>
      <c r="E156" s="190"/>
      <c r="F156" s="190"/>
      <c r="G156" s="190"/>
      <c r="H156" s="191"/>
      <c r="I156" s="190"/>
      <c r="J156" s="190"/>
      <c r="K156" s="14"/>
      <c r="L156" s="14"/>
      <c r="M156" s="14"/>
      <c r="N156" s="14"/>
      <c r="O156" s="14"/>
      <c r="P156" s="14"/>
      <c r="Q156" s="14"/>
      <c r="R156" s="14"/>
      <c r="S156" s="14"/>
      <c r="U156" s="77"/>
    </row>
    <row r="157" customFormat="false" ht="20.15" hidden="false" customHeight="true" outlineLevel="0" collapsed="false">
      <c r="B157" s="77"/>
      <c r="C157" s="192"/>
      <c r="D157" s="192"/>
      <c r="E157" s="193" t="str">
        <f aca="false">IF(OR(L140="-",L140= ""),H140,L140)</f>
        <v>Grand Austria Hotel</v>
      </c>
      <c r="F157" s="193"/>
      <c r="G157" s="193"/>
      <c r="H157" s="193"/>
      <c r="I157" s="193"/>
      <c r="J157" s="193"/>
      <c r="K157" s="193"/>
      <c r="L157" s="193"/>
      <c r="M157" s="193"/>
      <c r="N157" s="193"/>
      <c r="O157" s="194"/>
      <c r="P157" s="194"/>
      <c r="Q157" s="194"/>
      <c r="R157" s="194"/>
      <c r="S157" s="194"/>
      <c r="T157" s="192"/>
      <c r="U157" s="195"/>
    </row>
    <row r="158" customFormat="false" ht="50.15" hidden="false" customHeight="true" outlineLevel="0" collapsed="false">
      <c r="B158" s="77"/>
      <c r="C158" s="192"/>
      <c r="D158" s="194"/>
      <c r="E158" s="125" t="s">
        <v>52</v>
      </c>
      <c r="F158" s="126" t="s">
        <v>75</v>
      </c>
      <c r="G158" s="82" t="s">
        <v>76</v>
      </c>
      <c r="H158" s="81" t="s">
        <v>77</v>
      </c>
      <c r="I158" s="59" t="s">
        <v>78</v>
      </c>
      <c r="J158" s="81" t="s">
        <v>79</v>
      </c>
      <c r="K158" s="127" t="s">
        <v>80</v>
      </c>
      <c r="L158" s="81" t="s">
        <v>81</v>
      </c>
      <c r="M158" s="128" t="s">
        <v>82</v>
      </c>
      <c r="N158" s="129" t="s">
        <v>83</v>
      </c>
      <c r="O158" s="130" t="s">
        <v>84</v>
      </c>
      <c r="P158" s="131" t="s">
        <v>85</v>
      </c>
      <c r="Q158" s="194"/>
      <c r="R158" s="194"/>
      <c r="S158" s="194"/>
      <c r="T158" s="192"/>
      <c r="U158" s="195"/>
    </row>
    <row r="159" customFormat="false" ht="20.15" hidden="false" customHeight="true" outlineLevel="0" collapsed="false">
      <c r="B159" s="77"/>
      <c r="C159" s="192"/>
      <c r="D159" s="208"/>
      <c r="E159" s="404" t="s">
        <v>21</v>
      </c>
      <c r="F159" s="372" t="s">
        <v>22</v>
      </c>
      <c r="G159" s="304" t="n">
        <v>2</v>
      </c>
      <c r="H159" s="222" t="s">
        <v>66</v>
      </c>
      <c r="I159" s="221" t="n">
        <v>0</v>
      </c>
      <c r="J159" s="222" t="n">
        <v>64</v>
      </c>
      <c r="K159" s="222" t="s">
        <v>66</v>
      </c>
      <c r="L159" s="223" t="n">
        <f aca="false">IF(J159="",0,(J159/J161)*100)</f>
        <v>32</v>
      </c>
      <c r="M159" s="221" t="n">
        <v>2</v>
      </c>
      <c r="N159" s="224" t="n">
        <v>0</v>
      </c>
      <c r="O159" s="137" t="n">
        <f aca="false">IF(M159=1,1,0)</f>
        <v>0</v>
      </c>
      <c r="P159" s="139" t="n">
        <f aca="false">IF(M159=2,1,0)</f>
        <v>1</v>
      </c>
      <c r="Q159" s="206"/>
      <c r="R159" s="206"/>
      <c r="S159" s="206"/>
      <c r="T159" s="192"/>
      <c r="U159" s="207"/>
    </row>
    <row r="160" customFormat="false" ht="20.15" hidden="false" customHeight="true" outlineLevel="0" collapsed="false">
      <c r="B160" s="77"/>
      <c r="C160" s="192"/>
      <c r="D160" s="198"/>
      <c r="E160" s="439" t="s">
        <v>360</v>
      </c>
      <c r="F160" s="391" t="s">
        <v>361</v>
      </c>
      <c r="G160" s="320" t="n">
        <v>1</v>
      </c>
      <c r="H160" s="321" t="s">
        <v>66</v>
      </c>
      <c r="I160" s="322" t="n">
        <v>0</v>
      </c>
      <c r="J160" s="321" t="n">
        <v>200</v>
      </c>
      <c r="K160" s="321" t="s">
        <v>66</v>
      </c>
      <c r="L160" s="323" t="n">
        <f aca="false">IF(J160="",0,(J160/J161)*100)</f>
        <v>100</v>
      </c>
      <c r="M160" s="322" t="n">
        <v>1</v>
      </c>
      <c r="N160" s="324" t="n">
        <v>6</v>
      </c>
      <c r="O160" s="156" t="n">
        <f aca="false">IF(M160=1,1,0)</f>
        <v>1</v>
      </c>
      <c r="P160" s="158" t="n">
        <f aca="false">IF(M160=2,1,0)</f>
        <v>0</v>
      </c>
      <c r="Q160" s="206"/>
      <c r="R160" s="206"/>
      <c r="S160" s="206"/>
      <c r="T160" s="192"/>
      <c r="U160" s="211"/>
    </row>
    <row r="161" customFormat="false" ht="20.15" hidden="true" customHeight="true" outlineLevel="1" collapsed="false">
      <c r="B161" s="77"/>
      <c r="C161" s="192"/>
      <c r="D161" s="198"/>
      <c r="E161" s="198"/>
      <c r="F161" s="206"/>
      <c r="G161" s="206"/>
      <c r="H161" s="192"/>
      <c r="I161" s="213" t="s">
        <v>92</v>
      </c>
      <c r="J161" s="161" t="n">
        <f aca="false">MAX(J159:J160)</f>
        <v>200</v>
      </c>
      <c r="K161" s="214"/>
      <c r="L161" s="206"/>
      <c r="M161" s="192"/>
      <c r="N161" s="164" t="s">
        <v>93</v>
      </c>
      <c r="O161" s="165" t="n">
        <f aca="false">SUM(O159:O160)</f>
        <v>1</v>
      </c>
      <c r="P161" s="165" t="n">
        <f aca="false">SUM(P159:P160)</f>
        <v>1</v>
      </c>
      <c r="Q161" s="215"/>
      <c r="R161" s="215"/>
      <c r="S161" s="215"/>
      <c r="T161" s="192"/>
      <c r="U161" s="211"/>
    </row>
    <row r="162" customFormat="false" ht="20.15" hidden="false" customHeight="true" outlineLevel="0" collapsed="false">
      <c r="B162" s="77"/>
      <c r="C162" s="192"/>
      <c r="D162" s="216"/>
      <c r="E162" s="216"/>
      <c r="F162" s="192"/>
      <c r="G162" s="192"/>
      <c r="H162" s="192"/>
      <c r="I162" s="192"/>
      <c r="J162" s="192"/>
      <c r="K162" s="192"/>
      <c r="L162" s="192"/>
      <c r="M162" s="192"/>
      <c r="N162" s="192"/>
      <c r="O162" s="192"/>
      <c r="P162" s="192"/>
      <c r="Q162" s="192"/>
      <c r="R162" s="192"/>
      <c r="S162" s="192"/>
      <c r="T162" s="192"/>
      <c r="U162" s="211"/>
    </row>
    <row r="163" customFormat="false" ht="20.15" hidden="false" customHeight="true" outlineLevel="0" collapsed="false">
      <c r="B163" s="77"/>
      <c r="D163" s="190"/>
      <c r="E163" s="190"/>
      <c r="F163" s="190"/>
      <c r="G163" s="190"/>
      <c r="H163" s="191"/>
      <c r="I163" s="190"/>
      <c r="J163" s="190"/>
      <c r="K163" s="190"/>
      <c r="L163" s="14"/>
      <c r="M163" s="14"/>
      <c r="N163" s="14"/>
      <c r="O163" s="14"/>
      <c r="P163" s="14"/>
      <c r="Q163" s="14"/>
      <c r="R163" s="14"/>
      <c r="S163" s="14"/>
      <c r="U163" s="207"/>
    </row>
    <row r="164" customFormat="false" ht="20.15" hidden="false" customHeight="true" outlineLevel="0" collapsed="false">
      <c r="B164" s="77"/>
      <c r="C164" s="217"/>
      <c r="D164" s="217"/>
      <c r="E164" s="218" t="str">
        <f aca="false">IF(OR(M141="-",M141= ""),H141,M141)</f>
        <v>Through the Ages: Eine neue Geschichte der Zivilisation</v>
      </c>
      <c r="F164" s="218"/>
      <c r="G164" s="218"/>
      <c r="H164" s="218"/>
      <c r="I164" s="218"/>
      <c r="J164" s="218"/>
      <c r="K164" s="218"/>
      <c r="L164" s="218"/>
      <c r="M164" s="218"/>
      <c r="N164" s="218"/>
      <c r="O164" s="219"/>
      <c r="P164" s="219"/>
      <c r="Q164" s="219"/>
      <c r="R164" s="219"/>
      <c r="S164" s="219"/>
      <c r="T164" s="217"/>
      <c r="U164" s="77"/>
    </row>
    <row r="165" customFormat="false" ht="50.15" hidden="false" customHeight="true" outlineLevel="0" collapsed="false">
      <c r="B165" s="77"/>
      <c r="C165" s="217"/>
      <c r="D165" s="219"/>
      <c r="E165" s="125" t="s">
        <v>52</v>
      </c>
      <c r="F165" s="126" t="s">
        <v>75</v>
      </c>
      <c r="G165" s="82" t="s">
        <v>76</v>
      </c>
      <c r="H165" s="81" t="s">
        <v>77</v>
      </c>
      <c r="I165" s="59" t="s">
        <v>78</v>
      </c>
      <c r="J165" s="81" t="s">
        <v>79</v>
      </c>
      <c r="K165" s="127" t="s">
        <v>80</v>
      </c>
      <c r="L165" s="81" t="s">
        <v>81</v>
      </c>
      <c r="M165" s="128" t="s">
        <v>82</v>
      </c>
      <c r="N165" s="129" t="s">
        <v>83</v>
      </c>
      <c r="O165" s="130" t="s">
        <v>84</v>
      </c>
      <c r="P165" s="131" t="s">
        <v>85</v>
      </c>
      <c r="Q165" s="219"/>
      <c r="R165" s="219"/>
      <c r="S165" s="219"/>
      <c r="T165" s="217"/>
      <c r="U165" s="77"/>
    </row>
    <row r="166" customFormat="false" ht="20.15" hidden="false" customHeight="true" outlineLevel="0" collapsed="false">
      <c r="B166" s="77"/>
      <c r="C166" s="217"/>
      <c r="D166" s="220"/>
      <c r="E166" s="416" t="s">
        <v>21</v>
      </c>
      <c r="F166" s="380" t="s">
        <v>22</v>
      </c>
      <c r="G166" s="325" t="n">
        <v>1</v>
      </c>
      <c r="H166" s="202" t="s">
        <v>66</v>
      </c>
      <c r="I166" s="201" t="n">
        <v>0</v>
      </c>
      <c r="J166" s="203" t="n">
        <v>220</v>
      </c>
      <c r="K166" s="202" t="s">
        <v>66</v>
      </c>
      <c r="L166" s="204" t="n">
        <f aca="false">IF(J166="",0,(J166/J168)*100)</f>
        <v>100</v>
      </c>
      <c r="M166" s="201" t="n">
        <v>1</v>
      </c>
      <c r="N166" s="205" t="n">
        <v>6</v>
      </c>
      <c r="O166" s="137" t="n">
        <f aca="false">IF(M166=1,1,0)</f>
        <v>1</v>
      </c>
      <c r="P166" s="139" t="n">
        <f aca="false">IF(M166=2,1,0)</f>
        <v>0</v>
      </c>
      <c r="Q166" s="225"/>
      <c r="R166" s="225"/>
      <c r="S166" s="225"/>
      <c r="T166" s="217"/>
      <c r="U166" s="77"/>
    </row>
    <row r="167" customFormat="false" ht="20.15" hidden="false" customHeight="true" outlineLevel="0" collapsed="false">
      <c r="B167" s="77"/>
      <c r="C167" s="217"/>
      <c r="D167" s="231"/>
      <c r="E167" s="182" t="s">
        <v>360</v>
      </c>
      <c r="F167" s="410" t="s">
        <v>361</v>
      </c>
      <c r="G167" s="307" t="n">
        <v>2</v>
      </c>
      <c r="H167" s="234" t="s">
        <v>66</v>
      </c>
      <c r="I167" s="234" t="n">
        <v>0</v>
      </c>
      <c r="J167" s="359" t="n">
        <v>171</v>
      </c>
      <c r="K167" s="308" t="s">
        <v>66</v>
      </c>
      <c r="L167" s="235" t="n">
        <f aca="false">IF(J167="",0,(J167/J168)*100)</f>
        <v>77.7272727272727</v>
      </c>
      <c r="M167" s="234" t="n">
        <v>2</v>
      </c>
      <c r="N167" s="236" t="n">
        <v>0</v>
      </c>
      <c r="O167" s="156" t="n">
        <f aca="false">IF(M167=1,1,0)</f>
        <v>0</v>
      </c>
      <c r="P167" s="158" t="n">
        <f aca="false">IF(M167=2,1,0)</f>
        <v>1</v>
      </c>
      <c r="Q167" s="225"/>
      <c r="R167" s="225"/>
      <c r="S167" s="225"/>
      <c r="T167" s="217"/>
      <c r="U167" s="77"/>
    </row>
    <row r="168" customFormat="false" ht="20.15" hidden="true" customHeight="true" outlineLevel="1" collapsed="false">
      <c r="B168" s="77"/>
      <c r="C168" s="217"/>
      <c r="D168" s="220"/>
      <c r="E168" s="220"/>
      <c r="F168" s="225"/>
      <c r="G168" s="225"/>
      <c r="H168" s="217"/>
      <c r="I168" s="213" t="s">
        <v>92</v>
      </c>
      <c r="J168" s="161" t="n">
        <f aca="false">MAX(J166:J167)</f>
        <v>220</v>
      </c>
      <c r="K168" s="237"/>
      <c r="L168" s="225"/>
      <c r="M168" s="217"/>
      <c r="N168" s="164" t="s">
        <v>93</v>
      </c>
      <c r="O168" s="165" t="n">
        <f aca="false">SUM(O166:O167)</f>
        <v>1</v>
      </c>
      <c r="P168" s="165" t="n">
        <f aca="false">SUM(P166:P167)</f>
        <v>1</v>
      </c>
      <c r="Q168" s="238"/>
      <c r="R168" s="238"/>
      <c r="S168" s="238"/>
      <c r="T168" s="217"/>
      <c r="U168" s="77"/>
    </row>
    <row r="169" customFormat="false" ht="20.15" hidden="false" customHeight="true" outlineLevel="0" collapsed="false">
      <c r="B169" s="77"/>
      <c r="C169" s="217"/>
      <c r="D169" s="239"/>
      <c r="E169" s="239"/>
      <c r="F169" s="217"/>
      <c r="G169" s="217"/>
      <c r="H169" s="217"/>
      <c r="I169" s="217"/>
      <c r="J169" s="217"/>
      <c r="K169" s="217"/>
      <c r="L169" s="217"/>
      <c r="M169" s="217"/>
      <c r="N169" s="217"/>
      <c r="O169" s="217"/>
      <c r="P169" s="217"/>
      <c r="Q169" s="217"/>
      <c r="R169" s="217"/>
      <c r="S169" s="217"/>
      <c r="T169" s="217"/>
      <c r="U169" s="77"/>
    </row>
    <row r="170" customFormat="false" ht="20.15" hidden="false" customHeight="true" outlineLevel="0" collapsed="false">
      <c r="B170" s="77"/>
      <c r="D170" s="5"/>
      <c r="E170" s="5"/>
      <c r="F170" s="5"/>
      <c r="G170" s="5"/>
      <c r="H170" s="5"/>
      <c r="I170" s="5"/>
      <c r="J170" s="5"/>
      <c r="K170" s="14"/>
      <c r="L170" s="14"/>
      <c r="M170" s="14"/>
      <c r="N170" s="14"/>
      <c r="O170" s="14"/>
      <c r="P170" s="14"/>
      <c r="Q170" s="14"/>
      <c r="R170" s="14"/>
      <c r="S170" s="14"/>
      <c r="U170" s="77"/>
    </row>
    <row r="171" customFormat="false" ht="30" hidden="false" customHeight="true" outlineLevel="0" collapsed="false">
      <c r="B171" s="77"/>
      <c r="C171" s="240"/>
      <c r="D171" s="511" t="s">
        <v>149</v>
      </c>
      <c r="E171" s="511"/>
      <c r="F171" s="511"/>
      <c r="G171" s="511"/>
      <c r="H171" s="511"/>
      <c r="I171" s="511"/>
      <c r="J171" s="511"/>
      <c r="K171" s="511"/>
      <c r="L171" s="511"/>
      <c r="M171" s="511"/>
      <c r="N171" s="511"/>
      <c r="O171" s="511"/>
      <c r="P171" s="511"/>
      <c r="Q171" s="511"/>
      <c r="R171" s="511"/>
      <c r="S171" s="511"/>
      <c r="T171" s="240"/>
      <c r="U171" s="77"/>
    </row>
    <row r="172" customFormat="false" ht="50.15" hidden="false" customHeight="true" outlineLevel="0" collapsed="false">
      <c r="B172" s="77"/>
      <c r="C172" s="240"/>
      <c r="D172" s="401"/>
      <c r="E172" s="512" t="s">
        <v>52</v>
      </c>
      <c r="F172" s="513" t="s">
        <v>53</v>
      </c>
      <c r="G172" s="514" t="s">
        <v>83</v>
      </c>
      <c r="H172" s="515" t="s">
        <v>102</v>
      </c>
      <c r="I172" s="516" t="s">
        <v>103</v>
      </c>
      <c r="J172" s="516"/>
      <c r="K172" s="513" t="s">
        <v>104</v>
      </c>
      <c r="L172" s="514" t="s">
        <v>105</v>
      </c>
      <c r="M172" s="514" t="s">
        <v>106</v>
      </c>
      <c r="N172" s="517" t="s">
        <v>109</v>
      </c>
      <c r="O172" s="399"/>
      <c r="P172" s="400"/>
      <c r="Q172" s="400"/>
      <c r="R172" s="400"/>
      <c r="S172" s="401"/>
      <c r="T172" s="240"/>
      <c r="U172" s="77"/>
    </row>
    <row r="173" customFormat="false" ht="20.15" hidden="false" customHeight="true" outlineLevel="0" collapsed="false">
      <c r="B173" s="77"/>
      <c r="C173" s="240"/>
      <c r="D173" s="401"/>
      <c r="E173" s="426" t="s">
        <v>360</v>
      </c>
      <c r="F173" s="535" t="s">
        <v>361</v>
      </c>
      <c r="G173" s="327" t="n">
        <f aca="false">L173*6+M173*0</f>
        <v>12</v>
      </c>
      <c r="H173" s="328" t="n">
        <v>0</v>
      </c>
      <c r="I173" s="328" t="s">
        <v>66</v>
      </c>
      <c r="J173" s="328"/>
      <c r="K173" s="327" t="n">
        <f aca="false">G173+H173</f>
        <v>12</v>
      </c>
      <c r="L173" s="327" t="n">
        <v>2</v>
      </c>
      <c r="M173" s="327" t="n">
        <v>2</v>
      </c>
      <c r="N173" s="329" t="n">
        <f aca="false">(L146+L153+L160+L167)/4</f>
        <v>69.4318181818182</v>
      </c>
      <c r="O173" s="402"/>
      <c r="P173" s="403"/>
      <c r="Q173" s="403"/>
      <c r="R173" s="403"/>
      <c r="S173" s="401"/>
      <c r="T173" s="240"/>
      <c r="U173" s="77"/>
    </row>
    <row r="174" customFormat="false" ht="20.15" hidden="false" customHeight="true" outlineLevel="0" collapsed="false">
      <c r="B174" s="77"/>
      <c r="C174" s="240"/>
      <c r="D174" s="401"/>
      <c r="E174" s="265" t="s">
        <v>21</v>
      </c>
      <c r="F174" s="266" t="s">
        <v>22</v>
      </c>
      <c r="G174" s="338" t="n">
        <f aca="false">L174*6+M174*0</f>
        <v>12</v>
      </c>
      <c r="H174" s="339" t="n">
        <v>0</v>
      </c>
      <c r="I174" s="339" t="s">
        <v>66</v>
      </c>
      <c r="J174" s="339"/>
      <c r="K174" s="338" t="n">
        <f aca="false">G174+H174</f>
        <v>12</v>
      </c>
      <c r="L174" s="338" t="n">
        <v>2</v>
      </c>
      <c r="M174" s="338" t="n">
        <v>2</v>
      </c>
      <c r="N174" s="341" t="n">
        <f aca="false">(L145+L152+L159+L166)/4</f>
        <v>58</v>
      </c>
      <c r="O174" s="402"/>
      <c r="P174" s="403"/>
      <c r="Q174" s="403"/>
      <c r="R174" s="403"/>
      <c r="S174" s="401"/>
      <c r="T174" s="240"/>
      <c r="U174" s="77"/>
    </row>
    <row r="175" customFormat="false" ht="20.15" hidden="false" customHeight="true" outlineLevel="0" collapsed="false">
      <c r="B175" s="77"/>
      <c r="C175" s="240"/>
      <c r="D175" s="240"/>
      <c r="E175" s="240"/>
      <c r="F175" s="240"/>
      <c r="G175" s="240"/>
      <c r="H175" s="240"/>
      <c r="I175" s="240"/>
      <c r="J175" s="240"/>
      <c r="K175" s="240"/>
      <c r="L175" s="240"/>
      <c r="M175" s="240"/>
      <c r="N175" s="240"/>
      <c r="O175" s="240"/>
      <c r="P175" s="240"/>
      <c r="Q175" s="240"/>
      <c r="R175" s="240"/>
      <c r="S175" s="240"/>
      <c r="T175" s="240"/>
      <c r="U175" s="77"/>
    </row>
    <row r="176" customFormat="false" ht="20.15" hidden="false" customHeight="true" outlineLevel="0" collapsed="false">
      <c r="B176" s="77"/>
      <c r="C176" s="77"/>
      <c r="D176" s="270"/>
      <c r="E176" s="270"/>
      <c r="F176" s="195"/>
      <c r="G176" s="195"/>
      <c r="H176" s="270"/>
      <c r="I176" s="270"/>
      <c r="J176" s="270"/>
      <c r="K176" s="207"/>
      <c r="L176" s="207"/>
      <c r="M176" s="207"/>
      <c r="N176" s="207"/>
      <c r="O176" s="207"/>
      <c r="P176" s="207"/>
      <c r="Q176" s="207"/>
      <c r="R176" s="207"/>
      <c r="S176" s="207"/>
      <c r="T176" s="77"/>
      <c r="U176" s="77"/>
    </row>
  </sheetData>
  <mergeCells count="112">
    <mergeCell ref="A1:N2"/>
    <mergeCell ref="B4:J4"/>
    <mergeCell ref="L4:N4"/>
    <mergeCell ref="B5:C5"/>
    <mergeCell ref="B6:C6"/>
    <mergeCell ref="M6:M9"/>
    <mergeCell ref="B7:C7"/>
    <mergeCell ref="B8:C8"/>
    <mergeCell ref="B9:C9"/>
    <mergeCell ref="B10:C10"/>
    <mergeCell ref="M10:M13"/>
    <mergeCell ref="B11:C11"/>
    <mergeCell ref="B12:C12"/>
    <mergeCell ref="B13:C13"/>
    <mergeCell ref="B14:C14"/>
    <mergeCell ref="M14:M15"/>
    <mergeCell ref="B15:C15"/>
    <mergeCell ref="B16:C16"/>
    <mergeCell ref="L16:M16"/>
    <mergeCell ref="B17:I17"/>
    <mergeCell ref="B18:C18"/>
    <mergeCell ref="B19:C19"/>
    <mergeCell ref="C22:T22"/>
    <mergeCell ref="D24:D25"/>
    <mergeCell ref="E24:E25"/>
    <mergeCell ref="F24:F25"/>
    <mergeCell ref="G24:J24"/>
    <mergeCell ref="L24:S24"/>
    <mergeCell ref="I25:J25"/>
    <mergeCell ref="N25:S25"/>
    <mergeCell ref="I26:J26"/>
    <mergeCell ref="N26:S26"/>
    <mergeCell ref="I27:J27"/>
    <mergeCell ref="N27:S27"/>
    <mergeCell ref="I28:J28"/>
    <mergeCell ref="N28:S28"/>
    <mergeCell ref="I29:J29"/>
    <mergeCell ref="N29:S29"/>
    <mergeCell ref="E31:N31"/>
    <mergeCell ref="F37:G37"/>
    <mergeCell ref="F38:G38"/>
    <mergeCell ref="E40:N40"/>
    <mergeCell ref="F46:G46"/>
    <mergeCell ref="E49:N49"/>
    <mergeCell ref="F55:G55"/>
    <mergeCell ref="E58:N58"/>
    <mergeCell ref="F64:G64"/>
    <mergeCell ref="D67:S67"/>
    <mergeCell ref="H68:I68"/>
    <mergeCell ref="H69:I69"/>
    <mergeCell ref="H70:I70"/>
    <mergeCell ref="H71:I71"/>
    <mergeCell ref="H72:I72"/>
    <mergeCell ref="C78:T78"/>
    <mergeCell ref="D80:D81"/>
    <mergeCell ref="E80:E81"/>
    <mergeCell ref="F80:F81"/>
    <mergeCell ref="G80:J80"/>
    <mergeCell ref="L80:S80"/>
    <mergeCell ref="I81:J81"/>
    <mergeCell ref="N81:S81"/>
    <mergeCell ref="I82:J82"/>
    <mergeCell ref="N82:S82"/>
    <mergeCell ref="I83:J83"/>
    <mergeCell ref="N83:S83"/>
    <mergeCell ref="I84:J84"/>
    <mergeCell ref="N84:S84"/>
    <mergeCell ref="I85:J85"/>
    <mergeCell ref="N85:S85"/>
    <mergeCell ref="E87:N87"/>
    <mergeCell ref="F93:G93"/>
    <mergeCell ref="E96:N96"/>
    <mergeCell ref="F102:G102"/>
    <mergeCell ref="E105:N105"/>
    <mergeCell ref="F111:G111"/>
    <mergeCell ref="E114:N114"/>
    <mergeCell ref="F120:G120"/>
    <mergeCell ref="D123:S123"/>
    <mergeCell ref="H124:I124"/>
    <mergeCell ref="H125:I125"/>
    <mergeCell ref="H126:I126"/>
    <mergeCell ref="Y126:Z126"/>
    <mergeCell ref="H127:I127"/>
    <mergeCell ref="H128:I128"/>
    <mergeCell ref="C134:T134"/>
    <mergeCell ref="D136:D137"/>
    <mergeCell ref="E136:E137"/>
    <mergeCell ref="F136:F137"/>
    <mergeCell ref="G136:J136"/>
    <mergeCell ref="L136:S136"/>
    <mergeCell ref="I137:J137"/>
    <mergeCell ref="N137:S137"/>
    <mergeCell ref="I138:J138"/>
    <mergeCell ref="N138:S138"/>
    <mergeCell ref="I139:J139"/>
    <mergeCell ref="N139:S139"/>
    <mergeCell ref="I140:J140"/>
    <mergeCell ref="N140:S140"/>
    <mergeCell ref="I141:J141"/>
    <mergeCell ref="N141:S141"/>
    <mergeCell ref="E143:N143"/>
    <mergeCell ref="F147:G147"/>
    <mergeCell ref="E150:N150"/>
    <mergeCell ref="F154:G154"/>
    <mergeCell ref="E157:N157"/>
    <mergeCell ref="F161:G161"/>
    <mergeCell ref="E164:N164"/>
    <mergeCell ref="F168:G168"/>
    <mergeCell ref="D171:S171"/>
    <mergeCell ref="I172:J172"/>
    <mergeCell ref="I173:J173"/>
    <mergeCell ref="I174:J174"/>
  </mergeCells>
  <conditionalFormatting sqref="B6:J15">
    <cfRule type="expression" priority="2" aboveAverage="0" equalAverage="0" bottom="0" percent="0" rank="0" text="" dxfId="26">
      <formula>$J6="Nein"</formula>
    </cfRule>
    <cfRule type="expression" priority="3" aboveAverage="0" equalAverage="0" bottom="0" percent="0" rank="0" text="" dxfId="27">
      <formula>$J6="Ja"</formula>
    </cfRule>
  </conditionalFormatting>
  <conditionalFormatting sqref="D26:E29">
    <cfRule type="expression" priority="4" aboveAverage="0" equalAverage="0" bottom="0" percent="0" rank="0" text="" dxfId="28">
      <formula>$J26="Nein"</formula>
    </cfRule>
    <cfRule type="expression" priority="5" aboveAverage="0" equalAverage="0" bottom="0" percent="0" rank="0" text="" dxfId="29">
      <formula>$J26="Ja"</formula>
    </cfRule>
  </conditionalFormatting>
  <conditionalFormatting sqref="E33:F36">
    <cfRule type="expression" priority="6" aboveAverage="0" equalAverage="0" bottom="0" percent="0" rank="0" text="" dxfId="30">
      <formula>$J33="Nein"</formula>
    </cfRule>
    <cfRule type="expression" priority="7" aboveAverage="0" equalAverage="0" bottom="0" percent="0" rank="0" text="" dxfId="31">
      <formula>$J33="Ja"</formula>
    </cfRule>
  </conditionalFormatting>
  <conditionalFormatting sqref="E42:F45">
    <cfRule type="expression" priority="8" aboveAverage="0" equalAverage="0" bottom="0" percent="0" rank="0" text="" dxfId="32">
      <formula>$J42="Nein"</formula>
    </cfRule>
    <cfRule type="expression" priority="9" aboveAverage="0" equalAverage="0" bottom="0" percent="0" rank="0" text="" dxfId="33">
      <formula>$J42="Ja"</formula>
    </cfRule>
  </conditionalFormatting>
  <conditionalFormatting sqref="E51:F54">
    <cfRule type="expression" priority="10" aboveAverage="0" equalAverage="0" bottom="0" percent="0" rank="0" text="" dxfId="34">
      <formula>$J51="Nein"</formula>
    </cfRule>
    <cfRule type="expression" priority="11" aboveAverage="0" equalAverage="0" bottom="0" percent="0" rank="0" text="" dxfId="35">
      <formula>$J51="Ja"</formula>
    </cfRule>
  </conditionalFormatting>
  <conditionalFormatting sqref="E60:F63">
    <cfRule type="expression" priority="12" aboveAverage="0" equalAverage="0" bottom="0" percent="0" rank="0" text="" dxfId="36">
      <formula>$J60="Nein"</formula>
    </cfRule>
    <cfRule type="expression" priority="13" aboveAverage="0" equalAverage="0" bottom="0" percent="0" rank="0" text="" dxfId="37">
      <formula>$J60="Ja"</formula>
    </cfRule>
  </conditionalFormatting>
  <conditionalFormatting sqref="D69:E71">
    <cfRule type="expression" priority="14" aboveAverage="0" equalAverage="0" bottom="0" percent="0" rank="0" text="" dxfId="38">
      <formula>$J69="Nein"</formula>
    </cfRule>
    <cfRule type="expression" priority="15" aboveAverage="0" equalAverage="0" bottom="0" percent="0" rank="0" text="" dxfId="39">
      <formula>$J69="Ja"</formula>
    </cfRule>
  </conditionalFormatting>
  <conditionalFormatting sqref="D72:E72">
    <cfRule type="expression" priority="16" aboveAverage="0" equalAverage="0" bottom="0" percent="0" rank="0" text="" dxfId="40">
      <formula>$J72="Nein"</formula>
    </cfRule>
    <cfRule type="expression" priority="17" aboveAverage="0" equalAverage="0" bottom="0" percent="0" rank="0" text="" dxfId="41">
      <formula>$J72="Ja"</formula>
    </cfRule>
  </conditionalFormatting>
  <conditionalFormatting sqref="D82:E85">
    <cfRule type="expression" priority="18" aboveAverage="0" equalAverage="0" bottom="0" percent="0" rank="0" text="" dxfId="42">
      <formula>$J82="Nein"</formula>
    </cfRule>
    <cfRule type="expression" priority="19" aboveAverage="0" equalAverage="0" bottom="0" percent="0" rank="0" text="" dxfId="43">
      <formula>$J82="Ja"</formula>
    </cfRule>
  </conditionalFormatting>
  <conditionalFormatting sqref="E89:F92">
    <cfRule type="expression" priority="20" aboveAverage="0" equalAverage="0" bottom="0" percent="0" rank="0" text="" dxfId="44">
      <formula>$J89="Nein"</formula>
    </cfRule>
    <cfRule type="expression" priority="21" aboveAverage="0" equalAverage="0" bottom="0" percent="0" rank="0" text="" dxfId="45">
      <formula>$J89="Ja"</formula>
    </cfRule>
  </conditionalFormatting>
  <conditionalFormatting sqref="E98:F101">
    <cfRule type="expression" priority="22" aboveAverage="0" equalAverage="0" bottom="0" percent="0" rank="0" text="" dxfId="46">
      <formula>$J98="Nein"</formula>
    </cfRule>
    <cfRule type="expression" priority="23" aboveAverage="0" equalAverage="0" bottom="0" percent="0" rank="0" text="" dxfId="47">
      <formula>$J98="Ja"</formula>
    </cfRule>
  </conditionalFormatting>
  <conditionalFormatting sqref="E107:F110">
    <cfRule type="expression" priority="24" aboveAverage="0" equalAverage="0" bottom="0" percent="0" rank="0" text="" dxfId="48">
      <formula>$J107="Nein"</formula>
    </cfRule>
    <cfRule type="expression" priority="25" aboveAverage="0" equalAverage="0" bottom="0" percent="0" rank="0" text="" dxfId="49">
      <formula>$J107="Ja"</formula>
    </cfRule>
  </conditionalFormatting>
  <conditionalFormatting sqref="E116:F119">
    <cfRule type="expression" priority="26" aboveAverage="0" equalAverage="0" bottom="0" percent="0" rank="0" text="" dxfId="50">
      <formula>$J116="Nein"</formula>
    </cfRule>
    <cfRule type="expression" priority="27" aboveAverage="0" equalAverage="0" bottom="0" percent="0" rank="0" text="" dxfId="51">
      <formula>$J116="Ja"</formula>
    </cfRule>
  </conditionalFormatting>
  <conditionalFormatting sqref="D125:E125">
    <cfRule type="expression" priority="28" aboveAverage="0" equalAverage="0" bottom="0" percent="0" rank="0" text="" dxfId="52">
      <formula>$J125="Nein"</formula>
    </cfRule>
    <cfRule type="expression" priority="29" aboveAverage="0" equalAverage="0" bottom="0" percent="0" rank="0" text="" dxfId="53">
      <formula>$J125="Ja"</formula>
    </cfRule>
  </conditionalFormatting>
  <conditionalFormatting sqref="D126:E126">
    <cfRule type="expression" priority="30" aboveAverage="0" equalAverage="0" bottom="0" percent="0" rank="0" text="" dxfId="54">
      <formula>$J126="Nein"</formula>
    </cfRule>
    <cfRule type="expression" priority="31" aboveAverage="0" equalAverage="0" bottom="0" percent="0" rank="0" text="" dxfId="55">
      <formula>$J126="Ja"</formula>
    </cfRule>
  </conditionalFormatting>
  <conditionalFormatting sqref="D127:E127">
    <cfRule type="expression" priority="32" aboveAverage="0" equalAverage="0" bottom="0" percent="0" rank="0" text="" dxfId="56">
      <formula>$J127="Nein"</formula>
    </cfRule>
    <cfRule type="expression" priority="33" aboveAverage="0" equalAverage="0" bottom="0" percent="0" rank="0" text="" dxfId="57">
      <formula>$J127="Ja"</formula>
    </cfRule>
  </conditionalFormatting>
  <conditionalFormatting sqref="D128:E128">
    <cfRule type="expression" priority="34" aboveAverage="0" equalAverage="0" bottom="0" percent="0" rank="0" text="" dxfId="58">
      <formula>$J128="Nein"</formula>
    </cfRule>
    <cfRule type="expression" priority="35" aboveAverage="0" equalAverage="0" bottom="0" percent="0" rank="0" text="" dxfId="59">
      <formula>$J128="Ja"</formula>
    </cfRule>
  </conditionalFormatting>
  <conditionalFormatting sqref="D138:E139">
    <cfRule type="expression" priority="36" aboveAverage="0" equalAverage="0" bottom="0" percent="0" rank="0" text="" dxfId="60">
      <formula>$J138="Nein"</formula>
    </cfRule>
    <cfRule type="expression" priority="37" aboveAverage="0" equalAverage="0" bottom="0" percent="0" rank="0" text="" dxfId="61">
      <formula>$J138="Ja"</formula>
    </cfRule>
  </conditionalFormatting>
  <conditionalFormatting sqref="D140:E140">
    <cfRule type="expression" priority="38" aboveAverage="0" equalAverage="0" bottom="0" percent="0" rank="0" text="" dxfId="62">
      <formula>$J140="Nein"</formula>
    </cfRule>
    <cfRule type="expression" priority="39" aboveAverage="0" equalAverage="0" bottom="0" percent="0" rank="0" text="" dxfId="63">
      <formula>$J140="Ja"</formula>
    </cfRule>
  </conditionalFormatting>
  <conditionalFormatting sqref="D141:E141">
    <cfRule type="expression" priority="40" aboveAverage="0" equalAverage="0" bottom="0" percent="0" rank="0" text="" dxfId="64">
      <formula>$J141="Nein"</formula>
    </cfRule>
    <cfRule type="expression" priority="41" aboveAverage="0" equalAverage="0" bottom="0" percent="0" rank="0" text="" dxfId="65">
      <formula>$J141="Ja"</formula>
    </cfRule>
  </conditionalFormatting>
  <conditionalFormatting sqref="E145:F146">
    <cfRule type="expression" priority="42" aboveAverage="0" equalAverage="0" bottom="0" percent="0" rank="0" text="" dxfId="66">
      <formula>$J145="Nein"</formula>
    </cfRule>
    <cfRule type="expression" priority="43" aboveAverage="0" equalAverage="0" bottom="0" percent="0" rank="0" text="" dxfId="67">
      <formula>$J145="Ja"</formula>
    </cfRule>
  </conditionalFormatting>
  <conditionalFormatting sqref="E152:F153">
    <cfRule type="expression" priority="44" aboveAverage="0" equalAverage="0" bottom="0" percent="0" rank="0" text="" dxfId="68">
      <formula>$J152="Nein"</formula>
    </cfRule>
    <cfRule type="expression" priority="45" aboveAverage="0" equalAverage="0" bottom="0" percent="0" rank="0" text="" dxfId="69">
      <formula>$J152="Ja"</formula>
    </cfRule>
  </conditionalFormatting>
  <conditionalFormatting sqref="E159:F160">
    <cfRule type="expression" priority="46" aboveAverage="0" equalAverage="0" bottom="0" percent="0" rank="0" text="" dxfId="70">
      <formula>$J159="Nein"</formula>
    </cfRule>
    <cfRule type="expression" priority="47" aboveAverage="0" equalAverage="0" bottom="0" percent="0" rank="0" text="" dxfId="71">
      <formula>$J159="Ja"</formula>
    </cfRule>
  </conditionalFormatting>
  <conditionalFormatting sqref="E166:F167">
    <cfRule type="expression" priority="48" aboveAverage="0" equalAverage="0" bottom="0" percent="0" rank="0" text="" dxfId="72">
      <formula>$J166="Nein"</formula>
    </cfRule>
    <cfRule type="expression" priority="49" aboveAverage="0" equalAverage="0" bottom="0" percent="0" rank="0" text="" dxfId="73">
      <formula>$J166="Ja"</formula>
    </cfRule>
  </conditionalFormatting>
  <conditionalFormatting sqref="E173:F173">
    <cfRule type="expression" priority="50" aboveAverage="0" equalAverage="0" bottom="0" percent="0" rank="0" text="" dxfId="74">
      <formula>$J173="Nein"</formula>
    </cfRule>
    <cfRule type="expression" priority="51" aboveAverage="0" equalAverage="0" bottom="0" percent="0" rank="0" text="" dxfId="75">
      <formula>$J173="Ja"</formula>
    </cfRule>
  </conditionalFormatting>
  <dataValidations count="1">
    <dataValidation allowBlank="true" operator="between" showDropDown="false" showErrorMessage="true" showInputMessage="true" sqref="J6:J16 J20"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75"/>
  <sheetViews>
    <sheetView showFormulas="false" showGridLines="false" showRowColHeaders="true" showZeros="true" rightToLeft="false" tabSelected="true" showOutlineSymbols="true" defaultGridColor="true" view="normal" topLeftCell="A73" colorId="64" zoomScale="100" zoomScaleNormal="100" zoomScalePageLayoutView="100" workbookViewId="0">
      <selection pane="topLeft" activeCell="I88" activeCellId="0" sqref="I88"/>
    </sheetView>
  </sheetViews>
  <sheetFormatPr defaultColWidth="11.47265625" defaultRowHeight="14.5" zeroHeight="false" outlineLevelRow="1" outlineLevelCol="1"/>
  <cols>
    <col collapsed="false" customWidth="true" hidden="false" outlineLevel="0" max="3" min="1" style="1" width="3.72"/>
    <col collapsed="false" customWidth="true" hidden="false" outlineLevel="0" max="14" min="4" style="1" width="20.72"/>
    <col collapsed="false" customWidth="true" hidden="true" outlineLevel="1" max="18" min="15" style="1" width="20.72"/>
    <col collapsed="false" customWidth="true" hidden="false" outlineLevel="0" max="19" min="19" style="1" width="20.72"/>
    <col collapsed="false" customWidth="true" hidden="false" outlineLevel="0" max="21" min="20" style="1" width="3.72"/>
    <col collapsed="false" customWidth="true" hidden="false" outlineLevel="0" max="22" min="22" style="1" width="15.81"/>
    <col collapsed="false" customWidth="true" hidden="false" outlineLevel="0" max="24" min="23" style="1" width="20.72"/>
    <col collapsed="false" customWidth="false" hidden="false" outlineLevel="0" max="1024" min="25" style="1" width="11.45"/>
  </cols>
  <sheetData>
    <row r="1" customFormat="false" ht="14.5" hidden="false" customHeight="false" outlineLevel="0" collapsed="false">
      <c r="A1" s="2" t="s">
        <v>448</v>
      </c>
      <c r="B1" s="2"/>
      <c r="C1" s="2"/>
      <c r="D1" s="2"/>
      <c r="E1" s="2"/>
      <c r="F1" s="2"/>
      <c r="G1" s="2"/>
      <c r="H1" s="2"/>
      <c r="I1" s="2"/>
      <c r="J1" s="2"/>
      <c r="K1" s="2"/>
      <c r="L1" s="2"/>
      <c r="M1" s="2"/>
      <c r="N1" s="2"/>
    </row>
    <row r="2" customFormat="false" ht="14.5" hidden="false" customHeight="false" outlineLevel="0" collapsed="false">
      <c r="A2" s="2"/>
      <c r="B2" s="2"/>
      <c r="C2" s="2"/>
      <c r="D2" s="2"/>
      <c r="E2" s="2"/>
      <c r="F2" s="2"/>
      <c r="G2" s="2"/>
      <c r="H2" s="2"/>
      <c r="I2" s="2"/>
      <c r="J2" s="2"/>
      <c r="K2" s="2"/>
      <c r="L2" s="2"/>
      <c r="M2" s="2"/>
      <c r="N2" s="2"/>
    </row>
    <row r="3" customFormat="false" ht="20.15" hidden="false" customHeight="true" outlineLevel="0" collapsed="false"/>
    <row r="4" customFormat="false" ht="15" hidden="false" customHeight="false" outlineLevel="0" collapsed="false">
      <c r="B4" s="3" t="s">
        <v>449</v>
      </c>
      <c r="C4" s="3"/>
      <c r="D4" s="3"/>
      <c r="E4" s="3"/>
      <c r="F4" s="3"/>
      <c r="G4" s="3"/>
      <c r="H4" s="3"/>
      <c r="I4" s="3"/>
      <c r="J4" s="3"/>
      <c r="L4" s="3" t="s">
        <v>2</v>
      </c>
      <c r="M4" s="3"/>
      <c r="N4" s="3"/>
      <c r="Q4" s="4"/>
      <c r="R4" s="4"/>
      <c r="S4" s="4"/>
      <c r="T4" s="5"/>
      <c r="U4" s="4"/>
      <c r="V4" s="4"/>
      <c r="W4" s="4"/>
      <c r="X4" s="4"/>
    </row>
    <row r="5" customFormat="false" ht="50.15" hidden="false" customHeight="true" outlineLevel="0" collapsed="false">
      <c r="B5" s="6" t="s">
        <v>450</v>
      </c>
      <c r="C5" s="6"/>
      <c r="D5" s="7" t="s">
        <v>4</v>
      </c>
      <c r="E5" s="8" t="s">
        <v>5</v>
      </c>
      <c r="F5" s="9" t="s">
        <v>6</v>
      </c>
      <c r="G5" s="10" t="s">
        <v>7</v>
      </c>
      <c r="H5" s="10" t="s">
        <v>8</v>
      </c>
      <c r="I5" s="10" t="s">
        <v>9</v>
      </c>
      <c r="J5" s="9" t="s">
        <v>451</v>
      </c>
      <c r="L5" s="11" t="s">
        <v>4</v>
      </c>
      <c r="M5" s="12" t="s">
        <v>11</v>
      </c>
      <c r="N5" s="13" t="s">
        <v>12</v>
      </c>
      <c r="P5" s="14"/>
      <c r="Q5" s="5"/>
      <c r="S5" s="4"/>
      <c r="T5" s="4"/>
      <c r="U5" s="4"/>
      <c r="V5" s="5"/>
      <c r="W5" s="5"/>
    </row>
    <row r="6" customFormat="false" ht="20.15" hidden="false" customHeight="true" outlineLevel="0" collapsed="false">
      <c r="B6" s="471" t="n">
        <v>1</v>
      </c>
      <c r="C6" s="471"/>
      <c r="D6" s="472" t="s">
        <v>27</v>
      </c>
      <c r="E6" s="87" t="s">
        <v>28</v>
      </c>
      <c r="F6" s="473" t="s">
        <v>29</v>
      </c>
      <c r="G6" s="473" t="s">
        <v>28</v>
      </c>
      <c r="H6" s="473" t="s">
        <v>28</v>
      </c>
      <c r="I6" s="87" t="s">
        <v>18</v>
      </c>
      <c r="J6" s="474" t="s">
        <v>15</v>
      </c>
      <c r="L6" s="20" t="str">
        <f aca="false">D6</f>
        <v>Judith Maibaum</v>
      </c>
      <c r="M6" s="21" t="n">
        <v>1</v>
      </c>
      <c r="N6" s="22" t="n">
        <v>1</v>
      </c>
      <c r="P6" s="14"/>
      <c r="Q6" s="23"/>
      <c r="S6" s="14"/>
      <c r="T6" s="14"/>
      <c r="U6" s="14"/>
      <c r="V6" s="24"/>
      <c r="W6" s="24"/>
    </row>
    <row r="7" customFormat="false" ht="20.15" hidden="false" customHeight="true" outlineLevel="0" collapsed="false">
      <c r="B7" s="475" t="n">
        <v>2</v>
      </c>
      <c r="C7" s="475"/>
      <c r="D7" s="480" t="s">
        <v>13</v>
      </c>
      <c r="E7" s="290" t="s">
        <v>14</v>
      </c>
      <c r="F7" s="290" t="s">
        <v>14</v>
      </c>
      <c r="G7" s="290" t="s">
        <v>14</v>
      </c>
      <c r="H7" s="478" t="s">
        <v>14</v>
      </c>
      <c r="I7" s="478" t="s">
        <v>14</v>
      </c>
      <c r="J7" s="479" t="s">
        <v>15</v>
      </c>
      <c r="L7" s="31" t="str">
        <f aca="false">D7</f>
        <v>Devid Fulterer</v>
      </c>
      <c r="M7" s="21"/>
      <c r="N7" s="32" t="n">
        <v>2</v>
      </c>
      <c r="P7" s="14"/>
      <c r="Q7" s="23"/>
      <c r="S7" s="14"/>
      <c r="T7" s="14"/>
      <c r="U7" s="14"/>
      <c r="V7" s="24"/>
      <c r="W7" s="24"/>
    </row>
    <row r="8" customFormat="false" ht="20.15" hidden="false" customHeight="true" outlineLevel="0" collapsed="false">
      <c r="B8" s="475" t="n">
        <v>3</v>
      </c>
      <c r="C8" s="475"/>
      <c r="D8" s="476" t="s">
        <v>25</v>
      </c>
      <c r="E8" s="96" t="s">
        <v>26</v>
      </c>
      <c r="F8" s="477" t="s">
        <v>26</v>
      </c>
      <c r="G8" s="476" t="s">
        <v>26</v>
      </c>
      <c r="H8" s="478" t="s">
        <v>26</v>
      </c>
      <c r="I8" s="290" t="s">
        <v>18</v>
      </c>
      <c r="J8" s="479" t="s">
        <v>15</v>
      </c>
      <c r="L8" s="31" t="str">
        <f aca="false">D8</f>
        <v>Pauline Schätzle</v>
      </c>
      <c r="M8" s="21"/>
      <c r="N8" s="32" t="n">
        <v>3</v>
      </c>
      <c r="P8" s="14"/>
      <c r="Q8" s="23"/>
      <c r="S8" s="14"/>
      <c r="T8" s="14"/>
      <c r="U8" s="14"/>
      <c r="V8" s="24"/>
      <c r="W8" s="24"/>
    </row>
    <row r="9" customFormat="false" ht="20.15" hidden="false" customHeight="true" outlineLevel="0" collapsed="false">
      <c r="B9" s="475" t="n">
        <v>4</v>
      </c>
      <c r="C9" s="475"/>
      <c r="D9" s="476" t="s">
        <v>49</v>
      </c>
      <c r="E9" s="312" t="s">
        <v>50</v>
      </c>
      <c r="F9" s="312" t="s">
        <v>50</v>
      </c>
      <c r="G9" s="312"/>
      <c r="H9" s="312" t="s">
        <v>50</v>
      </c>
      <c r="I9" s="312"/>
      <c r="J9" s="479" t="s">
        <v>15</v>
      </c>
      <c r="L9" s="34" t="str">
        <f aca="false">D9</f>
        <v>Jonas Röhrig</v>
      </c>
      <c r="M9" s="21"/>
      <c r="N9" s="35" t="n">
        <v>4</v>
      </c>
      <c r="P9" s="14"/>
      <c r="Q9" s="23"/>
      <c r="S9" s="14"/>
      <c r="T9" s="14"/>
      <c r="U9" s="14"/>
      <c r="V9" s="24"/>
      <c r="W9" s="24"/>
    </row>
    <row r="10" customFormat="false" ht="20.15" hidden="false" customHeight="true" outlineLevel="0" collapsed="false">
      <c r="B10" s="475" t="n">
        <v>5</v>
      </c>
      <c r="C10" s="475"/>
      <c r="D10" s="480" t="s">
        <v>30</v>
      </c>
      <c r="E10" s="96" t="s">
        <v>31</v>
      </c>
      <c r="F10" s="477" t="s">
        <v>32</v>
      </c>
      <c r="G10" s="476" t="s">
        <v>18</v>
      </c>
      <c r="H10" s="478" t="s">
        <v>32</v>
      </c>
      <c r="I10" s="290" t="s">
        <v>18</v>
      </c>
      <c r="J10" s="479" t="s">
        <v>15</v>
      </c>
      <c r="L10" s="20" t="str">
        <f aca="false">D10</f>
        <v>Lisa Schätzle</v>
      </c>
      <c r="M10" s="37" t="n">
        <v>2</v>
      </c>
      <c r="N10" s="22" t="n">
        <v>1</v>
      </c>
      <c r="P10" s="14"/>
      <c r="Q10" s="23"/>
      <c r="S10" s="14"/>
      <c r="T10" s="14"/>
      <c r="U10" s="14"/>
      <c r="V10" s="24"/>
      <c r="W10" s="24"/>
    </row>
    <row r="11" customFormat="false" ht="20.15" hidden="false" customHeight="true" outlineLevel="0" collapsed="false">
      <c r="B11" s="475" t="n">
        <v>6</v>
      </c>
      <c r="C11" s="475"/>
      <c r="D11" s="476" t="s">
        <v>16</v>
      </c>
      <c r="E11" s="96" t="s">
        <v>17</v>
      </c>
      <c r="F11" s="477" t="s">
        <v>17</v>
      </c>
      <c r="G11" s="476" t="s">
        <v>17</v>
      </c>
      <c r="H11" s="478" t="s">
        <v>17</v>
      </c>
      <c r="I11" s="478" t="s">
        <v>18</v>
      </c>
      <c r="J11" s="479" t="s">
        <v>15</v>
      </c>
      <c r="L11" s="31" t="str">
        <f aca="false">D11</f>
        <v>Andreas Micke</v>
      </c>
      <c r="M11" s="37"/>
      <c r="N11" s="32" t="n">
        <v>2</v>
      </c>
      <c r="P11" s="14"/>
      <c r="Q11" s="23"/>
      <c r="S11" s="14"/>
      <c r="T11" s="14"/>
      <c r="U11" s="14"/>
      <c r="V11" s="24"/>
      <c r="W11" s="24"/>
    </row>
    <row r="12" customFormat="false" ht="20.15" hidden="false" customHeight="true" outlineLevel="0" collapsed="false">
      <c r="B12" s="475" t="n">
        <v>7</v>
      </c>
      <c r="C12" s="475"/>
      <c r="D12" s="480" t="s">
        <v>19</v>
      </c>
      <c r="E12" s="96" t="s">
        <v>20</v>
      </c>
      <c r="F12" s="477" t="s">
        <v>20</v>
      </c>
      <c r="G12" s="476" t="s">
        <v>20</v>
      </c>
      <c r="H12" s="478" t="s">
        <v>20</v>
      </c>
      <c r="I12" s="478" t="s">
        <v>18</v>
      </c>
      <c r="J12" s="479" t="s">
        <v>15</v>
      </c>
      <c r="L12" s="31" t="str">
        <f aca="false">D12</f>
        <v>Jérôme Schätzle</v>
      </c>
      <c r="M12" s="37"/>
      <c r="N12" s="32" t="n">
        <v>3</v>
      </c>
      <c r="P12" s="14"/>
      <c r="Q12" s="23"/>
      <c r="S12" s="14"/>
      <c r="T12" s="14"/>
      <c r="U12" s="14"/>
      <c r="V12" s="24"/>
      <c r="W12" s="24"/>
    </row>
    <row r="13" customFormat="false" ht="20.15" hidden="false" customHeight="true" outlineLevel="0" collapsed="false">
      <c r="B13" s="475" t="n">
        <v>8</v>
      </c>
      <c r="C13" s="475"/>
      <c r="D13" s="476" t="s">
        <v>360</v>
      </c>
      <c r="E13" s="312" t="s">
        <v>361</v>
      </c>
      <c r="F13" s="312" t="s">
        <v>361</v>
      </c>
      <c r="G13" s="312" t="s">
        <v>18</v>
      </c>
      <c r="H13" s="312" t="s">
        <v>18</v>
      </c>
      <c r="I13" s="312" t="s">
        <v>18</v>
      </c>
      <c r="J13" s="479" t="s">
        <v>38</v>
      </c>
      <c r="L13" s="34" t="str">
        <f aca="false">D13</f>
        <v>Peter Ratschiller</v>
      </c>
      <c r="M13" s="37"/>
      <c r="N13" s="35" t="n">
        <v>4</v>
      </c>
      <c r="P13" s="14"/>
      <c r="Q13" s="23"/>
      <c r="S13" s="14"/>
      <c r="T13" s="14"/>
      <c r="U13" s="14"/>
      <c r="V13" s="24"/>
      <c r="W13" s="24"/>
    </row>
    <row r="14" customFormat="false" ht="20.15" hidden="false" customHeight="true" outlineLevel="0" collapsed="false">
      <c r="B14" s="475" t="n">
        <v>9</v>
      </c>
      <c r="C14" s="475"/>
      <c r="D14" s="480" t="s">
        <v>39</v>
      </c>
      <c r="E14" s="290" t="s">
        <v>40</v>
      </c>
      <c r="F14" s="478" t="s">
        <v>40</v>
      </c>
      <c r="G14" s="478" t="s">
        <v>40</v>
      </c>
      <c r="H14" s="478" t="s">
        <v>18</v>
      </c>
      <c r="I14" s="478" t="s">
        <v>18</v>
      </c>
      <c r="J14" s="479" t="s">
        <v>15</v>
      </c>
      <c r="L14" s="20" t="str">
        <f aca="false">D14</f>
        <v>Markus Hagenauer</v>
      </c>
      <c r="M14" s="21" t="n">
        <v>3</v>
      </c>
      <c r="N14" s="22" t="n">
        <v>1</v>
      </c>
      <c r="P14" s="14"/>
      <c r="Q14" s="23"/>
      <c r="S14" s="14"/>
      <c r="T14" s="14"/>
      <c r="U14" s="14"/>
      <c r="V14" s="24"/>
      <c r="W14" s="24"/>
    </row>
    <row r="15" customFormat="false" ht="20.15" hidden="false" customHeight="true" outlineLevel="0" collapsed="false">
      <c r="B15" s="475" t="n">
        <v>10</v>
      </c>
      <c r="C15" s="475"/>
      <c r="D15" s="476" t="s">
        <v>21</v>
      </c>
      <c r="E15" s="96" t="s">
        <v>22</v>
      </c>
      <c r="F15" s="477" t="s">
        <v>22</v>
      </c>
      <c r="G15" s="476" t="s">
        <v>18</v>
      </c>
      <c r="H15" s="478" t="s">
        <v>22</v>
      </c>
      <c r="I15" s="478" t="s">
        <v>18</v>
      </c>
      <c r="J15" s="479" t="s">
        <v>15</v>
      </c>
      <c r="L15" s="31" t="str">
        <f aca="false">D15</f>
        <v>Daniel Zimmerman</v>
      </c>
      <c r="M15" s="21"/>
      <c r="N15" s="32" t="n">
        <v>2</v>
      </c>
      <c r="P15" s="14"/>
      <c r="Q15" s="23"/>
      <c r="S15" s="14"/>
      <c r="T15" s="14"/>
      <c r="U15" s="14"/>
      <c r="V15" s="24"/>
      <c r="W15" s="24"/>
    </row>
    <row r="16" customFormat="false" ht="20.15" hidden="false" customHeight="true" outlineLevel="0" collapsed="false">
      <c r="B16" s="481" t="n">
        <v>11</v>
      </c>
      <c r="C16" s="481"/>
      <c r="D16" s="482" t="s">
        <v>33</v>
      </c>
      <c r="E16" s="410" t="s">
        <v>34</v>
      </c>
      <c r="F16" s="483" t="s">
        <v>34</v>
      </c>
      <c r="G16" s="483" t="s">
        <v>34</v>
      </c>
      <c r="H16" s="483" t="s">
        <v>18</v>
      </c>
      <c r="I16" s="483" t="s">
        <v>18</v>
      </c>
      <c r="J16" s="484" t="s">
        <v>15</v>
      </c>
      <c r="L16" s="449" t="str">
        <f aca="false">D16</f>
        <v>Kai Maibaum</v>
      </c>
      <c r="M16" s="21"/>
      <c r="N16" s="55" t="n">
        <v>3</v>
      </c>
      <c r="P16" s="14"/>
      <c r="Q16" s="23"/>
      <c r="S16" s="14"/>
      <c r="T16" s="14"/>
      <c r="U16" s="14"/>
      <c r="V16" s="24"/>
      <c r="W16" s="24"/>
    </row>
    <row r="17" customFormat="false" ht="20.15" hidden="false" customHeight="true" outlineLevel="0" collapsed="false">
      <c r="B17" s="23"/>
      <c r="C17" s="23"/>
      <c r="D17" s="419"/>
      <c r="E17" s="529"/>
      <c r="F17" s="14"/>
      <c r="G17" s="14"/>
      <c r="H17" s="14"/>
      <c r="I17" s="14"/>
      <c r="J17" s="419"/>
      <c r="L17" s="56" t="s">
        <v>452</v>
      </c>
      <c r="M17" s="56"/>
      <c r="N17" s="57" t="n">
        <v>11</v>
      </c>
      <c r="P17" s="4"/>
      <c r="Q17" s="4"/>
      <c r="S17" s="4"/>
      <c r="T17" s="4"/>
      <c r="U17" s="4"/>
      <c r="V17" s="4"/>
    </row>
    <row r="18" customFormat="false" ht="15" hidden="false" customHeight="false" outlineLevel="0" collapsed="false">
      <c r="B18" s="3" t="s">
        <v>453</v>
      </c>
      <c r="C18" s="3"/>
      <c r="D18" s="3"/>
      <c r="E18" s="3"/>
      <c r="F18" s="3"/>
      <c r="G18" s="3"/>
      <c r="H18" s="3"/>
      <c r="I18" s="3"/>
      <c r="M18" s="58"/>
      <c r="N18" s="58"/>
      <c r="O18" s="58"/>
      <c r="P18" s="5"/>
      <c r="Q18" s="4"/>
      <c r="R18" s="4"/>
      <c r="T18" s="4"/>
      <c r="U18" s="4"/>
      <c r="V18" s="4"/>
      <c r="W18" s="4"/>
    </row>
    <row r="19" customFormat="false" ht="29.5" hidden="false" customHeight="true" outlineLevel="0" collapsed="false">
      <c r="B19" s="59" t="s">
        <v>45</v>
      </c>
      <c r="C19" s="59"/>
      <c r="D19" s="60" t="s">
        <v>4</v>
      </c>
      <c r="E19" s="61" t="s">
        <v>5</v>
      </c>
      <c r="F19" s="62" t="s">
        <v>6</v>
      </c>
      <c r="G19" s="63" t="s">
        <v>7</v>
      </c>
      <c r="H19" s="64" t="s">
        <v>8</v>
      </c>
      <c r="I19" s="62" t="s">
        <v>9</v>
      </c>
      <c r="M19" s="58"/>
      <c r="N19" s="58"/>
      <c r="O19" s="58"/>
      <c r="P19" s="5"/>
      <c r="Q19" s="4"/>
      <c r="R19" s="4"/>
      <c r="T19" s="4"/>
      <c r="U19" s="4"/>
      <c r="V19" s="4"/>
      <c r="W19" s="4"/>
    </row>
    <row r="20" customFormat="false" ht="20.15" hidden="false" customHeight="true" outlineLevel="0" collapsed="false">
      <c r="B20" s="536" t="n">
        <v>1</v>
      </c>
      <c r="C20" s="536"/>
      <c r="D20" s="487" t="s">
        <v>454</v>
      </c>
      <c r="E20" s="175" t="s">
        <v>18</v>
      </c>
      <c r="F20" s="175" t="s">
        <v>455</v>
      </c>
      <c r="G20" s="175" t="s">
        <v>18</v>
      </c>
      <c r="H20" s="175" t="s">
        <v>18</v>
      </c>
      <c r="I20" s="537" t="s">
        <v>18</v>
      </c>
      <c r="M20" s="58"/>
      <c r="N20" s="58"/>
      <c r="O20" s="58"/>
      <c r="P20" s="5"/>
      <c r="Q20" s="4"/>
      <c r="R20" s="4"/>
      <c r="T20" s="4"/>
      <c r="U20" s="4"/>
      <c r="V20" s="4"/>
      <c r="W20" s="4"/>
    </row>
    <row r="21" customFormat="false" ht="20.15" hidden="false" customHeight="true" outlineLevel="0" collapsed="false">
      <c r="B21" s="538" t="n">
        <v>2</v>
      </c>
      <c r="C21" s="538"/>
      <c r="D21" s="476" t="s">
        <v>456</v>
      </c>
      <c r="E21" s="312" t="s">
        <v>18</v>
      </c>
      <c r="F21" s="312" t="s">
        <v>457</v>
      </c>
      <c r="G21" s="312" t="s">
        <v>18</v>
      </c>
      <c r="H21" s="312" t="s">
        <v>18</v>
      </c>
      <c r="I21" s="539" t="s">
        <v>18</v>
      </c>
      <c r="M21" s="58"/>
      <c r="N21" s="58"/>
      <c r="O21" s="58"/>
      <c r="P21" s="5"/>
      <c r="Q21" s="4"/>
      <c r="R21" s="4"/>
      <c r="T21" s="4"/>
      <c r="U21" s="4"/>
      <c r="V21" s="4"/>
      <c r="W21" s="4"/>
    </row>
    <row r="22" customFormat="false" ht="20.15" hidden="false" customHeight="true" outlineLevel="0" collapsed="false">
      <c r="B22" s="540" t="n">
        <v>3</v>
      </c>
      <c r="C22" s="540"/>
      <c r="D22" s="482" t="s">
        <v>41</v>
      </c>
      <c r="E22" s="113" t="s">
        <v>42</v>
      </c>
      <c r="F22" s="492" t="s">
        <v>42</v>
      </c>
      <c r="G22" s="493" t="s">
        <v>18</v>
      </c>
      <c r="H22" s="483" t="s">
        <v>18</v>
      </c>
      <c r="I22" s="541" t="s">
        <v>18</v>
      </c>
      <c r="M22" s="58"/>
      <c r="N22" s="58"/>
      <c r="O22" s="58"/>
      <c r="P22" s="5"/>
      <c r="Q22" s="4"/>
      <c r="R22" s="4"/>
      <c r="T22" s="4"/>
      <c r="U22" s="4"/>
      <c r="V22" s="4"/>
      <c r="W22" s="4"/>
    </row>
    <row r="23" customFormat="false" ht="20.15" hidden="false" customHeight="true" outlineLevel="0" collapsed="false">
      <c r="M23" s="58"/>
      <c r="N23" s="58"/>
      <c r="O23" s="58"/>
      <c r="P23" s="5"/>
      <c r="Q23" s="4"/>
      <c r="R23" s="4"/>
      <c r="T23" s="4"/>
      <c r="U23" s="4"/>
      <c r="V23" s="4"/>
      <c r="W23" s="4"/>
    </row>
    <row r="24" customFormat="false" ht="20.15" hidden="false" customHeight="true" outlineLevel="0" collapsed="false">
      <c r="B24" s="77"/>
      <c r="C24" s="77"/>
      <c r="D24" s="78"/>
      <c r="E24" s="78"/>
      <c r="F24" s="78"/>
      <c r="G24" s="78"/>
      <c r="H24" s="77"/>
      <c r="I24" s="77"/>
      <c r="J24" s="77"/>
      <c r="K24" s="77"/>
      <c r="L24" s="77"/>
      <c r="M24" s="77"/>
      <c r="N24" s="77"/>
      <c r="O24" s="77"/>
      <c r="P24" s="77"/>
      <c r="Q24" s="77"/>
      <c r="R24" s="77"/>
      <c r="S24" s="77"/>
      <c r="T24" s="77"/>
      <c r="U24" s="77"/>
    </row>
    <row r="25" customFormat="false" ht="30" hidden="false" customHeight="true" outlineLevel="0" collapsed="false">
      <c r="B25" s="77"/>
      <c r="C25" s="79" t="s">
        <v>51</v>
      </c>
      <c r="D25" s="79"/>
      <c r="E25" s="79"/>
      <c r="F25" s="79"/>
      <c r="G25" s="79"/>
      <c r="H25" s="79"/>
      <c r="I25" s="79"/>
      <c r="J25" s="79"/>
      <c r="K25" s="79"/>
      <c r="L25" s="79"/>
      <c r="M25" s="79"/>
      <c r="N25" s="79"/>
      <c r="O25" s="79"/>
      <c r="P25" s="79"/>
      <c r="Q25" s="79"/>
      <c r="R25" s="79"/>
      <c r="S25" s="79"/>
      <c r="T25" s="79"/>
      <c r="U25" s="77"/>
    </row>
    <row r="26" customFormat="false" ht="20.15" hidden="false" customHeight="true" outlineLevel="0" collapsed="false">
      <c r="B26" s="77"/>
      <c r="U26" s="77"/>
    </row>
    <row r="27" customFormat="false" ht="20.15" hidden="false" customHeight="true" outlineLevel="0" collapsed="false">
      <c r="B27" s="77"/>
      <c r="D27" s="80" t="s">
        <v>52</v>
      </c>
      <c r="E27" s="81" t="s">
        <v>53</v>
      </c>
      <c r="F27" s="82" t="s">
        <v>12</v>
      </c>
      <c r="G27" s="81" t="s">
        <v>54</v>
      </c>
      <c r="H27" s="81"/>
      <c r="I27" s="81"/>
      <c r="J27" s="81"/>
      <c r="K27" s="81" t="s">
        <v>55</v>
      </c>
      <c r="L27" s="83" t="s">
        <v>56</v>
      </c>
      <c r="M27" s="83"/>
      <c r="N27" s="83"/>
      <c r="O27" s="83"/>
      <c r="P27" s="83"/>
      <c r="Q27" s="83"/>
      <c r="R27" s="83"/>
      <c r="S27" s="83"/>
      <c r="U27" s="77"/>
    </row>
    <row r="28" customFormat="false" ht="20.15" hidden="false" customHeight="true" outlineLevel="0" collapsed="false">
      <c r="B28" s="77"/>
      <c r="D28" s="80"/>
      <c r="E28" s="81"/>
      <c r="F28" s="81"/>
      <c r="G28" s="84" t="s">
        <v>57</v>
      </c>
      <c r="H28" s="84" t="s">
        <v>58</v>
      </c>
      <c r="I28" s="82" t="s">
        <v>59</v>
      </c>
      <c r="J28" s="82"/>
      <c r="K28" s="84" t="s">
        <v>60</v>
      </c>
      <c r="L28" s="84" t="s">
        <v>57</v>
      </c>
      <c r="M28" s="85" t="s">
        <v>61</v>
      </c>
      <c r="N28" s="82" t="s">
        <v>59</v>
      </c>
      <c r="O28" s="82"/>
      <c r="P28" s="82"/>
      <c r="Q28" s="82"/>
      <c r="R28" s="82"/>
      <c r="S28" s="82"/>
      <c r="U28" s="77"/>
    </row>
    <row r="29" customFormat="false" ht="95.15" hidden="false" customHeight="true" outlineLevel="0" collapsed="false">
      <c r="B29" s="77"/>
      <c r="D29" s="86" t="s">
        <v>27</v>
      </c>
      <c r="E29" s="87" t="s">
        <v>28</v>
      </c>
      <c r="F29" s="22" t="n">
        <v>1</v>
      </c>
      <c r="G29" s="89" t="s">
        <v>62</v>
      </c>
      <c r="H29" s="281" t="s">
        <v>63</v>
      </c>
      <c r="I29" s="91" t="s">
        <v>458</v>
      </c>
      <c r="J29" s="91"/>
      <c r="K29" s="283" t="s">
        <v>459</v>
      </c>
      <c r="L29" s="442" t="s">
        <v>66</v>
      </c>
      <c r="M29" s="495" t="s">
        <v>66</v>
      </c>
      <c r="N29" s="444" t="s">
        <v>66</v>
      </c>
      <c r="O29" s="444"/>
      <c r="P29" s="444"/>
      <c r="Q29" s="444"/>
      <c r="R29" s="444"/>
      <c r="S29" s="444"/>
      <c r="U29" s="77"/>
    </row>
    <row r="30" customFormat="false" ht="110.15" hidden="false" customHeight="true" outlineLevel="0" collapsed="false">
      <c r="B30" s="77"/>
      <c r="D30" s="105" t="s">
        <v>13</v>
      </c>
      <c r="E30" s="290" t="s">
        <v>14</v>
      </c>
      <c r="F30" s="32" t="n">
        <v>2</v>
      </c>
      <c r="G30" s="98" t="s">
        <v>460</v>
      </c>
      <c r="H30" s="99" t="s">
        <v>158</v>
      </c>
      <c r="I30" s="100" t="s">
        <v>461</v>
      </c>
      <c r="J30" s="100"/>
      <c r="K30" s="497" t="s">
        <v>462</v>
      </c>
      <c r="L30" s="376" t="s">
        <v>66</v>
      </c>
      <c r="M30" s="111" t="s">
        <v>66</v>
      </c>
      <c r="N30" s="445" t="s">
        <v>66</v>
      </c>
      <c r="O30" s="445"/>
      <c r="P30" s="445"/>
      <c r="Q30" s="445"/>
      <c r="R30" s="445"/>
      <c r="S30" s="445"/>
      <c r="U30" s="77"/>
    </row>
    <row r="31" customFormat="false" ht="65.15" hidden="false" customHeight="true" outlineLevel="0" collapsed="false">
      <c r="B31" s="77"/>
      <c r="D31" s="209" t="s">
        <v>25</v>
      </c>
      <c r="E31" s="96" t="s">
        <v>26</v>
      </c>
      <c r="F31" s="32" t="n">
        <v>3</v>
      </c>
      <c r="G31" s="106" t="s">
        <v>67</v>
      </c>
      <c r="H31" s="107" t="s">
        <v>331</v>
      </c>
      <c r="I31" s="108" t="s">
        <v>463</v>
      </c>
      <c r="J31" s="108"/>
      <c r="K31" s="497" t="s">
        <v>462</v>
      </c>
      <c r="L31" s="376" t="s">
        <v>66</v>
      </c>
      <c r="M31" s="464" t="s">
        <v>66</v>
      </c>
      <c r="N31" s="112" t="s">
        <v>66</v>
      </c>
      <c r="O31" s="112"/>
      <c r="P31" s="112"/>
      <c r="Q31" s="112"/>
      <c r="R31" s="112"/>
      <c r="S31" s="112"/>
      <c r="U31" s="77"/>
    </row>
    <row r="32" customFormat="false" ht="35.15" hidden="false" customHeight="true" outlineLevel="0" collapsed="false">
      <c r="B32" s="77"/>
      <c r="D32" s="182" t="s">
        <v>49</v>
      </c>
      <c r="E32" s="410" t="s">
        <v>50</v>
      </c>
      <c r="F32" s="55" t="n">
        <v>4</v>
      </c>
      <c r="G32" s="115" t="s">
        <v>67</v>
      </c>
      <c r="H32" s="101" t="s">
        <v>462</v>
      </c>
      <c r="I32" s="116" t="s">
        <v>281</v>
      </c>
      <c r="J32" s="116"/>
      <c r="K32" s="378" t="s">
        <v>65</v>
      </c>
      <c r="L32" s="115" t="s">
        <v>227</v>
      </c>
      <c r="M32" s="101" t="s">
        <v>441</v>
      </c>
      <c r="N32" s="116" t="s">
        <v>464</v>
      </c>
      <c r="O32" s="116"/>
      <c r="P32" s="116"/>
      <c r="Q32" s="116"/>
      <c r="R32" s="116"/>
      <c r="S32" s="116"/>
      <c r="U32" s="77"/>
    </row>
    <row r="33" customFormat="false" ht="20.15" hidden="false" customHeight="true" outlineLevel="0" collapsed="false">
      <c r="B33" s="77"/>
      <c r="D33" s="121"/>
      <c r="E33" s="121"/>
      <c r="U33" s="77"/>
    </row>
    <row r="34" customFormat="false" ht="20.15" hidden="false" customHeight="true" outlineLevel="0" collapsed="false">
      <c r="B34" s="77"/>
      <c r="C34" s="122"/>
      <c r="D34" s="122"/>
      <c r="E34" s="123" t="str">
        <f aca="false">IF(OR(M29="-",M29= ""),H29,M29)</f>
        <v>Gaia Project</v>
      </c>
      <c r="F34" s="123"/>
      <c r="G34" s="123"/>
      <c r="H34" s="123"/>
      <c r="I34" s="123"/>
      <c r="J34" s="123"/>
      <c r="K34" s="123"/>
      <c r="L34" s="123"/>
      <c r="M34" s="123"/>
      <c r="N34" s="123"/>
      <c r="O34" s="124"/>
      <c r="P34" s="124"/>
      <c r="Q34" s="124"/>
      <c r="R34" s="124"/>
      <c r="S34" s="124"/>
      <c r="T34" s="122"/>
      <c r="U34" s="77"/>
    </row>
    <row r="35" customFormat="false" ht="50.15" hidden="false" customHeight="true" outlineLevel="0" collapsed="false">
      <c r="B35" s="77"/>
      <c r="C35" s="122"/>
      <c r="D35" s="124"/>
      <c r="E35" s="125" t="s">
        <v>52</v>
      </c>
      <c r="F35" s="126" t="s">
        <v>75</v>
      </c>
      <c r="G35" s="82" t="s">
        <v>76</v>
      </c>
      <c r="H35" s="81" t="s">
        <v>77</v>
      </c>
      <c r="I35" s="59" t="s">
        <v>78</v>
      </c>
      <c r="J35" s="81" t="s">
        <v>79</v>
      </c>
      <c r="K35" s="127" t="s">
        <v>80</v>
      </c>
      <c r="L35" s="81" t="s">
        <v>81</v>
      </c>
      <c r="M35" s="128" t="s">
        <v>82</v>
      </c>
      <c r="N35" s="129" t="s">
        <v>83</v>
      </c>
      <c r="O35" s="130" t="s">
        <v>84</v>
      </c>
      <c r="P35" s="131" t="s">
        <v>85</v>
      </c>
      <c r="Q35" s="131" t="s">
        <v>86</v>
      </c>
      <c r="R35" s="131" t="s">
        <v>87</v>
      </c>
      <c r="S35" s="124"/>
      <c r="T35" s="122"/>
      <c r="U35" s="77"/>
    </row>
    <row r="36" customFormat="false" ht="20.15" hidden="false" customHeight="true" outlineLevel="0" collapsed="false">
      <c r="B36" s="77"/>
      <c r="C36" s="122"/>
      <c r="D36" s="132"/>
      <c r="E36" s="86" t="s">
        <v>27</v>
      </c>
      <c r="F36" s="87" t="s">
        <v>28</v>
      </c>
      <c r="G36" s="221" t="n">
        <v>3</v>
      </c>
      <c r="H36" s="222" t="s">
        <v>465</v>
      </c>
      <c r="I36" s="221" t="n">
        <v>10</v>
      </c>
      <c r="J36" s="221" t="n">
        <v>143</v>
      </c>
      <c r="K36" s="221" t="s">
        <v>66</v>
      </c>
      <c r="L36" s="223" t="n">
        <f aca="false">IF(J36="",0,(J36/J40)*100)</f>
        <v>83.625730994152</v>
      </c>
      <c r="M36" s="221" t="n">
        <v>2</v>
      </c>
      <c r="N36" s="224" t="n">
        <v>3</v>
      </c>
      <c r="O36" s="137" t="n">
        <f aca="false">IF(M36=1,1,0)</f>
        <v>0</v>
      </c>
      <c r="P36" s="138" t="n">
        <f aca="false">IF(M36=2,1,0)</f>
        <v>1</v>
      </c>
      <c r="Q36" s="138" t="n">
        <f aca="false">IF(M36=3,1,0)</f>
        <v>0</v>
      </c>
      <c r="R36" s="139" t="n">
        <f aca="false">IF(M36=4,1,0)</f>
        <v>0</v>
      </c>
      <c r="S36" s="140"/>
      <c r="T36" s="122"/>
      <c r="U36" s="77"/>
    </row>
    <row r="37" customFormat="false" ht="20.15" hidden="false" customHeight="true" outlineLevel="0" collapsed="false">
      <c r="B37" s="77"/>
      <c r="C37" s="122"/>
      <c r="D37" s="132"/>
      <c r="E37" s="105" t="s">
        <v>13</v>
      </c>
      <c r="F37" s="290" t="s">
        <v>14</v>
      </c>
      <c r="G37" s="228" t="n">
        <v>2</v>
      </c>
      <c r="H37" s="228" t="s">
        <v>89</v>
      </c>
      <c r="I37" s="228" t="n">
        <v>-11</v>
      </c>
      <c r="J37" s="228" t="n">
        <v>110</v>
      </c>
      <c r="K37" s="228" t="s">
        <v>66</v>
      </c>
      <c r="L37" s="229" t="n">
        <f aca="false">IF(J37="",0,(J37/J40)*100)</f>
        <v>64.327485380117</v>
      </c>
      <c r="M37" s="228" t="n">
        <v>3</v>
      </c>
      <c r="N37" s="230" t="n">
        <v>1</v>
      </c>
      <c r="O37" s="144" t="n">
        <f aca="false">IF(M37=1,1,0)</f>
        <v>0</v>
      </c>
      <c r="P37" s="145" t="n">
        <f aca="false">IF(M37=2,1,0)</f>
        <v>0</v>
      </c>
      <c r="Q37" s="145" t="n">
        <f aca="false">IF(M37=3,1,0)</f>
        <v>1</v>
      </c>
      <c r="R37" s="146" t="n">
        <f aca="false">IF(M37=4,1,0)</f>
        <v>0</v>
      </c>
      <c r="S37" s="140"/>
      <c r="T37" s="122"/>
      <c r="U37" s="77"/>
    </row>
    <row r="38" customFormat="false" ht="20.15" hidden="false" customHeight="true" outlineLevel="0" collapsed="false">
      <c r="B38" s="77"/>
      <c r="C38" s="122"/>
      <c r="D38" s="132"/>
      <c r="E38" s="178" t="s">
        <v>25</v>
      </c>
      <c r="F38" s="148" t="s">
        <v>26</v>
      </c>
      <c r="G38" s="149" t="n">
        <v>4</v>
      </c>
      <c r="H38" s="149" t="s">
        <v>278</v>
      </c>
      <c r="I38" s="149" t="n">
        <v>10</v>
      </c>
      <c r="J38" s="149" t="n">
        <v>171</v>
      </c>
      <c r="K38" s="149" t="s">
        <v>66</v>
      </c>
      <c r="L38" s="150" t="n">
        <f aca="false">IF(J38="",0,(J38/J40)*100)</f>
        <v>100</v>
      </c>
      <c r="M38" s="149" t="n">
        <v>1</v>
      </c>
      <c r="N38" s="151" t="n">
        <v>6</v>
      </c>
      <c r="O38" s="144" t="n">
        <f aca="false">IF(M38=1,1,0)</f>
        <v>1</v>
      </c>
      <c r="P38" s="145" t="n">
        <f aca="false">IF(M38=2,1,0)</f>
        <v>0</v>
      </c>
      <c r="Q38" s="145" t="n">
        <f aca="false">IF(M38=3,1,0)</f>
        <v>0</v>
      </c>
      <c r="R38" s="146" t="n">
        <f aca="false">IF(M38=4,1,0)</f>
        <v>0</v>
      </c>
      <c r="S38" s="140"/>
      <c r="T38" s="122"/>
      <c r="U38" s="77"/>
    </row>
    <row r="39" customFormat="false" ht="20.15" hidden="false" customHeight="true" outlineLevel="0" collapsed="false">
      <c r="B39" s="77"/>
      <c r="C39" s="122"/>
      <c r="D39" s="152"/>
      <c r="E39" s="232" t="s">
        <v>49</v>
      </c>
      <c r="F39" s="386" t="s">
        <v>50</v>
      </c>
      <c r="G39" s="234" t="n">
        <v>1</v>
      </c>
      <c r="H39" s="234" t="s">
        <v>466</v>
      </c>
      <c r="I39" s="234" t="n">
        <v>-12</v>
      </c>
      <c r="J39" s="234" t="n">
        <v>76</v>
      </c>
      <c r="K39" s="234" t="s">
        <v>66</v>
      </c>
      <c r="L39" s="381" t="n">
        <f aca="false">IF(J39="",0,(J39/J40)*100)</f>
        <v>44.4444444444444</v>
      </c>
      <c r="M39" s="234" t="n">
        <v>4</v>
      </c>
      <c r="N39" s="236" t="n">
        <v>0</v>
      </c>
      <c r="O39" s="156" t="n">
        <f aca="false">IF(M39=1,1,0)</f>
        <v>0</v>
      </c>
      <c r="P39" s="157" t="n">
        <f aca="false">IF(M39=2,1,0)</f>
        <v>0</v>
      </c>
      <c r="Q39" s="157" t="n">
        <f aca="false">IF(M39=3,1,0)</f>
        <v>0</v>
      </c>
      <c r="R39" s="158" t="n">
        <f aca="false">IF(M39=4,1,0)</f>
        <v>1</v>
      </c>
      <c r="S39" s="140"/>
      <c r="T39" s="122"/>
      <c r="U39" s="77"/>
    </row>
    <row r="40" customFormat="false" ht="20.15" hidden="true" customHeight="true" outlineLevel="1" collapsed="false">
      <c r="B40" s="77"/>
      <c r="C40" s="122"/>
      <c r="D40" s="159"/>
      <c r="E40" s="159"/>
      <c r="F40" s="140"/>
      <c r="G40" s="140"/>
      <c r="H40" s="122"/>
      <c r="I40" s="160" t="s">
        <v>92</v>
      </c>
      <c r="J40" s="161" t="n">
        <f aca="false">MAX(J36:J39)</f>
        <v>171</v>
      </c>
      <c r="K40" s="162"/>
      <c r="L40" s="163"/>
      <c r="M40" s="122"/>
      <c r="N40" s="164" t="s">
        <v>93</v>
      </c>
      <c r="O40" s="165" t="n">
        <f aca="false">SUM(O36:O39)</f>
        <v>1</v>
      </c>
      <c r="P40" s="166" t="n">
        <f aca="false">SUM(P36:P39)</f>
        <v>1</v>
      </c>
      <c r="Q40" s="165" t="n">
        <f aca="false">SUM(Q36:Q39)</f>
        <v>1</v>
      </c>
      <c r="R40" s="165" t="n">
        <f aca="false">SUM(R36:R39)</f>
        <v>1</v>
      </c>
      <c r="S40" s="167"/>
      <c r="T40" s="122"/>
      <c r="U40" s="77"/>
    </row>
    <row r="41" customFormat="false" ht="20.15" hidden="false" customHeight="true" outlineLevel="0" collapsed="false">
      <c r="B41" s="77"/>
      <c r="C41" s="122"/>
      <c r="D41" s="168"/>
      <c r="E41" s="168"/>
      <c r="F41" s="169"/>
      <c r="G41" s="169"/>
      <c r="H41" s="124"/>
      <c r="I41" s="122"/>
      <c r="J41" s="122"/>
      <c r="K41" s="122"/>
      <c r="L41" s="122"/>
      <c r="M41" s="122"/>
      <c r="N41" s="122"/>
      <c r="O41" s="122"/>
      <c r="P41" s="122"/>
      <c r="Q41" s="122"/>
      <c r="R41" s="122"/>
      <c r="S41" s="122"/>
      <c r="T41" s="122"/>
      <c r="U41" s="77"/>
    </row>
    <row r="42" customFormat="false" ht="20.15" hidden="false" customHeight="true" outlineLevel="0" collapsed="false">
      <c r="B42" s="77"/>
      <c r="U42" s="77"/>
    </row>
    <row r="43" customFormat="false" ht="20.15" hidden="false" customHeight="true" outlineLevel="0" collapsed="false">
      <c r="B43" s="77"/>
      <c r="C43" s="170"/>
      <c r="D43" s="170"/>
      <c r="E43" s="171" t="str">
        <f aca="false">IF(OR(M30="-",M30= ""),H30,M30)</f>
        <v>Terra Mystica</v>
      </c>
      <c r="F43" s="171"/>
      <c r="G43" s="171"/>
      <c r="H43" s="171"/>
      <c r="I43" s="171"/>
      <c r="J43" s="171"/>
      <c r="K43" s="171"/>
      <c r="L43" s="171"/>
      <c r="M43" s="171"/>
      <c r="N43" s="171"/>
      <c r="O43" s="172"/>
      <c r="P43" s="172"/>
      <c r="Q43" s="172"/>
      <c r="R43" s="172"/>
      <c r="S43" s="172"/>
      <c r="T43" s="170"/>
      <c r="U43" s="77"/>
    </row>
    <row r="44" customFormat="false" ht="50.15" hidden="false" customHeight="true" outlineLevel="0" collapsed="false">
      <c r="B44" s="77"/>
      <c r="C44" s="170"/>
      <c r="D44" s="172"/>
      <c r="E44" s="125" t="s">
        <v>52</v>
      </c>
      <c r="F44" s="126" t="s">
        <v>75</v>
      </c>
      <c r="G44" s="82" t="s">
        <v>76</v>
      </c>
      <c r="H44" s="81" t="s">
        <v>77</v>
      </c>
      <c r="I44" s="59" t="s">
        <v>78</v>
      </c>
      <c r="J44" s="81" t="s">
        <v>79</v>
      </c>
      <c r="K44" s="127" t="s">
        <v>80</v>
      </c>
      <c r="L44" s="81" t="s">
        <v>81</v>
      </c>
      <c r="M44" s="128" t="s">
        <v>82</v>
      </c>
      <c r="N44" s="129" t="s">
        <v>83</v>
      </c>
      <c r="O44" s="130" t="s">
        <v>84</v>
      </c>
      <c r="P44" s="131" t="s">
        <v>85</v>
      </c>
      <c r="Q44" s="131" t="s">
        <v>86</v>
      </c>
      <c r="R44" s="131" t="s">
        <v>87</v>
      </c>
      <c r="S44" s="172"/>
      <c r="T44" s="170"/>
      <c r="U44" s="77"/>
    </row>
    <row r="45" customFormat="false" ht="20.15" hidden="false" customHeight="true" outlineLevel="0" collapsed="false">
      <c r="B45" s="77"/>
      <c r="C45" s="170"/>
      <c r="D45" s="173"/>
      <c r="E45" s="86" t="s">
        <v>27</v>
      </c>
      <c r="F45" s="87" t="s">
        <v>29</v>
      </c>
      <c r="G45" s="221" t="n">
        <v>1</v>
      </c>
      <c r="H45" s="222" t="s">
        <v>402</v>
      </c>
      <c r="I45" s="221" t="n">
        <v>16</v>
      </c>
      <c r="J45" s="222" t="n">
        <v>135</v>
      </c>
      <c r="K45" s="222" t="s">
        <v>66</v>
      </c>
      <c r="L45" s="223" t="n">
        <f aca="false">IF(J45="",0,(J45/J49)*100)</f>
        <v>88.2352941176471</v>
      </c>
      <c r="M45" s="221" t="n">
        <v>2</v>
      </c>
      <c r="N45" s="224" t="n">
        <v>3</v>
      </c>
      <c r="O45" s="137" t="n">
        <f aca="false">IF(M45=1,1,0)</f>
        <v>0</v>
      </c>
      <c r="P45" s="138" t="n">
        <f aca="false">IF(M45=2,1,0)</f>
        <v>1</v>
      </c>
      <c r="Q45" s="138" t="n">
        <f aca="false">IF(M45=3,1,0)</f>
        <v>0</v>
      </c>
      <c r="R45" s="139" t="n">
        <f aca="false">IF(M45=4,1,0)</f>
        <v>0</v>
      </c>
      <c r="S45" s="176"/>
      <c r="T45" s="170"/>
      <c r="U45" s="77"/>
    </row>
    <row r="46" customFormat="false" ht="20.15" hidden="false" customHeight="true" outlineLevel="0" collapsed="false">
      <c r="B46" s="77"/>
      <c r="C46" s="170"/>
      <c r="D46" s="177"/>
      <c r="E46" s="147" t="s">
        <v>13</v>
      </c>
      <c r="F46" s="355" t="s">
        <v>14</v>
      </c>
      <c r="G46" s="149" t="n">
        <v>3</v>
      </c>
      <c r="H46" s="179" t="s">
        <v>167</v>
      </c>
      <c r="I46" s="149" t="n">
        <v>30</v>
      </c>
      <c r="J46" s="179" t="n">
        <v>153</v>
      </c>
      <c r="K46" s="179" t="s">
        <v>66</v>
      </c>
      <c r="L46" s="150" t="n">
        <f aca="false">IF(J46="",0,(J46/J49)*100)</f>
        <v>100</v>
      </c>
      <c r="M46" s="149" t="n">
        <v>1</v>
      </c>
      <c r="N46" s="151" t="n">
        <v>6</v>
      </c>
      <c r="O46" s="144" t="n">
        <f aca="false">IF(M46=1,1,0)</f>
        <v>1</v>
      </c>
      <c r="P46" s="145" t="n">
        <f aca="false">IF(M46=2,1,0)</f>
        <v>0</v>
      </c>
      <c r="Q46" s="145" t="n">
        <f aca="false">IF(M46=3,1,0)</f>
        <v>0</v>
      </c>
      <c r="R46" s="146" t="n">
        <f aca="false">IF(M46=4,1,0)</f>
        <v>0</v>
      </c>
      <c r="S46" s="176"/>
      <c r="T46" s="170"/>
      <c r="U46" s="77"/>
    </row>
    <row r="47" customFormat="false" ht="20.15" hidden="false" customHeight="true" outlineLevel="0" collapsed="false">
      <c r="B47" s="77"/>
      <c r="C47" s="170"/>
      <c r="D47" s="173"/>
      <c r="E47" s="226" t="s">
        <v>25</v>
      </c>
      <c r="F47" s="227" t="s">
        <v>26</v>
      </c>
      <c r="G47" s="228" t="n">
        <v>4</v>
      </c>
      <c r="H47" s="317" t="s">
        <v>164</v>
      </c>
      <c r="I47" s="228" t="n">
        <v>22</v>
      </c>
      <c r="J47" s="317" t="n">
        <v>119</v>
      </c>
      <c r="K47" s="317" t="s">
        <v>66</v>
      </c>
      <c r="L47" s="229" t="n">
        <f aca="false">IF(J47="",0,(J47/J49)*100)</f>
        <v>77.7777777777778</v>
      </c>
      <c r="M47" s="228" t="n">
        <v>4</v>
      </c>
      <c r="N47" s="230" t="n">
        <v>0</v>
      </c>
      <c r="O47" s="144" t="n">
        <f aca="false">IF(M47=1,1,0)</f>
        <v>0</v>
      </c>
      <c r="P47" s="145" t="n">
        <f aca="false">IF(M47=2,1,0)</f>
        <v>0</v>
      </c>
      <c r="Q47" s="145" t="n">
        <f aca="false">IF(M47=3,1,0)</f>
        <v>0</v>
      </c>
      <c r="R47" s="146" t="n">
        <f aca="false">IF(M47=4,1,0)</f>
        <v>1</v>
      </c>
      <c r="S47" s="176"/>
      <c r="T47" s="170"/>
      <c r="U47" s="77"/>
    </row>
    <row r="48" customFormat="false" ht="20.15" hidden="false" customHeight="true" outlineLevel="0" collapsed="false">
      <c r="B48" s="77"/>
      <c r="C48" s="170"/>
      <c r="D48" s="173"/>
      <c r="E48" s="232" t="s">
        <v>49</v>
      </c>
      <c r="F48" s="386" t="s">
        <v>50</v>
      </c>
      <c r="G48" s="234" t="n">
        <v>2</v>
      </c>
      <c r="H48" s="308" t="s">
        <v>166</v>
      </c>
      <c r="I48" s="234" t="n">
        <v>10</v>
      </c>
      <c r="J48" s="308" t="n">
        <v>131</v>
      </c>
      <c r="K48" s="234" t="s">
        <v>66</v>
      </c>
      <c r="L48" s="235" t="n">
        <f aca="false">IF(J48="",0,(J48/J49)*100)</f>
        <v>85.6209150326797</v>
      </c>
      <c r="M48" s="234" t="n">
        <v>3</v>
      </c>
      <c r="N48" s="236" t="n">
        <v>1</v>
      </c>
      <c r="O48" s="156" t="n">
        <f aca="false">IF(M48=1,1,0)</f>
        <v>0</v>
      </c>
      <c r="P48" s="157" t="n">
        <f aca="false">IF(M48=2,1,0)</f>
        <v>0</v>
      </c>
      <c r="Q48" s="157" t="n">
        <f aca="false">IF(M48=3,1,0)</f>
        <v>1</v>
      </c>
      <c r="R48" s="158" t="n">
        <f aca="false">IF(M48=4,1,0)</f>
        <v>0</v>
      </c>
      <c r="S48" s="176"/>
      <c r="T48" s="170"/>
      <c r="U48" s="77"/>
    </row>
    <row r="49" customFormat="false" ht="20.15" hidden="true" customHeight="true" outlineLevel="1" collapsed="false">
      <c r="B49" s="77"/>
      <c r="C49" s="170"/>
      <c r="D49" s="173"/>
      <c r="E49" s="173"/>
      <c r="F49" s="172"/>
      <c r="G49" s="172"/>
      <c r="H49" s="170"/>
      <c r="I49" s="185" t="s">
        <v>92</v>
      </c>
      <c r="J49" s="161" t="n">
        <f aca="false">MAX(J45:J48)</f>
        <v>153</v>
      </c>
      <c r="K49" s="186"/>
      <c r="L49" s="176"/>
      <c r="M49" s="170"/>
      <c r="N49" s="164" t="s">
        <v>93</v>
      </c>
      <c r="O49" s="165" t="n">
        <f aca="false">SUM(O45:O48)</f>
        <v>1</v>
      </c>
      <c r="P49" s="166" t="n">
        <f aca="false">SUM(P45:P48)</f>
        <v>1</v>
      </c>
      <c r="Q49" s="165" t="n">
        <f aca="false">SUM(Q45:Q48)</f>
        <v>1</v>
      </c>
      <c r="R49" s="187" t="n">
        <f aca="false">SUM(R45:R48)</f>
        <v>1</v>
      </c>
      <c r="S49" s="188"/>
      <c r="T49" s="170"/>
      <c r="U49" s="77"/>
    </row>
    <row r="50" customFormat="false" ht="20.15" hidden="false" customHeight="true" outlineLevel="0" collapsed="false">
      <c r="B50" s="77"/>
      <c r="C50" s="170"/>
      <c r="D50" s="189"/>
      <c r="E50" s="189"/>
      <c r="F50" s="170"/>
      <c r="G50" s="170"/>
      <c r="H50" s="170"/>
      <c r="I50" s="170"/>
      <c r="J50" s="170"/>
      <c r="K50" s="170"/>
      <c r="L50" s="170"/>
      <c r="M50" s="170"/>
      <c r="N50" s="170"/>
      <c r="O50" s="170"/>
      <c r="P50" s="170"/>
      <c r="Q50" s="170"/>
      <c r="R50" s="170"/>
      <c r="S50" s="170"/>
      <c r="T50" s="170"/>
      <c r="U50" s="77"/>
    </row>
    <row r="51" customFormat="false" ht="20.15" hidden="false" customHeight="true" outlineLevel="0" collapsed="false">
      <c r="B51" s="77"/>
      <c r="D51" s="190"/>
      <c r="E51" s="190"/>
      <c r="F51" s="190"/>
      <c r="G51" s="190"/>
      <c r="H51" s="191"/>
      <c r="I51" s="190"/>
      <c r="J51" s="190"/>
      <c r="K51" s="14"/>
      <c r="L51" s="14"/>
      <c r="M51" s="14"/>
      <c r="N51" s="14"/>
      <c r="O51" s="14"/>
      <c r="P51" s="14"/>
      <c r="Q51" s="14"/>
      <c r="R51" s="14"/>
      <c r="S51" s="14"/>
      <c r="U51" s="77"/>
    </row>
    <row r="52" customFormat="false" ht="20.15" hidden="false" customHeight="true" outlineLevel="0" collapsed="false">
      <c r="B52" s="77"/>
      <c r="C52" s="192"/>
      <c r="D52" s="192"/>
      <c r="E52" s="193" t="str">
        <f aca="false">IF(OR(M31="-",M31= ""),H31,M31)</f>
        <v>Teotihuacan: Die Stadt der Götter</v>
      </c>
      <c r="F52" s="193"/>
      <c r="G52" s="193"/>
      <c r="H52" s="193"/>
      <c r="I52" s="193"/>
      <c r="J52" s="193"/>
      <c r="K52" s="193"/>
      <c r="L52" s="193"/>
      <c r="M52" s="193"/>
      <c r="N52" s="193"/>
      <c r="O52" s="194"/>
      <c r="P52" s="194"/>
      <c r="Q52" s="194"/>
      <c r="R52" s="194"/>
      <c r="S52" s="194"/>
      <c r="T52" s="192"/>
      <c r="U52" s="195"/>
      <c r="V52" s="196"/>
      <c r="W52" s="196"/>
    </row>
    <row r="53" customFormat="false" ht="50.15" hidden="false" customHeight="true" outlineLevel="0" collapsed="false">
      <c r="B53" s="77"/>
      <c r="C53" s="192"/>
      <c r="D53" s="194"/>
      <c r="E53" s="125" t="s">
        <v>52</v>
      </c>
      <c r="F53" s="126" t="s">
        <v>75</v>
      </c>
      <c r="G53" s="82" t="s">
        <v>76</v>
      </c>
      <c r="H53" s="81" t="s">
        <v>77</v>
      </c>
      <c r="I53" s="59" t="s">
        <v>78</v>
      </c>
      <c r="J53" s="81" t="s">
        <v>79</v>
      </c>
      <c r="K53" s="127" t="s">
        <v>80</v>
      </c>
      <c r="L53" s="81" t="s">
        <v>81</v>
      </c>
      <c r="M53" s="128" t="s">
        <v>82</v>
      </c>
      <c r="N53" s="129" t="s">
        <v>83</v>
      </c>
      <c r="O53" s="130" t="s">
        <v>84</v>
      </c>
      <c r="P53" s="131" t="s">
        <v>85</v>
      </c>
      <c r="Q53" s="131" t="s">
        <v>86</v>
      </c>
      <c r="R53" s="197" t="s">
        <v>87</v>
      </c>
      <c r="S53" s="194"/>
      <c r="T53" s="192"/>
      <c r="U53" s="195"/>
      <c r="V53" s="196"/>
      <c r="W53" s="196"/>
    </row>
    <row r="54" customFormat="false" ht="20.15" hidden="false" customHeight="true" outlineLevel="0" collapsed="false">
      <c r="B54" s="77"/>
      <c r="C54" s="192"/>
      <c r="D54" s="198"/>
      <c r="E54" s="86" t="s">
        <v>27</v>
      </c>
      <c r="F54" s="87" t="s">
        <v>29</v>
      </c>
      <c r="G54" s="221" t="n">
        <v>3</v>
      </c>
      <c r="H54" s="222" t="s">
        <v>66</v>
      </c>
      <c r="I54" s="221" t="n">
        <v>0</v>
      </c>
      <c r="J54" s="436" t="n">
        <v>140</v>
      </c>
      <c r="K54" s="221" t="s">
        <v>66</v>
      </c>
      <c r="L54" s="223" t="n">
        <f aca="false">IF(J54="",0,(J54/J58)*100)</f>
        <v>69.6517412935323</v>
      </c>
      <c r="M54" s="221" t="n">
        <v>4</v>
      </c>
      <c r="N54" s="224" t="n">
        <v>0</v>
      </c>
      <c r="O54" s="137" t="n">
        <f aca="false">IF(M54=1,1,0)</f>
        <v>0</v>
      </c>
      <c r="P54" s="138" t="n">
        <f aca="false">IF(M54=2,1,0)</f>
        <v>0</v>
      </c>
      <c r="Q54" s="138" t="n">
        <f aca="false">IF(M54=3,1,0)</f>
        <v>0</v>
      </c>
      <c r="R54" s="139" t="n">
        <f aca="false">IF(M54=4,1,0)</f>
        <v>1</v>
      </c>
      <c r="S54" s="206"/>
      <c r="T54" s="192"/>
      <c r="U54" s="207"/>
      <c r="V54" s="121"/>
      <c r="W54" s="121"/>
    </row>
    <row r="55" customFormat="false" ht="20.15" hidden="false" customHeight="true" outlineLevel="0" collapsed="false">
      <c r="B55" s="77"/>
      <c r="C55" s="192"/>
      <c r="D55" s="208"/>
      <c r="E55" s="147" t="s">
        <v>13</v>
      </c>
      <c r="F55" s="355" t="s">
        <v>14</v>
      </c>
      <c r="G55" s="149" t="n">
        <v>1</v>
      </c>
      <c r="H55" s="179" t="s">
        <v>66</v>
      </c>
      <c r="I55" s="149" t="n">
        <v>0</v>
      </c>
      <c r="J55" s="496" t="n">
        <v>201</v>
      </c>
      <c r="K55" s="149" t="s">
        <v>66</v>
      </c>
      <c r="L55" s="150" t="n">
        <f aca="false">IF(J55="",0,(J55/J58)*100)</f>
        <v>100</v>
      </c>
      <c r="M55" s="149" t="n">
        <v>1</v>
      </c>
      <c r="N55" s="151" t="n">
        <v>6</v>
      </c>
      <c r="O55" s="144" t="n">
        <f aca="false">IF(M55=1,1,0)</f>
        <v>1</v>
      </c>
      <c r="P55" s="145" t="n">
        <f aca="false">IF(M55=2,1,0)</f>
        <v>0</v>
      </c>
      <c r="Q55" s="145" t="n">
        <f aca="false">IF(M55=3,1,0)</f>
        <v>0</v>
      </c>
      <c r="R55" s="146" t="n">
        <f aca="false">IF(M55=4,1,0)</f>
        <v>0</v>
      </c>
      <c r="S55" s="206"/>
      <c r="T55" s="192"/>
      <c r="U55" s="211"/>
      <c r="V55" s="121"/>
      <c r="W55" s="121"/>
    </row>
    <row r="56" customFormat="false" ht="20.15" hidden="false" customHeight="true" outlineLevel="0" collapsed="false">
      <c r="B56" s="77"/>
      <c r="C56" s="192"/>
      <c r="D56" s="198"/>
      <c r="E56" s="226" t="s">
        <v>25</v>
      </c>
      <c r="F56" s="227" t="s">
        <v>26</v>
      </c>
      <c r="G56" s="228" t="n">
        <v>2</v>
      </c>
      <c r="H56" s="317" t="s">
        <v>66</v>
      </c>
      <c r="I56" s="228" t="n">
        <v>0</v>
      </c>
      <c r="J56" s="424" t="n">
        <v>147</v>
      </c>
      <c r="K56" s="317" t="s">
        <v>66</v>
      </c>
      <c r="L56" s="229" t="n">
        <f aca="false">IF(J56="",0,(J56/J58)*100)</f>
        <v>73.134328358209</v>
      </c>
      <c r="M56" s="228" t="n">
        <v>3</v>
      </c>
      <c r="N56" s="230" t="n">
        <v>1</v>
      </c>
      <c r="O56" s="144" t="n">
        <f aca="false">IF(M56=1,1,0)</f>
        <v>0</v>
      </c>
      <c r="P56" s="145" t="n">
        <f aca="false">IF(M56=2,1,0)</f>
        <v>0</v>
      </c>
      <c r="Q56" s="145" t="n">
        <f aca="false">IF(M56=3,1,0)</f>
        <v>1</v>
      </c>
      <c r="R56" s="146" t="n">
        <f aca="false">IF(M56=4,1,0)</f>
        <v>0</v>
      </c>
      <c r="S56" s="206"/>
      <c r="T56" s="192"/>
      <c r="U56" s="211"/>
      <c r="V56" s="121"/>
      <c r="W56" s="121"/>
    </row>
    <row r="57" customFormat="false" ht="20.15" hidden="false" customHeight="true" outlineLevel="0" collapsed="false">
      <c r="B57" s="77"/>
      <c r="C57" s="192"/>
      <c r="D57" s="198"/>
      <c r="E57" s="232" t="s">
        <v>49</v>
      </c>
      <c r="F57" s="386" t="s">
        <v>50</v>
      </c>
      <c r="G57" s="234" t="n">
        <v>4</v>
      </c>
      <c r="H57" s="308" t="s">
        <v>66</v>
      </c>
      <c r="I57" s="234" t="n">
        <v>0</v>
      </c>
      <c r="J57" s="425" t="n">
        <v>178</v>
      </c>
      <c r="K57" s="308" t="s">
        <v>66</v>
      </c>
      <c r="L57" s="235" t="n">
        <f aca="false">IF(J57="",0,(J57/J58)*100)</f>
        <v>88.5572139303483</v>
      </c>
      <c r="M57" s="234" t="n">
        <v>2</v>
      </c>
      <c r="N57" s="236" t="n">
        <v>3</v>
      </c>
      <c r="O57" s="156" t="n">
        <f aca="false">IF(M57=1,1,0)</f>
        <v>0</v>
      </c>
      <c r="P57" s="157" t="n">
        <f aca="false">IF(M57=2,1,0)</f>
        <v>1</v>
      </c>
      <c r="Q57" s="157" t="n">
        <f aca="false">IF(M57=3,1,0)</f>
        <v>0</v>
      </c>
      <c r="R57" s="158" t="n">
        <f aca="false">IF(M57=4,1,0)</f>
        <v>0</v>
      </c>
      <c r="S57" s="206"/>
      <c r="T57" s="192"/>
      <c r="U57" s="211"/>
      <c r="V57" s="121"/>
      <c r="W57" s="121"/>
    </row>
    <row r="58" customFormat="false" ht="20.15" hidden="true" customHeight="true" outlineLevel="1" collapsed="false">
      <c r="B58" s="77"/>
      <c r="C58" s="192"/>
      <c r="D58" s="198"/>
      <c r="E58" s="198"/>
      <c r="F58" s="206"/>
      <c r="G58" s="206"/>
      <c r="H58" s="192"/>
      <c r="I58" s="213" t="s">
        <v>92</v>
      </c>
      <c r="J58" s="161" t="n">
        <f aca="false">MAX(J54:J57)</f>
        <v>201</v>
      </c>
      <c r="K58" s="214"/>
      <c r="L58" s="206"/>
      <c r="M58" s="192"/>
      <c r="N58" s="164" t="s">
        <v>93</v>
      </c>
      <c r="O58" s="165" t="n">
        <f aca="false">SUM(O54:O57)</f>
        <v>1</v>
      </c>
      <c r="P58" s="166" t="n">
        <f aca="false">SUM(P54:P57)</f>
        <v>1</v>
      </c>
      <c r="Q58" s="165" t="n">
        <f aca="false">SUM(Q54:Q57)</f>
        <v>1</v>
      </c>
      <c r="R58" s="187" t="n">
        <f aca="false">SUM(R54:R57)</f>
        <v>1</v>
      </c>
      <c r="S58" s="215"/>
      <c r="T58" s="192"/>
      <c r="U58" s="211"/>
      <c r="V58" s="121"/>
      <c r="W58" s="121"/>
    </row>
    <row r="59" customFormat="false" ht="20.15" hidden="false" customHeight="true" outlineLevel="0" collapsed="false">
      <c r="B59" s="77"/>
      <c r="C59" s="192"/>
      <c r="D59" s="216"/>
      <c r="E59" s="216"/>
      <c r="F59" s="192"/>
      <c r="G59" s="192"/>
      <c r="H59" s="192"/>
      <c r="I59" s="192"/>
      <c r="J59" s="192"/>
      <c r="K59" s="192"/>
      <c r="L59" s="192"/>
      <c r="M59" s="192"/>
      <c r="N59" s="192"/>
      <c r="O59" s="192"/>
      <c r="P59" s="192"/>
      <c r="Q59" s="192"/>
      <c r="R59" s="192"/>
      <c r="S59" s="192"/>
      <c r="T59" s="192"/>
      <c r="U59" s="211"/>
      <c r="V59" s="121"/>
      <c r="W59" s="121"/>
    </row>
    <row r="60" customFormat="false" ht="20.15" hidden="false" customHeight="true" outlineLevel="0" collapsed="false">
      <c r="B60" s="77"/>
      <c r="D60" s="190"/>
      <c r="E60" s="190"/>
      <c r="F60" s="190"/>
      <c r="G60" s="190"/>
      <c r="H60" s="191"/>
      <c r="I60" s="190"/>
      <c r="J60" s="190"/>
      <c r="K60" s="190"/>
      <c r="L60" s="14"/>
      <c r="M60" s="14"/>
      <c r="N60" s="14"/>
      <c r="O60" s="14"/>
      <c r="P60" s="14"/>
      <c r="Q60" s="14"/>
      <c r="R60" s="14"/>
      <c r="S60" s="14"/>
      <c r="U60" s="207"/>
      <c r="V60" s="121"/>
      <c r="W60" s="121"/>
    </row>
    <row r="61" customFormat="false" ht="20.15" hidden="false" customHeight="true" outlineLevel="0" collapsed="false">
      <c r="B61" s="77"/>
      <c r="C61" s="217"/>
      <c r="D61" s="217"/>
      <c r="E61" s="218" t="str">
        <f aca="false">IF(OR(M32="-",M32= ""),H32,M32)</f>
        <v>Dungeon Lords</v>
      </c>
      <c r="F61" s="218"/>
      <c r="G61" s="218"/>
      <c r="H61" s="218"/>
      <c r="I61" s="218"/>
      <c r="J61" s="218"/>
      <c r="K61" s="218"/>
      <c r="L61" s="218"/>
      <c r="M61" s="218"/>
      <c r="N61" s="218"/>
      <c r="O61" s="219"/>
      <c r="P61" s="219"/>
      <c r="Q61" s="219"/>
      <c r="R61" s="219"/>
      <c r="S61" s="219"/>
      <c r="T61" s="217"/>
      <c r="U61" s="77"/>
    </row>
    <row r="62" customFormat="false" ht="50.15" hidden="false" customHeight="true" outlineLevel="0" collapsed="false">
      <c r="B62" s="77"/>
      <c r="C62" s="217"/>
      <c r="D62" s="219"/>
      <c r="E62" s="125" t="s">
        <v>52</v>
      </c>
      <c r="F62" s="126" t="s">
        <v>75</v>
      </c>
      <c r="G62" s="82" t="s">
        <v>76</v>
      </c>
      <c r="H62" s="81" t="s">
        <v>77</v>
      </c>
      <c r="I62" s="59" t="s">
        <v>78</v>
      </c>
      <c r="J62" s="81" t="s">
        <v>79</v>
      </c>
      <c r="K62" s="127" t="s">
        <v>80</v>
      </c>
      <c r="L62" s="81" t="s">
        <v>81</v>
      </c>
      <c r="M62" s="128" t="s">
        <v>82</v>
      </c>
      <c r="N62" s="129" t="s">
        <v>83</v>
      </c>
      <c r="O62" s="130" t="s">
        <v>84</v>
      </c>
      <c r="P62" s="131" t="s">
        <v>85</v>
      </c>
      <c r="Q62" s="131" t="s">
        <v>86</v>
      </c>
      <c r="R62" s="197" t="s">
        <v>87</v>
      </c>
      <c r="S62" s="219"/>
      <c r="T62" s="217"/>
      <c r="U62" s="77"/>
    </row>
    <row r="63" customFormat="false" ht="20.15" hidden="false" customHeight="true" outlineLevel="0" collapsed="false">
      <c r="B63" s="77"/>
      <c r="C63" s="217"/>
      <c r="D63" s="220"/>
      <c r="E63" s="86" t="s">
        <v>27</v>
      </c>
      <c r="F63" s="87" t="s">
        <v>28</v>
      </c>
      <c r="G63" s="221" t="n">
        <v>4</v>
      </c>
      <c r="H63" s="222" t="s">
        <v>66</v>
      </c>
      <c r="I63" s="221" t="n">
        <v>0</v>
      </c>
      <c r="J63" s="221" t="n">
        <v>16</v>
      </c>
      <c r="K63" s="221" t="s">
        <v>66</v>
      </c>
      <c r="L63" s="223" t="n">
        <f aca="false">IF(J63="",0,(J63/J67)*100)</f>
        <v>53.3333333333333</v>
      </c>
      <c r="M63" s="221" t="n">
        <v>2</v>
      </c>
      <c r="N63" s="224" t="n">
        <v>3</v>
      </c>
      <c r="O63" s="137" t="n">
        <f aca="false">IF(M63=1,1,0)</f>
        <v>0</v>
      </c>
      <c r="P63" s="138" t="n">
        <f aca="false">IF(M63=2,1,0)</f>
        <v>1</v>
      </c>
      <c r="Q63" s="138" t="n">
        <f aca="false">IF(M63=3,1,0)</f>
        <v>0</v>
      </c>
      <c r="R63" s="139" t="n">
        <f aca="false">IF(M63=4,1,0)</f>
        <v>0</v>
      </c>
      <c r="S63" s="225"/>
      <c r="T63" s="217"/>
      <c r="U63" s="77"/>
    </row>
    <row r="64" customFormat="false" ht="20.15" hidden="false" customHeight="true" outlineLevel="0" collapsed="false">
      <c r="B64" s="77"/>
      <c r="C64" s="217"/>
      <c r="D64" s="220"/>
      <c r="E64" s="105" t="s">
        <v>13</v>
      </c>
      <c r="F64" s="290" t="s">
        <v>14</v>
      </c>
      <c r="G64" s="228" t="n">
        <v>2</v>
      </c>
      <c r="H64" s="317" t="s">
        <v>66</v>
      </c>
      <c r="I64" s="228" t="n">
        <v>0</v>
      </c>
      <c r="J64" s="228" t="n">
        <v>9</v>
      </c>
      <c r="K64" s="228" t="s">
        <v>66</v>
      </c>
      <c r="L64" s="229" t="n">
        <f aca="false">IF(J64="",0,(J64/J67)*100)</f>
        <v>30</v>
      </c>
      <c r="M64" s="228" t="n">
        <v>3</v>
      </c>
      <c r="N64" s="230" t="n">
        <v>1</v>
      </c>
      <c r="O64" s="144" t="n">
        <f aca="false">IF(M64=1,1,0)</f>
        <v>0</v>
      </c>
      <c r="P64" s="145" t="n">
        <f aca="false">IF(M64=2,1,0)</f>
        <v>0</v>
      </c>
      <c r="Q64" s="145" t="n">
        <f aca="false">IF(M64=3,1,0)</f>
        <v>1</v>
      </c>
      <c r="R64" s="146" t="n">
        <f aca="false">IF(M64=4,1,0)</f>
        <v>0</v>
      </c>
      <c r="S64" s="225"/>
      <c r="T64" s="217"/>
      <c r="U64" s="77"/>
    </row>
    <row r="65" customFormat="false" ht="20.15" hidden="false" customHeight="true" outlineLevel="0" collapsed="false">
      <c r="B65" s="77"/>
      <c r="C65" s="217"/>
      <c r="D65" s="220"/>
      <c r="E65" s="226" t="s">
        <v>25</v>
      </c>
      <c r="F65" s="227" t="s">
        <v>26</v>
      </c>
      <c r="G65" s="228" t="n">
        <v>3</v>
      </c>
      <c r="H65" s="317" t="s">
        <v>66</v>
      </c>
      <c r="I65" s="228" t="n">
        <v>0</v>
      </c>
      <c r="J65" s="228" t="n">
        <v>-1</v>
      </c>
      <c r="K65" s="228" t="s">
        <v>66</v>
      </c>
      <c r="L65" s="229" t="n">
        <f aca="false">IF(J65="",0,(J65/J67)*100)</f>
        <v>-3.33333333333333</v>
      </c>
      <c r="M65" s="228" t="n">
        <v>4</v>
      </c>
      <c r="N65" s="230" t="n">
        <v>0</v>
      </c>
      <c r="O65" s="144" t="n">
        <f aca="false">IF(M65=1,1,0)</f>
        <v>0</v>
      </c>
      <c r="P65" s="145" t="n">
        <f aca="false">IF(M65=2,1,0)</f>
        <v>0</v>
      </c>
      <c r="Q65" s="145" t="n">
        <f aca="false">IF(M65=3,1,0)</f>
        <v>0</v>
      </c>
      <c r="R65" s="146" t="n">
        <f aca="false">IF(M65=4,1,0)</f>
        <v>1</v>
      </c>
      <c r="S65" s="225"/>
      <c r="T65" s="217"/>
      <c r="U65" s="77"/>
    </row>
    <row r="66" customFormat="false" ht="20.15" hidden="false" customHeight="true" outlineLevel="0" collapsed="false">
      <c r="B66" s="77"/>
      <c r="C66" s="217"/>
      <c r="D66" s="231"/>
      <c r="E66" s="439" t="s">
        <v>49</v>
      </c>
      <c r="F66" s="391" t="s">
        <v>50</v>
      </c>
      <c r="G66" s="322" t="n">
        <v>1</v>
      </c>
      <c r="H66" s="321" t="s">
        <v>66</v>
      </c>
      <c r="I66" s="322" t="n">
        <v>0</v>
      </c>
      <c r="J66" s="322" t="n">
        <v>30</v>
      </c>
      <c r="K66" s="322" t="s">
        <v>66</v>
      </c>
      <c r="L66" s="323" t="n">
        <f aca="false">IF(J66="",0,(J66/J67)*100)</f>
        <v>100</v>
      </c>
      <c r="M66" s="322" t="n">
        <v>1</v>
      </c>
      <c r="N66" s="324" t="n">
        <v>6</v>
      </c>
      <c r="O66" s="156" t="n">
        <f aca="false">IF(M66=1,1,0)</f>
        <v>1</v>
      </c>
      <c r="P66" s="157" t="n">
        <f aca="false">IF(M66=2,1,0)</f>
        <v>0</v>
      </c>
      <c r="Q66" s="157" t="n">
        <f aca="false">IF(M66=3,1,0)</f>
        <v>0</v>
      </c>
      <c r="R66" s="158" t="n">
        <f aca="false">IF(M66=4,1,0)</f>
        <v>0</v>
      </c>
      <c r="S66" s="225"/>
      <c r="T66" s="217"/>
      <c r="U66" s="77"/>
    </row>
    <row r="67" customFormat="false" ht="20.15" hidden="true" customHeight="true" outlineLevel="1" collapsed="false">
      <c r="B67" s="77"/>
      <c r="C67" s="217"/>
      <c r="D67" s="220"/>
      <c r="E67" s="220"/>
      <c r="F67" s="225"/>
      <c r="G67" s="225"/>
      <c r="H67" s="217"/>
      <c r="I67" s="185" t="s">
        <v>92</v>
      </c>
      <c r="J67" s="161" t="n">
        <f aca="false">MAX(J63:J66)</f>
        <v>30</v>
      </c>
      <c r="K67" s="237"/>
      <c r="L67" s="225"/>
      <c r="M67" s="217"/>
      <c r="N67" s="164" t="s">
        <v>93</v>
      </c>
      <c r="O67" s="165" t="n">
        <f aca="false">SUM(O63:O66)</f>
        <v>1</v>
      </c>
      <c r="P67" s="166" t="n">
        <f aca="false">SUM(P63:P66)</f>
        <v>1</v>
      </c>
      <c r="Q67" s="165" t="n">
        <f aca="false">SUM(Q63:Q66)</f>
        <v>1</v>
      </c>
      <c r="R67" s="187" t="n">
        <f aca="false">SUM(R63:R66)</f>
        <v>1</v>
      </c>
      <c r="S67" s="238"/>
      <c r="T67" s="217"/>
      <c r="U67" s="77"/>
    </row>
    <row r="68" customFormat="false" ht="20.15" hidden="false" customHeight="true" outlineLevel="0" collapsed="false">
      <c r="B68" s="77"/>
      <c r="C68" s="217"/>
      <c r="D68" s="239"/>
      <c r="E68" s="239"/>
      <c r="F68" s="217"/>
      <c r="G68" s="217"/>
      <c r="H68" s="217"/>
      <c r="I68" s="217"/>
      <c r="J68" s="217"/>
      <c r="K68" s="217"/>
      <c r="L68" s="217"/>
      <c r="M68" s="217"/>
      <c r="N68" s="217"/>
      <c r="O68" s="217"/>
      <c r="P68" s="217"/>
      <c r="Q68" s="217"/>
      <c r="R68" s="217"/>
      <c r="S68" s="217"/>
      <c r="T68" s="217"/>
      <c r="U68" s="77"/>
    </row>
    <row r="69" customFormat="false" ht="20.15" hidden="false" customHeight="true" outlineLevel="0" collapsed="false">
      <c r="B69" s="77"/>
      <c r="D69" s="5"/>
      <c r="E69" s="5"/>
      <c r="F69" s="5"/>
      <c r="G69" s="5"/>
      <c r="H69" s="5"/>
      <c r="I69" s="5"/>
      <c r="J69" s="5"/>
      <c r="K69" s="14"/>
      <c r="L69" s="14"/>
      <c r="M69" s="14"/>
      <c r="N69" s="14"/>
      <c r="O69" s="14"/>
      <c r="P69" s="14"/>
      <c r="Q69" s="14"/>
      <c r="R69" s="14"/>
      <c r="S69" s="14"/>
      <c r="U69" s="77"/>
    </row>
    <row r="70" customFormat="false" ht="30" hidden="false" customHeight="true" outlineLevel="0" collapsed="false">
      <c r="B70" s="77"/>
      <c r="C70" s="240"/>
      <c r="D70" s="241" t="s">
        <v>101</v>
      </c>
      <c r="E70" s="241"/>
      <c r="F70" s="241"/>
      <c r="G70" s="241"/>
      <c r="H70" s="241"/>
      <c r="I70" s="241"/>
      <c r="J70" s="241"/>
      <c r="K70" s="241"/>
      <c r="L70" s="241"/>
      <c r="M70" s="241"/>
      <c r="N70" s="241"/>
      <c r="O70" s="241"/>
      <c r="P70" s="241"/>
      <c r="Q70" s="241"/>
      <c r="R70" s="241"/>
      <c r="S70" s="241"/>
      <c r="T70" s="240"/>
      <c r="U70" s="77"/>
    </row>
    <row r="71" customFormat="false" ht="50.15" hidden="false" customHeight="true" outlineLevel="0" collapsed="false">
      <c r="B71" s="77"/>
      <c r="C71" s="240"/>
      <c r="D71" s="242" t="s">
        <v>52</v>
      </c>
      <c r="E71" s="243" t="s">
        <v>53</v>
      </c>
      <c r="F71" s="244" t="s">
        <v>83</v>
      </c>
      <c r="G71" s="245" t="s">
        <v>102</v>
      </c>
      <c r="H71" s="246" t="s">
        <v>103</v>
      </c>
      <c r="I71" s="246"/>
      <c r="J71" s="247" t="s">
        <v>104</v>
      </c>
      <c r="K71" s="248" t="s">
        <v>105</v>
      </c>
      <c r="L71" s="244" t="s">
        <v>106</v>
      </c>
      <c r="M71" s="248" t="s">
        <v>107</v>
      </c>
      <c r="N71" s="244" t="s">
        <v>108</v>
      </c>
      <c r="O71" s="249"/>
      <c r="P71" s="250"/>
      <c r="Q71" s="250"/>
      <c r="R71" s="250"/>
      <c r="S71" s="243" t="s">
        <v>109</v>
      </c>
      <c r="T71" s="240"/>
      <c r="U71" s="77"/>
    </row>
    <row r="72" customFormat="false" ht="20.15" hidden="false" customHeight="true" outlineLevel="0" collapsed="false">
      <c r="B72" s="77"/>
      <c r="C72" s="240"/>
      <c r="D72" s="251" t="s">
        <v>13</v>
      </c>
      <c r="E72" s="17" t="s">
        <v>14</v>
      </c>
      <c r="F72" s="253" t="n">
        <f aca="false">(K72*6+L72*3+M72*1+N72*0)</f>
        <v>14</v>
      </c>
      <c r="G72" s="253" t="n">
        <v>0</v>
      </c>
      <c r="H72" s="254" t="s">
        <v>66</v>
      </c>
      <c r="I72" s="254"/>
      <c r="J72" s="253" t="n">
        <f aca="false">F72+G72</f>
        <v>14</v>
      </c>
      <c r="K72" s="253" t="n">
        <v>2</v>
      </c>
      <c r="L72" s="253" t="n">
        <v>0</v>
      </c>
      <c r="M72" s="253" t="n">
        <v>2</v>
      </c>
      <c r="N72" s="253" t="n">
        <v>0</v>
      </c>
      <c r="O72" s="253"/>
      <c r="P72" s="253"/>
      <c r="Q72" s="253"/>
      <c r="R72" s="253"/>
      <c r="S72" s="255" t="n">
        <f aca="false">(L37+L46+L55+L64)/4</f>
        <v>73.5818713450292</v>
      </c>
      <c r="T72" s="240"/>
      <c r="U72" s="77"/>
      <c r="W72" s="256"/>
      <c r="X72" s="256"/>
      <c r="Y72" s="256"/>
      <c r="Z72" s="256"/>
    </row>
    <row r="73" customFormat="false" ht="20.15" hidden="false" customHeight="true" outlineLevel="0" collapsed="false">
      <c r="B73" s="77"/>
      <c r="C73" s="240"/>
      <c r="D73" s="263" t="s">
        <v>49</v>
      </c>
      <c r="E73" s="361" t="s">
        <v>50</v>
      </c>
      <c r="F73" s="259" t="n">
        <f aca="false">(K73*6+L73*3+M73*1+N73*0)</f>
        <v>10</v>
      </c>
      <c r="G73" s="259" t="n">
        <v>0</v>
      </c>
      <c r="H73" s="260" t="s">
        <v>66</v>
      </c>
      <c r="I73" s="260"/>
      <c r="J73" s="259" t="n">
        <f aca="false">F73+G73</f>
        <v>10</v>
      </c>
      <c r="K73" s="259" t="n">
        <v>1</v>
      </c>
      <c r="L73" s="259" t="n">
        <v>1</v>
      </c>
      <c r="M73" s="259" t="n">
        <v>1</v>
      </c>
      <c r="N73" s="259" t="n">
        <v>1</v>
      </c>
      <c r="O73" s="259"/>
      <c r="P73" s="259"/>
      <c r="Q73" s="259"/>
      <c r="R73" s="259"/>
      <c r="S73" s="261" t="n">
        <f aca="false">(L39+L48+L57+L66)/4</f>
        <v>79.6556433518681</v>
      </c>
      <c r="T73" s="240"/>
      <c r="U73" s="77"/>
      <c r="W73" s="262"/>
      <c r="X73" s="262"/>
      <c r="Y73" s="262"/>
      <c r="Z73" s="262"/>
    </row>
    <row r="74" customFormat="false" ht="20.15" hidden="false" customHeight="true" outlineLevel="0" collapsed="false">
      <c r="B74" s="77"/>
      <c r="C74" s="240"/>
      <c r="D74" s="257" t="s">
        <v>27</v>
      </c>
      <c r="E74" s="258" t="s">
        <v>28</v>
      </c>
      <c r="F74" s="259" t="n">
        <f aca="false">(K74*6+L74*3+M74*1+N74*0)</f>
        <v>9</v>
      </c>
      <c r="G74" s="259" t="n">
        <v>0</v>
      </c>
      <c r="H74" s="260" t="s">
        <v>66</v>
      </c>
      <c r="I74" s="260"/>
      <c r="J74" s="259" t="n">
        <f aca="false">F74+G74</f>
        <v>9</v>
      </c>
      <c r="K74" s="259" t="n">
        <v>0</v>
      </c>
      <c r="L74" s="259" t="n">
        <v>3</v>
      </c>
      <c r="M74" s="259" t="n">
        <v>0</v>
      </c>
      <c r="N74" s="259" t="n">
        <v>1</v>
      </c>
      <c r="O74" s="259"/>
      <c r="P74" s="259"/>
      <c r="Q74" s="259"/>
      <c r="R74" s="259"/>
      <c r="S74" s="261" t="n">
        <f aca="false">(L36+L45+L54+L63)/4</f>
        <v>73.7115249346662</v>
      </c>
      <c r="T74" s="240"/>
      <c r="U74" s="77"/>
      <c r="W74" s="262"/>
      <c r="X74" s="262"/>
      <c r="Y74" s="262"/>
      <c r="Z74" s="262"/>
    </row>
    <row r="75" customFormat="false" ht="20.15" hidden="false" customHeight="true" outlineLevel="0" collapsed="false">
      <c r="B75" s="77"/>
      <c r="C75" s="240"/>
      <c r="D75" s="542" t="s">
        <v>25</v>
      </c>
      <c r="E75" s="362" t="s">
        <v>26</v>
      </c>
      <c r="F75" s="267" t="n">
        <f aca="false">(K75*6+L75*3+M75*1+N75*0)</f>
        <v>7</v>
      </c>
      <c r="G75" s="267" t="n">
        <v>0</v>
      </c>
      <c r="H75" s="268" t="s">
        <v>66</v>
      </c>
      <c r="I75" s="268"/>
      <c r="J75" s="267" t="n">
        <f aca="false">F75+G75</f>
        <v>7</v>
      </c>
      <c r="K75" s="267" t="n">
        <v>1</v>
      </c>
      <c r="L75" s="267" t="n">
        <v>0</v>
      </c>
      <c r="M75" s="267" t="n">
        <v>1</v>
      </c>
      <c r="N75" s="267" t="n">
        <v>2</v>
      </c>
      <c r="O75" s="267"/>
      <c r="P75" s="267"/>
      <c r="Q75" s="267"/>
      <c r="R75" s="267"/>
      <c r="S75" s="269" t="n">
        <f aca="false">(L38+L47+L56+L65)/4</f>
        <v>61.8946932006634</v>
      </c>
      <c r="T75" s="240"/>
      <c r="U75" s="77"/>
      <c r="W75" s="262"/>
      <c r="X75" s="262"/>
      <c r="Y75" s="262"/>
      <c r="Z75" s="262"/>
      <c r="AB75" s="262"/>
      <c r="AC75" s="262"/>
      <c r="AD75" s="262"/>
      <c r="AE75" s="262"/>
    </row>
    <row r="76" customFormat="false" ht="20.15" hidden="false" customHeight="true" outlineLevel="0" collapsed="false">
      <c r="B76" s="77"/>
      <c r="C76" s="240"/>
      <c r="D76" s="240"/>
      <c r="E76" s="240"/>
      <c r="F76" s="240"/>
      <c r="G76" s="240"/>
      <c r="H76" s="240"/>
      <c r="I76" s="240"/>
      <c r="J76" s="240"/>
      <c r="K76" s="240"/>
      <c r="L76" s="240"/>
      <c r="M76" s="240"/>
      <c r="N76" s="240"/>
      <c r="O76" s="240"/>
      <c r="P76" s="240"/>
      <c r="Q76" s="240"/>
      <c r="R76" s="240"/>
      <c r="S76" s="240"/>
      <c r="T76" s="240"/>
      <c r="U76" s="77"/>
      <c r="W76" s="262"/>
      <c r="X76" s="262"/>
      <c r="Y76" s="262"/>
      <c r="Z76" s="262"/>
    </row>
    <row r="77" customFormat="false" ht="20.15" hidden="false" customHeight="true" outlineLevel="0" collapsed="false">
      <c r="B77" s="77"/>
      <c r="C77" s="77"/>
      <c r="D77" s="270"/>
      <c r="E77" s="270"/>
      <c r="F77" s="195"/>
      <c r="G77" s="195"/>
      <c r="H77" s="270"/>
      <c r="I77" s="270"/>
      <c r="J77" s="270"/>
      <c r="K77" s="207"/>
      <c r="L77" s="207"/>
      <c r="M77" s="207"/>
      <c r="N77" s="207"/>
      <c r="O77" s="207"/>
      <c r="P77" s="207"/>
      <c r="Q77" s="207"/>
      <c r="R77" s="207"/>
      <c r="S77" s="207"/>
      <c r="T77" s="77"/>
      <c r="U77" s="77"/>
    </row>
    <row r="78" customFormat="false" ht="20.15" hidden="false" customHeight="true" outlineLevel="0" collapsed="false">
      <c r="C78" s="271"/>
      <c r="D78" s="272"/>
      <c r="O78" s="14"/>
      <c r="P78" s="14"/>
      <c r="Q78" s="14"/>
      <c r="R78" s="14"/>
      <c r="S78" s="14"/>
      <c r="U78" s="271"/>
    </row>
    <row r="79" customFormat="false" ht="20.15" hidden="false" customHeight="true" outlineLevel="0" collapsed="false">
      <c r="D79" s="273"/>
      <c r="O79" s="14"/>
      <c r="P79" s="14"/>
      <c r="Q79" s="14"/>
      <c r="R79" s="14"/>
      <c r="S79" s="14"/>
    </row>
    <row r="80" customFormat="false" ht="20.15" hidden="false" customHeight="true" outlineLevel="0" collapsed="false">
      <c r="B80" s="77"/>
      <c r="C80" s="77"/>
      <c r="D80" s="78"/>
      <c r="E80" s="78"/>
      <c r="F80" s="78"/>
      <c r="G80" s="78"/>
      <c r="H80" s="77"/>
      <c r="I80" s="77"/>
      <c r="J80" s="77"/>
      <c r="K80" s="77"/>
      <c r="L80" s="77"/>
      <c r="M80" s="77"/>
      <c r="N80" s="77"/>
      <c r="O80" s="77"/>
      <c r="P80" s="77"/>
      <c r="Q80" s="77"/>
      <c r="R80" s="77"/>
      <c r="S80" s="77"/>
      <c r="T80" s="77"/>
      <c r="U80" s="77"/>
    </row>
    <row r="81" customFormat="false" ht="30" hidden="false" customHeight="true" outlineLevel="0" collapsed="false">
      <c r="B81" s="77"/>
      <c r="C81" s="79" t="s">
        <v>110</v>
      </c>
      <c r="D81" s="79"/>
      <c r="E81" s="79"/>
      <c r="F81" s="79"/>
      <c r="G81" s="79"/>
      <c r="H81" s="79"/>
      <c r="I81" s="79"/>
      <c r="J81" s="79"/>
      <c r="K81" s="79"/>
      <c r="L81" s="79"/>
      <c r="M81" s="79"/>
      <c r="N81" s="79"/>
      <c r="O81" s="79"/>
      <c r="P81" s="79"/>
      <c r="Q81" s="79"/>
      <c r="R81" s="79"/>
      <c r="S81" s="79"/>
      <c r="T81" s="79"/>
      <c r="U81" s="77"/>
    </row>
    <row r="82" customFormat="false" ht="20.15" hidden="false" customHeight="true" outlineLevel="0" collapsed="false">
      <c r="B82" s="77"/>
      <c r="D82" s="121"/>
      <c r="E82" s="121"/>
      <c r="U82" s="77"/>
    </row>
    <row r="83" customFormat="false" ht="20.15" hidden="false" customHeight="true" outlineLevel="0" collapsed="false">
      <c r="B83" s="77"/>
      <c r="D83" s="80" t="s">
        <v>52</v>
      </c>
      <c r="E83" s="81" t="s">
        <v>111</v>
      </c>
      <c r="F83" s="82" t="s">
        <v>12</v>
      </c>
      <c r="G83" s="275" t="s">
        <v>54</v>
      </c>
      <c r="H83" s="275"/>
      <c r="I83" s="275"/>
      <c r="J83" s="275"/>
      <c r="K83" s="81" t="s">
        <v>55</v>
      </c>
      <c r="L83" s="83" t="s">
        <v>56</v>
      </c>
      <c r="M83" s="83"/>
      <c r="N83" s="83"/>
      <c r="O83" s="83"/>
      <c r="P83" s="83"/>
      <c r="Q83" s="83"/>
      <c r="R83" s="83"/>
      <c r="S83" s="83"/>
      <c r="U83" s="77"/>
    </row>
    <row r="84" customFormat="false" ht="20.15" hidden="false" customHeight="true" outlineLevel="0" collapsed="false">
      <c r="B84" s="77"/>
      <c r="D84" s="80"/>
      <c r="E84" s="81"/>
      <c r="F84" s="81"/>
      <c r="G84" s="85" t="s">
        <v>57</v>
      </c>
      <c r="H84" s="84" t="s">
        <v>58</v>
      </c>
      <c r="I84" s="82" t="s">
        <v>59</v>
      </c>
      <c r="J84" s="82"/>
      <c r="K84" s="84" t="s">
        <v>60</v>
      </c>
      <c r="L84" s="276" t="s">
        <v>57</v>
      </c>
      <c r="M84" s="277" t="s">
        <v>61</v>
      </c>
      <c r="N84" s="82" t="s">
        <v>59</v>
      </c>
      <c r="O84" s="82"/>
      <c r="P84" s="82"/>
      <c r="Q84" s="82"/>
      <c r="R84" s="82"/>
      <c r="S84" s="82"/>
      <c r="U84" s="77"/>
    </row>
    <row r="85" customFormat="false" ht="35.15" hidden="false" customHeight="true" outlineLevel="0" collapsed="false">
      <c r="B85" s="77"/>
      <c r="D85" s="86" t="s">
        <v>30</v>
      </c>
      <c r="E85" s="372" t="s">
        <v>31</v>
      </c>
      <c r="F85" s="343" t="n">
        <v>1</v>
      </c>
      <c r="G85" s="280" t="s">
        <v>71</v>
      </c>
      <c r="H85" s="281" t="s">
        <v>233</v>
      </c>
      <c r="I85" s="282" t="s">
        <v>467</v>
      </c>
      <c r="J85" s="282"/>
      <c r="K85" s="503" t="s">
        <v>65</v>
      </c>
      <c r="L85" s="284" t="s">
        <v>66</v>
      </c>
      <c r="M85" s="94" t="s">
        <v>66</v>
      </c>
      <c r="N85" s="95" t="s">
        <v>66</v>
      </c>
      <c r="O85" s="95"/>
      <c r="P85" s="95"/>
      <c r="Q85" s="95"/>
      <c r="R85" s="95"/>
      <c r="S85" s="95"/>
      <c r="U85" s="77"/>
    </row>
    <row r="86" customFormat="false" ht="35.15" hidden="false" customHeight="true" outlineLevel="0" collapsed="false">
      <c r="B86" s="77"/>
      <c r="D86" s="209" t="s">
        <v>16</v>
      </c>
      <c r="E86" s="96" t="s">
        <v>17</v>
      </c>
      <c r="F86" s="346" t="n">
        <v>2</v>
      </c>
      <c r="G86" s="286" t="s">
        <v>67</v>
      </c>
      <c r="H86" s="99" t="s">
        <v>352</v>
      </c>
      <c r="I86" s="287" t="s">
        <v>383</v>
      </c>
      <c r="J86" s="287"/>
      <c r="K86" s="288" t="s">
        <v>65</v>
      </c>
      <c r="L86" s="289" t="s">
        <v>66</v>
      </c>
      <c r="M86" s="103" t="s">
        <v>66</v>
      </c>
      <c r="N86" s="104" t="s">
        <v>66</v>
      </c>
      <c r="O86" s="104"/>
      <c r="P86" s="104"/>
      <c r="Q86" s="104"/>
      <c r="R86" s="104"/>
      <c r="S86" s="104"/>
      <c r="U86" s="77"/>
    </row>
    <row r="87" customFormat="false" ht="35.15" hidden="false" customHeight="true" outlineLevel="0" collapsed="false">
      <c r="B87" s="77"/>
      <c r="D87" s="105" t="s">
        <v>19</v>
      </c>
      <c r="E87" s="96" t="s">
        <v>20</v>
      </c>
      <c r="F87" s="346" t="n">
        <v>3</v>
      </c>
      <c r="G87" s="291" t="s">
        <v>67</v>
      </c>
      <c r="H87" s="107" t="s">
        <v>468</v>
      </c>
      <c r="I87" s="293" t="s">
        <v>469</v>
      </c>
      <c r="J87" s="293"/>
      <c r="K87" s="374" t="s">
        <v>65</v>
      </c>
      <c r="L87" s="289" t="s">
        <v>66</v>
      </c>
      <c r="M87" s="103" t="s">
        <v>66</v>
      </c>
      <c r="N87" s="104" t="s">
        <v>66</v>
      </c>
      <c r="O87" s="104"/>
      <c r="P87" s="104"/>
      <c r="Q87" s="104"/>
      <c r="R87" s="104"/>
      <c r="S87" s="104"/>
      <c r="U87" s="77"/>
    </row>
    <row r="88" customFormat="false" ht="20.15" hidden="false" customHeight="true" outlineLevel="0" collapsed="false">
      <c r="B88" s="77"/>
      <c r="D88" s="182" t="s">
        <v>360</v>
      </c>
      <c r="E88" s="410" t="s">
        <v>361</v>
      </c>
      <c r="F88" s="350" t="n">
        <v>4</v>
      </c>
      <c r="G88" s="387" t="s">
        <v>67</v>
      </c>
      <c r="H88" s="101" t="s">
        <v>398</v>
      </c>
      <c r="I88" s="377" t="s">
        <v>434</v>
      </c>
      <c r="J88" s="377"/>
      <c r="K88" s="300" t="s">
        <v>65</v>
      </c>
      <c r="L88" s="301" t="s">
        <v>66</v>
      </c>
      <c r="M88" s="302" t="s">
        <v>66</v>
      </c>
      <c r="N88" s="303" t="s">
        <v>66</v>
      </c>
      <c r="O88" s="303"/>
      <c r="P88" s="303"/>
      <c r="Q88" s="303"/>
      <c r="R88" s="303"/>
      <c r="S88" s="303"/>
      <c r="U88" s="77"/>
    </row>
    <row r="89" customFormat="false" ht="20.15" hidden="false" customHeight="true" outlineLevel="0" collapsed="false">
      <c r="B89" s="77"/>
      <c r="D89" s="121"/>
      <c r="E89" s="121"/>
      <c r="U89" s="77"/>
    </row>
    <row r="90" customFormat="false" ht="20.15" hidden="false" customHeight="true" outlineLevel="0" collapsed="false">
      <c r="B90" s="77"/>
      <c r="C90" s="122"/>
      <c r="D90" s="122"/>
      <c r="E90" s="123" t="str">
        <f aca="false">IF(OR(L85="-",L85= ""),H85,L85)</f>
        <v>Underwater Cities</v>
      </c>
      <c r="F90" s="123"/>
      <c r="G90" s="123"/>
      <c r="H90" s="123"/>
      <c r="I90" s="123"/>
      <c r="J90" s="123"/>
      <c r="K90" s="123"/>
      <c r="L90" s="123"/>
      <c r="M90" s="123"/>
      <c r="N90" s="123"/>
      <c r="O90" s="124"/>
      <c r="P90" s="124"/>
      <c r="Q90" s="124"/>
      <c r="R90" s="124"/>
      <c r="S90" s="124"/>
      <c r="T90" s="122"/>
      <c r="U90" s="77"/>
    </row>
    <row r="91" customFormat="false" ht="50.15" hidden="false" customHeight="true" outlineLevel="0" collapsed="false">
      <c r="B91" s="77"/>
      <c r="C91" s="122"/>
      <c r="D91" s="124"/>
      <c r="E91" s="125" t="s">
        <v>52</v>
      </c>
      <c r="F91" s="126" t="s">
        <v>75</v>
      </c>
      <c r="G91" s="82" t="s">
        <v>76</v>
      </c>
      <c r="H91" s="81" t="s">
        <v>77</v>
      </c>
      <c r="I91" s="59" t="s">
        <v>78</v>
      </c>
      <c r="J91" s="81" t="s">
        <v>79</v>
      </c>
      <c r="K91" s="127" t="s">
        <v>80</v>
      </c>
      <c r="L91" s="81" t="s">
        <v>81</v>
      </c>
      <c r="M91" s="128" t="s">
        <v>82</v>
      </c>
      <c r="N91" s="129" t="s">
        <v>83</v>
      </c>
      <c r="O91" s="130" t="s">
        <v>84</v>
      </c>
      <c r="P91" s="131" t="s">
        <v>85</v>
      </c>
      <c r="Q91" s="131" t="s">
        <v>86</v>
      </c>
      <c r="R91" s="197" t="s">
        <v>87</v>
      </c>
      <c r="S91" s="124"/>
      <c r="T91" s="122"/>
      <c r="U91" s="77"/>
    </row>
    <row r="92" customFormat="false" ht="20.15" hidden="false" customHeight="true" outlineLevel="0" collapsed="false">
      <c r="B92" s="77"/>
      <c r="C92" s="122"/>
      <c r="D92" s="152"/>
      <c r="E92" s="199" t="s">
        <v>30</v>
      </c>
      <c r="F92" s="380" t="s">
        <v>31</v>
      </c>
      <c r="G92" s="325" t="n">
        <v>4</v>
      </c>
      <c r="H92" s="201" t="s">
        <v>239</v>
      </c>
      <c r="I92" s="201" t="n">
        <v>2</v>
      </c>
      <c r="J92" s="201" t="n">
        <v>116</v>
      </c>
      <c r="K92" s="201" t="s">
        <v>66</v>
      </c>
      <c r="L92" s="204" t="n">
        <f aca="false">IF(J92="",0,(J92/J96)*100)</f>
        <v>100</v>
      </c>
      <c r="M92" s="201" t="n">
        <v>1</v>
      </c>
      <c r="N92" s="205" t="n">
        <v>6</v>
      </c>
      <c r="O92" s="137" t="n">
        <f aca="false">IF(M92=1,1,0)</f>
        <v>1</v>
      </c>
      <c r="P92" s="138" t="n">
        <f aca="false">IF(M92=2,1,0)</f>
        <v>0</v>
      </c>
      <c r="Q92" s="138" t="n">
        <f aca="false">IF(M92=3,1,0)</f>
        <v>0</v>
      </c>
      <c r="R92" s="139" t="n">
        <f aca="false">IF(M92=4,1,0)</f>
        <v>0</v>
      </c>
      <c r="S92" s="140"/>
      <c r="T92" s="122"/>
      <c r="U92" s="77"/>
    </row>
    <row r="93" customFormat="false" ht="20.15" hidden="false" customHeight="true" outlineLevel="0" collapsed="false">
      <c r="B93" s="77"/>
      <c r="C93" s="122"/>
      <c r="D93" s="132"/>
      <c r="E93" s="226" t="s">
        <v>16</v>
      </c>
      <c r="F93" s="227" t="s">
        <v>17</v>
      </c>
      <c r="G93" s="306" t="n">
        <v>1</v>
      </c>
      <c r="H93" s="228" t="s">
        <v>244</v>
      </c>
      <c r="I93" s="228" t="n">
        <v>2</v>
      </c>
      <c r="J93" s="228" t="n">
        <v>111</v>
      </c>
      <c r="K93" s="317" t="s">
        <v>66</v>
      </c>
      <c r="L93" s="229" t="n">
        <f aca="false">IF(J93="",0,(J93/J96)*100)</f>
        <v>95.6896551724138</v>
      </c>
      <c r="M93" s="228" t="n">
        <v>2</v>
      </c>
      <c r="N93" s="230" t="n">
        <v>3</v>
      </c>
      <c r="O93" s="144" t="n">
        <f aca="false">IF(M93=1,1,0)</f>
        <v>0</v>
      </c>
      <c r="P93" s="145" t="n">
        <f aca="false">IF(M93=2,1,0)</f>
        <v>1</v>
      </c>
      <c r="Q93" s="145" t="n">
        <f aca="false">IF(M93=3,1,0)</f>
        <v>0</v>
      </c>
      <c r="R93" s="146" t="n">
        <f aca="false">IF(M93=4,1,0)</f>
        <v>0</v>
      </c>
      <c r="S93" s="140"/>
      <c r="T93" s="122"/>
      <c r="U93" s="77"/>
    </row>
    <row r="94" customFormat="false" ht="20.15" hidden="false" customHeight="true" outlineLevel="0" collapsed="false">
      <c r="B94" s="77"/>
      <c r="C94" s="122"/>
      <c r="D94" s="132"/>
      <c r="E94" s="105" t="s">
        <v>19</v>
      </c>
      <c r="F94" s="227" t="s">
        <v>20</v>
      </c>
      <c r="G94" s="306" t="n">
        <v>2</v>
      </c>
      <c r="H94" s="228" t="s">
        <v>240</v>
      </c>
      <c r="I94" s="228" t="n">
        <v>2</v>
      </c>
      <c r="J94" s="228" t="n">
        <v>109</v>
      </c>
      <c r="K94" s="228" t="s">
        <v>66</v>
      </c>
      <c r="L94" s="229" t="n">
        <f aca="false">IF(J94="",0,(J94/J96)*100)</f>
        <v>93.9655172413793</v>
      </c>
      <c r="M94" s="228" t="n">
        <v>3</v>
      </c>
      <c r="N94" s="230" t="n">
        <v>1</v>
      </c>
      <c r="O94" s="144" t="n">
        <f aca="false">IF(M94=1,1,0)</f>
        <v>0</v>
      </c>
      <c r="P94" s="145" t="n">
        <f aca="false">IF(M94=2,1,0)</f>
        <v>0</v>
      </c>
      <c r="Q94" s="145" t="n">
        <f aca="false">IF(M94=3,1,0)</f>
        <v>1</v>
      </c>
      <c r="R94" s="146" t="n">
        <f aca="false">IF(M94=4,1,0)</f>
        <v>0</v>
      </c>
      <c r="S94" s="140"/>
      <c r="T94" s="122"/>
      <c r="U94" s="77"/>
    </row>
    <row r="95" customFormat="false" ht="20.15" hidden="false" customHeight="true" outlineLevel="0" collapsed="false">
      <c r="B95" s="77"/>
      <c r="C95" s="122"/>
      <c r="D95" s="132"/>
      <c r="E95" s="232" t="s">
        <v>360</v>
      </c>
      <c r="F95" s="386" t="s">
        <v>361</v>
      </c>
      <c r="G95" s="307" t="n">
        <v>3</v>
      </c>
      <c r="H95" s="234" t="s">
        <v>242</v>
      </c>
      <c r="I95" s="234" t="n">
        <v>2</v>
      </c>
      <c r="J95" s="234" t="n">
        <v>59</v>
      </c>
      <c r="K95" s="308" t="s">
        <v>66</v>
      </c>
      <c r="L95" s="235" t="n">
        <f aca="false">IF(J95="",0,(J95/J96)*100)</f>
        <v>50.8620689655172</v>
      </c>
      <c r="M95" s="234" t="n">
        <v>4</v>
      </c>
      <c r="N95" s="236" t="n">
        <v>0</v>
      </c>
      <c r="O95" s="156" t="n">
        <f aca="false">IF(M95=1,1,0)</f>
        <v>0</v>
      </c>
      <c r="P95" s="157" t="n">
        <f aca="false">IF(M95=2,1,0)</f>
        <v>0</v>
      </c>
      <c r="Q95" s="157" t="n">
        <f aca="false">IF(M95=3,1,0)</f>
        <v>0</v>
      </c>
      <c r="R95" s="158" t="n">
        <f aca="false">IF(M95=4,1,0)</f>
        <v>1</v>
      </c>
      <c r="S95" s="140"/>
      <c r="T95" s="122"/>
      <c r="U95" s="77"/>
    </row>
    <row r="96" customFormat="false" ht="20.15" hidden="true" customHeight="true" outlineLevel="1" collapsed="false">
      <c r="B96" s="77"/>
      <c r="C96" s="122"/>
      <c r="D96" s="152"/>
      <c r="E96" s="152"/>
      <c r="F96" s="140"/>
      <c r="G96" s="140"/>
      <c r="H96" s="122"/>
      <c r="I96" s="213" t="s">
        <v>92</v>
      </c>
      <c r="J96" s="161" t="n">
        <f aca="false">MAX(J92:J95)</f>
        <v>116</v>
      </c>
      <c r="K96" s="309"/>
      <c r="L96" s="167"/>
      <c r="M96" s="122"/>
      <c r="N96" s="164" t="s">
        <v>93</v>
      </c>
      <c r="O96" s="165" t="n">
        <f aca="false">SUM(O92:O95)</f>
        <v>1</v>
      </c>
      <c r="P96" s="166" t="n">
        <f aca="false">SUM(P92:P95)</f>
        <v>1</v>
      </c>
      <c r="Q96" s="165" t="n">
        <f aca="false">SUM(Q92:Q95)</f>
        <v>1</v>
      </c>
      <c r="R96" s="187" t="n">
        <f aca="false">SUM(R92:R95)</f>
        <v>1</v>
      </c>
      <c r="S96" s="167"/>
      <c r="T96" s="122"/>
      <c r="U96" s="77"/>
    </row>
    <row r="97" customFormat="false" ht="20.15" hidden="false" customHeight="true" outlineLevel="0" collapsed="false">
      <c r="B97" s="77"/>
      <c r="C97" s="122"/>
      <c r="D97" s="168"/>
      <c r="E97" s="168"/>
      <c r="F97" s="122"/>
      <c r="G97" s="122"/>
      <c r="H97" s="122"/>
      <c r="I97" s="122"/>
      <c r="J97" s="122"/>
      <c r="K97" s="122"/>
      <c r="L97" s="122"/>
      <c r="M97" s="122"/>
      <c r="N97" s="122"/>
      <c r="O97" s="122"/>
      <c r="P97" s="122"/>
      <c r="Q97" s="122"/>
      <c r="R97" s="122"/>
      <c r="S97" s="122"/>
      <c r="T97" s="122"/>
      <c r="U97" s="77"/>
    </row>
    <row r="98" customFormat="false" ht="20.15" hidden="false" customHeight="true" outlineLevel="0" collapsed="false">
      <c r="B98" s="77"/>
      <c r="U98" s="77"/>
    </row>
    <row r="99" customFormat="false" ht="20.15" hidden="false" customHeight="true" outlineLevel="0" collapsed="false">
      <c r="B99" s="77"/>
      <c r="C99" s="170"/>
      <c r="D99" s="170"/>
      <c r="E99" s="171" t="str">
        <f aca="false">IF(OR(L86="-",L86= ""),H86,L86)</f>
        <v>Viticulture</v>
      </c>
      <c r="F99" s="171"/>
      <c r="G99" s="171"/>
      <c r="H99" s="171"/>
      <c r="I99" s="171"/>
      <c r="J99" s="171"/>
      <c r="K99" s="171"/>
      <c r="L99" s="171"/>
      <c r="M99" s="171"/>
      <c r="N99" s="171"/>
      <c r="O99" s="172"/>
      <c r="P99" s="172"/>
      <c r="Q99" s="172"/>
      <c r="R99" s="172"/>
      <c r="S99" s="172"/>
      <c r="T99" s="170"/>
      <c r="U99" s="77"/>
    </row>
    <row r="100" customFormat="false" ht="50.15" hidden="false" customHeight="true" outlineLevel="0" collapsed="false">
      <c r="B100" s="77"/>
      <c r="C100" s="170"/>
      <c r="D100" s="172"/>
      <c r="E100" s="125" t="s">
        <v>52</v>
      </c>
      <c r="F100" s="126" t="s">
        <v>75</v>
      </c>
      <c r="G100" s="82" t="s">
        <v>76</v>
      </c>
      <c r="H100" s="81" t="s">
        <v>77</v>
      </c>
      <c r="I100" s="59" t="s">
        <v>78</v>
      </c>
      <c r="J100" s="81" t="s">
        <v>79</v>
      </c>
      <c r="K100" s="127" t="s">
        <v>80</v>
      </c>
      <c r="L100" s="81" t="s">
        <v>81</v>
      </c>
      <c r="M100" s="128" t="s">
        <v>82</v>
      </c>
      <c r="N100" s="129" t="s">
        <v>83</v>
      </c>
      <c r="O100" s="130" t="s">
        <v>84</v>
      </c>
      <c r="P100" s="131" t="s">
        <v>85</v>
      </c>
      <c r="Q100" s="131" t="s">
        <v>86</v>
      </c>
      <c r="R100" s="197" t="s">
        <v>87</v>
      </c>
      <c r="S100" s="172"/>
      <c r="T100" s="170"/>
      <c r="U100" s="77"/>
    </row>
    <row r="101" customFormat="false" ht="35.15" hidden="false" customHeight="true" outlineLevel="0" collapsed="false">
      <c r="B101" s="77"/>
      <c r="C101" s="170"/>
      <c r="D101" s="177"/>
      <c r="E101" s="86" t="s">
        <v>30</v>
      </c>
      <c r="F101" s="382" t="s">
        <v>32</v>
      </c>
      <c r="G101" s="304" t="n">
        <v>1</v>
      </c>
      <c r="H101" s="222" t="s">
        <v>438</v>
      </c>
      <c r="I101" s="221" t="n">
        <v>0</v>
      </c>
      <c r="J101" s="222" t="n">
        <v>10</v>
      </c>
      <c r="K101" s="389" t="s">
        <v>470</v>
      </c>
      <c r="L101" s="223" t="n">
        <f aca="false">IF(J101="",0,(J101/J105)*100)</f>
        <v>47.6190476190476</v>
      </c>
      <c r="M101" s="221" t="n">
        <v>2</v>
      </c>
      <c r="N101" s="224" t="n">
        <v>3</v>
      </c>
      <c r="O101" s="137" t="n">
        <f aca="false">IF(M101=1,1,0)</f>
        <v>0</v>
      </c>
      <c r="P101" s="138" t="n">
        <f aca="false">IF(M101=2,1,0)</f>
        <v>1</v>
      </c>
      <c r="Q101" s="138" t="n">
        <f aca="false">IF(M101=3,1,0)</f>
        <v>0</v>
      </c>
      <c r="R101" s="139" t="n">
        <f aca="false">IF(M101=4,1,0)</f>
        <v>0</v>
      </c>
      <c r="S101" s="176"/>
      <c r="T101" s="170"/>
      <c r="U101" s="77"/>
    </row>
    <row r="102" customFormat="false" ht="35.15" hidden="false" customHeight="true" outlineLevel="0" collapsed="false">
      <c r="B102" s="77"/>
      <c r="C102" s="170"/>
      <c r="D102" s="173"/>
      <c r="E102" s="226" t="s">
        <v>16</v>
      </c>
      <c r="F102" s="227" t="s">
        <v>17</v>
      </c>
      <c r="G102" s="306" t="n">
        <v>3</v>
      </c>
      <c r="H102" s="317" t="s">
        <v>471</v>
      </c>
      <c r="I102" s="228" t="n">
        <v>0</v>
      </c>
      <c r="J102" s="317" t="n">
        <v>10</v>
      </c>
      <c r="K102" s="317" t="s">
        <v>472</v>
      </c>
      <c r="L102" s="229" t="n">
        <f aca="false">IF(J102="",0,(J102/J105)*100)</f>
        <v>47.6190476190476</v>
      </c>
      <c r="M102" s="228" t="n">
        <v>3</v>
      </c>
      <c r="N102" s="230" t="n">
        <v>1</v>
      </c>
      <c r="O102" s="144" t="n">
        <f aca="false">IF(M102=1,1,0)</f>
        <v>0</v>
      </c>
      <c r="P102" s="145" t="n">
        <f aca="false">IF(M102=2,1,0)</f>
        <v>0</v>
      </c>
      <c r="Q102" s="145" t="n">
        <f aca="false">IF(M102=3,1,0)</f>
        <v>1</v>
      </c>
      <c r="R102" s="146" t="n">
        <f aca="false">IF(M102=4,1,0)</f>
        <v>0</v>
      </c>
      <c r="S102" s="176"/>
      <c r="T102" s="170"/>
      <c r="U102" s="77"/>
    </row>
    <row r="103" customFormat="false" ht="35.15" hidden="false" customHeight="true" outlineLevel="0" collapsed="false">
      <c r="B103" s="77"/>
      <c r="C103" s="170"/>
      <c r="D103" s="177"/>
      <c r="E103" s="147" t="s">
        <v>19</v>
      </c>
      <c r="F103" s="148" t="s">
        <v>20</v>
      </c>
      <c r="G103" s="305" t="n">
        <v>2</v>
      </c>
      <c r="H103" s="179" t="s">
        <v>473</v>
      </c>
      <c r="I103" s="149" t="n">
        <v>0</v>
      </c>
      <c r="J103" s="179" t="n">
        <v>21</v>
      </c>
      <c r="K103" s="534" t="s">
        <v>66</v>
      </c>
      <c r="L103" s="150" t="n">
        <f aca="false">IF(J103="",0,(J103/J105)*100)</f>
        <v>100</v>
      </c>
      <c r="M103" s="149" t="n">
        <v>1</v>
      </c>
      <c r="N103" s="151" t="n">
        <v>6</v>
      </c>
      <c r="O103" s="144" t="n">
        <f aca="false">IF(M103=1,1,0)</f>
        <v>1</v>
      </c>
      <c r="P103" s="145" t="n">
        <f aca="false">IF(M103=2,1,0)</f>
        <v>0</v>
      </c>
      <c r="Q103" s="145" t="n">
        <f aca="false">IF(M103=3,1,0)</f>
        <v>0</v>
      </c>
      <c r="R103" s="146" t="n">
        <f aca="false">IF(M103=4,1,0)</f>
        <v>0</v>
      </c>
      <c r="S103" s="176"/>
      <c r="T103" s="170"/>
      <c r="U103" s="77"/>
    </row>
    <row r="104" customFormat="false" ht="35.15" hidden="false" customHeight="true" outlineLevel="0" collapsed="false">
      <c r="B104" s="77"/>
      <c r="C104" s="170"/>
      <c r="D104" s="173"/>
      <c r="E104" s="232" t="s">
        <v>360</v>
      </c>
      <c r="F104" s="386" t="s">
        <v>361</v>
      </c>
      <c r="G104" s="307" t="n">
        <v>4</v>
      </c>
      <c r="H104" s="308" t="s">
        <v>474</v>
      </c>
      <c r="I104" s="234" t="n">
        <v>0</v>
      </c>
      <c r="J104" s="308" t="n">
        <v>6</v>
      </c>
      <c r="K104" s="308" t="s">
        <v>66</v>
      </c>
      <c r="L104" s="235" t="n">
        <f aca="false">IF(J104="",0,(J104/J105)*100)</f>
        <v>28.5714285714286</v>
      </c>
      <c r="M104" s="234" t="n">
        <v>4</v>
      </c>
      <c r="N104" s="236" t="n">
        <v>0</v>
      </c>
      <c r="O104" s="156" t="n">
        <f aca="false">IF(M104=1,1,0)</f>
        <v>0</v>
      </c>
      <c r="P104" s="157" t="n">
        <f aca="false">IF(M104=2,1,0)</f>
        <v>0</v>
      </c>
      <c r="Q104" s="157" t="n">
        <f aca="false">IF(M104=3,1,0)</f>
        <v>0</v>
      </c>
      <c r="R104" s="158" t="n">
        <f aca="false">IF(M104=4,1,0)</f>
        <v>1</v>
      </c>
      <c r="S104" s="176"/>
      <c r="T104" s="170"/>
      <c r="U104" s="77"/>
    </row>
    <row r="105" customFormat="false" ht="20.15" hidden="true" customHeight="true" outlineLevel="1" collapsed="false">
      <c r="B105" s="77"/>
      <c r="C105" s="170"/>
      <c r="D105" s="173"/>
      <c r="E105" s="173"/>
      <c r="F105" s="172"/>
      <c r="G105" s="172"/>
      <c r="H105" s="170"/>
      <c r="I105" s="213" t="s">
        <v>92</v>
      </c>
      <c r="J105" s="161" t="n">
        <f aca="false">MAX(J101:J104)</f>
        <v>21</v>
      </c>
      <c r="K105" s="186"/>
      <c r="L105" s="176"/>
      <c r="M105" s="170"/>
      <c r="N105" s="164" t="s">
        <v>93</v>
      </c>
      <c r="O105" s="165" t="n">
        <f aca="false">SUM(O101:O104)</f>
        <v>1</v>
      </c>
      <c r="P105" s="166" t="n">
        <f aca="false">SUM(P101:P104)</f>
        <v>1</v>
      </c>
      <c r="Q105" s="165" t="n">
        <f aca="false">SUM(Q101:Q104)</f>
        <v>1</v>
      </c>
      <c r="R105" s="187" t="n">
        <f aca="false">SUM(R101:R104)</f>
        <v>1</v>
      </c>
      <c r="S105" s="188"/>
      <c r="T105" s="170"/>
      <c r="U105" s="77"/>
    </row>
    <row r="106" customFormat="false" ht="20.15" hidden="false" customHeight="true" outlineLevel="0" collapsed="false">
      <c r="B106" s="77"/>
      <c r="C106" s="170"/>
      <c r="D106" s="189"/>
      <c r="E106" s="189"/>
      <c r="F106" s="170"/>
      <c r="G106" s="170"/>
      <c r="H106" s="170"/>
      <c r="I106" s="170"/>
      <c r="J106" s="170"/>
      <c r="K106" s="170"/>
      <c r="L106" s="170"/>
      <c r="M106" s="170"/>
      <c r="N106" s="170"/>
      <c r="O106" s="170"/>
      <c r="P106" s="170"/>
      <c r="Q106" s="170"/>
      <c r="R106" s="170"/>
      <c r="S106" s="170"/>
      <c r="T106" s="170"/>
      <c r="U106" s="77"/>
    </row>
    <row r="107" customFormat="false" ht="20.15" hidden="false" customHeight="true" outlineLevel="0" collapsed="false">
      <c r="B107" s="77"/>
      <c r="D107" s="190"/>
      <c r="E107" s="190"/>
      <c r="F107" s="190"/>
      <c r="G107" s="190"/>
      <c r="H107" s="191"/>
      <c r="I107" s="190"/>
      <c r="J107" s="190"/>
      <c r="K107" s="14"/>
      <c r="L107" s="14"/>
      <c r="M107" s="14"/>
      <c r="N107" s="14"/>
      <c r="O107" s="14"/>
      <c r="P107" s="14"/>
      <c r="Q107" s="14"/>
      <c r="R107" s="14"/>
      <c r="S107" s="14"/>
      <c r="U107" s="77"/>
    </row>
    <row r="108" customFormat="false" ht="20.15" hidden="false" customHeight="true" outlineLevel="0" collapsed="false">
      <c r="B108" s="77"/>
      <c r="C108" s="192"/>
      <c r="D108" s="192"/>
      <c r="E108" s="193" t="str">
        <f aca="false">IF(OR(L87="-",L87= ""),H87,L87)</f>
        <v>New Frontiers</v>
      </c>
      <c r="F108" s="193"/>
      <c r="G108" s="193"/>
      <c r="H108" s="193"/>
      <c r="I108" s="193"/>
      <c r="J108" s="193"/>
      <c r="K108" s="193"/>
      <c r="L108" s="193"/>
      <c r="M108" s="193"/>
      <c r="N108" s="193"/>
      <c r="O108" s="194"/>
      <c r="P108" s="194"/>
      <c r="Q108" s="194"/>
      <c r="R108" s="194"/>
      <c r="S108" s="194"/>
      <c r="T108" s="192"/>
      <c r="U108" s="195"/>
    </row>
    <row r="109" customFormat="false" ht="50.15" hidden="false" customHeight="true" outlineLevel="0" collapsed="false">
      <c r="B109" s="77"/>
      <c r="C109" s="192"/>
      <c r="D109" s="194"/>
      <c r="E109" s="125" t="s">
        <v>52</v>
      </c>
      <c r="F109" s="126" t="s">
        <v>75</v>
      </c>
      <c r="G109" s="82" t="s">
        <v>76</v>
      </c>
      <c r="H109" s="81" t="s">
        <v>77</v>
      </c>
      <c r="I109" s="59" t="s">
        <v>78</v>
      </c>
      <c r="J109" s="81" t="s">
        <v>79</v>
      </c>
      <c r="K109" s="127" t="s">
        <v>80</v>
      </c>
      <c r="L109" s="81" t="s">
        <v>81</v>
      </c>
      <c r="M109" s="128" t="s">
        <v>82</v>
      </c>
      <c r="N109" s="129" t="s">
        <v>83</v>
      </c>
      <c r="O109" s="130" t="s">
        <v>84</v>
      </c>
      <c r="P109" s="131" t="s">
        <v>85</v>
      </c>
      <c r="Q109" s="131" t="s">
        <v>86</v>
      </c>
      <c r="R109" s="197" t="s">
        <v>87</v>
      </c>
      <c r="S109" s="194"/>
      <c r="T109" s="192"/>
      <c r="U109" s="195"/>
    </row>
    <row r="110" customFormat="false" ht="35.15" hidden="false" customHeight="true" outlineLevel="0" collapsed="false">
      <c r="B110" s="77"/>
      <c r="C110" s="192"/>
      <c r="D110" s="208"/>
      <c r="E110" s="86" t="s">
        <v>30</v>
      </c>
      <c r="F110" s="382" t="s">
        <v>32</v>
      </c>
      <c r="G110" s="304" t="n">
        <v>1</v>
      </c>
      <c r="H110" s="222" t="s">
        <v>475</v>
      </c>
      <c r="I110" s="221" t="n">
        <v>1</v>
      </c>
      <c r="J110" s="222" t="n">
        <v>46</v>
      </c>
      <c r="K110" s="221" t="s">
        <v>66</v>
      </c>
      <c r="L110" s="223" t="n">
        <f aca="false">IF(J110="",0,(J110/J114)*100)</f>
        <v>67.6470588235294</v>
      </c>
      <c r="M110" s="221" t="n">
        <v>3</v>
      </c>
      <c r="N110" s="224" t="n">
        <v>1</v>
      </c>
      <c r="O110" s="137" t="n">
        <f aca="false">IF(M110=1,1,0)</f>
        <v>0</v>
      </c>
      <c r="P110" s="138" t="n">
        <f aca="false">IF(M110=2,1,0)</f>
        <v>0</v>
      </c>
      <c r="Q110" s="138" t="n">
        <f aca="false">IF(M110=3,1,0)</f>
        <v>1</v>
      </c>
      <c r="R110" s="139" t="n">
        <f aca="false">IF(M110=4,1,0)</f>
        <v>0</v>
      </c>
      <c r="S110" s="206"/>
      <c r="T110" s="192"/>
      <c r="U110" s="207"/>
    </row>
    <row r="111" customFormat="false" ht="20.15" hidden="false" customHeight="true" outlineLevel="0" collapsed="false">
      <c r="B111" s="77"/>
      <c r="C111" s="192"/>
      <c r="D111" s="198"/>
      <c r="E111" s="178" t="s">
        <v>16</v>
      </c>
      <c r="F111" s="148" t="s">
        <v>17</v>
      </c>
      <c r="G111" s="305" t="n">
        <v>4</v>
      </c>
      <c r="H111" s="179" t="s">
        <v>476</v>
      </c>
      <c r="I111" s="149" t="n">
        <v>1</v>
      </c>
      <c r="J111" s="179" t="n">
        <v>68</v>
      </c>
      <c r="K111" s="179" t="s">
        <v>66</v>
      </c>
      <c r="L111" s="150" t="n">
        <f aca="false">IF(J111="",0,(J111/J114)*100)</f>
        <v>100</v>
      </c>
      <c r="M111" s="149" t="n">
        <v>1</v>
      </c>
      <c r="N111" s="151" t="n">
        <v>6</v>
      </c>
      <c r="O111" s="144" t="n">
        <f aca="false">IF(M111=1,1,0)</f>
        <v>1</v>
      </c>
      <c r="P111" s="145" t="n">
        <f aca="false">IF(M111=2,1,0)</f>
        <v>0</v>
      </c>
      <c r="Q111" s="145" t="n">
        <f aca="false">IF(M111=3,1,0)</f>
        <v>0</v>
      </c>
      <c r="R111" s="146" t="n">
        <f aca="false">IF(M111=4,1,0)</f>
        <v>0</v>
      </c>
      <c r="S111" s="206"/>
      <c r="T111" s="192"/>
      <c r="U111" s="211"/>
    </row>
    <row r="112" customFormat="false" ht="35.15" hidden="false" customHeight="true" outlineLevel="0" collapsed="false">
      <c r="B112" s="77"/>
      <c r="C112" s="192"/>
      <c r="D112" s="198"/>
      <c r="E112" s="105" t="s">
        <v>19</v>
      </c>
      <c r="F112" s="227" t="s">
        <v>20</v>
      </c>
      <c r="G112" s="306" t="n">
        <v>2</v>
      </c>
      <c r="H112" s="317" t="s">
        <v>477</v>
      </c>
      <c r="I112" s="228" t="n">
        <v>2</v>
      </c>
      <c r="J112" s="317" t="n">
        <v>64</v>
      </c>
      <c r="K112" s="228" t="s">
        <v>66</v>
      </c>
      <c r="L112" s="229" t="n">
        <f aca="false">IF(J112="",0,(J112/J114)*100)</f>
        <v>94.1176470588235</v>
      </c>
      <c r="M112" s="228" t="n">
        <v>2</v>
      </c>
      <c r="N112" s="230" t="n">
        <v>3</v>
      </c>
      <c r="O112" s="144" t="n">
        <f aca="false">IF(M112=1,1,0)</f>
        <v>0</v>
      </c>
      <c r="P112" s="145" t="n">
        <f aca="false">IF(M112=2,1,0)</f>
        <v>1</v>
      </c>
      <c r="Q112" s="145" t="n">
        <f aca="false">IF(M112=3,1,0)</f>
        <v>0</v>
      </c>
      <c r="R112" s="146" t="n">
        <f aca="false">IF(M112=4,1,0)</f>
        <v>0</v>
      </c>
      <c r="S112" s="206"/>
      <c r="T112" s="192"/>
      <c r="U112" s="211"/>
    </row>
    <row r="113" customFormat="false" ht="35.15" hidden="false" customHeight="true" outlineLevel="0" collapsed="false">
      <c r="B113" s="77"/>
      <c r="C113" s="192"/>
      <c r="D113" s="198"/>
      <c r="E113" s="232" t="s">
        <v>360</v>
      </c>
      <c r="F113" s="386" t="s">
        <v>361</v>
      </c>
      <c r="G113" s="307" t="n">
        <v>3</v>
      </c>
      <c r="H113" s="308" t="s">
        <v>478</v>
      </c>
      <c r="I113" s="234" t="n">
        <v>1</v>
      </c>
      <c r="J113" s="308" t="n">
        <v>39</v>
      </c>
      <c r="K113" s="308" t="s">
        <v>66</v>
      </c>
      <c r="L113" s="235" t="n">
        <f aca="false">IF(J113="",0,(J113/J114)*100)</f>
        <v>57.3529411764706</v>
      </c>
      <c r="M113" s="234" t="n">
        <v>4</v>
      </c>
      <c r="N113" s="236" t="n">
        <v>0</v>
      </c>
      <c r="O113" s="156" t="n">
        <f aca="false">IF(M113=1,1,0)</f>
        <v>0</v>
      </c>
      <c r="P113" s="157" t="n">
        <f aca="false">IF(M113=2,1,0)</f>
        <v>0</v>
      </c>
      <c r="Q113" s="157" t="n">
        <f aca="false">IF(M113=3,1,0)</f>
        <v>0</v>
      </c>
      <c r="R113" s="158" t="n">
        <f aca="false">IF(M113=4,1,0)</f>
        <v>1</v>
      </c>
      <c r="S113" s="206"/>
      <c r="T113" s="192"/>
      <c r="U113" s="211"/>
    </row>
    <row r="114" customFormat="false" ht="20.15" hidden="true" customHeight="true" outlineLevel="1" collapsed="false">
      <c r="B114" s="77"/>
      <c r="C114" s="192"/>
      <c r="D114" s="198"/>
      <c r="E114" s="198"/>
      <c r="F114" s="206"/>
      <c r="G114" s="206"/>
      <c r="H114" s="192"/>
      <c r="I114" s="213" t="s">
        <v>92</v>
      </c>
      <c r="J114" s="161" t="n">
        <f aca="false">MAX(J110:J113)</f>
        <v>68</v>
      </c>
      <c r="K114" s="214"/>
      <c r="L114" s="206"/>
      <c r="M114" s="192"/>
      <c r="N114" s="164" t="s">
        <v>93</v>
      </c>
      <c r="O114" s="165" t="n">
        <f aca="false">SUM(O110:O113)</f>
        <v>1</v>
      </c>
      <c r="P114" s="166" t="n">
        <f aca="false">SUM(P110:P113)</f>
        <v>1</v>
      </c>
      <c r="Q114" s="165" t="n">
        <f aca="false">SUM(Q110:Q113)</f>
        <v>1</v>
      </c>
      <c r="R114" s="187" t="n">
        <f aca="false">SUM(R110:R113)</f>
        <v>1</v>
      </c>
      <c r="S114" s="215"/>
      <c r="T114" s="192"/>
      <c r="U114" s="211"/>
    </row>
    <row r="115" customFormat="false" ht="20.15" hidden="false" customHeight="true" outlineLevel="0" collapsed="false">
      <c r="B115" s="77"/>
      <c r="C115" s="192"/>
      <c r="D115" s="216"/>
      <c r="E115" s="216"/>
      <c r="F115" s="192"/>
      <c r="G115" s="192"/>
      <c r="H115" s="192"/>
      <c r="I115" s="192"/>
      <c r="J115" s="192"/>
      <c r="K115" s="192"/>
      <c r="L115" s="192"/>
      <c r="M115" s="192"/>
      <c r="N115" s="192"/>
      <c r="O115" s="192"/>
      <c r="P115" s="192"/>
      <c r="Q115" s="192"/>
      <c r="R115" s="192"/>
      <c r="S115" s="192"/>
      <c r="T115" s="192"/>
      <c r="U115" s="211"/>
    </row>
    <row r="116" customFormat="false" ht="20.15" hidden="false" customHeight="true" outlineLevel="0" collapsed="false">
      <c r="B116" s="77"/>
      <c r="D116" s="190"/>
      <c r="E116" s="190"/>
      <c r="F116" s="190"/>
      <c r="G116" s="190"/>
      <c r="H116" s="191"/>
      <c r="I116" s="190"/>
      <c r="J116" s="190"/>
      <c r="K116" s="190"/>
      <c r="L116" s="14"/>
      <c r="M116" s="14"/>
      <c r="N116" s="14"/>
      <c r="O116" s="14"/>
      <c r="P116" s="14"/>
      <c r="Q116" s="14"/>
      <c r="R116" s="14"/>
      <c r="S116" s="14"/>
      <c r="U116" s="207"/>
    </row>
    <row r="117" customFormat="false" ht="20.15" hidden="false" customHeight="true" outlineLevel="0" collapsed="false">
      <c r="B117" s="77"/>
      <c r="C117" s="217"/>
      <c r="D117" s="217"/>
      <c r="E117" s="218" t="str">
        <f aca="false">IF(OR(L88="-",L88= ""),H88,L88)</f>
        <v>Im Jahr des Drachen</v>
      </c>
      <c r="F117" s="218"/>
      <c r="G117" s="218"/>
      <c r="H117" s="218"/>
      <c r="I117" s="218"/>
      <c r="J117" s="218"/>
      <c r="K117" s="218"/>
      <c r="L117" s="218"/>
      <c r="M117" s="218"/>
      <c r="N117" s="218"/>
      <c r="O117" s="219"/>
      <c r="P117" s="219"/>
      <c r="Q117" s="219"/>
      <c r="R117" s="219"/>
      <c r="S117" s="219"/>
      <c r="T117" s="217"/>
      <c r="U117" s="77"/>
    </row>
    <row r="118" customFormat="false" ht="50.15" hidden="false" customHeight="true" outlineLevel="0" collapsed="false">
      <c r="B118" s="77"/>
      <c r="C118" s="217"/>
      <c r="D118" s="219"/>
      <c r="E118" s="125" t="s">
        <v>52</v>
      </c>
      <c r="F118" s="126" t="s">
        <v>75</v>
      </c>
      <c r="G118" s="82" t="s">
        <v>76</v>
      </c>
      <c r="H118" s="81" t="s">
        <v>77</v>
      </c>
      <c r="I118" s="59" t="s">
        <v>78</v>
      </c>
      <c r="J118" s="81" t="s">
        <v>79</v>
      </c>
      <c r="K118" s="127" t="s">
        <v>80</v>
      </c>
      <c r="L118" s="81" t="s">
        <v>81</v>
      </c>
      <c r="M118" s="128" t="s">
        <v>82</v>
      </c>
      <c r="N118" s="129" t="s">
        <v>83</v>
      </c>
      <c r="O118" s="130" t="s">
        <v>84</v>
      </c>
      <c r="P118" s="131" t="s">
        <v>85</v>
      </c>
      <c r="Q118" s="131" t="s">
        <v>86</v>
      </c>
      <c r="R118" s="197" t="s">
        <v>87</v>
      </c>
      <c r="S118" s="219"/>
      <c r="T118" s="217"/>
      <c r="U118" s="77"/>
    </row>
    <row r="119" customFormat="false" ht="20.15" hidden="false" customHeight="true" outlineLevel="0" collapsed="false">
      <c r="B119" s="77"/>
      <c r="C119" s="217"/>
      <c r="D119" s="220"/>
      <c r="E119" s="86" t="s">
        <v>30</v>
      </c>
      <c r="F119" s="382" t="s">
        <v>32</v>
      </c>
      <c r="G119" s="304" t="n">
        <v>1</v>
      </c>
      <c r="H119" s="222" t="s">
        <v>66</v>
      </c>
      <c r="I119" s="221" t="n">
        <v>0</v>
      </c>
      <c r="J119" s="221" t="n">
        <v>73</v>
      </c>
      <c r="K119" s="221" t="s">
        <v>66</v>
      </c>
      <c r="L119" s="223" t="n">
        <f aca="false">IF(J119="",0,(J119/J123)*100)</f>
        <v>75.2577319587629</v>
      </c>
      <c r="M119" s="221" t="n">
        <v>4</v>
      </c>
      <c r="N119" s="224" t="n">
        <v>0</v>
      </c>
      <c r="O119" s="137" t="n">
        <f aca="false">IF(M119=1,1,0)</f>
        <v>0</v>
      </c>
      <c r="P119" s="138" t="n">
        <f aca="false">IF(M119=2,1,0)</f>
        <v>0</v>
      </c>
      <c r="Q119" s="138" t="n">
        <f aca="false">IF(M119=3,1,0)</f>
        <v>0</v>
      </c>
      <c r="R119" s="139" t="n">
        <f aca="false">IF(M119=4,1,0)</f>
        <v>1</v>
      </c>
      <c r="S119" s="225"/>
      <c r="T119" s="217"/>
      <c r="U119" s="77"/>
    </row>
    <row r="120" customFormat="false" ht="20.15" hidden="false" customHeight="true" outlineLevel="0" collapsed="false">
      <c r="B120" s="77"/>
      <c r="C120" s="217"/>
      <c r="D120" s="220"/>
      <c r="E120" s="226" t="s">
        <v>16</v>
      </c>
      <c r="F120" s="227" t="s">
        <v>17</v>
      </c>
      <c r="G120" s="306" t="n">
        <v>2</v>
      </c>
      <c r="H120" s="317" t="s">
        <v>66</v>
      </c>
      <c r="I120" s="228" t="n">
        <v>0</v>
      </c>
      <c r="J120" s="228" t="n">
        <v>96</v>
      </c>
      <c r="K120" s="317" t="s">
        <v>66</v>
      </c>
      <c r="L120" s="229" t="n">
        <f aca="false">IF(J120="",0,(J120/J123)*100)</f>
        <v>98.9690721649485</v>
      </c>
      <c r="M120" s="228" t="n">
        <v>2</v>
      </c>
      <c r="N120" s="230" t="n">
        <v>3</v>
      </c>
      <c r="O120" s="144" t="n">
        <f aca="false">IF(M120=1,1,0)</f>
        <v>0</v>
      </c>
      <c r="P120" s="145" t="n">
        <f aca="false">IF(M120=2,1,0)</f>
        <v>1</v>
      </c>
      <c r="Q120" s="145" t="n">
        <f aca="false">IF(M120=3,1,0)</f>
        <v>0</v>
      </c>
      <c r="R120" s="146" t="n">
        <f aca="false">IF(M120=4,1,0)</f>
        <v>0</v>
      </c>
      <c r="S120" s="225"/>
      <c r="T120" s="217"/>
      <c r="U120" s="77"/>
    </row>
    <row r="121" customFormat="false" ht="20.15" hidden="false" customHeight="true" outlineLevel="0" collapsed="false">
      <c r="B121" s="77"/>
      <c r="C121" s="217"/>
      <c r="D121" s="220"/>
      <c r="E121" s="147" t="s">
        <v>19</v>
      </c>
      <c r="F121" s="148" t="s">
        <v>20</v>
      </c>
      <c r="G121" s="305" t="n">
        <v>4</v>
      </c>
      <c r="H121" s="179" t="s">
        <v>66</v>
      </c>
      <c r="I121" s="149" t="n">
        <v>0</v>
      </c>
      <c r="J121" s="149" t="n">
        <v>97</v>
      </c>
      <c r="K121" s="149" t="s">
        <v>66</v>
      </c>
      <c r="L121" s="150" t="n">
        <f aca="false">IF(J121="",0,(J121/J123)*100)</f>
        <v>100</v>
      </c>
      <c r="M121" s="149" t="n">
        <v>1</v>
      </c>
      <c r="N121" s="151" t="n">
        <v>6</v>
      </c>
      <c r="O121" s="144" t="n">
        <f aca="false">IF(M121=1,1,0)</f>
        <v>1</v>
      </c>
      <c r="P121" s="145" t="n">
        <f aca="false">IF(M121=2,1,0)</f>
        <v>0</v>
      </c>
      <c r="Q121" s="145" t="n">
        <f aca="false">IF(M121=3,1,0)</f>
        <v>0</v>
      </c>
      <c r="R121" s="146" t="n">
        <f aca="false">IF(M121=4,1,0)</f>
        <v>0</v>
      </c>
      <c r="S121" s="225"/>
      <c r="T121" s="217"/>
      <c r="U121" s="77"/>
    </row>
    <row r="122" customFormat="false" ht="20.15" hidden="false" customHeight="true" outlineLevel="0" collapsed="false">
      <c r="B122" s="77"/>
      <c r="C122" s="217"/>
      <c r="D122" s="231"/>
      <c r="E122" s="232" t="s">
        <v>360</v>
      </c>
      <c r="F122" s="386" t="s">
        <v>361</v>
      </c>
      <c r="G122" s="307" t="n">
        <v>3</v>
      </c>
      <c r="H122" s="308" t="s">
        <v>66</v>
      </c>
      <c r="I122" s="234" t="n">
        <v>0</v>
      </c>
      <c r="J122" s="234" t="n">
        <v>86</v>
      </c>
      <c r="K122" s="308" t="s">
        <v>66</v>
      </c>
      <c r="L122" s="235" t="n">
        <f aca="false">IF(J122="",0,(J122/J123)*100)</f>
        <v>88.659793814433</v>
      </c>
      <c r="M122" s="234" t="n">
        <v>3</v>
      </c>
      <c r="N122" s="236" t="n">
        <v>1</v>
      </c>
      <c r="O122" s="156" t="n">
        <f aca="false">IF(M122=1,1,0)</f>
        <v>0</v>
      </c>
      <c r="P122" s="157" t="n">
        <f aca="false">IF(M122=2,1,0)</f>
        <v>0</v>
      </c>
      <c r="Q122" s="157" t="n">
        <f aca="false">IF(M122=3,1,0)</f>
        <v>1</v>
      </c>
      <c r="R122" s="158" t="n">
        <f aca="false">IF(M122=4,1,0)</f>
        <v>0</v>
      </c>
      <c r="S122" s="225"/>
      <c r="T122" s="217"/>
      <c r="U122" s="77"/>
    </row>
    <row r="123" customFormat="false" ht="20.15" hidden="true" customHeight="true" outlineLevel="1" collapsed="false">
      <c r="B123" s="77"/>
      <c r="C123" s="217"/>
      <c r="D123" s="220"/>
      <c r="E123" s="220"/>
      <c r="F123" s="225"/>
      <c r="G123" s="225"/>
      <c r="H123" s="217"/>
      <c r="I123" s="213" t="s">
        <v>92</v>
      </c>
      <c r="J123" s="161" t="n">
        <f aca="false">MAX(J119:J122)</f>
        <v>97</v>
      </c>
      <c r="K123" s="237"/>
      <c r="L123" s="225"/>
      <c r="M123" s="217"/>
      <c r="N123" s="164" t="s">
        <v>93</v>
      </c>
      <c r="O123" s="165" t="n">
        <f aca="false">SUM(O119:O122)</f>
        <v>1</v>
      </c>
      <c r="P123" s="166" t="n">
        <f aca="false">SUM(P119:P122)</f>
        <v>1</v>
      </c>
      <c r="Q123" s="165" t="n">
        <f aca="false">SUM(Q119:Q122)</f>
        <v>1</v>
      </c>
      <c r="R123" s="187" t="n">
        <f aca="false">SUM(R119:R122)</f>
        <v>1</v>
      </c>
      <c r="S123" s="238"/>
      <c r="T123" s="217"/>
      <c r="U123" s="77"/>
    </row>
    <row r="124" customFormat="false" ht="20.15" hidden="false" customHeight="true" outlineLevel="0" collapsed="false">
      <c r="B124" s="77"/>
      <c r="C124" s="217"/>
      <c r="D124" s="239"/>
      <c r="E124" s="239"/>
      <c r="F124" s="217"/>
      <c r="G124" s="217"/>
      <c r="H124" s="217"/>
      <c r="I124" s="217"/>
      <c r="J124" s="217"/>
      <c r="K124" s="217"/>
      <c r="L124" s="217"/>
      <c r="M124" s="217"/>
      <c r="N124" s="217"/>
      <c r="O124" s="217"/>
      <c r="P124" s="217"/>
      <c r="Q124" s="217"/>
      <c r="R124" s="217"/>
      <c r="S124" s="217"/>
      <c r="T124" s="217"/>
      <c r="U124" s="77"/>
    </row>
    <row r="125" customFormat="false" ht="20.15" hidden="false" customHeight="true" outlineLevel="0" collapsed="false">
      <c r="B125" s="77"/>
      <c r="D125" s="5"/>
      <c r="E125" s="5"/>
      <c r="F125" s="5"/>
      <c r="G125" s="5"/>
      <c r="H125" s="5"/>
      <c r="I125" s="5"/>
      <c r="J125" s="5"/>
      <c r="K125" s="14"/>
      <c r="L125" s="14"/>
      <c r="M125" s="14"/>
      <c r="N125" s="14"/>
      <c r="O125" s="14"/>
      <c r="P125" s="14"/>
      <c r="Q125" s="14"/>
      <c r="R125" s="14"/>
      <c r="S125" s="14"/>
      <c r="U125" s="77"/>
    </row>
    <row r="126" customFormat="false" ht="30" hidden="false" customHeight="true" outlineLevel="0" collapsed="false">
      <c r="B126" s="77"/>
      <c r="C126" s="240"/>
      <c r="D126" s="241" t="s">
        <v>135</v>
      </c>
      <c r="E126" s="241"/>
      <c r="F126" s="241"/>
      <c r="G126" s="241"/>
      <c r="H126" s="241"/>
      <c r="I126" s="241"/>
      <c r="J126" s="241"/>
      <c r="K126" s="241"/>
      <c r="L126" s="241"/>
      <c r="M126" s="241"/>
      <c r="N126" s="241"/>
      <c r="O126" s="241"/>
      <c r="P126" s="241"/>
      <c r="Q126" s="241"/>
      <c r="R126" s="241"/>
      <c r="S126" s="241"/>
      <c r="T126" s="240"/>
      <c r="U126" s="77"/>
    </row>
    <row r="127" customFormat="false" ht="50.15" hidden="false" customHeight="true" outlineLevel="0" collapsed="false">
      <c r="B127" s="77"/>
      <c r="C127" s="240"/>
      <c r="D127" s="242" t="s">
        <v>52</v>
      </c>
      <c r="E127" s="243" t="s">
        <v>53</v>
      </c>
      <c r="F127" s="244" t="s">
        <v>83</v>
      </c>
      <c r="G127" s="245" t="s">
        <v>102</v>
      </c>
      <c r="H127" s="246" t="s">
        <v>103</v>
      </c>
      <c r="I127" s="246"/>
      <c r="J127" s="247" t="s">
        <v>104</v>
      </c>
      <c r="K127" s="248" t="s">
        <v>105</v>
      </c>
      <c r="L127" s="244" t="s">
        <v>106</v>
      </c>
      <c r="M127" s="248" t="s">
        <v>107</v>
      </c>
      <c r="N127" s="244" t="s">
        <v>108</v>
      </c>
      <c r="O127" s="249"/>
      <c r="P127" s="250"/>
      <c r="Q127" s="250"/>
      <c r="R127" s="250"/>
      <c r="S127" s="243" t="s">
        <v>109</v>
      </c>
      <c r="T127" s="240"/>
      <c r="U127" s="77"/>
    </row>
    <row r="128" customFormat="false" ht="20.15" hidden="false" customHeight="true" outlineLevel="0" collapsed="false">
      <c r="B128" s="77"/>
      <c r="C128" s="240"/>
      <c r="D128" s="251" t="s">
        <v>19</v>
      </c>
      <c r="E128" s="252" t="s">
        <v>20</v>
      </c>
      <c r="F128" s="327" t="n">
        <f aca="false">K128*6+L128*3+M128*1+N128*0</f>
        <v>16</v>
      </c>
      <c r="G128" s="328" t="n">
        <v>0</v>
      </c>
      <c r="H128" s="328" t="s">
        <v>66</v>
      </c>
      <c r="I128" s="328"/>
      <c r="J128" s="327" t="n">
        <f aca="false">F128+G128</f>
        <v>16</v>
      </c>
      <c r="K128" s="327" t="n">
        <v>2</v>
      </c>
      <c r="L128" s="327" t="n">
        <v>1</v>
      </c>
      <c r="M128" s="327" t="n">
        <v>1</v>
      </c>
      <c r="N128" s="327" t="n">
        <v>0</v>
      </c>
      <c r="O128" s="16"/>
      <c r="P128" s="328"/>
      <c r="Q128" s="328"/>
      <c r="R128" s="328"/>
      <c r="S128" s="329" t="n">
        <f aca="false">(L94+L103+L112+L121)/4</f>
        <v>97.0207910750507</v>
      </c>
      <c r="T128" s="240"/>
      <c r="U128" s="77"/>
    </row>
    <row r="129" customFormat="false" ht="20.15" hidden="false" customHeight="true" outlineLevel="0" collapsed="false">
      <c r="B129" s="77"/>
      <c r="C129" s="240"/>
      <c r="D129" s="383" t="s">
        <v>16</v>
      </c>
      <c r="E129" s="384" t="s">
        <v>17</v>
      </c>
      <c r="F129" s="330" t="n">
        <f aca="false">K129*6+L129*3+M129*1+N129*0</f>
        <v>13</v>
      </c>
      <c r="G129" s="331" t="n">
        <v>0</v>
      </c>
      <c r="H129" s="331" t="s">
        <v>66</v>
      </c>
      <c r="I129" s="331"/>
      <c r="J129" s="330" t="n">
        <f aca="false">F129+G129</f>
        <v>13</v>
      </c>
      <c r="K129" s="330" t="n">
        <v>1</v>
      </c>
      <c r="L129" s="330" t="n">
        <v>2</v>
      </c>
      <c r="M129" s="330" t="n">
        <v>1</v>
      </c>
      <c r="N129" s="330" t="n">
        <v>0</v>
      </c>
      <c r="O129" s="332"/>
      <c r="P129" s="331"/>
      <c r="Q129" s="331"/>
      <c r="R129" s="331"/>
      <c r="S129" s="333" t="n">
        <f aca="false">(L93+L102+L111+L120)/4</f>
        <v>85.5694437391025</v>
      </c>
      <c r="T129" s="240"/>
      <c r="U129" s="77"/>
      <c r="W129" s="334"/>
      <c r="X129" s="334"/>
      <c r="Y129" s="23"/>
      <c r="Z129" s="23"/>
      <c r="AA129" s="335"/>
      <c r="AB129" s="335"/>
      <c r="AC129" s="336"/>
      <c r="AD129" s="336"/>
      <c r="AE129" s="336"/>
    </row>
    <row r="130" customFormat="false" ht="20.15" hidden="false" customHeight="true" outlineLevel="0" collapsed="false">
      <c r="B130" s="77"/>
      <c r="C130" s="240"/>
      <c r="D130" s="257" t="s">
        <v>30</v>
      </c>
      <c r="E130" s="384" t="s">
        <v>32</v>
      </c>
      <c r="F130" s="330" t="n">
        <f aca="false">K130*6+L130*3+M130*1+N130*0</f>
        <v>10</v>
      </c>
      <c r="G130" s="331" t="n">
        <v>0</v>
      </c>
      <c r="H130" s="331" t="s">
        <v>66</v>
      </c>
      <c r="I130" s="331"/>
      <c r="J130" s="330" t="n">
        <f aca="false">F130+G130</f>
        <v>10</v>
      </c>
      <c r="K130" s="330" t="n">
        <v>1</v>
      </c>
      <c r="L130" s="330" t="n">
        <v>1</v>
      </c>
      <c r="M130" s="330" t="n">
        <v>1</v>
      </c>
      <c r="N130" s="330" t="n">
        <v>1</v>
      </c>
      <c r="O130" s="332"/>
      <c r="P130" s="331"/>
      <c r="Q130" s="331"/>
      <c r="R130" s="331"/>
      <c r="S130" s="333" t="n">
        <f aca="false">(L92+L101+L110+L119)/4</f>
        <v>72.630959600335</v>
      </c>
      <c r="T130" s="240"/>
      <c r="U130" s="77"/>
    </row>
    <row r="131" customFormat="false" ht="20.15" hidden="false" customHeight="true" outlineLevel="0" collapsed="false">
      <c r="B131" s="77"/>
      <c r="C131" s="240"/>
      <c r="D131" s="265" t="s">
        <v>360</v>
      </c>
      <c r="E131" s="385" t="s">
        <v>361</v>
      </c>
      <c r="F131" s="338" t="n">
        <f aca="false">K131*6+L131*3+M131*1+N131*0</f>
        <v>1</v>
      </c>
      <c r="G131" s="339" t="n">
        <v>0</v>
      </c>
      <c r="H131" s="339" t="s">
        <v>66</v>
      </c>
      <c r="I131" s="339"/>
      <c r="J131" s="338" t="n">
        <f aca="false">F131+G131</f>
        <v>1</v>
      </c>
      <c r="K131" s="338" t="n">
        <v>0</v>
      </c>
      <c r="L131" s="338" t="n">
        <v>0</v>
      </c>
      <c r="M131" s="338" t="n">
        <v>1</v>
      </c>
      <c r="N131" s="338" t="n">
        <v>3</v>
      </c>
      <c r="O131" s="340"/>
      <c r="P131" s="339"/>
      <c r="Q131" s="339"/>
      <c r="R131" s="339"/>
      <c r="S131" s="341" t="n">
        <f aca="false">(L95+L104+L113+L122)/4</f>
        <v>56.3615581319623</v>
      </c>
      <c r="T131" s="240"/>
      <c r="U131" s="77"/>
    </row>
    <row r="132" customFormat="false" ht="20.15" hidden="false" customHeight="true" outlineLevel="0" collapsed="false">
      <c r="B132" s="77"/>
      <c r="C132" s="240"/>
      <c r="D132" s="240"/>
      <c r="E132" s="240"/>
      <c r="F132" s="401"/>
      <c r="G132" s="401"/>
      <c r="H132" s="401"/>
      <c r="I132" s="401"/>
      <c r="J132" s="401"/>
      <c r="K132" s="401"/>
      <c r="L132" s="401"/>
      <c r="M132" s="401"/>
      <c r="N132" s="401"/>
      <c r="O132" s="401"/>
      <c r="P132" s="401"/>
      <c r="Q132" s="401"/>
      <c r="R132" s="401"/>
      <c r="S132" s="401"/>
      <c r="T132" s="240"/>
      <c r="U132" s="77"/>
    </row>
    <row r="133" customFormat="false" ht="20.15" hidden="false" customHeight="true" outlineLevel="0" collapsed="false">
      <c r="B133" s="77"/>
      <c r="C133" s="77"/>
      <c r="D133" s="270"/>
      <c r="E133" s="270"/>
      <c r="F133" s="195"/>
      <c r="G133" s="195"/>
      <c r="H133" s="270"/>
      <c r="I133" s="270"/>
      <c r="J133" s="270"/>
      <c r="K133" s="207"/>
      <c r="L133" s="207"/>
      <c r="M133" s="207"/>
      <c r="N133" s="207"/>
      <c r="O133" s="207"/>
      <c r="P133" s="207"/>
      <c r="Q133" s="207"/>
      <c r="R133" s="207"/>
      <c r="S133" s="207"/>
      <c r="T133" s="77"/>
      <c r="U133" s="77"/>
    </row>
    <row r="134" customFormat="false" ht="20.15" hidden="false" customHeight="true" outlineLevel="0" collapsed="false"/>
    <row r="135" customFormat="false" ht="20.15" hidden="false" customHeight="true" outlineLevel="0" collapsed="false"/>
    <row r="136" customFormat="false" ht="20.15" hidden="false" customHeight="true" outlineLevel="0" collapsed="false">
      <c r="B136" s="77"/>
      <c r="C136" s="77"/>
      <c r="D136" s="78"/>
      <c r="E136" s="78"/>
      <c r="F136" s="78"/>
      <c r="G136" s="78"/>
      <c r="H136" s="77"/>
      <c r="I136" s="77"/>
      <c r="J136" s="77"/>
      <c r="K136" s="77"/>
      <c r="L136" s="77"/>
      <c r="M136" s="77"/>
      <c r="N136" s="77"/>
      <c r="O136" s="77"/>
      <c r="P136" s="77"/>
      <c r="Q136" s="77"/>
      <c r="R136" s="77"/>
      <c r="S136" s="77"/>
      <c r="T136" s="77"/>
      <c r="U136" s="77"/>
    </row>
    <row r="137" customFormat="false" ht="30" hidden="false" customHeight="true" outlineLevel="0" collapsed="false">
      <c r="B137" s="77"/>
      <c r="C137" s="79" t="s">
        <v>183</v>
      </c>
      <c r="D137" s="79"/>
      <c r="E137" s="79"/>
      <c r="F137" s="79"/>
      <c r="G137" s="79"/>
      <c r="H137" s="79"/>
      <c r="I137" s="79"/>
      <c r="J137" s="79"/>
      <c r="K137" s="79"/>
      <c r="L137" s="79"/>
      <c r="M137" s="79"/>
      <c r="N137" s="79"/>
      <c r="O137" s="79"/>
      <c r="P137" s="79"/>
      <c r="Q137" s="79"/>
      <c r="R137" s="79"/>
      <c r="S137" s="79"/>
      <c r="T137" s="79"/>
      <c r="U137" s="77"/>
    </row>
    <row r="138" customFormat="false" ht="20.15" hidden="false" customHeight="true" outlineLevel="0" collapsed="false">
      <c r="B138" s="77"/>
      <c r="D138" s="121"/>
      <c r="E138" s="121"/>
      <c r="U138" s="77"/>
    </row>
    <row r="139" customFormat="false" ht="20.15" hidden="false" customHeight="true" outlineLevel="0" collapsed="false">
      <c r="B139" s="77"/>
      <c r="D139" s="80" t="s">
        <v>52</v>
      </c>
      <c r="E139" s="81" t="s">
        <v>111</v>
      </c>
      <c r="F139" s="82" t="s">
        <v>12</v>
      </c>
      <c r="G139" s="275" t="s">
        <v>54</v>
      </c>
      <c r="H139" s="275"/>
      <c r="I139" s="275"/>
      <c r="J139" s="275"/>
      <c r="K139" s="81" t="s">
        <v>55</v>
      </c>
      <c r="L139" s="83" t="s">
        <v>56</v>
      </c>
      <c r="M139" s="83"/>
      <c r="N139" s="83"/>
      <c r="O139" s="83"/>
      <c r="P139" s="83"/>
      <c r="Q139" s="83"/>
      <c r="R139" s="83"/>
      <c r="S139" s="83"/>
      <c r="U139" s="77"/>
    </row>
    <row r="140" customFormat="false" ht="20.15" hidden="false" customHeight="true" outlineLevel="0" collapsed="false">
      <c r="B140" s="77"/>
      <c r="D140" s="80"/>
      <c r="E140" s="81"/>
      <c r="F140" s="81"/>
      <c r="G140" s="85" t="s">
        <v>57</v>
      </c>
      <c r="H140" s="84" t="s">
        <v>58</v>
      </c>
      <c r="I140" s="82" t="s">
        <v>59</v>
      </c>
      <c r="J140" s="82"/>
      <c r="K140" s="84" t="s">
        <v>60</v>
      </c>
      <c r="L140" s="276" t="s">
        <v>57</v>
      </c>
      <c r="M140" s="277" t="s">
        <v>61</v>
      </c>
      <c r="N140" s="82" t="s">
        <v>59</v>
      </c>
      <c r="O140" s="82"/>
      <c r="P140" s="82"/>
      <c r="Q140" s="82"/>
      <c r="R140" s="82"/>
      <c r="S140" s="82"/>
      <c r="U140" s="77"/>
    </row>
    <row r="141" customFormat="false" ht="35.15" hidden="false" customHeight="true" outlineLevel="0" collapsed="false">
      <c r="B141" s="77"/>
      <c r="D141" s="86" t="s">
        <v>39</v>
      </c>
      <c r="E141" s="87" t="s">
        <v>40</v>
      </c>
      <c r="F141" s="343" t="n">
        <v>1</v>
      </c>
      <c r="G141" s="344" t="s">
        <v>71</v>
      </c>
      <c r="H141" s="281" t="s">
        <v>479</v>
      </c>
      <c r="I141" s="91" t="s">
        <v>480</v>
      </c>
      <c r="J141" s="91"/>
      <c r="K141" s="345" t="s">
        <v>65</v>
      </c>
      <c r="L141" s="442" t="s">
        <v>66</v>
      </c>
      <c r="M141" s="443" t="s">
        <v>66</v>
      </c>
      <c r="N141" s="444" t="s">
        <v>66</v>
      </c>
      <c r="O141" s="444"/>
      <c r="P141" s="444"/>
      <c r="Q141" s="444"/>
      <c r="R141" s="444"/>
      <c r="S141" s="444"/>
      <c r="U141" s="77"/>
    </row>
    <row r="142" customFormat="false" ht="50.15" hidden="false" customHeight="true" outlineLevel="0" collapsed="false">
      <c r="B142" s="77"/>
      <c r="D142" s="209" t="s">
        <v>21</v>
      </c>
      <c r="E142" s="96" t="s">
        <v>22</v>
      </c>
      <c r="F142" s="346" t="n">
        <v>2</v>
      </c>
      <c r="G142" s="347" t="s">
        <v>481</v>
      </c>
      <c r="H142" s="99" t="s">
        <v>245</v>
      </c>
      <c r="I142" s="100" t="s">
        <v>482</v>
      </c>
      <c r="J142" s="100"/>
      <c r="K142" s="348" t="s">
        <v>65</v>
      </c>
      <c r="L142" s="110" t="s">
        <v>66</v>
      </c>
      <c r="M142" s="111" t="s">
        <v>66</v>
      </c>
      <c r="N142" s="445" t="s">
        <v>66</v>
      </c>
      <c r="O142" s="445"/>
      <c r="P142" s="445"/>
      <c r="Q142" s="445"/>
      <c r="R142" s="445"/>
      <c r="S142" s="445"/>
      <c r="U142" s="77"/>
    </row>
    <row r="143" customFormat="false" ht="50.15" hidden="false" customHeight="true" outlineLevel="0" collapsed="false">
      <c r="B143" s="77"/>
      <c r="D143" s="295" t="s">
        <v>33</v>
      </c>
      <c r="E143" s="410" t="s">
        <v>34</v>
      </c>
      <c r="F143" s="350" t="n">
        <v>3</v>
      </c>
      <c r="G143" s="446" t="s">
        <v>481</v>
      </c>
      <c r="H143" s="393" t="s">
        <v>483</v>
      </c>
      <c r="I143" s="394" t="s">
        <v>484</v>
      </c>
      <c r="J143" s="394"/>
      <c r="K143" s="395" t="s">
        <v>65</v>
      </c>
      <c r="L143" s="118" t="s">
        <v>66</v>
      </c>
      <c r="M143" s="119" t="s">
        <v>66</v>
      </c>
      <c r="N143" s="447" t="s">
        <v>66</v>
      </c>
      <c r="O143" s="447"/>
      <c r="P143" s="447"/>
      <c r="Q143" s="447"/>
      <c r="R143" s="447"/>
      <c r="S143" s="447"/>
      <c r="U143" s="77"/>
    </row>
    <row r="144" customFormat="false" ht="20.15" hidden="false" customHeight="true" outlineLevel="0" collapsed="false">
      <c r="B144" s="77"/>
      <c r="D144" s="121"/>
      <c r="E144" s="121"/>
      <c r="U144" s="77"/>
    </row>
    <row r="145" customFormat="false" ht="20.15" hidden="false" customHeight="true" outlineLevel="0" collapsed="false">
      <c r="B145" s="77"/>
      <c r="C145" s="122"/>
      <c r="D145" s="122"/>
      <c r="E145" s="123" t="str">
        <f aca="false">IF(OR(M141="-",M141= ""),H141,M141)</f>
        <v>On the Underground</v>
      </c>
      <c r="F145" s="123"/>
      <c r="G145" s="123"/>
      <c r="H145" s="123"/>
      <c r="I145" s="123"/>
      <c r="J145" s="123"/>
      <c r="K145" s="123"/>
      <c r="L145" s="123"/>
      <c r="M145" s="123"/>
      <c r="N145" s="123"/>
      <c r="O145" s="124"/>
      <c r="P145" s="124"/>
      <c r="Q145" s="124"/>
      <c r="R145" s="124"/>
      <c r="S145" s="124"/>
      <c r="T145" s="122"/>
      <c r="U145" s="77"/>
    </row>
    <row r="146" customFormat="false" ht="50.15" hidden="false" customHeight="true" outlineLevel="0" collapsed="false">
      <c r="B146" s="77"/>
      <c r="C146" s="122"/>
      <c r="D146" s="124"/>
      <c r="E146" s="521" t="s">
        <v>52</v>
      </c>
      <c r="F146" s="522" t="s">
        <v>75</v>
      </c>
      <c r="G146" s="523" t="s">
        <v>76</v>
      </c>
      <c r="H146" s="524" t="s">
        <v>77</v>
      </c>
      <c r="I146" s="525" t="s">
        <v>78</v>
      </c>
      <c r="J146" s="524" t="s">
        <v>79</v>
      </c>
      <c r="K146" s="526" t="s">
        <v>80</v>
      </c>
      <c r="L146" s="524" t="s">
        <v>81</v>
      </c>
      <c r="M146" s="527" t="s">
        <v>82</v>
      </c>
      <c r="N146" s="528" t="s">
        <v>83</v>
      </c>
      <c r="O146" s="130" t="s">
        <v>84</v>
      </c>
      <c r="P146" s="131" t="s">
        <v>85</v>
      </c>
      <c r="Q146" s="131" t="s">
        <v>86</v>
      </c>
      <c r="R146" s="124"/>
      <c r="S146" s="124"/>
      <c r="T146" s="122"/>
      <c r="U146" s="77"/>
    </row>
    <row r="147" customFormat="false" ht="20.15" hidden="false" customHeight="true" outlineLevel="0" collapsed="false">
      <c r="B147" s="77"/>
      <c r="C147" s="122"/>
      <c r="D147" s="152"/>
      <c r="E147" s="86" t="s">
        <v>39</v>
      </c>
      <c r="F147" s="87" t="s">
        <v>40</v>
      </c>
      <c r="G147" s="304" t="n">
        <v>1</v>
      </c>
      <c r="H147" s="222" t="s">
        <v>66</v>
      </c>
      <c r="I147" s="221" t="n">
        <v>0</v>
      </c>
      <c r="J147" s="222" t="n">
        <v>65</v>
      </c>
      <c r="K147" s="222" t="s">
        <v>66</v>
      </c>
      <c r="L147" s="223" t="n">
        <f aca="false">IF(J147="",0,(J147/J150)*100)</f>
        <v>98.4848484848485</v>
      </c>
      <c r="M147" s="221" t="n">
        <v>2</v>
      </c>
      <c r="N147" s="224" t="n">
        <v>3</v>
      </c>
      <c r="O147" s="138" t="n">
        <f aca="false">IF(M147=1,1,0)</f>
        <v>0</v>
      </c>
      <c r="P147" s="138" t="n">
        <f aca="false">IF(M147=2,1,0)</f>
        <v>1</v>
      </c>
      <c r="Q147" s="139" t="n">
        <f aca="false">IF(M147=3,1,0)</f>
        <v>0</v>
      </c>
      <c r="R147" s="140"/>
      <c r="S147" s="140"/>
      <c r="T147" s="122"/>
      <c r="U147" s="77"/>
    </row>
    <row r="148" customFormat="false" ht="20.15" hidden="false" customHeight="true" outlineLevel="0" collapsed="false">
      <c r="B148" s="77"/>
      <c r="C148" s="122"/>
      <c r="D148" s="132"/>
      <c r="E148" s="178" t="s">
        <v>21</v>
      </c>
      <c r="F148" s="148" t="s">
        <v>22</v>
      </c>
      <c r="G148" s="305" t="n">
        <v>2</v>
      </c>
      <c r="H148" s="179" t="s">
        <v>66</v>
      </c>
      <c r="I148" s="149" t="n">
        <v>0</v>
      </c>
      <c r="J148" s="179" t="n">
        <v>66</v>
      </c>
      <c r="K148" s="179" t="s">
        <v>66</v>
      </c>
      <c r="L148" s="150" t="n">
        <f aca="false">IF(J148="",0,(J148/J150)*100)</f>
        <v>100</v>
      </c>
      <c r="M148" s="149" t="n">
        <v>1</v>
      </c>
      <c r="N148" s="151" t="n">
        <v>6</v>
      </c>
      <c r="O148" s="145" t="n">
        <f aca="false">IF(M148=1,1,0)</f>
        <v>1</v>
      </c>
      <c r="P148" s="145" t="n">
        <f aca="false">IF(M148=2,1,0)</f>
        <v>0</v>
      </c>
      <c r="Q148" s="146" t="n">
        <f aca="false">IF(M148=3,1,0)</f>
        <v>0</v>
      </c>
      <c r="R148" s="140"/>
      <c r="S148" s="140"/>
      <c r="T148" s="122"/>
      <c r="U148" s="77"/>
    </row>
    <row r="149" customFormat="false" ht="20.15" hidden="false" customHeight="true" outlineLevel="0" collapsed="false">
      <c r="B149" s="77"/>
      <c r="C149" s="122"/>
      <c r="D149" s="132"/>
      <c r="E149" s="295" t="s">
        <v>33</v>
      </c>
      <c r="F149" s="410" t="s">
        <v>34</v>
      </c>
      <c r="G149" s="307" t="n">
        <v>3</v>
      </c>
      <c r="H149" s="308" t="s">
        <v>66</v>
      </c>
      <c r="I149" s="234" t="n">
        <v>0</v>
      </c>
      <c r="J149" s="308" t="n">
        <v>61</v>
      </c>
      <c r="K149" s="308" t="s">
        <v>66</v>
      </c>
      <c r="L149" s="235" t="n">
        <f aca="false">IF(J149="",0,(J149/J150)*100)</f>
        <v>92.4242424242424</v>
      </c>
      <c r="M149" s="234" t="n">
        <v>3</v>
      </c>
      <c r="N149" s="236" t="n">
        <v>0</v>
      </c>
      <c r="O149" s="157" t="n">
        <f aca="false">IF(M149=1,1,0)</f>
        <v>0</v>
      </c>
      <c r="P149" s="157" t="n">
        <f aca="false">IF(M149=2,1,0)</f>
        <v>0</v>
      </c>
      <c r="Q149" s="158" t="n">
        <f aca="false">IF(M149=3,1,0)</f>
        <v>1</v>
      </c>
      <c r="R149" s="140"/>
      <c r="S149" s="140"/>
      <c r="T149" s="122"/>
      <c r="U149" s="77"/>
    </row>
    <row r="150" customFormat="false" ht="20.15" hidden="true" customHeight="true" outlineLevel="1" collapsed="false">
      <c r="B150" s="77"/>
      <c r="C150" s="122"/>
      <c r="D150" s="152"/>
      <c r="E150" s="152"/>
      <c r="F150" s="140"/>
      <c r="G150" s="140"/>
      <c r="H150" s="122"/>
      <c r="I150" s="213" t="s">
        <v>92</v>
      </c>
      <c r="J150" s="161" t="n">
        <f aca="false">MAX(J147:J149)</f>
        <v>66</v>
      </c>
      <c r="K150" s="309"/>
      <c r="L150" s="167"/>
      <c r="M150" s="122"/>
      <c r="N150" s="164" t="s">
        <v>93</v>
      </c>
      <c r="O150" s="165" t="n">
        <f aca="false">SUM(O147:O149)</f>
        <v>1</v>
      </c>
      <c r="P150" s="166" t="n">
        <f aca="false">SUM(P147:P149)</f>
        <v>1</v>
      </c>
      <c r="Q150" s="165" t="n">
        <f aca="false">SUM(Q147:Q149)</f>
        <v>1</v>
      </c>
      <c r="R150" s="167"/>
      <c r="S150" s="167"/>
      <c r="T150" s="122"/>
      <c r="U150" s="77"/>
    </row>
    <row r="151" customFormat="false" ht="20.15" hidden="false" customHeight="true" outlineLevel="0" collapsed="false">
      <c r="B151" s="77"/>
      <c r="C151" s="122"/>
      <c r="D151" s="168"/>
      <c r="E151" s="168"/>
      <c r="F151" s="122"/>
      <c r="G151" s="122"/>
      <c r="H151" s="122"/>
      <c r="I151" s="122"/>
      <c r="J151" s="122"/>
      <c r="K151" s="122"/>
      <c r="L151" s="122"/>
      <c r="M151" s="122"/>
      <c r="N151" s="122"/>
      <c r="O151" s="122"/>
      <c r="P151" s="122"/>
      <c r="Q151" s="122"/>
      <c r="R151" s="122"/>
      <c r="S151" s="122"/>
      <c r="T151" s="122"/>
      <c r="U151" s="77"/>
    </row>
    <row r="152" customFormat="false" ht="20.15" hidden="false" customHeight="true" outlineLevel="0" collapsed="false">
      <c r="B152" s="77"/>
      <c r="U152" s="77"/>
    </row>
    <row r="153" customFormat="false" ht="20.15" hidden="false" customHeight="true" outlineLevel="0" collapsed="false">
      <c r="B153" s="77"/>
      <c r="C153" s="170"/>
      <c r="D153" s="170"/>
      <c r="E153" s="171" t="str">
        <f aca="false">IF(OR(L142="-",L142= ""),H142,L142)</f>
        <v>City of the Big Shoulders</v>
      </c>
      <c r="F153" s="171"/>
      <c r="G153" s="171"/>
      <c r="H153" s="171"/>
      <c r="I153" s="171"/>
      <c r="J153" s="171"/>
      <c r="K153" s="171"/>
      <c r="L153" s="171"/>
      <c r="M153" s="171"/>
      <c r="N153" s="171"/>
      <c r="O153" s="172"/>
      <c r="P153" s="172"/>
      <c r="Q153" s="172"/>
      <c r="R153" s="172"/>
      <c r="S153" s="172"/>
      <c r="T153" s="170"/>
      <c r="U153" s="77"/>
    </row>
    <row r="154" customFormat="false" ht="50.15" hidden="false" customHeight="true" outlineLevel="0" collapsed="false">
      <c r="B154" s="77"/>
      <c r="C154" s="170"/>
      <c r="D154" s="172"/>
      <c r="E154" s="521" t="s">
        <v>52</v>
      </c>
      <c r="F154" s="522" t="s">
        <v>75</v>
      </c>
      <c r="G154" s="523" t="s">
        <v>76</v>
      </c>
      <c r="H154" s="524" t="s">
        <v>77</v>
      </c>
      <c r="I154" s="525" t="s">
        <v>78</v>
      </c>
      <c r="J154" s="524" t="s">
        <v>79</v>
      </c>
      <c r="K154" s="526" t="s">
        <v>80</v>
      </c>
      <c r="L154" s="524" t="s">
        <v>81</v>
      </c>
      <c r="M154" s="527" t="s">
        <v>82</v>
      </c>
      <c r="N154" s="528" t="s">
        <v>83</v>
      </c>
      <c r="O154" s="130" t="s">
        <v>84</v>
      </c>
      <c r="P154" s="131" t="s">
        <v>85</v>
      </c>
      <c r="Q154" s="131" t="s">
        <v>86</v>
      </c>
      <c r="R154" s="172"/>
      <c r="S154" s="172"/>
      <c r="T154" s="170"/>
      <c r="U154" s="77"/>
    </row>
    <row r="155" customFormat="false" ht="20.15" hidden="false" customHeight="true" outlineLevel="0" collapsed="false">
      <c r="B155" s="77"/>
      <c r="C155" s="170"/>
      <c r="D155" s="177"/>
      <c r="E155" s="86" t="s">
        <v>39</v>
      </c>
      <c r="F155" s="87" t="s">
        <v>40</v>
      </c>
      <c r="G155" s="304" t="n">
        <v>3</v>
      </c>
      <c r="H155" s="221" t="s">
        <v>235</v>
      </c>
      <c r="I155" s="221" t="n">
        <v>175</v>
      </c>
      <c r="J155" s="221" t="n">
        <v>4047</v>
      </c>
      <c r="K155" s="221" t="s">
        <v>66</v>
      </c>
      <c r="L155" s="223" t="n">
        <f aca="false">IF(J155="",0,(J155/J158)*100)</f>
        <v>65.8584214808788</v>
      </c>
      <c r="M155" s="221" t="n">
        <v>2</v>
      </c>
      <c r="N155" s="224" t="n">
        <v>3</v>
      </c>
      <c r="O155" s="138" t="n">
        <f aca="false">IF(M155=1,1,0)</f>
        <v>0</v>
      </c>
      <c r="P155" s="138" t="n">
        <f aca="false">IF(M155=2,1,0)</f>
        <v>1</v>
      </c>
      <c r="Q155" s="139" t="n">
        <f aca="false">IF(M155=3,1,0)</f>
        <v>0</v>
      </c>
      <c r="R155" s="176"/>
      <c r="S155" s="176"/>
      <c r="T155" s="170"/>
      <c r="U155" s="77"/>
    </row>
    <row r="156" customFormat="false" ht="35.15" hidden="false" customHeight="true" outlineLevel="0" collapsed="false">
      <c r="B156" s="77"/>
      <c r="C156" s="170"/>
      <c r="D156" s="173"/>
      <c r="E156" s="178" t="s">
        <v>21</v>
      </c>
      <c r="F156" s="148" t="s">
        <v>22</v>
      </c>
      <c r="G156" s="305" t="n">
        <v>2</v>
      </c>
      <c r="H156" s="179" t="s">
        <v>314</v>
      </c>
      <c r="I156" s="149" t="n">
        <v>175</v>
      </c>
      <c r="J156" s="149" t="n">
        <v>6145</v>
      </c>
      <c r="K156" s="179" t="s">
        <v>66</v>
      </c>
      <c r="L156" s="150" t="n">
        <f aca="false">IF(J156="",0,(J156/J158)*100)</f>
        <v>100</v>
      </c>
      <c r="M156" s="149" t="n">
        <v>1</v>
      </c>
      <c r="N156" s="151" t="n">
        <v>6</v>
      </c>
      <c r="O156" s="145" t="n">
        <f aca="false">IF(M156=1,1,0)</f>
        <v>1</v>
      </c>
      <c r="P156" s="145" t="n">
        <f aca="false">IF(M156=2,1,0)</f>
        <v>0</v>
      </c>
      <c r="Q156" s="146" t="n">
        <f aca="false">IF(M156=3,1,0)</f>
        <v>0</v>
      </c>
      <c r="R156" s="176"/>
      <c r="S156" s="176"/>
      <c r="T156" s="170"/>
      <c r="U156" s="77"/>
    </row>
    <row r="157" customFormat="false" ht="20.15" hidden="false" customHeight="true" outlineLevel="0" collapsed="false">
      <c r="B157" s="77"/>
      <c r="C157" s="170"/>
      <c r="D157" s="177"/>
      <c r="E157" s="295" t="s">
        <v>33</v>
      </c>
      <c r="F157" s="410" t="s">
        <v>34</v>
      </c>
      <c r="G157" s="307" t="n">
        <v>1</v>
      </c>
      <c r="H157" s="234" t="s">
        <v>237</v>
      </c>
      <c r="I157" s="234" t="n">
        <v>175</v>
      </c>
      <c r="J157" s="234" t="n">
        <v>1879</v>
      </c>
      <c r="K157" s="234" t="s">
        <v>66</v>
      </c>
      <c r="L157" s="235" t="n">
        <f aca="false">IF(J157="",0,(J157/J158)*100)</f>
        <v>30.5777054515867</v>
      </c>
      <c r="M157" s="234" t="n">
        <v>3</v>
      </c>
      <c r="N157" s="236" t="n">
        <v>0</v>
      </c>
      <c r="O157" s="157" t="n">
        <f aca="false">IF(M157=1,1,0)</f>
        <v>0</v>
      </c>
      <c r="P157" s="157" t="n">
        <f aca="false">IF(M157=2,1,0)</f>
        <v>0</v>
      </c>
      <c r="Q157" s="158" t="n">
        <f aca="false">IF(M157=3,1,0)</f>
        <v>1</v>
      </c>
      <c r="R157" s="176"/>
      <c r="S157" s="176"/>
      <c r="T157" s="170"/>
      <c r="U157" s="77"/>
    </row>
    <row r="158" customFormat="false" ht="20.15" hidden="true" customHeight="true" outlineLevel="1" collapsed="false">
      <c r="B158" s="77"/>
      <c r="C158" s="170"/>
      <c r="D158" s="173"/>
      <c r="E158" s="173"/>
      <c r="F158" s="172"/>
      <c r="G158" s="172"/>
      <c r="H158" s="170"/>
      <c r="I158" s="213" t="s">
        <v>92</v>
      </c>
      <c r="J158" s="161" t="n">
        <f aca="false">MAX(J155:J157)</f>
        <v>6145</v>
      </c>
      <c r="K158" s="186"/>
      <c r="L158" s="176"/>
      <c r="M158" s="170"/>
      <c r="N158" s="164" t="s">
        <v>93</v>
      </c>
      <c r="O158" s="165" t="n">
        <f aca="false">SUM(O155:O157)</f>
        <v>1</v>
      </c>
      <c r="P158" s="166" t="n">
        <f aca="false">SUM(P155:P157)</f>
        <v>1</v>
      </c>
      <c r="Q158" s="165" t="n">
        <f aca="false">SUM(Q155:Q157)</f>
        <v>1</v>
      </c>
      <c r="R158" s="188"/>
      <c r="S158" s="188"/>
      <c r="T158" s="170"/>
      <c r="U158" s="77"/>
    </row>
    <row r="159" customFormat="false" ht="20.15" hidden="false" customHeight="true" outlineLevel="0" collapsed="false">
      <c r="B159" s="77"/>
      <c r="C159" s="170"/>
      <c r="D159" s="189"/>
      <c r="E159" s="189"/>
      <c r="F159" s="170"/>
      <c r="G159" s="170"/>
      <c r="H159" s="170"/>
      <c r="I159" s="170"/>
      <c r="J159" s="170"/>
      <c r="K159" s="170"/>
      <c r="L159" s="170"/>
      <c r="M159" s="170"/>
      <c r="N159" s="170"/>
      <c r="O159" s="170"/>
      <c r="P159" s="170"/>
      <c r="Q159" s="170"/>
      <c r="R159" s="170"/>
      <c r="S159" s="170"/>
      <c r="T159" s="170"/>
      <c r="U159" s="77"/>
    </row>
    <row r="160" customFormat="false" ht="20.15" hidden="false" customHeight="true" outlineLevel="0" collapsed="false">
      <c r="B160" s="77"/>
      <c r="D160" s="190"/>
      <c r="E160" s="190"/>
      <c r="F160" s="190"/>
      <c r="G160" s="190"/>
      <c r="H160" s="191"/>
      <c r="I160" s="190"/>
      <c r="J160" s="190"/>
      <c r="K160" s="14"/>
      <c r="L160" s="14"/>
      <c r="M160" s="14"/>
      <c r="N160" s="14"/>
      <c r="O160" s="14"/>
      <c r="P160" s="14"/>
      <c r="Q160" s="14"/>
      <c r="R160" s="14"/>
      <c r="S160" s="14"/>
      <c r="U160" s="77"/>
    </row>
    <row r="161" customFormat="false" ht="20.15" hidden="false" customHeight="true" outlineLevel="0" collapsed="false">
      <c r="B161" s="77"/>
      <c r="C161" s="192"/>
      <c r="D161" s="192"/>
      <c r="E161" s="193" t="str">
        <f aca="false">IF(OR(L143="-",L143= ""),H143,L143)</f>
        <v>Azul</v>
      </c>
      <c r="F161" s="193"/>
      <c r="G161" s="193"/>
      <c r="H161" s="193"/>
      <c r="I161" s="193"/>
      <c r="J161" s="193"/>
      <c r="K161" s="193"/>
      <c r="L161" s="193"/>
      <c r="M161" s="193"/>
      <c r="N161" s="193"/>
      <c r="O161" s="194"/>
      <c r="P161" s="194"/>
      <c r="Q161" s="194"/>
      <c r="R161" s="194"/>
      <c r="S161" s="194"/>
      <c r="T161" s="192"/>
      <c r="U161" s="195"/>
    </row>
    <row r="162" customFormat="false" ht="50.15" hidden="false" customHeight="true" outlineLevel="0" collapsed="false">
      <c r="B162" s="77"/>
      <c r="C162" s="192"/>
      <c r="D162" s="194"/>
      <c r="E162" s="521" t="s">
        <v>52</v>
      </c>
      <c r="F162" s="522" t="s">
        <v>75</v>
      </c>
      <c r="G162" s="523" t="s">
        <v>76</v>
      </c>
      <c r="H162" s="524" t="s">
        <v>77</v>
      </c>
      <c r="I162" s="525" t="s">
        <v>78</v>
      </c>
      <c r="J162" s="524" t="s">
        <v>79</v>
      </c>
      <c r="K162" s="526" t="s">
        <v>80</v>
      </c>
      <c r="L162" s="524" t="s">
        <v>81</v>
      </c>
      <c r="M162" s="527" t="s">
        <v>82</v>
      </c>
      <c r="N162" s="528" t="s">
        <v>83</v>
      </c>
      <c r="O162" s="130" t="s">
        <v>84</v>
      </c>
      <c r="P162" s="131" t="s">
        <v>85</v>
      </c>
      <c r="Q162" s="131" t="s">
        <v>86</v>
      </c>
      <c r="R162" s="194"/>
      <c r="S162" s="194"/>
      <c r="T162" s="192"/>
      <c r="U162" s="195"/>
    </row>
    <row r="163" customFormat="false" ht="20.15" hidden="false" customHeight="true" outlineLevel="0" collapsed="false">
      <c r="B163" s="77"/>
      <c r="C163" s="192"/>
      <c r="D163" s="208"/>
      <c r="E163" s="86" t="s">
        <v>39</v>
      </c>
      <c r="F163" s="87" t="s">
        <v>40</v>
      </c>
      <c r="G163" s="304" t="n">
        <v>3</v>
      </c>
      <c r="H163" s="222" t="s">
        <v>66</v>
      </c>
      <c r="I163" s="221" t="n">
        <v>0</v>
      </c>
      <c r="J163" s="222" t="n">
        <v>92</v>
      </c>
      <c r="K163" s="222" t="s">
        <v>66</v>
      </c>
      <c r="L163" s="223" t="n">
        <f aca="false">IF(J163="",0,(J163/J166)*100)</f>
        <v>92.9292929292929</v>
      </c>
      <c r="M163" s="221" t="n">
        <v>2</v>
      </c>
      <c r="N163" s="224" t="n">
        <v>3</v>
      </c>
      <c r="O163" s="138" t="n">
        <f aca="false">IF(M163=1,1,0)</f>
        <v>0</v>
      </c>
      <c r="P163" s="138" t="n">
        <f aca="false">IF(M163=2,1,0)</f>
        <v>1</v>
      </c>
      <c r="Q163" s="139" t="n">
        <f aca="false">IF(M163=3,1,0)</f>
        <v>0</v>
      </c>
      <c r="R163" s="206"/>
      <c r="S163" s="206"/>
      <c r="T163" s="192"/>
      <c r="U163" s="207"/>
    </row>
    <row r="164" customFormat="false" ht="20.15" hidden="false" customHeight="true" outlineLevel="0" collapsed="false">
      <c r="B164" s="77"/>
      <c r="C164" s="192"/>
      <c r="D164" s="198"/>
      <c r="E164" s="209" t="s">
        <v>21</v>
      </c>
      <c r="F164" s="96" t="s">
        <v>22</v>
      </c>
      <c r="G164" s="306" t="n">
        <v>2</v>
      </c>
      <c r="H164" s="317" t="s">
        <v>66</v>
      </c>
      <c r="I164" s="228" t="n">
        <v>0</v>
      </c>
      <c r="J164" s="317" t="n">
        <v>50</v>
      </c>
      <c r="K164" s="317" t="s">
        <v>66</v>
      </c>
      <c r="L164" s="229" t="n">
        <f aca="false">IF(J164="",0,(J164/J166)*100)</f>
        <v>50.5050505050505</v>
      </c>
      <c r="M164" s="228" t="n">
        <v>3</v>
      </c>
      <c r="N164" s="230" t="n">
        <v>0</v>
      </c>
      <c r="O164" s="145" t="n">
        <f aca="false">IF(M164=1,1,0)</f>
        <v>0</v>
      </c>
      <c r="P164" s="145" t="n">
        <f aca="false">IF(M164=2,1,0)</f>
        <v>0</v>
      </c>
      <c r="Q164" s="146" t="n">
        <f aca="false">IF(M164=3,1,0)</f>
        <v>1</v>
      </c>
      <c r="R164" s="206"/>
      <c r="S164" s="206"/>
      <c r="T164" s="192"/>
      <c r="U164" s="211"/>
    </row>
    <row r="165" customFormat="false" ht="20.15" hidden="false" customHeight="true" outlineLevel="0" collapsed="false">
      <c r="B165" s="77"/>
      <c r="C165" s="192"/>
      <c r="D165" s="198"/>
      <c r="E165" s="318" t="s">
        <v>33</v>
      </c>
      <c r="F165" s="391" t="s">
        <v>34</v>
      </c>
      <c r="G165" s="320" t="n">
        <v>1</v>
      </c>
      <c r="H165" s="321" t="s">
        <v>66</v>
      </c>
      <c r="I165" s="322" t="n">
        <v>0</v>
      </c>
      <c r="J165" s="321" t="n">
        <v>99</v>
      </c>
      <c r="K165" s="321" t="s">
        <v>66</v>
      </c>
      <c r="L165" s="323" t="n">
        <f aca="false">IF(J165="",0,(J165/J166)*100)</f>
        <v>100</v>
      </c>
      <c r="M165" s="322" t="n">
        <v>1</v>
      </c>
      <c r="N165" s="324" t="n">
        <v>6</v>
      </c>
      <c r="O165" s="157" t="n">
        <f aca="false">IF(M165=1,1,0)</f>
        <v>1</v>
      </c>
      <c r="P165" s="157" t="n">
        <f aca="false">IF(M165=2,1,0)</f>
        <v>0</v>
      </c>
      <c r="Q165" s="158" t="n">
        <f aca="false">IF(M165=3,1,0)</f>
        <v>0</v>
      </c>
      <c r="R165" s="206"/>
      <c r="S165" s="206"/>
      <c r="T165" s="192"/>
      <c r="U165" s="211"/>
    </row>
    <row r="166" customFormat="false" ht="20.15" hidden="true" customHeight="true" outlineLevel="1" collapsed="false">
      <c r="B166" s="77"/>
      <c r="C166" s="192"/>
      <c r="D166" s="198"/>
      <c r="E166" s="198"/>
      <c r="F166" s="206"/>
      <c r="G166" s="206"/>
      <c r="H166" s="192"/>
      <c r="I166" s="213" t="s">
        <v>92</v>
      </c>
      <c r="J166" s="161" t="n">
        <f aca="false">MAX(J163:J165)</f>
        <v>99</v>
      </c>
      <c r="K166" s="214"/>
      <c r="L166" s="206"/>
      <c r="M166" s="192"/>
      <c r="N166" s="164" t="s">
        <v>93</v>
      </c>
      <c r="O166" s="165" t="n">
        <f aca="false">SUM(O163:O165)</f>
        <v>1</v>
      </c>
      <c r="P166" s="166" t="n">
        <f aca="false">SUM(P163:P165)</f>
        <v>1</v>
      </c>
      <c r="Q166" s="165" t="n">
        <f aca="false">SUM(Q163:Q165)</f>
        <v>1</v>
      </c>
      <c r="R166" s="215"/>
      <c r="S166" s="215"/>
      <c r="T166" s="192"/>
      <c r="U166" s="211"/>
    </row>
    <row r="167" customFormat="false" ht="20.15" hidden="false" customHeight="true" outlineLevel="0" collapsed="false">
      <c r="B167" s="77"/>
      <c r="C167" s="192"/>
      <c r="D167" s="216"/>
      <c r="E167" s="216"/>
      <c r="F167" s="192"/>
      <c r="G167" s="192"/>
      <c r="H167" s="192"/>
      <c r="I167" s="192"/>
      <c r="J167" s="192"/>
      <c r="K167" s="192"/>
      <c r="L167" s="192"/>
      <c r="M167" s="192"/>
      <c r="N167" s="192"/>
      <c r="O167" s="192"/>
      <c r="P167" s="192"/>
      <c r="Q167" s="192"/>
      <c r="R167" s="192"/>
      <c r="S167" s="192"/>
      <c r="T167" s="192"/>
      <c r="U167" s="211"/>
    </row>
    <row r="168" customFormat="false" ht="20.15" hidden="false" customHeight="true" outlineLevel="0" collapsed="false">
      <c r="B168" s="77"/>
      <c r="D168" s="5"/>
      <c r="E168" s="5"/>
      <c r="F168" s="5"/>
      <c r="G168" s="5"/>
      <c r="H168" s="5"/>
      <c r="I168" s="5"/>
      <c r="J168" s="5"/>
      <c r="K168" s="14"/>
      <c r="L168" s="14"/>
      <c r="M168" s="14"/>
      <c r="N168" s="14"/>
      <c r="O168" s="14"/>
      <c r="P168" s="14"/>
      <c r="Q168" s="14"/>
      <c r="R168" s="14"/>
      <c r="S168" s="14"/>
      <c r="U168" s="77"/>
    </row>
    <row r="169" customFormat="false" ht="30" hidden="false" customHeight="true" outlineLevel="0" collapsed="false">
      <c r="B169" s="77"/>
      <c r="C169" s="240"/>
      <c r="D169" s="241" t="s">
        <v>149</v>
      </c>
      <c r="E169" s="241"/>
      <c r="F169" s="241"/>
      <c r="G169" s="241"/>
      <c r="H169" s="241"/>
      <c r="I169" s="241"/>
      <c r="J169" s="241"/>
      <c r="K169" s="241"/>
      <c r="L169" s="241"/>
      <c r="M169" s="241"/>
      <c r="N169" s="241"/>
      <c r="O169" s="398"/>
      <c r="P169" s="398"/>
      <c r="Q169" s="398"/>
      <c r="R169" s="398"/>
      <c r="S169" s="398"/>
      <c r="T169" s="240"/>
      <c r="U169" s="77"/>
    </row>
    <row r="170" customFormat="false" ht="50.15" hidden="false" customHeight="true" outlineLevel="0" collapsed="false">
      <c r="B170" s="77"/>
      <c r="C170" s="240"/>
      <c r="D170" s="242" t="s">
        <v>52</v>
      </c>
      <c r="E170" s="243" t="s">
        <v>53</v>
      </c>
      <c r="F170" s="244" t="s">
        <v>83</v>
      </c>
      <c r="G170" s="245" t="s">
        <v>102</v>
      </c>
      <c r="H170" s="246" t="s">
        <v>103</v>
      </c>
      <c r="I170" s="246"/>
      <c r="J170" s="247" t="s">
        <v>104</v>
      </c>
      <c r="K170" s="248" t="s">
        <v>105</v>
      </c>
      <c r="L170" s="244" t="s">
        <v>106</v>
      </c>
      <c r="M170" s="248" t="s">
        <v>107</v>
      </c>
      <c r="N170" s="243" t="s">
        <v>109</v>
      </c>
      <c r="O170" s="399"/>
      <c r="P170" s="400"/>
      <c r="Q170" s="400"/>
      <c r="R170" s="401"/>
      <c r="S170" s="401"/>
      <c r="T170" s="240"/>
      <c r="U170" s="77"/>
    </row>
    <row r="171" customFormat="false" ht="20.15" hidden="false" customHeight="true" outlineLevel="0" collapsed="false">
      <c r="B171" s="77"/>
      <c r="C171" s="240"/>
      <c r="D171" s="326" t="s">
        <v>21</v>
      </c>
      <c r="E171" s="252" t="s">
        <v>22</v>
      </c>
      <c r="F171" s="327" t="n">
        <f aca="false">K171*6+L171*3+M171*0</f>
        <v>12</v>
      </c>
      <c r="G171" s="328" t="n">
        <v>0</v>
      </c>
      <c r="H171" s="328" t="s">
        <v>66</v>
      </c>
      <c r="I171" s="328"/>
      <c r="J171" s="327" t="n">
        <f aca="false">F171+G171</f>
        <v>12</v>
      </c>
      <c r="K171" s="327" t="n">
        <v>2</v>
      </c>
      <c r="L171" s="327" t="n">
        <v>0</v>
      </c>
      <c r="M171" s="327" t="n">
        <v>1</v>
      </c>
      <c r="N171" s="329" t="n">
        <f aca="false">(L148+L156+L164)/3</f>
        <v>83.5016835016835</v>
      </c>
      <c r="O171" s="402"/>
      <c r="P171" s="403"/>
      <c r="Q171" s="403"/>
      <c r="R171" s="401"/>
      <c r="S171" s="401"/>
      <c r="T171" s="240"/>
      <c r="U171" s="77"/>
    </row>
    <row r="172" customFormat="false" ht="20.15" hidden="false" customHeight="true" outlineLevel="0" collapsed="false">
      <c r="B172" s="77"/>
      <c r="C172" s="240"/>
      <c r="D172" s="257" t="s">
        <v>39</v>
      </c>
      <c r="E172" s="258" t="s">
        <v>40</v>
      </c>
      <c r="F172" s="330" t="n">
        <f aca="false">K172*6+L172*3+M172*0</f>
        <v>9</v>
      </c>
      <c r="G172" s="331" t="n">
        <v>0</v>
      </c>
      <c r="H172" s="331" t="s">
        <v>66</v>
      </c>
      <c r="I172" s="331"/>
      <c r="J172" s="330" t="n">
        <f aca="false">F172+G172</f>
        <v>9</v>
      </c>
      <c r="K172" s="330" t="n">
        <v>0</v>
      </c>
      <c r="L172" s="330" t="n">
        <v>3</v>
      </c>
      <c r="M172" s="330" t="n">
        <v>0</v>
      </c>
      <c r="N172" s="333" t="n">
        <f aca="false">(L147+L155+L163)/3</f>
        <v>85.7575209650067</v>
      </c>
      <c r="O172" s="402"/>
      <c r="P172" s="403"/>
      <c r="Q172" s="403"/>
      <c r="R172" s="401"/>
      <c r="S172" s="401"/>
      <c r="T172" s="240"/>
      <c r="U172" s="77"/>
    </row>
    <row r="173" customFormat="false" ht="20.15" hidden="false" customHeight="true" outlineLevel="0" collapsed="false">
      <c r="B173" s="77"/>
      <c r="C173" s="240"/>
      <c r="D173" s="337" t="s">
        <v>33</v>
      </c>
      <c r="E173" s="385" t="s">
        <v>34</v>
      </c>
      <c r="F173" s="338" t="n">
        <f aca="false">K173*6+L173*3+M173*0</f>
        <v>6</v>
      </c>
      <c r="G173" s="339" t="n">
        <v>0</v>
      </c>
      <c r="H173" s="339" t="s">
        <v>66</v>
      </c>
      <c r="I173" s="339"/>
      <c r="J173" s="338" t="n">
        <f aca="false">F173+G173</f>
        <v>6</v>
      </c>
      <c r="K173" s="338" t="n">
        <v>1</v>
      </c>
      <c r="L173" s="338" t="n">
        <v>0</v>
      </c>
      <c r="M173" s="338" t="n">
        <v>2</v>
      </c>
      <c r="N173" s="341" t="n">
        <f aca="false">(L149+L157+L165)/3</f>
        <v>74.3339826252764</v>
      </c>
      <c r="O173" s="402"/>
      <c r="P173" s="403"/>
      <c r="Q173" s="403"/>
      <c r="R173" s="401"/>
      <c r="S173" s="401"/>
      <c r="T173" s="240"/>
      <c r="U173" s="77"/>
    </row>
    <row r="174" customFormat="false" ht="20.15" hidden="false" customHeight="true" outlineLevel="0" collapsed="false">
      <c r="B174" s="77"/>
      <c r="C174" s="240"/>
      <c r="D174" s="240"/>
      <c r="E174" s="240"/>
      <c r="F174" s="240"/>
      <c r="G174" s="240"/>
      <c r="H174" s="240"/>
      <c r="I174" s="240"/>
      <c r="J174" s="240"/>
      <c r="K174" s="240"/>
      <c r="L174" s="240"/>
      <c r="M174" s="240"/>
      <c r="N174" s="240"/>
      <c r="O174" s="240"/>
      <c r="P174" s="240"/>
      <c r="Q174" s="240"/>
      <c r="R174" s="240"/>
      <c r="S174" s="240"/>
      <c r="T174" s="240"/>
      <c r="U174" s="77"/>
    </row>
    <row r="175" customFormat="false" ht="20.15" hidden="false" customHeight="true" outlineLevel="0" collapsed="false">
      <c r="B175" s="77"/>
      <c r="C175" s="77"/>
      <c r="D175" s="270"/>
      <c r="E175" s="270"/>
      <c r="F175" s="195"/>
      <c r="G175" s="195"/>
      <c r="H175" s="270"/>
      <c r="I175" s="270"/>
      <c r="J175" s="270"/>
      <c r="K175" s="207"/>
      <c r="L175" s="207"/>
      <c r="M175" s="207"/>
      <c r="N175" s="207"/>
      <c r="O175" s="207"/>
      <c r="P175" s="207"/>
      <c r="Q175" s="207"/>
      <c r="R175" s="207"/>
      <c r="S175" s="207"/>
      <c r="T175" s="77"/>
      <c r="U175" s="77"/>
    </row>
  </sheetData>
  <mergeCells count="112">
    <mergeCell ref="A1:N2"/>
    <mergeCell ref="B4:J4"/>
    <mergeCell ref="L4:N4"/>
    <mergeCell ref="B5:C5"/>
    <mergeCell ref="B6:C6"/>
    <mergeCell ref="M6:M9"/>
    <mergeCell ref="B7:C7"/>
    <mergeCell ref="B8:C8"/>
    <mergeCell ref="B9:C9"/>
    <mergeCell ref="B10:C10"/>
    <mergeCell ref="M10:M13"/>
    <mergeCell ref="B11:C11"/>
    <mergeCell ref="B12:C12"/>
    <mergeCell ref="B13:C13"/>
    <mergeCell ref="B14:C14"/>
    <mergeCell ref="M14:M16"/>
    <mergeCell ref="B15:C15"/>
    <mergeCell ref="B16:C16"/>
    <mergeCell ref="B17:C17"/>
    <mergeCell ref="L17:M17"/>
    <mergeCell ref="B18:I18"/>
    <mergeCell ref="B19:C19"/>
    <mergeCell ref="B20:C20"/>
    <mergeCell ref="B21:C21"/>
    <mergeCell ref="B22:C22"/>
    <mergeCell ref="C25:T25"/>
    <mergeCell ref="D27:D28"/>
    <mergeCell ref="E27:E28"/>
    <mergeCell ref="F27:F28"/>
    <mergeCell ref="G27:J27"/>
    <mergeCell ref="L27:S27"/>
    <mergeCell ref="I28:J28"/>
    <mergeCell ref="N28:S28"/>
    <mergeCell ref="I29:J29"/>
    <mergeCell ref="N29:S29"/>
    <mergeCell ref="I30:J30"/>
    <mergeCell ref="N30:S30"/>
    <mergeCell ref="I31:J31"/>
    <mergeCell ref="N31:S31"/>
    <mergeCell ref="I32:J32"/>
    <mergeCell ref="N32:S32"/>
    <mergeCell ref="E34:N34"/>
    <mergeCell ref="F40:G40"/>
    <mergeCell ref="F41:G41"/>
    <mergeCell ref="E43:N43"/>
    <mergeCell ref="F49:G49"/>
    <mergeCell ref="E52:N52"/>
    <mergeCell ref="F58:G58"/>
    <mergeCell ref="E61:N61"/>
    <mergeCell ref="F67:G67"/>
    <mergeCell ref="D70:S70"/>
    <mergeCell ref="H71:I71"/>
    <mergeCell ref="H72:I72"/>
    <mergeCell ref="H73:I73"/>
    <mergeCell ref="H74:I74"/>
    <mergeCell ref="H75:I75"/>
    <mergeCell ref="C81:T81"/>
    <mergeCell ref="D83:D84"/>
    <mergeCell ref="E83:E84"/>
    <mergeCell ref="F83:F84"/>
    <mergeCell ref="G83:J83"/>
    <mergeCell ref="L83:S83"/>
    <mergeCell ref="I84:J84"/>
    <mergeCell ref="N84:S84"/>
    <mergeCell ref="I85:J85"/>
    <mergeCell ref="N85:S85"/>
    <mergeCell ref="I86:J86"/>
    <mergeCell ref="N86:S86"/>
    <mergeCell ref="I87:J87"/>
    <mergeCell ref="N87:S87"/>
    <mergeCell ref="I88:J88"/>
    <mergeCell ref="N88:S88"/>
    <mergeCell ref="E90:N90"/>
    <mergeCell ref="F96:G96"/>
    <mergeCell ref="E99:N99"/>
    <mergeCell ref="F105:G105"/>
    <mergeCell ref="E108:N108"/>
    <mergeCell ref="F114:G114"/>
    <mergeCell ref="E117:N117"/>
    <mergeCell ref="F123:G123"/>
    <mergeCell ref="D126:S126"/>
    <mergeCell ref="H127:I127"/>
    <mergeCell ref="H128:I128"/>
    <mergeCell ref="H129:I129"/>
    <mergeCell ref="Y129:Z129"/>
    <mergeCell ref="H130:I130"/>
    <mergeCell ref="H131:I131"/>
    <mergeCell ref="C137:T137"/>
    <mergeCell ref="D139:D140"/>
    <mergeCell ref="E139:E140"/>
    <mergeCell ref="F139:F140"/>
    <mergeCell ref="G139:J139"/>
    <mergeCell ref="L139:S139"/>
    <mergeCell ref="I140:J140"/>
    <mergeCell ref="N140:S140"/>
    <mergeCell ref="I141:J141"/>
    <mergeCell ref="N141:S141"/>
    <mergeCell ref="I142:J142"/>
    <mergeCell ref="N142:S142"/>
    <mergeCell ref="I143:J143"/>
    <mergeCell ref="N143:S143"/>
    <mergeCell ref="E145:N145"/>
    <mergeCell ref="F150:G150"/>
    <mergeCell ref="E153:N153"/>
    <mergeCell ref="F158:G158"/>
    <mergeCell ref="E161:N161"/>
    <mergeCell ref="F166:G166"/>
    <mergeCell ref="D169:N169"/>
    <mergeCell ref="H170:I170"/>
    <mergeCell ref="H171:I171"/>
    <mergeCell ref="H172:I172"/>
    <mergeCell ref="H173:I173"/>
  </mergeCells>
  <conditionalFormatting sqref="B6:J16">
    <cfRule type="expression" priority="2" aboveAverage="0" equalAverage="0" bottom="0" percent="0" rank="0" text="" dxfId="76">
      <formula>$J6="Ja"</formula>
    </cfRule>
    <cfRule type="expression" priority="3" aboveAverage="0" equalAverage="0" bottom="0" percent="0" rank="0" text="" dxfId="77">
      <formula>$J6="Nein"</formula>
    </cfRule>
  </conditionalFormatting>
  <conditionalFormatting sqref="D29:E32">
    <cfRule type="expression" priority="4" aboveAverage="0" equalAverage="0" bottom="0" percent="0" rank="0" text="" dxfId="78">
      <formula>$J29="Ja"</formula>
    </cfRule>
    <cfRule type="expression" priority="5" aboveAverage="0" equalAverage="0" bottom="0" percent="0" rank="0" text="" dxfId="79">
      <formula>$J29="Nein"</formula>
    </cfRule>
  </conditionalFormatting>
  <conditionalFormatting sqref="E36:F39">
    <cfRule type="expression" priority="6" aboveAverage="0" equalAverage="0" bottom="0" percent="0" rank="0" text="" dxfId="80">
      <formula>$J36="Ja"</formula>
    </cfRule>
    <cfRule type="expression" priority="7" aboveAverage="0" equalAverage="0" bottom="0" percent="0" rank="0" text="" dxfId="81">
      <formula>$J36="Nein"</formula>
    </cfRule>
  </conditionalFormatting>
  <conditionalFormatting sqref="E45:F48">
    <cfRule type="expression" priority="8" aboveAverage="0" equalAverage="0" bottom="0" percent="0" rank="0" text="" dxfId="82">
      <formula>$J45="Ja"</formula>
    </cfRule>
    <cfRule type="expression" priority="9" aboveAverage="0" equalAverage="0" bottom="0" percent="0" rank="0" text="" dxfId="83">
      <formula>$J45="Nein"</formula>
    </cfRule>
  </conditionalFormatting>
  <conditionalFormatting sqref="E54:F57">
    <cfRule type="expression" priority="10" aboveAverage="0" equalAverage="0" bottom="0" percent="0" rank="0" text="" dxfId="84">
      <formula>$J54="Ja"</formula>
    </cfRule>
    <cfRule type="expression" priority="11" aboveAverage="0" equalAverage="0" bottom="0" percent="0" rank="0" text="" dxfId="85">
      <formula>$J54="Nein"</formula>
    </cfRule>
  </conditionalFormatting>
  <conditionalFormatting sqref="E63:F66">
    <cfRule type="expression" priority="12" aboveAverage="0" equalAverage="0" bottom="0" percent="0" rank="0" text="" dxfId="86">
      <formula>$J63="Ja"</formula>
    </cfRule>
    <cfRule type="expression" priority="13" aboveAverage="0" equalAverage="0" bottom="0" percent="0" rank="0" text="" dxfId="87">
      <formula>$J63="Nein"</formula>
    </cfRule>
  </conditionalFormatting>
  <conditionalFormatting sqref="D72:E72">
    <cfRule type="expression" priority="14" aboveAverage="0" equalAverage="0" bottom="0" percent="0" rank="0" text="" dxfId="88">
      <formula>$J72="Ja"</formula>
    </cfRule>
    <cfRule type="expression" priority="15" aboveAverage="0" equalAverage="0" bottom="0" percent="0" rank="0" text="" dxfId="89">
      <formula>$J72="Nein"</formula>
    </cfRule>
  </conditionalFormatting>
  <conditionalFormatting sqref="D173:E173">
    <cfRule type="expression" priority="16" aboveAverage="0" equalAverage="0" bottom="0" percent="0" rank="0" text="" dxfId="90">
      <formula>$J173="Ja"</formula>
    </cfRule>
    <cfRule type="expression" priority="17" aboveAverage="0" equalAverage="0" bottom="0" percent="0" rank="0" text="" dxfId="91">
      <formula>$J173="Nein"</formula>
    </cfRule>
  </conditionalFormatting>
  <conditionalFormatting sqref="D73:E73">
    <cfRule type="expression" priority="18" aboveAverage="0" equalAverage="0" bottom="0" percent="0" rank="0" text="" dxfId="92">
      <formula>$J73="Ja"</formula>
    </cfRule>
    <cfRule type="expression" priority="19" aboveAverage="0" equalAverage="0" bottom="0" percent="0" rank="0" text="" dxfId="93">
      <formula>$J73="Nein"</formula>
    </cfRule>
  </conditionalFormatting>
  <conditionalFormatting sqref="D74:E74">
    <cfRule type="expression" priority="20" aboveAverage="0" equalAverage="0" bottom="0" percent="0" rank="0" text="" dxfId="94">
      <formula>$J74="Ja"</formula>
    </cfRule>
    <cfRule type="expression" priority="21" aboveAverage="0" equalAverage="0" bottom="0" percent="0" rank="0" text="" dxfId="95">
      <formula>$J74="Nein"</formula>
    </cfRule>
  </conditionalFormatting>
  <conditionalFormatting sqref="D75:E75">
    <cfRule type="expression" priority="22" aboveAverage="0" equalAverage="0" bottom="0" percent="0" rank="0" text="" dxfId="96">
      <formula>$J75="Ja"</formula>
    </cfRule>
    <cfRule type="expression" priority="23" aboveAverage="0" equalAverage="0" bottom="0" percent="0" rank="0" text="" dxfId="97">
      <formula>$J75="Nein"</formula>
    </cfRule>
  </conditionalFormatting>
  <conditionalFormatting sqref="D85:E88">
    <cfRule type="expression" priority="24" aboveAverage="0" equalAverage="0" bottom="0" percent="0" rank="0" text="" dxfId="98">
      <formula>$J85="Ja"</formula>
    </cfRule>
    <cfRule type="expression" priority="25" aboveAverage="0" equalAverage="0" bottom="0" percent="0" rank="0" text="" dxfId="99">
      <formula>$J85="Nein"</formula>
    </cfRule>
  </conditionalFormatting>
  <conditionalFormatting sqref="E92:F95">
    <cfRule type="expression" priority="26" aboveAverage="0" equalAverage="0" bottom="0" percent="0" rank="0" text="" dxfId="100">
      <formula>$J92="Ja"</formula>
    </cfRule>
    <cfRule type="expression" priority="27" aboveAverage="0" equalAverage="0" bottom="0" percent="0" rank="0" text="" dxfId="101">
      <formula>$J92="Nein"</formula>
    </cfRule>
  </conditionalFormatting>
  <conditionalFormatting sqref="E101:F104">
    <cfRule type="expression" priority="28" aboveAverage="0" equalAverage="0" bottom="0" percent="0" rank="0" text="" dxfId="102">
      <formula>$J101="Ja"</formula>
    </cfRule>
    <cfRule type="expression" priority="29" aboveAverage="0" equalAverage="0" bottom="0" percent="0" rank="0" text="" dxfId="103">
      <formula>$J101="Nein"</formula>
    </cfRule>
  </conditionalFormatting>
  <conditionalFormatting sqref="E110:F113">
    <cfRule type="expression" priority="30" aboveAverage="0" equalAverage="0" bottom="0" percent="0" rank="0" text="" dxfId="104">
      <formula>$J110="Ja"</formula>
    </cfRule>
    <cfRule type="expression" priority="31" aboveAverage="0" equalAverage="0" bottom="0" percent="0" rank="0" text="" dxfId="105">
      <formula>$J110="Nein"</formula>
    </cfRule>
  </conditionalFormatting>
  <conditionalFormatting sqref="E119:F122">
    <cfRule type="expression" priority="32" aboveAverage="0" equalAverage="0" bottom="0" percent="0" rank="0" text="" dxfId="106">
      <formula>$J119="Ja"</formula>
    </cfRule>
    <cfRule type="expression" priority="33" aboveAverage="0" equalAverage="0" bottom="0" percent="0" rank="0" text="" dxfId="107">
      <formula>$J119="Nein"</formula>
    </cfRule>
  </conditionalFormatting>
  <conditionalFormatting sqref="D128:E128">
    <cfRule type="expression" priority="34" aboveAverage="0" equalAverage="0" bottom="0" percent="0" rank="0" text="" dxfId="108">
      <formula>$J128="Ja"</formula>
    </cfRule>
    <cfRule type="expression" priority="35" aboveAverage="0" equalAverage="0" bottom="0" percent="0" rank="0" text="" dxfId="109">
      <formula>$J128="Nein"</formula>
    </cfRule>
  </conditionalFormatting>
  <conditionalFormatting sqref="D129:E129">
    <cfRule type="expression" priority="36" aboveAverage="0" equalAverage="0" bottom="0" percent="0" rank="0" text="" dxfId="110">
      <formula>$J129="Ja"</formula>
    </cfRule>
    <cfRule type="expression" priority="37" aboveAverage="0" equalAverage="0" bottom="0" percent="0" rank="0" text="" dxfId="111">
      <formula>$J129="Nein"</formula>
    </cfRule>
  </conditionalFormatting>
  <conditionalFormatting sqref="D130:E130">
    <cfRule type="expression" priority="38" aboveAverage="0" equalAverage="0" bottom="0" percent="0" rank="0" text="" dxfId="112">
      <formula>$J130="Ja"</formula>
    </cfRule>
    <cfRule type="expression" priority="39" aboveAverage="0" equalAverage="0" bottom="0" percent="0" rank="0" text="" dxfId="113">
      <formula>$J130="Nein"</formula>
    </cfRule>
  </conditionalFormatting>
  <conditionalFormatting sqref="D131:E131">
    <cfRule type="expression" priority="40" aboveAverage="0" equalAverage="0" bottom="0" percent="0" rank="0" text="" dxfId="114">
      <formula>$J131="Ja"</formula>
    </cfRule>
    <cfRule type="expression" priority="41" aboveAverage="0" equalAverage="0" bottom="0" percent="0" rank="0" text="" dxfId="115">
      <formula>$J131="Nein"</formula>
    </cfRule>
  </conditionalFormatting>
  <conditionalFormatting sqref="D141:E143">
    <cfRule type="expression" priority="42" aboveAverage="0" equalAverage="0" bottom="0" percent="0" rank="0" text="" dxfId="116">
      <formula>$J141="Ja"</formula>
    </cfRule>
    <cfRule type="expression" priority="43" aboveAverage="0" equalAverage="0" bottom="0" percent="0" rank="0" text="" dxfId="117">
      <formula>$J141="Nein"</formula>
    </cfRule>
  </conditionalFormatting>
  <conditionalFormatting sqref="E147:F149">
    <cfRule type="expression" priority="44" aboveAverage="0" equalAverage="0" bottom="0" percent="0" rank="0" text="" dxfId="118">
      <formula>$J147="Ja"</formula>
    </cfRule>
    <cfRule type="expression" priority="45" aboveAverage="0" equalAverage="0" bottom="0" percent="0" rank="0" text="" dxfId="119">
      <formula>$J147="Nein"</formula>
    </cfRule>
  </conditionalFormatting>
  <conditionalFormatting sqref="E155:F157">
    <cfRule type="expression" priority="46" aboveAverage="0" equalAverage="0" bottom="0" percent="0" rank="0" text="" dxfId="120">
      <formula>$J155="Ja"</formula>
    </cfRule>
    <cfRule type="expression" priority="47" aboveAverage="0" equalAverage="0" bottom="0" percent="0" rank="0" text="" dxfId="121">
      <formula>$J155="Nein"</formula>
    </cfRule>
  </conditionalFormatting>
  <conditionalFormatting sqref="E163:F165">
    <cfRule type="expression" priority="48" aboveAverage="0" equalAverage="0" bottom="0" percent="0" rank="0" text="" dxfId="122">
      <formula>$J163="Ja"</formula>
    </cfRule>
    <cfRule type="expression" priority="49" aboveAverage="0" equalAverage="0" bottom="0" percent="0" rank="0" text="" dxfId="123">
      <formula>$J163="Nein"</formula>
    </cfRule>
  </conditionalFormatting>
  <conditionalFormatting sqref="D171:E171">
    <cfRule type="expression" priority="50" aboveAverage="0" equalAverage="0" bottom="0" percent="0" rank="0" text="" dxfId="124">
      <formula>$J171="Ja"</formula>
    </cfRule>
    <cfRule type="expression" priority="51" aboveAverage="0" equalAverage="0" bottom="0" percent="0" rank="0" text="" dxfId="125">
      <formula>$J171="Nein"</formula>
    </cfRule>
  </conditionalFormatting>
  <conditionalFormatting sqref="D172:E172">
    <cfRule type="expression" priority="52" aboveAverage="0" equalAverage="0" bottom="0" percent="0" rank="0" text="" dxfId="126">
      <formula>$J172="Ja"</formula>
    </cfRule>
    <cfRule type="expression" priority="53" aboveAverage="0" equalAverage="0" bottom="0" percent="0" rank="0" text="" dxfId="127">
      <formula>$J172="Nein"</formula>
    </cfRule>
  </conditionalFormatting>
  <dataValidations count="1">
    <dataValidation allowBlank="true" operator="between" showDropDown="false" showErrorMessage="true" showInputMessage="true" sqref="J6:J17"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419"/>
  <sheetViews>
    <sheetView showFormulas="false" showGridLines="false" showRowColHeaders="true" showZeros="true" rightToLeft="false" tabSelected="false" showOutlineSymbols="true" defaultGridColor="true" view="normal" topLeftCell="A198" colorId="64" zoomScale="80" zoomScaleNormal="80" zoomScalePageLayoutView="100" workbookViewId="0">
      <selection pane="topLeft" activeCell="N21" activeCellId="0" sqref="N21"/>
    </sheetView>
  </sheetViews>
  <sheetFormatPr defaultColWidth="11.47265625" defaultRowHeight="14.5" zeroHeight="false" outlineLevelRow="1" outlineLevelCol="1"/>
  <cols>
    <col collapsed="false" customWidth="true" hidden="false" outlineLevel="0" max="3" min="1" style="1" width="3.72"/>
    <col collapsed="false" customWidth="true" hidden="false" outlineLevel="0" max="14" min="4" style="1" width="20.72"/>
    <col collapsed="false" customWidth="true" hidden="true" outlineLevel="1" max="18" min="15" style="1" width="20.72"/>
    <col collapsed="false" customWidth="true" hidden="false" outlineLevel="0" max="19" min="19" style="1" width="20.72"/>
    <col collapsed="false" customWidth="true" hidden="false" outlineLevel="0" max="21" min="20" style="1" width="3.72"/>
    <col collapsed="false" customWidth="true" hidden="false" outlineLevel="0" max="22" min="22" style="1" width="15.81"/>
    <col collapsed="false" customWidth="true" hidden="false" outlineLevel="0" max="24" min="23" style="1" width="20.72"/>
    <col collapsed="false" customWidth="false" hidden="false" outlineLevel="0" max="1024" min="25" style="1" width="11.45"/>
  </cols>
  <sheetData>
    <row r="1" customFormat="false" ht="14.5" hidden="false" customHeight="false" outlineLevel="0" collapsed="false">
      <c r="A1" s="2" t="s">
        <v>485</v>
      </c>
      <c r="B1" s="2"/>
      <c r="C1" s="2"/>
      <c r="D1" s="2"/>
      <c r="E1" s="2"/>
      <c r="F1" s="2"/>
      <c r="G1" s="2"/>
      <c r="H1" s="2"/>
      <c r="I1" s="2"/>
      <c r="J1" s="2"/>
      <c r="K1" s="2"/>
      <c r="L1" s="2"/>
      <c r="M1" s="2"/>
      <c r="N1" s="2"/>
    </row>
    <row r="2" customFormat="false" ht="14.5" hidden="false" customHeight="false" outlineLevel="0" collapsed="false">
      <c r="A2" s="2"/>
      <c r="B2" s="2"/>
      <c r="C2" s="2"/>
      <c r="D2" s="2"/>
      <c r="E2" s="2"/>
      <c r="F2" s="2"/>
      <c r="G2" s="2"/>
      <c r="H2" s="2"/>
      <c r="I2" s="2"/>
      <c r="J2" s="2"/>
      <c r="K2" s="2"/>
      <c r="L2" s="2"/>
      <c r="M2" s="2"/>
      <c r="N2" s="2"/>
    </row>
    <row r="3" customFormat="false" ht="20.15" hidden="false" customHeight="true" outlineLevel="0" collapsed="false"/>
    <row r="4" customFormat="false" ht="20.15" hidden="false" customHeight="true" outlineLevel="0" collapsed="false">
      <c r="B4" s="3" t="s">
        <v>486</v>
      </c>
      <c r="C4" s="3"/>
      <c r="D4" s="3"/>
      <c r="E4" s="3"/>
      <c r="F4" s="3"/>
      <c r="G4" s="3"/>
      <c r="H4" s="3"/>
      <c r="I4" s="3"/>
      <c r="J4" s="3"/>
      <c r="L4" s="3" t="s">
        <v>2</v>
      </c>
      <c r="M4" s="3"/>
      <c r="N4" s="3"/>
      <c r="Q4" s="4"/>
      <c r="R4" s="4"/>
      <c r="S4" s="4"/>
      <c r="T4" s="5"/>
      <c r="U4" s="4"/>
      <c r="V4" s="4"/>
      <c r="W4" s="4"/>
      <c r="X4" s="4"/>
    </row>
    <row r="5" customFormat="false" ht="50.15" hidden="false" customHeight="true" outlineLevel="0" collapsed="false">
      <c r="B5" s="6" t="s">
        <v>487</v>
      </c>
      <c r="C5" s="6"/>
      <c r="D5" s="7" t="s">
        <v>4</v>
      </c>
      <c r="E5" s="8" t="s">
        <v>5</v>
      </c>
      <c r="F5" s="9" t="s">
        <v>6</v>
      </c>
      <c r="G5" s="10" t="s">
        <v>7</v>
      </c>
      <c r="H5" s="10" t="s">
        <v>8</v>
      </c>
      <c r="I5" s="10" t="s">
        <v>9</v>
      </c>
      <c r="J5" s="9" t="s">
        <v>488</v>
      </c>
      <c r="L5" s="11" t="s">
        <v>4</v>
      </c>
      <c r="M5" s="12" t="s">
        <v>11</v>
      </c>
      <c r="N5" s="13" t="s">
        <v>12</v>
      </c>
      <c r="P5" s="14"/>
      <c r="Q5" s="5"/>
      <c r="S5" s="4"/>
      <c r="T5" s="4"/>
      <c r="U5" s="4"/>
      <c r="V5" s="5"/>
      <c r="W5" s="5"/>
    </row>
    <row r="6" customFormat="false" ht="20.15" hidden="false" customHeight="true" outlineLevel="0" collapsed="false">
      <c r="B6" s="471" t="n">
        <v>1</v>
      </c>
      <c r="C6" s="471"/>
      <c r="D6" s="472" t="s">
        <v>13</v>
      </c>
      <c r="E6" s="87" t="s">
        <v>14</v>
      </c>
      <c r="F6" s="87" t="s">
        <v>14</v>
      </c>
      <c r="G6" s="87" t="s">
        <v>14</v>
      </c>
      <c r="H6" s="473" t="s">
        <v>14</v>
      </c>
      <c r="I6" s="473" t="s">
        <v>14</v>
      </c>
      <c r="J6" s="474" t="s">
        <v>15</v>
      </c>
      <c r="L6" s="20" t="str">
        <f aca="false">D6</f>
        <v>Devid Fulterer</v>
      </c>
      <c r="M6" s="21" t="n">
        <v>1</v>
      </c>
      <c r="N6" s="22" t="n">
        <v>1</v>
      </c>
      <c r="P6" s="14"/>
      <c r="Q6" s="23"/>
      <c r="S6" s="14"/>
      <c r="T6" s="14"/>
      <c r="U6" s="14"/>
      <c r="V6" s="24"/>
      <c r="W6" s="24"/>
    </row>
    <row r="7" customFormat="false" ht="20.15" hidden="false" customHeight="true" outlineLevel="0" collapsed="false">
      <c r="B7" s="475" t="n">
        <v>2</v>
      </c>
      <c r="C7" s="475"/>
      <c r="D7" s="480" t="s">
        <v>49</v>
      </c>
      <c r="E7" s="96" t="s">
        <v>50</v>
      </c>
      <c r="F7" s="477" t="s">
        <v>50</v>
      </c>
      <c r="G7" s="476" t="s">
        <v>50</v>
      </c>
      <c r="H7" s="478" t="s">
        <v>50</v>
      </c>
      <c r="I7" s="478" t="s">
        <v>18</v>
      </c>
      <c r="J7" s="479" t="s">
        <v>15</v>
      </c>
      <c r="L7" s="31" t="str">
        <f aca="false">D7</f>
        <v>Jonas Röhrig</v>
      </c>
      <c r="M7" s="21"/>
      <c r="N7" s="32" t="n">
        <v>2</v>
      </c>
      <c r="P7" s="14"/>
      <c r="Q7" s="23"/>
      <c r="S7" s="14"/>
      <c r="T7" s="14"/>
      <c r="U7" s="14"/>
      <c r="V7" s="24"/>
      <c r="W7" s="24"/>
    </row>
    <row r="8" customFormat="false" ht="20.15" hidden="false" customHeight="true" outlineLevel="0" collapsed="false">
      <c r="B8" s="475" t="n">
        <v>3</v>
      </c>
      <c r="C8" s="475"/>
      <c r="D8" s="480" t="s">
        <v>489</v>
      </c>
      <c r="E8" s="290" t="s">
        <v>28</v>
      </c>
      <c r="F8" s="478" t="s">
        <v>29</v>
      </c>
      <c r="G8" s="478" t="s">
        <v>28</v>
      </c>
      <c r="H8" s="478" t="s">
        <v>28</v>
      </c>
      <c r="I8" s="290" t="s">
        <v>18</v>
      </c>
      <c r="J8" s="479" t="s">
        <v>15</v>
      </c>
      <c r="L8" s="31" t="str">
        <f aca="false">D8</f>
        <v>Judith Fulterer</v>
      </c>
      <c r="M8" s="21"/>
      <c r="N8" s="32" t="n">
        <v>3</v>
      </c>
      <c r="P8" s="14"/>
      <c r="Q8" s="23"/>
      <c r="S8" s="14"/>
      <c r="T8" s="14"/>
      <c r="U8" s="14"/>
      <c r="V8" s="24"/>
      <c r="W8" s="24"/>
    </row>
    <row r="9" customFormat="false" ht="20.15" hidden="false" customHeight="true" outlineLevel="0" collapsed="false">
      <c r="B9" s="475" t="n">
        <v>4</v>
      </c>
      <c r="C9" s="475"/>
      <c r="D9" s="480" t="s">
        <v>19</v>
      </c>
      <c r="E9" s="96" t="s">
        <v>20</v>
      </c>
      <c r="F9" s="477" t="s">
        <v>20</v>
      </c>
      <c r="G9" s="476" t="s">
        <v>20</v>
      </c>
      <c r="H9" s="478" t="s">
        <v>20</v>
      </c>
      <c r="I9" s="478" t="s">
        <v>18</v>
      </c>
      <c r="J9" s="479" t="s">
        <v>15</v>
      </c>
      <c r="L9" s="34" t="str">
        <f aca="false">D9</f>
        <v>Jérôme Schätzle</v>
      </c>
      <c r="M9" s="21"/>
      <c r="N9" s="35" t="n">
        <v>4</v>
      </c>
      <c r="P9" s="14"/>
      <c r="Q9" s="23"/>
      <c r="S9" s="14"/>
      <c r="T9" s="14"/>
      <c r="U9" s="14"/>
      <c r="V9" s="24"/>
      <c r="W9" s="24"/>
    </row>
    <row r="10" customFormat="false" ht="20.15" hidden="false" customHeight="true" outlineLevel="0" collapsed="false">
      <c r="B10" s="475" t="n">
        <v>5</v>
      </c>
      <c r="C10" s="475"/>
      <c r="D10" s="476" t="s">
        <v>25</v>
      </c>
      <c r="E10" s="96" t="s">
        <v>26</v>
      </c>
      <c r="F10" s="477" t="s">
        <v>26</v>
      </c>
      <c r="G10" s="476" t="s">
        <v>26</v>
      </c>
      <c r="H10" s="478" t="s">
        <v>26</v>
      </c>
      <c r="I10" s="290" t="s">
        <v>18</v>
      </c>
      <c r="J10" s="479" t="s">
        <v>15</v>
      </c>
      <c r="L10" s="20" t="str">
        <f aca="false">D10</f>
        <v>Pauline Schätzle</v>
      </c>
      <c r="M10" s="37" t="n">
        <v>2</v>
      </c>
      <c r="N10" s="22" t="n">
        <v>1</v>
      </c>
      <c r="P10" s="14"/>
      <c r="Q10" s="23"/>
      <c r="S10" s="14"/>
      <c r="T10" s="14"/>
      <c r="U10" s="14"/>
      <c r="V10" s="24"/>
      <c r="W10" s="24"/>
    </row>
    <row r="11" customFormat="false" ht="20.15" hidden="false" customHeight="true" outlineLevel="0" collapsed="false">
      <c r="B11" s="475" t="n">
        <v>6</v>
      </c>
      <c r="C11" s="475"/>
      <c r="D11" s="476" t="s">
        <v>16</v>
      </c>
      <c r="E11" s="96" t="s">
        <v>17</v>
      </c>
      <c r="F11" s="477" t="s">
        <v>17</v>
      </c>
      <c r="G11" s="476" t="s">
        <v>17</v>
      </c>
      <c r="H11" s="478" t="s">
        <v>17</v>
      </c>
      <c r="I11" s="478" t="s">
        <v>18</v>
      </c>
      <c r="J11" s="479" t="s">
        <v>15</v>
      </c>
      <c r="L11" s="31" t="str">
        <f aca="false">D11</f>
        <v>Andreas Micke</v>
      </c>
      <c r="M11" s="37"/>
      <c r="N11" s="32" t="n">
        <v>2</v>
      </c>
      <c r="P11" s="14"/>
      <c r="Q11" s="23"/>
      <c r="S11" s="14"/>
      <c r="T11" s="14"/>
      <c r="U11" s="14"/>
      <c r="V11" s="24"/>
      <c r="W11" s="24"/>
    </row>
    <row r="12" customFormat="false" ht="20.15" hidden="false" customHeight="true" outlineLevel="0" collapsed="false">
      <c r="B12" s="475" t="n">
        <v>7</v>
      </c>
      <c r="C12" s="475"/>
      <c r="D12" s="480" t="s">
        <v>30</v>
      </c>
      <c r="E12" s="96" t="s">
        <v>31</v>
      </c>
      <c r="F12" s="477" t="s">
        <v>32</v>
      </c>
      <c r="G12" s="476" t="s">
        <v>18</v>
      </c>
      <c r="H12" s="478" t="s">
        <v>32</v>
      </c>
      <c r="I12" s="290" t="s">
        <v>18</v>
      </c>
      <c r="J12" s="479" t="s">
        <v>15</v>
      </c>
      <c r="L12" s="31" t="str">
        <f aca="false">D12</f>
        <v>Lisa Schätzle</v>
      </c>
      <c r="M12" s="37"/>
      <c r="N12" s="32" t="n">
        <v>3</v>
      </c>
      <c r="P12" s="14"/>
      <c r="Q12" s="23"/>
      <c r="S12" s="14"/>
      <c r="T12" s="14"/>
      <c r="U12" s="14"/>
      <c r="V12" s="24"/>
      <c r="W12" s="24"/>
    </row>
    <row r="13" customFormat="false" ht="20.15" hidden="false" customHeight="true" outlineLevel="0" collapsed="false">
      <c r="B13" s="475" t="n">
        <v>8</v>
      </c>
      <c r="C13" s="475"/>
      <c r="D13" s="476" t="s">
        <v>21</v>
      </c>
      <c r="E13" s="96" t="s">
        <v>22</v>
      </c>
      <c r="F13" s="477" t="s">
        <v>22</v>
      </c>
      <c r="G13" s="476" t="s">
        <v>18</v>
      </c>
      <c r="H13" s="478" t="s">
        <v>22</v>
      </c>
      <c r="I13" s="478" t="s">
        <v>18</v>
      </c>
      <c r="J13" s="479" t="s">
        <v>15</v>
      </c>
      <c r="L13" s="34" t="str">
        <f aca="false">D13</f>
        <v>Daniel Zimmerman</v>
      </c>
      <c r="M13" s="37"/>
      <c r="N13" s="35" t="n">
        <v>4</v>
      </c>
      <c r="P13" s="14"/>
      <c r="Q13" s="23"/>
      <c r="S13" s="14"/>
      <c r="T13" s="14"/>
      <c r="U13" s="14"/>
      <c r="V13" s="24"/>
      <c r="W13" s="24"/>
    </row>
    <row r="14" customFormat="false" ht="20.15" hidden="false" customHeight="true" outlineLevel="0" collapsed="false">
      <c r="B14" s="475" t="n">
        <v>9</v>
      </c>
      <c r="C14" s="475"/>
      <c r="D14" s="480" t="s">
        <v>39</v>
      </c>
      <c r="E14" s="290" t="s">
        <v>40</v>
      </c>
      <c r="F14" s="478" t="s">
        <v>40</v>
      </c>
      <c r="G14" s="478" t="s">
        <v>40</v>
      </c>
      <c r="H14" s="478" t="s">
        <v>18</v>
      </c>
      <c r="I14" s="478" t="s">
        <v>18</v>
      </c>
      <c r="J14" s="479" t="s">
        <v>15</v>
      </c>
      <c r="L14" s="20" t="str">
        <f aca="false">D14</f>
        <v>Markus Hagenauer</v>
      </c>
      <c r="M14" s="37" t="n">
        <v>3</v>
      </c>
      <c r="N14" s="22" t="n">
        <v>1</v>
      </c>
      <c r="P14" s="14"/>
      <c r="Q14" s="23"/>
      <c r="S14" s="14"/>
      <c r="T14" s="14"/>
      <c r="U14" s="14"/>
      <c r="V14" s="24"/>
      <c r="W14" s="24"/>
    </row>
    <row r="15" customFormat="false" ht="20.15" hidden="false" customHeight="true" outlineLevel="0" collapsed="false">
      <c r="B15" s="475" t="n">
        <v>10</v>
      </c>
      <c r="C15" s="475"/>
      <c r="D15" s="480" t="s">
        <v>33</v>
      </c>
      <c r="E15" s="312" t="s">
        <v>34</v>
      </c>
      <c r="F15" s="478" t="s">
        <v>34</v>
      </c>
      <c r="G15" s="478" t="s">
        <v>34</v>
      </c>
      <c r="H15" s="478" t="s">
        <v>18</v>
      </c>
      <c r="I15" s="478" t="s">
        <v>18</v>
      </c>
      <c r="J15" s="479" t="s">
        <v>15</v>
      </c>
      <c r="L15" s="31" t="str">
        <f aca="false">D15</f>
        <v>Kai Maibaum</v>
      </c>
      <c r="M15" s="37"/>
      <c r="N15" s="32" t="n">
        <v>2</v>
      </c>
      <c r="P15" s="14"/>
      <c r="Q15" s="23"/>
      <c r="S15" s="14"/>
      <c r="T15" s="14"/>
      <c r="U15" s="14"/>
      <c r="V15" s="24"/>
      <c r="W15" s="24"/>
    </row>
    <row r="16" customFormat="false" ht="20.15" hidden="false" customHeight="true" outlineLevel="0" collapsed="false">
      <c r="B16" s="475" t="n">
        <v>11</v>
      </c>
      <c r="C16" s="475"/>
      <c r="D16" s="476" t="s">
        <v>454</v>
      </c>
      <c r="E16" s="312" t="s">
        <v>18</v>
      </c>
      <c r="F16" s="312" t="s">
        <v>455</v>
      </c>
      <c r="G16" s="312" t="s">
        <v>18</v>
      </c>
      <c r="H16" s="312" t="s">
        <v>18</v>
      </c>
      <c r="I16" s="312" t="s">
        <v>18</v>
      </c>
      <c r="J16" s="479" t="s">
        <v>15</v>
      </c>
      <c r="L16" s="365" t="str">
        <f aca="false">D16</f>
        <v>Marc Lambrecht</v>
      </c>
      <c r="M16" s="37"/>
      <c r="N16" s="35" t="n">
        <v>3</v>
      </c>
      <c r="P16" s="14"/>
      <c r="Q16" s="23"/>
      <c r="S16" s="14"/>
      <c r="T16" s="14"/>
      <c r="U16" s="14"/>
      <c r="V16" s="24"/>
      <c r="W16" s="24"/>
    </row>
    <row r="17" customFormat="false" ht="20.15" hidden="false" customHeight="true" outlineLevel="0" collapsed="false">
      <c r="B17" s="475" t="n">
        <v>12</v>
      </c>
      <c r="C17" s="475"/>
      <c r="D17" s="476" t="s">
        <v>456</v>
      </c>
      <c r="E17" s="312" t="s">
        <v>18</v>
      </c>
      <c r="F17" s="312" t="s">
        <v>457</v>
      </c>
      <c r="G17" s="312" t="s">
        <v>18</v>
      </c>
      <c r="H17" s="312" t="s">
        <v>18</v>
      </c>
      <c r="I17" s="312" t="s">
        <v>18</v>
      </c>
      <c r="J17" s="479" t="s">
        <v>15</v>
      </c>
      <c r="L17" s="367" t="str">
        <f aca="false">D17</f>
        <v>Bea Kittner</v>
      </c>
      <c r="M17" s="21" t="n">
        <v>4</v>
      </c>
      <c r="N17" s="22" t="n">
        <v>1</v>
      </c>
      <c r="P17" s="14"/>
      <c r="Q17" s="23"/>
      <c r="S17" s="14"/>
      <c r="T17" s="14"/>
      <c r="U17" s="14"/>
      <c r="V17" s="24"/>
      <c r="W17" s="24"/>
    </row>
    <row r="18" customFormat="false" ht="20.15" hidden="false" customHeight="true" outlineLevel="0" collapsed="false">
      <c r="B18" s="481" t="n">
        <v>13</v>
      </c>
      <c r="C18" s="481"/>
      <c r="D18" s="482" t="s">
        <v>41</v>
      </c>
      <c r="E18" s="113" t="s">
        <v>42</v>
      </c>
      <c r="F18" s="492" t="s">
        <v>42</v>
      </c>
      <c r="G18" s="493" t="s">
        <v>18</v>
      </c>
      <c r="H18" s="483" t="s">
        <v>18</v>
      </c>
      <c r="I18" s="483" t="s">
        <v>18</v>
      </c>
      <c r="J18" s="484" t="s">
        <v>15</v>
      </c>
      <c r="L18" s="54" t="str">
        <f aca="false">D18</f>
        <v>Franziska Büchner</v>
      </c>
      <c r="M18" s="21"/>
      <c r="N18" s="55" t="n">
        <v>2</v>
      </c>
      <c r="P18" s="14"/>
      <c r="Q18" s="23"/>
      <c r="S18" s="14"/>
      <c r="T18" s="14"/>
      <c r="U18" s="14"/>
      <c r="V18" s="24"/>
      <c r="W18" s="24"/>
    </row>
    <row r="19" customFormat="false" ht="20.15" hidden="false" customHeight="true" outlineLevel="0" collapsed="false">
      <c r="B19" s="14"/>
      <c r="C19" s="14"/>
      <c r="D19" s="14"/>
      <c r="E19" s="14"/>
      <c r="F19" s="14"/>
      <c r="G19" s="14"/>
      <c r="H19" s="14"/>
      <c r="I19" s="14"/>
      <c r="J19" s="14"/>
      <c r="L19" s="56" t="s">
        <v>452</v>
      </c>
      <c r="M19" s="56"/>
      <c r="N19" s="57" t="n">
        <v>13</v>
      </c>
      <c r="P19" s="4"/>
      <c r="Q19" s="4"/>
      <c r="S19" s="4"/>
      <c r="T19" s="4"/>
      <c r="U19" s="4"/>
      <c r="V19" s="4"/>
    </row>
    <row r="20" customFormat="false" ht="20.15" hidden="false" customHeight="true" outlineLevel="0" collapsed="false">
      <c r="B20" s="3" t="s">
        <v>490</v>
      </c>
      <c r="C20" s="3"/>
      <c r="D20" s="3"/>
      <c r="E20" s="3"/>
      <c r="F20" s="3"/>
      <c r="G20" s="3"/>
      <c r="H20" s="3"/>
      <c r="I20" s="3"/>
      <c r="M20" s="58"/>
      <c r="N20" s="58"/>
      <c r="O20" s="58"/>
      <c r="P20" s="5"/>
      <c r="Q20" s="4"/>
      <c r="R20" s="4"/>
      <c r="T20" s="4"/>
      <c r="U20" s="4"/>
      <c r="V20" s="4"/>
      <c r="W20" s="4"/>
    </row>
    <row r="21" customFormat="false" ht="29.5" hidden="false" customHeight="true" outlineLevel="0" collapsed="false">
      <c r="B21" s="59" t="s">
        <v>45</v>
      </c>
      <c r="C21" s="59"/>
      <c r="D21" s="60" t="s">
        <v>4</v>
      </c>
      <c r="E21" s="61" t="s">
        <v>5</v>
      </c>
      <c r="F21" s="62" t="s">
        <v>6</v>
      </c>
      <c r="G21" s="63" t="s">
        <v>7</v>
      </c>
      <c r="H21" s="64" t="s">
        <v>8</v>
      </c>
      <c r="I21" s="62" t="s">
        <v>9</v>
      </c>
      <c r="M21" s="58"/>
      <c r="N21" s="58"/>
      <c r="O21" s="58"/>
      <c r="P21" s="5"/>
      <c r="Q21" s="4"/>
      <c r="R21" s="4"/>
      <c r="T21" s="4"/>
      <c r="U21" s="4"/>
      <c r="V21" s="4"/>
      <c r="W21" s="4"/>
    </row>
    <row r="22" customFormat="false" ht="20.15" hidden="false" customHeight="true" outlineLevel="0" collapsed="false">
      <c r="B22" s="485" t="n">
        <v>1</v>
      </c>
      <c r="C22" s="485"/>
      <c r="D22" s="499" t="s">
        <v>491</v>
      </c>
      <c r="E22" s="67" t="s">
        <v>18</v>
      </c>
      <c r="F22" s="67" t="s">
        <v>492</v>
      </c>
      <c r="G22" s="67" t="s">
        <v>18</v>
      </c>
      <c r="H22" s="67" t="s">
        <v>18</v>
      </c>
      <c r="I22" s="68" t="s">
        <v>18</v>
      </c>
      <c r="M22" s="58"/>
      <c r="N22" s="58"/>
      <c r="O22" s="58"/>
      <c r="P22" s="5"/>
      <c r="Q22" s="4"/>
      <c r="R22" s="4"/>
      <c r="T22" s="4"/>
      <c r="U22" s="4"/>
      <c r="V22" s="4"/>
      <c r="W22" s="4"/>
    </row>
    <row r="23" customFormat="false" ht="20.15" hidden="false" customHeight="true" outlineLevel="0" collapsed="false">
      <c r="B23" s="489" t="n">
        <v>2</v>
      </c>
      <c r="C23" s="489"/>
      <c r="D23" s="543" t="s">
        <v>493</v>
      </c>
      <c r="E23" s="544" t="s">
        <v>18</v>
      </c>
      <c r="F23" s="544" t="s">
        <v>494</v>
      </c>
      <c r="G23" s="544" t="s">
        <v>18</v>
      </c>
      <c r="H23" s="544" t="s">
        <v>18</v>
      </c>
      <c r="I23" s="545" t="s">
        <v>18</v>
      </c>
      <c r="M23" s="58"/>
      <c r="N23" s="58"/>
      <c r="O23" s="58"/>
      <c r="P23" s="5"/>
      <c r="Q23" s="4"/>
      <c r="R23" s="4"/>
      <c r="T23" s="4"/>
      <c r="U23" s="4"/>
      <c r="V23" s="4"/>
      <c r="W23" s="4"/>
    </row>
    <row r="24" customFormat="false" ht="20.15" hidden="false" customHeight="true" outlineLevel="0" collapsed="false">
      <c r="B24" s="491" t="n">
        <v>3</v>
      </c>
      <c r="C24" s="491"/>
      <c r="D24" s="482" t="s">
        <v>23</v>
      </c>
      <c r="E24" s="386" t="s">
        <v>24</v>
      </c>
      <c r="F24" s="483" t="s">
        <v>24</v>
      </c>
      <c r="G24" s="483" t="s">
        <v>18</v>
      </c>
      <c r="H24" s="483" t="s">
        <v>24</v>
      </c>
      <c r="I24" s="494" t="s">
        <v>18</v>
      </c>
      <c r="M24" s="58"/>
      <c r="N24" s="58"/>
      <c r="O24" s="58"/>
      <c r="P24" s="5"/>
      <c r="Q24" s="4"/>
      <c r="R24" s="4"/>
      <c r="T24" s="4"/>
      <c r="U24" s="4"/>
      <c r="V24" s="4"/>
      <c r="W24" s="4"/>
    </row>
    <row r="25" customFormat="false" ht="20.15" hidden="false" customHeight="true" outlineLevel="0" collapsed="false">
      <c r="D25" s="76"/>
      <c r="E25" s="76"/>
      <c r="F25" s="76"/>
      <c r="M25" s="58"/>
      <c r="N25" s="58"/>
      <c r="O25" s="58"/>
      <c r="P25" s="5"/>
      <c r="Q25" s="4"/>
      <c r="R25" s="4"/>
      <c r="T25" s="4"/>
      <c r="U25" s="4"/>
      <c r="V25" s="4"/>
      <c r="W25" s="4"/>
    </row>
    <row r="26" customFormat="false" ht="20.15" hidden="false" customHeight="true" outlineLevel="0" collapsed="false">
      <c r="B26" s="77"/>
      <c r="C26" s="77"/>
      <c r="D26" s="78"/>
      <c r="E26" s="78"/>
      <c r="F26" s="78"/>
      <c r="G26" s="78"/>
      <c r="H26" s="77"/>
      <c r="I26" s="77"/>
      <c r="J26" s="77"/>
      <c r="K26" s="77"/>
      <c r="L26" s="77"/>
      <c r="M26" s="77"/>
      <c r="N26" s="77"/>
      <c r="O26" s="77"/>
      <c r="P26" s="77"/>
      <c r="Q26" s="77"/>
      <c r="R26" s="77"/>
      <c r="S26" s="77"/>
      <c r="T26" s="77"/>
      <c r="U26" s="77"/>
    </row>
    <row r="27" customFormat="false" ht="30" hidden="false" customHeight="true" outlineLevel="0" collapsed="false">
      <c r="B27" s="77"/>
      <c r="C27" s="79" t="s">
        <v>51</v>
      </c>
      <c r="D27" s="79"/>
      <c r="E27" s="79"/>
      <c r="F27" s="79"/>
      <c r="G27" s="79"/>
      <c r="H27" s="79"/>
      <c r="I27" s="79"/>
      <c r="J27" s="79"/>
      <c r="K27" s="79"/>
      <c r="L27" s="79"/>
      <c r="M27" s="79"/>
      <c r="N27" s="79"/>
      <c r="O27" s="79"/>
      <c r="P27" s="79"/>
      <c r="Q27" s="79"/>
      <c r="R27" s="79"/>
      <c r="S27" s="79"/>
      <c r="T27" s="79"/>
      <c r="U27" s="77"/>
    </row>
    <row r="28" customFormat="false" ht="20.15" hidden="false" customHeight="true" outlineLevel="0" collapsed="false">
      <c r="B28" s="77"/>
      <c r="U28" s="77"/>
    </row>
    <row r="29" customFormat="false" ht="20.15" hidden="false" customHeight="true" outlineLevel="0" collapsed="false">
      <c r="B29" s="77"/>
      <c r="D29" s="80" t="s">
        <v>52</v>
      </c>
      <c r="E29" s="81" t="s">
        <v>53</v>
      </c>
      <c r="F29" s="82" t="s">
        <v>12</v>
      </c>
      <c r="G29" s="83" t="s">
        <v>54</v>
      </c>
      <c r="H29" s="83"/>
      <c r="I29" s="83"/>
      <c r="J29" s="83"/>
      <c r="K29" s="81" t="s">
        <v>55</v>
      </c>
      <c r="L29" s="83" t="s">
        <v>56</v>
      </c>
      <c r="M29" s="83"/>
      <c r="N29" s="83"/>
      <c r="O29" s="83"/>
      <c r="P29" s="83"/>
      <c r="Q29" s="83"/>
      <c r="R29" s="83"/>
      <c r="S29" s="83"/>
      <c r="U29" s="77"/>
    </row>
    <row r="30" customFormat="false" ht="20.15" hidden="false" customHeight="true" outlineLevel="0" collapsed="false">
      <c r="B30" s="77"/>
      <c r="D30" s="80"/>
      <c r="E30" s="81"/>
      <c r="F30" s="81"/>
      <c r="G30" s="84" t="s">
        <v>57</v>
      </c>
      <c r="H30" s="84" t="s">
        <v>58</v>
      </c>
      <c r="I30" s="278" t="s">
        <v>59</v>
      </c>
      <c r="J30" s="278"/>
      <c r="K30" s="84" t="s">
        <v>60</v>
      </c>
      <c r="L30" s="84" t="s">
        <v>57</v>
      </c>
      <c r="M30" s="85" t="s">
        <v>61</v>
      </c>
      <c r="N30" s="82" t="s">
        <v>59</v>
      </c>
      <c r="O30" s="82"/>
      <c r="P30" s="82"/>
      <c r="Q30" s="82"/>
      <c r="R30" s="82"/>
      <c r="S30" s="82"/>
      <c r="U30" s="77"/>
    </row>
    <row r="31" customFormat="false" ht="35" hidden="false" customHeight="true" outlineLevel="0" collapsed="false">
      <c r="B31" s="77"/>
      <c r="D31" s="86" t="s">
        <v>13</v>
      </c>
      <c r="E31" s="87" t="s">
        <v>14</v>
      </c>
      <c r="F31" s="343" t="n">
        <v>1</v>
      </c>
      <c r="G31" s="89" t="s">
        <v>227</v>
      </c>
      <c r="H31" s="281" t="s">
        <v>228</v>
      </c>
      <c r="I31" s="282" t="s">
        <v>229</v>
      </c>
      <c r="J31" s="282"/>
      <c r="K31" s="373"/>
      <c r="L31" s="344" t="s">
        <v>67</v>
      </c>
      <c r="M31" s="90" t="s">
        <v>344</v>
      </c>
      <c r="N31" s="427" t="s">
        <v>370</v>
      </c>
      <c r="O31" s="427"/>
      <c r="P31" s="427"/>
      <c r="Q31" s="427"/>
      <c r="R31" s="427"/>
      <c r="S31" s="427"/>
      <c r="U31" s="77"/>
    </row>
    <row r="32" customFormat="false" ht="35" hidden="false" customHeight="true" outlineLevel="0" collapsed="false">
      <c r="B32" s="77"/>
      <c r="D32" s="105" t="s">
        <v>49</v>
      </c>
      <c r="E32" s="96" t="s">
        <v>50</v>
      </c>
      <c r="F32" s="346" t="n">
        <v>2</v>
      </c>
      <c r="G32" s="98" t="s">
        <v>227</v>
      </c>
      <c r="H32" s="99" t="s">
        <v>495</v>
      </c>
      <c r="I32" s="287" t="s">
        <v>464</v>
      </c>
      <c r="J32" s="287"/>
      <c r="K32" s="374"/>
      <c r="L32" s="289" t="s">
        <v>66</v>
      </c>
      <c r="M32" s="103" t="s">
        <v>66</v>
      </c>
      <c r="N32" s="104" t="s">
        <v>66</v>
      </c>
      <c r="O32" s="104"/>
      <c r="P32" s="104"/>
      <c r="Q32" s="104"/>
      <c r="R32" s="104"/>
      <c r="S32" s="104"/>
      <c r="U32" s="77"/>
    </row>
    <row r="33" customFormat="false" ht="20" hidden="false" customHeight="true" outlineLevel="0" collapsed="false">
      <c r="B33" s="77"/>
      <c r="D33" s="105" t="s">
        <v>489</v>
      </c>
      <c r="E33" s="290" t="s">
        <v>28</v>
      </c>
      <c r="F33" s="346" t="n">
        <v>3</v>
      </c>
      <c r="G33" s="106" t="s">
        <v>71</v>
      </c>
      <c r="H33" s="107" t="s">
        <v>496</v>
      </c>
      <c r="I33" s="293" t="s">
        <v>497</v>
      </c>
      <c r="J33" s="293"/>
      <c r="K33" s="546" t="s">
        <v>228</v>
      </c>
      <c r="L33" s="376" t="s">
        <v>66</v>
      </c>
      <c r="M33" s="111" t="s">
        <v>66</v>
      </c>
      <c r="N33" s="112" t="s">
        <v>66</v>
      </c>
      <c r="O33" s="112"/>
      <c r="P33" s="112"/>
      <c r="Q33" s="112"/>
      <c r="R33" s="112"/>
      <c r="S33" s="112"/>
      <c r="U33" s="77"/>
    </row>
    <row r="34" customFormat="false" ht="35" hidden="false" customHeight="true" outlineLevel="0" collapsed="false">
      <c r="B34" s="77"/>
      <c r="D34" s="295" t="s">
        <v>19</v>
      </c>
      <c r="E34" s="113" t="s">
        <v>20</v>
      </c>
      <c r="F34" s="350" t="n">
        <v>4</v>
      </c>
      <c r="G34" s="115" t="s">
        <v>67</v>
      </c>
      <c r="H34" s="101" t="s">
        <v>468</v>
      </c>
      <c r="I34" s="377" t="s">
        <v>498</v>
      </c>
      <c r="J34" s="377"/>
      <c r="K34" s="547" t="s">
        <v>228</v>
      </c>
      <c r="L34" s="379" t="s">
        <v>66</v>
      </c>
      <c r="M34" s="119" t="s">
        <v>66</v>
      </c>
      <c r="N34" s="120" t="s">
        <v>66</v>
      </c>
      <c r="O34" s="120"/>
      <c r="P34" s="120"/>
      <c r="Q34" s="120"/>
      <c r="R34" s="120"/>
      <c r="S34" s="120"/>
      <c r="U34" s="77"/>
    </row>
    <row r="35" customFormat="false" ht="20.15" hidden="false" customHeight="true" outlineLevel="0" collapsed="false">
      <c r="B35" s="77"/>
      <c r="D35" s="121"/>
      <c r="E35" s="121"/>
      <c r="U35" s="77"/>
    </row>
    <row r="36" customFormat="false" ht="20.15" hidden="false" customHeight="true" outlineLevel="0" collapsed="false">
      <c r="B36" s="77"/>
      <c r="C36" s="122"/>
      <c r="D36" s="122"/>
      <c r="E36" s="123" t="str">
        <f aca="false">IF(OR(M31="-",M31= ""),H31,M31)</f>
        <v>La Granja</v>
      </c>
      <c r="F36" s="123"/>
      <c r="G36" s="123"/>
      <c r="H36" s="123"/>
      <c r="I36" s="123"/>
      <c r="J36" s="123"/>
      <c r="K36" s="123"/>
      <c r="L36" s="123"/>
      <c r="M36" s="123"/>
      <c r="N36" s="123"/>
      <c r="O36" s="124"/>
      <c r="P36" s="124"/>
      <c r="Q36" s="124"/>
      <c r="R36" s="124"/>
      <c r="S36" s="124"/>
      <c r="T36" s="122"/>
      <c r="U36" s="77"/>
    </row>
    <row r="37" customFormat="false" ht="50.15" hidden="false" customHeight="true" outlineLevel="0" collapsed="false">
      <c r="B37" s="77"/>
      <c r="C37" s="122"/>
      <c r="D37" s="124"/>
      <c r="E37" s="125" t="s">
        <v>52</v>
      </c>
      <c r="F37" s="126" t="s">
        <v>75</v>
      </c>
      <c r="G37" s="82" t="s">
        <v>76</v>
      </c>
      <c r="H37" s="81" t="s">
        <v>77</v>
      </c>
      <c r="I37" s="59" t="s">
        <v>78</v>
      </c>
      <c r="J37" s="81" t="s">
        <v>79</v>
      </c>
      <c r="K37" s="127" t="s">
        <v>80</v>
      </c>
      <c r="L37" s="81" t="s">
        <v>81</v>
      </c>
      <c r="M37" s="128" t="s">
        <v>82</v>
      </c>
      <c r="N37" s="129" t="s">
        <v>83</v>
      </c>
      <c r="O37" s="130" t="s">
        <v>84</v>
      </c>
      <c r="P37" s="131" t="s">
        <v>85</v>
      </c>
      <c r="Q37" s="131" t="s">
        <v>86</v>
      </c>
      <c r="R37" s="131" t="s">
        <v>87</v>
      </c>
      <c r="S37" s="124"/>
      <c r="T37" s="122"/>
      <c r="U37" s="77"/>
    </row>
    <row r="38" customFormat="false" ht="20.15" hidden="false" customHeight="true" outlineLevel="0" collapsed="false">
      <c r="B38" s="77"/>
      <c r="C38" s="122"/>
      <c r="D38" s="132"/>
      <c r="E38" s="86" t="s">
        <v>13</v>
      </c>
      <c r="F38" s="87" t="s">
        <v>14</v>
      </c>
      <c r="G38" s="133" t="n">
        <v>3</v>
      </c>
      <c r="H38" s="134" t="s">
        <v>66</v>
      </c>
      <c r="I38" s="133" t="n">
        <v>0</v>
      </c>
      <c r="J38" s="133" t="n">
        <v>80</v>
      </c>
      <c r="K38" s="133" t="s">
        <v>66</v>
      </c>
      <c r="L38" s="135" t="n">
        <f aca="false">IF(J38="",0,(J38/J42)*100)</f>
        <v>93.0232558139535</v>
      </c>
      <c r="M38" s="133" t="n">
        <v>2</v>
      </c>
      <c r="N38" s="136" t="n">
        <v>3</v>
      </c>
      <c r="O38" s="137" t="n">
        <f aca="false">IF(M38=1,1,0)</f>
        <v>0</v>
      </c>
      <c r="P38" s="138" t="n">
        <f aca="false">IF(M38=2,1,0)</f>
        <v>1</v>
      </c>
      <c r="Q38" s="138" t="n">
        <f aca="false">IF(M38=3,1,0)</f>
        <v>0</v>
      </c>
      <c r="R38" s="139" t="n">
        <f aca="false">IF(M38=4,1,0)</f>
        <v>0</v>
      </c>
      <c r="S38" s="140"/>
      <c r="T38" s="122"/>
      <c r="U38" s="77"/>
    </row>
    <row r="39" customFormat="false" ht="20.15" hidden="false" customHeight="true" outlineLevel="0" collapsed="false">
      <c r="B39" s="77"/>
      <c r="C39" s="122"/>
      <c r="D39" s="132"/>
      <c r="E39" s="147" t="s">
        <v>49</v>
      </c>
      <c r="F39" s="148" t="s">
        <v>50</v>
      </c>
      <c r="G39" s="149" t="n">
        <v>1</v>
      </c>
      <c r="H39" s="149" t="s">
        <v>66</v>
      </c>
      <c r="I39" s="149" t="n">
        <v>0</v>
      </c>
      <c r="J39" s="149" t="n">
        <v>86</v>
      </c>
      <c r="K39" s="149" t="s">
        <v>66</v>
      </c>
      <c r="L39" s="150" t="n">
        <f aca="false">IF(J39="",0,(J39/J42)*100)</f>
        <v>100</v>
      </c>
      <c r="M39" s="149" t="n">
        <v>1</v>
      </c>
      <c r="N39" s="151" t="n">
        <v>6</v>
      </c>
      <c r="O39" s="144" t="n">
        <f aca="false">IF(M39=1,1,0)</f>
        <v>1</v>
      </c>
      <c r="P39" s="145" t="n">
        <f aca="false">IF(M39=2,1,0)</f>
        <v>0</v>
      </c>
      <c r="Q39" s="145" t="n">
        <f aca="false">IF(M39=3,1,0)</f>
        <v>0</v>
      </c>
      <c r="R39" s="146" t="n">
        <f aca="false">IF(M39=4,1,0)</f>
        <v>0</v>
      </c>
      <c r="S39" s="140"/>
      <c r="T39" s="122"/>
      <c r="U39" s="77"/>
    </row>
    <row r="40" customFormat="false" ht="20.15" hidden="false" customHeight="true" outlineLevel="0" collapsed="false">
      <c r="B40" s="77"/>
      <c r="C40" s="122"/>
      <c r="D40" s="132"/>
      <c r="E40" s="105" t="s">
        <v>489</v>
      </c>
      <c r="F40" s="290" t="s">
        <v>28</v>
      </c>
      <c r="G40" s="141" t="n">
        <v>4</v>
      </c>
      <c r="H40" s="141" t="s">
        <v>66</v>
      </c>
      <c r="I40" s="141" t="n">
        <v>0</v>
      </c>
      <c r="J40" s="141" t="n">
        <v>70</v>
      </c>
      <c r="K40" s="141" t="s">
        <v>66</v>
      </c>
      <c r="L40" s="142" t="n">
        <f aca="false">IF(J40="",0,(J40/J42)*100)</f>
        <v>81.3953488372093</v>
      </c>
      <c r="M40" s="141" t="n">
        <v>4</v>
      </c>
      <c r="N40" s="143" t="n">
        <v>0</v>
      </c>
      <c r="O40" s="144" t="n">
        <f aca="false">IF(M40=1,1,0)</f>
        <v>0</v>
      </c>
      <c r="P40" s="145" t="n">
        <f aca="false">IF(M40=2,1,0)</f>
        <v>0</v>
      </c>
      <c r="Q40" s="145" t="n">
        <f aca="false">IF(M40=3,1,0)</f>
        <v>0</v>
      </c>
      <c r="R40" s="146" t="n">
        <f aca="false">IF(M40=4,1,0)</f>
        <v>1</v>
      </c>
      <c r="S40" s="140"/>
      <c r="T40" s="122"/>
      <c r="U40" s="77"/>
    </row>
    <row r="41" customFormat="false" ht="20.15" hidden="false" customHeight="true" outlineLevel="0" collapsed="false">
      <c r="B41" s="77"/>
      <c r="C41" s="122"/>
      <c r="D41" s="152"/>
      <c r="E41" s="295" t="s">
        <v>19</v>
      </c>
      <c r="F41" s="113" t="s">
        <v>20</v>
      </c>
      <c r="G41" s="153" t="n">
        <v>2</v>
      </c>
      <c r="H41" s="153" t="s">
        <v>66</v>
      </c>
      <c r="I41" s="153" t="n">
        <v>0</v>
      </c>
      <c r="J41" s="153" t="n">
        <v>72</v>
      </c>
      <c r="K41" s="153" t="s">
        <v>66</v>
      </c>
      <c r="L41" s="154" t="n">
        <f aca="false">IF(J41="",0,(J41/J42)*100)</f>
        <v>83.7209302325581</v>
      </c>
      <c r="M41" s="153" t="n">
        <v>3</v>
      </c>
      <c r="N41" s="155" t="n">
        <v>1</v>
      </c>
      <c r="O41" s="156" t="n">
        <f aca="false">IF(M41=1,1,0)</f>
        <v>0</v>
      </c>
      <c r="P41" s="157" t="n">
        <f aca="false">IF(M41=2,1,0)</f>
        <v>0</v>
      </c>
      <c r="Q41" s="157" t="n">
        <f aca="false">IF(M41=3,1,0)</f>
        <v>1</v>
      </c>
      <c r="R41" s="158" t="n">
        <f aca="false">IF(M41=4,1,0)</f>
        <v>0</v>
      </c>
      <c r="S41" s="140"/>
      <c r="T41" s="122"/>
      <c r="U41" s="77"/>
    </row>
    <row r="42" customFormat="false" ht="20.15" hidden="true" customHeight="true" outlineLevel="1" collapsed="false">
      <c r="B42" s="77"/>
      <c r="C42" s="122"/>
      <c r="D42" s="159"/>
      <c r="E42" s="159"/>
      <c r="F42" s="140"/>
      <c r="G42" s="140"/>
      <c r="H42" s="122"/>
      <c r="I42" s="160" t="s">
        <v>92</v>
      </c>
      <c r="J42" s="161" t="n">
        <f aca="false">MAX(J38:J41)</f>
        <v>86</v>
      </c>
      <c r="K42" s="162"/>
      <c r="L42" s="163"/>
      <c r="M42" s="122"/>
      <c r="N42" s="164" t="s">
        <v>93</v>
      </c>
      <c r="O42" s="165" t="n">
        <f aca="false">SUM(O38:O41)</f>
        <v>1</v>
      </c>
      <c r="P42" s="166" t="n">
        <f aca="false">SUM(P38:P41)</f>
        <v>1</v>
      </c>
      <c r="Q42" s="165" t="n">
        <f aca="false">SUM(Q38:Q41)</f>
        <v>1</v>
      </c>
      <c r="R42" s="165" t="n">
        <f aca="false">SUM(R38:R41)</f>
        <v>1</v>
      </c>
      <c r="S42" s="167"/>
      <c r="T42" s="122"/>
      <c r="U42" s="77"/>
    </row>
    <row r="43" customFormat="false" ht="20.15" hidden="false" customHeight="true" outlineLevel="0" collapsed="false">
      <c r="B43" s="77"/>
      <c r="C43" s="122"/>
      <c r="D43" s="168"/>
      <c r="E43" s="168"/>
      <c r="F43" s="169"/>
      <c r="G43" s="169"/>
      <c r="H43" s="124"/>
      <c r="I43" s="122"/>
      <c r="J43" s="122"/>
      <c r="K43" s="122"/>
      <c r="L43" s="122"/>
      <c r="M43" s="122"/>
      <c r="N43" s="122"/>
      <c r="O43" s="122"/>
      <c r="P43" s="122"/>
      <c r="Q43" s="122"/>
      <c r="R43" s="122"/>
      <c r="S43" s="122"/>
      <c r="T43" s="122"/>
      <c r="U43" s="77"/>
    </row>
    <row r="44" customFormat="false" ht="20.15" hidden="false" customHeight="true" outlineLevel="0" collapsed="false">
      <c r="B44" s="77"/>
      <c r="U44" s="77"/>
    </row>
    <row r="45" customFormat="false" ht="20.15" hidden="false" customHeight="true" outlineLevel="0" collapsed="false">
      <c r="B45" s="77"/>
      <c r="C45" s="170"/>
      <c r="D45" s="170"/>
      <c r="E45" s="171" t="str">
        <f aca="false">IF(OR(M32="-",M32= ""),H32,M32)</f>
        <v>Dungon Lords</v>
      </c>
      <c r="F45" s="171"/>
      <c r="G45" s="171"/>
      <c r="H45" s="171"/>
      <c r="I45" s="171"/>
      <c r="J45" s="171"/>
      <c r="K45" s="171"/>
      <c r="L45" s="171"/>
      <c r="M45" s="171"/>
      <c r="N45" s="171"/>
      <c r="O45" s="172"/>
      <c r="P45" s="172"/>
      <c r="Q45" s="172"/>
      <c r="R45" s="172"/>
      <c r="S45" s="172"/>
      <c r="T45" s="170"/>
      <c r="U45" s="77"/>
    </row>
    <row r="46" customFormat="false" ht="50.15" hidden="false" customHeight="true" outlineLevel="0" collapsed="false">
      <c r="B46" s="77"/>
      <c r="C46" s="170"/>
      <c r="D46" s="172"/>
      <c r="E46" s="125" t="s">
        <v>52</v>
      </c>
      <c r="F46" s="126" t="s">
        <v>75</v>
      </c>
      <c r="G46" s="82" t="s">
        <v>76</v>
      </c>
      <c r="H46" s="81" t="s">
        <v>77</v>
      </c>
      <c r="I46" s="59" t="s">
        <v>78</v>
      </c>
      <c r="J46" s="81" t="s">
        <v>79</v>
      </c>
      <c r="K46" s="127" t="s">
        <v>80</v>
      </c>
      <c r="L46" s="81" t="s">
        <v>81</v>
      </c>
      <c r="M46" s="128" t="s">
        <v>82</v>
      </c>
      <c r="N46" s="129" t="s">
        <v>83</v>
      </c>
      <c r="O46" s="130" t="s">
        <v>84</v>
      </c>
      <c r="P46" s="131" t="s">
        <v>85</v>
      </c>
      <c r="Q46" s="131" t="s">
        <v>86</v>
      </c>
      <c r="R46" s="131" t="s">
        <v>87</v>
      </c>
      <c r="S46" s="172"/>
      <c r="T46" s="170"/>
      <c r="U46" s="77"/>
    </row>
    <row r="47" customFormat="false" ht="20.15" hidden="false" customHeight="true" outlineLevel="0" collapsed="false">
      <c r="B47" s="77"/>
      <c r="C47" s="170"/>
      <c r="D47" s="173"/>
      <c r="E47" s="86" t="s">
        <v>13</v>
      </c>
      <c r="F47" s="87" t="s">
        <v>14</v>
      </c>
      <c r="G47" s="133" t="n">
        <v>4</v>
      </c>
      <c r="H47" s="134" t="s">
        <v>66</v>
      </c>
      <c r="I47" s="133" t="n">
        <v>0</v>
      </c>
      <c r="J47" s="134" t="n">
        <v>2</v>
      </c>
      <c r="K47" s="134" t="s">
        <v>66</v>
      </c>
      <c r="L47" s="135" t="n">
        <f aca="false">IF(J47="",0,(J47/J51)*100)</f>
        <v>8</v>
      </c>
      <c r="M47" s="133" t="n">
        <v>3</v>
      </c>
      <c r="N47" s="136" t="n">
        <v>1</v>
      </c>
      <c r="O47" s="137" t="n">
        <f aca="false">IF(M47=1,1,0)</f>
        <v>0</v>
      </c>
      <c r="P47" s="138" t="n">
        <f aca="false">IF(M47=2,1,0)</f>
        <v>0</v>
      </c>
      <c r="Q47" s="138" t="n">
        <f aca="false">IF(M47=3,1,0)</f>
        <v>1</v>
      </c>
      <c r="R47" s="139" t="n">
        <f aca="false">IF(M47=4,1,0)</f>
        <v>0</v>
      </c>
      <c r="S47" s="176"/>
      <c r="T47" s="170"/>
      <c r="U47" s="77"/>
    </row>
    <row r="48" customFormat="false" ht="20.15" hidden="false" customHeight="true" outlineLevel="0" collapsed="false">
      <c r="B48" s="77"/>
      <c r="C48" s="170"/>
      <c r="D48" s="177"/>
      <c r="E48" s="147" t="s">
        <v>49</v>
      </c>
      <c r="F48" s="148" t="s">
        <v>50</v>
      </c>
      <c r="G48" s="149" t="n">
        <v>2</v>
      </c>
      <c r="H48" s="179" t="s">
        <v>66</v>
      </c>
      <c r="I48" s="149" t="n">
        <v>0</v>
      </c>
      <c r="J48" s="179" t="n">
        <v>25</v>
      </c>
      <c r="K48" s="179" t="s">
        <v>66</v>
      </c>
      <c r="L48" s="150" t="n">
        <f aca="false">IF(J48="",0,(J48/J51)*100)</f>
        <v>100</v>
      </c>
      <c r="M48" s="149" t="n">
        <v>1</v>
      </c>
      <c r="N48" s="151" t="n">
        <v>6</v>
      </c>
      <c r="O48" s="144" t="n">
        <f aca="false">IF(M48=1,1,0)</f>
        <v>1</v>
      </c>
      <c r="P48" s="145" t="n">
        <f aca="false">IF(M48=2,1,0)</f>
        <v>0</v>
      </c>
      <c r="Q48" s="145" t="n">
        <f aca="false">IF(M48=3,1,0)</f>
        <v>0</v>
      </c>
      <c r="R48" s="146" t="n">
        <f aca="false">IF(M48=4,1,0)</f>
        <v>0</v>
      </c>
      <c r="S48" s="176"/>
      <c r="T48" s="170"/>
      <c r="U48" s="77"/>
    </row>
    <row r="49" customFormat="false" ht="20.15" hidden="false" customHeight="true" outlineLevel="0" collapsed="false">
      <c r="B49" s="77"/>
      <c r="C49" s="170"/>
      <c r="D49" s="173"/>
      <c r="E49" s="105" t="s">
        <v>489</v>
      </c>
      <c r="F49" s="290" t="s">
        <v>28</v>
      </c>
      <c r="G49" s="141" t="n">
        <v>1</v>
      </c>
      <c r="H49" s="181" t="s">
        <v>66</v>
      </c>
      <c r="I49" s="141" t="n">
        <v>0</v>
      </c>
      <c r="J49" s="181" t="n">
        <v>15</v>
      </c>
      <c r="K49" s="181" t="s">
        <v>66</v>
      </c>
      <c r="L49" s="142" t="n">
        <f aca="false">IF(J49="",0,(J49/J51)*100)</f>
        <v>60</v>
      </c>
      <c r="M49" s="141" t="n">
        <v>2</v>
      </c>
      <c r="N49" s="143" t="n">
        <v>3</v>
      </c>
      <c r="O49" s="144" t="n">
        <f aca="false">IF(M49=1,1,0)</f>
        <v>0</v>
      </c>
      <c r="P49" s="145" t="n">
        <f aca="false">IF(M49=2,1,0)</f>
        <v>1</v>
      </c>
      <c r="Q49" s="145" t="n">
        <f aca="false">IF(M49=3,1,0)</f>
        <v>0</v>
      </c>
      <c r="R49" s="146" t="n">
        <f aca="false">IF(M49=4,1,0)</f>
        <v>0</v>
      </c>
      <c r="S49" s="176"/>
      <c r="T49" s="170"/>
      <c r="U49" s="77"/>
    </row>
    <row r="50" customFormat="false" ht="20.15" hidden="false" customHeight="true" outlineLevel="0" collapsed="false">
      <c r="B50" s="77"/>
      <c r="C50" s="170"/>
      <c r="D50" s="173"/>
      <c r="E50" s="295" t="s">
        <v>19</v>
      </c>
      <c r="F50" s="113" t="s">
        <v>20</v>
      </c>
      <c r="G50" s="153" t="n">
        <v>3</v>
      </c>
      <c r="H50" s="183" t="s">
        <v>66</v>
      </c>
      <c r="I50" s="153" t="n">
        <v>0</v>
      </c>
      <c r="J50" s="183" t="n">
        <v>-11</v>
      </c>
      <c r="K50" s="153" t="s">
        <v>66</v>
      </c>
      <c r="L50" s="184" t="n">
        <f aca="false">IF(J50="",0,(J50/J51)*100)</f>
        <v>-44</v>
      </c>
      <c r="M50" s="153" t="n">
        <v>4</v>
      </c>
      <c r="N50" s="155" t="n">
        <v>0</v>
      </c>
      <c r="O50" s="156" t="n">
        <f aca="false">IF(M50=1,1,0)</f>
        <v>0</v>
      </c>
      <c r="P50" s="157" t="n">
        <f aca="false">IF(M50=2,1,0)</f>
        <v>0</v>
      </c>
      <c r="Q50" s="157" t="n">
        <f aca="false">IF(M50=3,1,0)</f>
        <v>0</v>
      </c>
      <c r="R50" s="158" t="n">
        <f aca="false">IF(M50=4,1,0)</f>
        <v>1</v>
      </c>
      <c r="S50" s="176"/>
      <c r="T50" s="170"/>
      <c r="U50" s="77"/>
    </row>
    <row r="51" customFormat="false" ht="20.15" hidden="true" customHeight="true" outlineLevel="1" collapsed="false">
      <c r="B51" s="77"/>
      <c r="C51" s="170"/>
      <c r="D51" s="173"/>
      <c r="E51" s="173"/>
      <c r="F51" s="172"/>
      <c r="G51" s="172"/>
      <c r="H51" s="170"/>
      <c r="I51" s="185" t="s">
        <v>92</v>
      </c>
      <c r="J51" s="161" t="n">
        <f aca="false">MAX(J47:J50)</f>
        <v>25</v>
      </c>
      <c r="K51" s="186"/>
      <c r="L51" s="176"/>
      <c r="M51" s="170"/>
      <c r="N51" s="164" t="s">
        <v>93</v>
      </c>
      <c r="O51" s="165" t="n">
        <f aca="false">SUM(O47:O50)</f>
        <v>1</v>
      </c>
      <c r="P51" s="166" t="n">
        <f aca="false">SUM(P47:P50)</f>
        <v>1</v>
      </c>
      <c r="Q51" s="165" t="n">
        <f aca="false">SUM(Q47:Q50)</f>
        <v>1</v>
      </c>
      <c r="R51" s="187" t="n">
        <f aca="false">SUM(R47:R50)</f>
        <v>1</v>
      </c>
      <c r="S51" s="188"/>
      <c r="T51" s="170"/>
      <c r="U51" s="77"/>
    </row>
    <row r="52" customFormat="false" ht="20.15" hidden="false" customHeight="true" outlineLevel="0" collapsed="false">
      <c r="B52" s="77"/>
      <c r="C52" s="170"/>
      <c r="D52" s="189"/>
      <c r="E52" s="189"/>
      <c r="F52" s="170"/>
      <c r="G52" s="170"/>
      <c r="H52" s="170"/>
      <c r="I52" s="170"/>
      <c r="J52" s="170"/>
      <c r="K52" s="170"/>
      <c r="L52" s="170"/>
      <c r="M52" s="170"/>
      <c r="N52" s="170"/>
      <c r="O52" s="170"/>
      <c r="P52" s="170"/>
      <c r="Q52" s="170"/>
      <c r="R52" s="170"/>
      <c r="S52" s="170"/>
      <c r="T52" s="170"/>
      <c r="U52" s="77"/>
    </row>
    <row r="53" customFormat="false" ht="20.15" hidden="false" customHeight="true" outlineLevel="0" collapsed="false">
      <c r="B53" s="77"/>
      <c r="D53" s="190"/>
      <c r="E53" s="190"/>
      <c r="F53" s="190"/>
      <c r="G53" s="190"/>
      <c r="H53" s="191"/>
      <c r="I53" s="190"/>
      <c r="J53" s="190"/>
      <c r="K53" s="14"/>
      <c r="L53" s="14"/>
      <c r="M53" s="14"/>
      <c r="N53" s="14"/>
      <c r="O53" s="14"/>
      <c r="P53" s="14"/>
      <c r="Q53" s="14"/>
      <c r="R53" s="14"/>
      <c r="S53" s="14"/>
      <c r="U53" s="77"/>
    </row>
    <row r="54" customFormat="false" ht="20.15" hidden="false" customHeight="true" outlineLevel="0" collapsed="false">
      <c r="B54" s="77"/>
      <c r="C54" s="192"/>
      <c r="D54" s="192"/>
      <c r="E54" s="193" t="str">
        <f aca="false">IF(OR(M33="-",M33= ""),H33,M33)</f>
        <v>Snowdonia</v>
      </c>
      <c r="F54" s="193"/>
      <c r="G54" s="193"/>
      <c r="H54" s="193"/>
      <c r="I54" s="193"/>
      <c r="J54" s="193"/>
      <c r="K54" s="193"/>
      <c r="L54" s="193"/>
      <c r="M54" s="193"/>
      <c r="N54" s="193"/>
      <c r="O54" s="194"/>
      <c r="P54" s="194"/>
      <c r="Q54" s="194"/>
      <c r="R54" s="194"/>
      <c r="S54" s="194"/>
      <c r="T54" s="192"/>
      <c r="U54" s="195"/>
      <c r="V54" s="196"/>
      <c r="W54" s="196"/>
    </row>
    <row r="55" customFormat="false" ht="50.15" hidden="false" customHeight="true" outlineLevel="0" collapsed="false">
      <c r="B55" s="77"/>
      <c r="C55" s="192"/>
      <c r="D55" s="194"/>
      <c r="E55" s="125" t="s">
        <v>52</v>
      </c>
      <c r="F55" s="126" t="s">
        <v>75</v>
      </c>
      <c r="G55" s="82" t="s">
        <v>76</v>
      </c>
      <c r="H55" s="81" t="s">
        <v>77</v>
      </c>
      <c r="I55" s="59" t="s">
        <v>78</v>
      </c>
      <c r="J55" s="81" t="s">
        <v>79</v>
      </c>
      <c r="K55" s="127" t="s">
        <v>80</v>
      </c>
      <c r="L55" s="81" t="s">
        <v>81</v>
      </c>
      <c r="M55" s="128" t="s">
        <v>82</v>
      </c>
      <c r="N55" s="129" t="s">
        <v>83</v>
      </c>
      <c r="O55" s="130" t="s">
        <v>84</v>
      </c>
      <c r="P55" s="131" t="s">
        <v>85</v>
      </c>
      <c r="Q55" s="131" t="s">
        <v>86</v>
      </c>
      <c r="R55" s="197" t="s">
        <v>87</v>
      </c>
      <c r="S55" s="194"/>
      <c r="T55" s="192"/>
      <c r="U55" s="195"/>
      <c r="V55" s="196"/>
      <c r="W55" s="196"/>
    </row>
    <row r="56" customFormat="false" ht="20.15" hidden="false" customHeight="true" outlineLevel="0" collapsed="false">
      <c r="B56" s="77"/>
      <c r="C56" s="192"/>
      <c r="D56" s="198"/>
      <c r="E56" s="86" t="s">
        <v>13</v>
      </c>
      <c r="F56" s="87" t="s">
        <v>14</v>
      </c>
      <c r="G56" s="133" t="n">
        <v>3</v>
      </c>
      <c r="H56" s="134" t="s">
        <v>66</v>
      </c>
      <c r="I56" s="133" t="n">
        <v>0</v>
      </c>
      <c r="J56" s="548" t="n">
        <v>89</v>
      </c>
      <c r="K56" s="133" t="s">
        <v>66</v>
      </c>
      <c r="L56" s="135" t="n">
        <f aca="false">IF(J56="",0,(J56/J60)*100)</f>
        <v>65.9259259259259</v>
      </c>
      <c r="M56" s="133" t="n">
        <v>3</v>
      </c>
      <c r="N56" s="136" t="n">
        <v>1</v>
      </c>
      <c r="O56" s="137" t="n">
        <f aca="false">IF(M56=1,1,0)</f>
        <v>0</v>
      </c>
      <c r="P56" s="138" t="n">
        <f aca="false">IF(M56=2,1,0)</f>
        <v>0</v>
      </c>
      <c r="Q56" s="138" t="n">
        <f aca="false">IF(M56=3,1,0)</f>
        <v>1</v>
      </c>
      <c r="R56" s="139" t="n">
        <f aca="false">IF(M56=4,1,0)</f>
        <v>0</v>
      </c>
      <c r="S56" s="206"/>
      <c r="T56" s="192"/>
      <c r="U56" s="207"/>
      <c r="V56" s="121"/>
      <c r="W56" s="121"/>
    </row>
    <row r="57" customFormat="false" ht="20.15" hidden="false" customHeight="true" outlineLevel="0" collapsed="false">
      <c r="B57" s="77"/>
      <c r="C57" s="192"/>
      <c r="D57" s="208"/>
      <c r="E57" s="105" t="s">
        <v>49</v>
      </c>
      <c r="F57" s="96" t="s">
        <v>50</v>
      </c>
      <c r="G57" s="141" t="n">
        <v>2</v>
      </c>
      <c r="H57" s="141" t="s">
        <v>66</v>
      </c>
      <c r="I57" s="141" t="n">
        <v>0</v>
      </c>
      <c r="J57" s="210" t="n">
        <v>98</v>
      </c>
      <c r="K57" s="141" t="s">
        <v>66</v>
      </c>
      <c r="L57" s="142" t="n">
        <f aca="false">IF(J57="",0,(J57/J60)*100)</f>
        <v>72.5925925925926</v>
      </c>
      <c r="M57" s="141" t="n">
        <v>2</v>
      </c>
      <c r="N57" s="143" t="n">
        <v>3</v>
      </c>
      <c r="O57" s="144" t="n">
        <f aca="false">IF(M57=1,1,0)</f>
        <v>0</v>
      </c>
      <c r="P57" s="145" t="n">
        <f aca="false">IF(M57=2,1,0)</f>
        <v>1</v>
      </c>
      <c r="Q57" s="145" t="n">
        <f aca="false">IF(M57=3,1,0)</f>
        <v>0</v>
      </c>
      <c r="R57" s="146" t="n">
        <f aca="false">IF(M57=4,1,0)</f>
        <v>0</v>
      </c>
      <c r="S57" s="206"/>
      <c r="T57" s="192"/>
      <c r="U57" s="211"/>
      <c r="V57" s="121"/>
      <c r="W57" s="121"/>
    </row>
    <row r="58" customFormat="false" ht="20.15" hidden="false" customHeight="true" outlineLevel="0" collapsed="false">
      <c r="B58" s="77"/>
      <c r="C58" s="192"/>
      <c r="D58" s="198"/>
      <c r="E58" s="147" t="s">
        <v>489</v>
      </c>
      <c r="F58" s="355" t="s">
        <v>28</v>
      </c>
      <c r="G58" s="149" t="n">
        <v>1</v>
      </c>
      <c r="H58" s="179" t="s">
        <v>66</v>
      </c>
      <c r="I58" s="149" t="n">
        <v>0</v>
      </c>
      <c r="J58" s="357" t="n">
        <v>135</v>
      </c>
      <c r="K58" s="149" t="s">
        <v>66</v>
      </c>
      <c r="L58" s="150" t="n">
        <f aca="false">IF(J58="",0,(J58/J60)*100)</f>
        <v>100</v>
      </c>
      <c r="M58" s="149" t="n">
        <v>1</v>
      </c>
      <c r="N58" s="151" t="n">
        <v>6</v>
      </c>
      <c r="O58" s="144" t="n">
        <f aca="false">IF(M58=1,1,0)</f>
        <v>1</v>
      </c>
      <c r="P58" s="145" t="n">
        <f aca="false">IF(M58=2,1,0)</f>
        <v>0</v>
      </c>
      <c r="Q58" s="145" t="n">
        <f aca="false">IF(M58=3,1,0)</f>
        <v>0</v>
      </c>
      <c r="R58" s="146" t="n">
        <f aca="false">IF(M58=4,1,0)</f>
        <v>0</v>
      </c>
      <c r="S58" s="206"/>
      <c r="T58" s="192"/>
      <c r="U58" s="211"/>
      <c r="V58" s="121"/>
      <c r="W58" s="121"/>
    </row>
    <row r="59" customFormat="false" ht="20.15" hidden="false" customHeight="true" outlineLevel="0" collapsed="false">
      <c r="B59" s="77"/>
      <c r="C59" s="192"/>
      <c r="D59" s="198"/>
      <c r="E59" s="295" t="s">
        <v>19</v>
      </c>
      <c r="F59" s="113" t="s">
        <v>20</v>
      </c>
      <c r="G59" s="153" t="n">
        <v>4</v>
      </c>
      <c r="H59" s="183" t="s">
        <v>66</v>
      </c>
      <c r="I59" s="153" t="n">
        <v>0</v>
      </c>
      <c r="J59" s="212" t="n">
        <v>87</v>
      </c>
      <c r="K59" s="153" t="s">
        <v>66</v>
      </c>
      <c r="L59" s="154" t="n">
        <f aca="false">IF(J59="",0,(J59/J60)*100)</f>
        <v>64.4444444444444</v>
      </c>
      <c r="M59" s="153" t="n">
        <v>4</v>
      </c>
      <c r="N59" s="155" t="n">
        <v>0</v>
      </c>
      <c r="O59" s="156" t="n">
        <f aca="false">IF(M59=1,1,0)</f>
        <v>0</v>
      </c>
      <c r="P59" s="157" t="n">
        <f aca="false">IF(M59=2,1,0)</f>
        <v>0</v>
      </c>
      <c r="Q59" s="157" t="n">
        <f aca="false">IF(M59=3,1,0)</f>
        <v>0</v>
      </c>
      <c r="R59" s="158" t="n">
        <f aca="false">IF(M59=4,1,0)</f>
        <v>1</v>
      </c>
      <c r="S59" s="206"/>
      <c r="T59" s="192"/>
      <c r="U59" s="211"/>
      <c r="V59" s="121"/>
      <c r="W59" s="121"/>
    </row>
    <row r="60" customFormat="false" ht="20.15" hidden="true" customHeight="true" outlineLevel="1" collapsed="false">
      <c r="B60" s="77"/>
      <c r="C60" s="192"/>
      <c r="D60" s="198"/>
      <c r="E60" s="198"/>
      <c r="F60" s="206"/>
      <c r="G60" s="206"/>
      <c r="H60" s="192"/>
      <c r="I60" s="213" t="s">
        <v>92</v>
      </c>
      <c r="J60" s="161" t="n">
        <f aca="false">MAX(J56:J59)</f>
        <v>135</v>
      </c>
      <c r="K60" s="214"/>
      <c r="L60" s="206"/>
      <c r="M60" s="192"/>
      <c r="N60" s="164" t="s">
        <v>93</v>
      </c>
      <c r="O60" s="165" t="n">
        <f aca="false">SUM(O56:O59)</f>
        <v>1</v>
      </c>
      <c r="P60" s="166" t="n">
        <f aca="false">SUM(P56:P59)</f>
        <v>1</v>
      </c>
      <c r="Q60" s="165" t="n">
        <f aca="false">SUM(Q56:Q59)</f>
        <v>1</v>
      </c>
      <c r="R60" s="187" t="n">
        <f aca="false">SUM(R56:R59)</f>
        <v>1</v>
      </c>
      <c r="S60" s="215"/>
      <c r="T60" s="192"/>
      <c r="U60" s="211"/>
      <c r="V60" s="121"/>
      <c r="W60" s="121"/>
    </row>
    <row r="61" customFormat="false" ht="20.15" hidden="false" customHeight="true" outlineLevel="0" collapsed="false">
      <c r="B61" s="77"/>
      <c r="C61" s="192"/>
      <c r="D61" s="216"/>
      <c r="E61" s="216"/>
      <c r="F61" s="192"/>
      <c r="G61" s="192"/>
      <c r="H61" s="192"/>
      <c r="I61" s="192"/>
      <c r="J61" s="192"/>
      <c r="K61" s="192"/>
      <c r="L61" s="192"/>
      <c r="M61" s="192"/>
      <c r="N61" s="192"/>
      <c r="O61" s="192"/>
      <c r="P61" s="192"/>
      <c r="Q61" s="192"/>
      <c r="R61" s="192"/>
      <c r="S61" s="192"/>
      <c r="T61" s="192"/>
      <c r="U61" s="211"/>
      <c r="V61" s="121"/>
      <c r="W61" s="121"/>
    </row>
    <row r="62" customFormat="false" ht="20.15" hidden="false" customHeight="true" outlineLevel="0" collapsed="false">
      <c r="B62" s="77"/>
      <c r="D62" s="190"/>
      <c r="E62" s="190"/>
      <c r="F62" s="190"/>
      <c r="G62" s="190"/>
      <c r="H62" s="191"/>
      <c r="I62" s="190"/>
      <c r="J62" s="190"/>
      <c r="K62" s="190"/>
      <c r="L62" s="14"/>
      <c r="M62" s="14"/>
      <c r="N62" s="14"/>
      <c r="O62" s="14"/>
      <c r="P62" s="14"/>
      <c r="Q62" s="14"/>
      <c r="R62" s="14"/>
      <c r="S62" s="14"/>
      <c r="U62" s="207"/>
      <c r="V62" s="121"/>
      <c r="W62" s="121"/>
    </row>
    <row r="63" customFormat="false" ht="20.15" hidden="false" customHeight="true" outlineLevel="0" collapsed="false">
      <c r="B63" s="77"/>
      <c r="C63" s="217"/>
      <c r="D63" s="217"/>
      <c r="E63" s="218" t="str">
        <f aca="false">IF(OR(M34="-",M34= ""),H34,M34)</f>
        <v>New Frontiers</v>
      </c>
      <c r="F63" s="218"/>
      <c r="G63" s="218"/>
      <c r="H63" s="218"/>
      <c r="I63" s="218"/>
      <c r="J63" s="218"/>
      <c r="K63" s="218"/>
      <c r="L63" s="218"/>
      <c r="M63" s="218"/>
      <c r="N63" s="218"/>
      <c r="O63" s="219"/>
      <c r="P63" s="219"/>
      <c r="Q63" s="219"/>
      <c r="R63" s="219"/>
      <c r="S63" s="219"/>
      <c r="T63" s="217"/>
      <c r="U63" s="77"/>
    </row>
    <row r="64" customFormat="false" ht="50.15" hidden="false" customHeight="true" outlineLevel="0" collapsed="false">
      <c r="B64" s="77"/>
      <c r="C64" s="217"/>
      <c r="D64" s="219"/>
      <c r="E64" s="125" t="s">
        <v>52</v>
      </c>
      <c r="F64" s="126" t="s">
        <v>75</v>
      </c>
      <c r="G64" s="82" t="s">
        <v>76</v>
      </c>
      <c r="H64" s="81" t="s">
        <v>77</v>
      </c>
      <c r="I64" s="59" t="s">
        <v>78</v>
      </c>
      <c r="J64" s="81" t="s">
        <v>79</v>
      </c>
      <c r="K64" s="127" t="s">
        <v>80</v>
      </c>
      <c r="L64" s="81" t="s">
        <v>81</v>
      </c>
      <c r="M64" s="128" t="s">
        <v>82</v>
      </c>
      <c r="N64" s="129" t="s">
        <v>83</v>
      </c>
      <c r="O64" s="130" t="s">
        <v>84</v>
      </c>
      <c r="P64" s="131" t="s">
        <v>85</v>
      </c>
      <c r="Q64" s="131" t="s">
        <v>86</v>
      </c>
      <c r="R64" s="197" t="s">
        <v>87</v>
      </c>
      <c r="S64" s="219"/>
      <c r="T64" s="217"/>
      <c r="U64" s="77"/>
    </row>
    <row r="65" customFormat="false" ht="20" hidden="false" customHeight="true" outlineLevel="0" collapsed="false">
      <c r="B65" s="77"/>
      <c r="C65" s="217"/>
      <c r="D65" s="220"/>
      <c r="E65" s="199" t="s">
        <v>13</v>
      </c>
      <c r="F65" s="200" t="s">
        <v>14</v>
      </c>
      <c r="G65" s="201" t="n">
        <v>4</v>
      </c>
      <c r="H65" s="202" t="s">
        <v>499</v>
      </c>
      <c r="I65" s="201" t="n">
        <v>0</v>
      </c>
      <c r="J65" s="202" t="n">
        <v>26</v>
      </c>
      <c r="K65" s="201" t="s">
        <v>66</v>
      </c>
      <c r="L65" s="204" t="n">
        <f aca="false">IF(J65="",0,(J65/J69)*100)</f>
        <v>100</v>
      </c>
      <c r="M65" s="201" t="n">
        <v>1</v>
      </c>
      <c r="N65" s="205" t="n">
        <v>6</v>
      </c>
      <c r="O65" s="137" t="n">
        <f aca="false">IF(M65=1,1,0)</f>
        <v>1</v>
      </c>
      <c r="P65" s="138" t="n">
        <f aca="false">IF(M65=2,1,0)</f>
        <v>0</v>
      </c>
      <c r="Q65" s="138" t="n">
        <f aca="false">IF(M65=3,1,0)</f>
        <v>0</v>
      </c>
      <c r="R65" s="139" t="n">
        <f aca="false">IF(M65=4,1,0)</f>
        <v>0</v>
      </c>
      <c r="S65" s="225"/>
      <c r="T65" s="217"/>
      <c r="U65" s="77"/>
    </row>
    <row r="66" customFormat="false" ht="20" hidden="false" customHeight="true" outlineLevel="0" collapsed="false">
      <c r="B66" s="77"/>
      <c r="C66" s="217"/>
      <c r="D66" s="220"/>
      <c r="E66" s="105" t="s">
        <v>49</v>
      </c>
      <c r="F66" s="96" t="s">
        <v>50</v>
      </c>
      <c r="G66" s="141" t="n">
        <v>1</v>
      </c>
      <c r="H66" s="181" t="s">
        <v>500</v>
      </c>
      <c r="I66" s="141" t="n">
        <v>2</v>
      </c>
      <c r="J66" s="181" t="n">
        <v>25</v>
      </c>
      <c r="K66" s="141" t="s">
        <v>66</v>
      </c>
      <c r="L66" s="142" t="n">
        <f aca="false">IF(J66="",0,(J66/J69)*100)</f>
        <v>96.1538461538462</v>
      </c>
      <c r="M66" s="141" t="n">
        <v>2</v>
      </c>
      <c r="N66" s="143" t="n">
        <v>3</v>
      </c>
      <c r="O66" s="144" t="n">
        <f aca="false">IF(M66=1,1,0)</f>
        <v>0</v>
      </c>
      <c r="P66" s="145" t="n">
        <f aca="false">IF(M66=2,1,0)</f>
        <v>1</v>
      </c>
      <c r="Q66" s="145" t="n">
        <f aca="false">IF(M66=3,1,0)</f>
        <v>0</v>
      </c>
      <c r="R66" s="146" t="n">
        <f aca="false">IF(M66=4,1,0)</f>
        <v>0</v>
      </c>
      <c r="S66" s="225"/>
      <c r="T66" s="217"/>
      <c r="U66" s="77"/>
    </row>
    <row r="67" customFormat="false" ht="20" hidden="false" customHeight="true" outlineLevel="0" collapsed="false">
      <c r="B67" s="77"/>
      <c r="C67" s="217"/>
      <c r="D67" s="220"/>
      <c r="E67" s="105" t="s">
        <v>489</v>
      </c>
      <c r="F67" s="290" t="s">
        <v>29</v>
      </c>
      <c r="G67" s="141" t="n">
        <v>3</v>
      </c>
      <c r="H67" s="181" t="s">
        <v>501</v>
      </c>
      <c r="I67" s="141" t="n">
        <v>2</v>
      </c>
      <c r="J67" s="181" t="n">
        <v>20</v>
      </c>
      <c r="K67" s="141" t="s">
        <v>66</v>
      </c>
      <c r="L67" s="142" t="n">
        <f aca="false">IF(J67="",0,(J67/J69)*100)</f>
        <v>76.9230769230769</v>
      </c>
      <c r="M67" s="141" t="n">
        <v>4</v>
      </c>
      <c r="N67" s="143" t="n">
        <v>0</v>
      </c>
      <c r="O67" s="144" t="n">
        <f aca="false">IF(M67=1,1,0)</f>
        <v>0</v>
      </c>
      <c r="P67" s="145" t="n">
        <f aca="false">IF(M67=2,1,0)</f>
        <v>0</v>
      </c>
      <c r="Q67" s="145" t="n">
        <f aca="false">IF(M67=3,1,0)</f>
        <v>0</v>
      </c>
      <c r="R67" s="146" t="n">
        <f aca="false">IF(M67=4,1,0)</f>
        <v>1</v>
      </c>
      <c r="S67" s="225"/>
      <c r="T67" s="217"/>
      <c r="U67" s="77"/>
    </row>
    <row r="68" customFormat="false" ht="20" hidden="false" customHeight="true" outlineLevel="0" collapsed="false">
      <c r="B68" s="77"/>
      <c r="C68" s="217"/>
      <c r="D68" s="231"/>
      <c r="E68" s="295" t="s">
        <v>19</v>
      </c>
      <c r="F68" s="113" t="s">
        <v>20</v>
      </c>
      <c r="G68" s="153" t="n">
        <v>2</v>
      </c>
      <c r="H68" s="183" t="s">
        <v>476</v>
      </c>
      <c r="I68" s="153" t="n">
        <v>1</v>
      </c>
      <c r="J68" s="183" t="n">
        <v>23</v>
      </c>
      <c r="K68" s="153" t="s">
        <v>66</v>
      </c>
      <c r="L68" s="154" t="n">
        <f aca="false">IF(J68="",0,(J68/J69)*100)</f>
        <v>88.4615384615385</v>
      </c>
      <c r="M68" s="153" t="n">
        <v>3</v>
      </c>
      <c r="N68" s="155" t="n">
        <v>1</v>
      </c>
      <c r="O68" s="156" t="n">
        <f aca="false">IF(M68=1,1,0)</f>
        <v>0</v>
      </c>
      <c r="P68" s="157" t="n">
        <f aca="false">IF(M68=2,1,0)</f>
        <v>0</v>
      </c>
      <c r="Q68" s="157" t="n">
        <f aca="false">IF(M68=3,1,0)</f>
        <v>1</v>
      </c>
      <c r="R68" s="158" t="n">
        <f aca="false">IF(M68=4,1,0)</f>
        <v>0</v>
      </c>
      <c r="S68" s="225"/>
      <c r="T68" s="217"/>
      <c r="U68" s="77"/>
    </row>
    <row r="69" customFormat="false" ht="20.15" hidden="true" customHeight="true" outlineLevel="1" collapsed="false">
      <c r="B69" s="77"/>
      <c r="C69" s="217"/>
      <c r="D69" s="220"/>
      <c r="E69" s="220"/>
      <c r="F69" s="225"/>
      <c r="G69" s="225"/>
      <c r="H69" s="217"/>
      <c r="I69" s="185" t="s">
        <v>92</v>
      </c>
      <c r="J69" s="161" t="n">
        <f aca="false">MAX(J65:J68)</f>
        <v>26</v>
      </c>
      <c r="K69" s="237"/>
      <c r="L69" s="225"/>
      <c r="M69" s="217"/>
      <c r="N69" s="164" t="s">
        <v>93</v>
      </c>
      <c r="O69" s="165" t="n">
        <f aca="false">SUM(O65:O68)</f>
        <v>1</v>
      </c>
      <c r="P69" s="166" t="n">
        <f aca="false">SUM(P65:P68)</f>
        <v>1</v>
      </c>
      <c r="Q69" s="165" t="n">
        <f aca="false">SUM(Q65:Q68)</f>
        <v>1</v>
      </c>
      <c r="R69" s="187" t="n">
        <f aca="false">SUM(R65:R68)</f>
        <v>1</v>
      </c>
      <c r="S69" s="238"/>
      <c r="T69" s="217"/>
      <c r="U69" s="77"/>
    </row>
    <row r="70" customFormat="false" ht="20.15" hidden="false" customHeight="true" outlineLevel="0" collapsed="false">
      <c r="B70" s="77"/>
      <c r="C70" s="217"/>
      <c r="D70" s="239"/>
      <c r="E70" s="239"/>
      <c r="F70" s="217"/>
      <c r="G70" s="217"/>
      <c r="H70" s="217"/>
      <c r="I70" s="217"/>
      <c r="J70" s="217"/>
      <c r="K70" s="217"/>
      <c r="L70" s="217"/>
      <c r="M70" s="217"/>
      <c r="N70" s="217"/>
      <c r="O70" s="217"/>
      <c r="P70" s="217"/>
      <c r="Q70" s="217"/>
      <c r="R70" s="217"/>
      <c r="S70" s="217"/>
      <c r="T70" s="217"/>
      <c r="U70" s="77"/>
    </row>
    <row r="71" customFormat="false" ht="20.15" hidden="false" customHeight="true" outlineLevel="0" collapsed="false">
      <c r="B71" s="77"/>
      <c r="D71" s="5"/>
      <c r="E71" s="5"/>
      <c r="F71" s="5"/>
      <c r="G71" s="5"/>
      <c r="H71" s="5"/>
      <c r="I71" s="5"/>
      <c r="J71" s="5"/>
      <c r="K71" s="14"/>
      <c r="L71" s="14"/>
      <c r="M71" s="14"/>
      <c r="N71" s="14"/>
      <c r="O71" s="14"/>
      <c r="P71" s="14"/>
      <c r="Q71" s="14"/>
      <c r="R71" s="14"/>
      <c r="S71" s="14"/>
      <c r="U71" s="77"/>
    </row>
    <row r="72" customFormat="false" ht="30" hidden="false" customHeight="true" outlineLevel="0" collapsed="false">
      <c r="B72" s="77"/>
      <c r="C72" s="240"/>
      <c r="D72" s="241" t="s">
        <v>101</v>
      </c>
      <c r="E72" s="241"/>
      <c r="F72" s="241"/>
      <c r="G72" s="241"/>
      <c r="H72" s="241"/>
      <c r="I72" s="241"/>
      <c r="J72" s="241"/>
      <c r="K72" s="241"/>
      <c r="L72" s="241"/>
      <c r="M72" s="241"/>
      <c r="N72" s="241"/>
      <c r="O72" s="241"/>
      <c r="P72" s="241"/>
      <c r="Q72" s="241"/>
      <c r="R72" s="241"/>
      <c r="S72" s="241"/>
      <c r="T72" s="240"/>
      <c r="U72" s="77"/>
    </row>
    <row r="73" customFormat="false" ht="50.15" hidden="false" customHeight="true" outlineLevel="0" collapsed="false">
      <c r="B73" s="77"/>
      <c r="C73" s="240"/>
      <c r="D73" s="242" t="s">
        <v>52</v>
      </c>
      <c r="E73" s="243" t="s">
        <v>53</v>
      </c>
      <c r="F73" s="244" t="s">
        <v>83</v>
      </c>
      <c r="G73" s="245" t="s">
        <v>102</v>
      </c>
      <c r="H73" s="246" t="s">
        <v>103</v>
      </c>
      <c r="I73" s="246"/>
      <c r="J73" s="247" t="s">
        <v>104</v>
      </c>
      <c r="K73" s="248" t="s">
        <v>105</v>
      </c>
      <c r="L73" s="244" t="s">
        <v>106</v>
      </c>
      <c r="M73" s="248" t="s">
        <v>107</v>
      </c>
      <c r="N73" s="244" t="s">
        <v>108</v>
      </c>
      <c r="O73" s="249"/>
      <c r="P73" s="250"/>
      <c r="Q73" s="250"/>
      <c r="R73" s="250"/>
      <c r="S73" s="243" t="s">
        <v>109</v>
      </c>
      <c r="T73" s="240"/>
      <c r="U73" s="77"/>
    </row>
    <row r="74" customFormat="false" ht="20.15" hidden="false" customHeight="true" outlineLevel="0" collapsed="false">
      <c r="B74" s="77"/>
      <c r="C74" s="240"/>
      <c r="D74" s="251" t="s">
        <v>49</v>
      </c>
      <c r="E74" s="360" t="s">
        <v>50</v>
      </c>
      <c r="F74" s="253" t="n">
        <f aca="false">(K74*6+L74*3+M74*1+N74*0)</f>
        <v>18</v>
      </c>
      <c r="G74" s="253" t="n">
        <v>0</v>
      </c>
      <c r="H74" s="254" t="s">
        <v>66</v>
      </c>
      <c r="I74" s="254"/>
      <c r="J74" s="253" t="n">
        <f aca="false">F74+G74</f>
        <v>18</v>
      </c>
      <c r="K74" s="253" t="n">
        <v>2</v>
      </c>
      <c r="L74" s="253" t="n">
        <v>2</v>
      </c>
      <c r="M74" s="253" t="n">
        <v>0</v>
      </c>
      <c r="N74" s="253" t="n">
        <v>0</v>
      </c>
      <c r="O74" s="253"/>
      <c r="P74" s="253"/>
      <c r="Q74" s="253"/>
      <c r="R74" s="253"/>
      <c r="S74" s="255" t="n">
        <f aca="false">(L39+L48+L57+L66)/4</f>
        <v>92.1866096866097</v>
      </c>
      <c r="T74" s="240"/>
      <c r="U74" s="77"/>
      <c r="W74" s="256"/>
      <c r="X74" s="256"/>
      <c r="Y74" s="256"/>
      <c r="Z74" s="256"/>
    </row>
    <row r="75" customFormat="false" ht="20.15" hidden="false" customHeight="true" outlineLevel="0" collapsed="false">
      <c r="B75" s="77"/>
      <c r="C75" s="240"/>
      <c r="D75" s="257" t="s">
        <v>13</v>
      </c>
      <c r="E75" s="258" t="s">
        <v>14</v>
      </c>
      <c r="F75" s="259" t="n">
        <f aca="false">(K75*6+L75*3+M75*1+N75*0)</f>
        <v>11</v>
      </c>
      <c r="G75" s="259" t="n">
        <v>0</v>
      </c>
      <c r="H75" s="260" t="s">
        <v>66</v>
      </c>
      <c r="I75" s="260"/>
      <c r="J75" s="259" t="n">
        <f aca="false">F75+G75</f>
        <v>11</v>
      </c>
      <c r="K75" s="259" t="n">
        <v>1</v>
      </c>
      <c r="L75" s="259" t="n">
        <v>1</v>
      </c>
      <c r="M75" s="259" t="n">
        <v>2</v>
      </c>
      <c r="N75" s="259" t="n">
        <v>0</v>
      </c>
      <c r="O75" s="259"/>
      <c r="P75" s="259"/>
      <c r="Q75" s="259"/>
      <c r="R75" s="259"/>
      <c r="S75" s="261" t="n">
        <f aca="false">(L38+L47+L56+L65)/4</f>
        <v>66.7372954349699</v>
      </c>
      <c r="T75" s="240"/>
      <c r="U75" s="77"/>
      <c r="W75" s="262"/>
      <c r="X75" s="262"/>
      <c r="Y75" s="262"/>
      <c r="Z75" s="262"/>
    </row>
    <row r="76" customFormat="false" ht="20.15" hidden="false" customHeight="true" outlineLevel="0" collapsed="false">
      <c r="B76" s="77"/>
      <c r="C76" s="240"/>
      <c r="D76" s="257" t="s">
        <v>489</v>
      </c>
      <c r="E76" s="258" t="s">
        <v>28</v>
      </c>
      <c r="F76" s="259" t="n">
        <f aca="false">(K76*6+L76*3+M76*1+N76*0)</f>
        <v>9</v>
      </c>
      <c r="G76" s="259" t="n">
        <v>0</v>
      </c>
      <c r="H76" s="260" t="s">
        <v>66</v>
      </c>
      <c r="I76" s="260"/>
      <c r="J76" s="259" t="n">
        <f aca="false">F76+G76</f>
        <v>9</v>
      </c>
      <c r="K76" s="259" t="n">
        <v>1</v>
      </c>
      <c r="L76" s="259" t="n">
        <v>1</v>
      </c>
      <c r="M76" s="259" t="n">
        <v>0</v>
      </c>
      <c r="N76" s="259" t="n">
        <v>2</v>
      </c>
      <c r="O76" s="259"/>
      <c r="P76" s="259"/>
      <c r="Q76" s="259"/>
      <c r="R76" s="259"/>
      <c r="S76" s="261" t="n">
        <f aca="false">(L40+L49+L58+L67)/4</f>
        <v>79.5796064400716</v>
      </c>
      <c r="T76" s="240"/>
      <c r="U76" s="77"/>
      <c r="W76" s="262"/>
      <c r="X76" s="262"/>
      <c r="Y76" s="262"/>
      <c r="Z76" s="262"/>
    </row>
    <row r="77" customFormat="false" ht="20.15" hidden="false" customHeight="true" outlineLevel="0" collapsed="false">
      <c r="B77" s="77"/>
      <c r="C77" s="240"/>
      <c r="D77" s="337" t="s">
        <v>19</v>
      </c>
      <c r="E77" s="362" t="s">
        <v>20</v>
      </c>
      <c r="F77" s="267" t="n">
        <f aca="false">(K77*6+L77*3+M77*1+N77*0)</f>
        <v>2</v>
      </c>
      <c r="G77" s="267" t="n">
        <v>0</v>
      </c>
      <c r="H77" s="268" t="s">
        <v>66</v>
      </c>
      <c r="I77" s="268"/>
      <c r="J77" s="267" t="n">
        <f aca="false">F77+G77</f>
        <v>2</v>
      </c>
      <c r="K77" s="267" t="n">
        <v>0</v>
      </c>
      <c r="L77" s="267" t="n">
        <v>0</v>
      </c>
      <c r="M77" s="267" t="n">
        <v>2</v>
      </c>
      <c r="N77" s="267" t="n">
        <v>2</v>
      </c>
      <c r="O77" s="267"/>
      <c r="P77" s="267"/>
      <c r="Q77" s="267"/>
      <c r="R77" s="267"/>
      <c r="S77" s="269" t="n">
        <f aca="false">(L41+L50+L59+L68)/4</f>
        <v>48.1567282846353</v>
      </c>
      <c r="T77" s="240"/>
      <c r="U77" s="77"/>
      <c r="W77" s="262"/>
      <c r="X77" s="262"/>
      <c r="Y77" s="262"/>
      <c r="Z77" s="262"/>
      <c r="AB77" s="262"/>
      <c r="AC77" s="262"/>
      <c r="AD77" s="262"/>
      <c r="AE77" s="262"/>
    </row>
    <row r="78" customFormat="false" ht="20.15" hidden="false" customHeight="true" outlineLevel="0" collapsed="false">
      <c r="B78" s="77"/>
      <c r="C78" s="240"/>
      <c r="D78" s="240"/>
      <c r="E78" s="240"/>
      <c r="F78" s="240"/>
      <c r="G78" s="240"/>
      <c r="H78" s="240"/>
      <c r="I78" s="240"/>
      <c r="J78" s="240"/>
      <c r="K78" s="240"/>
      <c r="L78" s="240"/>
      <c r="M78" s="240"/>
      <c r="N78" s="240"/>
      <c r="O78" s="240"/>
      <c r="P78" s="240"/>
      <c r="Q78" s="240"/>
      <c r="R78" s="240"/>
      <c r="S78" s="240"/>
      <c r="T78" s="240"/>
      <c r="U78" s="77"/>
      <c r="W78" s="262"/>
      <c r="X78" s="262"/>
      <c r="Y78" s="262"/>
      <c r="Z78" s="262"/>
    </row>
    <row r="79" customFormat="false" ht="20.15" hidden="false" customHeight="true" outlineLevel="0" collapsed="false">
      <c r="B79" s="77"/>
      <c r="C79" s="77"/>
      <c r="D79" s="270"/>
      <c r="E79" s="270"/>
      <c r="F79" s="195"/>
      <c r="G79" s="195"/>
      <c r="H79" s="270"/>
      <c r="I79" s="270"/>
      <c r="J79" s="270"/>
      <c r="K79" s="207"/>
      <c r="L79" s="207"/>
      <c r="M79" s="207"/>
      <c r="N79" s="207"/>
      <c r="O79" s="207"/>
      <c r="P79" s="207"/>
      <c r="Q79" s="207"/>
      <c r="R79" s="207"/>
      <c r="S79" s="207"/>
      <c r="T79" s="77"/>
      <c r="U79" s="77"/>
    </row>
    <row r="80" customFormat="false" ht="20.15" hidden="false" customHeight="true" outlineLevel="0" collapsed="false">
      <c r="C80" s="271"/>
      <c r="D80" s="272"/>
      <c r="O80" s="14"/>
      <c r="P80" s="14"/>
      <c r="Q80" s="14"/>
      <c r="R80" s="14"/>
      <c r="S80" s="14"/>
      <c r="U80" s="271"/>
    </row>
    <row r="81" customFormat="false" ht="20.15" hidden="false" customHeight="true" outlineLevel="0" collapsed="false">
      <c r="D81" s="273"/>
      <c r="O81" s="14"/>
      <c r="P81" s="14"/>
      <c r="Q81" s="14"/>
      <c r="R81" s="14"/>
      <c r="S81" s="14"/>
    </row>
    <row r="82" customFormat="false" ht="20.15" hidden="false" customHeight="true" outlineLevel="0" collapsed="false">
      <c r="B82" s="77"/>
      <c r="C82" s="77"/>
      <c r="D82" s="78"/>
      <c r="E82" s="78"/>
      <c r="F82" s="78"/>
      <c r="G82" s="78"/>
      <c r="H82" s="77"/>
      <c r="I82" s="77"/>
      <c r="J82" s="77"/>
      <c r="K82" s="77"/>
      <c r="L82" s="77"/>
      <c r="M82" s="77"/>
      <c r="N82" s="77"/>
      <c r="O82" s="77"/>
      <c r="P82" s="77"/>
      <c r="Q82" s="77"/>
      <c r="R82" s="77"/>
      <c r="S82" s="77"/>
      <c r="T82" s="77"/>
      <c r="U82" s="77"/>
    </row>
    <row r="83" customFormat="false" ht="30" hidden="false" customHeight="true" outlineLevel="0" collapsed="false">
      <c r="B83" s="77"/>
      <c r="C83" s="79" t="s">
        <v>110</v>
      </c>
      <c r="D83" s="79"/>
      <c r="E83" s="79"/>
      <c r="F83" s="79"/>
      <c r="G83" s="79"/>
      <c r="H83" s="79"/>
      <c r="I83" s="79"/>
      <c r="J83" s="79"/>
      <c r="K83" s="79"/>
      <c r="L83" s="79"/>
      <c r="M83" s="79"/>
      <c r="N83" s="79"/>
      <c r="O83" s="79"/>
      <c r="P83" s="79"/>
      <c r="Q83" s="79"/>
      <c r="R83" s="79"/>
      <c r="S83" s="79"/>
      <c r="T83" s="79"/>
      <c r="U83" s="77"/>
    </row>
    <row r="84" customFormat="false" ht="20.15" hidden="false" customHeight="true" outlineLevel="0" collapsed="false">
      <c r="B84" s="77"/>
      <c r="D84" s="121"/>
      <c r="E84" s="121"/>
      <c r="U84" s="77"/>
    </row>
    <row r="85" customFormat="false" ht="20.15" hidden="false" customHeight="true" outlineLevel="0" collapsed="false">
      <c r="B85" s="77"/>
      <c r="D85" s="274" t="s">
        <v>52</v>
      </c>
      <c r="E85" s="83" t="s">
        <v>111</v>
      </c>
      <c r="F85" s="82" t="s">
        <v>12</v>
      </c>
      <c r="G85" s="83" t="s">
        <v>54</v>
      </c>
      <c r="H85" s="83"/>
      <c r="I85" s="83"/>
      <c r="J85" s="83"/>
      <c r="K85" s="81" t="s">
        <v>55</v>
      </c>
      <c r="L85" s="83" t="s">
        <v>56</v>
      </c>
      <c r="M85" s="83"/>
      <c r="N85" s="83"/>
      <c r="O85" s="83"/>
      <c r="P85" s="83"/>
      <c r="Q85" s="83"/>
      <c r="R85" s="83"/>
      <c r="S85" s="83"/>
      <c r="U85" s="77"/>
    </row>
    <row r="86" customFormat="false" ht="20.15" hidden="false" customHeight="true" outlineLevel="0" collapsed="false">
      <c r="B86" s="77"/>
      <c r="D86" s="274"/>
      <c r="E86" s="83"/>
      <c r="F86" s="82"/>
      <c r="G86" s="85" t="s">
        <v>57</v>
      </c>
      <c r="H86" s="84" t="s">
        <v>58</v>
      </c>
      <c r="I86" s="278" t="s">
        <v>59</v>
      </c>
      <c r="J86" s="278"/>
      <c r="K86" s="84" t="s">
        <v>60</v>
      </c>
      <c r="L86" s="276" t="s">
        <v>57</v>
      </c>
      <c r="M86" s="277" t="s">
        <v>61</v>
      </c>
      <c r="N86" s="278" t="s">
        <v>59</v>
      </c>
      <c r="O86" s="278"/>
      <c r="P86" s="278"/>
      <c r="Q86" s="278"/>
      <c r="R86" s="278"/>
      <c r="S86" s="278"/>
      <c r="U86" s="77"/>
    </row>
    <row r="87" customFormat="false" ht="20" hidden="false" customHeight="true" outlineLevel="0" collapsed="false">
      <c r="B87" s="77"/>
      <c r="D87" s="404" t="s">
        <v>25</v>
      </c>
      <c r="E87" s="372" t="s">
        <v>26</v>
      </c>
      <c r="F87" s="343" t="n">
        <v>1</v>
      </c>
      <c r="G87" s="280" t="s">
        <v>67</v>
      </c>
      <c r="H87" s="281" t="s">
        <v>502</v>
      </c>
      <c r="I87" s="91" t="s">
        <v>66</v>
      </c>
      <c r="J87" s="91"/>
      <c r="K87" s="373" t="s">
        <v>65</v>
      </c>
      <c r="L87" s="284" t="s">
        <v>66</v>
      </c>
      <c r="M87" s="94" t="s">
        <v>66</v>
      </c>
      <c r="N87" s="95" t="s">
        <v>66</v>
      </c>
      <c r="O87" s="95"/>
      <c r="P87" s="95"/>
      <c r="Q87" s="95"/>
      <c r="R87" s="95"/>
      <c r="S87" s="95"/>
      <c r="U87" s="77"/>
    </row>
    <row r="88" customFormat="false" ht="35" hidden="false" customHeight="true" outlineLevel="0" collapsed="false">
      <c r="B88" s="77"/>
      <c r="D88" s="209" t="s">
        <v>16</v>
      </c>
      <c r="E88" s="96" t="s">
        <v>17</v>
      </c>
      <c r="F88" s="346" t="n">
        <v>2</v>
      </c>
      <c r="G88" s="286" t="s">
        <v>67</v>
      </c>
      <c r="H88" s="99" t="s">
        <v>503</v>
      </c>
      <c r="I88" s="100" t="s">
        <v>504</v>
      </c>
      <c r="J88" s="100"/>
      <c r="K88" s="504" t="s">
        <v>114</v>
      </c>
      <c r="L88" s="289" t="s">
        <v>66</v>
      </c>
      <c r="M88" s="103" t="s">
        <v>66</v>
      </c>
      <c r="N88" s="104" t="s">
        <v>66</v>
      </c>
      <c r="O88" s="104"/>
      <c r="P88" s="104"/>
      <c r="Q88" s="104"/>
      <c r="R88" s="104"/>
      <c r="S88" s="104"/>
      <c r="U88" s="77"/>
    </row>
    <row r="89" customFormat="false" ht="110" hidden="false" customHeight="true" outlineLevel="0" collapsed="false">
      <c r="B89" s="77"/>
      <c r="D89" s="105" t="s">
        <v>30</v>
      </c>
      <c r="E89" s="96" t="s">
        <v>31</v>
      </c>
      <c r="F89" s="346" t="n">
        <v>3</v>
      </c>
      <c r="G89" s="291" t="s">
        <v>67</v>
      </c>
      <c r="H89" s="292" t="s">
        <v>228</v>
      </c>
      <c r="I89" s="108" t="s">
        <v>505</v>
      </c>
      <c r="J89" s="108"/>
      <c r="K89" s="374" t="s">
        <v>65</v>
      </c>
      <c r="L89" s="289" t="s">
        <v>66</v>
      </c>
      <c r="M89" s="103" t="s">
        <v>66</v>
      </c>
      <c r="N89" s="104" t="s">
        <v>66</v>
      </c>
      <c r="O89" s="104"/>
      <c r="P89" s="104"/>
      <c r="Q89" s="104"/>
      <c r="R89" s="104"/>
      <c r="S89" s="104"/>
      <c r="U89" s="77"/>
    </row>
    <row r="90" customFormat="false" ht="80" hidden="false" customHeight="true" outlineLevel="0" collapsed="false">
      <c r="B90" s="77"/>
      <c r="D90" s="182" t="s">
        <v>21</v>
      </c>
      <c r="E90" s="113" t="s">
        <v>22</v>
      </c>
      <c r="F90" s="350" t="n">
        <v>4</v>
      </c>
      <c r="G90" s="387" t="s">
        <v>71</v>
      </c>
      <c r="H90" s="101" t="s">
        <v>114</v>
      </c>
      <c r="I90" s="116" t="s">
        <v>266</v>
      </c>
      <c r="J90" s="116"/>
      <c r="K90" s="300" t="s">
        <v>65</v>
      </c>
      <c r="L90" s="301" t="s">
        <v>66</v>
      </c>
      <c r="M90" s="302" t="s">
        <v>66</v>
      </c>
      <c r="N90" s="303" t="s">
        <v>66</v>
      </c>
      <c r="O90" s="303"/>
      <c r="P90" s="303"/>
      <c r="Q90" s="303"/>
      <c r="R90" s="303"/>
      <c r="S90" s="303"/>
      <c r="U90" s="77"/>
    </row>
    <row r="91" customFormat="false" ht="20.15" hidden="false" customHeight="true" outlineLevel="0" collapsed="false">
      <c r="B91" s="77"/>
      <c r="D91" s="121"/>
      <c r="E91" s="121"/>
      <c r="U91" s="77"/>
    </row>
    <row r="92" customFormat="false" ht="20.15" hidden="false" customHeight="true" outlineLevel="0" collapsed="false">
      <c r="B92" s="77"/>
      <c r="C92" s="122"/>
      <c r="D92" s="122"/>
      <c r="E92" s="123" t="str">
        <f aca="false">IF(OR(L87="-",L87= ""),H87,L87)</f>
        <v>P.I.</v>
      </c>
      <c r="F92" s="123"/>
      <c r="G92" s="123"/>
      <c r="H92" s="123"/>
      <c r="I92" s="123"/>
      <c r="J92" s="123"/>
      <c r="K92" s="123"/>
      <c r="L92" s="123"/>
      <c r="M92" s="123"/>
      <c r="N92" s="123"/>
      <c r="O92" s="124"/>
      <c r="P92" s="124"/>
      <c r="Q92" s="124"/>
      <c r="R92" s="124"/>
      <c r="S92" s="124"/>
      <c r="T92" s="122"/>
      <c r="U92" s="77"/>
    </row>
    <row r="93" customFormat="false" ht="50.15" hidden="false" customHeight="true" outlineLevel="0" collapsed="false">
      <c r="B93" s="77"/>
      <c r="C93" s="122"/>
      <c r="D93" s="124"/>
      <c r="E93" s="125" t="s">
        <v>52</v>
      </c>
      <c r="F93" s="126" t="s">
        <v>75</v>
      </c>
      <c r="G93" s="82" t="s">
        <v>76</v>
      </c>
      <c r="H93" s="81" t="s">
        <v>77</v>
      </c>
      <c r="I93" s="59" t="s">
        <v>78</v>
      </c>
      <c r="J93" s="81" t="s">
        <v>79</v>
      </c>
      <c r="K93" s="127" t="s">
        <v>80</v>
      </c>
      <c r="L93" s="81" t="s">
        <v>81</v>
      </c>
      <c r="M93" s="128" t="s">
        <v>82</v>
      </c>
      <c r="N93" s="129" t="s">
        <v>83</v>
      </c>
      <c r="O93" s="130" t="s">
        <v>84</v>
      </c>
      <c r="P93" s="131" t="s">
        <v>85</v>
      </c>
      <c r="Q93" s="131" t="s">
        <v>86</v>
      </c>
      <c r="R93" s="197" t="s">
        <v>87</v>
      </c>
      <c r="S93" s="124"/>
      <c r="T93" s="122"/>
      <c r="U93" s="77"/>
    </row>
    <row r="94" customFormat="false" ht="20.15" hidden="false" customHeight="true" outlineLevel="0" collapsed="false">
      <c r="B94" s="77"/>
      <c r="C94" s="122"/>
      <c r="D94" s="152"/>
      <c r="E94" s="404" t="s">
        <v>25</v>
      </c>
      <c r="F94" s="372" t="s">
        <v>26</v>
      </c>
      <c r="G94" s="304" t="n">
        <v>1</v>
      </c>
      <c r="H94" s="221" t="s">
        <v>66</v>
      </c>
      <c r="I94" s="221" t="n">
        <v>0</v>
      </c>
      <c r="J94" s="221" t="n">
        <v>17</v>
      </c>
      <c r="K94" s="221" t="s">
        <v>506</v>
      </c>
      <c r="L94" s="223" t="n">
        <f aca="false">IF(J94="",0,(J94/J98)*100)</f>
        <v>89.4736842105263</v>
      </c>
      <c r="M94" s="221" t="n">
        <v>3</v>
      </c>
      <c r="N94" s="224" t="n">
        <v>1</v>
      </c>
      <c r="O94" s="137" t="n">
        <f aca="false">IF(M94=1,1,0)</f>
        <v>0</v>
      </c>
      <c r="P94" s="138" t="n">
        <f aca="false">IF(M94=2,1,0)</f>
        <v>0</v>
      </c>
      <c r="Q94" s="138" t="n">
        <f aca="false">IF(M94=3,1,0)</f>
        <v>1</v>
      </c>
      <c r="R94" s="139" t="n">
        <f aca="false">IF(M94=4,1,0)</f>
        <v>0</v>
      </c>
      <c r="S94" s="140"/>
      <c r="T94" s="122"/>
      <c r="U94" s="77"/>
    </row>
    <row r="95" customFormat="false" ht="20.15" hidden="false" customHeight="true" outlineLevel="0" collapsed="false">
      <c r="B95" s="77"/>
      <c r="C95" s="122"/>
      <c r="D95" s="132"/>
      <c r="E95" s="178" t="s">
        <v>16</v>
      </c>
      <c r="F95" s="148" t="s">
        <v>17</v>
      </c>
      <c r="G95" s="305" t="n">
        <v>2</v>
      </c>
      <c r="H95" s="149" t="s">
        <v>66</v>
      </c>
      <c r="I95" s="149" t="n">
        <v>0</v>
      </c>
      <c r="J95" s="149" t="n">
        <v>19</v>
      </c>
      <c r="K95" s="179" t="s">
        <v>66</v>
      </c>
      <c r="L95" s="150" t="n">
        <f aca="false">IF(J95="",0,(J95/J98)*100)</f>
        <v>100</v>
      </c>
      <c r="M95" s="149" t="n">
        <v>1</v>
      </c>
      <c r="N95" s="151" t="n">
        <v>6</v>
      </c>
      <c r="O95" s="144" t="n">
        <f aca="false">IF(M95=1,1,0)</f>
        <v>1</v>
      </c>
      <c r="P95" s="145" t="n">
        <f aca="false">IF(M95=2,1,0)</f>
        <v>0</v>
      </c>
      <c r="Q95" s="145" t="n">
        <f aca="false">IF(M95=3,1,0)</f>
        <v>0</v>
      </c>
      <c r="R95" s="146" t="n">
        <f aca="false">IF(M95=4,1,0)</f>
        <v>0</v>
      </c>
      <c r="S95" s="140"/>
      <c r="T95" s="122"/>
      <c r="U95" s="77"/>
    </row>
    <row r="96" customFormat="false" ht="20.15" hidden="false" customHeight="true" outlineLevel="0" collapsed="false">
      <c r="B96" s="77"/>
      <c r="C96" s="122"/>
      <c r="D96" s="132"/>
      <c r="E96" s="105" t="s">
        <v>30</v>
      </c>
      <c r="F96" s="96" t="s">
        <v>507</v>
      </c>
      <c r="G96" s="306" t="n">
        <v>3</v>
      </c>
      <c r="H96" s="228" t="s">
        <v>66</v>
      </c>
      <c r="I96" s="228" t="n">
        <v>0</v>
      </c>
      <c r="J96" s="228" t="n">
        <v>17</v>
      </c>
      <c r="K96" s="228" t="s">
        <v>508</v>
      </c>
      <c r="L96" s="229" t="n">
        <f aca="false">IF(J96="",0,(J96/J98)*100)</f>
        <v>89.4736842105263</v>
      </c>
      <c r="M96" s="228" t="n">
        <v>2</v>
      </c>
      <c r="N96" s="230" t="n">
        <v>3</v>
      </c>
      <c r="O96" s="144" t="n">
        <f aca="false">IF(M96=1,1,0)</f>
        <v>0</v>
      </c>
      <c r="P96" s="145" t="n">
        <f aca="false">IF(M96=2,1,0)</f>
        <v>1</v>
      </c>
      <c r="Q96" s="145" t="n">
        <f aca="false">IF(M96=3,1,0)</f>
        <v>0</v>
      </c>
      <c r="R96" s="146" t="n">
        <f aca="false">IF(M96=4,1,0)</f>
        <v>0</v>
      </c>
      <c r="S96" s="140"/>
      <c r="T96" s="122"/>
      <c r="U96" s="77"/>
    </row>
    <row r="97" customFormat="false" ht="20.15" hidden="false" customHeight="true" outlineLevel="0" collapsed="false">
      <c r="B97" s="77"/>
      <c r="C97" s="122"/>
      <c r="D97" s="132"/>
      <c r="E97" s="182" t="s">
        <v>21</v>
      </c>
      <c r="F97" s="113" t="s">
        <v>22</v>
      </c>
      <c r="G97" s="307" t="n">
        <v>4</v>
      </c>
      <c r="H97" s="308" t="s">
        <v>66</v>
      </c>
      <c r="I97" s="234" t="n">
        <v>0</v>
      </c>
      <c r="J97" s="234" t="n">
        <v>1</v>
      </c>
      <c r="K97" s="308" t="s">
        <v>66</v>
      </c>
      <c r="L97" s="235" t="n">
        <f aca="false">IF(J97="",0,(J97/J98)*100)</f>
        <v>5.26315789473684</v>
      </c>
      <c r="M97" s="234" t="n">
        <v>4</v>
      </c>
      <c r="N97" s="236" t="n">
        <v>0</v>
      </c>
      <c r="O97" s="156" t="n">
        <f aca="false">IF(M97=1,1,0)</f>
        <v>0</v>
      </c>
      <c r="P97" s="157" t="n">
        <f aca="false">IF(M97=2,1,0)</f>
        <v>0</v>
      </c>
      <c r="Q97" s="157" t="n">
        <f aca="false">IF(M97=3,1,0)</f>
        <v>0</v>
      </c>
      <c r="R97" s="158" t="n">
        <f aca="false">IF(M97=4,1,0)</f>
        <v>1</v>
      </c>
      <c r="S97" s="140"/>
      <c r="T97" s="122"/>
      <c r="U97" s="77"/>
    </row>
    <row r="98" customFormat="false" ht="20.15" hidden="true" customHeight="true" outlineLevel="1" collapsed="false">
      <c r="B98" s="77"/>
      <c r="C98" s="122"/>
      <c r="D98" s="152"/>
      <c r="E98" s="152"/>
      <c r="F98" s="140"/>
      <c r="G98" s="140"/>
      <c r="H98" s="122"/>
      <c r="I98" s="213" t="s">
        <v>92</v>
      </c>
      <c r="J98" s="161" t="n">
        <f aca="false">MAX(J94:J97)</f>
        <v>19</v>
      </c>
      <c r="K98" s="309"/>
      <c r="L98" s="167"/>
      <c r="M98" s="122"/>
      <c r="N98" s="164" t="s">
        <v>93</v>
      </c>
      <c r="O98" s="165" t="n">
        <f aca="false">SUM(O94:O97)</f>
        <v>1</v>
      </c>
      <c r="P98" s="166" t="n">
        <f aca="false">SUM(P94:P97)</f>
        <v>1</v>
      </c>
      <c r="Q98" s="165" t="n">
        <f aca="false">SUM(Q94:Q97)</f>
        <v>1</v>
      </c>
      <c r="R98" s="187" t="n">
        <f aca="false">SUM(R94:R97)</f>
        <v>1</v>
      </c>
      <c r="S98" s="167"/>
      <c r="T98" s="122"/>
      <c r="U98" s="77"/>
    </row>
    <row r="99" customFormat="false" ht="20.15" hidden="false" customHeight="true" outlineLevel="0" collapsed="false">
      <c r="B99" s="77"/>
      <c r="C99" s="122"/>
      <c r="D99" s="168"/>
      <c r="E99" s="168"/>
      <c r="F99" s="122"/>
      <c r="G99" s="122"/>
      <c r="H99" s="122"/>
      <c r="I99" s="122"/>
      <c r="J99" s="122"/>
      <c r="K99" s="122"/>
      <c r="L99" s="122"/>
      <c r="M99" s="122"/>
      <c r="N99" s="122"/>
      <c r="O99" s="122"/>
      <c r="P99" s="122"/>
      <c r="Q99" s="122"/>
      <c r="R99" s="122"/>
      <c r="S99" s="122"/>
      <c r="T99" s="122"/>
      <c r="U99" s="77"/>
    </row>
    <row r="100" customFormat="false" ht="20.15" hidden="false" customHeight="true" outlineLevel="0" collapsed="false">
      <c r="B100" s="77"/>
      <c r="U100" s="77"/>
    </row>
    <row r="101" customFormat="false" ht="20.15" hidden="false" customHeight="true" outlineLevel="0" collapsed="false">
      <c r="B101" s="77"/>
      <c r="C101" s="170"/>
      <c r="D101" s="170"/>
      <c r="E101" s="171" t="str">
        <f aca="false">IF(OR(L88="-",L88= ""),H88,L88)</f>
        <v>Deus</v>
      </c>
      <c r="F101" s="171"/>
      <c r="G101" s="171"/>
      <c r="H101" s="171"/>
      <c r="I101" s="171"/>
      <c r="J101" s="171"/>
      <c r="K101" s="171"/>
      <c r="L101" s="171"/>
      <c r="M101" s="171"/>
      <c r="N101" s="171"/>
      <c r="O101" s="172"/>
      <c r="P101" s="172"/>
      <c r="Q101" s="172"/>
      <c r="R101" s="172"/>
      <c r="S101" s="172"/>
      <c r="T101" s="170"/>
      <c r="U101" s="77"/>
    </row>
    <row r="102" customFormat="false" ht="50.15" hidden="false" customHeight="true" outlineLevel="0" collapsed="false">
      <c r="B102" s="77"/>
      <c r="C102" s="170"/>
      <c r="D102" s="172"/>
      <c r="E102" s="125" t="s">
        <v>52</v>
      </c>
      <c r="F102" s="126" t="s">
        <v>75</v>
      </c>
      <c r="G102" s="82" t="s">
        <v>76</v>
      </c>
      <c r="H102" s="81" t="s">
        <v>77</v>
      </c>
      <c r="I102" s="59" t="s">
        <v>78</v>
      </c>
      <c r="J102" s="81" t="s">
        <v>79</v>
      </c>
      <c r="K102" s="127" t="s">
        <v>80</v>
      </c>
      <c r="L102" s="81" t="s">
        <v>81</v>
      </c>
      <c r="M102" s="128" t="s">
        <v>82</v>
      </c>
      <c r="N102" s="129" t="s">
        <v>83</v>
      </c>
      <c r="O102" s="130" t="s">
        <v>84</v>
      </c>
      <c r="P102" s="131" t="s">
        <v>85</v>
      </c>
      <c r="Q102" s="131" t="s">
        <v>86</v>
      </c>
      <c r="R102" s="197" t="s">
        <v>87</v>
      </c>
      <c r="S102" s="172"/>
      <c r="T102" s="170"/>
      <c r="U102" s="77"/>
    </row>
    <row r="103" customFormat="false" ht="20" hidden="false" customHeight="true" outlineLevel="0" collapsed="false">
      <c r="B103" s="77"/>
      <c r="C103" s="170"/>
      <c r="D103" s="177"/>
      <c r="E103" s="404" t="s">
        <v>25</v>
      </c>
      <c r="F103" s="372" t="s">
        <v>26</v>
      </c>
      <c r="G103" s="304" t="n">
        <v>1</v>
      </c>
      <c r="H103" s="222" t="s">
        <v>66</v>
      </c>
      <c r="I103" s="221" t="n">
        <v>0</v>
      </c>
      <c r="J103" s="222" t="n">
        <v>41</v>
      </c>
      <c r="K103" s="389" t="s">
        <v>66</v>
      </c>
      <c r="L103" s="223" t="n">
        <f aca="false">IF(J103="",0,(J103/J107)*100)</f>
        <v>71.9298245614035</v>
      </c>
      <c r="M103" s="221" t="n">
        <v>2</v>
      </c>
      <c r="N103" s="224" t="n">
        <v>3</v>
      </c>
      <c r="O103" s="137" t="n">
        <f aca="false">IF(M103=1,1,0)</f>
        <v>0</v>
      </c>
      <c r="P103" s="138" t="n">
        <f aca="false">IF(M103=2,1,0)</f>
        <v>1</v>
      </c>
      <c r="Q103" s="138" t="n">
        <f aca="false">IF(M103=3,1,0)</f>
        <v>0</v>
      </c>
      <c r="R103" s="139" t="n">
        <f aca="false">IF(M103=4,1,0)</f>
        <v>0</v>
      </c>
      <c r="S103" s="176"/>
      <c r="T103" s="170"/>
      <c r="U103" s="77"/>
    </row>
    <row r="104" customFormat="false" ht="20" hidden="false" customHeight="true" outlineLevel="0" collapsed="false">
      <c r="B104" s="77"/>
      <c r="C104" s="170"/>
      <c r="D104" s="173"/>
      <c r="E104" s="209" t="s">
        <v>16</v>
      </c>
      <c r="F104" s="96" t="s">
        <v>17</v>
      </c>
      <c r="G104" s="306" t="n">
        <v>2</v>
      </c>
      <c r="H104" s="317" t="s">
        <v>66</v>
      </c>
      <c r="I104" s="228" t="n">
        <v>0</v>
      </c>
      <c r="J104" s="317" t="n">
        <v>37</v>
      </c>
      <c r="K104" s="317" t="s">
        <v>66</v>
      </c>
      <c r="L104" s="229" t="n">
        <f aca="false">IF(J104="",0,(J104/J107)*100)</f>
        <v>64.9122807017544</v>
      </c>
      <c r="M104" s="228" t="n">
        <v>3</v>
      </c>
      <c r="N104" s="230" t="n">
        <v>1</v>
      </c>
      <c r="O104" s="144" t="n">
        <f aca="false">IF(M104=1,1,0)</f>
        <v>0</v>
      </c>
      <c r="P104" s="145" t="n">
        <f aca="false">IF(M104=2,1,0)</f>
        <v>0</v>
      </c>
      <c r="Q104" s="145" t="n">
        <f aca="false">IF(M104=3,1,0)</f>
        <v>1</v>
      </c>
      <c r="R104" s="146" t="n">
        <f aca="false">IF(M104=4,1,0)</f>
        <v>0</v>
      </c>
      <c r="S104" s="176"/>
      <c r="T104" s="170"/>
      <c r="U104" s="77"/>
    </row>
    <row r="105" customFormat="false" ht="20" hidden="false" customHeight="true" outlineLevel="0" collapsed="false">
      <c r="B105" s="77"/>
      <c r="C105" s="170"/>
      <c r="D105" s="177"/>
      <c r="E105" s="105" t="s">
        <v>30</v>
      </c>
      <c r="F105" s="96" t="s">
        <v>507</v>
      </c>
      <c r="G105" s="306" t="n">
        <v>3</v>
      </c>
      <c r="H105" s="317" t="s">
        <v>66</v>
      </c>
      <c r="I105" s="228" t="n">
        <v>0</v>
      </c>
      <c r="J105" s="317" t="n">
        <v>36</v>
      </c>
      <c r="K105" s="390" t="s">
        <v>66</v>
      </c>
      <c r="L105" s="229" t="n">
        <f aca="false">IF(J105="",0,(J105/J107)*100)</f>
        <v>63.1578947368421</v>
      </c>
      <c r="M105" s="228" t="n">
        <v>4</v>
      </c>
      <c r="N105" s="230" t="n">
        <v>0</v>
      </c>
      <c r="O105" s="144" t="n">
        <f aca="false">IF(M105=1,1,0)</f>
        <v>0</v>
      </c>
      <c r="P105" s="145" t="n">
        <f aca="false">IF(M105=2,1,0)</f>
        <v>0</v>
      </c>
      <c r="Q105" s="145" t="n">
        <f aca="false">IF(M105=3,1,0)</f>
        <v>0</v>
      </c>
      <c r="R105" s="146" t="n">
        <f aca="false">IF(M105=4,1,0)</f>
        <v>1</v>
      </c>
      <c r="S105" s="176"/>
      <c r="T105" s="170"/>
      <c r="U105" s="77"/>
    </row>
    <row r="106" customFormat="false" ht="20" hidden="false" customHeight="true" outlineLevel="0" collapsed="false">
      <c r="B106" s="77"/>
      <c r="C106" s="170"/>
      <c r="D106" s="173"/>
      <c r="E106" s="439" t="s">
        <v>21</v>
      </c>
      <c r="F106" s="319" t="s">
        <v>22</v>
      </c>
      <c r="G106" s="320" t="n">
        <v>4</v>
      </c>
      <c r="H106" s="321" t="s">
        <v>66</v>
      </c>
      <c r="I106" s="322" t="n">
        <v>0</v>
      </c>
      <c r="J106" s="321" t="n">
        <v>57</v>
      </c>
      <c r="K106" s="321" t="s">
        <v>66</v>
      </c>
      <c r="L106" s="323" t="n">
        <f aca="false">IF(J106="",0,(J106/J107)*100)</f>
        <v>100</v>
      </c>
      <c r="M106" s="322" t="n">
        <v>1</v>
      </c>
      <c r="N106" s="324" t="n">
        <v>6</v>
      </c>
      <c r="O106" s="156" t="n">
        <f aca="false">IF(M106=1,1,0)</f>
        <v>1</v>
      </c>
      <c r="P106" s="157" t="n">
        <f aca="false">IF(M106=2,1,0)</f>
        <v>0</v>
      </c>
      <c r="Q106" s="157" t="n">
        <f aca="false">IF(M106=3,1,0)</f>
        <v>0</v>
      </c>
      <c r="R106" s="158" t="n">
        <f aca="false">IF(M106=4,1,0)</f>
        <v>0</v>
      </c>
      <c r="S106" s="176"/>
      <c r="T106" s="170"/>
      <c r="U106" s="77"/>
    </row>
    <row r="107" customFormat="false" ht="20.15" hidden="true" customHeight="true" outlineLevel="1" collapsed="false">
      <c r="B107" s="77"/>
      <c r="C107" s="170"/>
      <c r="D107" s="173"/>
      <c r="E107" s="173"/>
      <c r="F107" s="172"/>
      <c r="G107" s="172"/>
      <c r="H107" s="170"/>
      <c r="I107" s="213" t="s">
        <v>92</v>
      </c>
      <c r="J107" s="161" t="n">
        <f aca="false">MAX(J103:J106)</f>
        <v>57</v>
      </c>
      <c r="K107" s="186"/>
      <c r="L107" s="176"/>
      <c r="M107" s="170"/>
      <c r="N107" s="164" t="s">
        <v>93</v>
      </c>
      <c r="O107" s="165" t="n">
        <f aca="false">SUM(O103:O106)</f>
        <v>1</v>
      </c>
      <c r="P107" s="166" t="n">
        <f aca="false">SUM(P103:P106)</f>
        <v>1</v>
      </c>
      <c r="Q107" s="165" t="n">
        <f aca="false">SUM(Q103:Q106)</f>
        <v>1</v>
      </c>
      <c r="R107" s="187" t="n">
        <f aca="false">SUM(R103:R106)</f>
        <v>1</v>
      </c>
      <c r="S107" s="188"/>
      <c r="T107" s="170"/>
      <c r="U107" s="77"/>
    </row>
    <row r="108" customFormat="false" ht="20.15" hidden="false" customHeight="true" outlineLevel="0" collapsed="false">
      <c r="B108" s="77"/>
      <c r="C108" s="170"/>
      <c r="D108" s="189"/>
      <c r="E108" s="189"/>
      <c r="F108" s="170"/>
      <c r="G108" s="170"/>
      <c r="H108" s="170"/>
      <c r="I108" s="170"/>
      <c r="J108" s="170"/>
      <c r="K108" s="170"/>
      <c r="L108" s="170"/>
      <c r="M108" s="170"/>
      <c r="N108" s="170"/>
      <c r="O108" s="170"/>
      <c r="P108" s="170"/>
      <c r="Q108" s="170"/>
      <c r="R108" s="170"/>
      <c r="S108" s="170"/>
      <c r="T108" s="170"/>
      <c r="U108" s="77"/>
    </row>
    <row r="109" customFormat="false" ht="20.15" hidden="false" customHeight="true" outlineLevel="0" collapsed="false">
      <c r="B109" s="77"/>
      <c r="D109" s="190"/>
      <c r="E109" s="190"/>
      <c r="F109" s="190"/>
      <c r="G109" s="190"/>
      <c r="H109" s="191"/>
      <c r="I109" s="190"/>
      <c r="J109" s="190"/>
      <c r="K109" s="14"/>
      <c r="L109" s="14"/>
      <c r="M109" s="14"/>
      <c r="N109" s="14"/>
      <c r="O109" s="14"/>
      <c r="P109" s="14"/>
      <c r="Q109" s="14"/>
      <c r="R109" s="14"/>
      <c r="S109" s="14"/>
      <c r="U109" s="77"/>
    </row>
    <row r="110" customFormat="false" ht="20.15" hidden="false" customHeight="true" outlineLevel="0" collapsed="false">
      <c r="B110" s="77"/>
      <c r="C110" s="192"/>
      <c r="D110" s="192"/>
      <c r="E110" s="193" t="str">
        <f aca="false">IF(OR(L89="-",L89= ""),H89,L89)</f>
        <v>Agricola</v>
      </c>
      <c r="F110" s="193"/>
      <c r="G110" s="193"/>
      <c r="H110" s="193"/>
      <c r="I110" s="193"/>
      <c r="J110" s="193"/>
      <c r="K110" s="193"/>
      <c r="L110" s="193"/>
      <c r="M110" s="193"/>
      <c r="N110" s="193"/>
      <c r="O110" s="194"/>
      <c r="P110" s="194"/>
      <c r="Q110" s="194"/>
      <c r="R110" s="194"/>
      <c r="S110" s="194"/>
      <c r="T110" s="192"/>
      <c r="U110" s="195"/>
    </row>
    <row r="111" customFormat="false" ht="50.15" hidden="false" customHeight="true" outlineLevel="0" collapsed="false">
      <c r="B111" s="77"/>
      <c r="C111" s="192"/>
      <c r="D111" s="194"/>
      <c r="E111" s="125" t="s">
        <v>52</v>
      </c>
      <c r="F111" s="126" t="s">
        <v>75</v>
      </c>
      <c r="G111" s="82" t="s">
        <v>76</v>
      </c>
      <c r="H111" s="81" t="s">
        <v>77</v>
      </c>
      <c r="I111" s="59" t="s">
        <v>78</v>
      </c>
      <c r="J111" s="81" t="s">
        <v>79</v>
      </c>
      <c r="K111" s="127" t="s">
        <v>80</v>
      </c>
      <c r="L111" s="81" t="s">
        <v>81</v>
      </c>
      <c r="M111" s="128" t="s">
        <v>82</v>
      </c>
      <c r="N111" s="129" t="s">
        <v>83</v>
      </c>
      <c r="O111" s="130" t="s">
        <v>84</v>
      </c>
      <c r="P111" s="131" t="s">
        <v>85</v>
      </c>
      <c r="Q111" s="131" t="s">
        <v>86</v>
      </c>
      <c r="R111" s="197" t="s">
        <v>87</v>
      </c>
      <c r="S111" s="194"/>
      <c r="T111" s="192"/>
      <c r="U111" s="195"/>
    </row>
    <row r="112" customFormat="false" ht="20.15" hidden="false" customHeight="true" outlineLevel="0" collapsed="false">
      <c r="B112" s="77"/>
      <c r="C112" s="192"/>
      <c r="D112" s="208"/>
      <c r="E112" s="404" t="s">
        <v>25</v>
      </c>
      <c r="F112" s="372" t="s">
        <v>26</v>
      </c>
      <c r="G112" s="304" t="n">
        <v>2</v>
      </c>
      <c r="H112" s="222" t="s">
        <v>66</v>
      </c>
      <c r="I112" s="221" t="n">
        <v>-14</v>
      </c>
      <c r="J112" s="222" t="n">
        <v>45</v>
      </c>
      <c r="K112" s="221" t="s">
        <v>66</v>
      </c>
      <c r="L112" s="223" t="n">
        <f aca="false">IF(J112="",0,(J112/J116)*100)</f>
        <v>95.7446808510638</v>
      </c>
      <c r="M112" s="221" t="n">
        <v>2</v>
      </c>
      <c r="N112" s="224" t="n">
        <v>3</v>
      </c>
      <c r="O112" s="137" t="n">
        <f aca="false">IF(M112=1,1,0)</f>
        <v>0</v>
      </c>
      <c r="P112" s="138" t="n">
        <f aca="false">IF(M112=2,1,0)</f>
        <v>1</v>
      </c>
      <c r="Q112" s="138" t="n">
        <f aca="false">IF(M112=3,1,0)</f>
        <v>0</v>
      </c>
      <c r="R112" s="139" t="n">
        <f aca="false">IF(M112=4,1,0)</f>
        <v>0</v>
      </c>
      <c r="S112" s="206"/>
      <c r="T112" s="192"/>
      <c r="U112" s="207"/>
    </row>
    <row r="113" customFormat="false" ht="20.15" hidden="false" customHeight="true" outlineLevel="0" collapsed="false">
      <c r="B113" s="77"/>
      <c r="C113" s="192"/>
      <c r="D113" s="198"/>
      <c r="E113" s="178" t="s">
        <v>16</v>
      </c>
      <c r="F113" s="148" t="s">
        <v>17</v>
      </c>
      <c r="G113" s="305" t="n">
        <v>3</v>
      </c>
      <c r="H113" s="179" t="s">
        <v>66</v>
      </c>
      <c r="I113" s="149" t="n">
        <v>-14</v>
      </c>
      <c r="J113" s="179" t="n">
        <v>47</v>
      </c>
      <c r="K113" s="179" t="s">
        <v>66</v>
      </c>
      <c r="L113" s="150" t="n">
        <f aca="false">IF(J113="",0,(J113/J116)*100)</f>
        <v>100</v>
      </c>
      <c r="M113" s="149" t="n">
        <v>1</v>
      </c>
      <c r="N113" s="151" t="n">
        <v>6</v>
      </c>
      <c r="O113" s="144" t="n">
        <f aca="false">IF(M113=1,1,0)</f>
        <v>1</v>
      </c>
      <c r="P113" s="145" t="n">
        <f aca="false">IF(M113=2,1,0)</f>
        <v>0</v>
      </c>
      <c r="Q113" s="145" t="n">
        <f aca="false">IF(M113=3,1,0)</f>
        <v>0</v>
      </c>
      <c r="R113" s="146" t="n">
        <f aca="false">IF(M113=4,1,0)</f>
        <v>0</v>
      </c>
      <c r="S113" s="206"/>
      <c r="T113" s="192"/>
      <c r="U113" s="211"/>
    </row>
    <row r="114" customFormat="false" ht="20" hidden="false" customHeight="true" outlineLevel="0" collapsed="false">
      <c r="B114" s="77"/>
      <c r="C114" s="192"/>
      <c r="D114" s="198"/>
      <c r="E114" s="105" t="s">
        <v>30</v>
      </c>
      <c r="F114" s="96" t="s">
        <v>507</v>
      </c>
      <c r="G114" s="306" t="n">
        <v>4</v>
      </c>
      <c r="H114" s="317" t="s">
        <v>66</v>
      </c>
      <c r="I114" s="228" t="n">
        <v>-14</v>
      </c>
      <c r="J114" s="317" t="n">
        <v>42</v>
      </c>
      <c r="K114" s="228" t="s">
        <v>66</v>
      </c>
      <c r="L114" s="229" t="n">
        <f aca="false">IF(J114="",0,(J114/J116)*100)</f>
        <v>89.3617021276596</v>
      </c>
      <c r="M114" s="228" t="n">
        <v>3</v>
      </c>
      <c r="N114" s="230" t="n">
        <v>1</v>
      </c>
      <c r="O114" s="144" t="n">
        <f aca="false">IF(M114=1,1,0)</f>
        <v>0</v>
      </c>
      <c r="P114" s="145" t="n">
        <f aca="false">IF(M114=2,1,0)</f>
        <v>0</v>
      </c>
      <c r="Q114" s="145" t="n">
        <f aca="false">IF(M114=3,1,0)</f>
        <v>1</v>
      </c>
      <c r="R114" s="146" t="n">
        <f aca="false">IF(M114=4,1,0)</f>
        <v>0</v>
      </c>
      <c r="S114" s="206"/>
      <c r="T114" s="192"/>
      <c r="U114" s="211"/>
    </row>
    <row r="115" customFormat="false" ht="20.15" hidden="false" customHeight="true" outlineLevel="0" collapsed="false">
      <c r="B115" s="77"/>
      <c r="C115" s="192"/>
      <c r="D115" s="198"/>
      <c r="E115" s="182" t="s">
        <v>21</v>
      </c>
      <c r="F115" s="113" t="s">
        <v>22</v>
      </c>
      <c r="G115" s="307" t="n">
        <v>1</v>
      </c>
      <c r="H115" s="308" t="s">
        <v>66</v>
      </c>
      <c r="I115" s="234" t="n">
        <v>-14</v>
      </c>
      <c r="J115" s="308" t="n">
        <v>26</v>
      </c>
      <c r="K115" s="308" t="s">
        <v>66</v>
      </c>
      <c r="L115" s="235" t="n">
        <f aca="false">IF(J115="",0,(J115/J116)*100)</f>
        <v>55.3191489361702</v>
      </c>
      <c r="M115" s="234" t="n">
        <v>4</v>
      </c>
      <c r="N115" s="236" t="n">
        <v>0</v>
      </c>
      <c r="O115" s="156" t="n">
        <f aca="false">IF(M115=1,1,0)</f>
        <v>0</v>
      </c>
      <c r="P115" s="157" t="n">
        <f aca="false">IF(M115=2,1,0)</f>
        <v>0</v>
      </c>
      <c r="Q115" s="157" t="n">
        <f aca="false">IF(M115=3,1,0)</f>
        <v>0</v>
      </c>
      <c r="R115" s="158" t="n">
        <f aca="false">IF(M115=4,1,0)</f>
        <v>1</v>
      </c>
      <c r="S115" s="206"/>
      <c r="T115" s="192"/>
      <c r="U115" s="211"/>
    </row>
    <row r="116" customFormat="false" ht="20.15" hidden="true" customHeight="true" outlineLevel="1" collapsed="false">
      <c r="B116" s="77"/>
      <c r="C116" s="192"/>
      <c r="D116" s="198"/>
      <c r="E116" s="198"/>
      <c r="F116" s="206"/>
      <c r="G116" s="206"/>
      <c r="H116" s="192"/>
      <c r="I116" s="213" t="s">
        <v>92</v>
      </c>
      <c r="J116" s="161" t="n">
        <f aca="false">MAX(J112:J115)</f>
        <v>47</v>
      </c>
      <c r="K116" s="214"/>
      <c r="L116" s="206"/>
      <c r="M116" s="192"/>
      <c r="N116" s="164" t="s">
        <v>93</v>
      </c>
      <c r="O116" s="165" t="n">
        <f aca="false">SUM(O112:O115)</f>
        <v>1</v>
      </c>
      <c r="P116" s="166" t="n">
        <f aca="false">SUM(P112:P115)</f>
        <v>1</v>
      </c>
      <c r="Q116" s="165" t="n">
        <f aca="false">SUM(Q112:Q115)</f>
        <v>1</v>
      </c>
      <c r="R116" s="187" t="n">
        <f aca="false">SUM(R112:R115)</f>
        <v>1</v>
      </c>
      <c r="S116" s="215"/>
      <c r="T116" s="192"/>
      <c r="U116" s="211"/>
    </row>
    <row r="117" customFormat="false" ht="20.15" hidden="false" customHeight="true" outlineLevel="0" collapsed="false">
      <c r="B117" s="77"/>
      <c r="C117" s="192"/>
      <c r="D117" s="216"/>
      <c r="E117" s="216"/>
      <c r="F117" s="192"/>
      <c r="G117" s="192"/>
      <c r="H117" s="192"/>
      <c r="I117" s="192"/>
      <c r="J117" s="192"/>
      <c r="K117" s="192"/>
      <c r="L117" s="192"/>
      <c r="M117" s="192"/>
      <c r="N117" s="192"/>
      <c r="O117" s="192"/>
      <c r="P117" s="192"/>
      <c r="Q117" s="192"/>
      <c r="R117" s="192"/>
      <c r="S117" s="192"/>
      <c r="T117" s="192"/>
      <c r="U117" s="211"/>
    </row>
    <row r="118" customFormat="false" ht="20.15" hidden="false" customHeight="true" outlineLevel="0" collapsed="false">
      <c r="B118" s="77"/>
      <c r="D118" s="190"/>
      <c r="E118" s="190"/>
      <c r="F118" s="190"/>
      <c r="G118" s="190"/>
      <c r="H118" s="191"/>
      <c r="I118" s="190"/>
      <c r="J118" s="190"/>
      <c r="K118" s="190"/>
      <c r="L118" s="14"/>
      <c r="M118" s="14"/>
      <c r="N118" s="14"/>
      <c r="O118" s="14"/>
      <c r="P118" s="14"/>
      <c r="Q118" s="14"/>
      <c r="R118" s="14"/>
      <c r="S118" s="14"/>
      <c r="U118" s="207"/>
    </row>
    <row r="119" customFormat="false" ht="20.15" hidden="false" customHeight="true" outlineLevel="0" collapsed="false">
      <c r="B119" s="77"/>
      <c r="C119" s="217"/>
      <c r="D119" s="217"/>
      <c r="E119" s="218" t="str">
        <f aca="false">IF(OR(L90="-",L90= ""),H90,L90)</f>
        <v>Orakel von Delphi</v>
      </c>
      <c r="F119" s="218"/>
      <c r="G119" s="218"/>
      <c r="H119" s="218"/>
      <c r="I119" s="218"/>
      <c r="J119" s="218"/>
      <c r="K119" s="218"/>
      <c r="L119" s="218"/>
      <c r="M119" s="218"/>
      <c r="N119" s="218"/>
      <c r="O119" s="219"/>
      <c r="P119" s="219"/>
      <c r="Q119" s="219"/>
      <c r="R119" s="219"/>
      <c r="S119" s="219"/>
      <c r="T119" s="217"/>
      <c r="U119" s="77"/>
    </row>
    <row r="120" customFormat="false" ht="50.15" hidden="false" customHeight="true" outlineLevel="0" collapsed="false">
      <c r="B120" s="77"/>
      <c r="C120" s="217"/>
      <c r="D120" s="219"/>
      <c r="E120" s="125" t="s">
        <v>52</v>
      </c>
      <c r="F120" s="126" t="s">
        <v>75</v>
      </c>
      <c r="G120" s="82" t="s">
        <v>76</v>
      </c>
      <c r="H120" s="81" t="s">
        <v>77</v>
      </c>
      <c r="I120" s="59" t="s">
        <v>78</v>
      </c>
      <c r="J120" s="81" t="s">
        <v>79</v>
      </c>
      <c r="K120" s="127" t="s">
        <v>80</v>
      </c>
      <c r="L120" s="81" t="s">
        <v>81</v>
      </c>
      <c r="M120" s="128" t="s">
        <v>82</v>
      </c>
      <c r="N120" s="129" t="s">
        <v>83</v>
      </c>
      <c r="O120" s="130" t="s">
        <v>84</v>
      </c>
      <c r="P120" s="131" t="s">
        <v>85</v>
      </c>
      <c r="Q120" s="131" t="s">
        <v>86</v>
      </c>
      <c r="R120" s="197" t="s">
        <v>87</v>
      </c>
      <c r="S120" s="219"/>
      <c r="T120" s="217"/>
      <c r="U120" s="77"/>
    </row>
    <row r="121" customFormat="false" ht="170" hidden="false" customHeight="true" outlineLevel="0" collapsed="false">
      <c r="B121" s="77"/>
      <c r="C121" s="217"/>
      <c r="D121" s="220"/>
      <c r="E121" s="404" t="s">
        <v>25</v>
      </c>
      <c r="F121" s="372" t="s">
        <v>26</v>
      </c>
      <c r="G121" s="304" t="n">
        <v>4</v>
      </c>
      <c r="H121" s="222" t="s">
        <v>509</v>
      </c>
      <c r="I121" s="221" t="s">
        <v>66</v>
      </c>
      <c r="J121" s="222" t="s">
        <v>378</v>
      </c>
      <c r="K121" s="221" t="s">
        <v>66</v>
      </c>
      <c r="L121" s="223" t="n">
        <f aca="false">(L96+L103+L112)/3</f>
        <v>85.7160632076645</v>
      </c>
      <c r="M121" s="221" t="n">
        <v>2</v>
      </c>
      <c r="N121" s="224" t="n">
        <v>3</v>
      </c>
      <c r="O121" s="137" t="n">
        <f aca="false">IF(M121=1,1,0)</f>
        <v>0</v>
      </c>
      <c r="P121" s="138" t="n">
        <f aca="false">IF(M121=2,1,0)</f>
        <v>1</v>
      </c>
      <c r="Q121" s="138" t="n">
        <f aca="false">IF(M121=3,1,0)</f>
        <v>0</v>
      </c>
      <c r="R121" s="139" t="n">
        <f aca="false">IF(M121=4,1,0)</f>
        <v>0</v>
      </c>
      <c r="S121" s="225"/>
      <c r="T121" s="217"/>
      <c r="U121" s="77"/>
    </row>
    <row r="122" customFormat="false" ht="95" hidden="false" customHeight="true" outlineLevel="0" collapsed="false">
      <c r="B122" s="77"/>
      <c r="C122" s="217"/>
      <c r="D122" s="220"/>
      <c r="E122" s="209" t="s">
        <v>16</v>
      </c>
      <c r="F122" s="96" t="s">
        <v>17</v>
      </c>
      <c r="G122" s="306" t="n">
        <v>3</v>
      </c>
      <c r="H122" s="317" t="s">
        <v>510</v>
      </c>
      <c r="I122" s="228" t="s">
        <v>66</v>
      </c>
      <c r="J122" s="317" t="s">
        <v>374</v>
      </c>
      <c r="K122" s="317" t="s">
        <v>511</v>
      </c>
      <c r="L122" s="229" t="n">
        <f aca="false">(L97+L105+L115)/3</f>
        <v>41.2467338559164</v>
      </c>
      <c r="M122" s="228" t="n">
        <v>4</v>
      </c>
      <c r="N122" s="230" t="n">
        <v>0</v>
      </c>
      <c r="O122" s="144" t="n">
        <f aca="false">IF(M122=1,1,0)</f>
        <v>0</v>
      </c>
      <c r="P122" s="145" t="n">
        <f aca="false">IF(M122=2,1,0)</f>
        <v>0</v>
      </c>
      <c r="Q122" s="145" t="n">
        <f aca="false">IF(M122=3,1,0)</f>
        <v>0</v>
      </c>
      <c r="R122" s="146" t="n">
        <f aca="false">IF(M122=4,1,0)</f>
        <v>1</v>
      </c>
      <c r="S122" s="225"/>
      <c r="T122" s="217"/>
      <c r="U122" s="77"/>
    </row>
    <row r="123" customFormat="false" ht="95" hidden="false" customHeight="true" outlineLevel="0" collapsed="false">
      <c r="B123" s="77"/>
      <c r="C123" s="217"/>
      <c r="D123" s="220"/>
      <c r="E123" s="147" t="s">
        <v>30</v>
      </c>
      <c r="F123" s="148" t="s">
        <v>31</v>
      </c>
      <c r="G123" s="305" t="n">
        <v>1</v>
      </c>
      <c r="H123" s="179" t="s">
        <v>512</v>
      </c>
      <c r="I123" s="149" t="s">
        <v>66</v>
      </c>
      <c r="J123" s="179" t="s">
        <v>380</v>
      </c>
      <c r="K123" s="149" t="s">
        <v>66</v>
      </c>
      <c r="L123" s="150" t="n">
        <v>100</v>
      </c>
      <c r="M123" s="149" t="n">
        <v>1</v>
      </c>
      <c r="N123" s="151" t="n">
        <v>6</v>
      </c>
      <c r="O123" s="144" t="n">
        <f aca="false">IF(M123=1,1,0)</f>
        <v>1</v>
      </c>
      <c r="P123" s="145" t="n">
        <f aca="false">IF(M123=2,1,0)</f>
        <v>0</v>
      </c>
      <c r="Q123" s="145" t="n">
        <f aca="false">IF(M123=3,1,0)</f>
        <v>0</v>
      </c>
      <c r="R123" s="146" t="n">
        <f aca="false">IF(M123=4,1,0)</f>
        <v>0</v>
      </c>
      <c r="S123" s="225"/>
      <c r="T123" s="217"/>
      <c r="U123" s="77"/>
    </row>
    <row r="124" customFormat="false" ht="140" hidden="false" customHeight="true" outlineLevel="0" collapsed="false">
      <c r="B124" s="77"/>
      <c r="C124" s="217"/>
      <c r="D124" s="231"/>
      <c r="E124" s="182" t="s">
        <v>21</v>
      </c>
      <c r="F124" s="113" t="s">
        <v>22</v>
      </c>
      <c r="G124" s="307" t="n">
        <v>2</v>
      </c>
      <c r="H124" s="308" t="s">
        <v>513</v>
      </c>
      <c r="I124" s="234" t="s">
        <v>66</v>
      </c>
      <c r="J124" s="308" t="s">
        <v>374</v>
      </c>
      <c r="K124" s="308" t="s">
        <v>514</v>
      </c>
      <c r="L124" s="235" t="n">
        <f aca="false">(L94+L104+L114)/3</f>
        <v>81.2492223466468</v>
      </c>
      <c r="M124" s="234" t="n">
        <v>3</v>
      </c>
      <c r="N124" s="236" t="n">
        <v>1</v>
      </c>
      <c r="O124" s="156" t="n">
        <f aca="false">IF(M124=1,1,0)</f>
        <v>0</v>
      </c>
      <c r="P124" s="157" t="n">
        <f aca="false">IF(M124=2,1,0)</f>
        <v>0</v>
      </c>
      <c r="Q124" s="157" t="n">
        <f aca="false">IF(M124=3,1,0)</f>
        <v>1</v>
      </c>
      <c r="R124" s="158" t="n">
        <f aca="false">IF(M124=4,1,0)</f>
        <v>0</v>
      </c>
      <c r="S124" s="225"/>
      <c r="T124" s="217"/>
      <c r="U124" s="77"/>
    </row>
    <row r="125" customFormat="false" ht="20.15" hidden="true" customHeight="true" outlineLevel="1" collapsed="false">
      <c r="B125" s="77"/>
      <c r="C125" s="217"/>
      <c r="D125" s="220"/>
      <c r="E125" s="220"/>
      <c r="F125" s="225"/>
      <c r="G125" s="225"/>
      <c r="H125" s="217"/>
      <c r="I125" s="213" t="s">
        <v>92</v>
      </c>
      <c r="J125" s="161" t="n">
        <f aca="false">MAX(J121:J124)</f>
        <v>0</v>
      </c>
      <c r="K125" s="237"/>
      <c r="L125" s="225"/>
      <c r="M125" s="217"/>
      <c r="N125" s="164" t="s">
        <v>93</v>
      </c>
      <c r="O125" s="165" t="n">
        <f aca="false">SUM(O121:O124)</f>
        <v>1</v>
      </c>
      <c r="P125" s="166" t="n">
        <f aca="false">SUM(P121:P124)</f>
        <v>1</v>
      </c>
      <c r="Q125" s="165" t="n">
        <f aca="false">SUM(Q121:Q124)</f>
        <v>1</v>
      </c>
      <c r="R125" s="187" t="n">
        <f aca="false">SUM(R121:R124)</f>
        <v>1</v>
      </c>
      <c r="S125" s="238"/>
      <c r="T125" s="217"/>
      <c r="U125" s="77"/>
    </row>
    <row r="126" customFormat="false" ht="20.15" hidden="false" customHeight="true" outlineLevel="0" collapsed="false">
      <c r="B126" s="77"/>
      <c r="C126" s="217"/>
      <c r="D126" s="239"/>
      <c r="E126" s="239"/>
      <c r="F126" s="217"/>
      <c r="G126" s="217"/>
      <c r="H126" s="217"/>
      <c r="I126" s="217"/>
      <c r="J126" s="217"/>
      <c r="K126" s="217"/>
      <c r="L126" s="217"/>
      <c r="M126" s="217"/>
      <c r="N126" s="217"/>
      <c r="O126" s="217"/>
      <c r="P126" s="217"/>
      <c r="Q126" s="217"/>
      <c r="R126" s="217"/>
      <c r="S126" s="217"/>
      <c r="T126" s="217"/>
      <c r="U126" s="77"/>
    </row>
    <row r="127" customFormat="false" ht="20.15" hidden="false" customHeight="true" outlineLevel="0" collapsed="false">
      <c r="B127" s="77"/>
      <c r="D127" s="5"/>
      <c r="E127" s="5"/>
      <c r="F127" s="5"/>
      <c r="G127" s="5"/>
      <c r="H127" s="5"/>
      <c r="I127" s="5"/>
      <c r="J127" s="5"/>
      <c r="K127" s="14"/>
      <c r="L127" s="14"/>
      <c r="M127" s="14"/>
      <c r="N127" s="14"/>
      <c r="O127" s="14"/>
      <c r="P127" s="14"/>
      <c r="Q127" s="14"/>
      <c r="R127" s="14"/>
      <c r="S127" s="14"/>
      <c r="U127" s="77"/>
    </row>
    <row r="128" customFormat="false" ht="30" hidden="false" customHeight="true" outlineLevel="0" collapsed="false">
      <c r="B128" s="77"/>
      <c r="C128" s="240"/>
      <c r="D128" s="241" t="s">
        <v>135</v>
      </c>
      <c r="E128" s="241"/>
      <c r="F128" s="241"/>
      <c r="G128" s="241"/>
      <c r="H128" s="241"/>
      <c r="I128" s="241"/>
      <c r="J128" s="241"/>
      <c r="K128" s="241"/>
      <c r="L128" s="241"/>
      <c r="M128" s="241"/>
      <c r="N128" s="241"/>
      <c r="O128" s="241"/>
      <c r="P128" s="241"/>
      <c r="Q128" s="241"/>
      <c r="R128" s="241"/>
      <c r="S128" s="241"/>
      <c r="T128" s="240"/>
      <c r="U128" s="77"/>
    </row>
    <row r="129" customFormat="false" ht="50.15" hidden="false" customHeight="true" outlineLevel="0" collapsed="false">
      <c r="B129" s="77"/>
      <c r="C129" s="240"/>
      <c r="D129" s="242" t="s">
        <v>52</v>
      </c>
      <c r="E129" s="243" t="s">
        <v>53</v>
      </c>
      <c r="F129" s="244" t="s">
        <v>83</v>
      </c>
      <c r="G129" s="245" t="s">
        <v>102</v>
      </c>
      <c r="H129" s="246" t="s">
        <v>103</v>
      </c>
      <c r="I129" s="246"/>
      <c r="J129" s="247" t="s">
        <v>104</v>
      </c>
      <c r="K129" s="248" t="s">
        <v>105</v>
      </c>
      <c r="L129" s="244" t="s">
        <v>106</v>
      </c>
      <c r="M129" s="248" t="s">
        <v>107</v>
      </c>
      <c r="N129" s="244" t="s">
        <v>108</v>
      </c>
      <c r="O129" s="249"/>
      <c r="P129" s="250"/>
      <c r="Q129" s="250"/>
      <c r="R129" s="250"/>
      <c r="S129" s="243" t="s">
        <v>109</v>
      </c>
      <c r="T129" s="240"/>
      <c r="U129" s="77"/>
    </row>
    <row r="130" customFormat="false" ht="20.15" hidden="false" customHeight="true" outlineLevel="0" collapsed="false">
      <c r="B130" s="77"/>
      <c r="C130" s="240"/>
      <c r="D130" s="426" t="s">
        <v>16</v>
      </c>
      <c r="E130" s="360" t="s">
        <v>17</v>
      </c>
      <c r="F130" s="327" t="n">
        <f aca="false">K130*6+L130*3+M130*1+N130*0</f>
        <v>13</v>
      </c>
      <c r="G130" s="328" t="n">
        <v>0</v>
      </c>
      <c r="H130" s="328" t="s">
        <v>66</v>
      </c>
      <c r="I130" s="328"/>
      <c r="J130" s="327" t="n">
        <f aca="false">F130+G130</f>
        <v>13</v>
      </c>
      <c r="K130" s="327" t="n">
        <v>2</v>
      </c>
      <c r="L130" s="327" t="n">
        <v>0</v>
      </c>
      <c r="M130" s="327" t="n">
        <v>1</v>
      </c>
      <c r="N130" s="327" t="n">
        <v>1</v>
      </c>
      <c r="O130" s="16"/>
      <c r="P130" s="328"/>
      <c r="Q130" s="328"/>
      <c r="R130" s="328"/>
      <c r="S130" s="329" t="n">
        <f aca="false">(L95+L104+L113+L122)/4</f>
        <v>76.5397536394177</v>
      </c>
      <c r="T130" s="240"/>
      <c r="U130" s="77"/>
    </row>
    <row r="131" customFormat="false" ht="20.15" hidden="false" customHeight="true" outlineLevel="0" collapsed="false">
      <c r="B131" s="77"/>
      <c r="C131" s="240"/>
      <c r="D131" s="257" t="s">
        <v>30</v>
      </c>
      <c r="E131" s="384" t="s">
        <v>31</v>
      </c>
      <c r="F131" s="330" t="n">
        <f aca="false">K131*6+L131*3+M131*1+N131*0</f>
        <v>10</v>
      </c>
      <c r="G131" s="331" t="n">
        <v>0</v>
      </c>
      <c r="H131" s="331" t="s">
        <v>66</v>
      </c>
      <c r="I131" s="331"/>
      <c r="J131" s="330" t="n">
        <f aca="false">F131+G131</f>
        <v>10</v>
      </c>
      <c r="K131" s="330" t="n">
        <v>1</v>
      </c>
      <c r="L131" s="330" t="n">
        <v>1</v>
      </c>
      <c r="M131" s="330" t="n">
        <v>1</v>
      </c>
      <c r="N131" s="330" t="n">
        <v>1</v>
      </c>
      <c r="O131" s="332"/>
      <c r="P131" s="331"/>
      <c r="Q131" s="331"/>
      <c r="R131" s="331"/>
      <c r="S131" s="549" t="n">
        <f aca="false">(L96+L105+L114+L123)/4</f>
        <v>85.498320268757</v>
      </c>
      <c r="T131" s="240"/>
      <c r="U131" s="77"/>
      <c r="W131" s="334"/>
      <c r="X131" s="334"/>
      <c r="Y131" s="23"/>
      <c r="Z131" s="23"/>
      <c r="AA131" s="335"/>
      <c r="AB131" s="335"/>
      <c r="AC131" s="336"/>
      <c r="AD131" s="336"/>
      <c r="AE131" s="336"/>
    </row>
    <row r="132" customFormat="false" ht="20.15" hidden="false" customHeight="true" outlineLevel="0" collapsed="false">
      <c r="B132" s="77"/>
      <c r="C132" s="240"/>
      <c r="D132" s="263" t="s">
        <v>25</v>
      </c>
      <c r="E132" s="264" t="s">
        <v>26</v>
      </c>
      <c r="F132" s="330" t="n">
        <f aca="false">K132*6+L132*3+M132*1+N132*0</f>
        <v>10</v>
      </c>
      <c r="G132" s="331" t="n">
        <v>0</v>
      </c>
      <c r="H132" s="331" t="s">
        <v>66</v>
      </c>
      <c r="I132" s="331"/>
      <c r="J132" s="330" t="n">
        <f aca="false">F132+G132</f>
        <v>10</v>
      </c>
      <c r="K132" s="330" t="n">
        <v>0</v>
      </c>
      <c r="L132" s="330" t="n">
        <v>3</v>
      </c>
      <c r="M132" s="330" t="n">
        <v>1</v>
      </c>
      <c r="N132" s="330" t="n">
        <v>0</v>
      </c>
      <c r="O132" s="332"/>
      <c r="P132" s="331"/>
      <c r="Q132" s="331"/>
      <c r="R132" s="331"/>
      <c r="S132" s="333" t="n">
        <f aca="false">(L94+L103+L112+L121)/4</f>
        <v>85.7160632076645</v>
      </c>
      <c r="T132" s="240"/>
      <c r="U132" s="77"/>
    </row>
    <row r="133" customFormat="false" ht="20.15" hidden="false" customHeight="true" outlineLevel="0" collapsed="false">
      <c r="B133" s="77"/>
      <c r="C133" s="240"/>
      <c r="D133" s="542" t="s">
        <v>21</v>
      </c>
      <c r="E133" s="362" t="s">
        <v>22</v>
      </c>
      <c r="F133" s="338" t="n">
        <f aca="false">K133*6+L133*3+M133*1+N133*0</f>
        <v>7</v>
      </c>
      <c r="G133" s="339" t="n">
        <v>0</v>
      </c>
      <c r="H133" s="339" t="s">
        <v>66</v>
      </c>
      <c r="I133" s="339"/>
      <c r="J133" s="338" t="n">
        <f aca="false">F133+G133</f>
        <v>7</v>
      </c>
      <c r="K133" s="338" t="n">
        <v>1</v>
      </c>
      <c r="L133" s="338" t="n">
        <v>0</v>
      </c>
      <c r="M133" s="338" t="n">
        <v>1</v>
      </c>
      <c r="N133" s="338" t="n">
        <v>2</v>
      </c>
      <c r="O133" s="340"/>
      <c r="P133" s="339"/>
      <c r="Q133" s="339"/>
      <c r="R133" s="339"/>
      <c r="S133" s="341" t="n">
        <f aca="false">(L97+L106+L115+L124)/4</f>
        <v>60.4578822943885</v>
      </c>
      <c r="T133" s="240"/>
      <c r="U133" s="77"/>
    </row>
    <row r="134" customFormat="false" ht="20.15" hidden="false" customHeight="true" outlineLevel="0" collapsed="false">
      <c r="B134" s="77"/>
      <c r="C134" s="240"/>
      <c r="D134" s="402"/>
      <c r="E134" s="550"/>
      <c r="F134" s="551"/>
      <c r="G134" s="403"/>
      <c r="H134" s="403"/>
      <c r="I134" s="403"/>
      <c r="J134" s="551"/>
      <c r="K134" s="551"/>
      <c r="L134" s="551"/>
      <c r="M134" s="551"/>
      <c r="N134" s="551"/>
      <c r="O134" s="552"/>
      <c r="P134" s="553"/>
      <c r="Q134" s="553"/>
      <c r="R134" s="553"/>
      <c r="S134" s="342"/>
      <c r="T134" s="240"/>
      <c r="U134" s="77"/>
    </row>
    <row r="135" customFormat="false" ht="20.15" hidden="false" customHeight="true" outlineLevel="0" collapsed="false">
      <c r="B135" s="77"/>
      <c r="C135" s="77"/>
      <c r="D135" s="270"/>
      <c r="E135" s="270"/>
      <c r="F135" s="195"/>
      <c r="G135" s="195"/>
      <c r="H135" s="270"/>
      <c r="I135" s="270"/>
      <c r="J135" s="270"/>
      <c r="K135" s="207"/>
      <c r="L135" s="207"/>
      <c r="M135" s="207"/>
      <c r="N135" s="207"/>
      <c r="O135" s="207"/>
      <c r="P135" s="207"/>
      <c r="Q135" s="207"/>
      <c r="R135" s="207"/>
      <c r="S135" s="207"/>
      <c r="T135" s="77"/>
      <c r="U135" s="77"/>
    </row>
    <row r="136" customFormat="false" ht="20.15" hidden="false" customHeight="true" outlineLevel="0" collapsed="false"/>
    <row r="137" customFormat="false" ht="20.15" hidden="false" customHeight="true" outlineLevel="0" collapsed="false"/>
    <row r="138" customFormat="false" ht="20.15" hidden="false" customHeight="true" outlineLevel="0" collapsed="false">
      <c r="B138" s="77"/>
      <c r="C138" s="77"/>
      <c r="D138" s="78"/>
      <c r="E138" s="78"/>
      <c r="F138" s="78"/>
      <c r="G138" s="78"/>
      <c r="H138" s="77"/>
      <c r="I138" s="77"/>
      <c r="J138" s="77"/>
      <c r="K138" s="77"/>
      <c r="L138" s="77"/>
      <c r="M138" s="77"/>
      <c r="N138" s="77"/>
      <c r="O138" s="77"/>
      <c r="P138" s="77"/>
      <c r="Q138" s="77"/>
      <c r="R138" s="77"/>
      <c r="S138" s="77"/>
      <c r="T138" s="77"/>
      <c r="U138" s="77"/>
    </row>
    <row r="139" customFormat="false" ht="30" hidden="false" customHeight="true" outlineLevel="0" collapsed="false">
      <c r="B139" s="77"/>
      <c r="C139" s="79" t="s">
        <v>183</v>
      </c>
      <c r="D139" s="79"/>
      <c r="E139" s="79"/>
      <c r="F139" s="79"/>
      <c r="G139" s="79"/>
      <c r="H139" s="79"/>
      <c r="I139" s="79"/>
      <c r="J139" s="79"/>
      <c r="K139" s="79"/>
      <c r="L139" s="79"/>
      <c r="M139" s="79"/>
      <c r="N139" s="79"/>
      <c r="O139" s="79"/>
      <c r="P139" s="79"/>
      <c r="Q139" s="79"/>
      <c r="R139" s="79"/>
      <c r="S139" s="79"/>
      <c r="T139" s="79"/>
      <c r="U139" s="77"/>
    </row>
    <row r="140" customFormat="false" ht="20.15" hidden="false" customHeight="true" outlineLevel="0" collapsed="false">
      <c r="B140" s="77"/>
      <c r="D140" s="121"/>
      <c r="E140" s="121"/>
      <c r="U140" s="77"/>
    </row>
    <row r="141" customFormat="false" ht="20.15" hidden="false" customHeight="true" outlineLevel="0" collapsed="false">
      <c r="B141" s="77"/>
      <c r="D141" s="80" t="s">
        <v>52</v>
      </c>
      <c r="E141" s="81" t="s">
        <v>111</v>
      </c>
      <c r="F141" s="82" t="s">
        <v>12</v>
      </c>
      <c r="G141" s="83" t="s">
        <v>54</v>
      </c>
      <c r="H141" s="83"/>
      <c r="I141" s="83"/>
      <c r="J141" s="83"/>
      <c r="K141" s="81" t="s">
        <v>55</v>
      </c>
      <c r="L141" s="83" t="s">
        <v>56</v>
      </c>
      <c r="M141" s="83"/>
      <c r="N141" s="83"/>
      <c r="O141" s="83"/>
      <c r="P141" s="83"/>
      <c r="Q141" s="83"/>
      <c r="R141" s="83"/>
      <c r="S141" s="83"/>
      <c r="U141" s="77"/>
    </row>
    <row r="142" customFormat="false" ht="20.15" hidden="false" customHeight="true" outlineLevel="0" collapsed="false">
      <c r="B142" s="77"/>
      <c r="D142" s="80"/>
      <c r="E142" s="81"/>
      <c r="F142" s="81"/>
      <c r="G142" s="85" t="s">
        <v>57</v>
      </c>
      <c r="H142" s="84" t="s">
        <v>58</v>
      </c>
      <c r="I142" s="82" t="s">
        <v>59</v>
      </c>
      <c r="J142" s="82"/>
      <c r="K142" s="84" t="s">
        <v>60</v>
      </c>
      <c r="L142" s="276" t="s">
        <v>57</v>
      </c>
      <c r="M142" s="277" t="s">
        <v>61</v>
      </c>
      <c r="N142" s="82" t="s">
        <v>59</v>
      </c>
      <c r="O142" s="82"/>
      <c r="P142" s="82"/>
      <c r="Q142" s="82"/>
      <c r="R142" s="82"/>
      <c r="S142" s="82"/>
      <c r="U142" s="77"/>
    </row>
    <row r="143" customFormat="false" ht="50.15" hidden="false" customHeight="true" outlineLevel="0" collapsed="false">
      <c r="B143" s="77"/>
      <c r="D143" s="86" t="s">
        <v>39</v>
      </c>
      <c r="E143" s="87" t="s">
        <v>40</v>
      </c>
      <c r="F143" s="343" t="n">
        <v>1</v>
      </c>
      <c r="G143" s="89" t="s">
        <v>67</v>
      </c>
      <c r="H143" s="281" t="s">
        <v>347</v>
      </c>
      <c r="I143" s="91" t="s">
        <v>515</v>
      </c>
      <c r="J143" s="91"/>
      <c r="K143" s="345" t="s">
        <v>65</v>
      </c>
      <c r="L143" s="93" t="s">
        <v>66</v>
      </c>
      <c r="M143" s="94" t="s">
        <v>66</v>
      </c>
      <c r="N143" s="95" t="s">
        <v>66</v>
      </c>
      <c r="O143" s="95"/>
      <c r="P143" s="95"/>
      <c r="Q143" s="95"/>
      <c r="R143" s="95"/>
      <c r="S143" s="95"/>
      <c r="U143" s="77"/>
    </row>
    <row r="144" customFormat="false" ht="65" hidden="false" customHeight="true" outlineLevel="0" collapsed="false">
      <c r="B144" s="77"/>
      <c r="D144" s="105" t="s">
        <v>33</v>
      </c>
      <c r="E144" s="312" t="s">
        <v>34</v>
      </c>
      <c r="F144" s="346" t="n">
        <v>2</v>
      </c>
      <c r="G144" s="286" t="s">
        <v>67</v>
      </c>
      <c r="H144" s="99" t="s">
        <v>483</v>
      </c>
      <c r="I144" s="100" t="s">
        <v>516</v>
      </c>
      <c r="J144" s="100"/>
      <c r="K144" s="348" t="s">
        <v>65</v>
      </c>
      <c r="L144" s="102" t="s">
        <v>66</v>
      </c>
      <c r="M144" s="103" t="s">
        <v>66</v>
      </c>
      <c r="N144" s="104" t="s">
        <v>66</v>
      </c>
      <c r="O144" s="104"/>
      <c r="P144" s="104"/>
      <c r="Q144" s="104"/>
      <c r="R144" s="104"/>
      <c r="S144" s="104"/>
      <c r="U144" s="77"/>
    </row>
    <row r="145" customFormat="false" ht="65" hidden="false" customHeight="true" outlineLevel="0" collapsed="false">
      <c r="B145" s="77"/>
      <c r="D145" s="182" t="s">
        <v>454</v>
      </c>
      <c r="E145" s="410" t="s">
        <v>455</v>
      </c>
      <c r="F145" s="350" t="n">
        <v>3</v>
      </c>
      <c r="G145" s="392" t="s">
        <v>67</v>
      </c>
      <c r="H145" s="393" t="s">
        <v>427</v>
      </c>
      <c r="I145" s="394" t="s">
        <v>517</v>
      </c>
      <c r="J145" s="394"/>
      <c r="K145" s="430" t="s">
        <v>347</v>
      </c>
      <c r="L145" s="396" t="s">
        <v>66</v>
      </c>
      <c r="M145" s="302" t="s">
        <v>66</v>
      </c>
      <c r="N145" s="303" t="s">
        <v>66</v>
      </c>
      <c r="O145" s="303"/>
      <c r="P145" s="303"/>
      <c r="Q145" s="303"/>
      <c r="R145" s="303"/>
      <c r="S145" s="303"/>
      <c r="U145" s="77"/>
    </row>
    <row r="146" customFormat="false" ht="20.15" hidden="false" customHeight="true" outlineLevel="0" collapsed="false">
      <c r="B146" s="77"/>
      <c r="D146" s="121"/>
      <c r="E146" s="121"/>
      <c r="U146" s="77"/>
    </row>
    <row r="147" customFormat="false" ht="20.15" hidden="false" customHeight="true" outlineLevel="0" collapsed="false">
      <c r="B147" s="77"/>
      <c r="C147" s="122"/>
      <c r="D147" s="122"/>
      <c r="E147" s="123" t="str">
        <f aca="false">IF(OR(L143="-",L143= ""),H143,L143)</f>
        <v>Marco Polo II: Im Auftrag des Khan</v>
      </c>
      <c r="F147" s="123"/>
      <c r="G147" s="123"/>
      <c r="H147" s="123"/>
      <c r="I147" s="123"/>
      <c r="J147" s="123"/>
      <c r="K147" s="123"/>
      <c r="L147" s="123"/>
      <c r="M147" s="123"/>
      <c r="N147" s="123"/>
      <c r="O147" s="124"/>
      <c r="P147" s="124"/>
      <c r="Q147" s="124"/>
      <c r="R147" s="124"/>
      <c r="S147" s="124"/>
      <c r="T147" s="122"/>
      <c r="U147" s="77"/>
    </row>
    <row r="148" customFormat="false" ht="50.15" hidden="false" customHeight="true" outlineLevel="0" collapsed="false">
      <c r="B148" s="77"/>
      <c r="C148" s="122"/>
      <c r="D148" s="124"/>
      <c r="E148" s="125" t="s">
        <v>52</v>
      </c>
      <c r="F148" s="126" t="s">
        <v>75</v>
      </c>
      <c r="G148" s="82" t="s">
        <v>76</v>
      </c>
      <c r="H148" s="81" t="s">
        <v>77</v>
      </c>
      <c r="I148" s="59" t="s">
        <v>78</v>
      </c>
      <c r="J148" s="81" t="s">
        <v>79</v>
      </c>
      <c r="K148" s="127" t="s">
        <v>80</v>
      </c>
      <c r="L148" s="81" t="s">
        <v>81</v>
      </c>
      <c r="M148" s="128" t="s">
        <v>82</v>
      </c>
      <c r="N148" s="129" t="s">
        <v>83</v>
      </c>
      <c r="O148" s="130" t="s">
        <v>84</v>
      </c>
      <c r="P148" s="131" t="s">
        <v>85</v>
      </c>
      <c r="Q148" s="131" t="s">
        <v>86</v>
      </c>
      <c r="R148" s="124"/>
      <c r="S148" s="124"/>
      <c r="T148" s="122"/>
      <c r="U148" s="77"/>
    </row>
    <row r="149" customFormat="false" ht="20.15" hidden="false" customHeight="true" outlineLevel="0" collapsed="false">
      <c r="B149" s="77"/>
      <c r="C149" s="122"/>
      <c r="D149" s="152"/>
      <c r="E149" s="86" t="s">
        <v>39</v>
      </c>
      <c r="F149" s="87" t="s">
        <v>40</v>
      </c>
      <c r="G149" s="304" t="n">
        <v>2</v>
      </c>
      <c r="H149" s="221" t="s">
        <v>118</v>
      </c>
      <c r="I149" s="221" t="n">
        <v>0</v>
      </c>
      <c r="J149" s="221" t="n">
        <v>128</v>
      </c>
      <c r="K149" s="221" t="s">
        <v>66</v>
      </c>
      <c r="L149" s="223" t="n">
        <f aca="false">IF(J149="",0,(J149/J152)*100)</f>
        <v>97.7099236641221</v>
      </c>
      <c r="M149" s="221" t="n">
        <v>2</v>
      </c>
      <c r="N149" s="224" t="n">
        <v>3</v>
      </c>
      <c r="O149" s="138" t="n">
        <f aca="false">IF(M149=1,1,0)</f>
        <v>0</v>
      </c>
      <c r="P149" s="138" t="n">
        <f aca="false">IF(M149=2,1,0)</f>
        <v>1</v>
      </c>
      <c r="Q149" s="139" t="n">
        <f aca="false">IF(M149=3,1,0)</f>
        <v>0</v>
      </c>
      <c r="R149" s="140"/>
      <c r="S149" s="140"/>
      <c r="T149" s="122"/>
      <c r="U149" s="77"/>
    </row>
    <row r="150" customFormat="false" ht="20.15" hidden="false" customHeight="true" outlineLevel="0" collapsed="false">
      <c r="B150" s="77"/>
      <c r="C150" s="122"/>
      <c r="D150" s="132"/>
      <c r="E150" s="147" t="s">
        <v>33</v>
      </c>
      <c r="F150" s="355" t="s">
        <v>34</v>
      </c>
      <c r="G150" s="305" t="n">
        <v>3</v>
      </c>
      <c r="H150" s="149" t="s">
        <v>162</v>
      </c>
      <c r="I150" s="149" t="n">
        <v>0</v>
      </c>
      <c r="J150" s="149" t="n">
        <v>131</v>
      </c>
      <c r="K150" s="179" t="s">
        <v>66</v>
      </c>
      <c r="L150" s="150" t="n">
        <f aca="false">IF(J150="",0,(J150/J152)*100)</f>
        <v>100</v>
      </c>
      <c r="M150" s="149" t="n">
        <v>1</v>
      </c>
      <c r="N150" s="151" t="n">
        <v>6</v>
      </c>
      <c r="O150" s="145" t="n">
        <f aca="false">IF(M150=1,1,0)</f>
        <v>1</v>
      </c>
      <c r="P150" s="145" t="n">
        <f aca="false">IF(M150=2,1,0)</f>
        <v>0</v>
      </c>
      <c r="Q150" s="146" t="n">
        <f aca="false">IF(M150=3,1,0)</f>
        <v>0</v>
      </c>
      <c r="R150" s="140"/>
      <c r="S150" s="140"/>
      <c r="T150" s="122"/>
      <c r="U150" s="77"/>
    </row>
    <row r="151" customFormat="false" ht="20.15" hidden="false" customHeight="true" outlineLevel="0" collapsed="false">
      <c r="B151" s="77"/>
      <c r="C151" s="122"/>
      <c r="D151" s="132"/>
      <c r="E151" s="182" t="s">
        <v>454</v>
      </c>
      <c r="F151" s="410" t="s">
        <v>455</v>
      </c>
      <c r="G151" s="307" t="n">
        <v>1</v>
      </c>
      <c r="H151" s="234" t="s">
        <v>163</v>
      </c>
      <c r="I151" s="234" t="n">
        <v>0</v>
      </c>
      <c r="J151" s="234" t="n">
        <v>86</v>
      </c>
      <c r="K151" s="234" t="s">
        <v>66</v>
      </c>
      <c r="L151" s="235" t="n">
        <f aca="false">IF(J151="",0,(J151/J152)*100)</f>
        <v>65.6488549618321</v>
      </c>
      <c r="M151" s="234" t="n">
        <v>3</v>
      </c>
      <c r="N151" s="236" t="n">
        <v>0</v>
      </c>
      <c r="O151" s="157" t="n">
        <f aca="false">IF(M151=1,1,0)</f>
        <v>0</v>
      </c>
      <c r="P151" s="157" t="n">
        <f aca="false">IF(M151=2,1,0)</f>
        <v>0</v>
      </c>
      <c r="Q151" s="158" t="n">
        <f aca="false">IF(M151=3,1,0)</f>
        <v>1</v>
      </c>
      <c r="R151" s="140"/>
      <c r="S151" s="140"/>
      <c r="T151" s="122"/>
      <c r="U151" s="77"/>
    </row>
    <row r="152" customFormat="false" ht="20.15" hidden="true" customHeight="true" outlineLevel="1" collapsed="false">
      <c r="B152" s="77"/>
      <c r="C152" s="122"/>
      <c r="D152" s="152"/>
      <c r="E152" s="152"/>
      <c r="F152" s="140"/>
      <c r="G152" s="140"/>
      <c r="H152" s="122"/>
      <c r="I152" s="213" t="s">
        <v>92</v>
      </c>
      <c r="J152" s="161" t="n">
        <f aca="false">MAX(J149:J151)</f>
        <v>131</v>
      </c>
      <c r="K152" s="309"/>
      <c r="L152" s="167"/>
      <c r="M152" s="122"/>
      <c r="N152" s="164" t="s">
        <v>93</v>
      </c>
      <c r="O152" s="165" t="n">
        <f aca="false">SUM(O149:O151)</f>
        <v>1</v>
      </c>
      <c r="P152" s="166" t="n">
        <f aca="false">SUM(P149:P151)</f>
        <v>1</v>
      </c>
      <c r="Q152" s="165" t="n">
        <f aca="false">SUM(Q149:Q151)</f>
        <v>1</v>
      </c>
      <c r="R152" s="187" t="n">
        <f aca="false">SUM(R149:R151)</f>
        <v>0</v>
      </c>
      <c r="S152" s="167"/>
      <c r="T152" s="122"/>
      <c r="U152" s="77"/>
    </row>
    <row r="153" customFormat="false" ht="20.15" hidden="false" customHeight="true" outlineLevel="0" collapsed="false">
      <c r="B153" s="77"/>
      <c r="C153" s="122"/>
      <c r="D153" s="168"/>
      <c r="E153" s="168"/>
      <c r="F153" s="122"/>
      <c r="G153" s="122"/>
      <c r="H153" s="122"/>
      <c r="I153" s="122"/>
      <c r="J153" s="122"/>
      <c r="K153" s="122"/>
      <c r="L153" s="122"/>
      <c r="M153" s="122"/>
      <c r="N153" s="122"/>
      <c r="O153" s="122"/>
      <c r="P153" s="122"/>
      <c r="Q153" s="122"/>
      <c r="R153" s="122"/>
      <c r="S153" s="122"/>
      <c r="T153" s="122"/>
      <c r="U153" s="77"/>
    </row>
    <row r="154" customFormat="false" ht="20.15" hidden="false" customHeight="true" outlineLevel="0" collapsed="false">
      <c r="B154" s="77"/>
      <c r="U154" s="77"/>
    </row>
    <row r="155" customFormat="false" ht="20.15" hidden="false" customHeight="true" outlineLevel="0" collapsed="false">
      <c r="B155" s="77"/>
      <c r="C155" s="170"/>
      <c r="D155" s="170"/>
      <c r="E155" s="171" t="str">
        <f aca="false">IF(OR(L144="-",L144= ""),H144,L144)</f>
        <v>Azul</v>
      </c>
      <c r="F155" s="171"/>
      <c r="G155" s="171"/>
      <c r="H155" s="171"/>
      <c r="I155" s="171"/>
      <c r="J155" s="171"/>
      <c r="K155" s="171"/>
      <c r="L155" s="171"/>
      <c r="M155" s="171"/>
      <c r="N155" s="171"/>
      <c r="O155" s="172"/>
      <c r="P155" s="172"/>
      <c r="Q155" s="172"/>
      <c r="R155" s="172"/>
      <c r="S155" s="172"/>
      <c r="T155" s="170"/>
      <c r="U155" s="77"/>
    </row>
    <row r="156" customFormat="false" ht="50.15" hidden="false" customHeight="true" outlineLevel="0" collapsed="false">
      <c r="B156" s="77"/>
      <c r="C156" s="170"/>
      <c r="D156" s="172"/>
      <c r="E156" s="125" t="s">
        <v>52</v>
      </c>
      <c r="F156" s="126" t="s">
        <v>75</v>
      </c>
      <c r="G156" s="82" t="s">
        <v>76</v>
      </c>
      <c r="H156" s="81" t="s">
        <v>77</v>
      </c>
      <c r="I156" s="59" t="s">
        <v>78</v>
      </c>
      <c r="J156" s="81" t="s">
        <v>79</v>
      </c>
      <c r="K156" s="127" t="s">
        <v>80</v>
      </c>
      <c r="L156" s="81" t="s">
        <v>81</v>
      </c>
      <c r="M156" s="128" t="s">
        <v>82</v>
      </c>
      <c r="N156" s="129" t="s">
        <v>83</v>
      </c>
      <c r="O156" s="130" t="s">
        <v>84</v>
      </c>
      <c r="P156" s="131" t="s">
        <v>85</v>
      </c>
      <c r="Q156" s="131" t="s">
        <v>86</v>
      </c>
      <c r="R156" s="172"/>
      <c r="S156" s="172"/>
      <c r="T156" s="170"/>
      <c r="U156" s="77"/>
    </row>
    <row r="157" customFormat="false" ht="20" hidden="false" customHeight="true" outlineLevel="0" collapsed="false">
      <c r="B157" s="77"/>
      <c r="C157" s="170"/>
      <c r="D157" s="177"/>
      <c r="E157" s="86" t="s">
        <v>39</v>
      </c>
      <c r="F157" s="87" t="s">
        <v>40</v>
      </c>
      <c r="G157" s="397" t="n">
        <v>3</v>
      </c>
      <c r="H157" s="221" t="s">
        <v>66</v>
      </c>
      <c r="I157" s="221" t="n">
        <v>0</v>
      </c>
      <c r="J157" s="221" t="n">
        <v>65</v>
      </c>
      <c r="K157" s="222" t="s">
        <v>66</v>
      </c>
      <c r="L157" s="223" t="n">
        <f aca="false">IF(J157="",0,(J157/J160)*100)</f>
        <v>69.8924731182796</v>
      </c>
      <c r="M157" s="221" t="n">
        <v>3</v>
      </c>
      <c r="N157" s="224" t="n">
        <v>0</v>
      </c>
      <c r="O157" s="137" t="n">
        <f aca="false">IF(M157=1,1,0)</f>
        <v>0</v>
      </c>
      <c r="P157" s="138" t="n">
        <f aca="false">IF(M157=2,1,0)</f>
        <v>0</v>
      </c>
      <c r="Q157" s="139" t="n">
        <f aca="false">IF(M157=3,1,0)</f>
        <v>1</v>
      </c>
      <c r="R157" s="176"/>
      <c r="S157" s="176"/>
      <c r="T157" s="170"/>
      <c r="U157" s="77"/>
    </row>
    <row r="158" customFormat="false" ht="20" hidden="false" customHeight="true" outlineLevel="0" collapsed="false">
      <c r="B158" s="77"/>
      <c r="C158" s="170"/>
      <c r="D158" s="173"/>
      <c r="E158" s="147" t="s">
        <v>33</v>
      </c>
      <c r="F158" s="355" t="s">
        <v>34</v>
      </c>
      <c r="G158" s="305" t="n">
        <v>1</v>
      </c>
      <c r="H158" s="149" t="s">
        <v>66</v>
      </c>
      <c r="I158" s="149" t="n">
        <v>0</v>
      </c>
      <c r="J158" s="149" t="n">
        <v>93</v>
      </c>
      <c r="K158" s="179" t="s">
        <v>66</v>
      </c>
      <c r="L158" s="150" t="n">
        <f aca="false">IF(J158="",0,(J158/J160)*100)</f>
        <v>100</v>
      </c>
      <c r="M158" s="149" t="n">
        <v>1</v>
      </c>
      <c r="N158" s="151" t="n">
        <v>6</v>
      </c>
      <c r="O158" s="144" t="n">
        <f aca="false">IF(M158=1,1,0)</f>
        <v>1</v>
      </c>
      <c r="P158" s="145" t="n">
        <f aca="false">IF(M158=2,1,0)</f>
        <v>0</v>
      </c>
      <c r="Q158" s="146" t="n">
        <f aca="false">IF(M158=3,1,0)</f>
        <v>0</v>
      </c>
      <c r="R158" s="176"/>
      <c r="S158" s="176"/>
      <c r="T158" s="170"/>
      <c r="U158" s="77"/>
    </row>
    <row r="159" customFormat="false" ht="20" hidden="false" customHeight="true" outlineLevel="0" collapsed="false">
      <c r="B159" s="77"/>
      <c r="C159" s="170"/>
      <c r="D159" s="177"/>
      <c r="E159" s="182" t="s">
        <v>454</v>
      </c>
      <c r="F159" s="410" t="s">
        <v>455</v>
      </c>
      <c r="G159" s="307" t="n">
        <v>2</v>
      </c>
      <c r="H159" s="234" t="s">
        <v>66</v>
      </c>
      <c r="I159" s="234" t="n">
        <v>0</v>
      </c>
      <c r="J159" s="234" t="n">
        <v>72</v>
      </c>
      <c r="K159" s="308" t="s">
        <v>66</v>
      </c>
      <c r="L159" s="235" t="n">
        <f aca="false">IF(J159="",0,(J159/J160)*100)</f>
        <v>77.4193548387097</v>
      </c>
      <c r="M159" s="234" t="n">
        <v>2</v>
      </c>
      <c r="N159" s="236" t="n">
        <v>3</v>
      </c>
      <c r="O159" s="156" t="n">
        <f aca="false">IF(M159=1,1,0)</f>
        <v>0</v>
      </c>
      <c r="P159" s="157" t="n">
        <f aca="false">IF(M159=2,1,0)</f>
        <v>1</v>
      </c>
      <c r="Q159" s="158" t="n">
        <f aca="false">IF(M159=3,1,0)</f>
        <v>0</v>
      </c>
      <c r="R159" s="176"/>
      <c r="S159" s="176"/>
      <c r="T159" s="170"/>
      <c r="U159" s="77"/>
    </row>
    <row r="160" customFormat="false" ht="20.15" hidden="true" customHeight="true" outlineLevel="1" collapsed="false">
      <c r="B160" s="77"/>
      <c r="C160" s="170"/>
      <c r="D160" s="173"/>
      <c r="E160" s="173"/>
      <c r="F160" s="172"/>
      <c r="G160" s="172"/>
      <c r="H160" s="170"/>
      <c r="I160" s="213" t="s">
        <v>92</v>
      </c>
      <c r="J160" s="161" t="n">
        <f aca="false">MAX(J157:J159)</f>
        <v>93</v>
      </c>
      <c r="K160" s="186"/>
      <c r="L160" s="176"/>
      <c r="M160" s="170"/>
      <c r="N160" s="164" t="s">
        <v>93</v>
      </c>
      <c r="O160" s="165" t="n">
        <f aca="false">SUM(O157:O159)</f>
        <v>1</v>
      </c>
      <c r="P160" s="166" t="n">
        <f aca="false">SUM(P157:P159)</f>
        <v>1</v>
      </c>
      <c r="Q160" s="165" t="n">
        <f aca="false">SUM(Q157:Q159)</f>
        <v>1</v>
      </c>
      <c r="R160" s="187" t="n">
        <f aca="false">SUM(R157:R159)</f>
        <v>0</v>
      </c>
      <c r="S160" s="188"/>
      <c r="T160" s="170"/>
      <c r="U160" s="77"/>
    </row>
    <row r="161" customFormat="false" ht="20.15" hidden="false" customHeight="true" outlineLevel="0" collapsed="false">
      <c r="B161" s="77"/>
      <c r="C161" s="170"/>
      <c r="D161" s="189"/>
      <c r="E161" s="189"/>
      <c r="F161" s="170"/>
      <c r="G161" s="170"/>
      <c r="H161" s="170"/>
      <c r="I161" s="170"/>
      <c r="J161" s="170"/>
      <c r="K161" s="170"/>
      <c r="L161" s="170"/>
      <c r="M161" s="170"/>
      <c r="N161" s="170"/>
      <c r="O161" s="170"/>
      <c r="P161" s="170"/>
      <c r="Q161" s="170"/>
      <c r="R161" s="170"/>
      <c r="S161" s="170"/>
      <c r="T161" s="170"/>
      <c r="U161" s="77"/>
    </row>
    <row r="162" customFormat="false" ht="20.15" hidden="false" customHeight="true" outlineLevel="0" collapsed="false">
      <c r="B162" s="77"/>
      <c r="D162" s="190"/>
      <c r="E162" s="190"/>
      <c r="F162" s="190"/>
      <c r="G162" s="190"/>
      <c r="H162" s="191"/>
      <c r="I162" s="190"/>
      <c r="J162" s="190"/>
      <c r="K162" s="14"/>
      <c r="L162" s="14"/>
      <c r="M162" s="14"/>
      <c r="N162" s="14"/>
      <c r="O162" s="14"/>
      <c r="P162" s="14"/>
      <c r="Q162" s="14"/>
      <c r="R162" s="14"/>
      <c r="S162" s="14"/>
      <c r="U162" s="77"/>
    </row>
    <row r="163" customFormat="false" ht="20.15" hidden="false" customHeight="true" outlineLevel="0" collapsed="false">
      <c r="B163" s="77"/>
      <c r="C163" s="192"/>
      <c r="D163" s="192"/>
      <c r="E163" s="193" t="str">
        <f aca="false">IF(OR(L145="-",L145= ""),H145,L145)</f>
        <v>Dice Hospital</v>
      </c>
      <c r="F163" s="193"/>
      <c r="G163" s="193"/>
      <c r="H163" s="193"/>
      <c r="I163" s="193"/>
      <c r="J163" s="193"/>
      <c r="K163" s="193"/>
      <c r="L163" s="193"/>
      <c r="M163" s="193"/>
      <c r="N163" s="193"/>
      <c r="O163" s="194"/>
      <c r="P163" s="194"/>
      <c r="Q163" s="194"/>
      <c r="R163" s="194"/>
      <c r="S163" s="194"/>
      <c r="T163" s="192"/>
      <c r="U163" s="195"/>
    </row>
    <row r="164" customFormat="false" ht="50.15" hidden="false" customHeight="true" outlineLevel="0" collapsed="false">
      <c r="B164" s="77"/>
      <c r="C164" s="192"/>
      <c r="D164" s="194"/>
      <c r="E164" s="125" t="s">
        <v>52</v>
      </c>
      <c r="F164" s="126" t="s">
        <v>75</v>
      </c>
      <c r="G164" s="82" t="s">
        <v>76</v>
      </c>
      <c r="H164" s="81" t="s">
        <v>77</v>
      </c>
      <c r="I164" s="59" t="s">
        <v>78</v>
      </c>
      <c r="J164" s="81" t="s">
        <v>79</v>
      </c>
      <c r="K164" s="127" t="s">
        <v>80</v>
      </c>
      <c r="L164" s="81" t="s">
        <v>81</v>
      </c>
      <c r="M164" s="128" t="s">
        <v>82</v>
      </c>
      <c r="N164" s="129" t="s">
        <v>83</v>
      </c>
      <c r="O164" s="130" t="s">
        <v>84</v>
      </c>
      <c r="P164" s="131" t="s">
        <v>85</v>
      </c>
      <c r="Q164" s="131" t="s">
        <v>86</v>
      </c>
      <c r="R164" s="194"/>
      <c r="S164" s="194"/>
      <c r="T164" s="192"/>
      <c r="U164" s="195"/>
    </row>
    <row r="165" customFormat="false" ht="20.15" hidden="false" customHeight="true" outlineLevel="0" collapsed="false">
      <c r="B165" s="77"/>
      <c r="C165" s="192"/>
      <c r="D165" s="208"/>
      <c r="E165" s="86" t="s">
        <v>39</v>
      </c>
      <c r="F165" s="87" t="s">
        <v>40</v>
      </c>
      <c r="G165" s="304" t="n">
        <v>3</v>
      </c>
      <c r="H165" s="221" t="s">
        <v>432</v>
      </c>
      <c r="I165" s="221" t="n">
        <v>0</v>
      </c>
      <c r="J165" s="221" t="n">
        <v>27</v>
      </c>
      <c r="K165" s="221" t="s">
        <v>66</v>
      </c>
      <c r="L165" s="223" t="n">
        <f aca="false">IF(J165="",0,(J165/J168)*100)</f>
        <v>50.9433962264151</v>
      </c>
      <c r="M165" s="221" t="n">
        <v>2</v>
      </c>
      <c r="N165" s="224" t="n">
        <v>3</v>
      </c>
      <c r="O165" s="138" t="n">
        <f aca="false">IF(M165=1,1,0)</f>
        <v>0</v>
      </c>
      <c r="P165" s="138" t="n">
        <f aca="false">IF(M165=2,1,0)</f>
        <v>1</v>
      </c>
      <c r="Q165" s="139" t="n">
        <f aca="false">IF(M165=3,1,0)</f>
        <v>0</v>
      </c>
      <c r="R165" s="206"/>
      <c r="S165" s="206"/>
      <c r="T165" s="192"/>
      <c r="U165" s="207"/>
    </row>
    <row r="166" customFormat="false" ht="20.15" hidden="false" customHeight="true" outlineLevel="0" collapsed="false">
      <c r="B166" s="77"/>
      <c r="C166" s="192"/>
      <c r="D166" s="198"/>
      <c r="E166" s="105" t="s">
        <v>33</v>
      </c>
      <c r="F166" s="312" t="s">
        <v>34</v>
      </c>
      <c r="G166" s="306" t="n">
        <v>2</v>
      </c>
      <c r="H166" s="228" t="s">
        <v>518</v>
      </c>
      <c r="I166" s="228" t="n">
        <v>0</v>
      </c>
      <c r="J166" s="228" t="n">
        <v>22</v>
      </c>
      <c r="K166" s="317" t="s">
        <v>66</v>
      </c>
      <c r="L166" s="229" t="n">
        <f aca="false">IF(J166="",0,(J166/J168)*100)</f>
        <v>41.5094339622642</v>
      </c>
      <c r="M166" s="228" t="n">
        <v>3</v>
      </c>
      <c r="N166" s="230" t="n">
        <v>0</v>
      </c>
      <c r="O166" s="145" t="n">
        <f aca="false">IF(M166=1,1,0)</f>
        <v>0</v>
      </c>
      <c r="P166" s="145" t="n">
        <f aca="false">IF(M166=2,1,0)</f>
        <v>0</v>
      </c>
      <c r="Q166" s="146" t="n">
        <f aca="false">IF(M166=3,1,0)</f>
        <v>1</v>
      </c>
      <c r="R166" s="206"/>
      <c r="S166" s="206"/>
      <c r="T166" s="192"/>
      <c r="U166" s="211"/>
    </row>
    <row r="167" customFormat="false" ht="20.15" hidden="false" customHeight="true" outlineLevel="0" collapsed="false">
      <c r="B167" s="77"/>
      <c r="C167" s="192"/>
      <c r="D167" s="198"/>
      <c r="E167" s="439" t="s">
        <v>454</v>
      </c>
      <c r="F167" s="391" t="s">
        <v>455</v>
      </c>
      <c r="G167" s="320" t="n">
        <v>1</v>
      </c>
      <c r="H167" s="322" t="s">
        <v>429</v>
      </c>
      <c r="I167" s="322" t="n">
        <v>0</v>
      </c>
      <c r="J167" s="322" t="n">
        <v>53</v>
      </c>
      <c r="K167" s="322" t="s">
        <v>66</v>
      </c>
      <c r="L167" s="323" t="n">
        <f aca="false">IF(J167="",0,(J167/J168)*100)</f>
        <v>100</v>
      </c>
      <c r="M167" s="322" t="n">
        <v>1</v>
      </c>
      <c r="N167" s="324" t="n">
        <v>6</v>
      </c>
      <c r="O167" s="157" t="n">
        <f aca="false">IF(M167=1,1,0)</f>
        <v>1</v>
      </c>
      <c r="P167" s="157" t="n">
        <f aca="false">IF(M167=2,1,0)</f>
        <v>0</v>
      </c>
      <c r="Q167" s="158" t="n">
        <f aca="false">IF(M167=3,1,0)</f>
        <v>0</v>
      </c>
      <c r="R167" s="206"/>
      <c r="S167" s="206"/>
      <c r="T167" s="192"/>
      <c r="U167" s="211"/>
    </row>
    <row r="168" customFormat="false" ht="20.15" hidden="true" customHeight="true" outlineLevel="1" collapsed="false">
      <c r="B168" s="77"/>
      <c r="C168" s="192"/>
      <c r="D168" s="198"/>
      <c r="E168" s="198"/>
      <c r="F168" s="206"/>
      <c r="G168" s="206"/>
      <c r="H168" s="192"/>
      <c r="I168" s="213" t="s">
        <v>92</v>
      </c>
      <c r="J168" s="161" t="n">
        <f aca="false">MAX(J165:J167)</f>
        <v>53</v>
      </c>
      <c r="K168" s="214"/>
      <c r="L168" s="206"/>
      <c r="M168" s="192"/>
      <c r="N168" s="164" t="s">
        <v>93</v>
      </c>
      <c r="O168" s="165" t="n">
        <f aca="false">SUM(O165:O167)</f>
        <v>1</v>
      </c>
      <c r="P168" s="166" t="n">
        <f aca="false">SUM(P165:P167)</f>
        <v>1</v>
      </c>
      <c r="Q168" s="165" t="n">
        <f aca="false">SUM(Q165:Q167)</f>
        <v>1</v>
      </c>
      <c r="R168" s="187" t="n">
        <f aca="false">SUM(R165:R167)</f>
        <v>0</v>
      </c>
      <c r="S168" s="215"/>
      <c r="T168" s="192"/>
      <c r="U168" s="211"/>
    </row>
    <row r="169" customFormat="false" ht="20.15" hidden="false" customHeight="true" outlineLevel="0" collapsed="false">
      <c r="B169" s="77"/>
      <c r="C169" s="192"/>
      <c r="D169" s="216"/>
      <c r="E169" s="216"/>
      <c r="F169" s="192"/>
      <c r="G169" s="192"/>
      <c r="H169" s="192"/>
      <c r="I169" s="192"/>
      <c r="J169" s="192"/>
      <c r="K169" s="192"/>
      <c r="L169" s="192"/>
      <c r="M169" s="192"/>
      <c r="N169" s="192"/>
      <c r="O169" s="192"/>
      <c r="P169" s="192"/>
      <c r="Q169" s="192"/>
      <c r="R169" s="192"/>
      <c r="S169" s="192"/>
      <c r="T169" s="192"/>
      <c r="U169" s="211"/>
    </row>
    <row r="170" customFormat="false" ht="20.15" hidden="false" customHeight="true" outlineLevel="0" collapsed="false">
      <c r="B170" s="77"/>
      <c r="D170" s="190"/>
      <c r="E170" s="190"/>
      <c r="F170" s="190"/>
      <c r="G170" s="190"/>
      <c r="H170" s="191"/>
      <c r="I170" s="190"/>
      <c r="J170" s="190"/>
      <c r="K170" s="190"/>
      <c r="L170" s="14"/>
      <c r="M170" s="14"/>
      <c r="N170" s="14"/>
      <c r="O170" s="14"/>
      <c r="P170" s="14"/>
      <c r="Q170" s="14"/>
      <c r="R170" s="14"/>
      <c r="S170" s="14"/>
      <c r="U170" s="207"/>
    </row>
    <row r="171" customFormat="false" ht="30" hidden="false" customHeight="true" outlineLevel="0" collapsed="false">
      <c r="B171" s="77"/>
      <c r="C171" s="240"/>
      <c r="D171" s="241" t="s">
        <v>149</v>
      </c>
      <c r="E171" s="241"/>
      <c r="F171" s="241"/>
      <c r="G171" s="241"/>
      <c r="H171" s="241"/>
      <c r="I171" s="241"/>
      <c r="J171" s="241"/>
      <c r="K171" s="241"/>
      <c r="L171" s="241"/>
      <c r="M171" s="241"/>
      <c r="N171" s="241"/>
      <c r="O171" s="398"/>
      <c r="P171" s="398"/>
      <c r="Q171" s="398"/>
      <c r="R171" s="398"/>
      <c r="S171" s="398"/>
      <c r="T171" s="240"/>
      <c r="U171" s="77"/>
    </row>
    <row r="172" customFormat="false" ht="50.15" hidden="false" customHeight="true" outlineLevel="0" collapsed="false">
      <c r="B172" s="77"/>
      <c r="C172" s="240"/>
      <c r="D172" s="242" t="s">
        <v>52</v>
      </c>
      <c r="E172" s="243" t="s">
        <v>53</v>
      </c>
      <c r="F172" s="244" t="s">
        <v>83</v>
      </c>
      <c r="G172" s="245" t="s">
        <v>102</v>
      </c>
      <c r="H172" s="246" t="s">
        <v>103</v>
      </c>
      <c r="I172" s="246"/>
      <c r="J172" s="247" t="s">
        <v>104</v>
      </c>
      <c r="K172" s="248" t="s">
        <v>105</v>
      </c>
      <c r="L172" s="244" t="s">
        <v>106</v>
      </c>
      <c r="M172" s="248" t="s">
        <v>107</v>
      </c>
      <c r="N172" s="243" t="s">
        <v>109</v>
      </c>
      <c r="O172" s="399"/>
      <c r="P172" s="400"/>
      <c r="Q172" s="400"/>
      <c r="R172" s="400"/>
      <c r="S172" s="401"/>
      <c r="T172" s="240"/>
      <c r="U172" s="77"/>
    </row>
    <row r="173" customFormat="false" ht="20.15" hidden="false" customHeight="true" outlineLevel="0" collapsed="false">
      <c r="B173" s="77"/>
      <c r="C173" s="240"/>
      <c r="D173" s="251" t="s">
        <v>33</v>
      </c>
      <c r="E173" s="535" t="s">
        <v>34</v>
      </c>
      <c r="F173" s="327" t="n">
        <f aca="false">K173*6+L173*3+M173*0</f>
        <v>12</v>
      </c>
      <c r="G173" s="328" t="n">
        <v>0</v>
      </c>
      <c r="H173" s="328" t="s">
        <v>66</v>
      </c>
      <c r="I173" s="328"/>
      <c r="J173" s="327" t="n">
        <f aca="false">F173+G173</f>
        <v>12</v>
      </c>
      <c r="K173" s="327" t="n">
        <v>2</v>
      </c>
      <c r="L173" s="327" t="n">
        <v>0</v>
      </c>
      <c r="M173" s="327" t="n">
        <v>1</v>
      </c>
      <c r="N173" s="329" t="n">
        <f aca="false">(L150+L158+L166)/3</f>
        <v>80.5031446540881</v>
      </c>
      <c r="O173" s="402"/>
      <c r="P173" s="403"/>
      <c r="Q173" s="403"/>
      <c r="R173" s="403"/>
      <c r="S173" s="401"/>
      <c r="T173" s="240"/>
      <c r="U173" s="77"/>
    </row>
    <row r="174" customFormat="false" ht="20.15" hidden="false" customHeight="true" outlineLevel="0" collapsed="false">
      <c r="B174" s="77"/>
      <c r="C174" s="240"/>
      <c r="D174" s="263" t="s">
        <v>454</v>
      </c>
      <c r="E174" s="361" t="s">
        <v>455</v>
      </c>
      <c r="F174" s="330" t="n">
        <f aca="false">K174*6+L174*3+M174*0</f>
        <v>9</v>
      </c>
      <c r="G174" s="331" t="n">
        <v>0</v>
      </c>
      <c r="H174" s="331" t="s">
        <v>66</v>
      </c>
      <c r="I174" s="331"/>
      <c r="J174" s="330" t="n">
        <f aca="false">F174+G174</f>
        <v>9</v>
      </c>
      <c r="K174" s="330" t="n">
        <v>1</v>
      </c>
      <c r="L174" s="330" t="n">
        <v>1</v>
      </c>
      <c r="M174" s="330" t="n">
        <v>1</v>
      </c>
      <c r="N174" s="333" t="n">
        <f aca="false">(L151+L159+L167)/3</f>
        <v>81.0227366001806</v>
      </c>
      <c r="O174" s="402"/>
      <c r="P174" s="403"/>
      <c r="Q174" s="403"/>
      <c r="R174" s="403"/>
      <c r="S174" s="401"/>
      <c r="T174" s="240"/>
      <c r="U174" s="77"/>
    </row>
    <row r="175" customFormat="false" ht="20.15" hidden="false" customHeight="true" outlineLevel="0" collapsed="false">
      <c r="B175" s="77"/>
      <c r="C175" s="240"/>
      <c r="D175" s="337" t="s">
        <v>39</v>
      </c>
      <c r="E175" s="385" t="s">
        <v>40</v>
      </c>
      <c r="F175" s="338" t="n">
        <f aca="false">K175*6+L175*3+M175*0</f>
        <v>6</v>
      </c>
      <c r="G175" s="339" t="n">
        <v>0</v>
      </c>
      <c r="H175" s="339" t="s">
        <v>66</v>
      </c>
      <c r="I175" s="339"/>
      <c r="J175" s="338" t="n">
        <f aca="false">F175+G175</f>
        <v>6</v>
      </c>
      <c r="K175" s="338" t="n">
        <v>0</v>
      </c>
      <c r="L175" s="338" t="n">
        <v>2</v>
      </c>
      <c r="M175" s="338" t="n">
        <v>1</v>
      </c>
      <c r="N175" s="341" t="n">
        <f aca="false">(L149+L157+L165)/3</f>
        <v>72.8485976696056</v>
      </c>
      <c r="O175" s="402"/>
      <c r="P175" s="403"/>
      <c r="Q175" s="403"/>
      <c r="R175" s="403"/>
      <c r="S175" s="401"/>
      <c r="T175" s="240"/>
      <c r="U175" s="77"/>
    </row>
    <row r="176" customFormat="false" ht="20.15" hidden="false" customHeight="true" outlineLevel="0" collapsed="false">
      <c r="B176" s="77"/>
      <c r="C176" s="240"/>
      <c r="D176" s="240"/>
      <c r="E176" s="240"/>
      <c r="F176" s="240"/>
      <c r="G176" s="240"/>
      <c r="H176" s="240"/>
      <c r="I176" s="240"/>
      <c r="J176" s="240"/>
      <c r="K176" s="240"/>
      <c r="L176" s="240"/>
      <c r="M176" s="240"/>
      <c r="N176" s="240"/>
      <c r="O176" s="240"/>
      <c r="P176" s="240"/>
      <c r="Q176" s="240"/>
      <c r="R176" s="240"/>
      <c r="S176" s="240"/>
      <c r="T176" s="240"/>
      <c r="U176" s="77"/>
    </row>
    <row r="177" customFormat="false" ht="20.15" hidden="false" customHeight="true" outlineLevel="0" collapsed="false">
      <c r="B177" s="77"/>
      <c r="C177" s="77"/>
      <c r="D177" s="270"/>
      <c r="E177" s="270"/>
      <c r="F177" s="195"/>
      <c r="G177" s="195"/>
      <c r="H177" s="270"/>
      <c r="I177" s="270"/>
      <c r="J177" s="270"/>
      <c r="K177" s="207"/>
      <c r="L177" s="207"/>
      <c r="M177" s="207"/>
      <c r="N177" s="207"/>
      <c r="O177" s="207"/>
      <c r="P177" s="207"/>
      <c r="Q177" s="207"/>
      <c r="R177" s="207"/>
      <c r="S177" s="207"/>
      <c r="T177" s="77"/>
      <c r="U177" s="77"/>
    </row>
    <row r="178" customFormat="false" ht="20.15" hidden="false" customHeight="true" outlineLevel="0" collapsed="false"/>
    <row r="179" customFormat="false" ht="20.15" hidden="false" customHeight="true" outlineLevel="0" collapsed="false"/>
    <row r="180" customFormat="false" ht="20.15" hidden="false" customHeight="true" outlineLevel="0" collapsed="false">
      <c r="B180" s="77"/>
      <c r="C180" s="77"/>
      <c r="D180" s="78"/>
      <c r="E180" s="78"/>
      <c r="F180" s="78"/>
      <c r="G180" s="78"/>
      <c r="H180" s="77"/>
      <c r="I180" s="77"/>
      <c r="J180" s="77"/>
      <c r="K180" s="77"/>
      <c r="L180" s="77"/>
      <c r="M180" s="77"/>
      <c r="N180" s="77"/>
      <c r="O180" s="77"/>
      <c r="P180" s="77"/>
      <c r="Q180" s="77"/>
      <c r="R180" s="77"/>
      <c r="S180" s="77"/>
      <c r="T180" s="77"/>
      <c r="U180" s="77"/>
    </row>
    <row r="181" customFormat="false" ht="30" hidden="false" customHeight="true" outlineLevel="0" collapsed="false">
      <c r="B181" s="77"/>
      <c r="C181" s="79" t="s">
        <v>193</v>
      </c>
      <c r="D181" s="79"/>
      <c r="E181" s="79"/>
      <c r="F181" s="79"/>
      <c r="G181" s="79"/>
      <c r="H181" s="79"/>
      <c r="I181" s="79"/>
      <c r="J181" s="79"/>
      <c r="K181" s="79"/>
      <c r="L181" s="79"/>
      <c r="M181" s="79"/>
      <c r="N181" s="79"/>
      <c r="O181" s="79"/>
      <c r="P181" s="79"/>
      <c r="Q181" s="79"/>
      <c r="R181" s="79"/>
      <c r="S181" s="79"/>
      <c r="T181" s="79"/>
      <c r="U181" s="77"/>
    </row>
    <row r="182" customFormat="false" ht="20.15" hidden="false" customHeight="true" outlineLevel="0" collapsed="false">
      <c r="B182" s="77"/>
      <c r="D182" s="121"/>
      <c r="E182" s="121"/>
      <c r="U182" s="77"/>
    </row>
    <row r="183" customFormat="false" ht="20.15" hidden="false" customHeight="true" outlineLevel="0" collapsed="false">
      <c r="B183" s="77"/>
      <c r="D183" s="80" t="s">
        <v>52</v>
      </c>
      <c r="E183" s="81" t="s">
        <v>111</v>
      </c>
      <c r="F183" s="82" t="s">
        <v>12</v>
      </c>
      <c r="G183" s="83" t="s">
        <v>54</v>
      </c>
      <c r="H183" s="83"/>
      <c r="I183" s="83"/>
      <c r="J183" s="83"/>
      <c r="K183" s="81" t="s">
        <v>55</v>
      </c>
      <c r="L183" s="83" t="s">
        <v>56</v>
      </c>
      <c r="M183" s="83"/>
      <c r="N183" s="83"/>
      <c r="O183" s="83"/>
      <c r="P183" s="83"/>
      <c r="Q183" s="83"/>
      <c r="R183" s="83"/>
      <c r="S183" s="83"/>
      <c r="U183" s="77"/>
    </row>
    <row r="184" customFormat="false" ht="20.15" hidden="false" customHeight="true" outlineLevel="0" collapsed="false">
      <c r="B184" s="77"/>
      <c r="D184" s="80"/>
      <c r="E184" s="81"/>
      <c r="F184" s="81"/>
      <c r="G184" s="85" t="s">
        <v>57</v>
      </c>
      <c r="H184" s="84" t="s">
        <v>58</v>
      </c>
      <c r="I184" s="278" t="s">
        <v>59</v>
      </c>
      <c r="J184" s="278"/>
      <c r="K184" s="84" t="s">
        <v>60</v>
      </c>
      <c r="L184" s="276" t="s">
        <v>57</v>
      </c>
      <c r="M184" s="277" t="s">
        <v>61</v>
      </c>
      <c r="N184" s="278" t="s">
        <v>59</v>
      </c>
      <c r="O184" s="278"/>
      <c r="P184" s="278"/>
      <c r="Q184" s="278"/>
      <c r="R184" s="278"/>
      <c r="S184" s="278"/>
      <c r="U184" s="77"/>
    </row>
    <row r="185" customFormat="false" ht="35" hidden="false" customHeight="true" outlineLevel="0" collapsed="false">
      <c r="B185" s="77"/>
      <c r="D185" s="404" t="s">
        <v>456</v>
      </c>
      <c r="E185" s="175" t="s">
        <v>457</v>
      </c>
      <c r="F185" s="343" t="n">
        <v>1</v>
      </c>
      <c r="G185" s="344" t="s">
        <v>67</v>
      </c>
      <c r="H185" s="281" t="s">
        <v>427</v>
      </c>
      <c r="I185" s="91" t="s">
        <v>519</v>
      </c>
      <c r="J185" s="91"/>
      <c r="K185" s="373" t="s">
        <v>65</v>
      </c>
      <c r="L185" s="284" t="s">
        <v>66</v>
      </c>
      <c r="M185" s="94" t="s">
        <v>66</v>
      </c>
      <c r="N185" s="95" t="s">
        <v>66</v>
      </c>
      <c r="O185" s="95"/>
      <c r="P185" s="95"/>
      <c r="Q185" s="95"/>
      <c r="R185" s="95"/>
      <c r="S185" s="95"/>
      <c r="U185" s="77"/>
    </row>
    <row r="186" customFormat="false" ht="50" hidden="false" customHeight="true" outlineLevel="0" collapsed="false">
      <c r="B186" s="77"/>
      <c r="D186" s="105" t="s">
        <v>41</v>
      </c>
      <c r="E186" s="96" t="s">
        <v>42</v>
      </c>
      <c r="F186" s="346" t="n">
        <v>2</v>
      </c>
      <c r="G186" s="347" t="s">
        <v>67</v>
      </c>
      <c r="H186" s="99" t="s">
        <v>520</v>
      </c>
      <c r="I186" s="100" t="s">
        <v>521</v>
      </c>
      <c r="J186" s="100"/>
      <c r="K186" s="288" t="s">
        <v>65</v>
      </c>
      <c r="L186" s="289" t="s">
        <v>66</v>
      </c>
      <c r="M186" s="103" t="s">
        <v>66</v>
      </c>
      <c r="N186" s="104" t="s">
        <v>66</v>
      </c>
      <c r="O186" s="104"/>
      <c r="P186" s="104"/>
      <c r="Q186" s="104"/>
      <c r="R186" s="104"/>
      <c r="S186" s="104"/>
      <c r="U186" s="77"/>
    </row>
    <row r="187" customFormat="false" ht="35" hidden="false" customHeight="true" outlineLevel="0" collapsed="false">
      <c r="B187" s="77"/>
      <c r="D187" s="105" t="s">
        <v>41</v>
      </c>
      <c r="E187" s="96" t="s">
        <v>42</v>
      </c>
      <c r="F187" s="346" t="n">
        <v>3</v>
      </c>
      <c r="G187" s="405" t="s">
        <v>67</v>
      </c>
      <c r="H187" s="292" t="s">
        <v>522</v>
      </c>
      <c r="I187" s="108" t="s">
        <v>523</v>
      </c>
      <c r="J187" s="108"/>
      <c r="K187" s="406"/>
      <c r="L187" s="407"/>
      <c r="M187" s="408"/>
      <c r="N187" s="409"/>
      <c r="O187" s="409"/>
      <c r="P187" s="409"/>
      <c r="Q187" s="409"/>
      <c r="R187" s="409"/>
      <c r="S187" s="409"/>
      <c r="U187" s="77"/>
    </row>
    <row r="188" customFormat="false" ht="20" hidden="false" customHeight="true" outlineLevel="0" collapsed="false">
      <c r="B188" s="77"/>
      <c r="D188" s="182" t="s">
        <v>456</v>
      </c>
      <c r="E188" s="410" t="s">
        <v>457</v>
      </c>
      <c r="F188" s="350" t="n">
        <v>4</v>
      </c>
      <c r="G188" s="411" t="s">
        <v>67</v>
      </c>
      <c r="H188" s="101" t="s">
        <v>524</v>
      </c>
      <c r="I188" s="116" t="s">
        <v>525</v>
      </c>
      <c r="J188" s="116"/>
      <c r="K188" s="412"/>
      <c r="L188" s="413"/>
      <c r="M188" s="414"/>
      <c r="N188" s="415"/>
      <c r="O188" s="415"/>
      <c r="P188" s="415"/>
      <c r="Q188" s="415"/>
      <c r="R188" s="415"/>
      <c r="S188" s="415"/>
      <c r="U188" s="77"/>
    </row>
    <row r="189" customFormat="false" ht="20.15" hidden="false" customHeight="true" outlineLevel="0" collapsed="false">
      <c r="B189" s="77"/>
      <c r="D189" s="121"/>
      <c r="E189" s="121"/>
      <c r="U189" s="77"/>
    </row>
    <row r="190" customFormat="false" ht="20.15" hidden="false" customHeight="true" outlineLevel="0" collapsed="false">
      <c r="B190" s="77"/>
      <c r="C190" s="122"/>
      <c r="D190" s="122"/>
      <c r="E190" s="123" t="str">
        <f aca="false">IF(OR(L185="-",L185= ""),H185,L185)</f>
        <v>Dice Hospital</v>
      </c>
      <c r="F190" s="123"/>
      <c r="G190" s="123"/>
      <c r="H190" s="123"/>
      <c r="I190" s="123"/>
      <c r="J190" s="123"/>
      <c r="K190" s="123"/>
      <c r="L190" s="123"/>
      <c r="M190" s="123"/>
      <c r="N190" s="123"/>
      <c r="O190" s="124"/>
      <c r="P190" s="124"/>
      <c r="Q190" s="124"/>
      <c r="R190" s="124"/>
      <c r="S190" s="124"/>
      <c r="T190" s="122"/>
      <c r="U190" s="77"/>
    </row>
    <row r="191" customFormat="false" ht="50.15" hidden="false" customHeight="true" outlineLevel="0" collapsed="false">
      <c r="B191" s="77"/>
      <c r="C191" s="122"/>
      <c r="D191" s="124"/>
      <c r="E191" s="125" t="s">
        <v>52</v>
      </c>
      <c r="F191" s="126" t="s">
        <v>75</v>
      </c>
      <c r="G191" s="82" t="s">
        <v>76</v>
      </c>
      <c r="H191" s="81" t="s">
        <v>77</v>
      </c>
      <c r="I191" s="59" t="s">
        <v>78</v>
      </c>
      <c r="J191" s="81" t="s">
        <v>79</v>
      </c>
      <c r="K191" s="127" t="s">
        <v>80</v>
      </c>
      <c r="L191" s="81" t="s">
        <v>81</v>
      </c>
      <c r="M191" s="128" t="s">
        <v>82</v>
      </c>
      <c r="N191" s="129" t="s">
        <v>83</v>
      </c>
      <c r="O191" s="130" t="s">
        <v>84</v>
      </c>
      <c r="P191" s="131" t="s">
        <v>85</v>
      </c>
      <c r="Q191" s="124"/>
      <c r="R191" s="124"/>
      <c r="S191" s="124"/>
      <c r="T191" s="122"/>
      <c r="U191" s="77"/>
    </row>
    <row r="192" customFormat="false" ht="20.15" hidden="false" customHeight="true" outlineLevel="0" collapsed="false">
      <c r="B192" s="77"/>
      <c r="C192" s="122"/>
      <c r="D192" s="152"/>
      <c r="E192" s="416" t="s">
        <v>456</v>
      </c>
      <c r="F192" s="200" t="s">
        <v>457</v>
      </c>
      <c r="G192" s="325" t="n">
        <v>2</v>
      </c>
      <c r="H192" s="201" t="s">
        <v>66</v>
      </c>
      <c r="I192" s="201" t="n">
        <v>0</v>
      </c>
      <c r="J192" s="201" t="n">
        <v>66</v>
      </c>
      <c r="K192" s="201" t="s">
        <v>66</v>
      </c>
      <c r="L192" s="204" t="n">
        <f aca="false">IF(J192="",0,(J192/J194)*100)</f>
        <v>100</v>
      </c>
      <c r="M192" s="201" t="n">
        <v>1</v>
      </c>
      <c r="N192" s="205" t="n">
        <v>6</v>
      </c>
      <c r="O192" s="138" t="n">
        <f aca="false">IF(M192=1,1,0)</f>
        <v>1</v>
      </c>
      <c r="P192" s="139" t="n">
        <f aca="false">IF(M192=2,1,0)</f>
        <v>0</v>
      </c>
      <c r="Q192" s="140"/>
      <c r="R192" s="140"/>
      <c r="S192" s="140"/>
      <c r="T192" s="122"/>
      <c r="U192" s="77"/>
    </row>
    <row r="193" customFormat="false" ht="20.15" hidden="false" customHeight="true" outlineLevel="0" collapsed="false">
      <c r="B193" s="77"/>
      <c r="C193" s="122"/>
      <c r="D193" s="132"/>
      <c r="E193" s="295" t="s">
        <v>41</v>
      </c>
      <c r="F193" s="113" t="s">
        <v>42</v>
      </c>
      <c r="G193" s="307" t="n">
        <v>1</v>
      </c>
      <c r="H193" s="234" t="s">
        <v>66</v>
      </c>
      <c r="I193" s="234" t="n">
        <v>0</v>
      </c>
      <c r="J193" s="234" t="n">
        <v>30</v>
      </c>
      <c r="K193" s="308" t="s">
        <v>66</v>
      </c>
      <c r="L193" s="235" t="n">
        <f aca="false">IF(J193="",0,(J193/J194)*100)</f>
        <v>45.4545454545455</v>
      </c>
      <c r="M193" s="234" t="n">
        <v>2</v>
      </c>
      <c r="N193" s="236" t="n">
        <v>0</v>
      </c>
      <c r="O193" s="157" t="n">
        <f aca="false">IF(M193=1,1,0)</f>
        <v>0</v>
      </c>
      <c r="P193" s="158" t="n">
        <f aca="false">IF(M193=2,1,0)</f>
        <v>1</v>
      </c>
      <c r="Q193" s="140"/>
      <c r="R193" s="140"/>
      <c r="S193" s="140"/>
      <c r="T193" s="122"/>
      <c r="U193" s="77"/>
    </row>
    <row r="194" customFormat="false" ht="20.15" hidden="true" customHeight="true" outlineLevel="1" collapsed="false">
      <c r="B194" s="77"/>
      <c r="C194" s="122"/>
      <c r="D194" s="152"/>
      <c r="E194" s="152"/>
      <c r="F194" s="140"/>
      <c r="G194" s="140"/>
      <c r="H194" s="122"/>
      <c r="I194" s="213" t="s">
        <v>92</v>
      </c>
      <c r="J194" s="161" t="n">
        <f aca="false">MAX(J192:J193)</f>
        <v>66</v>
      </c>
      <c r="K194" s="309"/>
      <c r="L194" s="167"/>
      <c r="M194" s="122"/>
      <c r="N194" s="164" t="s">
        <v>93</v>
      </c>
      <c r="O194" s="165" t="n">
        <f aca="false">SUM(O192:O193)</f>
        <v>1</v>
      </c>
      <c r="P194" s="187" t="n">
        <f aca="false">SUM(P192:P193)</f>
        <v>1</v>
      </c>
      <c r="Q194" s="167"/>
      <c r="R194" s="167"/>
      <c r="S194" s="167"/>
      <c r="T194" s="122"/>
      <c r="U194" s="77"/>
    </row>
    <row r="195" customFormat="false" ht="20.15" hidden="false" customHeight="true" outlineLevel="0" collapsed="false">
      <c r="B195" s="77"/>
      <c r="C195" s="122"/>
      <c r="D195" s="168"/>
      <c r="E195" s="168"/>
      <c r="F195" s="122"/>
      <c r="G195" s="122"/>
      <c r="H195" s="122"/>
      <c r="I195" s="122"/>
      <c r="J195" s="122"/>
      <c r="K195" s="122"/>
      <c r="L195" s="122"/>
      <c r="M195" s="122"/>
      <c r="N195" s="122"/>
      <c r="O195" s="122"/>
      <c r="P195" s="122"/>
      <c r="Q195" s="122"/>
      <c r="R195" s="122"/>
      <c r="S195" s="122"/>
      <c r="T195" s="122"/>
      <c r="U195" s="77"/>
    </row>
    <row r="196" customFormat="false" ht="20.15" hidden="false" customHeight="true" outlineLevel="0" collapsed="false">
      <c r="B196" s="77"/>
      <c r="U196" s="77"/>
    </row>
    <row r="197" customFormat="false" ht="20.15" hidden="false" customHeight="true" outlineLevel="0" collapsed="false">
      <c r="B197" s="77"/>
      <c r="C197" s="170"/>
      <c r="D197" s="170"/>
      <c r="E197" s="171" t="str">
        <f aca="false">IF(OR(L186="-",L186= ""),H186,L186)</f>
        <v>Welcome To…</v>
      </c>
      <c r="F197" s="171"/>
      <c r="G197" s="171"/>
      <c r="H197" s="171"/>
      <c r="I197" s="171"/>
      <c r="J197" s="171"/>
      <c r="K197" s="171"/>
      <c r="L197" s="171"/>
      <c r="M197" s="171"/>
      <c r="N197" s="171"/>
      <c r="O197" s="172"/>
      <c r="P197" s="172"/>
      <c r="Q197" s="172"/>
      <c r="R197" s="172"/>
      <c r="S197" s="172"/>
      <c r="T197" s="170"/>
      <c r="U197" s="77"/>
    </row>
    <row r="198" customFormat="false" ht="50.15" hidden="false" customHeight="true" outlineLevel="0" collapsed="false">
      <c r="B198" s="77"/>
      <c r="C198" s="170"/>
      <c r="D198" s="172"/>
      <c r="E198" s="125" t="s">
        <v>52</v>
      </c>
      <c r="F198" s="126" t="s">
        <v>75</v>
      </c>
      <c r="G198" s="82" t="s">
        <v>76</v>
      </c>
      <c r="H198" s="81" t="s">
        <v>77</v>
      </c>
      <c r="I198" s="59" t="s">
        <v>78</v>
      </c>
      <c r="J198" s="81" t="s">
        <v>79</v>
      </c>
      <c r="K198" s="127" t="s">
        <v>80</v>
      </c>
      <c r="L198" s="81" t="s">
        <v>81</v>
      </c>
      <c r="M198" s="128" t="s">
        <v>82</v>
      </c>
      <c r="N198" s="129" t="s">
        <v>83</v>
      </c>
      <c r="O198" s="130" t="s">
        <v>84</v>
      </c>
      <c r="P198" s="131" t="s">
        <v>85</v>
      </c>
      <c r="Q198" s="172"/>
      <c r="R198" s="172"/>
      <c r="S198" s="172"/>
      <c r="T198" s="170"/>
      <c r="U198" s="77"/>
    </row>
    <row r="199" customFormat="false" ht="20.15" hidden="false" customHeight="true" outlineLevel="0" collapsed="false">
      <c r="B199" s="77"/>
      <c r="C199" s="170"/>
      <c r="D199" s="177"/>
      <c r="E199" s="404" t="s">
        <v>456</v>
      </c>
      <c r="F199" s="175" t="s">
        <v>457</v>
      </c>
      <c r="G199" s="304" t="s">
        <v>66</v>
      </c>
      <c r="H199" s="222" t="s">
        <v>66</v>
      </c>
      <c r="I199" s="221" t="n">
        <v>0</v>
      </c>
      <c r="J199" s="222" t="n">
        <v>88</v>
      </c>
      <c r="K199" s="389" t="s">
        <v>66</v>
      </c>
      <c r="L199" s="223" t="n">
        <f aca="false">IF(J199="",0,(J199/J201)*100)</f>
        <v>84.6153846153846</v>
      </c>
      <c r="M199" s="221" t="n">
        <v>2</v>
      </c>
      <c r="N199" s="224" t="n">
        <v>0</v>
      </c>
      <c r="O199" s="138" t="n">
        <f aca="false">IF(M199=1,1,0)</f>
        <v>0</v>
      </c>
      <c r="P199" s="139" t="n">
        <f aca="false">IF(M199=2,1,0)</f>
        <v>1</v>
      </c>
      <c r="Q199" s="176"/>
      <c r="R199" s="176"/>
      <c r="S199" s="176"/>
      <c r="T199" s="170"/>
      <c r="U199" s="77"/>
    </row>
    <row r="200" customFormat="false" ht="20.15" hidden="false" customHeight="true" outlineLevel="0" collapsed="false">
      <c r="B200" s="77"/>
      <c r="C200" s="170"/>
      <c r="D200" s="173"/>
      <c r="E200" s="318" t="s">
        <v>41</v>
      </c>
      <c r="F200" s="319" t="s">
        <v>42</v>
      </c>
      <c r="G200" s="320" t="s">
        <v>66</v>
      </c>
      <c r="H200" s="321" t="s">
        <v>66</v>
      </c>
      <c r="I200" s="322" t="n">
        <v>0</v>
      </c>
      <c r="J200" s="321" t="n">
        <v>104</v>
      </c>
      <c r="K200" s="321" t="s">
        <v>66</v>
      </c>
      <c r="L200" s="323" t="n">
        <f aca="false">IF(J200="",0,(J200/J201)*100)</f>
        <v>100</v>
      </c>
      <c r="M200" s="322" t="n">
        <v>1</v>
      </c>
      <c r="N200" s="324" t="n">
        <v>6</v>
      </c>
      <c r="O200" s="157" t="n">
        <f aca="false">IF(M200=1,1,0)</f>
        <v>1</v>
      </c>
      <c r="P200" s="158" t="n">
        <f aca="false">IF(M200=2,1,0)</f>
        <v>0</v>
      </c>
      <c r="Q200" s="176"/>
      <c r="R200" s="176"/>
      <c r="S200" s="176"/>
      <c r="T200" s="170"/>
      <c r="U200" s="77"/>
    </row>
    <row r="201" customFormat="false" ht="20.15" hidden="true" customHeight="true" outlineLevel="1" collapsed="false">
      <c r="B201" s="77"/>
      <c r="C201" s="170"/>
      <c r="D201" s="173"/>
      <c r="E201" s="173"/>
      <c r="F201" s="172"/>
      <c r="G201" s="172"/>
      <c r="H201" s="170"/>
      <c r="I201" s="213" t="s">
        <v>92</v>
      </c>
      <c r="J201" s="161" t="n">
        <f aca="false">MAX(J199:J200)</f>
        <v>104</v>
      </c>
      <c r="K201" s="186"/>
      <c r="L201" s="176"/>
      <c r="M201" s="170"/>
      <c r="N201" s="164" t="s">
        <v>93</v>
      </c>
      <c r="O201" s="165" t="n">
        <f aca="false">SUM(O199:O200)</f>
        <v>1</v>
      </c>
      <c r="P201" s="187" t="n">
        <f aca="false">SUM(P199:P200)</f>
        <v>1</v>
      </c>
      <c r="Q201" s="188"/>
      <c r="R201" s="188"/>
      <c r="S201" s="188"/>
      <c r="T201" s="170"/>
      <c r="U201" s="77"/>
    </row>
    <row r="202" customFormat="false" ht="20.15" hidden="false" customHeight="true" outlineLevel="0" collapsed="false">
      <c r="B202" s="77"/>
      <c r="C202" s="170"/>
      <c r="D202" s="189"/>
      <c r="E202" s="189"/>
      <c r="F202" s="170"/>
      <c r="G202" s="170"/>
      <c r="H202" s="170"/>
      <c r="I202" s="170"/>
      <c r="J202" s="170"/>
      <c r="K202" s="170"/>
      <c r="L202" s="170"/>
      <c r="M202" s="170"/>
      <c r="N202" s="170"/>
      <c r="O202" s="170"/>
      <c r="P202" s="170"/>
      <c r="Q202" s="170"/>
      <c r="R202" s="170"/>
      <c r="S202" s="170"/>
      <c r="T202" s="170"/>
      <c r="U202" s="77"/>
    </row>
    <row r="203" customFormat="false" ht="20.15" hidden="false" customHeight="true" outlineLevel="0" collapsed="false">
      <c r="B203" s="77"/>
      <c r="D203" s="190"/>
      <c r="E203" s="190"/>
      <c r="F203" s="190"/>
      <c r="G203" s="190"/>
      <c r="H203" s="191"/>
      <c r="I203" s="190"/>
      <c r="J203" s="190"/>
      <c r="K203" s="14"/>
      <c r="L203" s="14"/>
      <c r="M203" s="14"/>
      <c r="N203" s="14"/>
      <c r="O203" s="14"/>
      <c r="P203" s="14"/>
      <c r="Q203" s="14"/>
      <c r="R203" s="14"/>
      <c r="S203" s="14"/>
      <c r="U203" s="77"/>
    </row>
    <row r="204" customFormat="false" ht="20.15" hidden="false" customHeight="true" outlineLevel="0" collapsed="false">
      <c r="B204" s="77"/>
      <c r="C204" s="192"/>
      <c r="D204" s="192"/>
      <c r="E204" s="193" t="str">
        <f aca="false">IF(OR(L187="-",L187= ""),H187,L187)</f>
        <v>7 Wonders Duel</v>
      </c>
      <c r="F204" s="193"/>
      <c r="G204" s="193"/>
      <c r="H204" s="193"/>
      <c r="I204" s="193"/>
      <c r="J204" s="193"/>
      <c r="K204" s="193"/>
      <c r="L204" s="193"/>
      <c r="M204" s="193"/>
      <c r="N204" s="193"/>
      <c r="O204" s="194"/>
      <c r="P204" s="194"/>
      <c r="Q204" s="194"/>
      <c r="R204" s="194"/>
      <c r="S204" s="194"/>
      <c r="T204" s="192"/>
      <c r="U204" s="195"/>
    </row>
    <row r="205" customFormat="false" ht="50.15" hidden="false" customHeight="true" outlineLevel="0" collapsed="false">
      <c r="B205" s="77"/>
      <c r="C205" s="192"/>
      <c r="D205" s="194"/>
      <c r="E205" s="125" t="s">
        <v>52</v>
      </c>
      <c r="F205" s="126" t="s">
        <v>75</v>
      </c>
      <c r="G205" s="82" t="s">
        <v>76</v>
      </c>
      <c r="H205" s="81" t="s">
        <v>77</v>
      </c>
      <c r="I205" s="59" t="s">
        <v>78</v>
      </c>
      <c r="J205" s="81" t="s">
        <v>79</v>
      </c>
      <c r="K205" s="127" t="s">
        <v>80</v>
      </c>
      <c r="L205" s="81" t="s">
        <v>81</v>
      </c>
      <c r="M205" s="128" t="s">
        <v>82</v>
      </c>
      <c r="N205" s="129" t="s">
        <v>83</v>
      </c>
      <c r="O205" s="130" t="s">
        <v>84</v>
      </c>
      <c r="P205" s="131" t="s">
        <v>85</v>
      </c>
      <c r="Q205" s="194"/>
      <c r="R205" s="194"/>
      <c r="S205" s="194"/>
      <c r="T205" s="192"/>
      <c r="U205" s="195"/>
    </row>
    <row r="206" customFormat="false" ht="20.15" hidden="false" customHeight="true" outlineLevel="0" collapsed="false">
      <c r="B206" s="77"/>
      <c r="C206" s="192"/>
      <c r="D206" s="208"/>
      <c r="E206" s="416" t="s">
        <v>456</v>
      </c>
      <c r="F206" s="200" t="s">
        <v>457</v>
      </c>
      <c r="G206" s="325" t="n">
        <v>2</v>
      </c>
      <c r="H206" s="202" t="s">
        <v>66</v>
      </c>
      <c r="I206" s="201" t="n">
        <v>0</v>
      </c>
      <c r="J206" s="202" t="n">
        <v>1</v>
      </c>
      <c r="K206" s="201" t="s">
        <v>66</v>
      </c>
      <c r="L206" s="204" t="n">
        <f aca="false">IF(J206="",0,(J206/J208)*100)</f>
        <v>100</v>
      </c>
      <c r="M206" s="201" t="n">
        <v>1</v>
      </c>
      <c r="N206" s="205" t="n">
        <v>6</v>
      </c>
      <c r="O206" s="138" t="n">
        <f aca="false">IF(M206=1,1,0)</f>
        <v>1</v>
      </c>
      <c r="P206" s="139" t="n">
        <f aca="false">IF(M206=2,1,0)</f>
        <v>0</v>
      </c>
      <c r="Q206" s="206"/>
      <c r="R206" s="206"/>
      <c r="S206" s="206"/>
      <c r="T206" s="192"/>
      <c r="U206" s="207"/>
    </row>
    <row r="207" customFormat="false" ht="20.15" hidden="false" customHeight="true" outlineLevel="0" collapsed="false">
      <c r="B207" s="77"/>
      <c r="C207" s="192"/>
      <c r="D207" s="198"/>
      <c r="E207" s="295" t="s">
        <v>41</v>
      </c>
      <c r="F207" s="113" t="s">
        <v>42</v>
      </c>
      <c r="G207" s="307" t="n">
        <v>1</v>
      </c>
      <c r="H207" s="308" t="s">
        <v>66</v>
      </c>
      <c r="I207" s="234" t="n">
        <v>0</v>
      </c>
      <c r="J207" s="308" t="n">
        <v>0</v>
      </c>
      <c r="K207" s="308" t="s">
        <v>66</v>
      </c>
      <c r="L207" s="235" t="n">
        <f aca="false">IF(J207="",0,(J207/J208)*100)</f>
        <v>0</v>
      </c>
      <c r="M207" s="234" t="n">
        <v>2</v>
      </c>
      <c r="N207" s="236" t="n">
        <v>0</v>
      </c>
      <c r="O207" s="157" t="n">
        <f aca="false">IF(M207=1,1,0)</f>
        <v>0</v>
      </c>
      <c r="P207" s="158" t="n">
        <f aca="false">IF(M207=2,1,0)</f>
        <v>1</v>
      </c>
      <c r="Q207" s="206"/>
      <c r="R207" s="206"/>
      <c r="S207" s="206"/>
      <c r="T207" s="192"/>
      <c r="U207" s="211"/>
    </row>
    <row r="208" customFormat="false" ht="20.15" hidden="true" customHeight="true" outlineLevel="1" collapsed="false">
      <c r="B208" s="77"/>
      <c r="C208" s="192"/>
      <c r="D208" s="198"/>
      <c r="E208" s="198"/>
      <c r="F208" s="206"/>
      <c r="G208" s="206"/>
      <c r="H208" s="192"/>
      <c r="I208" s="213" t="s">
        <v>92</v>
      </c>
      <c r="J208" s="161" t="n">
        <f aca="false">MAX(J206:J207)</f>
        <v>1</v>
      </c>
      <c r="K208" s="214"/>
      <c r="L208" s="206"/>
      <c r="M208" s="192"/>
      <c r="N208" s="164" t="s">
        <v>93</v>
      </c>
      <c r="O208" s="165" t="n">
        <f aca="false">SUM(O206:O207)</f>
        <v>1</v>
      </c>
      <c r="P208" s="187" t="n">
        <f aca="false">SUM(P206:P207)</f>
        <v>1</v>
      </c>
      <c r="Q208" s="215"/>
      <c r="R208" s="215"/>
      <c r="S208" s="215"/>
      <c r="T208" s="192"/>
      <c r="U208" s="211"/>
    </row>
    <row r="209" customFormat="false" ht="20.15" hidden="false" customHeight="true" outlineLevel="0" collapsed="false">
      <c r="B209" s="77"/>
      <c r="C209" s="192"/>
      <c r="D209" s="216"/>
      <c r="E209" s="216"/>
      <c r="F209" s="192"/>
      <c r="G209" s="192"/>
      <c r="H209" s="192"/>
      <c r="I209" s="192"/>
      <c r="J209" s="192"/>
      <c r="K209" s="192"/>
      <c r="L209" s="192"/>
      <c r="M209" s="192"/>
      <c r="N209" s="192"/>
      <c r="O209" s="192"/>
      <c r="P209" s="192"/>
      <c r="Q209" s="192"/>
      <c r="R209" s="192"/>
      <c r="S209" s="192"/>
      <c r="T209" s="192"/>
      <c r="U209" s="211"/>
    </row>
    <row r="210" customFormat="false" ht="20.15" hidden="false" customHeight="true" outlineLevel="0" collapsed="false">
      <c r="B210" s="77"/>
      <c r="D210" s="190"/>
      <c r="E210" s="190"/>
      <c r="F210" s="190"/>
      <c r="G210" s="190"/>
      <c r="H210" s="191"/>
      <c r="I210" s="190"/>
      <c r="J210" s="190"/>
      <c r="K210" s="190"/>
      <c r="L210" s="14"/>
      <c r="M210" s="14"/>
      <c r="N210" s="14"/>
      <c r="O210" s="14"/>
      <c r="P210" s="14"/>
      <c r="Q210" s="14"/>
      <c r="R210" s="14"/>
      <c r="S210" s="14"/>
      <c r="U210" s="207"/>
    </row>
    <row r="211" customFormat="false" ht="20.15" hidden="false" customHeight="true" outlineLevel="0" collapsed="false">
      <c r="B211" s="77"/>
      <c r="C211" s="217"/>
      <c r="D211" s="217"/>
      <c r="E211" s="218" t="str">
        <f aca="false">IF(OR(L188="-",L188= ""),H188,L188)</f>
        <v>Patchwork</v>
      </c>
      <c r="F211" s="218"/>
      <c r="G211" s="218"/>
      <c r="H211" s="218"/>
      <c r="I211" s="218"/>
      <c r="J211" s="218"/>
      <c r="K211" s="218"/>
      <c r="L211" s="218"/>
      <c r="M211" s="218"/>
      <c r="N211" s="218"/>
      <c r="O211" s="219"/>
      <c r="P211" s="219"/>
      <c r="Q211" s="219"/>
      <c r="R211" s="219"/>
      <c r="S211" s="219"/>
      <c r="T211" s="217"/>
      <c r="U211" s="77"/>
    </row>
    <row r="212" customFormat="false" ht="50.15" hidden="false" customHeight="true" outlineLevel="0" collapsed="false">
      <c r="B212" s="77"/>
      <c r="C212" s="217"/>
      <c r="D212" s="219"/>
      <c r="E212" s="125" t="s">
        <v>52</v>
      </c>
      <c r="F212" s="126" t="s">
        <v>75</v>
      </c>
      <c r="G212" s="82" t="s">
        <v>76</v>
      </c>
      <c r="H212" s="81" t="s">
        <v>77</v>
      </c>
      <c r="I212" s="59" t="s">
        <v>78</v>
      </c>
      <c r="J212" s="81" t="s">
        <v>79</v>
      </c>
      <c r="K212" s="127" t="s">
        <v>80</v>
      </c>
      <c r="L212" s="81" t="s">
        <v>81</v>
      </c>
      <c r="M212" s="128" t="s">
        <v>82</v>
      </c>
      <c r="N212" s="129" t="s">
        <v>83</v>
      </c>
      <c r="O212" s="130" t="s">
        <v>84</v>
      </c>
      <c r="P212" s="131" t="s">
        <v>85</v>
      </c>
      <c r="Q212" s="219"/>
      <c r="R212" s="219"/>
      <c r="S212" s="219"/>
      <c r="T212" s="217"/>
      <c r="U212" s="77"/>
    </row>
    <row r="213" customFormat="false" ht="20.15" hidden="false" customHeight="true" outlineLevel="0" collapsed="false">
      <c r="B213" s="77"/>
      <c r="C213" s="217"/>
      <c r="D213" s="220"/>
      <c r="E213" s="416" t="s">
        <v>456</v>
      </c>
      <c r="F213" s="200" t="s">
        <v>457</v>
      </c>
      <c r="G213" s="325" t="n">
        <v>2</v>
      </c>
      <c r="H213" s="201" t="s">
        <v>66</v>
      </c>
      <c r="I213" s="201" t="n">
        <v>0</v>
      </c>
      <c r="J213" s="201" t="n">
        <v>18</v>
      </c>
      <c r="K213" s="201" t="s">
        <v>66</v>
      </c>
      <c r="L213" s="204" t="n">
        <f aca="false">IF(J213="",0,(J213/J215)*100)</f>
        <v>100</v>
      </c>
      <c r="M213" s="201" t="n">
        <v>1</v>
      </c>
      <c r="N213" s="205" t="n">
        <v>6</v>
      </c>
      <c r="O213" s="138" t="n">
        <f aca="false">IF(M213=1,1,0)</f>
        <v>1</v>
      </c>
      <c r="P213" s="139" t="n">
        <f aca="false">IF(M213=2,1,0)</f>
        <v>0</v>
      </c>
      <c r="Q213" s="225"/>
      <c r="R213" s="225"/>
      <c r="S213" s="225"/>
      <c r="T213" s="217"/>
      <c r="U213" s="77"/>
    </row>
    <row r="214" customFormat="false" ht="20.15" hidden="false" customHeight="true" outlineLevel="0" collapsed="false">
      <c r="B214" s="77"/>
      <c r="C214" s="217"/>
      <c r="D214" s="220"/>
      <c r="E214" s="295" t="s">
        <v>41</v>
      </c>
      <c r="F214" s="113" t="s">
        <v>42</v>
      </c>
      <c r="G214" s="307" t="n">
        <v>1</v>
      </c>
      <c r="H214" s="234" t="s">
        <v>66</v>
      </c>
      <c r="I214" s="234" t="n">
        <v>0</v>
      </c>
      <c r="J214" s="234" t="n">
        <v>0</v>
      </c>
      <c r="K214" s="308" t="s">
        <v>66</v>
      </c>
      <c r="L214" s="235" t="n">
        <f aca="false">IF(J214="",0,(J214/J215)*100)</f>
        <v>0</v>
      </c>
      <c r="M214" s="234" t="n">
        <v>2</v>
      </c>
      <c r="N214" s="236" t="n">
        <v>0</v>
      </c>
      <c r="O214" s="157" t="n">
        <f aca="false">IF(M214=1,1,0)</f>
        <v>0</v>
      </c>
      <c r="P214" s="158" t="n">
        <f aca="false">IF(M214=2,1,0)</f>
        <v>1</v>
      </c>
      <c r="Q214" s="225"/>
      <c r="R214" s="225"/>
      <c r="S214" s="225"/>
      <c r="T214" s="217"/>
      <c r="U214" s="77"/>
    </row>
    <row r="215" customFormat="false" ht="20.15" hidden="true" customHeight="true" outlineLevel="1" collapsed="false">
      <c r="B215" s="77"/>
      <c r="C215" s="217"/>
      <c r="D215" s="220"/>
      <c r="E215" s="220"/>
      <c r="F215" s="225"/>
      <c r="G215" s="225"/>
      <c r="H215" s="217"/>
      <c r="I215" s="213" t="s">
        <v>92</v>
      </c>
      <c r="J215" s="161" t="n">
        <f aca="false">MAX(J213:J214)</f>
        <v>18</v>
      </c>
      <c r="K215" s="237"/>
      <c r="L215" s="225"/>
      <c r="M215" s="217"/>
      <c r="N215" s="164" t="s">
        <v>93</v>
      </c>
      <c r="O215" s="165" t="n">
        <f aca="false">SUM(O213:O214)</f>
        <v>1</v>
      </c>
      <c r="P215" s="187" t="n">
        <f aca="false">SUM(P213:P214)</f>
        <v>1</v>
      </c>
      <c r="Q215" s="238"/>
      <c r="R215" s="238"/>
      <c r="S215" s="238"/>
      <c r="T215" s="217"/>
      <c r="U215" s="77"/>
    </row>
    <row r="216" customFormat="false" ht="20.15" hidden="false" customHeight="true" outlineLevel="0" collapsed="false">
      <c r="B216" s="77"/>
      <c r="C216" s="217"/>
      <c r="D216" s="239"/>
      <c r="E216" s="239"/>
      <c r="F216" s="217"/>
      <c r="G216" s="217"/>
      <c r="H216" s="217"/>
      <c r="I216" s="217"/>
      <c r="J216" s="217"/>
      <c r="K216" s="217"/>
      <c r="L216" s="217"/>
      <c r="M216" s="217"/>
      <c r="N216" s="217"/>
      <c r="O216" s="217"/>
      <c r="P216" s="217"/>
      <c r="Q216" s="217"/>
      <c r="R216" s="217"/>
      <c r="S216" s="217"/>
      <c r="T216" s="217"/>
      <c r="U216" s="77"/>
    </row>
    <row r="217" customFormat="false" ht="20.15" hidden="false" customHeight="true" outlineLevel="0" collapsed="false">
      <c r="B217" s="77"/>
      <c r="D217" s="5"/>
      <c r="E217" s="5"/>
      <c r="F217" s="5"/>
      <c r="G217" s="5"/>
      <c r="H217" s="5"/>
      <c r="I217" s="5"/>
      <c r="J217" s="5"/>
      <c r="K217" s="14"/>
      <c r="L217" s="14"/>
      <c r="M217" s="14"/>
      <c r="N217" s="14"/>
      <c r="O217" s="14"/>
      <c r="P217" s="14"/>
      <c r="Q217" s="14"/>
      <c r="R217" s="14"/>
      <c r="S217" s="14"/>
      <c r="U217" s="77"/>
    </row>
    <row r="218" customFormat="false" ht="30" hidden="false" customHeight="true" outlineLevel="0" collapsed="false">
      <c r="B218" s="77"/>
      <c r="C218" s="240"/>
      <c r="D218" s="398"/>
      <c r="E218" s="241" t="s">
        <v>202</v>
      </c>
      <c r="F218" s="241"/>
      <c r="G218" s="241"/>
      <c r="H218" s="241"/>
      <c r="I218" s="241"/>
      <c r="J218" s="241"/>
      <c r="K218" s="241"/>
      <c r="L218" s="241"/>
      <c r="M218" s="241"/>
      <c r="N218" s="241"/>
      <c r="O218" s="398"/>
      <c r="P218" s="398"/>
      <c r="Q218" s="398"/>
      <c r="R218" s="398"/>
      <c r="S218" s="398"/>
      <c r="T218" s="240"/>
      <c r="U218" s="77"/>
    </row>
    <row r="219" customFormat="false" ht="50.15" hidden="false" customHeight="true" outlineLevel="0" collapsed="false">
      <c r="B219" s="77"/>
      <c r="C219" s="240"/>
      <c r="D219" s="401"/>
      <c r="E219" s="242" t="s">
        <v>52</v>
      </c>
      <c r="F219" s="243" t="s">
        <v>53</v>
      </c>
      <c r="G219" s="244" t="s">
        <v>83</v>
      </c>
      <c r="H219" s="245" t="s">
        <v>102</v>
      </c>
      <c r="I219" s="246" t="s">
        <v>103</v>
      </c>
      <c r="J219" s="246"/>
      <c r="K219" s="247" t="s">
        <v>104</v>
      </c>
      <c r="L219" s="248" t="s">
        <v>105</v>
      </c>
      <c r="M219" s="244" t="s">
        <v>106</v>
      </c>
      <c r="N219" s="243" t="s">
        <v>109</v>
      </c>
      <c r="O219" s="399"/>
      <c r="P219" s="400"/>
      <c r="Q219" s="400"/>
      <c r="R219" s="400"/>
      <c r="S219" s="399"/>
      <c r="T219" s="240"/>
      <c r="U219" s="77"/>
    </row>
    <row r="220" customFormat="false" ht="20.15" hidden="false" customHeight="true" outlineLevel="0" collapsed="false">
      <c r="B220" s="77"/>
      <c r="C220" s="240"/>
      <c r="D220" s="401"/>
      <c r="E220" s="426" t="s">
        <v>456</v>
      </c>
      <c r="F220" s="535" t="s">
        <v>457</v>
      </c>
      <c r="G220" s="327" t="n">
        <f aca="false">L220*6+M220*0</f>
        <v>18</v>
      </c>
      <c r="H220" s="328" t="n">
        <v>0</v>
      </c>
      <c r="I220" s="328" t="s">
        <v>66</v>
      </c>
      <c r="J220" s="328"/>
      <c r="K220" s="327" t="n">
        <f aca="false">G220+H220</f>
        <v>18</v>
      </c>
      <c r="L220" s="327" t="n">
        <v>3</v>
      </c>
      <c r="M220" s="327" t="n">
        <v>1</v>
      </c>
      <c r="N220" s="329" t="n">
        <f aca="false">(L192+L199+L206+L213)/4</f>
        <v>96.1538461538462</v>
      </c>
      <c r="O220" s="402"/>
      <c r="P220" s="403"/>
      <c r="Q220" s="403"/>
      <c r="R220" s="403"/>
      <c r="S220" s="417"/>
      <c r="T220" s="240"/>
      <c r="U220" s="77"/>
    </row>
    <row r="221" customFormat="false" ht="20.15" hidden="false" customHeight="true" outlineLevel="0" collapsed="false">
      <c r="B221" s="77"/>
      <c r="C221" s="240"/>
      <c r="D221" s="401"/>
      <c r="E221" s="337" t="s">
        <v>41</v>
      </c>
      <c r="F221" s="362" t="s">
        <v>42</v>
      </c>
      <c r="G221" s="338" t="n">
        <f aca="false">L221*6+M221*0</f>
        <v>6</v>
      </c>
      <c r="H221" s="339" t="n">
        <v>0</v>
      </c>
      <c r="I221" s="339" t="s">
        <v>66</v>
      </c>
      <c r="J221" s="339"/>
      <c r="K221" s="338" t="n">
        <f aca="false">G221+H221</f>
        <v>6</v>
      </c>
      <c r="L221" s="338" t="n">
        <v>1</v>
      </c>
      <c r="M221" s="338" t="n">
        <v>3</v>
      </c>
      <c r="N221" s="341" t="n">
        <f aca="false">(L193+L200+L207+L214)/4</f>
        <v>36.3636363636364</v>
      </c>
      <c r="O221" s="402"/>
      <c r="P221" s="403"/>
      <c r="Q221" s="403"/>
      <c r="R221" s="403"/>
      <c r="S221" s="417"/>
      <c r="T221" s="240"/>
      <c r="U221" s="77"/>
    </row>
    <row r="222" customFormat="false" ht="20.15" hidden="false" customHeight="true" outlineLevel="0" collapsed="false">
      <c r="B222" s="77"/>
      <c r="C222" s="240"/>
      <c r="D222" s="240"/>
      <c r="E222" s="240"/>
      <c r="F222" s="342"/>
      <c r="G222" s="342"/>
      <c r="H222" s="342"/>
      <c r="I222" s="342"/>
      <c r="J222" s="342"/>
      <c r="K222" s="342"/>
      <c r="L222" s="342"/>
      <c r="M222" s="342"/>
      <c r="N222" s="342"/>
      <c r="O222" s="342"/>
      <c r="P222" s="342"/>
      <c r="Q222" s="342"/>
      <c r="R222" s="342"/>
      <c r="S222" s="342"/>
      <c r="T222" s="240"/>
      <c r="U222" s="77"/>
    </row>
    <row r="223" customFormat="false" ht="20.15" hidden="false" customHeight="true" outlineLevel="0" collapsed="false">
      <c r="B223" s="77"/>
      <c r="C223" s="77"/>
      <c r="D223" s="270"/>
      <c r="E223" s="270"/>
      <c r="F223" s="195"/>
      <c r="G223" s="195"/>
      <c r="H223" s="270"/>
      <c r="I223" s="270"/>
      <c r="J223" s="270"/>
      <c r="K223" s="207"/>
      <c r="L223" s="207"/>
      <c r="M223" s="207"/>
      <c r="N223" s="207"/>
      <c r="O223" s="207"/>
      <c r="P223" s="207"/>
      <c r="Q223" s="207"/>
      <c r="R223" s="207"/>
      <c r="S223" s="207"/>
      <c r="T223" s="77"/>
      <c r="U223" s="77"/>
    </row>
    <row r="224" customFormat="false" ht="20.15" hidden="false" customHeight="true" outlineLevel="0" collapsed="false"/>
    <row r="225" customFormat="false" ht="20.15" hidden="false" customHeight="true" outlineLevel="0" collapsed="false"/>
    <row r="226" customFormat="false" ht="20.15" hidden="false" customHeight="true" outlineLevel="0" collapsed="false"/>
    <row r="227" customFormat="false" ht="20.15" hidden="false" customHeight="true" outlineLevel="0" collapsed="false"/>
    <row r="228" customFormat="false" ht="20.15" hidden="false" customHeight="true" outlineLevel="0" collapsed="false"/>
    <row r="229" customFormat="false" ht="20.15" hidden="false" customHeight="true" outlineLevel="0" collapsed="false"/>
    <row r="230" customFormat="false" ht="20.15" hidden="false" customHeight="true" outlineLevel="0" collapsed="false"/>
    <row r="231" customFormat="false" ht="20.15" hidden="false" customHeight="true" outlineLevel="0" collapsed="false"/>
    <row r="232" customFormat="false" ht="20.15" hidden="false" customHeight="true" outlineLevel="0" collapsed="false"/>
    <row r="233" customFormat="false" ht="20.15" hidden="false" customHeight="true" outlineLevel="0" collapsed="false"/>
    <row r="234" customFormat="false" ht="20.15" hidden="false" customHeight="true" outlineLevel="0" collapsed="false"/>
    <row r="235" customFormat="false" ht="20.15" hidden="false" customHeight="true" outlineLevel="0" collapsed="false"/>
    <row r="236" customFormat="false" ht="20.15" hidden="false" customHeight="true" outlineLevel="0" collapsed="false"/>
    <row r="237" customFormat="false" ht="20.15" hidden="false" customHeight="true" outlineLevel="0" collapsed="false"/>
    <row r="238" customFormat="false" ht="20.15" hidden="false" customHeight="true" outlineLevel="0" collapsed="false"/>
    <row r="239" customFormat="false" ht="20.15" hidden="false" customHeight="true" outlineLevel="0" collapsed="false"/>
    <row r="240" customFormat="false" ht="20.15" hidden="false" customHeight="true" outlineLevel="0" collapsed="false"/>
    <row r="241" customFormat="false" ht="20.15" hidden="false" customHeight="true" outlineLevel="0" collapsed="false"/>
    <row r="242" customFormat="false" ht="20.15" hidden="false" customHeight="true" outlineLevel="0" collapsed="false"/>
    <row r="243" customFormat="false" ht="20.15" hidden="false" customHeight="true" outlineLevel="0" collapsed="false"/>
    <row r="244" customFormat="false" ht="20.15" hidden="false" customHeight="true" outlineLevel="0" collapsed="false"/>
    <row r="245" customFormat="false" ht="20.15" hidden="false" customHeight="true" outlineLevel="0" collapsed="false"/>
    <row r="246" customFormat="false" ht="20.15" hidden="false" customHeight="true" outlineLevel="0" collapsed="false"/>
    <row r="247" customFormat="false" ht="20.15" hidden="false" customHeight="true" outlineLevel="0" collapsed="false"/>
    <row r="248" customFormat="false" ht="20.15" hidden="false" customHeight="true" outlineLevel="0" collapsed="false"/>
    <row r="249" customFormat="false" ht="20.15" hidden="false" customHeight="true" outlineLevel="0" collapsed="false"/>
    <row r="250" customFormat="false" ht="20.15" hidden="false" customHeight="true" outlineLevel="0" collapsed="false"/>
    <row r="251" customFormat="false" ht="20.15" hidden="false" customHeight="true" outlineLevel="0" collapsed="false"/>
    <row r="252" customFormat="false" ht="20.15" hidden="false" customHeight="true" outlineLevel="0" collapsed="false"/>
    <row r="253" customFormat="false" ht="20.15" hidden="false" customHeight="true" outlineLevel="0" collapsed="false"/>
    <row r="254" customFormat="false" ht="20.15" hidden="false" customHeight="true" outlineLevel="0" collapsed="false"/>
    <row r="255" customFormat="false" ht="20.15" hidden="false" customHeight="true" outlineLevel="0" collapsed="false"/>
    <row r="256" customFormat="false" ht="20.15" hidden="false" customHeight="true" outlineLevel="0" collapsed="false"/>
    <row r="257" customFormat="false" ht="20.15" hidden="false" customHeight="true" outlineLevel="0" collapsed="false"/>
    <row r="258" customFormat="false" ht="20.15" hidden="false" customHeight="true" outlineLevel="0" collapsed="false"/>
    <row r="259" customFormat="false" ht="20.15" hidden="false" customHeight="true" outlineLevel="0" collapsed="false"/>
    <row r="260" customFormat="false" ht="20.15" hidden="false" customHeight="true" outlineLevel="0" collapsed="false"/>
    <row r="261" customFormat="false" ht="20.15" hidden="false" customHeight="true" outlineLevel="0" collapsed="false"/>
    <row r="262" customFormat="false" ht="20.15" hidden="false" customHeight="true" outlineLevel="0" collapsed="false"/>
    <row r="263" customFormat="false" ht="20.15" hidden="false" customHeight="true" outlineLevel="0" collapsed="false"/>
    <row r="264" customFormat="false" ht="20.15" hidden="false" customHeight="true" outlineLevel="0" collapsed="false"/>
    <row r="265" customFormat="false" ht="20.15" hidden="false" customHeight="true" outlineLevel="0" collapsed="false"/>
    <row r="266" customFormat="false" ht="20.15" hidden="false" customHeight="true" outlineLevel="0" collapsed="false"/>
    <row r="267" customFormat="false" ht="20.15" hidden="false" customHeight="true" outlineLevel="0" collapsed="false"/>
    <row r="268" customFormat="false" ht="20.15" hidden="false" customHeight="true" outlineLevel="0" collapsed="false"/>
    <row r="269" customFormat="false" ht="20.15" hidden="false" customHeight="true" outlineLevel="0" collapsed="false"/>
    <row r="270" customFormat="false" ht="20.15" hidden="false" customHeight="true" outlineLevel="0" collapsed="false"/>
    <row r="271" customFormat="false" ht="20.15" hidden="false" customHeight="true" outlineLevel="0" collapsed="false"/>
    <row r="272" customFormat="false" ht="20.15" hidden="false" customHeight="true" outlineLevel="0" collapsed="false"/>
    <row r="273" customFormat="false" ht="20.15" hidden="false" customHeight="true" outlineLevel="0" collapsed="false"/>
    <row r="274" customFormat="false" ht="20.15" hidden="false" customHeight="true" outlineLevel="0" collapsed="false"/>
    <row r="275" customFormat="false" ht="20.15" hidden="false" customHeight="true" outlineLevel="0" collapsed="false"/>
    <row r="276" customFormat="false" ht="20.15" hidden="false" customHeight="true" outlineLevel="0" collapsed="false"/>
    <row r="277" customFormat="false" ht="20.15" hidden="false" customHeight="true" outlineLevel="0" collapsed="false"/>
    <row r="278" customFormat="false" ht="20.15" hidden="false" customHeight="true" outlineLevel="0" collapsed="false"/>
    <row r="279" customFormat="false" ht="20.15" hidden="false" customHeight="true" outlineLevel="0" collapsed="false"/>
    <row r="280" customFormat="false" ht="20.15" hidden="false" customHeight="true" outlineLevel="0" collapsed="false"/>
    <row r="281" customFormat="false" ht="20.15" hidden="false" customHeight="true" outlineLevel="0" collapsed="false"/>
    <row r="282" customFormat="false" ht="20.15" hidden="false" customHeight="true" outlineLevel="0" collapsed="false"/>
    <row r="283" customFormat="false" ht="20.15" hidden="false" customHeight="true" outlineLevel="0" collapsed="false"/>
    <row r="284" customFormat="false" ht="20.15" hidden="false" customHeight="true" outlineLevel="0" collapsed="false"/>
    <row r="285" customFormat="false" ht="20.15" hidden="false" customHeight="true" outlineLevel="0" collapsed="false"/>
    <row r="286" customFormat="false" ht="20.15" hidden="false" customHeight="true" outlineLevel="0" collapsed="false"/>
    <row r="287" customFormat="false" ht="20.15" hidden="false" customHeight="true" outlineLevel="0" collapsed="false"/>
    <row r="288" customFormat="false" ht="20.15" hidden="false" customHeight="true" outlineLevel="0" collapsed="false"/>
    <row r="289" customFormat="false" ht="20.15" hidden="false" customHeight="true" outlineLevel="0" collapsed="false"/>
    <row r="290" customFormat="false" ht="20.15" hidden="false" customHeight="true" outlineLevel="0" collapsed="false"/>
    <row r="291" customFormat="false" ht="20.15" hidden="false" customHeight="true" outlineLevel="0" collapsed="false"/>
    <row r="292" customFormat="false" ht="20.15" hidden="false" customHeight="true" outlineLevel="0" collapsed="false"/>
    <row r="293" customFormat="false" ht="20.15" hidden="false" customHeight="true" outlineLevel="0" collapsed="false"/>
    <row r="294" customFormat="false" ht="20.15" hidden="false" customHeight="true" outlineLevel="0" collapsed="false"/>
    <row r="295" customFormat="false" ht="20.15" hidden="false" customHeight="true" outlineLevel="0" collapsed="false"/>
    <row r="296" customFormat="false" ht="20.15" hidden="false" customHeight="true" outlineLevel="0" collapsed="false"/>
    <row r="297" customFormat="false" ht="20.15" hidden="false" customHeight="true" outlineLevel="0" collapsed="false"/>
    <row r="298" customFormat="false" ht="20.15" hidden="false" customHeight="true" outlineLevel="0" collapsed="false"/>
    <row r="299" customFormat="false" ht="20.15" hidden="false" customHeight="true" outlineLevel="0" collapsed="false"/>
    <row r="300" customFormat="false" ht="20.15" hidden="false" customHeight="true" outlineLevel="0" collapsed="false"/>
    <row r="301" customFormat="false" ht="20.15" hidden="false" customHeight="true" outlineLevel="0" collapsed="false"/>
    <row r="302" customFormat="false" ht="20.15" hidden="false" customHeight="true" outlineLevel="0" collapsed="false"/>
    <row r="303" customFormat="false" ht="20.15" hidden="false" customHeight="true" outlineLevel="0" collapsed="false"/>
    <row r="304" customFormat="false" ht="20.15" hidden="false" customHeight="true" outlineLevel="0" collapsed="false"/>
    <row r="305" customFormat="false" ht="20.15" hidden="false" customHeight="true" outlineLevel="0" collapsed="false"/>
    <row r="306" customFormat="false" ht="20.15" hidden="false" customHeight="true" outlineLevel="0" collapsed="false"/>
    <row r="307" customFormat="false" ht="20.15" hidden="false" customHeight="true" outlineLevel="0" collapsed="false"/>
    <row r="308" customFormat="false" ht="20.15" hidden="false" customHeight="true" outlineLevel="0" collapsed="false"/>
    <row r="309" customFormat="false" ht="20.15" hidden="false" customHeight="true" outlineLevel="0" collapsed="false"/>
    <row r="310" customFormat="false" ht="20.15" hidden="false" customHeight="true" outlineLevel="0" collapsed="false"/>
    <row r="311" customFormat="false" ht="20.15" hidden="false" customHeight="true" outlineLevel="0" collapsed="false"/>
    <row r="312" customFormat="false" ht="20.15" hidden="false" customHeight="true" outlineLevel="0" collapsed="false"/>
    <row r="313" customFormat="false" ht="20.15" hidden="false" customHeight="true" outlineLevel="0" collapsed="false"/>
    <row r="314" customFormat="false" ht="20.15" hidden="false" customHeight="true" outlineLevel="0" collapsed="false"/>
    <row r="315" customFormat="false" ht="20.15" hidden="false" customHeight="true" outlineLevel="0" collapsed="false"/>
    <row r="316" customFormat="false" ht="20.15" hidden="false" customHeight="true" outlineLevel="0" collapsed="false"/>
    <row r="317" customFormat="false" ht="20.15" hidden="false" customHeight="true" outlineLevel="0" collapsed="false"/>
    <row r="318" customFormat="false" ht="20.15" hidden="false" customHeight="true" outlineLevel="0" collapsed="false"/>
    <row r="319" customFormat="false" ht="20.15" hidden="false" customHeight="true" outlineLevel="0" collapsed="false"/>
    <row r="320" customFormat="false" ht="20.15" hidden="false" customHeight="true" outlineLevel="0" collapsed="false"/>
    <row r="321" customFormat="false" ht="20.15" hidden="false" customHeight="true" outlineLevel="0" collapsed="false"/>
    <row r="322" customFormat="false" ht="20.15" hidden="false" customHeight="true" outlineLevel="0" collapsed="false"/>
    <row r="323" customFormat="false" ht="20.15" hidden="false" customHeight="true" outlineLevel="0" collapsed="false"/>
    <row r="324" customFormat="false" ht="20.15" hidden="false" customHeight="true" outlineLevel="0" collapsed="false"/>
    <row r="325" customFormat="false" ht="20.15" hidden="false" customHeight="true" outlineLevel="0" collapsed="false"/>
    <row r="326" customFormat="false" ht="20.15" hidden="false" customHeight="true" outlineLevel="0" collapsed="false"/>
    <row r="327" customFormat="false" ht="20.15" hidden="false" customHeight="true" outlineLevel="0" collapsed="false"/>
    <row r="328" customFormat="false" ht="20.15" hidden="false" customHeight="true" outlineLevel="0" collapsed="false"/>
    <row r="329" customFormat="false" ht="20.15" hidden="false" customHeight="true" outlineLevel="0" collapsed="false"/>
    <row r="330" customFormat="false" ht="20.15" hidden="false" customHeight="true" outlineLevel="0" collapsed="false"/>
    <row r="331" customFormat="false" ht="20.15" hidden="false" customHeight="true" outlineLevel="0" collapsed="false"/>
    <row r="332" customFormat="false" ht="20.15" hidden="false" customHeight="true" outlineLevel="0" collapsed="false"/>
    <row r="333" customFormat="false" ht="20.15" hidden="false" customHeight="true" outlineLevel="0" collapsed="false"/>
    <row r="334" customFormat="false" ht="20.15" hidden="false" customHeight="true" outlineLevel="0" collapsed="false"/>
    <row r="335" customFormat="false" ht="20.15" hidden="false" customHeight="true" outlineLevel="0" collapsed="false"/>
    <row r="336" customFormat="false" ht="20.15" hidden="false" customHeight="true" outlineLevel="0" collapsed="false"/>
    <row r="337" customFormat="false" ht="20.15" hidden="false" customHeight="true" outlineLevel="0" collapsed="false"/>
    <row r="338" customFormat="false" ht="20.15" hidden="false" customHeight="true" outlineLevel="0" collapsed="false"/>
    <row r="339" customFormat="false" ht="20.15" hidden="false" customHeight="true" outlineLevel="0" collapsed="false"/>
    <row r="340" customFormat="false" ht="20.15" hidden="false" customHeight="true" outlineLevel="0" collapsed="false"/>
    <row r="341" customFormat="false" ht="20.15" hidden="false" customHeight="true" outlineLevel="0" collapsed="false"/>
    <row r="342" customFormat="false" ht="20.15" hidden="false" customHeight="true" outlineLevel="0" collapsed="false"/>
    <row r="343" customFormat="false" ht="20.15" hidden="false" customHeight="true" outlineLevel="0" collapsed="false"/>
    <row r="344" customFormat="false" ht="20.15" hidden="false" customHeight="true" outlineLevel="0" collapsed="false"/>
    <row r="345" customFormat="false" ht="20.15" hidden="false" customHeight="true" outlineLevel="0" collapsed="false"/>
    <row r="346" customFormat="false" ht="20.15" hidden="false" customHeight="true" outlineLevel="0" collapsed="false"/>
    <row r="347" customFormat="false" ht="20.15" hidden="false" customHeight="true" outlineLevel="0" collapsed="false"/>
    <row r="348" customFormat="false" ht="20.15" hidden="false" customHeight="true" outlineLevel="0" collapsed="false"/>
    <row r="349" customFormat="false" ht="20.15" hidden="false" customHeight="true" outlineLevel="0" collapsed="false"/>
    <row r="350" customFormat="false" ht="20.15" hidden="false" customHeight="true" outlineLevel="0" collapsed="false"/>
    <row r="351" customFormat="false" ht="20.15" hidden="false" customHeight="true" outlineLevel="0" collapsed="false"/>
    <row r="352" customFormat="false" ht="20.15" hidden="false" customHeight="true" outlineLevel="0" collapsed="false"/>
    <row r="353" customFormat="false" ht="20.15" hidden="false" customHeight="true" outlineLevel="0" collapsed="false"/>
    <row r="354" customFormat="false" ht="20.15" hidden="false" customHeight="true" outlineLevel="0" collapsed="false"/>
    <row r="355" customFormat="false" ht="20.15" hidden="false" customHeight="true" outlineLevel="0" collapsed="false"/>
    <row r="356" customFormat="false" ht="20.15" hidden="false" customHeight="true" outlineLevel="0" collapsed="false"/>
    <row r="357" customFormat="false" ht="20.15" hidden="false" customHeight="true" outlineLevel="0" collapsed="false"/>
    <row r="358" customFormat="false" ht="20.15" hidden="false" customHeight="true" outlineLevel="0" collapsed="false"/>
    <row r="359" customFormat="false" ht="20.15" hidden="false" customHeight="true" outlineLevel="0" collapsed="false"/>
    <row r="360" customFormat="false" ht="20.15" hidden="false" customHeight="true" outlineLevel="0" collapsed="false"/>
    <row r="361" customFormat="false" ht="20.15" hidden="false" customHeight="true" outlineLevel="0" collapsed="false"/>
    <row r="362" customFormat="false" ht="20.15" hidden="false" customHeight="true" outlineLevel="0" collapsed="false"/>
    <row r="363" customFormat="false" ht="20.15" hidden="false" customHeight="true" outlineLevel="0" collapsed="false"/>
    <row r="364" customFormat="false" ht="20.15" hidden="false" customHeight="true" outlineLevel="0" collapsed="false"/>
    <row r="365" customFormat="false" ht="20.15" hidden="false" customHeight="true" outlineLevel="0" collapsed="false"/>
    <row r="366" customFormat="false" ht="20.15" hidden="false" customHeight="true" outlineLevel="0" collapsed="false"/>
    <row r="367" customFormat="false" ht="20.15" hidden="false" customHeight="true" outlineLevel="0" collapsed="false"/>
    <row r="368" customFormat="false" ht="20.15" hidden="false" customHeight="true" outlineLevel="0" collapsed="false"/>
    <row r="369" customFormat="false" ht="20.15" hidden="false" customHeight="true" outlineLevel="0" collapsed="false"/>
    <row r="370" customFormat="false" ht="20.15" hidden="false" customHeight="true" outlineLevel="0" collapsed="false"/>
    <row r="371" customFormat="false" ht="20.15" hidden="false" customHeight="true" outlineLevel="0" collapsed="false"/>
    <row r="372" customFormat="false" ht="20.15" hidden="false" customHeight="true" outlineLevel="0" collapsed="false"/>
    <row r="373" customFormat="false" ht="20.15" hidden="false" customHeight="true" outlineLevel="0" collapsed="false"/>
    <row r="374" customFormat="false" ht="20.15" hidden="false" customHeight="true" outlineLevel="0" collapsed="false"/>
    <row r="375" customFormat="false" ht="20.15" hidden="false" customHeight="true" outlineLevel="0" collapsed="false"/>
    <row r="376" customFormat="false" ht="20.15" hidden="false" customHeight="true" outlineLevel="0" collapsed="false"/>
    <row r="377" customFormat="false" ht="20.15" hidden="false" customHeight="true" outlineLevel="0" collapsed="false"/>
    <row r="378" customFormat="false" ht="20.15" hidden="false" customHeight="true" outlineLevel="0" collapsed="false"/>
    <row r="379" customFormat="false" ht="20.15" hidden="false" customHeight="true" outlineLevel="0" collapsed="false"/>
    <row r="380" customFormat="false" ht="20.15" hidden="false" customHeight="true" outlineLevel="0" collapsed="false"/>
    <row r="381" customFormat="false" ht="20.15" hidden="false" customHeight="true" outlineLevel="0" collapsed="false"/>
    <row r="382" customFormat="false" ht="20.15" hidden="false" customHeight="true" outlineLevel="0" collapsed="false"/>
    <row r="383" customFormat="false" ht="20.15" hidden="false" customHeight="true" outlineLevel="0" collapsed="false"/>
    <row r="384" customFormat="false" ht="20.15" hidden="false" customHeight="true" outlineLevel="0" collapsed="false"/>
    <row r="385" customFormat="false" ht="20.15" hidden="false" customHeight="true" outlineLevel="0" collapsed="false"/>
    <row r="386" customFormat="false" ht="20.15" hidden="false" customHeight="true" outlineLevel="0" collapsed="false"/>
    <row r="387" customFormat="false" ht="20.15" hidden="false" customHeight="true" outlineLevel="0" collapsed="false"/>
    <row r="388" customFormat="false" ht="20.15" hidden="false" customHeight="true" outlineLevel="0" collapsed="false"/>
    <row r="389" customFormat="false" ht="20.15" hidden="false" customHeight="true" outlineLevel="0" collapsed="false"/>
    <row r="390" customFormat="false" ht="20.15" hidden="false" customHeight="true" outlineLevel="0" collapsed="false"/>
    <row r="391" customFormat="false" ht="20.15" hidden="false" customHeight="true" outlineLevel="0" collapsed="false"/>
    <row r="392" customFormat="false" ht="20.15" hidden="false" customHeight="true" outlineLevel="0" collapsed="false"/>
    <row r="393" customFormat="false" ht="20.15" hidden="false" customHeight="true" outlineLevel="0" collapsed="false"/>
    <row r="394" customFormat="false" ht="20.15" hidden="false" customHeight="true" outlineLevel="0" collapsed="false"/>
    <row r="395" customFormat="false" ht="20.15" hidden="false" customHeight="true" outlineLevel="0" collapsed="false"/>
    <row r="396" customFormat="false" ht="20.15" hidden="false" customHeight="true" outlineLevel="0" collapsed="false"/>
    <row r="397" customFormat="false" ht="20.15" hidden="false" customHeight="true" outlineLevel="0" collapsed="false"/>
    <row r="398" customFormat="false" ht="20.15" hidden="false" customHeight="true" outlineLevel="0" collapsed="false"/>
    <row r="399" customFormat="false" ht="20.15" hidden="false" customHeight="true" outlineLevel="0" collapsed="false"/>
    <row r="400" customFormat="false" ht="20.15" hidden="false" customHeight="true" outlineLevel="0" collapsed="false"/>
    <row r="401" customFormat="false" ht="20.15" hidden="false" customHeight="true" outlineLevel="0" collapsed="false"/>
    <row r="402" customFormat="false" ht="20.15" hidden="false" customHeight="true" outlineLevel="0" collapsed="false"/>
    <row r="403" customFormat="false" ht="20.15" hidden="false" customHeight="true" outlineLevel="0" collapsed="false"/>
    <row r="404" customFormat="false" ht="20.15" hidden="false" customHeight="true" outlineLevel="0" collapsed="false"/>
    <row r="405" customFormat="false" ht="20.15" hidden="false" customHeight="true" outlineLevel="0" collapsed="false"/>
    <row r="406" customFormat="false" ht="20.15" hidden="false" customHeight="true" outlineLevel="0" collapsed="false"/>
    <row r="407" customFormat="false" ht="20.15" hidden="false" customHeight="true" outlineLevel="0" collapsed="false"/>
    <row r="408" customFormat="false" ht="20.15" hidden="false" customHeight="true" outlineLevel="0" collapsed="false"/>
    <row r="409" customFormat="false" ht="20.15" hidden="false" customHeight="true" outlineLevel="0" collapsed="false"/>
    <row r="410" customFormat="false" ht="20.15" hidden="false" customHeight="true" outlineLevel="0" collapsed="false"/>
    <row r="411" customFormat="false" ht="20.15" hidden="false" customHeight="true" outlineLevel="0" collapsed="false"/>
    <row r="412" customFormat="false" ht="20.15" hidden="false" customHeight="true" outlineLevel="0" collapsed="false"/>
    <row r="413" customFormat="false" ht="20.15" hidden="false" customHeight="true" outlineLevel="0" collapsed="false"/>
    <row r="414" customFormat="false" ht="20.15" hidden="false" customHeight="true" outlineLevel="0" collapsed="false"/>
    <row r="415" customFormat="false" ht="20.15" hidden="false" customHeight="true" outlineLevel="0" collapsed="false"/>
    <row r="416" customFormat="false" ht="20.15" hidden="false" customHeight="true" outlineLevel="0" collapsed="false"/>
    <row r="417" customFormat="false" ht="20.15" hidden="false" customHeight="true" outlineLevel="0" collapsed="false"/>
    <row r="418" customFormat="false" ht="20.15" hidden="false" customHeight="true" outlineLevel="0" collapsed="false"/>
    <row r="419" customFormat="false" ht="20.15" hidden="false" customHeight="true" outlineLevel="0" collapsed="false"/>
  </sheetData>
  <mergeCells count="143">
    <mergeCell ref="A1:N2"/>
    <mergeCell ref="B4:J4"/>
    <mergeCell ref="L4:N4"/>
    <mergeCell ref="B5:C5"/>
    <mergeCell ref="B6:C6"/>
    <mergeCell ref="M6:M9"/>
    <mergeCell ref="B7:C7"/>
    <mergeCell ref="B8:C8"/>
    <mergeCell ref="B9:C9"/>
    <mergeCell ref="B10:C10"/>
    <mergeCell ref="M10:M13"/>
    <mergeCell ref="B11:C11"/>
    <mergeCell ref="B12:C12"/>
    <mergeCell ref="B13:C13"/>
    <mergeCell ref="B14:C14"/>
    <mergeCell ref="M14:M16"/>
    <mergeCell ref="B15:C15"/>
    <mergeCell ref="B16:C16"/>
    <mergeCell ref="B17:C17"/>
    <mergeCell ref="M17:M18"/>
    <mergeCell ref="B18:C18"/>
    <mergeCell ref="L19:M19"/>
    <mergeCell ref="B20:I20"/>
    <mergeCell ref="B21:C21"/>
    <mergeCell ref="B22:C22"/>
    <mergeCell ref="B23:C23"/>
    <mergeCell ref="B24:C24"/>
    <mergeCell ref="C27:T27"/>
    <mergeCell ref="D29:D30"/>
    <mergeCell ref="E29:E30"/>
    <mergeCell ref="F29:F30"/>
    <mergeCell ref="G29:J29"/>
    <mergeCell ref="L29:S29"/>
    <mergeCell ref="I30:J30"/>
    <mergeCell ref="N30:S30"/>
    <mergeCell ref="I31:J31"/>
    <mergeCell ref="N31:S31"/>
    <mergeCell ref="I32:J32"/>
    <mergeCell ref="N32:S32"/>
    <mergeCell ref="I33:J33"/>
    <mergeCell ref="N33:S33"/>
    <mergeCell ref="I34:J34"/>
    <mergeCell ref="N34:S34"/>
    <mergeCell ref="E36:N36"/>
    <mergeCell ref="F42:G42"/>
    <mergeCell ref="F43:G43"/>
    <mergeCell ref="E45:N45"/>
    <mergeCell ref="F51:G51"/>
    <mergeCell ref="E54:N54"/>
    <mergeCell ref="F60:G60"/>
    <mergeCell ref="E63:N63"/>
    <mergeCell ref="F69:G69"/>
    <mergeCell ref="D72:S72"/>
    <mergeCell ref="H73:I73"/>
    <mergeCell ref="H74:I74"/>
    <mergeCell ref="H75:I75"/>
    <mergeCell ref="H76:I76"/>
    <mergeCell ref="H77:I77"/>
    <mergeCell ref="C83:T83"/>
    <mergeCell ref="D85:D86"/>
    <mergeCell ref="E85:E86"/>
    <mergeCell ref="F85:F86"/>
    <mergeCell ref="G85:J85"/>
    <mergeCell ref="L85:S85"/>
    <mergeCell ref="I86:J86"/>
    <mergeCell ref="N86:S86"/>
    <mergeCell ref="I87:J87"/>
    <mergeCell ref="N87:S87"/>
    <mergeCell ref="I88:J88"/>
    <mergeCell ref="N88:S88"/>
    <mergeCell ref="I89:J89"/>
    <mergeCell ref="N89:S89"/>
    <mergeCell ref="I90:J90"/>
    <mergeCell ref="N90:S90"/>
    <mergeCell ref="E92:N92"/>
    <mergeCell ref="F98:G98"/>
    <mergeCell ref="E101:N101"/>
    <mergeCell ref="F107:G107"/>
    <mergeCell ref="E110:N110"/>
    <mergeCell ref="F116:G116"/>
    <mergeCell ref="E119:N119"/>
    <mergeCell ref="F125:G125"/>
    <mergeCell ref="D128:S128"/>
    <mergeCell ref="H129:I129"/>
    <mergeCell ref="H130:I130"/>
    <mergeCell ref="H131:I131"/>
    <mergeCell ref="Y131:Z131"/>
    <mergeCell ref="H132:I132"/>
    <mergeCell ref="H133:I133"/>
    <mergeCell ref="H134:I134"/>
    <mergeCell ref="C139:T139"/>
    <mergeCell ref="D141:D142"/>
    <mergeCell ref="E141:E142"/>
    <mergeCell ref="F141:F142"/>
    <mergeCell ref="G141:J141"/>
    <mergeCell ref="L141:S141"/>
    <mergeCell ref="I142:J142"/>
    <mergeCell ref="N142:S142"/>
    <mergeCell ref="I143:J143"/>
    <mergeCell ref="N143:S143"/>
    <mergeCell ref="I144:J144"/>
    <mergeCell ref="N144:S144"/>
    <mergeCell ref="I145:J145"/>
    <mergeCell ref="N145:S145"/>
    <mergeCell ref="E147:N147"/>
    <mergeCell ref="F152:G152"/>
    <mergeCell ref="E155:N155"/>
    <mergeCell ref="F160:G160"/>
    <mergeCell ref="E163:N163"/>
    <mergeCell ref="F168:G168"/>
    <mergeCell ref="D171:N171"/>
    <mergeCell ref="H172:I172"/>
    <mergeCell ref="H173:I173"/>
    <mergeCell ref="H174:I174"/>
    <mergeCell ref="H175:I175"/>
    <mergeCell ref="C181:T181"/>
    <mergeCell ref="D183:D184"/>
    <mergeCell ref="E183:E184"/>
    <mergeCell ref="F183:F184"/>
    <mergeCell ref="G183:J183"/>
    <mergeCell ref="L183:S183"/>
    <mergeCell ref="I184:J184"/>
    <mergeCell ref="N184:S184"/>
    <mergeCell ref="I185:J185"/>
    <mergeCell ref="N185:S185"/>
    <mergeCell ref="I186:J186"/>
    <mergeCell ref="N186:S186"/>
    <mergeCell ref="I187:J187"/>
    <mergeCell ref="N187:S187"/>
    <mergeCell ref="I188:J188"/>
    <mergeCell ref="N188:S188"/>
    <mergeCell ref="E190:N190"/>
    <mergeCell ref="F194:G194"/>
    <mergeCell ref="E197:N197"/>
    <mergeCell ref="F201:G201"/>
    <mergeCell ref="E204:N204"/>
    <mergeCell ref="F208:G208"/>
    <mergeCell ref="E211:N211"/>
    <mergeCell ref="F215:G215"/>
    <mergeCell ref="E218:N218"/>
    <mergeCell ref="I219:J219"/>
    <mergeCell ref="I220:J220"/>
    <mergeCell ref="I221:J221"/>
  </mergeCells>
  <conditionalFormatting sqref="B6:J13 B15:J18 B14:C14">
    <cfRule type="expression" priority="2" aboveAverage="0" equalAverage="0" bottom="0" percent="0" rank="0" text="" dxfId="128">
      <formula>$J6="Ja"</formula>
    </cfRule>
    <cfRule type="expression" priority="3" aboveAverage="0" equalAverage="0" bottom="0" percent="0" rank="0" text="" dxfId="129">
      <formula>$J6="Nein"</formula>
    </cfRule>
  </conditionalFormatting>
  <conditionalFormatting sqref="D14:J14">
    <cfRule type="expression" priority="4" aboveAverage="0" equalAverage="0" bottom="0" percent="0" rank="0" text="" dxfId="130">
      <formula>$J14="Ja"</formula>
    </cfRule>
    <cfRule type="expression" priority="5" aboveAverage="0" equalAverage="0" bottom="0" percent="0" rank="0" text="" dxfId="131">
      <formula>$J14="Nein"</formula>
    </cfRule>
  </conditionalFormatting>
  <conditionalFormatting sqref="D31:E34">
    <cfRule type="expression" priority="6" aboveAverage="0" equalAverage="0" bottom="0" percent="0" rank="0" text="" dxfId="132">
      <formula>$J31="Ja"</formula>
    </cfRule>
    <cfRule type="expression" priority="7" aboveAverage="0" equalAverage="0" bottom="0" percent="0" rank="0" text="" dxfId="133">
      <formula>$J31="Nein"</formula>
    </cfRule>
  </conditionalFormatting>
  <conditionalFormatting sqref="E38:F41">
    <cfRule type="expression" priority="8" aboveAverage="0" equalAverage="0" bottom="0" percent="0" rank="0" text="" dxfId="134">
      <formula>$J38="Ja"</formula>
    </cfRule>
    <cfRule type="expression" priority="9" aboveAverage="0" equalAverage="0" bottom="0" percent="0" rank="0" text="" dxfId="135">
      <formula>$J38="Nein"</formula>
    </cfRule>
  </conditionalFormatting>
  <conditionalFormatting sqref="E47:F50">
    <cfRule type="expression" priority="10" aboveAverage="0" equalAverage="0" bottom="0" percent="0" rank="0" text="" dxfId="136">
      <formula>$J47="Ja"</formula>
    </cfRule>
    <cfRule type="expression" priority="11" aboveAverage="0" equalAverage="0" bottom="0" percent="0" rank="0" text="" dxfId="137">
      <formula>$J47="Nein"</formula>
    </cfRule>
  </conditionalFormatting>
  <conditionalFormatting sqref="E56:F59">
    <cfRule type="expression" priority="12" aboveAverage="0" equalAverage="0" bottom="0" percent="0" rank="0" text="" dxfId="138">
      <formula>$J56="Ja"</formula>
    </cfRule>
    <cfRule type="expression" priority="13" aboveAverage="0" equalAverage="0" bottom="0" percent="0" rank="0" text="" dxfId="139">
      <formula>$J56="Nein"</formula>
    </cfRule>
  </conditionalFormatting>
  <conditionalFormatting sqref="E65:F68">
    <cfRule type="expression" priority="14" aboveAverage="0" equalAverage="0" bottom="0" percent="0" rank="0" text="" dxfId="140">
      <formula>$J65="Ja"</formula>
    </cfRule>
    <cfRule type="expression" priority="15" aboveAverage="0" equalAverage="0" bottom="0" percent="0" rank="0" text="" dxfId="141">
      <formula>$J65="Nein"</formula>
    </cfRule>
  </conditionalFormatting>
  <conditionalFormatting sqref="D74:E74">
    <cfRule type="expression" priority="16" aboveAverage="0" equalAverage="0" bottom="0" percent="0" rank="0" text="" dxfId="142">
      <formula>$J74="Ja"</formula>
    </cfRule>
    <cfRule type="expression" priority="17" aboveAverage="0" equalAverage="0" bottom="0" percent="0" rank="0" text="" dxfId="143">
      <formula>$J74="Nein"</formula>
    </cfRule>
  </conditionalFormatting>
  <conditionalFormatting sqref="D75:E75">
    <cfRule type="expression" priority="18" aboveAverage="0" equalAverage="0" bottom="0" percent="0" rank="0" text="" dxfId="144">
      <formula>$J75="Ja"</formula>
    </cfRule>
    <cfRule type="expression" priority="19" aboveAverage="0" equalAverage="0" bottom="0" percent="0" rank="0" text="" dxfId="145">
      <formula>$J75="Nein"</formula>
    </cfRule>
  </conditionalFormatting>
  <conditionalFormatting sqref="D76:E76">
    <cfRule type="expression" priority="20" aboveAverage="0" equalAverage="0" bottom="0" percent="0" rank="0" text="" dxfId="146">
      <formula>$J76="Ja"</formula>
    </cfRule>
    <cfRule type="expression" priority="21" aboveAverage="0" equalAverage="0" bottom="0" percent="0" rank="0" text="" dxfId="147">
      <formula>$J76="Nein"</formula>
    </cfRule>
  </conditionalFormatting>
  <conditionalFormatting sqref="D77:E77">
    <cfRule type="expression" priority="22" aboveAverage="0" equalAverage="0" bottom="0" percent="0" rank="0" text="" dxfId="148">
      <formula>$J77="Ja"</formula>
    </cfRule>
    <cfRule type="expression" priority="23" aboveAverage="0" equalAverage="0" bottom="0" percent="0" rank="0" text="" dxfId="149">
      <formula>$J77="Nein"</formula>
    </cfRule>
  </conditionalFormatting>
  <conditionalFormatting sqref="D87:E90">
    <cfRule type="expression" priority="24" aboveAverage="0" equalAverage="0" bottom="0" percent="0" rank="0" text="" dxfId="150">
      <formula>$J87="Ja"</formula>
    </cfRule>
    <cfRule type="expression" priority="25" aboveAverage="0" equalAverage="0" bottom="0" percent="0" rank="0" text="" dxfId="151">
      <formula>$J87="Nein"</formula>
    </cfRule>
  </conditionalFormatting>
  <conditionalFormatting sqref="E94:F97">
    <cfRule type="expression" priority="26" aboveAverage="0" equalAverage="0" bottom="0" percent="0" rank="0" text="" dxfId="152">
      <formula>$J94="Ja"</formula>
    </cfRule>
    <cfRule type="expression" priority="27" aboveAverage="0" equalAverage="0" bottom="0" percent="0" rank="0" text="" dxfId="153">
      <formula>$J94="Nein"</formula>
    </cfRule>
  </conditionalFormatting>
  <conditionalFormatting sqref="E103:F106">
    <cfRule type="expression" priority="28" aboveAverage="0" equalAverage="0" bottom="0" percent="0" rank="0" text="" dxfId="154">
      <formula>$J103="Ja"</formula>
    </cfRule>
    <cfRule type="expression" priority="29" aboveAverage="0" equalAverage="0" bottom="0" percent="0" rank="0" text="" dxfId="155">
      <formula>$J103="Nein"</formula>
    </cfRule>
  </conditionalFormatting>
  <conditionalFormatting sqref="E112:F115">
    <cfRule type="expression" priority="30" aboveAverage="0" equalAverage="0" bottom="0" percent="0" rank="0" text="" dxfId="156">
      <formula>$J112="Ja"</formula>
    </cfRule>
    <cfRule type="expression" priority="31" aboveAverage="0" equalAverage="0" bottom="0" percent="0" rank="0" text="" dxfId="157">
      <formula>$J112="Nein"</formula>
    </cfRule>
  </conditionalFormatting>
  <conditionalFormatting sqref="E121:F124">
    <cfRule type="expression" priority="32" aboveAverage="0" equalAverage="0" bottom="0" percent="0" rank="0" text="" dxfId="158">
      <formula>$J121="Ja"</formula>
    </cfRule>
    <cfRule type="expression" priority="33" aboveAverage="0" equalAverage="0" bottom="0" percent="0" rank="0" text="" dxfId="159">
      <formula>$J121="Nein"</formula>
    </cfRule>
  </conditionalFormatting>
  <conditionalFormatting sqref="D130:E130">
    <cfRule type="expression" priority="34" aboveAverage="0" equalAverage="0" bottom="0" percent="0" rank="0" text="" dxfId="160">
      <formula>$J130="Ja"</formula>
    </cfRule>
    <cfRule type="expression" priority="35" aboveAverage="0" equalAverage="0" bottom="0" percent="0" rank="0" text="" dxfId="161">
      <formula>$J130="Nein"</formula>
    </cfRule>
  </conditionalFormatting>
  <conditionalFormatting sqref="E192:F193">
    <cfRule type="expression" priority="36" aboveAverage="0" equalAverage="0" bottom="0" percent="0" rank="0" text="" dxfId="162">
      <formula>$J192="Ja"</formula>
    </cfRule>
    <cfRule type="expression" priority="37" aboveAverage="0" equalAverage="0" bottom="0" percent="0" rank="0" text="" dxfId="163">
      <formula>$J192="Nein"</formula>
    </cfRule>
  </conditionalFormatting>
  <conditionalFormatting sqref="D132:E132">
    <cfRule type="expression" priority="38" aboveAverage="0" equalAverage="0" bottom="0" percent="0" rank="0" text="" dxfId="164">
      <formula>$J132="Ja"</formula>
    </cfRule>
    <cfRule type="expression" priority="39" aboveAverage="0" equalAverage="0" bottom="0" percent="0" rank="0" text="" dxfId="165">
      <formula>$J132="Nein"</formula>
    </cfRule>
  </conditionalFormatting>
  <conditionalFormatting sqref="D133:E133">
    <cfRule type="expression" priority="40" aboveAverage="0" equalAverage="0" bottom="0" percent="0" rank="0" text="" dxfId="166">
      <formula>$J133="Ja"</formula>
    </cfRule>
    <cfRule type="expression" priority="41" aboveAverage="0" equalAverage="0" bottom="0" percent="0" rank="0" text="" dxfId="167">
      <formula>$J133="Nein"</formula>
    </cfRule>
  </conditionalFormatting>
  <conditionalFormatting sqref="D134:E134">
    <cfRule type="expression" priority="42" aboveAverage="0" equalAverage="0" bottom="0" percent="0" rank="0" text="" dxfId="168">
      <formula>$J134="Ja"</formula>
    </cfRule>
    <cfRule type="expression" priority="43" aboveAverage="0" equalAverage="0" bottom="0" percent="0" rank="0" text="" dxfId="169">
      <formula>$J134="Nein"</formula>
    </cfRule>
  </conditionalFormatting>
  <conditionalFormatting sqref="D132:E132">
    <cfRule type="expression" priority="44" aboveAverage="0" equalAverage="0" bottom="0" percent="0" rank="0" text="" dxfId="170">
      <formula>$J132="Ja"</formula>
    </cfRule>
    <cfRule type="expression" priority="45" aboveAverage="0" equalAverage="0" bottom="0" percent="0" rank="0" text="" dxfId="171">
      <formula>$J132="Nein"</formula>
    </cfRule>
  </conditionalFormatting>
  <conditionalFormatting sqref="D133:E133">
    <cfRule type="expression" priority="46" aboveAverage="0" equalAverage="0" bottom="0" percent="0" rank="0" text="" dxfId="172">
      <formula>$J133="Ja"</formula>
    </cfRule>
    <cfRule type="expression" priority="47" aboveAverage="0" equalAverage="0" bottom="0" percent="0" rank="0" text="" dxfId="173">
      <formula>$J133="Nein"</formula>
    </cfRule>
  </conditionalFormatting>
  <conditionalFormatting sqref="D131:E131">
    <cfRule type="expression" priority="48" aboveAverage="0" equalAverage="0" bottom="0" percent="0" rank="0" text="" dxfId="174">
      <formula>$J131="Ja"</formula>
    </cfRule>
    <cfRule type="expression" priority="49" aboveAverage="0" equalAverage="0" bottom="0" percent="0" rank="0" text="" dxfId="175">
      <formula>$J131="Nein"</formula>
    </cfRule>
  </conditionalFormatting>
  <conditionalFormatting sqref="D144:E145">
    <cfRule type="expression" priority="50" aboveAverage="0" equalAverage="0" bottom="0" percent="0" rank="0" text="" dxfId="176">
      <formula>$J144="Ja"</formula>
    </cfRule>
    <cfRule type="expression" priority="51" aboveAverage="0" equalAverage="0" bottom="0" percent="0" rank="0" text="" dxfId="177">
      <formula>$J144="Nein"</formula>
    </cfRule>
  </conditionalFormatting>
  <conditionalFormatting sqref="D143:E143">
    <cfRule type="expression" priority="52" aboveAverage="0" equalAverage="0" bottom="0" percent="0" rank="0" text="" dxfId="178">
      <formula>$J143="Ja"</formula>
    </cfRule>
    <cfRule type="expression" priority="53" aboveAverage="0" equalAverage="0" bottom="0" percent="0" rank="0" text="" dxfId="179">
      <formula>$J143="Nein"</formula>
    </cfRule>
  </conditionalFormatting>
  <conditionalFormatting sqref="E150:F151">
    <cfRule type="expression" priority="54" aboveAverage="0" equalAverage="0" bottom="0" percent="0" rank="0" text="" dxfId="180">
      <formula>$J150="Ja"</formula>
    </cfRule>
    <cfRule type="expression" priority="55" aboveAverage="0" equalAverage="0" bottom="0" percent="0" rank="0" text="" dxfId="181">
      <formula>$J150="Nein"</formula>
    </cfRule>
  </conditionalFormatting>
  <conditionalFormatting sqref="E149:F149">
    <cfRule type="expression" priority="56" aboveAverage="0" equalAverage="0" bottom="0" percent="0" rank="0" text="" dxfId="182">
      <formula>$J149="Ja"</formula>
    </cfRule>
    <cfRule type="expression" priority="57" aboveAverage="0" equalAverage="0" bottom="0" percent="0" rank="0" text="" dxfId="183">
      <formula>$J149="Nein"</formula>
    </cfRule>
  </conditionalFormatting>
  <conditionalFormatting sqref="E158:F159">
    <cfRule type="expression" priority="58" aboveAverage="0" equalAverage="0" bottom="0" percent="0" rank="0" text="" dxfId="184">
      <formula>$J158="Ja"</formula>
    </cfRule>
    <cfRule type="expression" priority="59" aboveAverage="0" equalAverage="0" bottom="0" percent="0" rank="0" text="" dxfId="185">
      <formula>$J158="Nein"</formula>
    </cfRule>
  </conditionalFormatting>
  <conditionalFormatting sqref="E157:F157">
    <cfRule type="expression" priority="60" aboveAverage="0" equalAverage="0" bottom="0" percent="0" rank="0" text="" dxfId="186">
      <formula>$J157="Ja"</formula>
    </cfRule>
    <cfRule type="expression" priority="61" aboveAverage="0" equalAverage="0" bottom="0" percent="0" rank="0" text="" dxfId="187">
      <formula>$J157="Nein"</formula>
    </cfRule>
  </conditionalFormatting>
  <conditionalFormatting sqref="E220:F220">
    <cfRule type="expression" priority="62" aboveAverage="0" equalAverage="0" bottom="0" percent="0" rank="0" text="" dxfId="188">
      <formula>$J220="Ja"</formula>
    </cfRule>
    <cfRule type="expression" priority="63" aboveAverage="0" equalAverage="0" bottom="0" percent="0" rank="0" text="" dxfId="189">
      <formula>$J220="Nein"</formula>
    </cfRule>
  </conditionalFormatting>
  <conditionalFormatting sqref="E221:F221">
    <cfRule type="expression" priority="64" aboveAverage="0" equalAverage="0" bottom="0" percent="0" rank="0" text="" dxfId="190">
      <formula>$J221="Ja"</formula>
    </cfRule>
    <cfRule type="expression" priority="65" aboveAverage="0" equalAverage="0" bottom="0" percent="0" rank="0" text="" dxfId="191">
      <formula>$J221="Nein"</formula>
    </cfRule>
  </conditionalFormatting>
  <conditionalFormatting sqref="E166:F167">
    <cfRule type="expression" priority="66" aboveAverage="0" equalAverage="0" bottom="0" percent="0" rank="0" text="" dxfId="192">
      <formula>$J166="Ja"</formula>
    </cfRule>
    <cfRule type="expression" priority="67" aboveAverage="0" equalAverage="0" bottom="0" percent="0" rank="0" text="" dxfId="193">
      <formula>$J166="Nein"</formula>
    </cfRule>
  </conditionalFormatting>
  <conditionalFormatting sqref="E165:F165">
    <cfRule type="expression" priority="68" aboveAverage="0" equalAverage="0" bottom="0" percent="0" rank="0" text="" dxfId="194">
      <formula>$J165="Ja"</formula>
    </cfRule>
    <cfRule type="expression" priority="69" aboveAverage="0" equalAverage="0" bottom="0" percent="0" rank="0" text="" dxfId="195">
      <formula>$J165="Nein"</formula>
    </cfRule>
  </conditionalFormatting>
  <conditionalFormatting sqref="D173:E173">
    <cfRule type="expression" priority="70" aboveAverage="0" equalAverage="0" bottom="0" percent="0" rank="0" text="" dxfId="196">
      <formula>$J173="Ja"</formula>
    </cfRule>
    <cfRule type="expression" priority="71" aboveAverage="0" equalAverage="0" bottom="0" percent="0" rank="0" text="" dxfId="197">
      <formula>$J173="Nein"</formula>
    </cfRule>
  </conditionalFormatting>
  <conditionalFormatting sqref="D174:E174">
    <cfRule type="expression" priority="72" aboveAverage="0" equalAverage="0" bottom="0" percent="0" rank="0" text="" dxfId="198">
      <formula>$J174="Ja"</formula>
    </cfRule>
    <cfRule type="expression" priority="73" aboveAverage="0" equalAverage="0" bottom="0" percent="0" rank="0" text="" dxfId="199">
      <formula>$J174="Nein"</formula>
    </cfRule>
  </conditionalFormatting>
  <conditionalFormatting sqref="D175:E175">
    <cfRule type="expression" priority="74" aboveAverage="0" equalAverage="0" bottom="0" percent="0" rank="0" text="" dxfId="200">
      <formula>$J175="Ja"</formula>
    </cfRule>
    <cfRule type="expression" priority="75" aboveAverage="0" equalAverage="0" bottom="0" percent="0" rank="0" text="" dxfId="201">
      <formula>$J175="Nein"</formula>
    </cfRule>
  </conditionalFormatting>
  <conditionalFormatting sqref="D185:E186">
    <cfRule type="expression" priority="76" aboveAverage="0" equalAverage="0" bottom="0" percent="0" rank="0" text="" dxfId="202">
      <formula>$J185="Ja"</formula>
    </cfRule>
    <cfRule type="expression" priority="77" aboveAverage="0" equalAverage="0" bottom="0" percent="0" rank="0" text="" dxfId="203">
      <formula>$J185="Nein"</formula>
    </cfRule>
  </conditionalFormatting>
  <conditionalFormatting sqref="E199:F200">
    <cfRule type="expression" priority="78" aboveAverage="0" equalAverage="0" bottom="0" percent="0" rank="0" text="" dxfId="204">
      <formula>$J199="Ja"</formula>
    </cfRule>
    <cfRule type="expression" priority="79" aboveAverage="0" equalAverage="0" bottom="0" percent="0" rank="0" text="" dxfId="205">
      <formula>$J199="Nein"</formula>
    </cfRule>
  </conditionalFormatting>
  <conditionalFormatting sqref="E206:F207">
    <cfRule type="expression" priority="80" aboveAverage="0" equalAverage="0" bottom="0" percent="0" rank="0" text="" dxfId="206">
      <formula>$J206="Ja"</formula>
    </cfRule>
    <cfRule type="expression" priority="81" aboveAverage="0" equalAverage="0" bottom="0" percent="0" rank="0" text="" dxfId="207">
      <formula>$J206="Nein"</formula>
    </cfRule>
  </conditionalFormatting>
  <conditionalFormatting sqref="E213:F214">
    <cfRule type="expression" priority="82" aboveAverage="0" equalAverage="0" bottom="0" percent="0" rank="0" text="" dxfId="208">
      <formula>$J213="Ja"</formula>
    </cfRule>
    <cfRule type="expression" priority="83" aboveAverage="0" equalAverage="0" bottom="0" percent="0" rank="0" text="" dxfId="209">
      <formula>$J213="Nein"</formula>
    </cfRule>
  </conditionalFormatting>
  <dataValidations count="1">
    <dataValidation allowBlank="true" operator="between" showDropDown="false" showErrorMessage="true" showInputMessage="true" sqref="J6:J18"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C44"/>
  <sheetViews>
    <sheetView showFormulas="false" showGridLines="false" showRowColHeaders="true" showZeros="true" rightToLeft="false" tabSelected="false" showOutlineSymbols="true" defaultGridColor="true" view="normal" topLeftCell="B1" colorId="64" zoomScale="70" zoomScaleNormal="70" zoomScalePageLayoutView="100" workbookViewId="0">
      <selection pane="topLeft" activeCell="I26" activeCellId="0" sqref="I26"/>
    </sheetView>
  </sheetViews>
  <sheetFormatPr defaultColWidth="10.6875" defaultRowHeight="20.15" zeroHeight="false" outlineLevelRow="0" outlineLevelCol="0"/>
  <cols>
    <col collapsed="false" customWidth="true" hidden="false" outlineLevel="0" max="1" min="1" style="0" width="6.72"/>
    <col collapsed="false" customWidth="true" hidden="false" outlineLevel="0" max="2" min="2" style="554" width="7.54"/>
    <col collapsed="false" customWidth="true" hidden="false" outlineLevel="0" max="3" min="3" style="0" width="18.82"/>
    <col collapsed="false" customWidth="true" hidden="false" outlineLevel="0" max="8" min="4" style="0" width="17.73"/>
    <col collapsed="false" customWidth="true" hidden="false" outlineLevel="0" max="10" min="9" style="0" width="13.72"/>
    <col collapsed="false" customWidth="true" hidden="false" outlineLevel="0" max="11" min="11" style="0" width="18.46"/>
    <col collapsed="false" customWidth="true" hidden="false" outlineLevel="0" max="17" min="12" style="0" width="13.72"/>
    <col collapsed="false" customWidth="true" hidden="false" outlineLevel="0" max="18" min="18" style="0" width="15.18"/>
    <col collapsed="false" customWidth="true" hidden="false" outlineLevel="0" max="24" min="19" style="0" width="13.72"/>
  </cols>
  <sheetData>
    <row r="1" customFormat="false" ht="20.15" hidden="false" customHeight="true" outlineLevel="0" collapsed="false">
      <c r="A1" s="555" t="s">
        <v>526</v>
      </c>
      <c r="B1" s="555"/>
      <c r="C1" s="555"/>
      <c r="D1" s="555"/>
      <c r="E1" s="555"/>
      <c r="F1" s="555"/>
      <c r="G1" s="555"/>
      <c r="H1" s="555"/>
      <c r="I1" s="555"/>
      <c r="J1" s="555"/>
      <c r="K1" s="555"/>
      <c r="L1" s="555"/>
      <c r="M1" s="555"/>
      <c r="N1" s="555"/>
      <c r="O1" s="555"/>
      <c r="P1" s="555"/>
      <c r="Q1" s="555"/>
      <c r="R1" s="555"/>
      <c r="S1" s="555"/>
      <c r="T1" s="555"/>
      <c r="U1" s="555"/>
      <c r="V1" s="555"/>
      <c r="W1" s="555"/>
      <c r="X1" s="555"/>
      <c r="Y1" s="555"/>
      <c r="Z1" s="556"/>
      <c r="AA1" s="556"/>
      <c r="AB1" s="556"/>
      <c r="AC1" s="556"/>
    </row>
    <row r="2" customFormat="false" ht="20.15" hidden="false" customHeight="true" outlineLevel="0" collapsed="false">
      <c r="A2" s="555"/>
      <c r="B2" s="555"/>
      <c r="C2" s="555"/>
      <c r="D2" s="555"/>
      <c r="E2" s="555"/>
      <c r="F2" s="555"/>
      <c r="G2" s="555"/>
      <c r="H2" s="555"/>
      <c r="I2" s="555"/>
      <c r="J2" s="555"/>
      <c r="K2" s="555"/>
      <c r="L2" s="555"/>
      <c r="M2" s="555"/>
      <c r="N2" s="555"/>
      <c r="O2" s="555"/>
      <c r="P2" s="555"/>
      <c r="Q2" s="555"/>
      <c r="R2" s="555"/>
      <c r="S2" s="555"/>
      <c r="T2" s="555"/>
      <c r="U2" s="555"/>
      <c r="V2" s="555"/>
      <c r="W2" s="555"/>
      <c r="X2" s="555"/>
      <c r="Y2" s="555"/>
      <c r="Z2" s="556"/>
      <c r="AA2" s="556"/>
      <c r="AB2" s="556"/>
      <c r="AC2" s="556"/>
    </row>
    <row r="3" s="559" customFormat="true" ht="35.15" hidden="false" customHeight="true" outlineLevel="0" collapsed="false">
      <c r="A3" s="557" t="s">
        <v>527</v>
      </c>
      <c r="B3" s="557"/>
      <c r="C3" s="557"/>
      <c r="D3" s="557"/>
      <c r="E3" s="557"/>
      <c r="F3" s="557"/>
      <c r="G3" s="557"/>
      <c r="H3" s="557"/>
      <c r="I3" s="557"/>
      <c r="J3" s="557"/>
      <c r="K3" s="557"/>
      <c r="L3" s="557"/>
      <c r="M3" s="557"/>
      <c r="N3" s="557"/>
      <c r="O3" s="557"/>
      <c r="P3" s="557"/>
      <c r="Q3" s="557"/>
      <c r="R3" s="557"/>
      <c r="S3" s="557"/>
      <c r="T3" s="557"/>
      <c r="U3" s="557"/>
      <c r="V3" s="557"/>
      <c r="W3" s="557"/>
      <c r="X3" s="557"/>
      <c r="Y3" s="557"/>
      <c r="Z3" s="558"/>
      <c r="AA3" s="558"/>
      <c r="AB3" s="558"/>
      <c r="AC3" s="558"/>
    </row>
    <row r="4" customFormat="false" ht="20.15" hidden="false" customHeight="true" outlineLevel="0" collapsed="false">
      <c r="A4" s="556"/>
      <c r="B4" s="560"/>
      <c r="C4" s="556"/>
      <c r="D4" s="556"/>
      <c r="E4" s="556"/>
      <c r="F4" s="556"/>
      <c r="G4" s="556"/>
      <c r="H4" s="556"/>
      <c r="I4" s="556"/>
      <c r="J4" s="556"/>
      <c r="K4" s="556"/>
      <c r="L4" s="556"/>
      <c r="M4" s="556"/>
      <c r="N4" s="556"/>
      <c r="O4" s="556"/>
      <c r="P4" s="556"/>
      <c r="Q4" s="556"/>
      <c r="R4" s="556"/>
      <c r="S4" s="556"/>
      <c r="T4" s="556"/>
      <c r="U4" s="556"/>
      <c r="V4" s="556"/>
      <c r="W4" s="556"/>
      <c r="X4" s="556"/>
      <c r="Y4" s="556"/>
      <c r="Z4" s="556"/>
      <c r="AA4" s="556"/>
      <c r="AB4" s="556"/>
      <c r="AC4" s="556"/>
    </row>
    <row r="5" s="569" customFormat="true" ht="35.15" hidden="false" customHeight="true" outlineLevel="0" collapsed="false">
      <c r="A5" s="561"/>
      <c r="B5" s="562" t="s">
        <v>528</v>
      </c>
      <c r="C5" s="563" t="s">
        <v>4</v>
      </c>
      <c r="D5" s="564" t="s">
        <v>529</v>
      </c>
      <c r="E5" s="564" t="s">
        <v>530</v>
      </c>
      <c r="F5" s="564" t="s">
        <v>531</v>
      </c>
      <c r="G5" s="564" t="s">
        <v>8</v>
      </c>
      <c r="H5" s="565" t="s">
        <v>9</v>
      </c>
      <c r="I5" s="566" t="s">
        <v>532</v>
      </c>
      <c r="J5" s="567" t="s">
        <v>533</v>
      </c>
      <c r="K5" s="567" t="s">
        <v>534</v>
      </c>
      <c r="L5" s="568" t="s">
        <v>535</v>
      </c>
      <c r="M5" s="563" t="s">
        <v>536</v>
      </c>
      <c r="N5" s="567" t="s">
        <v>537</v>
      </c>
      <c r="O5" s="567" t="s">
        <v>538</v>
      </c>
      <c r="P5" s="568" t="s">
        <v>539</v>
      </c>
      <c r="Q5" s="563" t="s">
        <v>540</v>
      </c>
      <c r="R5" s="567" t="s">
        <v>541</v>
      </c>
      <c r="S5" s="567" t="s">
        <v>542</v>
      </c>
      <c r="T5" s="568" t="s">
        <v>543</v>
      </c>
      <c r="U5" s="563" t="s">
        <v>544</v>
      </c>
      <c r="V5" s="567" t="s">
        <v>545</v>
      </c>
      <c r="W5" s="567" t="s">
        <v>546</v>
      </c>
      <c r="X5" s="568" t="s">
        <v>547</v>
      </c>
      <c r="Y5" s="561"/>
      <c r="Z5" s="561"/>
      <c r="AA5" s="561"/>
      <c r="AB5" s="561"/>
      <c r="AC5" s="561"/>
    </row>
    <row r="6" s="581" customFormat="true" ht="35.15" hidden="false" customHeight="true" outlineLevel="0" collapsed="false">
      <c r="A6" s="570"/>
      <c r="B6" s="571" t="n">
        <v>1</v>
      </c>
      <c r="C6" s="572" t="s">
        <v>13</v>
      </c>
      <c r="D6" s="573" t="s">
        <v>14</v>
      </c>
      <c r="E6" s="573" t="s">
        <v>14</v>
      </c>
      <c r="F6" s="573" t="s">
        <v>14</v>
      </c>
      <c r="G6" s="573" t="s">
        <v>14</v>
      </c>
      <c r="H6" s="574" t="s">
        <v>14</v>
      </c>
      <c r="I6" s="575" t="s">
        <v>548</v>
      </c>
      <c r="J6" s="576" t="s">
        <v>549</v>
      </c>
      <c r="K6" s="576" t="s">
        <v>550</v>
      </c>
      <c r="L6" s="577" t="s">
        <v>551</v>
      </c>
      <c r="M6" s="575" t="s">
        <v>552</v>
      </c>
      <c r="N6" s="573" t="s">
        <v>66</v>
      </c>
      <c r="O6" s="573" t="s">
        <v>66</v>
      </c>
      <c r="P6" s="578" t="s">
        <v>66</v>
      </c>
      <c r="Q6" s="579" t="s">
        <v>66</v>
      </c>
      <c r="R6" s="573" t="s">
        <v>66</v>
      </c>
      <c r="S6" s="573" t="s">
        <v>66</v>
      </c>
      <c r="T6" s="574" t="s">
        <v>66</v>
      </c>
      <c r="U6" s="580" t="s">
        <v>66</v>
      </c>
      <c r="V6" s="573" t="s">
        <v>66</v>
      </c>
      <c r="W6" s="573" t="s">
        <v>66</v>
      </c>
      <c r="X6" s="578" t="s">
        <v>66</v>
      </c>
      <c r="Y6" s="570"/>
      <c r="Z6" s="570"/>
      <c r="AA6" s="570"/>
      <c r="AB6" s="570"/>
      <c r="AC6" s="570"/>
    </row>
    <row r="7" s="581" customFormat="true" ht="35.15" hidden="false" customHeight="true" outlineLevel="0" collapsed="false">
      <c r="A7" s="570"/>
      <c r="B7" s="582" t="n">
        <v>2</v>
      </c>
      <c r="C7" s="583" t="s">
        <v>489</v>
      </c>
      <c r="D7" s="584" t="s">
        <v>28</v>
      </c>
      <c r="E7" s="584" t="s">
        <v>29</v>
      </c>
      <c r="F7" s="584" t="s">
        <v>28</v>
      </c>
      <c r="G7" s="584" t="s">
        <v>28</v>
      </c>
      <c r="H7" s="585" t="s">
        <v>18</v>
      </c>
      <c r="I7" s="586" t="s">
        <v>553</v>
      </c>
      <c r="J7" s="587" t="s">
        <v>554</v>
      </c>
      <c r="K7" s="587" t="s">
        <v>555</v>
      </c>
      <c r="L7" s="588" t="s">
        <v>66</v>
      </c>
      <c r="M7" s="586" t="s">
        <v>556</v>
      </c>
      <c r="N7" s="587" t="s">
        <v>557</v>
      </c>
      <c r="O7" s="587" t="s">
        <v>558</v>
      </c>
      <c r="P7" s="589" t="s">
        <v>66</v>
      </c>
      <c r="Q7" s="590" t="s">
        <v>66</v>
      </c>
      <c r="R7" s="584" t="s">
        <v>66</v>
      </c>
      <c r="S7" s="584" t="s">
        <v>66</v>
      </c>
      <c r="T7" s="585" t="s">
        <v>66</v>
      </c>
      <c r="U7" s="591" t="s">
        <v>66</v>
      </c>
      <c r="V7" s="584" t="s">
        <v>66</v>
      </c>
      <c r="W7" s="584" t="s">
        <v>66</v>
      </c>
      <c r="X7" s="589" t="s">
        <v>66</v>
      </c>
      <c r="Y7" s="570"/>
      <c r="Z7" s="570"/>
      <c r="AA7" s="570"/>
      <c r="AB7" s="570"/>
      <c r="AC7" s="570"/>
    </row>
    <row r="8" s="581" customFormat="true" ht="35.15" hidden="false" customHeight="true" outlineLevel="0" collapsed="false">
      <c r="A8" s="570"/>
      <c r="B8" s="592" t="n">
        <v>3</v>
      </c>
      <c r="C8" s="593" t="s">
        <v>49</v>
      </c>
      <c r="D8" s="594" t="s">
        <v>50</v>
      </c>
      <c r="E8" s="594" t="s">
        <v>50</v>
      </c>
      <c r="F8" s="594" t="s">
        <v>18</v>
      </c>
      <c r="G8" s="594" t="s">
        <v>50</v>
      </c>
      <c r="H8" s="595" t="s">
        <v>18</v>
      </c>
      <c r="I8" s="596" t="s">
        <v>559</v>
      </c>
      <c r="J8" s="597" t="s">
        <v>560</v>
      </c>
      <c r="K8" s="594" t="s">
        <v>66</v>
      </c>
      <c r="L8" s="598" t="s">
        <v>66</v>
      </c>
      <c r="M8" s="596" t="s">
        <v>561</v>
      </c>
      <c r="N8" s="597" t="s">
        <v>66</v>
      </c>
      <c r="O8" s="597" t="s">
        <v>66</v>
      </c>
      <c r="P8" s="599" t="s">
        <v>556</v>
      </c>
      <c r="Q8" s="600" t="s">
        <v>552</v>
      </c>
      <c r="R8" s="597" t="s">
        <v>66</v>
      </c>
      <c r="S8" s="597" t="s">
        <v>66</v>
      </c>
      <c r="T8" s="595" t="s">
        <v>66</v>
      </c>
      <c r="U8" s="596" t="s">
        <v>562</v>
      </c>
      <c r="V8" s="597" t="s">
        <v>66</v>
      </c>
      <c r="W8" s="597" t="s">
        <v>66</v>
      </c>
      <c r="X8" s="601" t="s">
        <v>66</v>
      </c>
      <c r="Y8" s="570"/>
      <c r="Z8" s="570"/>
      <c r="AA8" s="570"/>
      <c r="AB8" s="570"/>
      <c r="AC8" s="570"/>
    </row>
    <row r="9" s="581" customFormat="true" ht="35.15" hidden="false" customHeight="true" outlineLevel="0" collapsed="false">
      <c r="A9" s="570"/>
      <c r="B9" s="602" t="n">
        <v>4</v>
      </c>
      <c r="C9" s="603" t="s">
        <v>19</v>
      </c>
      <c r="D9" s="604" t="s">
        <v>20</v>
      </c>
      <c r="E9" s="604" t="s">
        <v>20</v>
      </c>
      <c r="F9" s="604" t="s">
        <v>20</v>
      </c>
      <c r="G9" s="604" t="s">
        <v>20</v>
      </c>
      <c r="H9" s="285" t="s">
        <v>18</v>
      </c>
      <c r="I9" s="538" t="s">
        <v>563</v>
      </c>
      <c r="J9" s="605" t="s">
        <v>66</v>
      </c>
      <c r="K9" s="605" t="s">
        <v>564</v>
      </c>
      <c r="L9" s="606" t="s">
        <v>565</v>
      </c>
      <c r="M9" s="538" t="s">
        <v>560</v>
      </c>
      <c r="N9" s="605" t="s">
        <v>566</v>
      </c>
      <c r="O9" s="605" t="s">
        <v>567</v>
      </c>
      <c r="P9" s="346" t="s">
        <v>66</v>
      </c>
      <c r="Q9" s="607" t="s">
        <v>568</v>
      </c>
      <c r="R9" s="604" t="s">
        <v>66</v>
      </c>
      <c r="S9" s="604" t="s">
        <v>66</v>
      </c>
      <c r="T9" s="285" t="s">
        <v>66</v>
      </c>
      <c r="U9" s="608" t="s">
        <v>66</v>
      </c>
      <c r="V9" s="604" t="s">
        <v>66</v>
      </c>
      <c r="W9" s="604" t="s">
        <v>66</v>
      </c>
      <c r="X9" s="346" t="s">
        <v>66</v>
      </c>
      <c r="Y9" s="570"/>
      <c r="Z9" s="570"/>
      <c r="AA9" s="570"/>
      <c r="AB9" s="570"/>
      <c r="AC9" s="570"/>
    </row>
    <row r="10" s="581" customFormat="true" ht="35.15" hidden="false" customHeight="true" outlineLevel="0" collapsed="false">
      <c r="A10" s="570"/>
      <c r="B10" s="609" t="n">
        <v>5</v>
      </c>
      <c r="C10" s="603" t="s">
        <v>16</v>
      </c>
      <c r="D10" s="604" t="s">
        <v>17</v>
      </c>
      <c r="E10" s="604" t="s">
        <v>17</v>
      </c>
      <c r="F10" s="604" t="s">
        <v>17</v>
      </c>
      <c r="G10" s="604" t="s">
        <v>17</v>
      </c>
      <c r="H10" s="285" t="s">
        <v>18</v>
      </c>
      <c r="I10" s="538" t="s">
        <v>564</v>
      </c>
      <c r="J10" s="605" t="s">
        <v>569</v>
      </c>
      <c r="K10" s="605" t="s">
        <v>557</v>
      </c>
      <c r="L10" s="606" t="s">
        <v>570</v>
      </c>
      <c r="M10" s="538" t="s">
        <v>571</v>
      </c>
      <c r="N10" s="605" t="s">
        <v>572</v>
      </c>
      <c r="O10" s="605" t="s">
        <v>566</v>
      </c>
      <c r="P10" s="610" t="s">
        <v>568</v>
      </c>
      <c r="Q10" s="607" t="s">
        <v>573</v>
      </c>
      <c r="R10" s="604" t="s">
        <v>66</v>
      </c>
      <c r="S10" s="604" t="s">
        <v>66</v>
      </c>
      <c r="T10" s="285" t="s">
        <v>66</v>
      </c>
      <c r="U10" s="538" t="s">
        <v>66</v>
      </c>
      <c r="V10" s="604" t="s">
        <v>66</v>
      </c>
      <c r="W10" s="604" t="s">
        <v>66</v>
      </c>
      <c r="X10" s="346" t="s">
        <v>66</v>
      </c>
      <c r="Y10" s="570"/>
      <c r="Z10" s="570"/>
      <c r="AA10" s="570"/>
      <c r="AB10" s="570"/>
      <c r="AC10" s="570"/>
    </row>
    <row r="11" s="581" customFormat="true" ht="35.15" hidden="false" customHeight="true" outlineLevel="0" collapsed="false">
      <c r="A11" s="570"/>
      <c r="B11" s="609" t="n">
        <v>6</v>
      </c>
      <c r="C11" s="603" t="s">
        <v>23</v>
      </c>
      <c r="D11" s="604" t="s">
        <v>24</v>
      </c>
      <c r="E11" s="604" t="s">
        <v>24</v>
      </c>
      <c r="F11" s="604" t="s">
        <v>18</v>
      </c>
      <c r="G11" s="604" t="s">
        <v>24</v>
      </c>
      <c r="H11" s="285" t="s">
        <v>18</v>
      </c>
      <c r="I11" s="538" t="s">
        <v>573</v>
      </c>
      <c r="J11" s="605" t="s">
        <v>66</v>
      </c>
      <c r="K11" s="605" t="s">
        <v>66</v>
      </c>
      <c r="L11" s="606" t="s">
        <v>564</v>
      </c>
      <c r="M11" s="538" t="s">
        <v>574</v>
      </c>
      <c r="N11" s="605" t="s">
        <v>575</v>
      </c>
      <c r="O11" s="605" t="s">
        <v>557</v>
      </c>
      <c r="P11" s="610" t="s">
        <v>66</v>
      </c>
      <c r="Q11" s="607" t="s">
        <v>66</v>
      </c>
      <c r="R11" s="604" t="s">
        <v>66</v>
      </c>
      <c r="S11" s="604" t="s">
        <v>66</v>
      </c>
      <c r="T11" s="285" t="s">
        <v>66</v>
      </c>
      <c r="U11" s="538" t="s">
        <v>66</v>
      </c>
      <c r="V11" s="604" t="s">
        <v>66</v>
      </c>
      <c r="W11" s="604" t="s">
        <v>66</v>
      </c>
      <c r="X11" s="346" t="s">
        <v>66</v>
      </c>
      <c r="Y11" s="570"/>
      <c r="Z11" s="570"/>
      <c r="AA11" s="570"/>
      <c r="AB11" s="570"/>
      <c r="AC11" s="570"/>
    </row>
    <row r="12" s="581" customFormat="true" ht="35.15" hidden="false" customHeight="true" outlineLevel="0" collapsed="false">
      <c r="A12" s="570"/>
      <c r="B12" s="609" t="n">
        <v>7</v>
      </c>
      <c r="C12" s="603" t="s">
        <v>25</v>
      </c>
      <c r="D12" s="604" t="s">
        <v>26</v>
      </c>
      <c r="E12" s="604" t="s">
        <v>26</v>
      </c>
      <c r="F12" s="604" t="s">
        <v>26</v>
      </c>
      <c r="G12" s="604" t="s">
        <v>26</v>
      </c>
      <c r="H12" s="285" t="s">
        <v>18</v>
      </c>
      <c r="I12" s="538" t="s">
        <v>66</v>
      </c>
      <c r="J12" s="605" t="s">
        <v>564</v>
      </c>
      <c r="K12" s="605" t="s">
        <v>576</v>
      </c>
      <c r="L12" s="606" t="s">
        <v>577</v>
      </c>
      <c r="M12" s="538" t="s">
        <v>557</v>
      </c>
      <c r="N12" s="605" t="s">
        <v>568</v>
      </c>
      <c r="O12" s="605" t="s">
        <v>578</v>
      </c>
      <c r="P12" s="346" t="s">
        <v>66</v>
      </c>
      <c r="Q12" s="607" t="s">
        <v>66</v>
      </c>
      <c r="R12" s="604" t="s">
        <v>66</v>
      </c>
      <c r="S12" s="605" t="s">
        <v>66</v>
      </c>
      <c r="T12" s="285" t="s">
        <v>66</v>
      </c>
      <c r="U12" s="538" t="s">
        <v>66</v>
      </c>
      <c r="V12" s="604" t="s">
        <v>66</v>
      </c>
      <c r="W12" s="605" t="s">
        <v>66</v>
      </c>
      <c r="X12" s="346" t="s">
        <v>66</v>
      </c>
      <c r="Y12" s="570"/>
      <c r="Z12" s="570"/>
      <c r="AA12" s="570"/>
      <c r="AB12" s="570"/>
      <c r="AC12" s="570"/>
    </row>
    <row r="13" s="581" customFormat="true" ht="35.15" hidden="false" customHeight="true" outlineLevel="0" collapsed="false">
      <c r="A13" s="570"/>
      <c r="B13" s="609" t="n">
        <v>8</v>
      </c>
      <c r="C13" s="611" t="s">
        <v>30</v>
      </c>
      <c r="D13" s="141" t="s">
        <v>31</v>
      </c>
      <c r="E13" s="141" t="s">
        <v>32</v>
      </c>
      <c r="F13" s="141" t="s">
        <v>31</v>
      </c>
      <c r="G13" s="604" t="s">
        <v>32</v>
      </c>
      <c r="H13" s="97" t="s">
        <v>18</v>
      </c>
      <c r="I13" s="145" t="s">
        <v>66</v>
      </c>
      <c r="J13" s="181" t="s">
        <v>566</v>
      </c>
      <c r="K13" s="141" t="s">
        <v>66</v>
      </c>
      <c r="L13" s="612" t="s">
        <v>579</v>
      </c>
      <c r="M13" s="489" t="s">
        <v>66</v>
      </c>
      <c r="N13" s="181" t="s">
        <v>580</v>
      </c>
      <c r="O13" s="181" t="s">
        <v>560</v>
      </c>
      <c r="P13" s="613" t="s">
        <v>557</v>
      </c>
      <c r="Q13" s="614" t="s">
        <v>562</v>
      </c>
      <c r="R13" s="181" t="s">
        <v>568</v>
      </c>
      <c r="S13" s="141" t="s">
        <v>66</v>
      </c>
      <c r="T13" s="612" t="s">
        <v>66</v>
      </c>
      <c r="U13" s="489" t="s">
        <v>66</v>
      </c>
      <c r="V13" s="181" t="s">
        <v>66</v>
      </c>
      <c r="W13" s="141" t="s">
        <v>66</v>
      </c>
      <c r="X13" s="613" t="s">
        <v>66</v>
      </c>
      <c r="Y13" s="570"/>
      <c r="Z13" s="570"/>
      <c r="AA13" s="570"/>
      <c r="AB13" s="570"/>
      <c r="AC13" s="570"/>
    </row>
    <row r="14" s="581" customFormat="true" ht="35.15" hidden="false" customHeight="true" outlineLevel="0" collapsed="false">
      <c r="A14" s="570"/>
      <c r="B14" s="609" t="n">
        <v>9</v>
      </c>
      <c r="C14" s="611" t="s">
        <v>39</v>
      </c>
      <c r="D14" s="141" t="s">
        <v>40</v>
      </c>
      <c r="E14" s="141" t="s">
        <v>40</v>
      </c>
      <c r="F14" s="141" t="s">
        <v>40</v>
      </c>
      <c r="G14" s="604" t="s">
        <v>18</v>
      </c>
      <c r="H14" s="97" t="s">
        <v>18</v>
      </c>
      <c r="I14" s="145" t="s">
        <v>66</v>
      </c>
      <c r="J14" s="141" t="s">
        <v>66</v>
      </c>
      <c r="K14" s="181" t="s">
        <v>570</v>
      </c>
      <c r="L14" s="612" t="s">
        <v>581</v>
      </c>
      <c r="M14" s="489" t="s">
        <v>582</v>
      </c>
      <c r="N14" s="181" t="s">
        <v>562</v>
      </c>
      <c r="O14" s="181" t="s">
        <v>66</v>
      </c>
      <c r="P14" s="613" t="s">
        <v>583</v>
      </c>
      <c r="Q14" s="614" t="s">
        <v>556</v>
      </c>
      <c r="R14" s="181" t="s">
        <v>584</v>
      </c>
      <c r="S14" s="181" t="s">
        <v>571</v>
      </c>
      <c r="T14" s="97" t="s">
        <v>66</v>
      </c>
      <c r="U14" s="489" t="s">
        <v>66</v>
      </c>
      <c r="V14" s="181" t="s">
        <v>66</v>
      </c>
      <c r="W14" s="181" t="s">
        <v>66</v>
      </c>
      <c r="X14" s="32" t="s">
        <v>66</v>
      </c>
      <c r="Y14" s="570"/>
      <c r="Z14" s="570"/>
      <c r="AA14" s="570"/>
      <c r="AB14" s="570"/>
      <c r="AC14" s="570"/>
    </row>
    <row r="15" s="581" customFormat="true" ht="35.15" hidden="false" customHeight="true" outlineLevel="0" collapsed="false">
      <c r="A15" s="570"/>
      <c r="B15" s="609" t="n">
        <v>10</v>
      </c>
      <c r="C15" s="611" t="s">
        <v>325</v>
      </c>
      <c r="D15" s="141" t="s">
        <v>22</v>
      </c>
      <c r="E15" s="141" t="s">
        <v>22</v>
      </c>
      <c r="F15" s="141" t="s">
        <v>18</v>
      </c>
      <c r="G15" s="604" t="s">
        <v>22</v>
      </c>
      <c r="H15" s="97" t="s">
        <v>18</v>
      </c>
      <c r="I15" s="145" t="s">
        <v>66</v>
      </c>
      <c r="J15" s="141" t="s">
        <v>66</v>
      </c>
      <c r="K15" s="141" t="s">
        <v>66</v>
      </c>
      <c r="L15" s="612" t="s">
        <v>557</v>
      </c>
      <c r="M15" s="489" t="s">
        <v>66</v>
      </c>
      <c r="N15" s="181" t="s">
        <v>585</v>
      </c>
      <c r="O15" s="181" t="s">
        <v>556</v>
      </c>
      <c r="P15" s="613" t="s">
        <v>586</v>
      </c>
      <c r="Q15" s="614" t="s">
        <v>560</v>
      </c>
      <c r="R15" s="181" t="s">
        <v>587</v>
      </c>
      <c r="S15" s="181" t="s">
        <v>568</v>
      </c>
      <c r="T15" s="612" t="s">
        <v>66</v>
      </c>
      <c r="U15" s="145" t="s">
        <v>66</v>
      </c>
      <c r="V15" s="181" t="s">
        <v>66</v>
      </c>
      <c r="W15" s="141" t="s">
        <v>66</v>
      </c>
      <c r="X15" s="613" t="s">
        <v>66</v>
      </c>
      <c r="Y15" s="570"/>
      <c r="Z15" s="570"/>
      <c r="AA15" s="570"/>
      <c r="AB15" s="570"/>
      <c r="AC15" s="570"/>
    </row>
    <row r="16" s="581" customFormat="true" ht="35.15" hidden="false" customHeight="true" outlineLevel="0" collapsed="false">
      <c r="A16" s="570"/>
      <c r="B16" s="609" t="n">
        <v>11</v>
      </c>
      <c r="C16" s="611" t="s">
        <v>33</v>
      </c>
      <c r="D16" s="141" t="s">
        <v>34</v>
      </c>
      <c r="E16" s="141" t="s">
        <v>34</v>
      </c>
      <c r="F16" s="141" t="s">
        <v>34</v>
      </c>
      <c r="G16" s="604" t="s">
        <v>18</v>
      </c>
      <c r="H16" s="97" t="s">
        <v>18</v>
      </c>
      <c r="I16" s="145" t="s">
        <v>66</v>
      </c>
      <c r="J16" s="141" t="s">
        <v>66</v>
      </c>
      <c r="K16" s="141" t="s">
        <v>66</v>
      </c>
      <c r="L16" s="612" t="s">
        <v>66</v>
      </c>
      <c r="M16" s="145" t="s">
        <v>66</v>
      </c>
      <c r="N16" s="181" t="s">
        <v>66</v>
      </c>
      <c r="O16" s="181" t="s">
        <v>550</v>
      </c>
      <c r="P16" s="613" t="s">
        <v>588</v>
      </c>
      <c r="Q16" s="614" t="s">
        <v>571</v>
      </c>
      <c r="R16" s="181" t="s">
        <v>556</v>
      </c>
      <c r="S16" s="181" t="s">
        <v>589</v>
      </c>
      <c r="T16" s="612" t="s">
        <v>564</v>
      </c>
      <c r="U16" s="145" t="s">
        <v>66</v>
      </c>
      <c r="V16" s="181" t="s">
        <v>66</v>
      </c>
      <c r="W16" s="181" t="s">
        <v>66</v>
      </c>
      <c r="X16" s="32" t="s">
        <v>66</v>
      </c>
      <c r="Y16" s="570"/>
      <c r="Z16" s="570"/>
      <c r="AA16" s="570"/>
      <c r="AB16" s="570"/>
      <c r="AC16" s="570"/>
    </row>
    <row r="17" s="581" customFormat="true" ht="35.15" hidden="false" customHeight="true" outlineLevel="0" collapsed="false">
      <c r="A17" s="570"/>
      <c r="B17" s="609" t="n">
        <v>12</v>
      </c>
      <c r="C17" s="615" t="s">
        <v>360</v>
      </c>
      <c r="D17" s="141" t="s">
        <v>361</v>
      </c>
      <c r="E17" s="141" t="s">
        <v>361</v>
      </c>
      <c r="F17" s="141" t="s">
        <v>361</v>
      </c>
      <c r="G17" s="604" t="s">
        <v>18</v>
      </c>
      <c r="H17" s="97" t="s">
        <v>18</v>
      </c>
      <c r="I17" s="145" t="s">
        <v>66</v>
      </c>
      <c r="J17" s="141" t="s">
        <v>66</v>
      </c>
      <c r="K17" s="141" t="s">
        <v>66</v>
      </c>
      <c r="L17" s="97" t="s">
        <v>66</v>
      </c>
      <c r="M17" s="489" t="s">
        <v>66</v>
      </c>
      <c r="N17" s="141" t="s">
        <v>66</v>
      </c>
      <c r="O17" s="141" t="s">
        <v>66</v>
      </c>
      <c r="P17" s="613" t="s">
        <v>560</v>
      </c>
      <c r="Q17" s="614" t="s">
        <v>579</v>
      </c>
      <c r="R17" s="181" t="s">
        <v>66</v>
      </c>
      <c r="S17" s="181" t="s">
        <v>566</v>
      </c>
      <c r="T17" s="612" t="s">
        <v>66</v>
      </c>
      <c r="U17" s="145" t="s">
        <v>66</v>
      </c>
      <c r="V17" s="181" t="s">
        <v>66</v>
      </c>
      <c r="W17" s="141" t="s">
        <v>66</v>
      </c>
      <c r="X17" s="613" t="s">
        <v>66</v>
      </c>
      <c r="Y17" s="570"/>
      <c r="Z17" s="570"/>
      <c r="AA17" s="570"/>
      <c r="AB17" s="570"/>
      <c r="AC17" s="570"/>
    </row>
    <row r="18" s="581" customFormat="true" ht="35.15" hidden="false" customHeight="true" outlineLevel="0" collapsed="false">
      <c r="A18" s="570"/>
      <c r="B18" s="609" t="n">
        <v>13</v>
      </c>
      <c r="C18" s="611" t="s">
        <v>35</v>
      </c>
      <c r="D18" s="141" t="s">
        <v>36</v>
      </c>
      <c r="E18" s="141" t="s">
        <v>37</v>
      </c>
      <c r="F18" s="141" t="s">
        <v>37</v>
      </c>
      <c r="G18" s="604" t="s">
        <v>18</v>
      </c>
      <c r="H18" s="97" t="s">
        <v>18</v>
      </c>
      <c r="I18" s="145" t="s">
        <v>66</v>
      </c>
      <c r="J18" s="141" t="s">
        <v>66</v>
      </c>
      <c r="K18" s="141" t="s">
        <v>66</v>
      </c>
      <c r="L18" s="612" t="s">
        <v>66</v>
      </c>
      <c r="M18" s="489" t="s">
        <v>66</v>
      </c>
      <c r="N18" s="181" t="s">
        <v>66</v>
      </c>
      <c r="O18" s="181" t="s">
        <v>66</v>
      </c>
      <c r="P18" s="613" t="s">
        <v>66</v>
      </c>
      <c r="Q18" s="614" t="s">
        <v>557</v>
      </c>
      <c r="R18" s="181" t="s">
        <v>66</v>
      </c>
      <c r="S18" s="181" t="s">
        <v>66</v>
      </c>
      <c r="T18" s="97" t="s">
        <v>66</v>
      </c>
      <c r="U18" s="489" t="s">
        <v>66</v>
      </c>
      <c r="V18" s="181" t="s">
        <v>66</v>
      </c>
      <c r="W18" s="181" t="s">
        <v>66</v>
      </c>
      <c r="X18" s="32" t="s">
        <v>66</v>
      </c>
      <c r="Y18" s="570"/>
      <c r="Z18" s="570"/>
      <c r="AA18" s="570"/>
      <c r="AB18" s="570"/>
      <c r="AC18" s="570"/>
    </row>
    <row r="19" s="581" customFormat="true" ht="35.15" hidden="false" customHeight="true" outlineLevel="0" collapsed="false">
      <c r="A19" s="570"/>
      <c r="B19" s="616" t="n">
        <v>14</v>
      </c>
      <c r="C19" s="615" t="s">
        <v>41</v>
      </c>
      <c r="D19" s="141" t="s">
        <v>42</v>
      </c>
      <c r="E19" s="141" t="s">
        <v>42</v>
      </c>
      <c r="F19" s="141" t="s">
        <v>18</v>
      </c>
      <c r="G19" s="604" t="s">
        <v>18</v>
      </c>
      <c r="H19" s="97" t="s">
        <v>18</v>
      </c>
      <c r="I19" s="145" t="s">
        <v>66</v>
      </c>
      <c r="J19" s="141" t="s">
        <v>66</v>
      </c>
      <c r="K19" s="141" t="s">
        <v>66</v>
      </c>
      <c r="L19" s="97" t="s">
        <v>66</v>
      </c>
      <c r="M19" s="489" t="s">
        <v>66</v>
      </c>
      <c r="N19" s="141" t="s">
        <v>66</v>
      </c>
      <c r="O19" s="141" t="s">
        <v>66</v>
      </c>
      <c r="P19" s="32" t="s">
        <v>66</v>
      </c>
      <c r="Q19" s="144" t="s">
        <v>66</v>
      </c>
      <c r="R19" s="181" t="s">
        <v>562</v>
      </c>
      <c r="S19" s="181" t="s">
        <v>590</v>
      </c>
      <c r="T19" s="612" t="s">
        <v>557</v>
      </c>
      <c r="U19" s="145" t="s">
        <v>66</v>
      </c>
      <c r="V19" s="181" t="s">
        <v>66</v>
      </c>
      <c r="W19" s="141" t="s">
        <v>66</v>
      </c>
      <c r="X19" s="613" t="s">
        <v>66</v>
      </c>
      <c r="Y19" s="570"/>
      <c r="Z19" s="570"/>
      <c r="AA19" s="570"/>
      <c r="AB19" s="570"/>
      <c r="AC19" s="570"/>
    </row>
    <row r="20" s="581" customFormat="true" ht="35.15" hidden="false" customHeight="true" outlineLevel="0" collapsed="false">
      <c r="A20" s="570"/>
      <c r="B20" s="616" t="n">
        <v>15</v>
      </c>
      <c r="C20" s="615" t="s">
        <v>454</v>
      </c>
      <c r="D20" s="141" t="s">
        <v>18</v>
      </c>
      <c r="E20" s="141" t="s">
        <v>455</v>
      </c>
      <c r="F20" s="141" t="s">
        <v>18</v>
      </c>
      <c r="G20" s="604" t="s">
        <v>18</v>
      </c>
      <c r="H20" s="97" t="s">
        <v>18</v>
      </c>
      <c r="I20" s="145" t="s">
        <v>66</v>
      </c>
      <c r="J20" s="141" t="s">
        <v>66</v>
      </c>
      <c r="K20" s="141" t="s">
        <v>66</v>
      </c>
      <c r="L20" s="97" t="s">
        <v>66</v>
      </c>
      <c r="M20" s="489" t="s">
        <v>66</v>
      </c>
      <c r="N20" s="141" t="s">
        <v>66</v>
      </c>
      <c r="O20" s="141" t="s">
        <v>66</v>
      </c>
      <c r="P20" s="32" t="s">
        <v>66</v>
      </c>
      <c r="Q20" s="144" t="s">
        <v>66</v>
      </c>
      <c r="R20" s="181" t="s">
        <v>571</v>
      </c>
      <c r="S20" s="181" t="s">
        <v>66</v>
      </c>
      <c r="T20" s="612" t="s">
        <v>66</v>
      </c>
      <c r="U20" s="145" t="s">
        <v>66</v>
      </c>
      <c r="V20" s="181" t="s">
        <v>66</v>
      </c>
      <c r="W20" s="141" t="s">
        <v>66</v>
      </c>
      <c r="X20" s="613" t="s">
        <v>66</v>
      </c>
      <c r="Y20" s="570"/>
      <c r="Z20" s="570"/>
      <c r="AA20" s="570"/>
      <c r="AB20" s="570"/>
      <c r="AC20" s="570"/>
    </row>
    <row r="21" s="581" customFormat="true" ht="35.15" hidden="false" customHeight="true" outlineLevel="0" collapsed="false">
      <c r="A21" s="570"/>
      <c r="B21" s="616" t="n">
        <v>16</v>
      </c>
      <c r="C21" s="615" t="s">
        <v>456</v>
      </c>
      <c r="D21" s="141" t="s">
        <v>18</v>
      </c>
      <c r="E21" s="141" t="s">
        <v>457</v>
      </c>
      <c r="F21" s="141" t="s">
        <v>18</v>
      </c>
      <c r="G21" s="604" t="s">
        <v>18</v>
      </c>
      <c r="H21" s="97" t="s">
        <v>18</v>
      </c>
      <c r="I21" s="145" t="s">
        <v>66</v>
      </c>
      <c r="J21" s="141" t="s">
        <v>66</v>
      </c>
      <c r="K21" s="141" t="s">
        <v>66</v>
      </c>
      <c r="L21" s="97" t="s">
        <v>66</v>
      </c>
      <c r="M21" s="489" t="s">
        <v>66</v>
      </c>
      <c r="N21" s="141" t="s">
        <v>66</v>
      </c>
      <c r="O21" s="141" t="s">
        <v>66</v>
      </c>
      <c r="P21" s="32" t="s">
        <v>66</v>
      </c>
      <c r="Q21" s="144" t="s">
        <v>66</v>
      </c>
      <c r="R21" s="181" t="s">
        <v>66</v>
      </c>
      <c r="S21" s="181" t="s">
        <v>66</v>
      </c>
      <c r="T21" s="612" t="s">
        <v>66</v>
      </c>
      <c r="U21" s="489" t="s">
        <v>571</v>
      </c>
      <c r="V21" s="181" t="s">
        <v>66</v>
      </c>
      <c r="W21" s="141" t="s">
        <v>66</v>
      </c>
      <c r="X21" s="613" t="s">
        <v>66</v>
      </c>
      <c r="Y21" s="570"/>
      <c r="Z21" s="570"/>
      <c r="AA21" s="570"/>
      <c r="AB21" s="570"/>
      <c r="AC21" s="570"/>
    </row>
    <row r="22" s="581" customFormat="true" ht="35.15" hidden="false" customHeight="true" outlineLevel="0" collapsed="false">
      <c r="A22" s="570"/>
      <c r="B22" s="617" t="n">
        <v>17</v>
      </c>
      <c r="C22" s="618" t="s">
        <v>46</v>
      </c>
      <c r="D22" s="153" t="s">
        <v>47</v>
      </c>
      <c r="E22" s="153" t="s">
        <v>48</v>
      </c>
      <c r="F22" s="153" t="s">
        <v>48</v>
      </c>
      <c r="G22" s="619" t="s">
        <v>48</v>
      </c>
      <c r="H22" s="114" t="s">
        <v>18</v>
      </c>
      <c r="I22" s="157" t="s">
        <v>66</v>
      </c>
      <c r="J22" s="153" t="s">
        <v>66</v>
      </c>
      <c r="K22" s="153" t="s">
        <v>66</v>
      </c>
      <c r="L22" s="114" t="s">
        <v>66</v>
      </c>
      <c r="M22" s="491" t="s">
        <v>66</v>
      </c>
      <c r="N22" s="153" t="s">
        <v>66</v>
      </c>
      <c r="O22" s="153" t="s">
        <v>66</v>
      </c>
      <c r="P22" s="55" t="s">
        <v>66</v>
      </c>
      <c r="Q22" s="156" t="s">
        <v>66</v>
      </c>
      <c r="R22" s="183" t="s">
        <v>66</v>
      </c>
      <c r="S22" s="153" t="s">
        <v>66</v>
      </c>
      <c r="T22" s="620" t="s">
        <v>66</v>
      </c>
      <c r="U22" s="157" t="s">
        <v>66</v>
      </c>
      <c r="V22" s="183" t="s">
        <v>562</v>
      </c>
      <c r="W22" s="153" t="s">
        <v>66</v>
      </c>
      <c r="X22" s="621" t="s">
        <v>66</v>
      </c>
      <c r="Y22" s="570"/>
      <c r="Z22" s="570"/>
      <c r="AA22" s="570"/>
      <c r="AB22" s="570"/>
      <c r="AC22" s="570"/>
    </row>
    <row r="23" s="581" customFormat="true" ht="35.15" hidden="false" customHeight="true" outlineLevel="0" collapsed="false">
      <c r="A23" s="570"/>
      <c r="B23" s="622"/>
      <c r="C23" s="570"/>
      <c r="D23" s="570"/>
      <c r="E23" s="570"/>
      <c r="F23" s="570"/>
      <c r="G23" s="570"/>
      <c r="H23" s="570"/>
      <c r="I23" s="570"/>
      <c r="J23" s="570"/>
      <c r="K23" s="570"/>
      <c r="L23" s="570"/>
      <c r="M23" s="570"/>
      <c r="N23" s="570"/>
      <c r="O23" s="570"/>
      <c r="P23" s="570"/>
      <c r="Q23" s="570"/>
      <c r="R23" s="570"/>
      <c r="S23" s="570"/>
      <c r="T23" s="570"/>
      <c r="U23" s="570"/>
      <c r="V23" s="570"/>
      <c r="W23" s="570"/>
      <c r="X23" s="570"/>
      <c r="Y23" s="570"/>
      <c r="Z23" s="570"/>
      <c r="AA23" s="570"/>
      <c r="AB23" s="570"/>
      <c r="AC23" s="570"/>
    </row>
    <row r="24" s="581" customFormat="true" ht="35.15" hidden="false" customHeight="true" outlineLevel="0" collapsed="false">
      <c r="A24" s="570"/>
      <c r="B24" s="622"/>
      <c r="C24" s="570"/>
      <c r="D24" s="570"/>
      <c r="E24" s="570"/>
      <c r="F24" s="570"/>
      <c r="G24" s="570"/>
      <c r="H24" s="570"/>
      <c r="I24" s="570"/>
      <c r="J24" s="570"/>
      <c r="K24" s="570"/>
      <c r="L24" s="570"/>
      <c r="M24" s="570"/>
      <c r="N24" s="570"/>
      <c r="O24" s="570"/>
      <c r="P24" s="570"/>
      <c r="Q24" s="570"/>
      <c r="R24" s="570"/>
      <c r="S24" s="570"/>
      <c r="T24" s="570"/>
      <c r="U24" s="570"/>
      <c r="V24" s="570"/>
      <c r="W24" s="570"/>
      <c r="X24" s="570"/>
      <c r="Y24" s="570"/>
      <c r="Z24" s="570"/>
      <c r="AA24" s="570"/>
      <c r="AB24" s="570"/>
      <c r="AC24" s="570"/>
    </row>
    <row r="25" s="581" customFormat="true" ht="35.15" hidden="false" customHeight="true" outlineLevel="0" collapsed="false">
      <c r="A25" s="570"/>
      <c r="B25" s="622"/>
      <c r="C25" s="623"/>
      <c r="D25" s="623"/>
      <c r="E25" s="623"/>
      <c r="F25" s="623"/>
      <c r="G25" s="623"/>
      <c r="H25" s="623"/>
      <c r="I25" s="623"/>
      <c r="J25" s="623"/>
      <c r="K25" s="623"/>
      <c r="L25" s="623"/>
      <c r="M25" s="623"/>
      <c r="N25" s="623"/>
      <c r="O25" s="623"/>
      <c r="P25" s="623"/>
      <c r="Q25" s="623"/>
      <c r="R25" s="623"/>
      <c r="S25" s="623"/>
      <c r="T25" s="623"/>
      <c r="U25" s="623"/>
      <c r="V25" s="623"/>
      <c r="W25" s="623"/>
      <c r="X25" s="623"/>
      <c r="Y25" s="570"/>
      <c r="Z25" s="570"/>
      <c r="AA25" s="570"/>
      <c r="AB25" s="570"/>
      <c r="AC25" s="570"/>
    </row>
    <row r="26" customFormat="false" ht="20.15" hidden="false" customHeight="true" outlineLevel="0" collapsed="false">
      <c r="A26" s="556"/>
      <c r="B26" s="560"/>
      <c r="C26" s="556"/>
      <c r="D26" s="556"/>
      <c r="E26" s="556"/>
      <c r="F26" s="556"/>
      <c r="G26" s="556"/>
      <c r="H26" s="556"/>
      <c r="I26" s="556"/>
      <c r="J26" s="556"/>
      <c r="K26" s="556"/>
      <c r="L26" s="556"/>
      <c r="M26" s="556"/>
      <c r="N26" s="556"/>
      <c r="O26" s="556"/>
      <c r="P26" s="556"/>
      <c r="Q26" s="556"/>
      <c r="R26" s="556"/>
      <c r="S26" s="556"/>
      <c r="T26" s="556"/>
      <c r="U26" s="556"/>
      <c r="V26" s="556"/>
      <c r="W26" s="556"/>
      <c r="X26" s="556"/>
      <c r="Y26" s="556"/>
      <c r="Z26" s="556"/>
      <c r="AA26" s="556"/>
      <c r="AB26" s="556"/>
      <c r="AC26" s="556"/>
    </row>
    <row r="27" customFormat="false" ht="20.15" hidden="false" customHeight="true" outlineLevel="0" collapsed="false">
      <c r="A27" s="556"/>
      <c r="B27" s="560"/>
      <c r="C27" s="556"/>
      <c r="D27" s="556"/>
      <c r="E27" s="556"/>
      <c r="F27" s="556"/>
      <c r="G27" s="556"/>
      <c r="H27" s="556"/>
      <c r="I27" s="556"/>
      <c r="J27" s="556"/>
      <c r="K27" s="556"/>
      <c r="L27" s="556"/>
      <c r="M27" s="556"/>
      <c r="N27" s="556"/>
      <c r="O27" s="556"/>
      <c r="P27" s="556"/>
      <c r="Q27" s="556"/>
      <c r="R27" s="556"/>
      <c r="S27" s="556"/>
      <c r="T27" s="556"/>
      <c r="U27" s="556"/>
      <c r="V27" s="556"/>
      <c r="W27" s="556"/>
      <c r="X27" s="556"/>
      <c r="Y27" s="556"/>
      <c r="Z27" s="556"/>
      <c r="AA27" s="556"/>
      <c r="AB27" s="556"/>
      <c r="AC27" s="556"/>
    </row>
    <row r="28" customFormat="false" ht="20.15" hidden="false" customHeight="true" outlineLevel="0" collapsed="false">
      <c r="A28" s="556"/>
      <c r="B28" s="560"/>
      <c r="C28" s="556"/>
      <c r="D28" s="556"/>
      <c r="E28" s="556"/>
      <c r="F28" s="556"/>
      <c r="G28" s="556"/>
      <c r="H28" s="556"/>
      <c r="I28" s="556"/>
      <c r="J28" s="556"/>
      <c r="K28" s="556"/>
      <c r="L28" s="556"/>
      <c r="M28" s="556"/>
      <c r="N28" s="556"/>
      <c r="O28" s="556"/>
      <c r="P28" s="556"/>
      <c r="Q28" s="556"/>
      <c r="R28" s="556"/>
      <c r="S28" s="556"/>
      <c r="T28" s="556"/>
      <c r="U28" s="556"/>
      <c r="V28" s="556"/>
      <c r="W28" s="556"/>
      <c r="X28" s="556"/>
      <c r="Y28" s="556"/>
      <c r="Z28" s="556"/>
      <c r="AA28" s="556"/>
      <c r="AB28" s="556"/>
      <c r="AC28" s="556"/>
    </row>
    <row r="29" customFormat="false" ht="20.15" hidden="false" customHeight="true" outlineLevel="0" collapsed="false">
      <c r="A29" s="556"/>
      <c r="B29" s="560"/>
      <c r="C29" s="556"/>
      <c r="D29" s="556"/>
      <c r="E29" s="556"/>
      <c r="F29" s="556"/>
      <c r="G29" s="556"/>
      <c r="H29" s="556"/>
      <c r="I29" s="556"/>
      <c r="J29" s="556"/>
      <c r="K29" s="556"/>
      <c r="L29" s="556"/>
      <c r="M29" s="556"/>
      <c r="N29" s="556"/>
      <c r="O29" s="556"/>
      <c r="P29" s="556"/>
      <c r="Q29" s="556"/>
      <c r="R29" s="556"/>
      <c r="S29" s="556"/>
      <c r="T29" s="556"/>
      <c r="U29" s="556"/>
      <c r="V29" s="556"/>
      <c r="W29" s="556"/>
      <c r="X29" s="556"/>
      <c r="Y29" s="556"/>
      <c r="Z29" s="556"/>
      <c r="AA29" s="556"/>
      <c r="AB29" s="556"/>
      <c r="AC29" s="556"/>
    </row>
    <row r="30" customFormat="false" ht="20.15" hidden="false" customHeight="true" outlineLevel="0" collapsed="false">
      <c r="A30" s="556"/>
      <c r="B30" s="560"/>
      <c r="C30" s="556"/>
      <c r="D30" s="556"/>
      <c r="E30" s="556"/>
      <c r="F30" s="556"/>
      <c r="G30" s="556"/>
      <c r="H30" s="556"/>
      <c r="I30" s="556"/>
      <c r="J30" s="556"/>
      <c r="K30" s="556"/>
      <c r="L30" s="556"/>
      <c r="M30" s="556"/>
      <c r="N30" s="556"/>
      <c r="O30" s="556"/>
      <c r="P30" s="556"/>
      <c r="Q30" s="556"/>
      <c r="R30" s="556"/>
      <c r="S30" s="556"/>
      <c r="T30" s="556"/>
      <c r="U30" s="556"/>
      <c r="V30" s="556"/>
      <c r="W30" s="556"/>
      <c r="X30" s="556"/>
      <c r="Y30" s="556"/>
      <c r="Z30" s="556"/>
      <c r="AA30" s="556"/>
      <c r="AB30" s="556"/>
      <c r="AC30" s="556"/>
    </row>
    <row r="31" customFormat="false" ht="20.15" hidden="false" customHeight="true" outlineLevel="0" collapsed="false">
      <c r="A31" s="556"/>
      <c r="B31" s="560"/>
      <c r="C31" s="556"/>
      <c r="D31" s="556"/>
      <c r="E31" s="556"/>
      <c r="F31" s="556"/>
      <c r="G31" s="556"/>
      <c r="H31" s="556"/>
      <c r="I31" s="556"/>
      <c r="J31" s="556"/>
      <c r="K31" s="556"/>
      <c r="L31" s="556"/>
      <c r="M31" s="556"/>
      <c r="N31" s="556"/>
      <c r="O31" s="556"/>
      <c r="P31" s="556"/>
      <c r="Q31" s="556"/>
      <c r="R31" s="556"/>
      <c r="S31" s="556"/>
      <c r="T31" s="556"/>
      <c r="U31" s="556"/>
      <c r="V31" s="556"/>
      <c r="W31" s="556"/>
      <c r="X31" s="556"/>
      <c r="Y31" s="556"/>
      <c r="Z31" s="556"/>
      <c r="AA31" s="556"/>
      <c r="AB31" s="556"/>
      <c r="AC31" s="556"/>
    </row>
    <row r="32" customFormat="false" ht="20.15" hidden="false" customHeight="true" outlineLevel="0" collapsed="false">
      <c r="A32" s="556"/>
      <c r="B32" s="560"/>
      <c r="C32" s="556"/>
      <c r="D32" s="556"/>
      <c r="E32" s="556"/>
      <c r="F32" s="556"/>
      <c r="G32" s="556"/>
      <c r="H32" s="556"/>
      <c r="I32" s="556"/>
      <c r="J32" s="556"/>
      <c r="K32" s="556"/>
      <c r="L32" s="556"/>
      <c r="M32" s="556"/>
      <c r="N32" s="556"/>
      <c r="O32" s="556"/>
      <c r="P32" s="556"/>
      <c r="Q32" s="556"/>
      <c r="R32" s="556"/>
      <c r="S32" s="556"/>
      <c r="T32" s="556"/>
      <c r="U32" s="556"/>
      <c r="V32" s="556"/>
      <c r="W32" s="556"/>
      <c r="X32" s="556"/>
      <c r="Y32" s="556"/>
      <c r="Z32" s="556"/>
      <c r="AA32" s="556"/>
      <c r="AB32" s="556"/>
      <c r="AC32" s="556"/>
    </row>
    <row r="33" customFormat="false" ht="20.15" hidden="false" customHeight="true" outlineLevel="0" collapsed="false">
      <c r="A33" s="556"/>
      <c r="B33" s="560"/>
      <c r="C33" s="556"/>
      <c r="D33" s="556"/>
      <c r="E33" s="556"/>
      <c r="F33" s="556"/>
      <c r="G33" s="556"/>
      <c r="H33" s="556"/>
      <c r="I33" s="556"/>
      <c r="J33" s="556"/>
      <c r="K33" s="556"/>
      <c r="L33" s="556"/>
      <c r="M33" s="556"/>
      <c r="N33" s="556"/>
      <c r="O33" s="556"/>
      <c r="P33" s="556"/>
      <c r="Q33" s="556"/>
      <c r="R33" s="556"/>
      <c r="S33" s="556"/>
      <c r="T33" s="556"/>
      <c r="U33" s="556"/>
      <c r="V33" s="556"/>
      <c r="W33" s="556"/>
      <c r="X33" s="556"/>
      <c r="Y33" s="556"/>
      <c r="Z33" s="556"/>
      <c r="AA33" s="556"/>
      <c r="AB33" s="556"/>
      <c r="AC33" s="556"/>
    </row>
    <row r="34" customFormat="false" ht="20.15" hidden="false" customHeight="true" outlineLevel="0" collapsed="false">
      <c r="A34" s="556"/>
      <c r="B34" s="560"/>
      <c r="C34" s="556"/>
      <c r="D34" s="556"/>
      <c r="E34" s="556"/>
      <c r="F34" s="556"/>
      <c r="G34" s="556"/>
      <c r="H34" s="556"/>
      <c r="I34" s="556"/>
      <c r="J34" s="556"/>
      <c r="K34" s="556"/>
      <c r="L34" s="556"/>
      <c r="M34" s="556"/>
      <c r="N34" s="556"/>
      <c r="O34" s="556"/>
      <c r="P34" s="556"/>
      <c r="Q34" s="556"/>
      <c r="R34" s="556"/>
      <c r="S34" s="556"/>
      <c r="T34" s="556"/>
      <c r="U34" s="556"/>
      <c r="V34" s="556"/>
      <c r="W34" s="556"/>
      <c r="X34" s="556"/>
      <c r="Y34" s="556"/>
      <c r="Z34" s="556"/>
      <c r="AA34" s="556"/>
      <c r="AB34" s="556"/>
      <c r="AC34" s="556"/>
    </row>
    <row r="35" customFormat="false" ht="20.15" hidden="false" customHeight="true" outlineLevel="0" collapsed="false">
      <c r="A35" s="556"/>
      <c r="B35" s="560"/>
      <c r="C35" s="556"/>
      <c r="D35" s="556"/>
      <c r="E35" s="556"/>
      <c r="F35" s="556"/>
      <c r="G35" s="556"/>
      <c r="H35" s="556"/>
      <c r="I35" s="556"/>
      <c r="J35" s="556"/>
      <c r="K35" s="556"/>
      <c r="L35" s="556"/>
      <c r="M35" s="556"/>
      <c r="N35" s="556"/>
      <c r="O35" s="556"/>
      <c r="P35" s="556"/>
      <c r="Q35" s="556"/>
      <c r="R35" s="556"/>
      <c r="S35" s="556"/>
      <c r="T35" s="556"/>
      <c r="U35" s="556"/>
      <c r="V35" s="556"/>
      <c r="W35" s="556"/>
      <c r="X35" s="556"/>
      <c r="Y35" s="556"/>
      <c r="Z35" s="556"/>
      <c r="AA35" s="556"/>
      <c r="AB35" s="556"/>
      <c r="AC35" s="556"/>
    </row>
    <row r="36" customFormat="false" ht="20.15" hidden="false" customHeight="true" outlineLevel="0" collapsed="false">
      <c r="A36" s="556"/>
      <c r="B36" s="560"/>
      <c r="C36" s="556"/>
      <c r="D36" s="556"/>
      <c r="E36" s="556"/>
      <c r="F36" s="556"/>
      <c r="G36" s="556"/>
      <c r="H36" s="556"/>
      <c r="I36" s="556"/>
      <c r="J36" s="556"/>
      <c r="K36" s="556"/>
      <c r="L36" s="556"/>
      <c r="M36" s="556"/>
      <c r="N36" s="556"/>
      <c r="O36" s="556"/>
      <c r="P36" s="556"/>
      <c r="Q36" s="556"/>
      <c r="R36" s="556"/>
      <c r="S36" s="556"/>
      <c r="T36" s="556"/>
      <c r="U36" s="556"/>
      <c r="V36" s="556"/>
      <c r="W36" s="556"/>
      <c r="X36" s="556"/>
      <c r="Y36" s="556"/>
      <c r="Z36" s="556"/>
      <c r="AA36" s="556"/>
      <c r="AB36" s="556"/>
      <c r="AC36" s="556"/>
    </row>
    <row r="37" customFormat="false" ht="20.15" hidden="false" customHeight="true" outlineLevel="0" collapsed="false">
      <c r="A37" s="556"/>
      <c r="B37" s="560"/>
      <c r="C37" s="556"/>
      <c r="D37" s="556"/>
      <c r="E37" s="556"/>
      <c r="F37" s="556"/>
      <c r="G37" s="556"/>
      <c r="H37" s="556"/>
      <c r="I37" s="556"/>
      <c r="J37" s="556"/>
      <c r="K37" s="556"/>
      <c r="L37" s="556"/>
      <c r="M37" s="556"/>
      <c r="N37" s="556"/>
      <c r="O37" s="556"/>
      <c r="P37" s="556"/>
      <c r="Q37" s="556"/>
      <c r="R37" s="556"/>
      <c r="S37" s="556"/>
      <c r="T37" s="556"/>
      <c r="U37" s="556"/>
      <c r="V37" s="556"/>
      <c r="W37" s="556"/>
      <c r="X37" s="556"/>
      <c r="Y37" s="556"/>
      <c r="Z37" s="556"/>
      <c r="AA37" s="556"/>
      <c r="AB37" s="556"/>
      <c r="AC37" s="556"/>
    </row>
    <row r="38" customFormat="false" ht="20.15" hidden="false" customHeight="true" outlineLevel="0" collapsed="false">
      <c r="A38" s="556"/>
      <c r="B38" s="560"/>
      <c r="C38" s="556"/>
      <c r="D38" s="556"/>
      <c r="E38" s="556"/>
      <c r="F38" s="556"/>
      <c r="G38" s="556"/>
      <c r="H38" s="556"/>
      <c r="I38" s="556"/>
      <c r="J38" s="556"/>
      <c r="K38" s="556"/>
      <c r="L38" s="556"/>
      <c r="M38" s="556"/>
      <c r="N38" s="556"/>
      <c r="O38" s="556"/>
      <c r="P38" s="556"/>
      <c r="Q38" s="556"/>
      <c r="R38" s="556"/>
      <c r="S38" s="556"/>
      <c r="T38" s="556"/>
      <c r="U38" s="556"/>
      <c r="V38" s="556"/>
      <c r="W38" s="556"/>
      <c r="X38" s="556"/>
      <c r="Y38" s="556"/>
      <c r="Z38" s="556"/>
      <c r="AA38" s="556"/>
      <c r="AB38" s="556"/>
      <c r="AC38" s="556"/>
    </row>
    <row r="39" customFormat="false" ht="20.15" hidden="false" customHeight="true" outlineLevel="0" collapsed="false">
      <c r="A39" s="556"/>
      <c r="B39" s="560"/>
      <c r="C39" s="556"/>
      <c r="D39" s="556"/>
      <c r="E39" s="556"/>
      <c r="F39" s="556"/>
      <c r="G39" s="556"/>
      <c r="H39" s="556"/>
      <c r="I39" s="556"/>
      <c r="J39" s="556"/>
      <c r="K39" s="556"/>
      <c r="L39" s="556"/>
      <c r="M39" s="556"/>
      <c r="N39" s="556"/>
      <c r="O39" s="556"/>
      <c r="P39" s="556"/>
      <c r="Q39" s="556"/>
      <c r="R39" s="556"/>
      <c r="S39" s="556"/>
      <c r="T39" s="556"/>
      <c r="U39" s="556"/>
      <c r="V39" s="556"/>
      <c r="W39" s="556"/>
      <c r="X39" s="556"/>
      <c r="Y39" s="556"/>
      <c r="Z39" s="556"/>
      <c r="AA39" s="556"/>
      <c r="AB39" s="556"/>
      <c r="AC39" s="556"/>
    </row>
    <row r="40" customFormat="false" ht="20.15" hidden="false" customHeight="true" outlineLevel="0" collapsed="false">
      <c r="A40" s="556"/>
      <c r="B40" s="560"/>
      <c r="C40" s="556"/>
      <c r="D40" s="556"/>
      <c r="E40" s="556"/>
      <c r="F40" s="556"/>
      <c r="G40" s="556"/>
      <c r="H40" s="556"/>
      <c r="I40" s="556"/>
      <c r="J40" s="556"/>
      <c r="K40" s="556"/>
      <c r="L40" s="556"/>
      <c r="M40" s="556"/>
      <c r="N40" s="556"/>
      <c r="O40" s="556"/>
      <c r="P40" s="556"/>
      <c r="Q40" s="556"/>
      <c r="R40" s="556"/>
      <c r="S40" s="556"/>
      <c r="T40" s="556"/>
      <c r="U40" s="556"/>
      <c r="V40" s="556"/>
      <c r="W40" s="556"/>
      <c r="X40" s="556"/>
      <c r="Y40" s="556"/>
      <c r="Z40" s="556"/>
      <c r="AA40" s="556"/>
      <c r="AB40" s="556"/>
      <c r="AC40" s="556"/>
    </row>
    <row r="41" customFormat="false" ht="20.15" hidden="false" customHeight="true" outlineLevel="0" collapsed="false">
      <c r="A41" s="556"/>
      <c r="B41" s="560"/>
      <c r="C41" s="556"/>
      <c r="D41" s="556"/>
      <c r="E41" s="556"/>
      <c r="F41" s="556"/>
      <c r="G41" s="556"/>
      <c r="H41" s="556"/>
      <c r="I41" s="556"/>
      <c r="J41" s="556"/>
      <c r="K41" s="556"/>
      <c r="L41" s="556"/>
      <c r="M41" s="556"/>
      <c r="N41" s="556"/>
      <c r="O41" s="556"/>
      <c r="P41" s="556"/>
      <c r="Q41" s="556"/>
      <c r="R41" s="556"/>
      <c r="S41" s="556"/>
      <c r="T41" s="556"/>
      <c r="U41" s="556"/>
      <c r="V41" s="556"/>
      <c r="W41" s="556"/>
      <c r="X41" s="556"/>
      <c r="Y41" s="556"/>
      <c r="Z41" s="556"/>
      <c r="AA41" s="556"/>
      <c r="AB41" s="556"/>
      <c r="AC41" s="556"/>
    </row>
    <row r="42" customFormat="false" ht="20.15" hidden="false" customHeight="true" outlineLevel="0" collapsed="false">
      <c r="A42" s="556"/>
      <c r="B42" s="560"/>
      <c r="C42" s="556"/>
      <c r="D42" s="556"/>
      <c r="E42" s="556"/>
      <c r="F42" s="556"/>
      <c r="G42" s="556"/>
      <c r="H42" s="556"/>
      <c r="I42" s="556"/>
      <c r="J42" s="556"/>
      <c r="K42" s="556"/>
      <c r="L42" s="556"/>
      <c r="M42" s="556"/>
      <c r="N42" s="556"/>
      <c r="O42" s="556"/>
      <c r="P42" s="556"/>
      <c r="Q42" s="556"/>
      <c r="R42" s="556"/>
      <c r="S42" s="556"/>
      <c r="T42" s="556"/>
      <c r="U42" s="556"/>
      <c r="V42" s="556"/>
      <c r="W42" s="556"/>
      <c r="X42" s="556"/>
      <c r="Y42" s="556"/>
      <c r="Z42" s="556"/>
      <c r="AA42" s="556"/>
      <c r="AB42" s="556"/>
      <c r="AC42" s="556"/>
    </row>
    <row r="43" customFormat="false" ht="20.15" hidden="false" customHeight="true" outlineLevel="0" collapsed="false">
      <c r="A43" s="556"/>
      <c r="B43" s="560"/>
      <c r="C43" s="556"/>
      <c r="D43" s="556"/>
      <c r="E43" s="556"/>
      <c r="F43" s="556"/>
      <c r="G43" s="556"/>
      <c r="H43" s="556"/>
      <c r="I43" s="556"/>
      <c r="J43" s="556"/>
      <c r="K43" s="556"/>
      <c r="L43" s="556"/>
      <c r="M43" s="556"/>
      <c r="N43" s="556"/>
      <c r="O43" s="556"/>
      <c r="P43" s="556"/>
      <c r="Q43" s="556"/>
      <c r="R43" s="556"/>
      <c r="S43" s="556"/>
      <c r="T43" s="556"/>
      <c r="U43" s="556"/>
      <c r="V43" s="556"/>
      <c r="W43" s="556"/>
      <c r="X43" s="556"/>
      <c r="Y43" s="556"/>
      <c r="Z43" s="556"/>
      <c r="AA43" s="556"/>
      <c r="AB43" s="556"/>
      <c r="AC43" s="556"/>
    </row>
    <row r="44" customFormat="false" ht="20.15" hidden="false" customHeight="true" outlineLevel="0" collapsed="false">
      <c r="A44" s="556"/>
      <c r="B44" s="560"/>
      <c r="C44" s="556"/>
      <c r="D44" s="556"/>
      <c r="E44" s="556"/>
      <c r="F44" s="556"/>
      <c r="G44" s="556"/>
      <c r="H44" s="556"/>
      <c r="I44" s="556"/>
      <c r="J44" s="556"/>
      <c r="K44" s="556"/>
      <c r="L44" s="556"/>
      <c r="M44" s="556"/>
      <c r="N44" s="556"/>
      <c r="O44" s="556"/>
      <c r="P44" s="556"/>
      <c r="Q44" s="556"/>
      <c r="R44" s="556"/>
      <c r="S44" s="556"/>
      <c r="T44" s="556"/>
      <c r="U44" s="556"/>
      <c r="V44" s="556"/>
      <c r="W44" s="556"/>
      <c r="X44" s="556"/>
      <c r="Y44" s="556"/>
      <c r="Z44" s="556"/>
      <c r="AA44" s="556"/>
      <c r="AB44" s="556"/>
      <c r="AC44" s="556"/>
    </row>
  </sheetData>
  <mergeCells count="2">
    <mergeCell ref="A1:Y2"/>
    <mergeCell ref="A3:Y3"/>
  </mergeCell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12</TotalTime>
  <Application>LibreOffice/7.0.4.2$Linux_X86_64 LibreOffice_project/00$Build-2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2020-04-14T00:23:52Z</dcterms:created>
  <dc:creator>Ginooo</dc:creator>
  <dc:description/>
  <dc:language>en-US</dc:language>
  <cp:lastModifiedBy/>
  <dcterms:modified xsi:type="dcterms:W3CDTF">2022-11-05T14:18:23Z</dcterms:modified>
  <cp:revision>6</cp:revision>
  <dc:subject/>
  <dc:title/>
</cp:coreProperties>
</file>

<file path=docProps/custom.xml><?xml version="1.0" encoding="utf-8"?>
<Properties xmlns="http://schemas.openxmlformats.org/officeDocument/2006/custom-properties" xmlns:vt="http://schemas.openxmlformats.org/officeDocument/2006/docPropsVTypes"/>
</file>