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2020_S0" sheetId="1" state="visible" r:id="rId3"/>
    <sheet name="2020_S1" sheetId="2" state="visible" r:id="rId4"/>
    <sheet name="2020_S2" sheetId="3" state="visible" r:id="rId5"/>
    <sheet name="2020_S3" sheetId="4" state="visible" r:id="rId6"/>
    <sheet name="2020_S4" sheetId="5" state="visible" r:id="rId7"/>
    <sheet name="2020_S5" sheetId="6" state="visible" r:id="rId8"/>
    <sheet name="2020_S6" sheetId="7" state="visible" r:id="rId9"/>
    <sheet name="2020_S7" sheetId="8" state="visible" r:id="rId10"/>
    <sheet name="2020_S8" sheetId="9" state="visible" r:id="rId11"/>
    <sheet name="2020_GESAMTWERTUNG" sheetId="10" state="visible" r:id="rId12"/>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<sst xmlns="http://schemas.openxmlformats.org/spreadsheetml/2006/main" count="5687" uniqueCount="444">
  <si>
    <t xml:space="preserve">Angemeldete Spieler in 2020_S0</t>
  </si>
  <si>
    <t xml:space="preserve">Ausgeloste Gruppen und Reihenfolge</t>
  </si>
  <si>
    <t xml:space="preserve">Name</t>
  </si>
  <si>
    <t xml:space="preserve">Nikname Yucata</t>
  </si>
  <si>
    <t xml:space="preserve">Anmeldung S1</t>
  </si>
  <si>
    <t xml:space="preserve">Gruppe</t>
  </si>
  <si>
    <t xml:space="preserve">Reihenfolge</t>
  </si>
  <si>
    <t xml:space="preserve">Pauline Schätzle</t>
  </si>
  <si>
    <t xml:space="preserve">Bienchen_2000</t>
  </si>
  <si>
    <t xml:space="preserve">Ja</t>
  </si>
  <si>
    <t xml:space="preserve">Wolfgang Mulser</t>
  </si>
  <si>
    <t xml:space="preserve">w.m.3005</t>
  </si>
  <si>
    <t xml:space="preserve">Miriam Dirler</t>
  </si>
  <si>
    <t xml:space="preserve">Mimse</t>
  </si>
  <si>
    <t xml:space="preserve">Devid Fulterer</t>
  </si>
  <si>
    <t xml:space="preserve">Ginooo</t>
  </si>
  <si>
    <t xml:space="preserve">Jérôme Schätzle</t>
  </si>
  <si>
    <t xml:space="preserve">eumel247</t>
  </si>
  <si>
    <t xml:space="preserve">Raffaele Cesare</t>
  </si>
  <si>
    <t xml:space="preserve">Alexander99</t>
  </si>
  <si>
    <t xml:space="preserve">Judith Maibaum</t>
  </si>
  <si>
    <t xml:space="preserve">MissM</t>
  </si>
  <si>
    <t xml:space="preserve">Markus Hagenauer</t>
  </si>
  <si>
    <t xml:space="preserve">Markus1711</t>
  </si>
  <si>
    <t xml:space="preserve">Barbara Ferrarese</t>
  </si>
  <si>
    <t xml:space="preserve">Danaide</t>
  </si>
  <si>
    <t xml:space="preserve">Nein</t>
  </si>
  <si>
    <t xml:space="preserve">Alex Ulbricht</t>
  </si>
  <si>
    <t xml:space="preserve">Autographus</t>
  </si>
  <si>
    <t xml:space="preserve">Martin Fink</t>
  </si>
  <si>
    <t xml:space="preserve">finkomane</t>
  </si>
  <si>
    <t xml:space="preserve">Andreas Micke</t>
  </si>
  <si>
    <t xml:space="preserve">Palladium2000</t>
  </si>
  <si>
    <t xml:space="preserve">Gesamtanzahl Spieler 2020_S0:</t>
  </si>
  <si>
    <r>
      <rPr>
        <b val="true"/>
        <u val="single"/>
        <sz val="11"/>
        <color rgb="FF000000"/>
        <rFont val="Calibri"/>
        <family val="2"/>
        <charset val="1"/>
      </rPr>
      <t xml:space="preserve">Vorgabe:</t>
    </r>
    <r>
      <rPr>
        <b val="true"/>
        <sz val="11"/>
        <color rgb="FF000000"/>
        <rFont val="Calibri"/>
        <family val="2"/>
        <charset val="1"/>
      </rPr>
      <t xml:space="preserve"> In 2020_S0 werden alle Spiele auf Yucata ausgetragen.</t>
    </r>
  </si>
  <si>
    <t xml:space="preserve">Gruppe 1:</t>
  </si>
  <si>
    <t xml:space="preserve">Spieler</t>
  </si>
  <si>
    <t xml:space="preserve">Zugeloste Reihenfolge</t>
  </si>
  <si>
    <t xml:space="preserve">1. Durchgang: 
</t>
  </si>
  <si>
    <t xml:space="preserve">2. Durchgang:
gebanntes Spiel</t>
  </si>
  <si>
    <t xml:space="preserve">3. Durchgang (falls Spiele gebannt wurden):</t>
  </si>
  <si>
    <t xml:space="preserve">ausgewähltes Spiel</t>
  </si>
  <si>
    <t xml:space="preserve">Optionen</t>
  </si>
  <si>
    <t xml:space="preserve">gebanntes Spiel</t>
  </si>
  <si>
    <t xml:space="preserve">neugewähltes Spiel</t>
  </si>
  <si>
    <t xml:space="preserve">Brügge</t>
  </si>
  <si>
    <t xml:space="preserve">-</t>
  </si>
  <si>
    <t xml:space="preserve">Hawaii</t>
  </si>
  <si>
    <t xml:space="preserve">geapsst</t>
  </si>
  <si>
    <t xml:space="preserve">Machi Koro</t>
  </si>
  <si>
    <t xml:space="preserve">gepasst</t>
  </si>
  <si>
    <t xml:space="preserve">Marco Polo</t>
  </si>
  <si>
    <t xml:space="preserve">Startposition</t>
  </si>
  <si>
    <t xml:space="preserve">Punkte</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</si>
  <si>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</si>
  <si>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</si>
  <si>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</si>
  <si>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</si>
  <si>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</si>
  <si>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</si>
  <si>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</si>
  <si>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</si>
  <si>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</si>
  <si>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</si>
  <si>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Gesamtstand</t>
  </si>
  <si>
    <t xml:space="preserve">1. Plätze</t>
  </si>
  <si>
    <t xml:space="preserve">2. Plätze</t>
  </si>
  <si>
    <t xml:space="preserve">3. Plätze</t>
  </si>
  <si>
    <t xml:space="preserve">4. Plätze</t>
  </si>
  <si>
    <t xml:space="preserve">Durchschnittliche
prozentuale 
Gewinnbeteiligung</t>
  </si>
  <si>
    <t xml:space="preserve">Gruppe 2:</t>
  </si>
  <si>
    <t xml:space="preserve">2. Durchgang:</t>
  </si>
  <si>
    <t xml:space="preserve">Im Wandel der Zeiten,
 das Würfelspiel (Bronzezeit)</t>
  </si>
  <si>
    <t xml:space="preserve">Die Burgen von 
Burgund</t>
  </si>
  <si>
    <t xml:space="preserve">- Fortgeschritte Regeln</t>
  </si>
  <si>
    <t xml:space="preserve">Automobiles</t>
  </si>
  <si>
    <t xml:space="preserve">- zufällige Strecke
- 5 Runden
- zufälliges Kartenset
- beschleunigter Ablauf</t>
  </si>
  <si>
    <t xml:space="preserve">Prozentuale 
Gewinnbeteiligung</t>
  </si>
  <si>
    <t xml:space="preserve">0 Waren</t>
  </si>
  <si>
    <t xml:space="preserve">Gruppe 3:</t>
  </si>
  <si>
    <t xml:space="preserve">- Fortgeschrittene 
Regeln</t>
  </si>
  <si>
    <t xml:space="preserve">Torres</t>
  </si>
  <si>
    <t xml:space="preserve">Sankt Petersburg</t>
  </si>
  <si>
    <t xml:space="preserve">- Spiel mit Erweite-
rung: "In bester Gesellschaft"
- offene Karten</t>
  </si>
  <si>
    <t xml:space="preserve">- Standard (leere Hand)</t>
  </si>
  <si>
    <t xml:space="preserve">Yucata</t>
  </si>
  <si>
    <t xml:space="preserve">- Standardspiel</t>
  </si>
  <si>
    <t xml:space="preserve">- Standardspiel (ohne
 Erweiterung)</t>
  </si>
  <si>
    <t xml:space="preserve">Angemeldete Spieler in 2020_S1</t>
  </si>
  <si>
    <t xml:space="preserve">Neuanmeldungen für S2</t>
  </si>
  <si>
    <t xml:space="preserve">Erstellung der Ligen</t>
  </si>
  <si>
    <t xml:space="preserve">Rang
aus
S0</t>
  </si>
  <si>
    <t xml:space="preserve">Nikname: 
Yukata
Boardgamearena
Boiteajeux</t>
  </si>
  <si>
    <t xml:space="preserve">Anmeldung S2</t>
  </si>
  <si>
    <t xml:space="preserve">Liga</t>
  </si>
  <si>
    <t xml:space="preserve">Ginooo
Ginooo
Ginooo</t>
  </si>
  <si>
    <t xml:space="preserve">Kai Maibaum</t>
  </si>
  <si>
    <t xml:space="preserve">MobMob3
MobMob3
*</t>
  </si>
  <si>
    <t xml:space="preserve">eumel247
eumel247
eumel247</t>
  </si>
  <si>
    <t xml:space="preserve">finkomane
finkomane
*</t>
  </si>
  <si>
    <t xml:space="preserve">w.m.3005
wm3005
wm3005</t>
  </si>
  <si>
    <t xml:space="preserve">autographus
autographus
*</t>
  </si>
  <si>
    <t xml:space="preserve">MissM
MissM1
MissM</t>
  </si>
  <si>
    <t xml:space="preserve">Markus1711
Markus1711
*</t>
  </si>
  <si>
    <t xml:space="preserve">Bienchen_2000
Bienchen_2000
*</t>
  </si>
  <si>
    <t xml:space="preserve">Palladium2000
*
*</t>
  </si>
  <si>
    <t xml:space="preserve">Mimse
*
*</t>
  </si>
  <si>
    <t xml:space="preserve">Gesamtanzahl Spieler 2020_S1:</t>
  </si>
  <si>
    <r>
      <rPr>
        <b val="true"/>
        <u val="single"/>
        <sz val="11"/>
        <color rgb="FF000000"/>
        <rFont val="Calibri"/>
        <family val="2"/>
        <charset val="1"/>
      </rPr>
      <t xml:space="preserve">Vorgabe:</t>
    </r>
    <r>
      <rPr>
        <b val="true"/>
        <sz val="11"/>
        <color rgb="FF000000"/>
        <rFont val="Calibri"/>
        <family val="2"/>
        <charset val="1"/>
      </rPr>
      <t xml:space="preserve"> In 2020_S1 werden alle Spiele auf Yucata, BGA und Boiteajeux ausgetragen.</t>
    </r>
  </si>
  <si>
    <t xml:space="preserve">Liga 1:</t>
  </si>
  <si>
    <t xml:space="preserve">1. Durchgang: </t>
  </si>
  <si>
    <t xml:space="preserve">Plattform</t>
  </si>
  <si>
    <t xml:space="preserve">Terra Mystica</t>
  </si>
  <si>
    <t xml:space="preserve">- Spielbrett: Grundspiel
- Völkertableau: Von der Auktion ausgewählte Fraktion
- Zugreihenfolge: variable Zugreihenfolge
- Mini-Erweiterung: An
- Landschaften-Erweiterung: An</t>
  </si>
  <si>
    <t xml:space="preserve">Boardgamearena</t>
  </si>
  <si>
    <t xml:space="preserve">Orakel von Delphi</t>
  </si>
  <si>
    <t xml:space="preserve">- Karte: für Fortgeschrittene (mehr Variation und Untiefen)
- Schiffplättchen Verteilung: Auswählen
- Spieldauer: Normal (12 Zeusplättchen)</t>
  </si>
  <si>
    <t xml:space="preserve">6 Nimmt!</t>
  </si>
  <si>
    <t xml:space="preserve">- Kartenset: Normales Kartendeck
- Karten legen: rechts (normales Spiel)</t>
  </si>
  <si>
    <t xml:space="preserve">Zu Zeus 
zurückgekehrt</t>
  </si>
  <si>
    <t xml:space="preserve">9 Gunstplättchen 
übrig</t>
  </si>
  <si>
    <t xml:space="preserve">11 erledigte 
Zeusaufgaben</t>
  </si>
  <si>
    <t xml:space="preserve">3 Gunstplättchen 
übrig</t>
  </si>
  <si>
    <t xml:space="preserve">10 erledigte 
Zeusaufgaben</t>
  </si>
  <si>
    <t xml:space="preserve">Summe Füße und
 Früchte: 1</t>
  </si>
  <si>
    <t xml:space="preserve">Liga 2:</t>
  </si>
  <si>
    <t xml:space="preserve">Race for the Galaxy</t>
  </si>
  <si>
    <t xml:space="preserve">- Erweiterung: Rebel-
len vs Imperium + Aufziehender Sturm
- Neue Welten: Aktiviert</t>
  </si>
  <si>
    <t xml:space="preserve">- Spielbrett: Grundspiel
- Völkertableau: Völker in Spielerreihenfolge ausgewählt
- Zugreihenfolge: variable Zugreihenfolge
- Mini-Erweiterung: An
- Landschaften-Erweiterung: An</t>
  </si>
  <si>
    <t xml:space="preserve">Snowdonia</t>
  </si>
  <si>
    <t xml:space="preserve">Auf den Spuren von 
Marco Polo</t>
  </si>
  <si>
    <t xml:space="preserve">Summe Karten und
 Waren: 3</t>
  </si>
  <si>
    <t xml:space="preserve">Summe Karten und
 Waren: 5</t>
  </si>
  <si>
    <t xml:space="preserve">Liga 3 (2 Spieler-Gruppe)</t>
  </si>
  <si>
    <t xml:space="preserve">Stone Age</t>
  </si>
  <si>
    <t xml:space="preserve">- Spielvariante: Frei</t>
  </si>
  <si>
    <t xml:space="preserve">Thurn und Taxis</t>
  </si>
  <si>
    <t xml:space="preserve">- Glanz und Gloria: An</t>
  </si>
  <si>
    <t xml:space="preserve">Angemeldete Spieler in 2020_S2</t>
  </si>
  <si>
    <t xml:space="preserve">Neuanmeldungen für S3</t>
  </si>
  <si>
    <t xml:space="preserve">Rang
aus
S1</t>
  </si>
  <si>
    <t xml:space="preserve">Anmeldung S3</t>
  </si>
  <si>
    <t xml:space="preserve">finkomane
finkomane
finkomane</t>
  </si>
  <si>
    <t xml:space="preserve">Bienchen_2000
Bienchen_2000
Bienchen_2000</t>
  </si>
  <si>
    <t xml:space="preserve">Palladium2000
Palladium2000
*</t>
  </si>
  <si>
    <t xml:space="preserve">Mimse
Mimse
*</t>
  </si>
  <si>
    <t xml:space="preserve">Gesamtanzahl Spieler 2020_S2:</t>
  </si>
  <si>
    <r>
      <rPr>
        <b val="true"/>
        <u val="single"/>
        <sz val="11"/>
        <color rgb="FF000000"/>
        <rFont val="Calibri"/>
        <family val="2"/>
        <charset val="1"/>
      </rPr>
      <t xml:space="preserve">Vorgabe:</t>
    </r>
    <r>
      <rPr>
        <b val="true"/>
        <sz val="11"/>
        <color rgb="FF000000"/>
        <rFont val="Calibri"/>
        <family val="2"/>
        <charset val="1"/>
      </rPr>
      <t xml:space="preserve"> In 2020_S2 werden alle Spiele auf Yucata, BGA und Boiteajeux ausgetragen.</t>
    </r>
  </si>
  <si>
    <t xml:space="preserve">La Granja</t>
  </si>
  <si>
    <t xml:space="preserve">- Hofphasenschritte: gleichzeitig</t>
  </si>
  <si>
    <t xml:space="preserve">Agricola</t>
  </si>
  <si>
    <t xml:space="preserve">- Variante: Turnier-
modus
- Verteilung: Auswahl - 7 von 9 (Draft)</t>
  </si>
  <si>
    <t xml:space="preserve">Boiteajeux</t>
  </si>
  <si>
    <t xml:space="preserve">- Standard (leere Hand): An</t>
  </si>
  <si>
    <t xml:space="preserve">- Auswahl der Charaktere: An</t>
  </si>
  <si>
    <t xml:space="preserve">- Erweiterung: Rebellen vs Imperium + Aufziehender Sturm
- Draft-Variante: kein Ziehen
Übernahme: Keine Übernahme
- Neue Welten: Aktiviert</t>
  </si>
  <si>
    <t xml:space="preserve">Gesamtstand L1</t>
  </si>
  <si>
    <t xml:space="preserve">Egizia</t>
  </si>
  <si>
    <t xml:space="preserve">- Spiel ohne Nilkarte 
"+ 2 Sphinxkarten ansehen"
- Spiel ohne Sphinx-Karte "Am Ende der Schlusswertung bekommst du 1 P. für je 10 P."</t>
  </si>
  <si>
    <t xml:space="preserve">- Variante: Fortgeschrittene Variante
- Verteilung: Auswahl(draft)</t>
  </si>
  <si>
    <t xml:space="preserve">- zufällige Strecke: An
- Runden: 5
- Kartenset: zufällig
- beschleunigter Ablauf: An</t>
  </si>
  <si>
    <t xml:space="preserve">2</t>
  </si>
  <si>
    <t xml:space="preserve">1</t>
  </si>
  <si>
    <t xml:space="preserve">4</t>
  </si>
  <si>
    <t xml:space="preserve">3</t>
  </si>
  <si>
    <t xml:space="preserve">Gesamtstand L2</t>
  </si>
  <si>
    <t xml:space="preserve">Liga 3 (3 Spieler-Gruppe)</t>
  </si>
  <si>
    <t xml:space="preserve">Puerto Rico</t>
  </si>
  <si>
    <t xml:space="preserve">- Ausgeglichenes Spiel: Klassisches Spiel
- Erste Erweiterung - Die neuen Gebäude: An
- Zeite Erweiterung - Die Adeligen: An
- Auswahlmethode für verfügbare Gebäude: Zufall</t>
  </si>
  <si>
    <t xml:space="preserve">Imhotep</t>
  </si>
  <si>
    <t xml:space="preserve">- Erweiterungen: keine
- Varianten: keine
- Seiten der Orte: alle zufällig</t>
  </si>
  <si>
    <t xml:space="preserve">Vorratssteine: 2</t>
  </si>
  <si>
    <t xml:space="preserve">Vorratssteine: 1</t>
  </si>
  <si>
    <t xml:space="preserve">Gesamtstand L3</t>
  </si>
  <si>
    <t xml:space="preserve">Angemeldete Spieler in 2020_S3</t>
  </si>
  <si>
    <t xml:space="preserve">Neuanmeldungen für S4</t>
  </si>
  <si>
    <t xml:space="preserve">Rang
aus
S2</t>
  </si>
  <si>
    <t xml:space="preserve">Anmeldung S4</t>
  </si>
  <si>
    <t xml:space="preserve">Markus Hundshagen</t>
  </si>
  <si>
    <t xml:space="preserve">Hundsi
Hundsi
Hundsi</t>
  </si>
  <si>
    <t xml:space="preserve">MobMob3
MobMob3
MobMob3</t>
  </si>
  <si>
    <t xml:space="preserve">Gesamtanzahl Spieler 2020_S3:</t>
  </si>
  <si>
    <r>
      <rPr>
        <b val="true"/>
        <u val="single"/>
        <sz val="11"/>
        <color rgb="FF000000"/>
        <rFont val="Calibri"/>
        <family val="2"/>
        <charset val="1"/>
      </rPr>
      <t xml:space="preserve">Vorgabe:</t>
    </r>
    <r>
      <rPr>
        <b val="true"/>
        <sz val="11"/>
        <color rgb="FF000000"/>
        <rFont val="Calibri"/>
        <family val="2"/>
        <charset val="1"/>
      </rPr>
      <t xml:space="preserve"> In 2020_S3 werden alle Spiele auf Yucata, BGA, Boiteajeux oder live am Tisch ausgetragen.</t>
    </r>
  </si>
  <si>
    <t xml:space="preserve">Mombasa</t>
  </si>
  <si>
    <t xml:space="preserve">- Erweiterung: Fire &amp; Ice
- Erweiterung: Die Händler
- Mini Erweiterung
- Karte: Basiskarte
- Mit Speziallandschaften
- Auktion der Völker</t>
  </si>
  <si>
    <t xml:space="preserve">Live am Tisch</t>
  </si>
  <si>
    <t xml:space="preserve">- Draft 7 aus 9
- Turnierregel
- Erweiterung: Artifex Deck
- Erweiterung: Bubulcus Deck
- Erweiterung: Corbarius Deck</t>
  </si>
  <si>
    <t xml:space="preserve">Gaia Project</t>
  </si>
  <si>
    <t xml:space="preserve">- Anstatt Basisvölker 
--&gt; Fanedition Völker aus Frum von BGG</t>
  </si>
  <si>
    <t xml:space="preserve">- Spiel OHNE Nilkarte "+ 2 Sphinxkarten ansehen"
- Spiel OHNE Sphinx-Karte "Am Ende der Schlusswertung bekommst du 1 P. für je 10 P."</t>
  </si>
  <si>
    <t xml:space="preserve">Roll for the Galaxy</t>
  </si>
  <si>
    <t xml:space="preserve">- Erste Erweiterung - Die neuen Gebäude: An
- Zweite Erweiterung - Die Adeligen: An
- Auswahlmethode für verfügbare Gebäude: Zufällig</t>
  </si>
  <si>
    <t xml:space="preserve">Bangkok Klongs</t>
  </si>
  <si>
    <t xml:space="preserve">- Taktisches Spiel mit 2 Nachzugstapeln: AUS</t>
  </si>
  <si>
    <t xml:space="preserve">Burgen von Burgund</t>
  </si>
  <si>
    <t xml:space="preserve">- Fortgeschrittene Regel</t>
  </si>
  <si>
    <t xml:space="preserve">Carcassonne J&amp;S</t>
  </si>
  <si>
    <t xml:space="preserve">- ohne Kultstätte: AUS
- keine Anzeige der verbleibenden Plättchen: AUS</t>
  </si>
  <si>
    <t xml:space="preserve">Targi</t>
  </si>
  <si>
    <t xml:space="preserve">SEASON 4</t>
  </si>
  <si>
    <t xml:space="preserve">Angemeldete Spieler für 2020_S4</t>
  </si>
  <si>
    <t xml:space="preserve">Rang
aus
S3</t>
  </si>
  <si>
    <t xml:space="preserve">Nikname 
Yukata</t>
  </si>
  <si>
    <t xml:space="preserve">Nikname 
Boardgamearena</t>
  </si>
  <si>
    <t xml:space="preserve">Nikname 
Boiteajeux</t>
  </si>
  <si>
    <t xml:space="preserve">Anmeldung für S5</t>
  </si>
  <si>
    <t xml:space="preserve">MissM1</t>
  </si>
  <si>
    <t xml:space="preserve">autographus</t>
  </si>
  <si>
    <t xml:space="preserve">*</t>
  </si>
  <si>
    <t xml:space="preserve">wm3005</t>
  </si>
  <si>
    <t xml:space="preserve">MobMob3</t>
  </si>
  <si>
    <t xml:space="preserve">Hundsi90</t>
  </si>
  <si>
    <t xml:space="preserve">Hundsi</t>
  </si>
  <si>
    <t xml:space="preserve">Gesamtanzahl Spieler 2020_S4:</t>
  </si>
  <si>
    <t xml:space="preserve">Neuanmeldungen für 2020_S5</t>
  </si>
  <si>
    <t xml:space="preserve">Nr.</t>
  </si>
  <si>
    <t xml:space="preserve">Nikname
Yukata</t>
  </si>
  <si>
    <t xml:space="preserve">Nikname
Boiteajeux</t>
  </si>
  <si>
    <t xml:space="preserve">Nikname auf Yucata</t>
  </si>
  <si>
    <t xml:space="preserve">- Hofphasenschritte: Gleichzeitig</t>
  </si>
  <si>
    <t xml:space="preserve">- Karte: Für Fortgeschrittene (mehr Variation und Untiefen)
- Schiffsplättchen Verteilung: Auswählen
- Spieldauer: Normal (12 Zeusplättchen)
- Weierspielen: Ja</t>
  </si>
  <si>
    <t xml:space="preserve">Yokohama</t>
  </si>
  <si>
    <t xml:space="preserve">Nickname auf der Platform wo das Spiel gespielt wird</t>
  </si>
  <si>
    <t xml:space="preserve">Charakter/Volk
(bei asynchronen Spielen)</t>
  </si>
  <si>
    <t xml:space="preserve">Punkte
(beim Start vom Spiel)</t>
  </si>
  <si>
    <t xml:space="preserve">Punkte 
(am Ende vom Spiel)</t>
  </si>
  <si>
    <t xml:space="preserve">Schiffsplättchen: Schiebe zu Beginn des Spiels deinen Schild um 2 Schritte nach rechts.</t>
  </si>
  <si>
    <t xml:space="preserve">Zu Zeus 
zurückgekehrt nach 0 zusätzlichen Runden</t>
  </si>
  <si>
    <t xml:space="preserve">1 Orakelkarte und 
8 Gunstplättchen übrig</t>
  </si>
  <si>
    <t xml:space="preserve">Schiffsplättchen: Du 
darfst deine Orakelwürfel auch gegen den Uhrzeigersinn umfärben. Außerdem hast du 2 zusätzliche Lagerplätze.</t>
  </si>
  <si>
    <t xml:space="preserve">1 Orakelkarte und 
6 Gunstplättchen übrig</t>
  </si>
  <si>
    <t xml:space="preserve">Schiffsplättchen: Die Umfärbung eines Orakelwürfels kostet dich 1 Gunstplättchen weniger.</t>
  </si>
  <si>
    <t xml:space="preserve">0 Orakelkarte und 
8 Gunstplättchen übrig</t>
  </si>
  <si>
    <t xml:space="preserve">Schiffsplättchen: Jedes 
mal wenn du mindestens 1 Gunstplättchen erhälst, nimmst du 1 Gunstplättchen zusätzlich. Das gilt auch schon bei Spielbeginn.</t>
  </si>
  <si>
    <t xml:space="preserve">Tableau 6</t>
  </si>
  <si>
    <t xml:space="preserve">Tableau 9</t>
  </si>
  <si>
    <t xml:space="preserve">Strafpunkte (z.B. wegen nichteinhalten einer Frist)</t>
  </si>
  <si>
    <t xml:space="preserve">Grund für Strafpunkt(e)</t>
  </si>
  <si>
    <t xml:space="preserve">Gesamt-Ligapunkte
(Ligapunkte abzüglich Strafpunkte)</t>
  </si>
  <si>
    <t xml:space="preserve">Nikname: 
Yukata</t>
  </si>
  <si>
    <t xml:space="preserve">Helios</t>
  </si>
  <si>
    <t xml:space="preserve">Teotihuacan: Die Stadt 
der Götter</t>
  </si>
  <si>
    <t xml:space="preserve">- Aufbau erstes Spiel: Aus
- Eklipse Option: normal
- Startplättchen: normal
- Pyramidenaufbau: normal</t>
  </si>
  <si>
    <t xml:space="preserve">Pandoria</t>
  </si>
  <si>
    <t xml:space="preserve">- Spielversion: Standard
- Volksgruppe: Basis
- Zuordnung der Völker: zufällig, einzigartig
- Spielplananordnung: Standard</t>
  </si>
  <si>
    <t xml:space="preserve">Menschen</t>
  </si>
  <si>
    <t xml:space="preserve">Magier</t>
  </si>
  <si>
    <t xml:space="preserve">Halblinge</t>
  </si>
  <si>
    <t xml:space="preserve">Elfen</t>
  </si>
  <si>
    <t xml:space="preserve">- Option: ohne Kultstätte: AUS
- Option: keine Anzeige der verbleibenden Plättchen: AUS</t>
  </si>
  <si>
    <t xml:space="preserve">Tea Time</t>
  </si>
  <si>
    <t xml:space="preserve">4 Gewinnt</t>
  </si>
  <si>
    <t xml:space="preserve">Can't Stop</t>
  </si>
  <si>
    <t xml:space="preserve">- Spalten zum Gewinnen: 3
- Bewegungsregeln: Original</t>
  </si>
  <si>
    <t xml:space="preserve">SEASON 5</t>
  </si>
  <si>
    <t xml:space="preserve">Angemeldete Spieler für 2020_S5</t>
  </si>
  <si>
    <t xml:space="preserve">Rang
aus
S4</t>
  </si>
  <si>
    <t xml:space="preserve">Anmeldung für S6</t>
  </si>
  <si>
    <t xml:space="preserve">Gesamtanzahl Spieler 2020_S5:</t>
  </si>
  <si>
    <t xml:space="preserve">Neuanmeldungen für 2020_S6</t>
  </si>
  <si>
    <t xml:space="preserve">Daniel Zimmerman</t>
  </si>
  <si>
    <t xml:space="preserve">Zimbaland</t>
  </si>
  <si>
    <t xml:space="preserve">- Ausgeglichenes Spiel: klassisches Spiel
- Erste Erweiterung "Die neuen Gebäude": An
- Zweiter Erweitung "Die Adeligen": An
- Auswahlmethode für verfügbare Gebäude: Zufällig</t>
  </si>
  <si>
    <t xml:space="preserve">- Spielbrett: Feuer &amp; Ice
- Völkertableau: Von der Auktion ausgewählte Fraktionen
- Zugreihenfolge: variable Zugreihenfolge
- Mini-Erweiterung: An
- Landschaften-Erweiterung: An</t>
  </si>
  <si>
    <t xml:space="preserve">Tzolk'in</t>
  </si>
  <si>
    <t xml:space="preserve">Nomaden</t>
  </si>
  <si>
    <t xml:space="preserve">Schwarmlinge</t>
  </si>
  <si>
    <t xml:space="preserve">Giganten</t>
  </si>
  <si>
    <t xml:space="preserve">Anzahl Würfel im Becher +
Galatische Credits: 6</t>
  </si>
  <si>
    <t xml:space="preserve">Anzahl Würfel im Becher +
Galatische Credits: 5</t>
  </si>
  <si>
    <t xml:space="preserve">Liga 2 (3-Spieler-Gruppe):</t>
  </si>
  <si>
    <t xml:space="preserve">- Strecke: zufällig
- Runden: 5
- Kartenset: zufällig
- Variante "beschleunigter Ablauf": Ja
- Variante "Einfädeln erlaubt": Nein</t>
  </si>
  <si>
    <t xml:space="preserve">Colt Express</t>
  </si>
  <si>
    <t xml:space="preserve">- Charakterauswahl: Spielerauswahl
- Handmanagement: Grundspiel</t>
  </si>
  <si>
    <t xml:space="preserve">1. Position</t>
  </si>
  <si>
    <t xml:space="preserve">3. Position</t>
  </si>
  <si>
    <t xml:space="preserve">2. Position</t>
  </si>
  <si>
    <t xml:space="preserve">Ghost</t>
  </si>
  <si>
    <t xml:space="preserve">Django</t>
  </si>
  <si>
    <t xml:space="preserve">Doc</t>
  </si>
  <si>
    <t xml:space="preserve">Liga 3 (2-Spieler-Gruppe)</t>
  </si>
  <si>
    <t xml:space="preserve">- Spielbrett: Feuer &amp; Ice
- Völkertableau: Völker in Spielreihenfolge ausgewählt
- Zugreihenfolge: Im Uhrzeigersinn vom Startspieler
- Mini-Erweiterung: An
- Landschaften-Erweiterung: Aus</t>
  </si>
  <si>
    <t xml:space="preserve">Clans of Caledonia</t>
  </si>
  <si>
    <t xml:space="preserve">- Plättchen aus der Kickstarter-Kampagne verwenden: An
- Ohne Clan: Aus
- Statische Improtgüter (jeweils 4 SP): Aus
- Ohne Hafenplättchen: Aus
- Ohne Wertungsplättchen: Aus
- Clan-Auktion (Empfohlen nur für erfahrene Clan-Chiefs!): Aus</t>
  </si>
  <si>
    <t xml:space="preserve">- Spielvariante: frei</t>
  </si>
  <si>
    <t xml:space="preserve">Kingdomino</t>
  </si>
  <si>
    <t xml:space="preserve">- Das Reich der Mitte: Aus
- Harmonie: Aus
- Das große Duell: An (7x7-Feld)</t>
  </si>
  <si>
    <t xml:space="preserve">Alchemisten</t>
  </si>
  <si>
    <t xml:space="preserve">Tableau 2</t>
  </si>
  <si>
    <t xml:space="preserve">SEASON 6</t>
  </si>
  <si>
    <t xml:space="preserve">Angemeldete Spieler für 2020_S6</t>
  </si>
  <si>
    <t xml:space="preserve">Rang
aus
S5</t>
  </si>
  <si>
    <t xml:space="preserve">Anmeldung für S7</t>
  </si>
  <si>
    <t xml:space="preserve">Gesamtanzahl Spieler 2020_S6:</t>
  </si>
  <si>
    <t xml:space="preserve">Neuanmeldungen für 2020_S7</t>
  </si>
  <si>
    <t xml:space="preserve">Liga 1</t>
  </si>
  <si>
    <t xml:space="preserve">City of the Big 
Shoulders</t>
  </si>
  <si>
    <t xml:space="preserve">- Öffentliche Ziele: Ja
- Erweiterte Spielregeln: Nein
- freundlicher Aktienverkauf: Nein</t>
  </si>
  <si>
    <t xml:space="preserve">- Option: Spiel ohne Nilkarte "+ 2 Sphinxkarten ansehen: Aktiviert
- Option: Spiel OHNE Sphinx-Karte "Am Ende der Schlusswertung bekommst du 1 P. für je 10 P.": Aktiviert</t>
  </si>
  <si>
    <t xml:space="preserve">Rajas of the Ganges</t>
  </si>
  <si>
    <t xml:space="preserve">- gemischte Runden: Deaktiviert
- Navaratnas-Variante: Deaktiviert
- Ganga Modul: Deaktiviert
- Mango-Dorf: Deaktiviert</t>
  </si>
  <si>
    <t xml:space="preserve">A.G. SPALDING AND BROS</t>
  </si>
  <si>
    <t xml:space="preserve">C.M. Henderson's &amp; Co.</t>
  </si>
  <si>
    <t xml:space="preserve">Anglo-American 
Provision Co.</t>
  </si>
  <si>
    <t xml:space="preserve">BRUNSWICK-BALKE-
COLLENDER CO.</t>
  </si>
  <si>
    <t xml:space="preserve">Liga 2</t>
  </si>
  <si>
    <t xml:space="preserve">Teotihuacan: Die Stadt
 der Götter</t>
  </si>
  <si>
    <t xml:space="preserve">Packet Row</t>
  </si>
  <si>
    <t xml:space="preserve">Die Burgen von Burgund</t>
  </si>
  <si>
    <t xml:space="preserve">Geld: $3</t>
  </si>
  <si>
    <t xml:space="preserve">Geld: $18</t>
  </si>
  <si>
    <t xml:space="preserve">Tableau 1</t>
  </si>
  <si>
    <t xml:space="preserve">Tableau 5</t>
  </si>
  <si>
    <t xml:space="preserve">Cheyenne</t>
  </si>
  <si>
    <t xml:space="preserve">Belle</t>
  </si>
  <si>
    <t xml:space="preserve">Liga 3</t>
  </si>
  <si>
    <t xml:space="preserve">- Spielbrett: Grundspiel
- Völkertableau: Von der Auktion ausgewählte Fraktionen
- Zugreihenfolge: variable Zugreihenfolge
- Mini-Erweiterung: An
- Landschaften-Erweiterung: An</t>
  </si>
  <si>
    <t xml:space="preserve">Through the Ages: Eine neue Geschichte der Zivilisation</t>
  </si>
  <si>
    <t xml:space="preserve">- Plättchen aus der Kickstarter-Kampagne verwenden: An
- Ohne Clan: Aus
- Statische Importgüter (jeweils 4 SP): Aus
- Ohne Hafenplättchen: Aus
- Ohne Wertungsplättchen: Aus
- Clan-Auktion (Empfohlen nur für erfahrene Clan-Chiefs!): Aus</t>
  </si>
  <si>
    <t xml:space="preserve">- Karte: Für Fortgeschrittene (mehr Variation und Untiefen)
- Schiffsplättchen Verteilung: Auswählen
- Spieldauer: Normal (12 Zeusplättchen)
- Weierspielen: Nein</t>
  </si>
  <si>
    <t xml:space="preserve">- Spielversion: Expertenspiel
- Friedliche Variante: Aus</t>
  </si>
  <si>
    <t xml:space="preserve">City of the Big Shoulders</t>
  </si>
  <si>
    <t xml:space="preserve">- Öffentliche Ziele: Ja
- Erweiterte Spielregeln: Ja
- freundlicher Aktienverkauf: Nein</t>
  </si>
  <si>
    <t xml:space="preserve">Nixen</t>
  </si>
  <si>
    <t xml:space="preserve">Kultisten</t>
  </si>
  <si>
    <t xml:space="preserve">Konstrukteure</t>
  </si>
  <si>
    <t xml:space="preserve">Clan Buchanan</t>
  </si>
  <si>
    <t xml:space="preserve">Clan MacKenzie</t>
  </si>
  <si>
    <t xml:space="preserve">Clan Fergusson</t>
  </si>
  <si>
    <t xml:space="preserve">Clan Campbell</t>
  </si>
  <si>
    <t xml:space="preserve">Schiffsplättchen: 
Schiebe zu Beginn des Spiels deinen Schild um 2 Schritte nach rechts.</t>
  </si>
  <si>
    <t xml:space="preserve">11 erledigte Zeusaufgaben</t>
  </si>
  <si>
    <t xml:space="preserve">0 Orakelkarten und 
1 Gunstplättchen übrig</t>
  </si>
  <si>
    <t xml:space="preserve">Schiffsplättchen:
Du darfst deinen Orakelwürfel auch gegen den Uhrzeigersinn umfärben. Außerdem hast du 2 zusätzliche Lagerplätze.</t>
  </si>
  <si>
    <t xml:space="preserve">1 Orakelkarten und 
5 Gunstplättchen übrig</t>
  </si>
  <si>
    <t xml:space="preserve">Schiffsplättchen:
Nimm zu Beginn des Spiels 1 Ausrüstungskarte aus der Auslage und nimm 1 Orakelkarte vom Nachziehstapel.</t>
  </si>
  <si>
    <t xml:space="preserve">0 Orakelkarten und 
2 Gunstplättchen übrig</t>
  </si>
  <si>
    <t xml:space="preserve">Schiffsplättchen: 
Die Reichweite deines Schiffes ist um 2 Felder höher.</t>
  </si>
  <si>
    <t xml:space="preserve">THE CRACKER JACK CO.</t>
  </si>
  <si>
    <t xml:space="preserve">N.K. FAIRBANK &amp; CO.</t>
  </si>
  <si>
    <t xml:space="preserve">SEASON 7</t>
  </si>
  <si>
    <t xml:space="preserve">Angemeldete Spieler für 2020_S7</t>
  </si>
  <si>
    <t xml:space="preserve">Rang
aus
S6</t>
  </si>
  <si>
    <t xml:space="preserve">Anmeldung für S8</t>
  </si>
  <si>
    <t xml:space="preserve">Gesamtanzahl Spieler 2020_S7:</t>
  </si>
  <si>
    <t xml:space="preserve">Neuanmeldungen für 2020_S8</t>
  </si>
  <si>
    <t xml:space="preserve">Lisa Schätzle</t>
  </si>
  <si>
    <t xml:space="preserve">Eumeline</t>
  </si>
  <si>
    <t xml:space="preserve">Lise-lotte</t>
  </si>
  <si>
    <t xml:space="preserve">Franziska Büchner</t>
  </si>
  <si>
    <t xml:space="preserve">Frannnyy</t>
  </si>
  <si>
    <t xml:space="preserve">- Variante: Turnier-modus
- Verteilung: Auswahl - 7 von 9 (Draft)</t>
  </si>
  <si>
    <t xml:space="preserve">Marco Polo II: Im Auftrag des Khan</t>
  </si>
  <si>
    <t xml:space="preserve">- Variante Schwarzer Würfel: Nein
- Die Karawananen-Erweiterung: Ja
- Alle Charaktere aufnehmen: Nein</t>
  </si>
  <si>
    <t xml:space="preserve">- Spielvariante: Fortgeschrittene Regeln</t>
  </si>
  <si>
    <t xml:space="preserve">Russian Railroads</t>
  </si>
  <si>
    <t xml:space="preserve">Thunderstone</t>
  </si>
  <si>
    <t xml:space="preserve">- Option: Kämpfe ungeschehen machen ist möglich: Aktiviert
- Wählen Deck: Zufällige Karten OHNE SELURISCHER</t>
  </si>
  <si>
    <t xml:space="preserve">Vidal Badoer</t>
  </si>
  <si>
    <t xml:space="preserve">Mailin und Tian Chin</t>
  </si>
  <si>
    <t xml:space="preserve">Tabaldo Visconti di 
Piacenza</t>
  </si>
  <si>
    <t xml:space="preserve">Donata Badoer</t>
  </si>
  <si>
    <t xml:space="preserve">Auf den Spuren von Marco Polo</t>
  </si>
  <si>
    <t xml:space="preserve">- Expertenvariante: An</t>
  </si>
  <si>
    <t xml:space="preserve">4. Position</t>
  </si>
  <si>
    <t xml:space="preserve">Clan Stewart</t>
  </si>
  <si>
    <t xml:space="preserve">Wilhelm von Rubruk</t>
  </si>
  <si>
    <t xml:space="preserve">Mercator ex Tabriz</t>
  </si>
  <si>
    <t xml:space="preserve">Raschid ad-Din Sinan</t>
  </si>
  <si>
    <t xml:space="preserve">Kubilai Khan</t>
  </si>
  <si>
    <t xml:space="preserve">Liga 3 (3-Spieler-Gruppe)</t>
  </si>
  <si>
    <t xml:space="preserve">Through the Ages: A new Story of Civilization</t>
  </si>
  <si>
    <t xml:space="preserve">Schiffsplättchen: Deine Götter starten alle in der Reihe, die der Spieleranzahl entspricht. Nach Ausführen ihrer Sonderaktion setzt du sie wieder auf die Reihe, die der Spieleranzahl entspricht, anstatt auf die unterste Reihe.</t>
  </si>
  <si>
    <t xml:space="preserve">Schiffsplättchen: 
Das Umfärben eines Orakelwürfels kostet dich 1 Gunstplättchen weniger als üblich.</t>
  </si>
  <si>
    <t xml:space="preserve">Zu Zeus 
zurückgekehrt nach 3 zusätzlichen Runden</t>
  </si>
  <si>
    <t xml:space="preserve">SEASON 8</t>
  </si>
  <si>
    <t xml:space="preserve">Angemeldete Spieler für 2020_S8</t>
  </si>
  <si>
    <t xml:space="preserve">Rang
aus
S7</t>
  </si>
  <si>
    <t xml:space="preserve">Anmeldung für 
2021_S1</t>
  </si>
  <si>
    <t xml:space="preserve">Gesamtanzahl Spieler 2020_S8:</t>
  </si>
  <si>
    <t xml:space="preserve">The King's Guild</t>
  </si>
  <si>
    <t xml:space="preserve">- Solospiel: Aus</t>
  </si>
  <si>
    <t xml:space="preserve">Explorers League</t>
  </si>
  <si>
    <t xml:space="preserve">Mercantile Trust</t>
  </si>
  <si>
    <t xml:space="preserve">Greycastle Guard</t>
  </si>
  <si>
    <t xml:space="preserve">The Holy Order</t>
  </si>
  <si>
    <t xml:space="preserve">6 + Epsilon Eridani</t>
  </si>
  <si>
    <t xml:space="preserve">5 + Alte Erde</t>
  </si>
  <si>
    <t xml:space="preserve">1 + Vergessene Erdkolonie</t>
  </si>
  <si>
    <t xml:space="preserve">2 + New Sparta</t>
  </si>
  <si>
    <t xml:space="preserve">Clan Robertson</t>
  </si>
  <si>
    <t xml:space="preserve">- Option "Einsteigerspiel": Deaktiviert</t>
  </si>
  <si>
    <t xml:space="preserve">- Erweiterung "Privat-Boote": Deaktiviert
- Erweiterung "Die Wetten": Deaktiviert
- Erweiterung "Die Gunst des Pharaoh": Deaktiviert
- Erweiterung "Götterprophezeiungen": Deaktiviert
- Erweiterung "Zusätzliche Marktkarten": Aktiviert
- Varianten "Zorn des Pharaoh": Aktiviert
- Varianten "Unbegrenzte Steine": Deaktiviert
- Seiten der Orte wählen "Markt": zufällig
- Seiten der Orte wählen "Pyramide": zufällig
- Seiten der Orte wählen "Tempel": zufällig
- Seiten der Orte wählen "Grabkammer": zufällig
- Seiten der Orte wählen "Obelisken": zufällig
</t>
  </si>
  <si>
    <t xml:space="preserve">Berke Khan</t>
  </si>
  <si>
    <t xml:space="preserve">Niccolo &amp; Marco Polo</t>
  </si>
  <si>
    <t xml:space="preserve">Schiffsplättchen: 
Du darfst deine Orakelwürfel auch gegen den Uhrzeigersinn umfärben. Außerdem hast du 2 zusätzliche Lagerplätze.</t>
  </si>
  <si>
    <t xml:space="preserve">9 erledigte 
Zeusaufgaben</t>
  </si>
  <si>
    <t xml:space="preserve">Schiffsplättchen: 
Jedes Mal, wenn du mindestens 1 Gunstplättchen erhälst, nimmst du 1 Gunstplättchen zusätzlich. Das gilt auch schon bei der Ausgabe der Gunstplättchen bei Spielbeginn.</t>
  </si>
  <si>
    <t xml:space="preserve">Zu Zeus 
zurückgekehrt nach 2 zusätzlichen Runde</t>
  </si>
  <si>
    <t xml:space="preserve">Schiffsplättchen: 
Schiebe zu Beginn des Spiels deinen Schild um 2 Schritte nach rechts</t>
  </si>
  <si>
    <t xml:space="preserve">Zu Zeus 
zurückgekehrt nach 1 zusätzlichen Runde</t>
  </si>
  <si>
    <t xml:space="preserve">- Spielvariante: Fortgeschrittene Variante</t>
  </si>
  <si>
    <t xml:space="preserve">Tableau 4</t>
  </si>
  <si>
    <t xml:space="preserve">1 
(1/4 Punkt der übrig ist = 10; Jeder Arbeiter der noch auf dem Rad ist = 1)</t>
  </si>
  <si>
    <t xml:space="preserve">21
(1/4 Punkt der übrig ist = 10; Jeder Arbeiter der noch auf dem Rad ist = 1)</t>
  </si>
  <si>
    <t xml:space="preserve">GESAMTWERTUNG 2020</t>
  </si>
  <si>
    <t xml:space="preserve">Stand nach 8 von 8 Seasons</t>
  </si>
  <si>
    <t xml:space="preserve">Rang</t>
  </si>
  <si>
    <t xml:space="preserve">Nickname Yucata</t>
  </si>
  <si>
    <t xml:space="preserve">Nickname BGA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</si>
  <si>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</si>
  <si>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</si>
  <si>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</si>
  <si>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</si>
  <si>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</si>
  <si>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</si>
  <si>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</si>
  <si>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</si>
  <si>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</si>
  <si>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</si>
  <si>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</si>
  <si>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</si>
  <si>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</si>
  <si>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5
(S1, S3, S5, S6, S7, S8)</t>
  </si>
  <si>
    <t xml:space="preserve">2 
(S2, S4)</t>
  </si>
  <si>
    <t xml:space="preserve">1
(S4)</t>
  </si>
  <si>
    <t xml:space="preserve">2
(S5, S6)</t>
  </si>
  <si>
    <t xml:space="preserve">1
(S7)</t>
  </si>
  <si>
    <t xml:space="preserve">1
(S8)</t>
  </si>
  <si>
    <t xml:space="preserve">1
(S3)</t>
  </si>
  <si>
    <t xml:space="preserve">1
(S1)</t>
  </si>
  <si>
    <t xml:space="preserve">1
(S2)</t>
  </si>
  <si>
    <t xml:space="preserve">1
(S6)</t>
  </si>
  <si>
    <t xml:space="preserve">2
(S1, S8)</t>
  </si>
  <si>
    <t xml:space="preserve">1
(S5)</t>
  </si>
  <si>
    <t xml:space="preserve">2
(S4, S7)</t>
  </si>
  <si>
    <t xml:space="preserve">2
(S1, S6)</t>
  </si>
  <si>
    <t xml:space="preserve">4
(S3, S4, S5, S6)</t>
  </si>
  <si>
    <t xml:space="preserve">2
(S3, S8)</t>
  </si>
  <si>
    <t xml:space="preserve">Daniel Zimmermann</t>
  </si>
  <si>
    <t xml:space="preserve">2
(S1, S4)</t>
  </si>
  <si>
    <t xml:space="preserve">2
(S2, S7)</t>
  </si>
  <si>
    <t xml:space="preserve">2
(S1, S3)</t>
  </si>
  <si>
    <t xml:space="preserve">3
(S4, S5, S6)</t>
  </si>
</sst>
</file>

<file path=xl/styles.xml><?xml version="1.0" encoding="utf-8"?>
<styleSheet xmlns="http://schemas.openxmlformats.org/spreadsheetml/2006/main">
  <numFmts count="7">
    <numFmt numFmtId="164" formatCode="General"/>
    <numFmt numFmtId="165" formatCode="General"/>
    <numFmt numFmtId="166" formatCode="0.000"/>
    <numFmt numFmtId="167" formatCode="0.00"/>
    <numFmt numFmtId="168" formatCode="0"/>
    <numFmt numFmtId="169" formatCode="@"/>
    <numFmt numFmtId="170" formatCode="0.0"/>
  </numFmts>
  <fonts count="1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name val="Calibri"/>
      <family val="2"/>
      <charset val="1"/>
    </font>
    <font>
      <sz val="11"/>
      <color rgb="FFFF0000"/>
      <name val="Calibri"/>
      <family val="2"/>
      <charset val="1"/>
    </font>
    <font>
      <sz val="11"/>
      <color rgb="FF00B050"/>
      <name val="Calibri"/>
      <family val="2"/>
      <charset val="1"/>
    </font>
    <font>
      <b val="true"/>
      <u val="single"/>
      <sz val="11"/>
      <color rgb="FF000000"/>
      <name val="Calibri"/>
      <family val="2"/>
      <charset val="1"/>
    </font>
    <font>
      <b val="true"/>
      <sz val="24"/>
      <color rgb="FF000000"/>
      <name val="Calibri"/>
      <family val="2"/>
      <charset val="1"/>
    </font>
    <font>
      <b val="true"/>
      <sz val="11"/>
      <name val="Calibri"/>
      <family val="2"/>
      <charset val="1"/>
    </font>
    <font>
      <b val="true"/>
      <sz val="18"/>
      <color rgb="FF000000"/>
      <name val="Calibri"/>
      <family val="2"/>
      <charset val="1"/>
    </font>
    <font>
      <sz val="26"/>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4">
    <fill>
      <patternFill patternType="none"/>
    </fill>
    <fill>
      <patternFill patternType="gray125"/>
    </fill>
    <fill>
      <patternFill patternType="solid">
        <fgColor rgb="FFFFFF00"/>
        <bgColor rgb="FFFFFF00"/>
      </patternFill>
    </fill>
    <fill>
      <patternFill patternType="solid">
        <fgColor rgb="FFFFC000"/>
        <bgColor rgb="FFFFCC00"/>
      </patternFill>
    </fill>
    <fill>
      <patternFill patternType="solid">
        <fgColor rgb="FF000000"/>
        <bgColor rgb="FF003300"/>
      </patternFill>
    </fill>
    <fill>
      <patternFill patternType="solid">
        <fgColor rgb="FF92D050"/>
        <bgColor rgb="FFB2B2B2"/>
      </patternFill>
    </fill>
    <fill>
      <patternFill patternType="solid">
        <fgColor rgb="FF00B0F0"/>
        <bgColor rgb="FF33CCCC"/>
      </patternFill>
    </fill>
    <fill>
      <patternFill patternType="solid">
        <fgColor rgb="FFFF0000"/>
        <bgColor rgb="FF993300"/>
      </patternFill>
    </fill>
    <fill>
      <patternFill patternType="solid">
        <fgColor rgb="FFFF33CC"/>
        <bgColor rgb="FFFF00FF"/>
      </patternFill>
    </fill>
    <fill>
      <patternFill patternType="solid">
        <fgColor rgb="FFFFFFFF"/>
        <bgColor rgb="FFFFFFCC"/>
      </patternFill>
    </fill>
    <fill>
      <patternFill patternType="solid">
        <fgColor rgb="FF00FF00"/>
        <bgColor rgb="FF00B050"/>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6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medium"/>
      <diagonal/>
    </border>
    <border diagonalUp="false" diagonalDown="false">
      <left style="medium"/>
      <right/>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right style="medium"/>
      <top style="medium"/>
      <bottom style="medium"/>
      <diagonal/>
    </border>
    <border diagonalUp="false" diagonalDown="false">
      <left/>
      <right/>
      <top style="medium"/>
      <bottom/>
      <diagonal/>
    </border>
    <border diagonalUp="false" diagonalDown="false">
      <left/>
      <right style="medium"/>
      <top style="medium"/>
      <botto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style="medium"/>
      <right/>
      <top/>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style="thin"/>
      <right style="thin"/>
      <top style="medium"/>
      <bottom style="medium"/>
      <diagonal/>
    </border>
    <border diagonalUp="false" diagonalDown="false">
      <left style="thin"/>
      <right style="thin"/>
      <top/>
      <bottom/>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right style="medium"/>
      <top style="medium"/>
      <bottom style="thin"/>
      <diagonal/>
    </border>
    <border diagonalUp="false" diagonalDown="false">
      <left style="medium"/>
      <right/>
      <top style="medium"/>
      <bottom style="thin"/>
      <diagonal/>
    </border>
    <border diagonalUp="false" diagonalDown="false">
      <left/>
      <right style="medium"/>
      <top style="thin"/>
      <bottom style="thin"/>
      <diagonal/>
    </border>
    <border diagonalUp="false" diagonalDown="false">
      <left style="medium"/>
      <right/>
      <top style="thin"/>
      <bottom style="thin"/>
      <diagonal/>
    </border>
    <border diagonalUp="false" diagonalDown="false">
      <left/>
      <right style="medium"/>
      <top style="thin"/>
      <bottom style="medium"/>
      <diagonal/>
    </border>
    <border diagonalUp="false" diagonalDown="false">
      <left style="medium"/>
      <right/>
      <top style="thin"/>
      <bottom style="medium"/>
      <diagonal/>
    </border>
    <border diagonalUp="false" diagonalDown="false">
      <left style="medium"/>
      <right style="medium"/>
      <top/>
      <bottom/>
      <diagonal/>
    </border>
    <border diagonalUp="false" diagonalDown="false">
      <left/>
      <right/>
      <top style="medium"/>
      <bottom style="thin"/>
      <diagonal/>
    </border>
    <border diagonalUp="false" diagonalDown="false">
      <left/>
      <right/>
      <top style="thin"/>
      <bottom style="thin"/>
      <diagonal/>
    </border>
    <border diagonalUp="false" diagonalDown="false">
      <left/>
      <right/>
      <top style="thin"/>
      <bottom style="medium"/>
      <diagonal/>
    </border>
    <border diagonalUp="false" diagonalDown="false">
      <left style="medium"/>
      <right style="medium"/>
      <top/>
      <bottom style="thin"/>
      <diagonal/>
    </border>
    <border diagonalUp="false" diagonalDown="false">
      <left style="medium"/>
      <right style="thin"/>
      <top/>
      <bottom/>
      <diagonal/>
    </border>
    <border diagonalUp="false" diagonalDown="false">
      <left style="thin"/>
      <right style="medium"/>
      <top/>
      <bottom/>
      <diagonal/>
    </border>
    <border diagonalUp="false" diagonalDown="false">
      <left/>
      <right style="thin"/>
      <top/>
      <bottom/>
      <diagonal/>
    </border>
    <border diagonalUp="false" diagonalDown="false">
      <left style="thin"/>
      <right style="thin"/>
      <top style="medium"/>
      <bottom/>
      <diagonal/>
    </border>
    <border diagonalUp="false" diagonalDown="false">
      <left style="thin"/>
      <right style="thin"/>
      <top/>
      <bottom style="medium"/>
      <diagonal/>
    </border>
    <border diagonalUp="false" diagonalDown="false">
      <left style="thin"/>
      <right/>
      <top/>
      <bottom style="thin"/>
      <diagonal/>
    </border>
    <border diagonalUp="false" diagonalDown="false">
      <left/>
      <right style="thin"/>
      <top style="medium"/>
      <bottom/>
      <diagonal/>
    </border>
    <border diagonalUp="false" diagonalDown="false">
      <left style="thin"/>
      <right style="medium"/>
      <top style="medium"/>
      <bottom/>
      <diagonal/>
    </border>
    <border diagonalUp="false" diagonalDown="false">
      <left style="medium"/>
      <right style="thin"/>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81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false" indent="0" shrinkToFit="false"/>
      <protection locked="true" hidden="false"/>
    </xf>
    <xf numFmtId="164" fontId="4" fillId="2" borderId="2"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false" indent="0" shrinkToFit="false"/>
      <protection locked="true" hidden="false"/>
    </xf>
    <xf numFmtId="164" fontId="5" fillId="0" borderId="4" xfId="0" applyFont="true" applyBorder="true" applyAlignment="true" applyProtection="false">
      <alignment horizontal="general"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5" fontId="0" fillId="0" borderId="4" xfId="0" applyFont="false" applyBorder="true" applyAlignment="true" applyProtection="false">
      <alignment horizontal="general" vertical="center" textRotation="0" wrapText="false" indent="0" shrinkToFit="false"/>
      <protection locked="true" hidden="false"/>
    </xf>
    <xf numFmtId="165" fontId="0" fillId="0" borderId="5" xfId="0" applyFont="false" applyBorder="true" applyAlignment="true" applyProtection="false">
      <alignment horizontal="general" vertical="center" textRotation="0" wrapText="false" indent="0" shrinkToFit="false"/>
      <protection locked="true" hidden="false"/>
    </xf>
    <xf numFmtId="164" fontId="0" fillId="0" borderId="5"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4" fontId="5" fillId="0" borderId="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5" fontId="0" fillId="0" borderId="8" xfId="0" applyFont="false" applyBorder="true" applyAlignment="true" applyProtection="false">
      <alignment horizontal="general"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13" xfId="0" applyFont="false" applyBorder="true" applyAlignment="true" applyProtection="false">
      <alignment horizontal="general" vertical="center" textRotation="0" wrapText="fals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false" indent="0" shrinkToFit="false"/>
      <protection locked="true" hidden="false"/>
    </xf>
    <xf numFmtId="164" fontId="5" fillId="0" borderId="12"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3" borderId="2" xfId="0" applyFont="true" applyBorder="true" applyAlignment="true" applyProtection="false">
      <alignment horizontal="right" vertical="center" textRotation="0" wrapText="false" indent="0" shrinkToFit="false"/>
      <protection locked="true" hidden="false"/>
    </xf>
    <xf numFmtId="164" fontId="4" fillId="3" borderId="1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8" fillId="3" borderId="0"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4" fillId="4" borderId="0" xfId="0" applyFont="true" applyBorder="fals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9" fillId="2" borderId="0" xfId="0" applyFont="true" applyBorder="true" applyAlignment="true" applyProtection="false">
      <alignment horizontal="left" vertical="center" textRotation="0" wrapText="false" indent="0" shrinkToFit="false"/>
      <protection locked="true" hidden="false"/>
    </xf>
    <xf numFmtId="164" fontId="4" fillId="0" borderId="3"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left" vertical="center" textRotation="0" wrapText="tru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false" indent="0" shrinkToFit="false"/>
      <protection locked="true" hidden="false"/>
    </xf>
    <xf numFmtId="164" fontId="4" fillId="0" borderId="6" xfId="0" applyFont="true" applyBorder="true" applyAlignment="true" applyProtection="false">
      <alignment horizontal="general" vertical="center" textRotation="0" wrapText="false" indent="0" shrinkToFit="false"/>
      <protection locked="true" hidden="false"/>
    </xf>
    <xf numFmtId="164" fontId="0" fillId="6" borderId="20" xfId="0" applyFont="true" applyBorder="true" applyAlignment="true" applyProtection="false">
      <alignment horizontal="general" vertical="center" textRotation="0" wrapText="false" indent="0" shrinkToFit="false"/>
      <protection locked="true" hidden="false"/>
    </xf>
    <xf numFmtId="164" fontId="0" fillId="0" borderId="21" xfId="0" applyFont="true" applyBorder="tru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false">
      <alignment horizontal="center"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0" fillId="0" borderId="24"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0" fillId="8" borderId="10"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general" vertical="center" textRotation="0" wrapText="false" indent="0" shrinkToFit="false"/>
      <protection locked="true" hidden="false"/>
    </xf>
    <xf numFmtId="164" fontId="0" fillId="0" borderId="27"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4" fillId="5" borderId="28" xfId="0" applyFont="true" applyBorder="true" applyAlignment="true" applyProtection="false">
      <alignment horizontal="center" vertical="center" textRotation="0" wrapText="false" indent="0" shrinkToFit="false"/>
      <protection locked="true" hidden="false"/>
    </xf>
    <xf numFmtId="164" fontId="4" fillId="5" borderId="0"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true" indent="0" shrinkToFit="false"/>
      <protection locked="true" hidden="false"/>
    </xf>
    <xf numFmtId="164" fontId="4" fillId="0" borderId="1" xfId="0" applyFont="true" applyBorder="true" applyAlignment="true" applyProtection="false">
      <alignment horizontal="center" vertical="center" textRotation="0" wrapText="true" indent="0" shrinkToFit="false"/>
      <protection locked="true" hidden="false"/>
    </xf>
    <xf numFmtId="164" fontId="4" fillId="0" borderId="18" xfId="0" applyFont="true" applyBorder="true" applyAlignment="true" applyProtection="false">
      <alignment horizontal="center" vertical="center" textRotation="0" wrapText="false" indent="0" shrinkToFit="false"/>
      <protection locked="true" hidden="false"/>
    </xf>
    <xf numFmtId="166" fontId="0" fillId="0" borderId="5" xfId="0" applyFont="false" applyBorder="true" applyAlignment="true" applyProtection="false">
      <alignment horizontal="center" vertical="center" textRotation="0" wrapText="false" indent="0" shrinkToFit="false"/>
      <protection locked="true" hidden="false"/>
    </xf>
    <xf numFmtId="164" fontId="0" fillId="0" borderId="20" xfId="0" applyFont="false" applyBorder="true" applyAlignment="true" applyProtection="false">
      <alignment horizontal="center" vertical="center" textRotation="0" wrapText="false" indent="0" shrinkToFit="false"/>
      <protection locked="true" hidden="false"/>
    </xf>
    <xf numFmtId="165" fontId="0" fillId="0" borderId="4" xfId="0" applyFont="false" applyBorder="true" applyAlignment="true" applyProtection="false">
      <alignment horizontal="center" vertical="center" textRotation="0" wrapText="false" indent="0" shrinkToFit="false"/>
      <protection locked="true" hidden="false"/>
    </xf>
    <xf numFmtId="166" fontId="0" fillId="0" borderId="8" xfId="0" applyFont="false" applyBorder="true" applyAlignment="true" applyProtection="false">
      <alignment horizontal="center" vertical="center" textRotation="0" wrapText="fals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6" fontId="6" fillId="0" borderId="11" xfId="0" applyFont="true" applyBorder="true" applyAlignment="true" applyProtection="false">
      <alignment horizontal="center" vertical="center" textRotation="0" wrapText="false" indent="0" shrinkToFit="false"/>
      <protection locked="true" hidden="false"/>
    </xf>
    <xf numFmtId="164" fontId="6" fillId="0" borderId="25" xfId="0" applyFont="true" applyBorder="true" applyAlignment="true" applyProtection="false">
      <alignment horizontal="center" vertical="center" textRotation="0" wrapText="false" indent="0" shrinkToFit="false"/>
      <protection locked="true" hidden="false"/>
    </xf>
    <xf numFmtId="164" fontId="6" fillId="0" borderId="26" xfId="0" applyFont="tru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4" fillId="0" borderId="29" xfId="0" applyFont="true" applyBorder="true" applyAlignment="true" applyProtection="false">
      <alignment horizontal="right" vertical="center" textRotation="0" wrapText="false" indent="0" shrinkToFit="false"/>
      <protection locked="true" hidden="false"/>
    </xf>
    <xf numFmtId="165" fontId="4" fillId="0" borderId="3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6" fontId="6" fillId="0" borderId="0" xfId="0" applyFont="true" applyBorder="true" applyAlignment="true" applyProtection="false">
      <alignment horizontal="center" vertical="center" textRotation="0" wrapText="false" indent="0" shrinkToFit="false"/>
      <protection locked="true" hidden="false"/>
    </xf>
    <xf numFmtId="164" fontId="10" fillId="0" borderId="29" xfId="0" applyFont="true" applyBorder="true" applyAlignment="true" applyProtection="false">
      <alignment horizontal="center" vertical="center" textRotation="0" wrapText="false" indent="0" shrinkToFit="false"/>
      <protection locked="true" hidden="false"/>
    </xf>
    <xf numFmtId="165" fontId="5" fillId="0" borderId="30" xfId="0" applyFont="true" applyBorder="true" applyAlignment="true" applyProtection="false">
      <alignment horizontal="center" vertical="center" textRotation="0" wrapText="false" indent="0" shrinkToFit="false"/>
      <protection locked="true" hidden="false"/>
    </xf>
    <xf numFmtId="165" fontId="5" fillId="0" borderId="28" xfId="0" applyFont="true" applyBorder="true" applyAlignment="true" applyProtection="false">
      <alignment horizontal="center" vertical="center" textRotation="0" wrapText="false" indent="0" shrinkToFit="false"/>
      <protection locked="true" hidden="false"/>
    </xf>
    <xf numFmtId="165" fontId="5" fillId="0" borderId="31"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general" vertical="center" textRotation="0" wrapText="false" indent="0" shrinkToFit="false"/>
      <protection locked="true" hidden="false"/>
    </xf>
    <xf numFmtId="164" fontId="4" fillId="5" borderId="0" xfId="0" applyFont="true" applyBorder="true" applyAlignment="true" applyProtection="false">
      <alignment horizontal="righ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4" fillId="6" borderId="28" xfId="0" applyFont="true" applyBorder="true" applyAlignment="true" applyProtection="false">
      <alignment horizontal="center" vertical="center" textRotation="0" wrapText="false" indent="0" shrinkToFit="false"/>
      <protection locked="true" hidden="false"/>
    </xf>
    <xf numFmtId="164" fontId="4" fillId="6" borderId="0"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6" fontId="6" fillId="0" borderId="8" xfId="0" applyFont="true" applyBorder="true" applyAlignment="true" applyProtection="false">
      <alignment horizontal="center" vertical="center" textRotation="0" wrapText="false" indent="0" shrinkToFit="false"/>
      <protection locked="true" hidden="false"/>
    </xf>
    <xf numFmtId="164" fontId="6" fillId="0" borderId="22" xfId="0" applyFont="true" applyBorder="true" applyAlignment="true" applyProtection="false">
      <alignment horizontal="center" vertical="center" textRotation="0" wrapText="false" indent="0" shrinkToFit="false"/>
      <protection locked="true" hidden="false"/>
    </xf>
    <xf numFmtId="164" fontId="6" fillId="0" borderId="23" xfId="0" applyFont="true" applyBorder="true" applyAlignment="true" applyProtection="false">
      <alignment horizontal="center" vertical="center" textRotation="0" wrapText="false" indent="0" shrinkToFit="false"/>
      <protection locked="true" hidden="false"/>
    </xf>
    <xf numFmtId="166" fontId="5" fillId="0" borderId="11" xfId="0" applyFont="tru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4" fontId="4" fillId="0" borderId="32" xfId="0" applyFont="true" applyBorder="true" applyAlignment="true" applyProtection="false">
      <alignment horizontal="right" vertical="center" textRotation="0" wrapText="false" indent="0" shrinkToFit="false"/>
      <protection locked="true" hidden="false"/>
    </xf>
    <xf numFmtId="165" fontId="4" fillId="0" borderId="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6" fontId="0" fillId="0" borderId="0" xfId="0" applyFont="false" applyBorder="true" applyAlignment="true" applyProtection="false">
      <alignment horizontal="center" vertical="center" textRotation="0" wrapText="false" indent="0" shrinkToFit="false"/>
      <protection locked="true" hidden="false"/>
    </xf>
    <xf numFmtId="164" fontId="10" fillId="0" borderId="32"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7" fontId="0" fillId="0"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4" fillId="7" borderId="28" xfId="0" applyFont="true" applyBorder="true" applyAlignment="true" applyProtection="false">
      <alignment horizontal="center" vertical="center" textRotation="0" wrapText="false" indent="0" shrinkToFit="false"/>
      <protection locked="true" hidden="false"/>
    </xf>
    <xf numFmtId="164" fontId="4" fillId="7" borderId="0" xfId="0" applyFont="true" applyBorder="true" applyAlignment="true" applyProtection="false">
      <alignment horizontal="center" vertical="center" textRotation="0" wrapText="false" indent="0" shrinkToFit="false"/>
      <protection locked="true" hidden="false"/>
    </xf>
    <xf numFmtId="164" fontId="11" fillId="4"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4" fillId="8" borderId="28" xfId="0" applyFont="true" applyBorder="true" applyAlignment="true" applyProtection="false">
      <alignment horizontal="center" vertical="center" textRotation="0" wrapText="false" indent="0" shrinkToFit="false"/>
      <protection locked="true" hidden="false"/>
    </xf>
    <xf numFmtId="164"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64" fontId="11" fillId="3" borderId="28" xfId="0" applyFont="true" applyBorder="true" applyAlignment="true" applyProtection="false">
      <alignment horizontal="center" vertical="center"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4" fillId="3" borderId="3"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false" indent="0" shrinkToFit="false"/>
      <protection locked="true" hidden="false"/>
    </xf>
    <xf numFmtId="167" fontId="4" fillId="3" borderId="1"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true" indent="0" shrinkToFit="false"/>
      <protection locked="true" hidden="false"/>
    </xf>
    <xf numFmtId="164" fontId="6" fillId="3" borderId="4" xfId="0" applyFont="true" applyBorder="true" applyAlignment="true" applyProtection="false">
      <alignment horizontal="general" vertical="center" textRotation="0" wrapText="false" indent="0" shrinkToFit="false"/>
      <protection locked="true" hidden="false"/>
    </xf>
    <xf numFmtId="164" fontId="6" fillId="3" borderId="5" xfId="0" applyFont="true" applyBorder="true" applyAlignment="true" applyProtection="false">
      <alignment horizontal="general" vertical="center" textRotation="0" wrapText="false" indent="0" shrinkToFit="false"/>
      <protection locked="true" hidden="false"/>
    </xf>
    <xf numFmtId="165" fontId="6" fillId="3" borderId="5" xfId="0" applyFont="true" applyBorder="true" applyAlignment="true" applyProtection="false">
      <alignment horizontal="center" vertical="center" textRotation="0" wrapText="false" indent="0" shrinkToFit="false"/>
      <protection locked="true" hidden="false"/>
    </xf>
    <xf numFmtId="164" fontId="6" fillId="3" borderId="5" xfId="0" applyFont="true" applyBorder="true" applyAlignment="true" applyProtection="false">
      <alignment horizontal="center" vertical="center" textRotation="0" wrapText="false" indent="0" shrinkToFit="false"/>
      <protection locked="true" hidden="false"/>
    </xf>
    <xf numFmtId="166" fontId="6" fillId="3" borderId="6"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center" vertical="center" textRotation="0" wrapText="false" indent="0" shrinkToFit="false"/>
      <protection locked="true" hidden="false"/>
    </xf>
    <xf numFmtId="164" fontId="0" fillId="3" borderId="7" xfId="0" applyFont="true" applyBorder="true" applyAlignment="true" applyProtection="false">
      <alignment horizontal="general"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false" indent="0" shrinkToFit="false"/>
      <protection locked="true" hidden="false"/>
    </xf>
    <xf numFmtId="165" fontId="0" fillId="3" borderId="8" xfId="0" applyFont="false" applyBorder="true" applyAlignment="true" applyProtection="false">
      <alignment horizontal="center" vertical="center" textRotation="0" wrapText="false" indent="0" shrinkToFit="false"/>
      <protection locked="true" hidden="false"/>
    </xf>
    <xf numFmtId="168" fontId="0" fillId="3" borderId="8" xfId="0" applyFont="false" applyBorder="true" applyAlignment="true" applyProtection="false">
      <alignment horizontal="center" vertical="center" textRotation="0" wrapText="false" indent="0" shrinkToFit="false"/>
      <protection locked="true" hidden="false"/>
    </xf>
    <xf numFmtId="164" fontId="0" fillId="3" borderId="8" xfId="0" applyFont="false" applyBorder="true" applyAlignment="true" applyProtection="false">
      <alignment horizontal="center" vertical="center" textRotation="0" wrapText="false" indent="0" shrinkToFit="false"/>
      <protection locked="true" hidden="false"/>
    </xf>
    <xf numFmtId="166" fontId="0" fillId="3" borderId="9" xfId="0" applyFont="false" applyBorder="true" applyAlignment="true" applyProtection="false">
      <alignment horizontal="center" vertical="center" textRotation="0" wrapText="false" indent="0" shrinkToFit="false"/>
      <protection locked="true" hidden="false"/>
    </xf>
    <xf numFmtId="164" fontId="5" fillId="3" borderId="10" xfId="0" applyFont="true" applyBorder="true" applyAlignment="true" applyProtection="false">
      <alignment horizontal="general" vertical="center" textRotation="0" wrapText="false" indent="0" shrinkToFit="false"/>
      <protection locked="true" hidden="false"/>
    </xf>
    <xf numFmtId="164" fontId="5" fillId="3" borderId="11" xfId="0" applyFont="true" applyBorder="true" applyAlignment="true" applyProtection="false">
      <alignment horizontal="general" vertical="center" textRotation="0" wrapText="false" indent="0" shrinkToFit="false"/>
      <protection locked="true" hidden="false"/>
    </xf>
    <xf numFmtId="165" fontId="0" fillId="3" borderId="11" xfId="0" applyFont="false" applyBorder="true" applyAlignment="true" applyProtection="false">
      <alignment horizontal="center" vertical="center" textRotation="0" wrapText="false" indent="0" shrinkToFit="false"/>
      <protection locked="true" hidden="false"/>
    </xf>
    <xf numFmtId="168" fontId="5" fillId="3" borderId="11" xfId="0" applyFont="true" applyBorder="true" applyAlignment="true" applyProtection="false">
      <alignment horizontal="center" vertical="center" textRotation="0" wrapText="false" indent="0" shrinkToFit="false"/>
      <protection locked="true" hidden="false"/>
    </xf>
    <xf numFmtId="164" fontId="5" fillId="3" borderId="11" xfId="0" applyFont="true" applyBorder="true" applyAlignment="true" applyProtection="false">
      <alignment horizontal="center" vertical="center" textRotation="0" wrapText="false" indent="0" shrinkToFit="false"/>
      <protection locked="true" hidden="false"/>
    </xf>
    <xf numFmtId="166" fontId="5" fillId="3" borderId="12"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true" applyBorder="true" applyAlignment="true" applyProtection="false">
      <alignment horizontal="general" vertical="center" textRotation="0" wrapText="false" indent="0" shrinkToFit="false"/>
      <protection locked="true" hidden="false"/>
    </xf>
    <xf numFmtId="164" fontId="11" fillId="4" borderId="0"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left" vertical="center" textRotation="0" wrapText="false" indent="0" shrinkToFit="false"/>
      <protection locked="true" hidden="false"/>
    </xf>
    <xf numFmtId="164" fontId="9" fillId="2" borderId="0"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general" vertical="center" textRotation="0" wrapText="false" indent="0" shrinkToFit="false"/>
      <protection locked="true" hidden="false"/>
    </xf>
    <xf numFmtId="164" fontId="0" fillId="0" borderId="20" xfId="0" applyFont="true" applyBorder="true" applyAlignment="true" applyProtection="false">
      <alignment horizontal="general"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true" indent="0" shrinkToFit="false"/>
      <protection locked="true" hidden="false"/>
    </xf>
    <xf numFmtId="169" fontId="0" fillId="0" borderId="12" xfId="0" applyFont="true" applyBorder="true" applyAlignment="true" applyProtection="false">
      <alignment horizontal="general" vertical="center" textRotation="0" wrapText="true" indent="0" shrinkToFit="false"/>
      <protection locked="true" hidden="false"/>
    </xf>
    <xf numFmtId="164" fontId="6" fillId="0" borderId="4"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false" indent="0" shrinkToFit="false"/>
      <protection locked="true" hidden="false"/>
    </xf>
    <xf numFmtId="166" fontId="6" fillId="0" borderId="5"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4" fontId="6" fillId="0" borderId="20" xfId="0" applyFont="true" applyBorder="true" applyAlignment="true" applyProtection="false">
      <alignment horizontal="center"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5" fillId="0" borderId="25" xfId="0" applyFont="true" applyBorder="tru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center" vertical="center" textRotation="0" wrapText="false" indent="0" shrinkToFit="false"/>
      <protection locked="true" hidden="false"/>
    </xf>
    <xf numFmtId="166" fontId="5" fillId="0" borderId="0" xfId="0" applyFont="true" applyBorder="true" applyAlignment="true" applyProtection="false">
      <alignment horizontal="center" vertical="center" textRotation="0" wrapText="false" indent="0" shrinkToFit="false"/>
      <protection locked="true" hidden="false"/>
    </xf>
    <xf numFmtId="170" fontId="6" fillId="3" borderId="5" xfId="0" applyFont="true" applyBorder="true" applyAlignment="true" applyProtection="false">
      <alignment horizontal="center" vertical="center" textRotation="0" wrapText="false" indent="0" shrinkToFit="false"/>
      <protection locked="true" hidden="false"/>
    </xf>
    <xf numFmtId="168" fontId="6" fillId="3" borderId="5" xfId="0" applyFont="true" applyBorder="true" applyAlignment="true" applyProtection="false">
      <alignment horizontal="center" vertical="center" textRotation="0" wrapText="false" indent="0" shrinkToFit="false"/>
      <protection locked="true" hidden="false"/>
    </xf>
    <xf numFmtId="165" fontId="5" fillId="3" borderId="8" xfId="0" applyFont="true" applyBorder="true" applyAlignment="true" applyProtection="false">
      <alignment horizontal="center" vertical="center" textRotation="0" wrapText="false" indent="0" shrinkToFit="false"/>
      <protection locked="true" hidden="false"/>
    </xf>
    <xf numFmtId="170" fontId="0" fillId="3" borderId="8"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true" applyAlignment="true" applyProtection="false">
      <alignment horizontal="center" vertical="center" textRotation="0" wrapText="false" indent="0" shrinkToFit="false"/>
      <protection locked="true" hidden="false"/>
    </xf>
    <xf numFmtId="168" fontId="0" fillId="0" borderId="0" xfId="0" applyFont="false" applyBorder="true" applyAlignment="true" applyProtection="false">
      <alignment horizontal="center" vertical="center" textRotation="0" wrapText="false" indent="0" shrinkToFit="false"/>
      <protection locked="true" hidden="false"/>
    </xf>
    <xf numFmtId="164" fontId="0" fillId="3" borderId="10" xfId="0" applyFont="true" applyBorder="true" applyAlignment="true" applyProtection="false">
      <alignment horizontal="general" vertical="center" textRotation="0" wrapText="false" indent="0" shrinkToFit="false"/>
      <protection locked="true" hidden="false"/>
    </xf>
    <xf numFmtId="164" fontId="0" fillId="3" borderId="11" xfId="0" applyFont="true" applyBorder="true" applyAlignment="true" applyProtection="false">
      <alignment horizontal="general" vertical="center" textRotation="0" wrapText="false" indent="0" shrinkToFit="false"/>
      <protection locked="true" hidden="false"/>
    </xf>
    <xf numFmtId="165" fontId="5" fillId="3" borderId="11" xfId="0" applyFont="true" applyBorder="true" applyAlignment="true" applyProtection="false">
      <alignment horizontal="center" vertical="center" textRotation="0" wrapText="false" indent="0" shrinkToFit="false"/>
      <protection locked="true" hidden="false"/>
    </xf>
    <xf numFmtId="168" fontId="0" fillId="3" borderId="11" xfId="0" applyFont="false" applyBorder="true" applyAlignment="true" applyProtection="false">
      <alignment horizontal="center" vertical="center" textRotation="0" wrapText="false" indent="0" shrinkToFit="false"/>
      <protection locked="true" hidden="false"/>
    </xf>
    <xf numFmtId="166" fontId="0" fillId="3" borderId="12"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true" indent="0" shrinkToFit="false"/>
      <protection locked="true" hidden="false"/>
    </xf>
    <xf numFmtId="169" fontId="0" fillId="0" borderId="6" xfId="0" applyFont="true" applyBorder="true" applyAlignment="true" applyProtection="false">
      <alignment horizontal="general" vertical="center" textRotation="0" wrapText="true" indent="0" shrinkToFit="false"/>
      <protection locked="true" hidden="false"/>
    </xf>
    <xf numFmtId="164" fontId="0" fillId="7" borderId="20" xfId="0" applyFont="true" applyBorder="true" applyAlignment="true" applyProtection="false">
      <alignment horizontal="general" vertical="center" textRotation="0" wrapText="false" indent="0" shrinkToFit="false"/>
      <protection locked="true" hidden="false"/>
    </xf>
    <xf numFmtId="164" fontId="0" fillId="7" borderId="23" xfId="0" applyFont="true" applyBorder="true" applyAlignment="true" applyProtection="false">
      <alignment horizontal="general" vertical="center" textRotation="0" wrapText="false" indent="0" shrinkToFit="false"/>
      <protection locked="true" hidden="false"/>
    </xf>
    <xf numFmtId="164" fontId="0" fillId="8" borderId="23" xfId="0" applyFont="true" applyBorder="true" applyAlignment="true" applyProtection="false">
      <alignment horizontal="general" vertical="center" textRotation="0" wrapText="false" indent="0" shrinkToFit="false"/>
      <protection locked="true" hidden="false"/>
    </xf>
    <xf numFmtId="164" fontId="0" fillId="7" borderId="24" xfId="0" applyFont="true" applyBorder="true" applyAlignment="true" applyProtection="false">
      <alignment horizontal="general" vertical="center" textRotation="0" wrapText="false" indent="0" shrinkToFit="false"/>
      <protection locked="true" hidden="false"/>
    </xf>
    <xf numFmtId="164" fontId="0" fillId="7" borderId="26"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general" vertical="center" textRotation="0" wrapText="false" indent="0" shrinkToFit="false"/>
      <protection locked="true" hidden="false"/>
    </xf>
    <xf numFmtId="165" fontId="0" fillId="3" borderId="8" xfId="0" applyFont="true" applyBorder="true" applyAlignment="true" applyProtection="false">
      <alignment horizontal="center" vertical="center" textRotation="0" wrapText="false" indent="0" shrinkToFit="false"/>
      <protection locked="true" hidden="false"/>
    </xf>
    <xf numFmtId="167" fontId="0" fillId="0" borderId="0" xfId="0" applyFont="false" applyBorder="true" applyAlignment="true" applyProtection="false">
      <alignment horizontal="center" vertical="center" textRotation="0" wrapText="false" indent="0" shrinkToFit="false"/>
      <protection locked="true" hidden="false"/>
    </xf>
    <xf numFmtId="165" fontId="0" fillId="3"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true" indent="0" shrinkToFit="false"/>
      <protection locked="true" hidden="false"/>
    </xf>
    <xf numFmtId="164" fontId="4" fillId="0" borderId="32" xfId="0" applyFont="true" applyBorder="true" applyAlignment="true" applyProtection="false">
      <alignment horizontal="general"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true" indent="0" shrinkToFit="false"/>
      <protection locked="true" hidden="false"/>
    </xf>
    <xf numFmtId="164" fontId="4" fillId="0" borderId="33" xfId="0" applyFont="true" applyBorder="true" applyAlignment="true" applyProtection="false">
      <alignment horizontal="general" vertical="center" textRotation="0" wrapText="false" indent="0" shrinkToFit="false"/>
      <protection locked="true" hidden="false"/>
    </xf>
    <xf numFmtId="164" fontId="4" fillId="0" borderId="33" xfId="0" applyFont="true" applyBorder="true" applyAlignment="true" applyProtection="false">
      <alignment horizontal="left" vertical="center" textRotation="0" wrapText="true" indent="0" shrinkToFit="false"/>
      <protection locked="true" hidden="false"/>
    </xf>
    <xf numFmtId="164" fontId="4" fillId="0" borderId="2" xfId="0" applyFont="true" applyBorder="true" applyAlignment="true" applyProtection="false">
      <alignment horizontal="center" vertical="center" textRotation="0" wrapText="true" indent="0" shrinkToFit="false"/>
      <protection locked="true" hidden="false"/>
    </xf>
    <xf numFmtId="164" fontId="4" fillId="4" borderId="34" xfId="0" applyFont="true" applyBorder="true" applyAlignment="true" applyProtection="false">
      <alignment horizontal="left" vertical="center" textRotation="0" wrapText="true" indent="0" shrinkToFit="false"/>
      <protection locked="true" hidden="false"/>
    </xf>
    <xf numFmtId="164" fontId="4" fillId="0" borderId="33" xfId="0" applyFont="true" applyBorder="true" applyAlignment="true" applyProtection="false">
      <alignment horizontal="center" vertical="center" textRotation="0" wrapText="false" indent="0" shrinkToFit="false"/>
      <protection locked="true" hidden="false"/>
    </xf>
    <xf numFmtId="164" fontId="4" fillId="0" borderId="34" xfId="0" applyFont="true" applyBorder="true" applyAlignment="true" applyProtection="false">
      <alignment horizontal="center" vertical="center" textRotation="0" wrapText="false" indent="0" shrinkToFit="false"/>
      <protection locked="true" hidden="false"/>
    </xf>
    <xf numFmtId="164" fontId="0" fillId="5" borderId="4" xfId="0" applyFont="false" applyBorder="true" applyAlignment="true" applyProtection="false">
      <alignment horizontal="center" vertical="center" textRotation="0" wrapText="false" indent="0" shrinkToFit="false"/>
      <protection locked="true" hidden="false"/>
    </xf>
    <xf numFmtId="165" fontId="5" fillId="5" borderId="5"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general" vertical="center" textRotation="0" wrapText="true" indent="0" shrinkToFit="false"/>
      <protection locked="true" hidden="false"/>
    </xf>
    <xf numFmtId="164" fontId="5" fillId="5" borderId="6" xfId="0" applyFont="true" applyBorder="true" applyAlignment="true" applyProtection="false">
      <alignment horizontal="general" vertical="center" textRotation="0" wrapText="false" indent="0" shrinkToFit="false"/>
      <protection locked="true" hidden="false"/>
    </xf>
    <xf numFmtId="164" fontId="0" fillId="0" borderId="35" xfId="0" applyFont="true" applyBorder="true" applyAlignment="true" applyProtection="false">
      <alignment horizontal="general" vertical="center" textRotation="0" wrapText="false" indent="0" shrinkToFit="false"/>
      <protection locked="true" hidden="false"/>
    </xf>
    <xf numFmtId="164" fontId="0" fillId="0" borderId="36"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true" indent="0" shrinkToFit="false"/>
      <protection locked="true" hidden="false"/>
    </xf>
    <xf numFmtId="164" fontId="0" fillId="0" borderId="37" xfId="0" applyFont="false" applyBorder="true" applyAlignment="true" applyProtection="false">
      <alignment horizontal="center" vertical="center" textRotation="0" wrapText="false" indent="0" shrinkToFit="false"/>
      <protection locked="true" hidden="false"/>
    </xf>
    <xf numFmtId="164" fontId="0" fillId="4" borderId="5" xfId="0" applyFont="false" applyBorder="true" applyAlignment="true" applyProtection="false">
      <alignment horizontal="left" vertical="center" textRotation="0" wrapText="false" indent="0" shrinkToFit="false"/>
      <protection locked="true" hidden="false"/>
    </xf>
    <xf numFmtId="164" fontId="0" fillId="4" borderId="5" xfId="0" applyFont="false" applyBorder="true" applyAlignment="true" applyProtection="false">
      <alignment horizontal="general" vertical="center" textRotation="0" wrapText="false" indent="0" shrinkToFit="false"/>
      <protection locked="true" hidden="false"/>
    </xf>
    <xf numFmtId="164" fontId="0" fillId="5" borderId="7" xfId="0" applyFont="false" applyBorder="true" applyAlignment="true" applyProtection="false">
      <alignment horizontal="center" vertical="center" textRotation="0" wrapText="false" indent="0" shrinkToFit="false"/>
      <protection locked="true" hidden="false"/>
    </xf>
    <xf numFmtId="165" fontId="5" fillId="5" borderId="8" xfId="0" applyFont="true" applyBorder="true" applyAlignment="true" applyProtection="false">
      <alignment horizontal="general" vertical="center" textRotation="0" wrapText="false" indent="0" shrinkToFit="false"/>
      <protection locked="true" hidden="false"/>
    </xf>
    <xf numFmtId="164" fontId="5" fillId="5" borderId="8" xfId="0" applyFont="true" applyBorder="true" applyAlignment="true" applyProtection="false">
      <alignment horizontal="general" vertical="center" textRotation="0" wrapText="true" indent="0" shrinkToFit="false"/>
      <protection locked="true" hidden="false"/>
    </xf>
    <xf numFmtId="164" fontId="5" fillId="5" borderId="9"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true" indent="0" shrinkToFit="false"/>
      <protection locked="true" hidden="false"/>
    </xf>
    <xf numFmtId="164" fontId="0" fillId="4" borderId="8" xfId="0" applyFont="fals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true" indent="0" shrinkToFit="false"/>
      <protection locked="true" hidden="false"/>
    </xf>
    <xf numFmtId="164" fontId="0" fillId="4" borderId="11" xfId="0" applyFont="false" applyBorder="true" applyAlignment="true" applyProtection="false">
      <alignment horizontal="left" vertical="center" textRotation="0" wrapText="false" indent="0" shrinkToFit="false"/>
      <protection locked="true" hidden="false"/>
    </xf>
    <xf numFmtId="164" fontId="0" fillId="4" borderId="11" xfId="0" applyFont="false" applyBorder="true" applyAlignment="true" applyProtection="false">
      <alignment horizontal="general" vertical="center" textRotation="0" wrapText="false" indent="0" shrinkToFit="false"/>
      <protection locked="true" hidden="false"/>
    </xf>
    <xf numFmtId="164" fontId="5" fillId="0" borderId="14"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center" vertical="center" textRotation="0" wrapText="false" indent="0" shrinkToFit="false"/>
      <protection locked="true" hidden="false"/>
    </xf>
    <xf numFmtId="164" fontId="0" fillId="4" borderId="14" xfId="0" applyFont="false" applyBorder="true" applyAlignment="true" applyProtection="false">
      <alignment horizontal="left" vertical="center" textRotation="0" wrapText="false" indent="0" shrinkToFit="false"/>
      <protection locked="true" hidden="false"/>
    </xf>
    <xf numFmtId="164" fontId="0" fillId="4" borderId="14" xfId="0" applyFont="false" applyBorder="true" applyAlignment="true" applyProtection="false">
      <alignment horizontal="general" vertical="center" textRotation="0" wrapText="false" indent="0" shrinkToFit="false"/>
      <protection locked="true" hidden="false"/>
    </xf>
    <xf numFmtId="165" fontId="0" fillId="0" borderId="39" xfId="0" applyFont="false" applyBorder="true" applyAlignment="true" applyProtection="false">
      <alignment horizontal="general" vertical="center" textRotation="0" wrapText="false" indent="0" shrinkToFit="false"/>
      <protection locked="true" hidden="false"/>
    </xf>
    <xf numFmtId="164" fontId="5" fillId="0" borderId="40" xfId="0" applyFont="true" applyBorder="true" applyAlignment="true" applyProtection="false">
      <alignment horizontal="general" vertical="center" textRotation="0" wrapText="true" indent="0" shrinkToFit="false"/>
      <protection locked="true" hidden="false"/>
    </xf>
    <xf numFmtId="164" fontId="0" fillId="4" borderId="40" xfId="0" applyFont="false" applyBorder="true" applyAlignment="true" applyProtection="false">
      <alignment horizontal="left" vertical="center" textRotation="0" wrapText="false" indent="0" shrinkToFit="false"/>
      <protection locked="true" hidden="false"/>
    </xf>
    <xf numFmtId="164" fontId="0" fillId="4" borderId="40" xfId="0" applyFont="false" applyBorder="true" applyAlignment="true" applyProtection="false">
      <alignment horizontal="general"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4" fontId="0" fillId="0" borderId="41" xfId="0" applyFont="false" applyBorder="true" applyAlignment="true" applyProtection="false">
      <alignment horizontal="center" vertical="center" textRotation="0" wrapText="false" indent="0" shrinkToFit="false"/>
      <protection locked="true" hidden="false"/>
    </xf>
    <xf numFmtId="164" fontId="0" fillId="5" borderId="10" xfId="0" applyFont="false" applyBorder="true" applyAlignment="true" applyProtection="false">
      <alignment horizontal="center" vertical="center" textRotation="0" wrapText="false" indent="0" shrinkToFit="false"/>
      <protection locked="true" hidden="false"/>
    </xf>
    <xf numFmtId="165" fontId="5" fillId="5" borderId="11" xfId="0" applyFont="true" applyBorder="true" applyAlignment="true" applyProtection="false">
      <alignment horizontal="general" vertical="center" textRotation="0" wrapText="false" indent="0" shrinkToFit="false"/>
      <protection locked="true" hidden="false"/>
    </xf>
    <xf numFmtId="164" fontId="5" fillId="5" borderId="11" xfId="0" applyFont="true" applyBorder="true" applyAlignment="true" applyProtection="false">
      <alignment horizontal="general" vertical="center" textRotation="0" wrapText="true" indent="0" shrinkToFit="false"/>
      <protection locked="true" hidden="false"/>
    </xf>
    <xf numFmtId="164" fontId="5" fillId="5" borderId="12" xfId="0" applyFont="true" applyBorder="true" applyAlignment="true" applyProtection="false">
      <alignment horizontal="general" vertical="center" textRotation="0" wrapText="false" indent="0" shrinkToFit="false"/>
      <protection locked="true" hidden="false"/>
    </xf>
    <xf numFmtId="164" fontId="4" fillId="3" borderId="32" xfId="0" applyFont="true" applyBorder="true" applyAlignment="true" applyProtection="false">
      <alignment horizontal="right" vertical="center" textRotation="0" wrapText="false" indent="0" shrinkToFit="false"/>
      <protection locked="true" hidden="false"/>
    </xf>
    <xf numFmtId="164" fontId="4" fillId="3" borderId="28" xfId="0" applyFont="true" applyBorder="true" applyAlignment="true" applyProtection="false">
      <alignment horizontal="general" vertical="center" textRotation="0" wrapText="false" indent="0" shrinkToFit="false"/>
      <protection locked="true" hidden="false"/>
    </xf>
    <xf numFmtId="164" fontId="0" fillId="3" borderId="30" xfId="0" applyFont="false" applyBorder="true" applyAlignment="true" applyProtection="false">
      <alignment horizontal="center" vertical="center" textRotation="0" wrapText="false" indent="0" shrinkToFit="false"/>
      <protection locked="true" hidden="false"/>
    </xf>
    <xf numFmtId="164" fontId="8" fillId="3"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true" indent="0" shrinkToFit="false"/>
      <protection locked="true" hidden="false"/>
    </xf>
    <xf numFmtId="169" fontId="4" fillId="0" borderId="17" xfId="0" applyFont="tru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center"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false" indent="0" shrinkToFit="false"/>
      <protection locked="true" hidden="false"/>
    </xf>
    <xf numFmtId="169" fontId="4" fillId="0" borderId="18" xfId="0" applyFont="true" applyBorder="true" applyAlignment="true" applyProtection="false">
      <alignment horizontal="general" vertical="center" textRotation="0" wrapText="false" indent="0" shrinkToFit="false"/>
      <protection locked="true" hidden="false"/>
    </xf>
    <xf numFmtId="169" fontId="0" fillId="0" borderId="1" xfId="0" applyFont="true" applyBorder="true" applyAlignment="true" applyProtection="false">
      <alignment horizontal="general" vertical="center" textRotation="0" wrapText="false" indent="0" shrinkToFit="false"/>
      <protection locked="true" hidden="false"/>
    </xf>
    <xf numFmtId="169" fontId="4" fillId="0" borderId="34" xfId="0" applyFont="true" applyBorder="true" applyAlignment="true" applyProtection="false">
      <alignment horizontal="general" vertical="center" textRotation="0" wrapText="false" indent="0" shrinkToFit="false"/>
      <protection locked="true" hidden="false"/>
    </xf>
    <xf numFmtId="169" fontId="4" fillId="4" borderId="0" xfId="0" applyFont="true" applyBorder="true" applyAlignment="true" applyProtection="false">
      <alignment horizontal="general"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false" indent="0" shrinkToFit="false"/>
      <protection locked="true" hidden="false"/>
    </xf>
    <xf numFmtId="169" fontId="0" fillId="0" borderId="42" xfId="0" applyFont="true" applyBorder="true" applyAlignment="true" applyProtection="false">
      <alignment horizontal="left" vertical="center" textRotation="0" wrapText="false" indent="0" shrinkToFit="false"/>
      <protection locked="true" hidden="false"/>
    </xf>
    <xf numFmtId="169" fontId="0" fillId="0" borderId="43"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false" indent="0" shrinkToFit="false"/>
      <protection locked="true" hidden="false"/>
    </xf>
    <xf numFmtId="169" fontId="0" fillId="4" borderId="5" xfId="0" applyFont="false" applyBorder="true" applyAlignment="true" applyProtection="false">
      <alignment horizontal="general" vertical="center" textRotation="0" wrapText="false" indent="0" shrinkToFit="false"/>
      <protection locked="true" hidden="false"/>
    </xf>
    <xf numFmtId="169" fontId="0" fillId="0" borderId="7"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false" indent="0" shrinkToFit="false"/>
      <protection locked="true" hidden="false"/>
    </xf>
    <xf numFmtId="169" fontId="0" fillId="0" borderId="45"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false" indent="0" shrinkToFit="false"/>
      <protection locked="true" hidden="false"/>
    </xf>
    <xf numFmtId="169" fontId="0" fillId="4" borderId="8" xfId="0" applyFont="false" applyBorder="true" applyAlignment="true" applyProtection="false">
      <alignment horizontal="general" vertical="center" textRotation="0" wrapText="false" indent="0" shrinkToFit="false"/>
      <protection locked="true" hidden="false"/>
    </xf>
    <xf numFmtId="169" fontId="0" fillId="7"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true" indent="0" shrinkToFit="false"/>
      <protection locked="true" hidden="false"/>
    </xf>
    <xf numFmtId="169" fontId="0" fillId="6" borderId="45" xfId="0" applyFont="true" applyBorder="true" applyAlignment="true" applyProtection="false">
      <alignment horizontal="general"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false" indent="0" shrinkToFit="false"/>
      <protection locked="true" hidden="false"/>
    </xf>
    <xf numFmtId="169" fontId="0" fillId="0" borderId="46" xfId="0" applyFont="true" applyBorder="true" applyAlignment="true" applyProtection="false">
      <alignment horizontal="left" vertical="center" textRotation="0" wrapText="false" indent="0" shrinkToFit="false"/>
      <protection locked="true" hidden="false"/>
    </xf>
    <xf numFmtId="169" fontId="0" fillId="0" borderId="47" xfId="0" applyFont="true" applyBorder="true" applyAlignment="true" applyProtection="false">
      <alignment horizontal="general" vertical="center" textRotation="0" wrapText="false" indent="0" shrinkToFit="false"/>
      <protection locked="true" hidden="false"/>
    </xf>
    <xf numFmtId="169" fontId="0" fillId="0" borderId="11" xfId="0" applyFont="true" applyBorder="true" applyAlignment="true" applyProtection="false">
      <alignment horizontal="general" vertical="center" textRotation="0" wrapText="false" indent="0" shrinkToFit="false"/>
      <protection locked="true" hidden="false"/>
    </xf>
    <xf numFmtId="169" fontId="0" fillId="4" borderId="11" xfId="0" applyFont="false" applyBorder="true" applyAlignment="true" applyProtection="false">
      <alignment horizontal="general" vertical="center" textRotation="0" wrapText="false" indent="0" shrinkToFit="false"/>
      <protection locked="true" hidden="false"/>
    </xf>
    <xf numFmtId="165" fontId="4" fillId="5" borderId="0"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false" indent="0" shrinkToFit="false"/>
      <protection locked="true" hidden="false"/>
    </xf>
    <xf numFmtId="169" fontId="4" fillId="0" borderId="17" xfId="0" applyFont="true" applyBorder="true" applyAlignment="true" applyProtection="false">
      <alignment horizontal="center" vertical="center" textRotation="0" wrapText="true" indent="0" shrinkToFit="false"/>
      <protection locked="true" hidden="false"/>
    </xf>
    <xf numFmtId="169" fontId="4" fillId="0" borderId="18" xfId="0" applyFont="true" applyBorder="true" applyAlignment="true" applyProtection="false">
      <alignment horizontal="center" vertical="center" textRotation="0" wrapText="false" indent="0"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6" fillId="0" borderId="4" xfId="0" applyFont="true" applyBorder="true" applyAlignment="true" applyProtection="false">
      <alignment horizontal="left" vertical="center" textRotation="0" wrapText="false" indent="0" shrinkToFit="false"/>
      <protection locked="true" hidden="false"/>
    </xf>
    <xf numFmtId="164" fontId="6" fillId="0" borderId="5" xfId="0" applyFont="true" applyBorder="true" applyAlignment="true" applyProtection="false">
      <alignment horizontal="left" vertical="center" textRotation="0" wrapText="true" indent="0" shrinkToFit="false"/>
      <protection locked="true" hidden="false"/>
    </xf>
    <xf numFmtId="164" fontId="6" fillId="0" borderId="6" xfId="0" applyFont="true" applyBorder="true" applyAlignment="true" applyProtection="false">
      <alignment horizontal="center" vertical="center" textRotation="0" wrapText="false" indent="0" shrinkToFit="false"/>
      <protection locked="true" hidden="false"/>
    </xf>
    <xf numFmtId="165" fontId="0" fillId="0" borderId="21"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true" indent="0" shrinkToFit="false"/>
      <protection locked="true" hidden="false"/>
    </xf>
    <xf numFmtId="164" fontId="5" fillId="0" borderId="12" xfId="0" applyFont="tru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general" vertical="center" textRotation="0" wrapText="false" indent="0" shrinkToFit="false"/>
      <protection locked="true" hidden="false"/>
    </xf>
    <xf numFmtId="164" fontId="0" fillId="5" borderId="18"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center" vertical="center" textRotation="0" wrapText="false" indent="0" shrinkToFit="false"/>
      <protection locked="true" hidden="false"/>
    </xf>
    <xf numFmtId="166" fontId="6" fillId="5" borderId="0" xfId="0" applyFont="true" applyBorder="true" applyAlignment="true" applyProtection="false">
      <alignment horizontal="center" vertical="center" textRotation="0" wrapText="false" indent="0" shrinkToFit="false"/>
      <protection locked="true" hidden="false"/>
    </xf>
    <xf numFmtId="164" fontId="10" fillId="0" borderId="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center" vertical="center" textRotation="0" wrapText="false" indent="0" shrinkToFit="false"/>
      <protection locked="true" hidden="false"/>
    </xf>
    <xf numFmtId="165" fontId="4" fillId="6" borderId="0" xfId="0" applyFont="true" applyBorder="tru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true" indent="0" shrinkToFit="false"/>
      <protection locked="true" hidden="false"/>
    </xf>
    <xf numFmtId="164" fontId="0" fillId="6" borderId="0"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true" indent="0" shrinkToFit="false"/>
      <protection locked="true" hidden="false"/>
    </xf>
    <xf numFmtId="166" fontId="6" fillId="0" borderId="5" xfId="0" applyFont="true" applyBorder="true" applyAlignment="true" applyProtection="false">
      <alignment horizontal="center" vertical="center" textRotation="0" wrapText="tru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true" indent="0" shrinkToFit="false"/>
      <protection locked="true" hidden="false"/>
    </xf>
    <xf numFmtId="166" fontId="5" fillId="0" borderId="8" xfId="0" applyFont="true" applyBorder="true" applyAlignment="true" applyProtection="false">
      <alignment horizontal="center" vertical="center" textRotation="0" wrapText="true" indent="0" shrinkToFit="false"/>
      <protection locked="true" hidden="false"/>
    </xf>
    <xf numFmtId="164" fontId="5" fillId="0" borderId="9"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6" fontId="5" fillId="0" borderId="11" xfId="0" applyFont="true" applyBorder="true" applyAlignment="true" applyProtection="false">
      <alignment horizontal="center" vertical="center" textRotation="0" wrapText="true" indent="0" shrinkToFit="false"/>
      <protection locked="true" hidden="false"/>
    </xf>
    <xf numFmtId="164" fontId="4" fillId="0" borderId="29" xfId="0" applyFont="true" applyBorder="true" applyAlignment="true" applyProtection="false">
      <alignment horizontal="general" vertical="center" textRotation="0" wrapText="false" indent="0" shrinkToFit="false"/>
      <protection locked="true" hidden="false"/>
    </xf>
    <xf numFmtId="166" fontId="0" fillId="6" borderId="0" xfId="0" applyFont="false" applyBorder="true" applyAlignment="true" applyProtection="false">
      <alignment horizontal="center" vertical="center" textRotation="0" wrapText="false" indent="0" shrinkToFit="false"/>
      <protection locked="true" hidden="false"/>
    </xf>
    <xf numFmtId="164" fontId="10" fillId="0" borderId="30"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center" vertical="center" textRotation="0" wrapText="false" indent="0" shrinkToFit="false"/>
      <protection locked="true" hidden="false"/>
    </xf>
    <xf numFmtId="165" fontId="4"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left" vertical="center" textRotation="0" wrapText="false" indent="0" shrinkToFit="false"/>
      <protection locked="true" hidden="false"/>
    </xf>
    <xf numFmtId="164" fontId="0" fillId="0" borderId="5" xfId="0" applyFont="true" applyBorder="true" applyAlignment="true" applyProtection="false">
      <alignment horizontal="left" vertical="center" textRotation="0" wrapText="true" indent="0" shrinkToFit="false"/>
      <protection locked="tru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general" vertical="center" textRotation="0" wrapText="false" indent="0" shrinkToFit="false"/>
      <protection locked="true" hidden="false"/>
    </xf>
    <xf numFmtId="166" fontId="5" fillId="0" borderId="8"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4" fillId="0" borderId="30" xfId="0" applyFont="true" applyBorder="true" applyAlignment="true" applyProtection="false">
      <alignment horizontal="general" vertical="center" textRotation="0" wrapText="false" indent="0" shrinkToFit="false"/>
      <protection locked="true" hidden="false"/>
    </xf>
    <xf numFmtId="166"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5"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true" applyBorder="tru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true" indent="0" shrinkToFit="false"/>
      <protection locked="true" hidden="false"/>
    </xf>
    <xf numFmtId="166"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general" vertical="center" textRotation="0" wrapText="false" indent="0" shrinkToFit="false"/>
      <protection locked="true" hidden="false"/>
    </xf>
    <xf numFmtId="169" fontId="4" fillId="3" borderId="3"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true" indent="0" shrinkToFit="false"/>
      <protection locked="true" hidden="false"/>
    </xf>
    <xf numFmtId="169" fontId="4" fillId="3" borderId="17"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false" indent="0" shrinkToFit="false"/>
      <protection locked="true" hidden="false"/>
    </xf>
    <xf numFmtId="164" fontId="5" fillId="5" borderId="4"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center" vertical="center" textRotation="0" wrapText="true" indent="0" shrinkToFit="false"/>
      <protection locked="true" hidden="false"/>
    </xf>
    <xf numFmtId="165" fontId="5" fillId="5" borderId="5" xfId="0" applyFont="true" applyBorder="true" applyAlignment="true" applyProtection="false">
      <alignment horizontal="center" vertical="center" textRotation="0" wrapText="false" indent="0" shrinkToFit="false"/>
      <protection locked="true" hidden="false"/>
    </xf>
    <xf numFmtId="166" fontId="5" fillId="5" borderId="6" xfId="0" applyFont="true" applyBorder="true" applyAlignment="true" applyProtection="false">
      <alignment horizontal="center" vertical="center" textRotation="0" wrapText="true" indent="0" shrinkToFit="false"/>
      <protection locked="true" hidden="false"/>
    </xf>
    <xf numFmtId="164" fontId="5" fillId="3" borderId="7"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center" vertical="center" textRotation="0" wrapText="true" indent="0" shrinkToFit="false"/>
      <protection locked="true" hidden="false"/>
    </xf>
    <xf numFmtId="166" fontId="5" fillId="3" borderId="9" xfId="0" applyFont="true" applyBorder="true" applyAlignment="true" applyProtection="false">
      <alignment horizontal="center" vertical="center" textRotation="0" wrapText="true" indent="0" shrinkToFit="false"/>
      <protection locked="true" hidden="false"/>
    </xf>
    <xf numFmtId="164" fontId="5" fillId="7" borderId="10"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center" vertical="center" textRotation="0" wrapText="true" indent="0" shrinkToFit="false"/>
      <protection locked="true" hidden="false"/>
    </xf>
    <xf numFmtId="165" fontId="5" fillId="7" borderId="11" xfId="0" applyFont="true" applyBorder="true" applyAlignment="true" applyProtection="false">
      <alignment horizontal="center" vertical="center" textRotation="0" wrapText="false" indent="0" shrinkToFit="false"/>
      <protection locked="true" hidden="false"/>
    </xf>
    <xf numFmtId="166" fontId="5" fillId="7" borderId="12" xfId="0" applyFont="true" applyBorder="true" applyAlignment="true" applyProtection="false">
      <alignment horizontal="center" vertical="center" textRotation="0" wrapText="true" indent="0" shrinkToFit="false"/>
      <protection locked="true" hidden="false"/>
    </xf>
    <xf numFmtId="169" fontId="4" fillId="0" borderId="48"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true" indent="0" shrinkToFit="false"/>
      <protection locked="true" hidden="false"/>
    </xf>
    <xf numFmtId="169" fontId="0" fillId="5" borderId="4" xfId="0" applyFont="true" applyBorder="true" applyAlignment="true" applyProtection="false">
      <alignment horizontal="general" vertical="center" textRotation="0" wrapText="false" indent="0" shrinkToFit="false"/>
      <protection locked="true" hidden="false"/>
    </xf>
    <xf numFmtId="169" fontId="0" fillId="0" borderId="49"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true" indent="0" shrinkToFit="false"/>
      <protection locked="true" hidden="false"/>
    </xf>
    <xf numFmtId="169" fontId="0" fillId="6" borderId="7" xfId="0" applyFont="true" applyBorder="true" applyAlignment="true" applyProtection="false">
      <alignment horizontal="general" vertical="center" textRotation="0" wrapText="true" indent="0" shrinkToFit="false"/>
      <protection locked="true" hidden="false"/>
    </xf>
    <xf numFmtId="169" fontId="0" fillId="0" borderId="50"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true" indent="0" shrinkToFit="false"/>
      <protection locked="true" hidden="false"/>
    </xf>
    <xf numFmtId="169" fontId="0" fillId="0" borderId="11" xfId="0" applyFont="true" applyBorder="true" applyAlignment="true" applyProtection="false">
      <alignment horizontal="general" vertical="center" textRotation="0" wrapText="true" indent="0" shrinkToFit="false"/>
      <protection locked="true" hidden="false"/>
    </xf>
    <xf numFmtId="169" fontId="0" fillId="8" borderId="10" xfId="0" applyFont="true" applyBorder="true" applyAlignment="true" applyProtection="false">
      <alignment horizontal="general" vertical="center" textRotation="0" wrapText="true" indent="0" shrinkToFit="false"/>
      <protection locked="true" hidden="false"/>
    </xf>
    <xf numFmtId="169" fontId="0" fillId="0" borderId="51" xfId="0" applyFont="true" applyBorder="true" applyAlignment="true" applyProtection="false">
      <alignment horizontal="general" vertical="center" textRotation="0" wrapText="false" indent="0" shrinkToFit="false"/>
      <protection locked="true" hidden="false"/>
    </xf>
    <xf numFmtId="169" fontId="4" fillId="0" borderId="32" xfId="0" applyFont="true" applyBorder="true" applyAlignment="true" applyProtection="false">
      <alignment horizontal="center" vertical="center" textRotation="0" wrapText="true" indent="0" shrinkToFit="false"/>
      <protection locked="true" hidden="false"/>
    </xf>
    <xf numFmtId="169" fontId="4" fillId="0" borderId="2"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true" indent="0" shrinkToFit="false"/>
      <protection locked="true" hidden="false"/>
    </xf>
    <xf numFmtId="169" fontId="5" fillId="0" borderId="5"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9" fontId="0" fillId="0" borderId="8"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9" fontId="6" fillId="0" borderId="11"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tru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false" indent="0" shrinkToFit="false"/>
      <protection locked="true" hidden="false"/>
    </xf>
    <xf numFmtId="166" fontId="5" fillId="5" borderId="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left"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false" indent="0" shrinkToFit="false"/>
      <protection locked="true" hidden="false"/>
    </xf>
    <xf numFmtId="168" fontId="5" fillId="5" borderId="5" xfId="0" applyFont="true" applyBorder="true" applyAlignment="true" applyProtection="false">
      <alignment horizontal="center" vertical="center" textRotation="0" wrapText="false" indent="0" shrinkToFit="false"/>
      <protection locked="true" hidden="false"/>
    </xf>
    <xf numFmtId="168" fontId="5" fillId="3" borderId="8" xfId="0" applyFont="true" applyBorder="true" applyAlignment="true" applyProtection="false">
      <alignment horizontal="center" vertical="center" textRotation="0" wrapText="false" indent="0" shrinkToFit="false"/>
      <protection locked="true" hidden="false"/>
    </xf>
    <xf numFmtId="164" fontId="0" fillId="7" borderId="10" xfId="0" applyFont="true" applyBorder="true" applyAlignment="true" applyProtection="false">
      <alignment horizontal="general" vertical="center" textRotation="0" wrapText="false" indent="0" shrinkToFit="false"/>
      <protection locked="true" hidden="false"/>
    </xf>
    <xf numFmtId="168" fontId="5" fillId="7" borderId="11" xfId="0" applyFont="true" applyBorder="true" applyAlignment="true" applyProtection="false">
      <alignment horizontal="center" vertical="center" textRotation="0" wrapText="false" indent="0" shrinkToFit="false"/>
      <protection locked="true" hidden="false"/>
    </xf>
    <xf numFmtId="168" fontId="0" fillId="7" borderId="11" xfId="0" applyFont="false" applyBorder="true" applyAlignment="true" applyProtection="false">
      <alignment horizontal="center" vertical="center" textRotation="0" wrapText="false" indent="0" shrinkToFit="false"/>
      <protection locked="true" hidden="false"/>
    </xf>
    <xf numFmtId="169" fontId="4" fillId="0" borderId="30" xfId="0" applyFont="true" applyBorder="true" applyAlignment="true" applyProtection="false">
      <alignment horizontal="general" vertical="center" textRotation="0" wrapText="false" indent="0" shrinkToFit="false"/>
      <protection locked="true" hidden="false"/>
    </xf>
    <xf numFmtId="169" fontId="0" fillId="5" borderId="4" xfId="0" applyFont="true" applyBorder="true" applyAlignment="true" applyProtection="false">
      <alignment horizontal="general" vertical="center" textRotation="0" wrapText="true" indent="0" shrinkToFit="false"/>
      <protection locked="true" hidden="false"/>
    </xf>
    <xf numFmtId="169" fontId="0" fillId="0" borderId="20" xfId="0" applyFont="true" applyBorder="true" applyAlignment="true" applyProtection="false">
      <alignment horizontal="general" vertical="center" textRotation="0" wrapText="false" indent="0" shrinkToFit="false"/>
      <protection locked="true" hidden="false"/>
    </xf>
    <xf numFmtId="169" fontId="0" fillId="0" borderId="13" xfId="0" applyFont="true" applyBorder="true" applyAlignment="true" applyProtection="false">
      <alignment horizontal="general" vertical="center" textRotation="0" wrapText="false" indent="0" shrinkToFit="false"/>
      <protection locked="true" hidden="false"/>
    </xf>
    <xf numFmtId="169" fontId="0" fillId="0" borderId="14" xfId="0" applyFont="true" applyBorder="true" applyAlignment="true" applyProtection="false">
      <alignment horizontal="general" vertical="center" textRotation="0" wrapText="true" indent="0" shrinkToFit="false"/>
      <protection locked="true" hidden="false"/>
    </xf>
    <xf numFmtId="169" fontId="0" fillId="6" borderId="13" xfId="0" applyFont="true" applyBorder="true" applyAlignment="true" applyProtection="false">
      <alignment horizontal="general" vertical="center" textRotation="0" wrapText="true" indent="0" shrinkToFit="false"/>
      <protection locked="true" hidden="false"/>
    </xf>
    <xf numFmtId="169" fontId="0" fillId="0" borderId="15" xfId="0" applyFont="true" applyBorder="true" applyAlignment="true" applyProtection="false">
      <alignment horizontal="general" vertical="center" textRotation="0" wrapText="true" indent="0" shrinkToFit="false"/>
      <protection locked="true" hidden="false"/>
    </xf>
    <xf numFmtId="169" fontId="0" fillId="0" borderId="52" xfId="0" applyFont="true" applyBorder="true" applyAlignment="true" applyProtection="false">
      <alignment horizontal="general" vertical="center" textRotation="0" wrapText="false" indent="0" shrinkToFit="false"/>
      <protection locked="true" hidden="false"/>
    </xf>
    <xf numFmtId="169" fontId="0" fillId="0" borderId="13" xfId="0" applyFont="false" applyBorder="true" applyAlignment="true" applyProtection="false">
      <alignment horizontal="general" vertical="center" textRotation="0" wrapText="false" indent="0" shrinkToFit="false"/>
      <protection locked="true" hidden="false"/>
    </xf>
    <xf numFmtId="169" fontId="0" fillId="0" borderId="14" xfId="0" applyFont="false" applyBorder="true" applyAlignment="true" applyProtection="false">
      <alignment horizontal="general" vertical="center" textRotation="0" wrapText="false" indent="0" shrinkToFit="false"/>
      <protection locked="true" hidden="false"/>
    </xf>
    <xf numFmtId="169" fontId="0" fillId="4" borderId="14" xfId="0" applyFont="false" applyBorder="true" applyAlignment="true" applyProtection="false">
      <alignment horizontal="general" vertical="center" textRotation="0" wrapText="false" indent="0" shrinkToFit="false"/>
      <protection locked="true" hidden="false"/>
    </xf>
    <xf numFmtId="169" fontId="0" fillId="0" borderId="15" xfId="0" applyFont="false" applyBorder="true" applyAlignment="true" applyProtection="false">
      <alignment horizontal="general" vertical="center" textRotation="0" wrapText="false" indent="0" shrinkToFit="false"/>
      <protection locked="true" hidden="false"/>
    </xf>
    <xf numFmtId="169" fontId="0" fillId="0"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general" vertical="center" textRotation="0" wrapText="false" indent="0" shrinkToFit="false"/>
      <protection locked="true" hidden="false"/>
    </xf>
    <xf numFmtId="169" fontId="0" fillId="0" borderId="26" xfId="0" applyFont="true" applyBorder="true" applyAlignment="true" applyProtection="false">
      <alignment horizontal="general" vertical="center" textRotation="0" wrapText="false" indent="0" shrinkToFit="false"/>
      <protection locked="true" hidden="false"/>
    </xf>
    <xf numFmtId="164" fontId="11" fillId="3" borderId="0" xfId="0" applyFont="true" applyBorder="true" applyAlignment="true" applyProtection="false">
      <alignment horizontal="general" vertical="center" textRotation="0" wrapText="false" indent="0" shrinkToFit="false"/>
      <protection locked="true" hidden="false"/>
    </xf>
    <xf numFmtId="169" fontId="4" fillId="3" borderId="2" xfId="0" applyFont="true" applyBorder="true" applyAlignment="true" applyProtection="false">
      <alignment horizontal="center" vertical="center" textRotation="0" wrapText="false" indent="0" shrinkToFit="false"/>
      <protection locked="true" hidden="false"/>
    </xf>
    <xf numFmtId="169" fontId="4" fillId="3" borderId="32" xfId="0" applyFont="true" applyBorder="true" applyAlignment="true" applyProtection="false">
      <alignment horizontal="general" vertical="center" textRotation="0" wrapText="true" indent="0" shrinkToFit="false"/>
      <protection locked="true" hidden="false"/>
    </xf>
    <xf numFmtId="164" fontId="5" fillId="5" borderId="4"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general" vertical="center" textRotation="0" wrapText="true" indent="0" shrinkToFit="false"/>
      <protection locked="true" hidden="false"/>
    </xf>
    <xf numFmtId="164" fontId="0" fillId="7" borderId="10" xfId="0" applyFont="true" applyBorder="true" applyAlignment="true" applyProtection="false">
      <alignment horizontal="center" vertical="center" textRotation="0" wrapText="false" indent="0" shrinkToFit="false"/>
      <protection locked="true" hidden="false"/>
    </xf>
    <xf numFmtId="164" fontId="0" fillId="7" borderId="25" xfId="0" applyFont="true" applyBorder="true" applyAlignment="true" applyProtection="false">
      <alignment horizontal="general" vertical="center" textRotation="0" wrapText="true" indent="0" shrinkToFit="false"/>
      <protection locked="true" hidden="false"/>
    </xf>
    <xf numFmtId="165" fontId="0" fillId="7" borderId="11" xfId="0" applyFont="true" applyBorder="true" applyAlignment="true" applyProtection="false">
      <alignment horizontal="center" vertical="center" textRotation="0" wrapText="false" indent="0" shrinkToFit="false"/>
      <protection locked="true" hidden="false"/>
    </xf>
    <xf numFmtId="164" fontId="0" fillId="7" borderId="11" xfId="0" applyFont="fals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true" indent="0" shrinkToFit="false"/>
      <protection locked="true" hidden="false"/>
    </xf>
    <xf numFmtId="164" fontId="4" fillId="0" borderId="17" xfId="0" applyFont="true" applyBorder="true" applyAlignment="true" applyProtection="false">
      <alignment horizontal="general" vertical="center" textRotation="0" wrapText="true" indent="0" shrinkToFit="false"/>
      <protection locked="true" hidden="false"/>
    </xf>
    <xf numFmtId="164" fontId="4" fillId="0" borderId="3" xfId="0" applyFont="true" applyBorder="true" applyAlignment="true" applyProtection="false">
      <alignment horizontal="left" vertical="center" textRotation="0" wrapText="true" indent="0" shrinkToFit="false"/>
      <protection locked="true" hidden="false"/>
    </xf>
    <xf numFmtId="164" fontId="4" fillId="4" borderId="18" xfId="0" applyFont="true" applyBorder="true" applyAlignment="true" applyProtection="false">
      <alignment horizontal="left" vertical="center" textRotation="0" wrapText="true" indent="0" shrinkToFit="false"/>
      <protection locked="true" hidden="false"/>
    </xf>
    <xf numFmtId="164" fontId="0" fillId="4" borderId="17"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7" borderId="7" xfId="0" applyFont="false" applyBorder="true" applyAlignment="true" applyProtection="false">
      <alignment horizontal="center"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true" indent="0" shrinkToFit="false"/>
      <protection locked="true" hidden="false"/>
    </xf>
    <xf numFmtId="164" fontId="5" fillId="7" borderId="9"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true" indent="0" shrinkToFit="false"/>
      <protection locked="true" hidden="false"/>
    </xf>
    <xf numFmtId="164" fontId="4" fillId="3" borderId="29" xfId="0" applyFont="true" applyBorder="true" applyAlignment="true" applyProtection="false">
      <alignment horizontal="right" vertical="center" textRotation="0" wrapText="false" indent="0" shrinkToFit="false"/>
      <protection locked="true" hidden="false"/>
    </xf>
    <xf numFmtId="164" fontId="9" fillId="2" borderId="0" xfId="0" applyFont="true" applyBorder="true" applyAlignment="true" applyProtection="false">
      <alignment horizontal="center" vertical="center" textRotation="0" wrapText="false" indent="0" shrinkToFit="false"/>
      <protection locked="true" hidden="false"/>
    </xf>
    <xf numFmtId="169" fontId="4" fillId="4" borderId="0" xfId="0" applyFont="true" applyBorder="fals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false" indent="0" shrinkToFit="false"/>
      <protection locked="true" hidden="false"/>
    </xf>
    <xf numFmtId="169" fontId="0" fillId="8" borderId="49" xfId="0" applyFont="true" applyBorder="true" applyAlignment="true" applyProtection="false">
      <alignment horizontal="general" vertical="center" textRotation="0" wrapText="false" indent="0" shrinkToFit="false"/>
      <protection locked="true" hidden="false"/>
    </xf>
    <xf numFmtId="169" fontId="0" fillId="6" borderId="7"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false" indent="0" shrinkToFit="false"/>
      <protection locked="true" hidden="false"/>
    </xf>
    <xf numFmtId="169" fontId="0" fillId="5" borderId="50"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true" indent="0" shrinkToFit="false"/>
      <protection locked="true" hidden="false"/>
    </xf>
    <xf numFmtId="169" fontId="0" fillId="0" borderId="12" xfId="0" applyFont="true" applyBorder="true" applyAlignment="true" applyProtection="false">
      <alignment horizontal="left" vertical="center" textRotation="0" wrapText="false" indent="0" shrinkToFit="false"/>
      <protection locked="true" hidden="false"/>
    </xf>
    <xf numFmtId="169" fontId="0" fillId="5" borderId="51" xfId="0" applyFont="true" applyBorder="tru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general" vertical="center" textRotation="0" wrapText="false" indent="0" shrinkToFit="false"/>
      <protection locked="true" hidden="false"/>
    </xf>
    <xf numFmtId="166" fontId="0" fillId="0" borderId="11"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5" borderId="34"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6"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4" fontId="4" fillId="6" borderId="0" xfId="0" applyFont="true" applyBorder="false" applyAlignment="true" applyProtection="false">
      <alignment horizontal="general" vertical="center" textRotation="0" wrapText="false" indent="0" shrinkToFit="false"/>
      <protection locked="true" hidden="false"/>
    </xf>
    <xf numFmtId="164" fontId="4" fillId="6" borderId="0" xfId="0" applyFont="true" applyBorder="fals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7" fontId="0" fillId="0" borderId="0" xfId="0" applyFont="false" applyBorder="false" applyAlignment="true" applyProtection="false">
      <alignment horizontal="left" vertical="center" textRotation="0" wrapText="false" indent="0" shrinkToFit="false"/>
      <protection locked="true" hidden="false"/>
    </xf>
    <xf numFmtId="164" fontId="4" fillId="7" borderId="0" xfId="0" applyFont="true" applyBorder="false" applyAlignment="true" applyProtection="false">
      <alignment horizontal="general" vertical="center" textRotation="0" wrapText="false" indent="0" shrinkToFit="false"/>
      <protection locked="true" hidden="false"/>
    </xf>
    <xf numFmtId="164" fontId="4" fillId="7" borderId="0" xfId="0" applyFont="true" applyBorder="false" applyAlignment="true" applyProtection="false">
      <alignment horizontal="center" vertical="center" textRotation="0" wrapText="false" indent="0" shrinkToFit="false"/>
      <protection locked="true" hidden="false"/>
    </xf>
    <xf numFmtId="164" fontId="11" fillId="4"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6"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4" fillId="8" borderId="0" xfId="0" applyFont="true" applyBorder="false" applyAlignment="true" applyProtection="false">
      <alignment horizontal="general" vertical="center" textRotation="0" wrapText="false" indent="0" shrinkToFit="false"/>
      <protection locked="true" hidden="false"/>
    </xf>
    <xf numFmtId="164" fontId="4" fillId="8" borderId="0" xfId="0" applyFont="true" applyBorder="false" applyAlignment="true" applyProtection="false">
      <alignment horizontal="center" vertical="center" textRotation="0" wrapText="false" indent="0" shrinkToFit="false"/>
      <protection locked="true" hidden="false"/>
    </xf>
    <xf numFmtId="169" fontId="0" fillId="0" borderId="5"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general" vertical="center" textRotation="0" wrapText="false" indent="0" shrinkToFit="false"/>
      <protection locked="true" hidden="false"/>
    </xf>
    <xf numFmtId="166"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11" fillId="3" borderId="0" xfId="0" applyFont="true" applyBorder="false" applyAlignment="true" applyProtection="false">
      <alignment horizontal="general" vertical="center" textRotation="0" wrapText="false" indent="0" shrinkToFit="false"/>
      <protection locked="true" hidden="false"/>
    </xf>
    <xf numFmtId="164" fontId="11" fillId="3" borderId="0" xfId="0" applyFont="true" applyBorder="false" applyAlignment="true" applyProtection="false">
      <alignment horizontal="center" vertical="center" textRotation="0" wrapText="false" indent="0" shrinkToFit="false"/>
      <protection locked="true" hidden="false"/>
    </xf>
    <xf numFmtId="169" fontId="4" fillId="3" borderId="1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general" vertical="center" textRotation="0" wrapText="false" indent="0" shrinkToFit="false"/>
      <protection locked="true" hidden="false"/>
    </xf>
    <xf numFmtId="164" fontId="0" fillId="5" borderId="5" xfId="0" applyFont="true" applyBorder="true" applyAlignment="true" applyProtection="false">
      <alignment horizontal="center" vertical="center" textRotation="0" wrapText="tru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6" fontId="5" fillId="3" borderId="0" xfId="0" applyFont="true" applyBorder="fals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9" fontId="0" fillId="6" borderId="50" xfId="0" applyFont="true" applyBorder="true" applyAlignment="true" applyProtection="false">
      <alignment horizontal="general" vertical="center" textRotation="0" wrapText="false" indent="0" shrinkToFit="false"/>
      <protection locked="true" hidden="false"/>
    </xf>
    <xf numFmtId="169" fontId="0" fillId="6" borderId="51" xfId="0" applyFont="true" applyBorder="true" applyAlignment="true" applyProtection="false">
      <alignment horizontal="general" vertical="center" textRotation="0" wrapText="false" indent="0" shrinkToFit="false"/>
      <protection locked="true" hidden="false"/>
    </xf>
    <xf numFmtId="169" fontId="6" fillId="0" borderId="4" xfId="0" applyFont="true" applyBorder="true" applyAlignment="true" applyProtection="false">
      <alignment horizontal="general" vertical="center" textRotation="0" wrapText="false" indent="0" shrinkToFit="false"/>
      <protection locked="true" hidden="false"/>
    </xf>
    <xf numFmtId="169" fontId="6" fillId="0" borderId="5" xfId="0" applyFont="true" applyBorder="true" applyAlignment="true" applyProtection="false">
      <alignment horizontal="center" vertical="center" textRotation="0" wrapText="false" indent="0" shrinkToFit="false"/>
      <protection locked="true" hidden="false"/>
    </xf>
    <xf numFmtId="169" fontId="0" fillId="0" borderId="11" xfId="0" applyFont="true" applyBorder="true" applyAlignment="true" applyProtection="false">
      <alignment horizontal="center" vertical="center" textRotation="0" wrapText="false" indent="0" shrinkToFit="false"/>
      <protection locked="true" hidden="false"/>
    </xf>
    <xf numFmtId="166" fontId="5" fillId="5" borderId="0" xfId="0" applyFont="true" applyBorder="fals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left" vertical="center" textRotation="0" wrapText="true" indent="0" shrinkToFit="false"/>
      <protection locked="true" hidden="false"/>
    </xf>
    <xf numFmtId="168" fontId="0" fillId="5" borderId="5" xfId="0" applyFont="fals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left" vertical="center" textRotation="0" wrapText="tru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center" vertical="center" textRotation="0" wrapText="false" indent="0" shrinkToFit="false"/>
      <protection locked="true" hidden="false"/>
    </xf>
    <xf numFmtId="169" fontId="0" fillId="3" borderId="7"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left" vertical="center" textRotation="0" wrapText="true" indent="0" shrinkToFit="false"/>
      <protection locked="true" hidden="false"/>
    </xf>
    <xf numFmtId="167" fontId="0" fillId="0" borderId="4" xfId="0" applyFont="false" applyBorder="true" applyAlignment="true" applyProtection="false">
      <alignment horizontal="general" vertical="center" textRotation="0" wrapText="false" indent="0" shrinkToFit="false"/>
      <protection locked="true" hidden="false"/>
    </xf>
    <xf numFmtId="167" fontId="0" fillId="0" borderId="13" xfId="0" applyFont="false" applyBorder="true" applyAlignment="true" applyProtection="false">
      <alignment horizontal="general" vertical="center" textRotation="0" wrapText="false" indent="0" shrinkToFit="false"/>
      <protection locked="true" hidden="false"/>
    </xf>
    <xf numFmtId="167" fontId="0" fillId="0" borderId="10" xfId="0" applyFont="false" applyBorder="true" applyAlignment="true" applyProtection="false">
      <alignment horizontal="general"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true" indent="0" shrinkToFit="false"/>
      <protection locked="true" hidden="false"/>
    </xf>
    <xf numFmtId="164" fontId="6" fillId="0" borderId="5" xfId="0" applyFont="true" applyBorder="true" applyAlignment="true" applyProtection="false">
      <alignment horizontal="general" vertical="center" textRotation="0" wrapText="true" indent="0" shrinkToFit="false"/>
      <protection locked="true" hidden="false"/>
    </xf>
    <xf numFmtId="164" fontId="0" fillId="0" borderId="53"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left" vertical="center" textRotation="0" wrapText="true" indent="0" shrinkToFit="false"/>
      <protection locked="true" hidden="false"/>
    </xf>
    <xf numFmtId="166" fontId="0" fillId="0" borderId="38" xfId="0" applyFont="false" applyBorder="true" applyAlignment="true" applyProtection="false">
      <alignment horizontal="center" vertical="center" textRotation="0" wrapText="false" indent="0" shrinkToFit="false"/>
      <protection locked="true" hidden="false"/>
    </xf>
    <xf numFmtId="164" fontId="0" fillId="0" borderId="54" xfId="0" applyFont="false" applyBorder="true" applyAlignment="true" applyProtection="false">
      <alignment horizontal="center" vertical="center" textRotation="0" wrapText="false" indent="0" shrinkToFit="false"/>
      <protection locked="true" hidden="false"/>
    </xf>
    <xf numFmtId="165" fontId="0" fillId="0" borderId="55" xfId="0" applyFont="false" applyBorder="true" applyAlignment="true" applyProtection="false">
      <alignment horizontal="center" vertical="center" textRotation="0" wrapText="false" indent="0" shrinkToFit="false"/>
      <protection locked="true" hidden="false"/>
    </xf>
    <xf numFmtId="165" fontId="0" fillId="0" borderId="48" xfId="0" applyFont="false" applyBorder="tru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true" indent="0" shrinkToFit="false"/>
      <protection locked="true" hidden="false"/>
    </xf>
    <xf numFmtId="164" fontId="6" fillId="0" borderId="53" xfId="0" applyFont="true" applyBorder="true" applyAlignment="true" applyProtection="false">
      <alignment horizontal="general" vertical="center" textRotation="0" wrapText="false" indent="0" shrinkToFit="false"/>
      <protection locked="true" hidden="false"/>
    </xf>
    <xf numFmtId="169" fontId="6" fillId="0" borderId="8" xfId="0" applyFont="true" applyBorder="true" applyAlignment="true" applyProtection="false">
      <alignment horizontal="left" vertical="center" textRotation="0" wrapText="true" indent="0" shrinkToFit="false"/>
      <protection locked="true" hidden="false"/>
    </xf>
    <xf numFmtId="164" fontId="6" fillId="0" borderId="38" xfId="0" applyFont="true" applyBorder="true" applyAlignment="true" applyProtection="false">
      <alignment horizontal="center" vertical="center" textRotation="0" wrapText="false" indent="0" shrinkToFit="false"/>
      <protection locked="true" hidden="false"/>
    </xf>
    <xf numFmtId="166" fontId="6" fillId="0" borderId="38" xfId="0" applyFont="true" applyBorder="true" applyAlignment="true" applyProtection="false">
      <alignment horizontal="center" vertical="center" textRotation="0" wrapText="false" indent="0" shrinkToFit="false"/>
      <protection locked="true" hidden="false"/>
    </xf>
    <xf numFmtId="164" fontId="6" fillId="0" borderId="54" xfId="0" applyFont="true" applyBorder="true" applyAlignment="true" applyProtection="false">
      <alignment horizontal="center" vertical="center" textRotation="0" wrapText="false" indent="0" shrinkToFit="false"/>
      <protection locked="true" hidden="false"/>
    </xf>
    <xf numFmtId="166" fontId="5" fillId="6" borderId="0" xfId="0" applyFont="true" applyBorder="false" applyAlignment="true" applyProtection="false">
      <alignment horizontal="center" vertical="center" textRotation="0" wrapText="false" indent="0" shrinkToFit="false"/>
      <protection locked="true" hidden="false"/>
    </xf>
    <xf numFmtId="166" fontId="5" fillId="7" borderId="0" xfId="0" applyFont="true" applyBorder="false" applyAlignment="true" applyProtection="false">
      <alignment horizontal="center" vertical="center" textRotation="0" wrapText="false" indent="0" shrinkToFit="false"/>
      <protection locked="true" hidden="false"/>
    </xf>
    <xf numFmtId="164" fontId="0" fillId="3" borderId="3" xfId="0" applyFont="true" applyBorder="true" applyAlignment="true" applyProtection="false">
      <alignment horizontal="general" vertical="center" textRotation="0" wrapText="false" indent="0" shrinkToFit="false"/>
      <protection locked="true" hidden="false"/>
    </xf>
    <xf numFmtId="165" fontId="0" fillId="5" borderId="5" xfId="0" applyFont="false" applyBorder="true" applyAlignment="true" applyProtection="false">
      <alignment horizontal="center" vertical="center" textRotation="0" wrapText="true" indent="0" shrinkToFit="false"/>
      <protection locked="true" hidden="false"/>
    </xf>
    <xf numFmtId="164" fontId="0" fillId="3" borderId="8" xfId="0" applyFont="true" applyBorder="true" applyAlignment="true" applyProtection="false">
      <alignment horizontal="center" vertical="center" textRotation="0" wrapText="true" indent="0" shrinkToFit="false"/>
      <protection locked="true" hidden="false"/>
    </xf>
    <xf numFmtId="165" fontId="0" fillId="3" borderId="8" xfId="0" applyFont="false" applyBorder="true" applyAlignment="true" applyProtection="false">
      <alignment horizontal="center" vertical="center" textRotation="0" wrapText="true" indent="0" shrinkToFit="false"/>
      <protection locked="true" hidden="false"/>
    </xf>
    <xf numFmtId="164" fontId="0" fillId="3" borderId="11" xfId="0" applyFont="true" applyBorder="true" applyAlignment="true" applyProtection="false">
      <alignment horizontal="center" vertical="center" textRotation="0" wrapText="true" indent="0" shrinkToFit="false"/>
      <protection locked="true" hidden="false"/>
    </xf>
    <xf numFmtId="165" fontId="0" fillId="3" borderId="11" xfId="0" applyFont="false" applyBorder="true" applyAlignment="true" applyProtection="false">
      <alignment horizontal="center" vertical="center" textRotation="0" wrapText="true" indent="0" shrinkToFit="false"/>
      <protection locked="true" hidden="false"/>
    </xf>
    <xf numFmtId="166" fontId="5" fillId="3" borderId="12" xfId="0" applyFont="true" applyBorder="true" applyAlignment="true" applyProtection="false">
      <alignment horizontal="center" vertical="center" textRotation="0" wrapText="true" indent="0" shrinkToFit="false"/>
      <protection locked="true" hidden="false"/>
    </xf>
    <xf numFmtId="164" fontId="0" fillId="0" borderId="56" xfId="0" applyFont="fals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0" fillId="5" borderId="8" xfId="0" applyFont="true" applyBorder="true" applyAlignment="true" applyProtection="false">
      <alignment horizontal="general"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tru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4" fontId="4" fillId="3" borderId="30" xfId="0" applyFont="true" applyBorder="true" applyAlignment="true" applyProtection="false">
      <alignment horizontal="center" vertical="center" textRotation="0" wrapText="false" indent="0" shrinkToFit="false"/>
      <protection locked="true" hidden="false"/>
    </xf>
    <xf numFmtId="169" fontId="0" fillId="7" borderId="43"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false" indent="0" shrinkToFit="false"/>
      <protection locked="true" hidden="false"/>
    </xf>
    <xf numFmtId="169" fontId="0" fillId="7" borderId="4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true" indent="0" shrinkToFit="false"/>
      <protection locked="true" hidden="false"/>
    </xf>
    <xf numFmtId="164" fontId="5" fillId="0" borderId="5" xfId="0" applyFont="true" applyBorder="true" applyAlignment="true" applyProtection="false">
      <alignment horizontal="center" vertical="center" textRotation="0" wrapText="true" indent="0" shrinkToFit="false"/>
      <protection locked="true" hidden="false"/>
    </xf>
    <xf numFmtId="166" fontId="5" fillId="0" borderId="5" xfId="0" applyFont="true" applyBorder="true" applyAlignment="true" applyProtection="false">
      <alignment horizontal="center" vertical="center" textRotation="0" wrapText="true" indent="0" shrinkToFit="false"/>
      <protection locked="true" hidden="false"/>
    </xf>
    <xf numFmtId="166" fontId="6" fillId="0" borderId="8" xfId="0" applyFont="true" applyBorder="true" applyAlignment="true" applyProtection="false">
      <alignment horizontal="center" vertical="center" textRotation="0" wrapText="true" indent="0" shrinkToFit="false"/>
      <protection locked="true" hidden="false"/>
    </xf>
    <xf numFmtId="169" fontId="0" fillId="8" borderId="50"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false" indent="0" shrinkToFit="false"/>
      <protection locked="true" hidden="false"/>
    </xf>
    <xf numFmtId="166" fontId="0" fillId="0" borderId="5"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6"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6" fontId="0"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center" vertical="center" textRotation="0" wrapText="true" indent="0" shrinkToFit="false"/>
      <protection locked="true" hidden="false"/>
    </xf>
    <xf numFmtId="164" fontId="0" fillId="7" borderId="25" xfId="0" applyFont="true" applyBorder="true" applyAlignment="true" applyProtection="false">
      <alignment horizontal="center" vertical="center" textRotation="0" wrapText="tru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4" fillId="9" borderId="0"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true" indent="0" shrinkToFit="false"/>
      <protection locked="true" hidden="false"/>
    </xf>
    <xf numFmtId="164" fontId="4" fillId="0" borderId="1" xfId="0" applyFont="true" applyBorder="true" applyAlignment="true" applyProtection="false">
      <alignment horizontal="general"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true" indent="0" shrinkToFit="false"/>
      <protection locked="true" hidden="false"/>
    </xf>
    <xf numFmtId="164" fontId="0" fillId="7" borderId="8"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general" vertical="center" textRotation="0" wrapText="false" indent="0" shrinkToFit="false"/>
      <protection locked="true" hidden="false"/>
    </xf>
    <xf numFmtId="164" fontId="0" fillId="5" borderId="1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right" vertical="center" textRotation="0" wrapText="false" indent="0" shrinkToFit="false"/>
      <protection locked="true" hidden="false"/>
    </xf>
    <xf numFmtId="164" fontId="4" fillId="0" borderId="3" xfId="0" applyFont="true" applyBorder="true" applyAlignment="true" applyProtection="false">
      <alignment horizontal="left" vertical="center" textRotation="0" wrapText="false" indent="0" shrinkToFit="false"/>
      <protection locked="true" hidden="false"/>
    </xf>
    <xf numFmtId="164" fontId="10" fillId="0" borderId="3" xfId="0" applyFont="true" applyBorder="true" applyAlignment="true" applyProtection="false">
      <alignment horizontal="left" vertical="center" textRotation="0" wrapText="true" indent="0" shrinkToFit="false"/>
      <protection locked="true" hidden="false"/>
    </xf>
    <xf numFmtId="164" fontId="10" fillId="0" borderId="1" xfId="0" applyFont="true" applyBorder="true" applyAlignment="true" applyProtection="false">
      <alignment horizontal="left" vertical="center" textRotation="0" wrapText="true" indent="0" shrinkToFit="false"/>
      <protection locked="true" hidden="false"/>
    </xf>
    <xf numFmtId="164" fontId="0" fillId="0" borderId="32" xfId="0" applyFont="false" applyBorder="true" applyAlignment="true" applyProtection="false">
      <alignment horizontal="center" vertical="center" textRotation="0" wrapText="false" indent="0" shrinkToFit="false"/>
      <protection locked="true" hidden="false"/>
    </xf>
    <xf numFmtId="164" fontId="5" fillId="0" borderId="35" xfId="0" applyFont="true" applyBorder="true" applyAlignment="true" applyProtection="false">
      <alignment horizontal="general" vertical="center" textRotation="0" wrapText="false" indent="0" shrinkToFit="false"/>
      <protection locked="true" hidden="false"/>
    </xf>
    <xf numFmtId="164" fontId="0" fillId="0" borderId="37" xfId="0" applyFont="true" applyBorder="true" applyAlignment="true" applyProtection="false">
      <alignment horizontal="left" vertical="center" textRotation="0" wrapText="true" indent="0" shrinkToFit="false"/>
      <protection locked="true" hidden="false"/>
    </xf>
    <xf numFmtId="164" fontId="5" fillId="0" borderId="37" xfId="0" applyFont="true" applyBorder="true" applyAlignment="true" applyProtection="false">
      <alignment horizontal="left" vertical="center" textRotation="0" wrapText="false" indent="0" shrinkToFit="false"/>
      <protection locked="true" hidden="false"/>
    </xf>
    <xf numFmtId="164" fontId="0" fillId="0" borderId="36" xfId="0" applyFont="true" applyBorder="true" applyAlignment="true" applyProtection="false">
      <alignment horizontal="left" vertical="center" textRotation="0" wrapText="false" indent="0" shrinkToFit="false"/>
      <protection locked="true" hidden="false"/>
    </xf>
    <xf numFmtId="169" fontId="0" fillId="5" borderId="21" xfId="0" applyFont="true" applyBorder="true" applyAlignment="true" applyProtection="false">
      <alignment horizontal="left" vertical="center" textRotation="0" wrapText="false" indent="0" shrinkToFit="false"/>
      <protection locked="true" hidden="false"/>
    </xf>
    <xf numFmtId="169" fontId="0" fillId="5" borderId="5" xfId="0" applyFont="true" applyBorder="true" applyAlignment="true" applyProtection="false">
      <alignment horizontal="general" vertical="center" textRotation="0" wrapText="false" indent="0" shrinkToFit="false"/>
      <protection locked="true" hidden="false"/>
    </xf>
    <xf numFmtId="169" fontId="0" fillId="5" borderId="6" xfId="0" applyFont="true" applyBorder="true" applyAlignment="true" applyProtection="false">
      <alignment horizontal="left" vertical="center" textRotation="0" wrapText="true" indent="0" shrinkToFit="false"/>
      <protection locked="true" hidden="false"/>
    </xf>
    <xf numFmtId="169" fontId="0" fillId="6" borderId="24" xfId="0" applyFont="true" applyBorder="true" applyAlignment="true" applyProtection="false">
      <alignment horizontal="left"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false" indent="0" shrinkToFit="false"/>
      <protection locked="true" hidden="false"/>
    </xf>
    <xf numFmtId="169" fontId="0" fillId="6" borderId="9" xfId="0" applyFont="true" applyBorder="true" applyAlignment="true" applyProtection="false">
      <alignment horizontal="left" vertical="center" textRotation="0" wrapText="true" indent="0" shrinkToFit="false"/>
      <protection locked="true" hidden="false"/>
    </xf>
    <xf numFmtId="169" fontId="0" fillId="7" borderId="24" xfId="0" applyFont="true" applyBorder="true" applyAlignment="true" applyProtection="false">
      <alignment horizontal="left"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false" indent="0" shrinkToFit="false"/>
      <protection locked="true" hidden="false"/>
    </xf>
    <xf numFmtId="169" fontId="0" fillId="7" borderId="9" xfId="0" applyFont="true" applyBorder="true" applyAlignment="true" applyProtection="false">
      <alignment horizontal="left" vertical="center" textRotation="0" wrapText="true" indent="0" shrinkToFit="false"/>
      <protection locked="true" hidden="false"/>
    </xf>
    <xf numFmtId="169" fontId="0" fillId="8" borderId="27" xfId="0" applyFont="true" applyBorder="true" applyAlignment="true" applyProtection="false">
      <alignment horizontal="left" vertical="center" textRotation="0" wrapText="false" indent="0" shrinkToFit="false"/>
      <protection locked="true" hidden="false"/>
    </xf>
    <xf numFmtId="169" fontId="0" fillId="8" borderId="11" xfId="0" applyFont="true" applyBorder="true" applyAlignment="true" applyProtection="false">
      <alignment horizontal="general" vertical="center" textRotation="0" wrapText="true" indent="0" shrinkToFit="false"/>
      <protection locked="true" hidden="false"/>
    </xf>
    <xf numFmtId="169" fontId="0" fillId="8" borderId="12" xfId="0" applyFont="true" applyBorder="true" applyAlignment="true" applyProtection="false">
      <alignment horizontal="left"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tru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9" fontId="4" fillId="4" borderId="1" xfId="0" applyFont="true" applyBorder="true" applyAlignment="true" applyProtection="false">
      <alignment horizontal="center" vertical="center" textRotation="0" wrapText="true" indent="0" shrinkToFit="false"/>
      <protection locked="true" hidden="false"/>
    </xf>
    <xf numFmtId="164" fontId="4" fillId="4" borderId="17" xfId="0" applyFont="true" applyBorder="true" applyAlignment="true" applyProtection="false">
      <alignment horizontal="center" vertical="center" textRotation="0" wrapText="true" indent="0" shrinkToFit="false"/>
      <protection locked="true" hidden="false"/>
    </xf>
    <xf numFmtId="164" fontId="5" fillId="10" borderId="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false" applyBorder="true" applyAlignment="true" applyProtection="false">
      <alignment horizontal="center" vertical="center" textRotation="0" wrapText="false" indent="0" shrinkToFit="false"/>
      <protection locked="true" hidden="false"/>
    </xf>
    <xf numFmtId="169" fontId="0" fillId="10" borderId="5" xfId="0" applyFont="tru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center" vertical="center" textRotation="0" wrapText="false" indent="0" shrinkToFit="false"/>
      <protection locked="true" hidden="false"/>
    </xf>
    <xf numFmtId="166" fontId="0" fillId="10" borderId="6" xfId="0" applyFont="false" applyBorder="true" applyAlignment="true" applyProtection="false">
      <alignment horizontal="center" vertical="center" textRotation="0" wrapText="false" indent="0" shrinkToFit="false"/>
      <protection locked="true" hidden="false"/>
    </xf>
    <xf numFmtId="169" fontId="4" fillId="0" borderId="0"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true" indent="0" shrinkToFit="false"/>
      <protection locked="true" hidden="false"/>
    </xf>
    <xf numFmtId="169" fontId="0" fillId="3"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true" indent="0" shrinkToFit="false"/>
      <protection locked="true" hidden="false"/>
    </xf>
    <xf numFmtId="169" fontId="0" fillId="7" borderId="11" xfId="0" applyFont="tru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true" indent="0" shrinkToFit="false"/>
      <protection locked="true" hidden="false"/>
    </xf>
    <xf numFmtId="169" fontId="4" fillId="0" borderId="32" xfId="0" applyFont="true" applyBorder="true" applyAlignment="true" applyProtection="false">
      <alignment horizontal="center" vertical="center" textRotation="0" wrapText="false" indent="0" shrinkToFit="false"/>
      <protection locked="true" hidden="false"/>
    </xf>
    <xf numFmtId="169" fontId="4" fillId="0" borderId="16" xfId="0" applyFont="true" applyBorder="true" applyAlignment="true" applyProtection="false">
      <alignment horizontal="center" vertical="center" textRotation="0" wrapText="true" indent="0" shrinkToFit="false"/>
      <protection locked="true" hidden="false"/>
    </xf>
    <xf numFmtId="164" fontId="5" fillId="0" borderId="13"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true" indent="0" shrinkToFit="false"/>
      <protection locked="true" hidden="false"/>
    </xf>
    <xf numFmtId="169" fontId="0" fillId="0" borderId="42" xfId="0" applyFont="true" applyBorder="true" applyAlignment="true" applyProtection="false">
      <alignment horizontal="general"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true" indent="0" shrinkToFit="false"/>
      <protection locked="true" hidden="false"/>
    </xf>
    <xf numFmtId="169" fontId="0" fillId="7" borderId="44"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9" fontId="0" fillId="0" borderId="7" xfId="0" applyFont="true" applyBorder="true" applyAlignment="true" applyProtection="false">
      <alignment horizontal="general"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true" indent="0" shrinkToFit="false"/>
      <protection locked="true" hidden="false"/>
    </xf>
    <xf numFmtId="169" fontId="0" fillId="0" borderId="44"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left" vertical="center" textRotation="0" wrapText="true" indent="0" shrinkToFit="false"/>
      <protection locked="true" hidden="false"/>
    </xf>
    <xf numFmtId="169" fontId="0" fillId="0" borderId="46" xfId="0" applyFont="true" applyBorder="true" applyAlignment="true" applyProtection="false">
      <alignment horizontal="general" vertical="center" textRotation="0" wrapText="false" indent="0" shrinkToFit="false"/>
      <protection locked="true" hidden="false"/>
    </xf>
    <xf numFmtId="169" fontId="5" fillId="0" borderId="8" xfId="0" applyFont="true" applyBorder="true" applyAlignment="true" applyProtection="false">
      <alignment horizontal="center" vertical="center" textRotation="0" wrapText="false" indent="0" shrinkToFit="false"/>
      <protection locked="true" hidden="false"/>
    </xf>
    <xf numFmtId="169" fontId="5" fillId="0" borderId="11" xfId="0" applyFont="true" applyBorder="true" applyAlignment="true" applyProtection="false">
      <alignment horizontal="center" vertical="center" textRotation="0" wrapText="false" indent="0" shrinkToFit="false"/>
      <protection locked="true" hidden="false"/>
    </xf>
    <xf numFmtId="168" fontId="5" fillId="10" borderId="5" xfId="0" applyFont="true" applyBorder="true" applyAlignment="true" applyProtection="false">
      <alignment horizontal="center" vertical="center" textRotation="0" wrapText="false" indent="0" shrinkToFit="false"/>
      <protection locked="true" hidden="false"/>
    </xf>
    <xf numFmtId="164" fontId="5" fillId="10" borderId="5"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center" vertical="center" textRotation="0" wrapText="false" indent="0" shrinkToFit="false"/>
      <protection locked="true" hidden="false"/>
    </xf>
    <xf numFmtId="168" fontId="0" fillId="10" borderId="5" xfId="0" applyFont="fals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general" vertical="center" textRotation="0" wrapText="false" indent="0" shrinkToFit="false"/>
      <protection locked="true" hidden="false"/>
    </xf>
    <xf numFmtId="166" fontId="5" fillId="10" borderId="6" xfId="0" applyFont="true" applyBorder="true" applyAlignment="true" applyProtection="false">
      <alignment horizontal="center" vertical="center" textRotation="0" wrapText="true" indent="0" shrinkToFit="false"/>
      <protection locked="true" hidden="false"/>
    </xf>
    <xf numFmtId="164" fontId="0" fillId="3" borderId="8" xfId="0" applyFont="fals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general" vertical="center" textRotation="0" wrapText="false" indent="0" shrinkToFit="false"/>
      <protection locked="true" hidden="false"/>
    </xf>
    <xf numFmtId="164" fontId="5" fillId="9" borderId="4" xfId="0" applyFont="true" applyBorder="true" applyAlignment="true" applyProtection="false">
      <alignment horizontal="general" vertical="center" textRotation="0" wrapText="false" indent="0" shrinkToFit="false"/>
      <protection locked="true" hidden="false"/>
    </xf>
    <xf numFmtId="164" fontId="5" fillId="9" borderId="5" xfId="0" applyFont="true" applyBorder="true" applyAlignment="true" applyProtection="false">
      <alignment horizontal="general" vertical="center" textRotation="0" wrapText="true" indent="0" shrinkToFit="false"/>
      <protection locked="true" hidden="false"/>
    </xf>
    <xf numFmtId="164" fontId="0" fillId="9" borderId="6" xfId="0" applyFont="false" applyBorder="true" applyAlignment="true" applyProtection="false">
      <alignment horizontal="center"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true" indent="0" shrinkToFit="false"/>
      <protection locked="true" hidden="false"/>
    </xf>
    <xf numFmtId="169" fontId="0" fillId="5" borderId="5" xfId="0" applyFont="true" applyBorder="true" applyAlignment="true" applyProtection="false">
      <alignment horizontal="general" vertical="center" textRotation="0" wrapText="true" indent="0" shrinkToFit="false"/>
      <protection locked="true" hidden="false"/>
    </xf>
    <xf numFmtId="169" fontId="0" fillId="0" borderId="21" xfId="0" applyFont="true" applyBorder="true" applyAlignment="true" applyProtection="false">
      <alignment horizontal="center" vertical="center" textRotation="0" wrapText="false" indent="0" shrinkToFit="false"/>
      <protection locked="true" hidden="false"/>
    </xf>
    <xf numFmtId="169" fontId="0" fillId="0" borderId="6" xfId="0" applyFont="true" applyBorder="true" applyAlignment="true" applyProtection="false">
      <alignment horizontal="center" vertical="center" textRotation="0" wrapText="false" indent="0" shrinkToFit="false"/>
      <protection locked="true" hidden="false"/>
    </xf>
    <xf numFmtId="164" fontId="5" fillId="9" borderId="7" xfId="0" applyFont="true" applyBorder="true" applyAlignment="true" applyProtection="false">
      <alignment horizontal="general" vertical="center" textRotation="0" wrapText="false" indent="0" shrinkToFit="false"/>
      <protection locked="true" hidden="false"/>
    </xf>
    <xf numFmtId="164" fontId="5" fillId="9" borderId="8" xfId="0" applyFont="true" applyBorder="true" applyAlignment="true" applyProtection="false">
      <alignment horizontal="general" vertical="center" textRotation="0" wrapText="true" indent="0" shrinkToFit="false"/>
      <protection locked="true" hidden="false"/>
    </xf>
    <xf numFmtId="164" fontId="0" fillId="9" borderId="9" xfId="0" applyFont="false" applyBorder="true" applyAlignment="true" applyProtection="false">
      <alignment horizontal="center" vertical="center" textRotation="0" wrapText="false" indent="0" shrinkToFit="false"/>
      <protection locked="true" hidden="false"/>
    </xf>
    <xf numFmtId="169" fontId="0" fillId="0" borderId="24" xfId="0" applyFont="true" applyBorder="true" applyAlignment="true" applyProtection="false">
      <alignment horizontal="center" vertical="center" textRotation="0" wrapText="false" indent="0" shrinkToFit="false"/>
      <protection locked="true" hidden="false"/>
    </xf>
    <xf numFmtId="169" fontId="0" fillId="0" borderId="9" xfId="0" applyFont="true" applyBorder="true" applyAlignment="true" applyProtection="false">
      <alignment horizontal="center" vertical="center" textRotation="0" wrapText="false" indent="0" shrinkToFit="false"/>
      <protection locked="true" hidden="false"/>
    </xf>
    <xf numFmtId="169" fontId="0" fillId="4" borderId="23" xfId="0" applyFont="true" applyBorder="true" applyAlignment="true" applyProtection="false">
      <alignment horizontal="center" vertical="center" textRotation="0" wrapText="false" indent="0" shrinkToFit="false"/>
      <protection locked="true" hidden="false"/>
    </xf>
    <xf numFmtId="169" fontId="0" fillId="4" borderId="24" xfId="0" applyFont="true" applyBorder="true" applyAlignment="true" applyProtection="false">
      <alignment horizontal="center" vertical="center" textRotation="0" wrapText="false" indent="0" shrinkToFit="false"/>
      <protection locked="true" hidden="false"/>
    </xf>
    <xf numFmtId="169" fontId="0" fillId="4" borderId="8" xfId="0" applyFont="true" applyBorder="true" applyAlignment="true" applyProtection="false">
      <alignment horizontal="center" vertical="center" textRotation="0" wrapText="false" indent="0" shrinkToFit="false"/>
      <protection locked="true" hidden="false"/>
    </xf>
    <xf numFmtId="169" fontId="0" fillId="4" borderId="9" xfId="0" applyFont="true" applyBorder="true" applyAlignment="true" applyProtection="false">
      <alignment horizontal="center" vertical="center" textRotation="0" wrapText="false" indent="0" shrinkToFit="false"/>
      <protection locked="true" hidden="false"/>
    </xf>
    <xf numFmtId="164" fontId="5" fillId="9" borderId="10" xfId="0" applyFont="true" applyBorder="true" applyAlignment="true" applyProtection="false">
      <alignment horizontal="general" vertical="center" textRotation="0" wrapText="false" indent="0" shrinkToFit="false"/>
      <protection locked="true" hidden="false"/>
    </xf>
    <xf numFmtId="164" fontId="5" fillId="9" borderId="11" xfId="0" applyFont="true" applyBorder="true" applyAlignment="true" applyProtection="false">
      <alignment horizontal="general" vertical="center" textRotation="0" wrapText="true" indent="0" shrinkToFit="false"/>
      <protection locked="true" hidden="false"/>
    </xf>
    <xf numFmtId="164" fontId="0" fillId="9" borderId="12" xfId="0" applyFont="false" applyBorder="true" applyAlignment="true" applyProtection="false">
      <alignment horizontal="center"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true" indent="0" shrinkToFit="false"/>
      <protection locked="true" hidden="false"/>
    </xf>
    <xf numFmtId="169" fontId="0" fillId="8" borderId="11" xfId="0" applyFont="true" applyBorder="true" applyAlignment="true" applyProtection="false">
      <alignment horizontal="general" vertical="center" textRotation="0" wrapText="false" indent="0" shrinkToFit="false"/>
      <protection locked="true" hidden="false"/>
    </xf>
    <xf numFmtId="169" fontId="0" fillId="4" borderId="26" xfId="0" applyFont="true" applyBorder="true" applyAlignment="true" applyProtection="false">
      <alignment horizontal="center" vertical="center" textRotation="0" wrapText="false" indent="0" shrinkToFit="false"/>
      <protection locked="true" hidden="false"/>
    </xf>
    <xf numFmtId="169" fontId="0" fillId="4" borderId="27" xfId="0" applyFont="true" applyBorder="true" applyAlignment="true" applyProtection="false">
      <alignment horizontal="center" vertical="center" textRotation="0" wrapText="false" indent="0" shrinkToFit="false"/>
      <protection locked="true" hidden="false"/>
    </xf>
    <xf numFmtId="169" fontId="0" fillId="4" borderId="11" xfId="0" applyFont="true" applyBorder="true" applyAlignment="true" applyProtection="false">
      <alignment horizontal="center" vertical="center" textRotation="0" wrapText="false" indent="0" shrinkToFit="false"/>
      <protection locked="true" hidden="false"/>
    </xf>
    <xf numFmtId="169" fontId="0" fillId="4" borderId="1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9" borderId="4" xfId="0" applyFont="true" applyBorder="true" applyAlignment="true" applyProtection="false">
      <alignment horizontal="general" vertical="center" textRotation="0" wrapText="false" indent="0" shrinkToFit="false"/>
      <protection locked="true" hidden="false"/>
    </xf>
    <xf numFmtId="164" fontId="6" fillId="9" borderId="5" xfId="0" applyFont="true" applyBorder="true" applyAlignment="true" applyProtection="false">
      <alignment horizontal="general" vertical="center" textRotation="0" wrapText="true" indent="0" shrinkToFit="false"/>
      <protection locked="true" hidden="false"/>
    </xf>
    <xf numFmtId="165" fontId="5" fillId="0" borderId="2" xfId="0" applyFont="true" applyBorder="true" applyAlignment="true" applyProtection="false">
      <alignment horizontal="center" vertical="center" textRotation="0" wrapText="false" indent="0" shrinkToFit="false"/>
      <protection locked="true" hidden="false"/>
    </xf>
    <xf numFmtId="165" fontId="0" fillId="0" borderId="42" xfId="0" applyFont="false" applyBorder="true" applyAlignment="true" applyProtection="false">
      <alignment horizontal="center" vertical="center" textRotation="0" wrapText="false" indent="0" shrinkToFit="false"/>
      <protection locked="true" hidden="false"/>
    </xf>
    <xf numFmtId="165" fontId="0" fillId="0" borderId="46" xfId="0" applyFont="false" applyBorder="true" applyAlignment="true" applyProtection="false">
      <alignment horizontal="center" vertical="center" textRotation="0" wrapText="false" indent="0" shrinkToFit="false"/>
      <protection locked="true" hidden="false"/>
    </xf>
    <xf numFmtId="164" fontId="0" fillId="10" borderId="4" xfId="0" applyFont="true" applyBorder="true" applyAlignment="true" applyProtection="false">
      <alignment horizontal="general" vertical="center" textRotation="0" wrapText="false" indent="0" shrinkToFit="false"/>
      <protection locked="true" hidden="false"/>
    </xf>
    <xf numFmtId="164" fontId="0" fillId="10" borderId="5" xfId="0" applyFont="true" applyBorder="true" applyAlignment="true" applyProtection="false">
      <alignment horizontal="left" vertical="center" textRotation="0" wrapText="true" indent="0" shrinkToFit="false"/>
      <protection locked="true" hidden="false"/>
    </xf>
    <xf numFmtId="164" fontId="0" fillId="5" borderId="43" xfId="0" applyFont="false" applyBorder="tru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general" vertical="center" textRotation="0" wrapText="false" indent="0" shrinkToFit="false"/>
      <protection locked="true" hidden="false"/>
    </xf>
    <xf numFmtId="164" fontId="0" fillId="5" borderId="45" xfId="0" applyFont="false" applyBorder="true" applyAlignment="true" applyProtection="false">
      <alignment horizontal="center" vertical="center" textRotation="0" wrapText="false" indent="0" shrinkToFit="false"/>
      <protection locked="true" hidden="false"/>
    </xf>
    <xf numFmtId="164" fontId="5" fillId="5" borderId="7" xfId="0" applyFont="true" applyBorder="true" applyAlignment="true" applyProtection="false">
      <alignment horizontal="general" vertical="center" textRotation="0" wrapText="false" indent="0" shrinkToFit="false"/>
      <protection locked="true" hidden="false"/>
    </xf>
    <xf numFmtId="164" fontId="0" fillId="5" borderId="47" xfId="0" applyFont="false" applyBorder="true" applyAlignment="true" applyProtection="false">
      <alignment horizontal="center" vertical="center" textRotation="0" wrapText="false" indent="0" shrinkToFit="false"/>
      <protection locked="true" hidden="false"/>
    </xf>
    <xf numFmtId="164" fontId="5" fillId="5" borderId="10" xfId="0" applyFont="true" applyBorder="true" applyAlignment="true" applyProtection="false">
      <alignment horizontal="general" vertical="center" textRotation="0" wrapText="false" indent="0" shrinkToFit="false"/>
      <protection locked="true" hidden="false"/>
    </xf>
    <xf numFmtId="164" fontId="4" fillId="3" borderId="30" xfId="0" applyFont="true" applyBorder="true" applyAlignment="true" applyProtection="false">
      <alignment horizontal="right"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left" vertical="center" textRotation="0" wrapText="false" indent="0" shrinkToFit="false"/>
      <protection locked="true" hidden="false"/>
    </xf>
    <xf numFmtId="164" fontId="0" fillId="0" borderId="24" xfId="0" applyFont="true" applyBorder="tru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27"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9" fontId="0" fillId="7" borderId="11" xfId="0" applyFont="true" applyBorder="true" applyAlignment="true" applyProtection="false">
      <alignment horizontal="general" vertical="center" textRotation="0" wrapText="true" indent="0" shrinkToFit="false"/>
      <protection locked="true" hidden="false"/>
    </xf>
    <xf numFmtId="169" fontId="0" fillId="7" borderId="12" xfId="0" applyFont="true" applyBorder="true" applyAlignment="true" applyProtection="false">
      <alignment horizontal="left" vertical="center" textRotation="0" wrapText="true" indent="0" shrinkToFit="false"/>
      <protection locked="true" hidden="false"/>
    </xf>
    <xf numFmtId="169" fontId="4" fillId="3" borderId="0" xfId="0" applyFont="true" applyBorder="true" applyAlignment="true" applyProtection="false">
      <alignment horizontal="center" vertical="center" textRotation="0" wrapText="true" indent="0" shrinkToFit="false"/>
      <protection locked="true" hidden="false"/>
    </xf>
    <xf numFmtId="164" fontId="5" fillId="7" borderId="11" xfId="0" applyFont="true" applyBorder="true" applyAlignment="true" applyProtection="false">
      <alignment horizontal="center"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true" indent="0" shrinkToFit="false"/>
      <protection locked="true" hidden="false"/>
    </xf>
    <xf numFmtId="169" fontId="0" fillId="5" borderId="9" xfId="0" applyFont="true" applyBorder="true" applyAlignment="true" applyProtection="false">
      <alignment horizontal="left" vertical="center" textRotation="0" wrapText="true" indent="0" shrinkToFit="false"/>
      <protection locked="true" hidden="false"/>
    </xf>
    <xf numFmtId="169" fontId="0" fillId="7" borderId="20"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true" indent="0" shrinkToFit="false"/>
      <protection locked="true" hidden="false"/>
    </xf>
    <xf numFmtId="169" fontId="0" fillId="0" borderId="8" xfId="0" applyFont="true" applyBorder="true" applyAlignment="true" applyProtection="false">
      <alignment horizontal="center" vertical="center" textRotation="0" wrapText="true" indent="0" shrinkToFit="false"/>
      <protection locked="true" hidden="false"/>
    </xf>
    <xf numFmtId="169" fontId="0" fillId="7" borderId="24" xfId="0" applyFont="true" applyBorder="true" applyAlignment="true" applyProtection="false">
      <alignment horizontal="general" vertical="center" textRotation="0" wrapText="true" indent="0" shrinkToFit="false"/>
      <protection locked="true" hidden="false"/>
    </xf>
    <xf numFmtId="169" fontId="0" fillId="0" borderId="23" xfId="0" applyFont="true" applyBorder="true" applyAlignment="true" applyProtection="false">
      <alignment horizontal="center" vertical="center" textRotation="0" wrapText="false" indent="0" shrinkToFit="false"/>
      <protection locked="true" hidden="false"/>
    </xf>
    <xf numFmtId="169" fontId="0" fillId="7" borderId="24" xfId="0" applyFont="true" applyBorder="true" applyAlignment="true" applyProtection="false">
      <alignment horizontal="left" vertical="center" textRotation="0" wrapText="false" indent="0" shrinkToFit="false"/>
      <protection locked="true" hidden="false"/>
    </xf>
    <xf numFmtId="169" fontId="0" fillId="7" borderId="8" xfId="0" applyFont="true" applyBorder="true" applyAlignment="true" applyProtection="false">
      <alignment horizontal="left" vertical="center" textRotation="0" wrapText="true" indent="0" shrinkToFit="false"/>
      <protection locked="true" hidden="false"/>
    </xf>
    <xf numFmtId="169" fontId="0" fillId="7" borderId="9" xfId="0" applyFont="true" applyBorder="true" applyAlignment="true" applyProtection="false">
      <alignment horizontal="left"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center" vertical="center" textRotation="0" wrapText="false" indent="0" shrinkToFit="false"/>
      <protection locked="true" hidden="false"/>
    </xf>
    <xf numFmtId="169" fontId="0" fillId="0" borderId="27" xfId="0" applyFont="true" applyBorder="true" applyAlignment="true" applyProtection="false">
      <alignment horizontal="center" vertical="center" textRotation="0" wrapText="false" indent="0" shrinkToFit="false"/>
      <protection locked="true" hidden="false"/>
    </xf>
    <xf numFmtId="169" fontId="0" fillId="0" borderId="12" xfId="0" applyFont="true" applyBorder="true" applyAlignment="true" applyProtection="false">
      <alignment horizontal="center"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true" indent="0" shrinkToFit="false"/>
      <protection locked="true" hidden="false"/>
    </xf>
    <xf numFmtId="164" fontId="5" fillId="5" borderId="8"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true" indent="0" shrinkToFit="false"/>
      <protection locked="true" hidden="false"/>
    </xf>
    <xf numFmtId="164" fontId="5" fillId="5" borderId="11"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8" fontId="6" fillId="0" borderId="5" xfId="0" applyFont="true" applyBorder="true" applyAlignment="true" applyProtection="false">
      <alignment horizontal="center" vertical="center" textRotation="0" wrapText="false" indent="0" shrinkToFit="false"/>
      <protection locked="true" hidden="false"/>
    </xf>
    <xf numFmtId="168" fontId="5" fillId="0" borderId="8" xfId="0" applyFont="true" applyBorder="true" applyAlignment="true" applyProtection="false">
      <alignment horizontal="center" vertical="center" textRotation="0" wrapText="false" indent="0" shrinkToFit="false"/>
      <protection locked="true" hidden="false"/>
    </xf>
    <xf numFmtId="168" fontId="5" fillId="0" borderId="11"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true" applyBorder="true" applyAlignment="true" applyProtection="false">
      <alignment horizontal="center" vertical="center" textRotation="0" wrapText="false" indent="0" shrinkToFit="false"/>
      <protection locked="true" hidden="false"/>
    </xf>
    <xf numFmtId="166" fontId="0" fillId="10" borderId="6" xfId="0" applyFont="tru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true" indent="0" shrinkToFit="false"/>
      <protection locked="true" hidden="false"/>
    </xf>
    <xf numFmtId="166" fontId="0" fillId="3" borderId="9" xfId="0" applyFont="true" applyBorder="true" applyAlignment="true" applyProtection="false">
      <alignment horizontal="center" vertical="center" textRotation="0" wrapText="false" indent="0" shrinkToFit="false"/>
      <protection locked="true" hidden="false"/>
    </xf>
    <xf numFmtId="164" fontId="0" fillId="7" borderId="11" xfId="0" applyFont="true" applyBorder="true" applyAlignment="true" applyProtection="false">
      <alignment horizontal="general" vertical="center" textRotation="0" wrapText="true" indent="0" shrinkToFit="false"/>
      <protection locked="true" hidden="false"/>
    </xf>
    <xf numFmtId="166" fontId="0" fillId="7" borderId="12" xfId="0" applyFont="true" applyBorder="true" applyAlignment="true" applyProtection="false">
      <alignment horizontal="center" vertical="center" textRotation="0" wrapText="false" indent="0" shrinkToFit="false"/>
      <protection locked="true" hidden="false"/>
    </xf>
    <xf numFmtId="169" fontId="0" fillId="7" borderId="42" xfId="0" applyFont="true" applyBorder="true" applyAlignment="true" applyProtection="false">
      <alignment horizontal="general" vertical="center" textRotation="0" wrapText="true" indent="0" shrinkToFit="false"/>
      <protection locked="true" hidden="false"/>
    </xf>
    <xf numFmtId="169" fontId="0" fillId="8" borderId="4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left" vertical="center" textRotation="0" wrapText="true" indent="0" shrinkToFit="false"/>
      <protection locked="true" hidden="false"/>
    </xf>
    <xf numFmtId="164" fontId="5" fillId="10" borderId="5"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false" indent="0" shrinkToFit="false"/>
      <protection locked="true" hidden="false"/>
    </xf>
    <xf numFmtId="169" fontId="0" fillId="8" borderId="20" xfId="0" applyFont="true" applyBorder="true" applyAlignment="true" applyProtection="false">
      <alignment horizontal="general" vertical="center" textRotation="0" wrapText="true" indent="0" shrinkToFit="false"/>
      <protection locked="true" hidden="false"/>
    </xf>
    <xf numFmtId="169" fontId="0" fillId="7" borderId="23" xfId="0" applyFont="true" applyBorder="true" applyAlignment="true" applyProtection="false">
      <alignment horizontal="general" vertical="center" textRotation="0" wrapText="true" indent="0" shrinkToFit="false"/>
      <protection locked="true" hidden="false"/>
    </xf>
    <xf numFmtId="169" fontId="0" fillId="8" borderId="23" xfId="0" applyFont="true" applyBorder="true" applyAlignment="true" applyProtection="false">
      <alignment horizontal="general" vertical="center" textRotation="0" wrapText="true" indent="0" shrinkToFit="false"/>
      <protection locked="true" hidden="false"/>
    </xf>
    <xf numFmtId="169" fontId="0" fillId="8" borderId="7" xfId="0" applyFont="true" applyBorder="true" applyAlignment="true" applyProtection="false">
      <alignment horizontal="general" vertical="center" textRotation="0" wrapText="true" indent="0" shrinkToFit="false"/>
      <protection locked="true" hidden="false"/>
    </xf>
    <xf numFmtId="169" fontId="0" fillId="8" borderId="8" xfId="0" applyFont="true" applyBorder="true" applyAlignment="true" applyProtection="false">
      <alignment horizontal="general" vertical="center" textRotation="0" wrapText="true" indent="0" shrinkToFit="false"/>
      <protection locked="true" hidden="false"/>
    </xf>
    <xf numFmtId="169" fontId="0" fillId="8" borderId="9" xfId="0" applyFont="true" applyBorder="true" applyAlignment="true" applyProtection="false">
      <alignment horizontal="left" vertical="center" textRotation="0" wrapText="true" indent="0" shrinkToFit="false"/>
      <protection locked="true" hidden="false"/>
    </xf>
    <xf numFmtId="164" fontId="0" fillId="10" borderId="4" xfId="0" applyFont="true" applyBorder="true" applyAlignment="true" applyProtection="false">
      <alignment horizontal="left" vertical="center" textRotation="0" wrapText="false" indent="0" shrinkToFit="false"/>
      <protection locked="true" hidden="false"/>
    </xf>
    <xf numFmtId="164" fontId="0" fillId="3" borderId="7" xfId="0" applyFont="true" applyBorder="true" applyAlignment="true" applyProtection="false">
      <alignment horizontal="left" vertical="center" textRotation="0" wrapText="false" indent="0" shrinkToFit="false"/>
      <protection locked="true" hidden="false"/>
    </xf>
    <xf numFmtId="164" fontId="0" fillId="7" borderId="10" xfId="0" applyFont="true" applyBorder="true" applyAlignment="true" applyProtection="false">
      <alignment horizontal="left" vertical="center" textRotation="0" wrapText="false" indent="0" shrinkToFit="false"/>
      <protection locked="true" hidden="false"/>
    </xf>
    <xf numFmtId="164" fontId="0" fillId="0" borderId="4" xfId="0" applyFont="fals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general" vertical="center" textRotation="0" wrapText="false" indent="0" shrinkToFit="false"/>
      <protection locked="true" hidden="false"/>
    </xf>
    <xf numFmtId="169" fontId="0" fillId="5" borderId="19" xfId="0" applyFont="true" applyBorder="true" applyAlignment="true" applyProtection="false">
      <alignment horizontal="left" vertical="center" textRotation="0" wrapText="true" indent="0" shrinkToFit="false"/>
      <protection locked="true" hidden="false"/>
    </xf>
    <xf numFmtId="169" fontId="0" fillId="6" borderId="13" xfId="0" applyFont="true" applyBorder="true" applyAlignment="true" applyProtection="false">
      <alignment horizontal="left" vertical="center" textRotation="0" wrapText="false" indent="0" shrinkToFit="false"/>
      <protection locked="true" hidden="false"/>
    </xf>
    <xf numFmtId="169" fontId="0" fillId="6" borderId="14" xfId="0" applyFont="true" applyBorder="true" applyAlignment="true" applyProtection="false">
      <alignment horizontal="general" vertical="center" textRotation="0" wrapText="true" indent="0" shrinkToFit="false"/>
      <protection locked="true" hidden="false"/>
    </xf>
    <xf numFmtId="169" fontId="0" fillId="6" borderId="58" xfId="0" applyFont="true" applyBorder="true" applyAlignment="true" applyProtection="false">
      <alignment horizontal="left" vertical="center" textRotation="0" wrapText="true" indent="0" shrinkToFit="false"/>
      <protection locked="true" hidden="false"/>
    </xf>
    <xf numFmtId="169" fontId="0" fillId="0" borderId="24"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left" vertical="center" textRotation="0" wrapText="true" indent="0" shrinkToFit="false"/>
      <protection locked="true" hidden="false"/>
    </xf>
    <xf numFmtId="169" fontId="0" fillId="7" borderId="22" xfId="0" applyFont="true" applyBorder="true" applyAlignment="true" applyProtection="false">
      <alignment horizontal="left" vertical="center" textRotation="0" wrapText="true" indent="0" shrinkToFit="false"/>
      <protection locked="true" hidden="false"/>
    </xf>
    <xf numFmtId="169" fontId="0" fillId="5"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left" vertical="center" textRotation="0" wrapText="false" indent="0" shrinkToFit="false"/>
      <protection locked="true" hidden="false"/>
    </xf>
    <xf numFmtId="169" fontId="0" fillId="8" borderId="25" xfId="0" applyFont="true" applyBorder="true" applyAlignment="true" applyProtection="false">
      <alignment horizontal="left" vertical="center" textRotation="0" wrapText="true" indent="0" shrinkToFit="false"/>
      <protection locked="true" hidden="false"/>
    </xf>
    <xf numFmtId="169" fontId="0" fillId="5" borderId="26" xfId="0" applyFont="true" applyBorder="true" applyAlignment="true" applyProtection="false">
      <alignment horizontal="general" vertical="center" textRotation="0" wrapText="false" indent="0" shrinkToFit="false"/>
      <protection locked="true" hidden="false"/>
    </xf>
    <xf numFmtId="169" fontId="0" fillId="0" borderId="27"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true" indent="0" shrinkToFit="false"/>
      <protection locked="true" hidden="false"/>
    </xf>
    <xf numFmtId="168" fontId="0" fillId="0" borderId="8" xfId="0" applyFont="true" applyBorder="true" applyAlignment="true" applyProtection="false">
      <alignment horizontal="center" vertical="center" textRotation="0" wrapText="false" indent="0" shrinkToFit="false"/>
      <protection locked="true" hidden="false"/>
    </xf>
    <xf numFmtId="168" fontId="0" fillId="0" borderId="11" xfId="0" applyFont="true" applyBorder="true" applyAlignment="true" applyProtection="false">
      <alignment horizontal="center" vertical="center" textRotation="0" wrapText="false" indent="0" shrinkToFit="false"/>
      <protection locked="true" hidden="false"/>
    </xf>
    <xf numFmtId="169" fontId="0" fillId="0" borderId="42" xfId="0" applyFont="true" applyBorder="true" applyAlignment="true" applyProtection="false">
      <alignment horizontal="general" vertical="center" textRotation="0" wrapText="true" indent="0" shrinkToFit="false"/>
      <protection locked="true" hidden="false"/>
    </xf>
    <xf numFmtId="169" fontId="0" fillId="6" borderId="44" xfId="0" applyFont="true" applyBorder="true" applyAlignment="true" applyProtection="false">
      <alignment horizontal="general" vertical="center" textRotation="0" wrapText="false" indent="0" shrinkToFit="false"/>
      <protection locked="true" hidden="false"/>
    </xf>
    <xf numFmtId="164" fontId="5" fillId="0" borderId="7" xfId="0" applyFont="true" applyBorder="true" applyAlignment="true" applyProtection="false">
      <alignment horizontal="left" vertical="center" textRotation="0" wrapText="false" indent="0" shrinkToFit="false"/>
      <protection locked="true" hidden="false"/>
    </xf>
    <xf numFmtId="164" fontId="5" fillId="10" borderId="4" xfId="0" applyFont="true" applyBorder="true" applyAlignment="true" applyProtection="false">
      <alignment horizontal="left" vertical="center" textRotation="0" wrapText="false" indent="0" shrinkToFit="false"/>
      <protection locked="true" hidden="false"/>
    </xf>
    <xf numFmtId="169" fontId="0" fillId="0" borderId="20"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general" vertical="center" textRotation="0" wrapText="tru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false" indent="0" shrinkToFit="false"/>
      <protection locked="true" hidden="false"/>
    </xf>
    <xf numFmtId="168" fontId="5" fillId="0" borderId="5" xfId="0" applyFont="true" applyBorder="true" applyAlignment="true" applyProtection="false">
      <alignment horizontal="center" vertical="center" textRotation="0" wrapText="false" indent="0" shrinkToFit="false"/>
      <protection locked="true" hidden="false"/>
    </xf>
    <xf numFmtId="168" fontId="6" fillId="0" borderId="11"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left" vertical="center" textRotation="0" wrapText="true" indent="0" shrinkToFit="false"/>
      <protection locked="true" hidden="false"/>
    </xf>
    <xf numFmtId="169" fontId="0" fillId="6" borderId="9" xfId="0" applyFont="true" applyBorder="true" applyAlignment="true" applyProtection="false">
      <alignment horizontal="left" vertical="top" textRotation="0" wrapText="true" indent="0" shrinkToFit="false"/>
      <protection locked="true" hidden="false"/>
    </xf>
    <xf numFmtId="169" fontId="0" fillId="0" borderId="44" xfId="0" applyFont="true" applyBorder="true" applyAlignment="true" applyProtection="false">
      <alignment horizontal="general" vertical="center" textRotation="0" wrapText="true" indent="0" shrinkToFit="false"/>
      <protection locked="true" hidden="false"/>
    </xf>
    <xf numFmtId="168" fontId="6" fillId="0"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2" borderId="0"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14" fillId="2" borderId="0" xfId="0" applyFont="true" applyBorder="true" applyAlignment="true" applyProtection="false">
      <alignment horizontal="center" vertical="center" textRotation="0" wrapText="false" indent="0" shrinkToFit="false"/>
      <protection locked="true" hidden="false"/>
    </xf>
    <xf numFmtId="164" fontId="15" fillId="2"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center" vertical="bottom" textRotation="0" wrapText="false" indent="0" shrinkToFit="false"/>
      <protection locked="true" hidden="false"/>
    </xf>
    <xf numFmtId="164" fontId="4" fillId="2" borderId="0" xfId="0" applyFont="true" applyBorder="false" applyAlignment="true" applyProtection="false">
      <alignment horizontal="center" vertical="center" textRotation="0" wrapText="false" indent="0" shrinkToFit="false"/>
      <protection locked="true" hidden="false"/>
    </xf>
    <xf numFmtId="164" fontId="4" fillId="0" borderId="59" xfId="0" applyFont="true" applyBorder="true" applyAlignment="true" applyProtection="false">
      <alignment horizontal="center" vertical="center" textRotation="0" wrapText="false" indent="0" shrinkToFit="false"/>
      <protection locked="true" hidden="false"/>
    </xf>
    <xf numFmtId="164" fontId="4" fillId="0" borderId="56" xfId="0" applyFont="true" applyBorder="true" applyAlignment="true" applyProtection="false">
      <alignment horizontal="center" vertical="center" textRotation="0" wrapText="false" indent="0" shrinkToFit="false"/>
      <protection locked="true" hidden="false"/>
    </xf>
    <xf numFmtId="164" fontId="4" fillId="0" borderId="60" xfId="0" applyFont="true" applyBorder="true" applyAlignment="true" applyProtection="false">
      <alignment horizontal="center" vertical="center" textRotation="0" wrapText="false" indent="0" shrinkToFit="false"/>
      <protection locked="true" hidden="false"/>
    </xf>
    <xf numFmtId="164" fontId="4" fillId="0" borderId="61"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4" fontId="4" fillId="11" borderId="20" xfId="0" applyFont="true" applyBorder="true" applyAlignment="true" applyProtection="false">
      <alignment horizontal="center" vertical="center" textRotation="0" wrapText="false" indent="0" shrinkToFit="false"/>
      <protection locked="true" hidden="false"/>
    </xf>
    <xf numFmtId="164" fontId="4" fillId="11" borderId="21" xfId="0" applyFont="true" applyBorder="true" applyAlignment="true" applyProtection="false">
      <alignment horizontal="center" vertical="center" textRotation="0" wrapText="false" indent="0" shrinkToFit="false"/>
      <protection locked="true" hidden="false"/>
    </xf>
    <xf numFmtId="164" fontId="0" fillId="11" borderId="5" xfId="0" applyFont="true" applyBorder="true" applyAlignment="true" applyProtection="false">
      <alignment horizontal="center" vertical="center" textRotation="0" wrapText="false" indent="0" shrinkToFit="false"/>
      <protection locked="true" hidden="false"/>
    </xf>
    <xf numFmtId="164" fontId="0" fillId="11" borderId="6" xfId="0" applyFont="true" applyBorder="true" applyAlignment="true" applyProtection="false">
      <alignment horizontal="center" vertical="center" textRotation="0" wrapText="false" indent="0" shrinkToFit="false"/>
      <protection locked="true" hidden="false"/>
    </xf>
    <xf numFmtId="164" fontId="0" fillId="11" borderId="21" xfId="0" applyFont="true" applyBorder="true" applyAlignment="true" applyProtection="false">
      <alignment horizontal="center" vertical="center" textRotation="0" wrapText="true" indent="0" shrinkToFit="false"/>
      <protection locked="true" hidden="false"/>
    </xf>
    <xf numFmtId="164" fontId="0" fillId="11" borderId="5" xfId="0" applyFont="true" applyBorder="true" applyAlignment="true" applyProtection="false">
      <alignment horizontal="center" vertical="center" textRotation="0" wrapText="true" indent="0" shrinkToFit="false"/>
      <protection locked="true" hidden="false"/>
    </xf>
    <xf numFmtId="164" fontId="0" fillId="11" borderId="21" xfId="0" applyFont="true" applyBorder="true" applyAlignment="true" applyProtection="false">
      <alignment horizontal="center" vertical="center" textRotation="0" wrapText="false" indent="0" shrinkToFit="false"/>
      <protection locked="true" hidden="false"/>
    </xf>
    <xf numFmtId="164" fontId="4" fillId="12" borderId="23" xfId="0" applyFont="true" applyBorder="true" applyAlignment="true" applyProtection="false">
      <alignment horizontal="center" vertical="center" textRotation="0" wrapText="false" indent="0" shrinkToFit="false"/>
      <protection locked="true" hidden="false"/>
    </xf>
    <xf numFmtId="164" fontId="4" fillId="12" borderId="24" xfId="0" applyFont="true" applyBorder="true" applyAlignment="true" applyProtection="false">
      <alignment horizontal="center" vertical="center" textRotation="0" wrapText="false" indent="0" shrinkToFit="false"/>
      <protection locked="true" hidden="false"/>
    </xf>
    <xf numFmtId="164" fontId="0" fillId="12" borderId="8" xfId="0" applyFont="true" applyBorder="true" applyAlignment="true" applyProtection="false">
      <alignment horizontal="center" vertical="center" textRotation="0" wrapText="false" indent="0" shrinkToFit="false"/>
      <protection locked="true" hidden="false"/>
    </xf>
    <xf numFmtId="164" fontId="0" fillId="12" borderId="9" xfId="0" applyFont="true" applyBorder="true" applyAlignment="true" applyProtection="false">
      <alignment horizontal="center" vertical="center" textRotation="0" wrapText="false" indent="0" shrinkToFit="false"/>
      <protection locked="true" hidden="false"/>
    </xf>
    <xf numFmtId="164" fontId="0" fillId="12" borderId="24" xfId="0" applyFont="true" applyBorder="true" applyAlignment="true" applyProtection="false">
      <alignment horizontal="center" vertical="center" textRotation="0" wrapText="true" indent="0" shrinkToFit="false"/>
      <protection locked="true" hidden="false"/>
    </xf>
    <xf numFmtId="164" fontId="0" fillId="12" borderId="8" xfId="0" applyFont="true" applyBorder="true" applyAlignment="true" applyProtection="false">
      <alignment horizontal="center" vertical="center" textRotation="0" wrapText="true" indent="0" shrinkToFit="false"/>
      <protection locked="true" hidden="false"/>
    </xf>
    <xf numFmtId="164" fontId="0" fillId="12" borderId="9" xfId="0" applyFont="true" applyBorder="true" applyAlignment="true" applyProtection="false">
      <alignment horizontal="center" vertical="center" textRotation="0" wrapText="true" indent="0" shrinkToFit="false"/>
      <protection locked="true" hidden="false"/>
    </xf>
    <xf numFmtId="164" fontId="4" fillId="13" borderId="23" xfId="0" applyFont="true" applyBorder="true" applyAlignment="true" applyProtection="false">
      <alignment horizontal="center" vertical="center" textRotation="0" wrapText="false" indent="0" shrinkToFit="false"/>
      <protection locked="true" hidden="false"/>
    </xf>
    <xf numFmtId="164" fontId="4" fillId="13" borderId="24" xfId="0" applyFont="true" applyBorder="true" applyAlignment="true" applyProtection="false">
      <alignment horizontal="center" vertical="center" textRotation="0" wrapText="false" indent="0" shrinkToFit="false"/>
      <protection locked="true" hidden="false"/>
    </xf>
    <xf numFmtId="164" fontId="0" fillId="13" borderId="8" xfId="0" applyFont="true" applyBorder="true" applyAlignment="true" applyProtection="false">
      <alignment horizontal="center" vertical="center" textRotation="0" wrapText="false" indent="0" shrinkToFit="false"/>
      <protection locked="true" hidden="false"/>
    </xf>
    <xf numFmtId="164" fontId="0" fillId="13" borderId="9" xfId="0" applyFont="true" applyBorder="true" applyAlignment="true" applyProtection="false">
      <alignment horizontal="center" vertical="center" textRotation="0" wrapText="false" indent="0" shrinkToFit="false"/>
      <protection locked="true" hidden="false"/>
    </xf>
    <xf numFmtId="164" fontId="0" fillId="13" borderId="24" xfId="0" applyFont="true" applyBorder="true" applyAlignment="true" applyProtection="false">
      <alignment horizontal="center" vertical="center" textRotation="0" wrapText="true" indent="0" shrinkToFit="false"/>
      <protection locked="true" hidden="false"/>
    </xf>
    <xf numFmtId="164" fontId="0" fillId="13" borderId="8" xfId="0" applyFont="true" applyBorder="true" applyAlignment="true" applyProtection="false">
      <alignment horizontal="center" vertical="center" textRotation="0" wrapText="true" indent="0" shrinkToFit="false"/>
      <protection locked="true" hidden="false"/>
    </xf>
    <xf numFmtId="164" fontId="0" fillId="13" borderId="9" xfId="0" applyFont="true" applyBorder="true" applyAlignment="true" applyProtection="false">
      <alignment horizontal="center" vertical="center" textRotation="0" wrapText="true" indent="0" shrinkToFit="false"/>
      <protection locked="true" hidden="false"/>
    </xf>
    <xf numFmtId="164" fontId="4" fillId="0" borderId="23" xfId="0" applyFont="true" applyBorder="true" applyAlignment="true" applyProtection="false">
      <alignment horizontal="center" vertical="center" textRotation="0" wrapText="false" indent="0" shrinkToFit="false"/>
      <protection locked="true" hidden="false"/>
    </xf>
    <xf numFmtId="164" fontId="4" fillId="0" borderId="24"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24" xfId="0" applyFont="true" applyBorder="true" applyAlignment="true" applyProtection="false">
      <alignment horizontal="center" vertical="center" textRotation="0" wrapText="true" indent="0" shrinkToFit="false"/>
      <protection locked="true" hidden="false"/>
    </xf>
    <xf numFmtId="164" fontId="4" fillId="0" borderId="26" xfId="0" applyFont="true" applyBorder="true" applyAlignment="true" applyProtection="false">
      <alignment horizontal="center" vertical="center" textRotation="0" wrapText="false" indent="0" shrinkToFit="false"/>
      <protection locked="true" hidden="false"/>
    </xf>
    <xf numFmtId="164" fontId="10" fillId="0" borderId="10" xfId="0" applyFont="true" applyBorder="true" applyAlignment="true" applyProtection="false">
      <alignment horizontal="center" vertical="center" textRotation="0" wrapText="false" indent="0" shrinkToFit="false"/>
      <protection locked="true" hidden="false"/>
    </xf>
    <xf numFmtId="164" fontId="0" fillId="0" borderId="27"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B1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16" activeCellId="0" sqref="C16"/>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2" min="8" style="1" width="20.71"/>
    <col collapsed="false" customWidth="true" hidden="true" outlineLevel="1" max="16" min="13" style="1" width="20.71"/>
    <col collapsed="false" customWidth="true" hidden="false" outlineLevel="0" max="18" min="17" style="1" width="3.14"/>
    <col collapsed="false" customWidth="false" hidden="false" outlineLevel="0" max="1024" min="19" style="1" width="11.42"/>
  </cols>
  <sheetData>
    <row r="1" customFormat="false" ht="15.75" hidden="false" customHeight="false" outlineLevel="0" collapsed="false"/>
    <row r="2" customFormat="false" ht="15.75" hidden="false" customHeight="false" outlineLevel="0" collapsed="false">
      <c r="D2" s="2" t="s">
        <v>0</v>
      </c>
      <c r="E2" s="2"/>
      <c r="F2" s="2"/>
      <c r="H2" s="3" t="s">
        <v>1</v>
      </c>
      <c r="I2" s="3"/>
      <c r="J2" s="3"/>
      <c r="K2" s="3"/>
    </row>
    <row r="3" customFormat="false" ht="15.75" hidden="false" customHeight="false" outlineLevel="0" collapsed="false">
      <c r="D3" s="4" t="s">
        <v>2</v>
      </c>
      <c r="E3" s="4" t="s">
        <v>3</v>
      </c>
      <c r="F3" s="4" t="s">
        <v>4</v>
      </c>
      <c r="H3" s="5" t="s">
        <v>2</v>
      </c>
      <c r="I3" s="5" t="s">
        <v>3</v>
      </c>
      <c r="J3" s="5" t="s">
        <v>5</v>
      </c>
      <c r="K3" s="4" t="s">
        <v>6</v>
      </c>
    </row>
    <row r="4" customFormat="false" ht="15" hidden="false" customHeight="false" outlineLevel="0" collapsed="false">
      <c r="D4" s="6" t="s">
        <v>7</v>
      </c>
      <c r="E4" s="7" t="s">
        <v>8</v>
      </c>
      <c r="F4" s="8" t="s">
        <v>9</v>
      </c>
      <c r="H4" s="9" t="str">
        <f aca="false">D4</f>
        <v>Pauline Schätzle</v>
      </c>
      <c r="I4" s="10" t="str">
        <f aca="false">E4</f>
        <v>Bienchen_2000</v>
      </c>
      <c r="J4" s="11" t="n">
        <v>1</v>
      </c>
      <c r="K4" s="12" t="n">
        <v>1</v>
      </c>
    </row>
    <row r="5" customFormat="false" ht="15" hidden="false" customHeight="false" outlineLevel="0" collapsed="false">
      <c r="D5" s="13" t="s">
        <v>10</v>
      </c>
      <c r="E5" s="14" t="s">
        <v>11</v>
      </c>
      <c r="F5" s="15" t="s">
        <v>9</v>
      </c>
      <c r="H5" s="16" t="str">
        <f aca="false">D5</f>
        <v>Wolfgang Mulser</v>
      </c>
      <c r="I5" s="17" t="str">
        <f aca="false">E5</f>
        <v>w.m.3005</v>
      </c>
      <c r="J5" s="18" t="n">
        <v>1</v>
      </c>
      <c r="K5" s="19" t="n">
        <v>2</v>
      </c>
    </row>
    <row r="6" customFormat="false" ht="15" hidden="false" customHeight="false" outlineLevel="0" collapsed="false">
      <c r="D6" s="13" t="s">
        <v>12</v>
      </c>
      <c r="E6" s="14" t="s">
        <v>13</v>
      </c>
      <c r="F6" s="15" t="s">
        <v>9</v>
      </c>
      <c r="H6" s="16" t="str">
        <f aca="false">D6</f>
        <v>Miriam Dirler</v>
      </c>
      <c r="I6" s="17" t="str">
        <f aca="false">E6</f>
        <v>Mimse</v>
      </c>
      <c r="J6" s="18" t="n">
        <v>1</v>
      </c>
      <c r="K6" s="19" t="n">
        <v>3</v>
      </c>
    </row>
    <row r="7" customFormat="false" ht="15.75" hidden="false" customHeight="false" outlineLevel="0" collapsed="false">
      <c r="D7" s="13" t="s">
        <v>14</v>
      </c>
      <c r="E7" s="14" t="s">
        <v>15</v>
      </c>
      <c r="F7" s="15" t="s">
        <v>9</v>
      </c>
      <c r="H7" s="20" t="str">
        <f aca="false">D7</f>
        <v>Devid Fulterer</v>
      </c>
      <c r="I7" s="21" t="str">
        <f aca="false">E7</f>
        <v>Ginooo</v>
      </c>
      <c r="J7" s="22" t="n">
        <v>1</v>
      </c>
      <c r="K7" s="23" t="n">
        <v>4</v>
      </c>
    </row>
    <row r="8" customFormat="false" ht="15" hidden="false" customHeight="false" outlineLevel="0" collapsed="false">
      <c r="D8" s="13" t="s">
        <v>16</v>
      </c>
      <c r="E8" s="14" t="s">
        <v>17</v>
      </c>
      <c r="F8" s="15" t="s">
        <v>9</v>
      </c>
      <c r="H8" s="9" t="str">
        <f aca="false">D8</f>
        <v>Jérôme Schätzle</v>
      </c>
      <c r="I8" s="10" t="str">
        <f aca="false">E8</f>
        <v>eumel247</v>
      </c>
      <c r="J8" s="11" t="n">
        <v>2</v>
      </c>
      <c r="K8" s="12" t="n">
        <v>1</v>
      </c>
    </row>
    <row r="9" customFormat="false" ht="15" hidden="false" customHeight="false" outlineLevel="0" collapsed="false">
      <c r="D9" s="13" t="s">
        <v>18</v>
      </c>
      <c r="E9" s="14" t="s">
        <v>19</v>
      </c>
      <c r="F9" s="15" t="s">
        <v>9</v>
      </c>
      <c r="H9" s="16" t="str">
        <f aca="false">D9</f>
        <v>Raffaele Cesare</v>
      </c>
      <c r="I9" s="17" t="str">
        <f aca="false">E9</f>
        <v>Alexander99</v>
      </c>
      <c r="J9" s="18" t="n">
        <v>2</v>
      </c>
      <c r="K9" s="19" t="n">
        <v>2</v>
      </c>
    </row>
    <row r="10" customFormat="false" ht="15" hidden="false" customHeight="false" outlineLevel="0" collapsed="false">
      <c r="D10" s="13" t="s">
        <v>20</v>
      </c>
      <c r="E10" s="14" t="s">
        <v>21</v>
      </c>
      <c r="F10" s="15" t="s">
        <v>9</v>
      </c>
      <c r="H10" s="16" t="str">
        <f aca="false">D10</f>
        <v>Judith Maibaum</v>
      </c>
      <c r="I10" s="17" t="str">
        <f aca="false">E10</f>
        <v>MissM</v>
      </c>
      <c r="J10" s="18" t="n">
        <v>2</v>
      </c>
      <c r="K10" s="19" t="n">
        <v>3</v>
      </c>
    </row>
    <row r="11" customFormat="false" ht="15.75" hidden="false" customHeight="false" outlineLevel="0" collapsed="false">
      <c r="D11" s="13" t="s">
        <v>22</v>
      </c>
      <c r="E11" s="14" t="s">
        <v>23</v>
      </c>
      <c r="F11" s="15" t="s">
        <v>9</v>
      </c>
      <c r="H11" s="20" t="str">
        <f aca="false">D11</f>
        <v>Markus Hagenauer</v>
      </c>
      <c r="I11" s="21" t="str">
        <f aca="false">E11</f>
        <v>Markus1711</v>
      </c>
      <c r="J11" s="22" t="n">
        <v>2</v>
      </c>
      <c r="K11" s="23" t="n">
        <v>4</v>
      </c>
    </row>
    <row r="12" customFormat="false" ht="15" hidden="false" customHeight="false" outlineLevel="0" collapsed="false">
      <c r="D12" s="13" t="s">
        <v>24</v>
      </c>
      <c r="E12" s="14" t="s">
        <v>25</v>
      </c>
      <c r="F12" s="24" t="s">
        <v>26</v>
      </c>
      <c r="H12" s="25" t="str">
        <f aca="false">D12</f>
        <v>Barbara Ferrarese</v>
      </c>
      <c r="I12" s="26" t="str">
        <f aca="false">E12</f>
        <v>Danaide</v>
      </c>
      <c r="J12" s="27" t="n">
        <v>3</v>
      </c>
      <c r="K12" s="28" t="n">
        <v>1</v>
      </c>
    </row>
    <row r="13" customFormat="false" ht="15" hidden="false" customHeight="false" outlineLevel="0" collapsed="false">
      <c r="D13" s="13" t="s">
        <v>27</v>
      </c>
      <c r="E13" s="14" t="s">
        <v>28</v>
      </c>
      <c r="F13" s="15" t="s">
        <v>9</v>
      </c>
      <c r="H13" s="16" t="str">
        <f aca="false">D13</f>
        <v>Alex Ulbricht</v>
      </c>
      <c r="I13" s="17" t="str">
        <f aca="false">E13</f>
        <v>Autographus</v>
      </c>
      <c r="J13" s="18" t="n">
        <v>3</v>
      </c>
      <c r="K13" s="19" t="n">
        <v>2</v>
      </c>
    </row>
    <row r="14" customFormat="false" ht="15" hidden="false" customHeight="false" outlineLevel="0" collapsed="false">
      <c r="D14" s="13" t="s">
        <v>29</v>
      </c>
      <c r="E14" s="14" t="s">
        <v>30</v>
      </c>
      <c r="F14" s="15" t="s">
        <v>9</v>
      </c>
      <c r="H14" s="16" t="str">
        <f aca="false">D14</f>
        <v>Martin Fink</v>
      </c>
      <c r="I14" s="17" t="str">
        <f aca="false">E14</f>
        <v>finkomane</v>
      </c>
      <c r="J14" s="18" t="n">
        <v>3</v>
      </c>
      <c r="K14" s="19" t="n">
        <v>3</v>
      </c>
    </row>
    <row r="15" customFormat="false" ht="15.75" hidden="false" customHeight="false" outlineLevel="0" collapsed="false">
      <c r="D15" s="29" t="s">
        <v>31</v>
      </c>
      <c r="E15" s="30" t="s">
        <v>32</v>
      </c>
      <c r="F15" s="31" t="s">
        <v>9</v>
      </c>
      <c r="G15" s="32"/>
      <c r="H15" s="20" t="str">
        <f aca="false">D15</f>
        <v>Andreas Micke</v>
      </c>
      <c r="I15" s="21" t="str">
        <f aca="false">E15</f>
        <v>Palladium2000</v>
      </c>
      <c r="J15" s="22" t="n">
        <v>3</v>
      </c>
      <c r="K15" s="23" t="n">
        <v>4</v>
      </c>
    </row>
    <row r="16" customFormat="false" ht="15.75" hidden="false" customHeight="false" outlineLevel="0" collapsed="false">
      <c r="D16" s="33"/>
      <c r="E16" s="33"/>
      <c r="F16" s="33"/>
      <c r="H16" s="34" t="s">
        <v>33</v>
      </c>
      <c r="I16" s="34"/>
      <c r="J16" s="34"/>
      <c r="K16" s="35" t="n">
        <v>12</v>
      </c>
    </row>
    <row r="17" customFormat="false" ht="15" hidden="false" customHeight="false" outlineLevel="0" collapsed="false">
      <c r="D17" s="36"/>
      <c r="E17" s="36"/>
    </row>
    <row r="18" customFormat="false" ht="15" hidden="false" customHeight="false" outlineLevel="0" collapsed="false">
      <c r="D18" s="37" t="s">
        <v>34</v>
      </c>
      <c r="E18" s="37"/>
      <c r="F18" s="37"/>
      <c r="G18" s="37"/>
    </row>
    <row r="19" customFormat="false" ht="15" hidden="false" customHeight="false" outlineLevel="0" collapsed="false">
      <c r="D19" s="38"/>
      <c r="E19" s="38"/>
      <c r="F19" s="38"/>
      <c r="G19" s="38"/>
    </row>
    <row r="20" customFormat="false" ht="15" hidden="false" customHeight="false" outlineLevel="0" collapsed="false">
      <c r="B20" s="39"/>
      <c r="C20" s="39"/>
      <c r="D20" s="40"/>
      <c r="E20" s="40"/>
      <c r="F20" s="40"/>
      <c r="G20" s="40"/>
      <c r="H20" s="39"/>
      <c r="I20" s="39"/>
      <c r="J20" s="39"/>
      <c r="K20" s="39"/>
      <c r="L20" s="39"/>
      <c r="M20" s="39"/>
      <c r="N20" s="39"/>
      <c r="O20" s="39"/>
      <c r="P20" s="39"/>
      <c r="Q20" s="39"/>
      <c r="R20" s="39"/>
    </row>
    <row r="21" customFormat="false" ht="15" hidden="false" customHeight="true" outlineLevel="0" collapsed="false">
      <c r="B21" s="39"/>
      <c r="C21" s="41"/>
      <c r="D21" s="42" t="s">
        <v>35</v>
      </c>
      <c r="E21" s="42"/>
      <c r="F21" s="42"/>
      <c r="G21" s="42"/>
      <c r="H21" s="42"/>
      <c r="I21" s="42"/>
      <c r="J21" s="42"/>
      <c r="K21" s="42"/>
      <c r="L21" s="42"/>
      <c r="M21" s="42"/>
      <c r="N21" s="42"/>
      <c r="O21" s="42"/>
      <c r="P21" s="42"/>
      <c r="Q21" s="41"/>
      <c r="R21" s="39"/>
    </row>
    <row r="22" customFormat="false" ht="15.75" hidden="false" customHeight="true" outlineLevel="0" collapsed="false">
      <c r="B22" s="39"/>
      <c r="C22" s="41"/>
      <c r="D22" s="42"/>
      <c r="E22" s="42"/>
      <c r="F22" s="42"/>
      <c r="G22" s="42"/>
      <c r="H22" s="42"/>
      <c r="I22" s="42"/>
      <c r="J22" s="42"/>
      <c r="K22" s="42"/>
      <c r="L22" s="42"/>
      <c r="M22" s="42"/>
      <c r="N22" s="42"/>
      <c r="O22" s="42"/>
      <c r="P22" s="42"/>
      <c r="Q22" s="41"/>
      <c r="R22" s="39"/>
    </row>
    <row r="23" customFormat="false" ht="15.75" hidden="false" customHeight="false" outlineLevel="0" collapsed="false">
      <c r="B23" s="39"/>
      <c r="D23" s="36"/>
      <c r="E23" s="36"/>
      <c r="R23" s="39"/>
    </row>
    <row r="24" customFormat="false" ht="15" hidden="false" customHeight="true" outlineLevel="0" collapsed="false">
      <c r="B24" s="39"/>
      <c r="D24" s="43" t="s">
        <v>36</v>
      </c>
      <c r="E24" s="44" t="s">
        <v>3</v>
      </c>
      <c r="F24" s="45" t="s">
        <v>37</v>
      </c>
      <c r="G24" s="45"/>
      <c r="H24" s="46" t="s">
        <v>38</v>
      </c>
      <c r="I24" s="46"/>
      <c r="J24" s="46" t="s">
        <v>39</v>
      </c>
      <c r="K24" s="47" t="s">
        <v>40</v>
      </c>
      <c r="L24" s="47"/>
      <c r="M24" s="48"/>
      <c r="N24" s="48"/>
      <c r="O24" s="48"/>
      <c r="P24" s="48"/>
      <c r="R24" s="39"/>
    </row>
    <row r="25" customFormat="false" ht="15" hidden="false" customHeight="true" outlineLevel="0" collapsed="false">
      <c r="B25" s="39"/>
      <c r="D25" s="43"/>
      <c r="E25" s="44"/>
      <c r="F25" s="45"/>
      <c r="G25" s="45"/>
      <c r="H25" s="4" t="s">
        <v>41</v>
      </c>
      <c r="I25" s="49" t="s">
        <v>42</v>
      </c>
      <c r="J25" s="50" t="s">
        <v>43</v>
      </c>
      <c r="K25" s="49" t="s">
        <v>44</v>
      </c>
      <c r="L25" s="49" t="s">
        <v>42</v>
      </c>
      <c r="M25" s="51"/>
      <c r="N25" s="51"/>
      <c r="O25" s="51"/>
      <c r="P25" s="51"/>
      <c r="R25" s="39"/>
    </row>
    <row r="26" customFormat="false" ht="15" hidden="false" customHeight="false" outlineLevel="0" collapsed="false">
      <c r="B26" s="39"/>
      <c r="D26" s="52" t="s">
        <v>7</v>
      </c>
      <c r="E26" s="53" t="s">
        <v>8</v>
      </c>
      <c r="F26" s="54" t="n">
        <v>1</v>
      </c>
      <c r="G26" s="54"/>
      <c r="H26" s="55" t="s">
        <v>45</v>
      </c>
      <c r="I26" s="56" t="s">
        <v>46</v>
      </c>
      <c r="J26" s="57" t="s">
        <v>47</v>
      </c>
      <c r="K26" s="58" t="s">
        <v>46</v>
      </c>
      <c r="L26" s="59" t="s">
        <v>46</v>
      </c>
      <c r="M26" s="36"/>
      <c r="N26" s="36"/>
      <c r="O26" s="36"/>
      <c r="P26" s="36"/>
      <c r="R26" s="39"/>
    </row>
    <row r="27" customFormat="false" ht="15" hidden="false" customHeight="false" outlineLevel="0" collapsed="false">
      <c r="B27" s="39"/>
      <c r="D27" s="60" t="s">
        <v>10</v>
      </c>
      <c r="E27" s="61" t="s">
        <v>11</v>
      </c>
      <c r="F27" s="62" t="n">
        <v>2</v>
      </c>
      <c r="G27" s="62"/>
      <c r="H27" s="63" t="s">
        <v>47</v>
      </c>
      <c r="I27" s="64" t="s">
        <v>46</v>
      </c>
      <c r="J27" s="65" t="s">
        <v>48</v>
      </c>
      <c r="K27" s="66" t="s">
        <v>46</v>
      </c>
      <c r="L27" s="64" t="s">
        <v>46</v>
      </c>
      <c r="M27" s="36"/>
      <c r="N27" s="36"/>
      <c r="O27" s="36"/>
      <c r="P27" s="36"/>
      <c r="R27" s="39"/>
    </row>
    <row r="28" customFormat="false" ht="15" hidden="false" customHeight="true" outlineLevel="0" collapsed="false">
      <c r="B28" s="39"/>
      <c r="D28" s="60" t="s">
        <v>12</v>
      </c>
      <c r="E28" s="61" t="s">
        <v>13</v>
      </c>
      <c r="F28" s="62" t="n">
        <v>3</v>
      </c>
      <c r="G28" s="62"/>
      <c r="H28" s="67" t="s">
        <v>49</v>
      </c>
      <c r="I28" s="68" t="s">
        <v>46</v>
      </c>
      <c r="J28" s="65" t="s">
        <v>50</v>
      </c>
      <c r="K28" s="66" t="s">
        <v>46</v>
      </c>
      <c r="L28" s="64" t="s">
        <v>46</v>
      </c>
      <c r="M28" s="36"/>
      <c r="N28" s="36"/>
      <c r="O28" s="36"/>
      <c r="P28" s="36"/>
      <c r="R28" s="39"/>
    </row>
    <row r="29" customFormat="false" ht="15.75" hidden="false" customHeight="false" outlineLevel="0" collapsed="false">
      <c r="B29" s="39"/>
      <c r="D29" s="69" t="s">
        <v>14</v>
      </c>
      <c r="E29" s="70" t="s">
        <v>15</v>
      </c>
      <c r="F29" s="71" t="n">
        <v>4</v>
      </c>
      <c r="G29" s="71"/>
      <c r="H29" s="72" t="s">
        <v>51</v>
      </c>
      <c r="I29" s="73" t="s">
        <v>46</v>
      </c>
      <c r="J29" s="74" t="s">
        <v>50</v>
      </c>
      <c r="K29" s="75" t="s">
        <v>46</v>
      </c>
      <c r="L29" s="73" t="s">
        <v>46</v>
      </c>
      <c r="M29" s="36"/>
      <c r="N29" s="36"/>
      <c r="O29" s="36"/>
      <c r="P29" s="36"/>
      <c r="R29" s="39"/>
    </row>
    <row r="30" customFormat="false" ht="15" hidden="false" customHeight="false" outlineLevel="0" collapsed="false">
      <c r="B30" s="39"/>
      <c r="D30" s="36"/>
      <c r="E30" s="36"/>
      <c r="R30" s="39"/>
    </row>
    <row r="31" customFormat="false" ht="15.75" hidden="false" customHeight="false" outlineLevel="0" collapsed="false">
      <c r="B31" s="39"/>
      <c r="C31" s="76"/>
      <c r="D31" s="77" t="str">
        <f aca="false">IF(OR(K26="-",K26= ""),H26,K26)</f>
        <v>Brügge</v>
      </c>
      <c r="E31" s="77"/>
      <c r="F31" s="77"/>
      <c r="G31" s="77"/>
      <c r="H31" s="77"/>
      <c r="I31" s="77"/>
      <c r="J31" s="77"/>
      <c r="K31" s="77"/>
      <c r="L31" s="77"/>
      <c r="M31" s="78"/>
      <c r="N31" s="78"/>
      <c r="O31" s="78"/>
      <c r="P31" s="78"/>
      <c r="Q31" s="76"/>
      <c r="R31" s="39"/>
    </row>
    <row r="32" customFormat="false" ht="30.75" hidden="false" customHeight="false" outlineLevel="0" collapsed="false">
      <c r="B32" s="39"/>
      <c r="C32" s="76"/>
      <c r="D32" s="43" t="s">
        <v>36</v>
      </c>
      <c r="E32" s="79" t="s">
        <v>3</v>
      </c>
      <c r="F32" s="45" t="s">
        <v>52</v>
      </c>
      <c r="G32" s="45"/>
      <c r="H32" s="79" t="s">
        <v>53</v>
      </c>
      <c r="I32" s="80" t="s">
        <v>54</v>
      </c>
      <c r="J32" s="81" t="s">
        <v>55</v>
      </c>
      <c r="K32" s="82" t="s">
        <v>56</v>
      </c>
      <c r="L32" s="79" t="s">
        <v>57</v>
      </c>
      <c r="M32" s="43" t="s">
        <v>58</v>
      </c>
      <c r="N32" s="79" t="s">
        <v>59</v>
      </c>
      <c r="O32" s="79" t="s">
        <v>60</v>
      </c>
      <c r="P32" s="82" t="s">
        <v>61</v>
      </c>
      <c r="Q32" s="76"/>
      <c r="R32" s="39"/>
    </row>
    <row r="33" customFormat="false" ht="15" hidden="false" customHeight="false" outlineLevel="0" collapsed="false">
      <c r="B33" s="39"/>
      <c r="C33" s="76"/>
      <c r="D33" s="52" t="s">
        <v>7</v>
      </c>
      <c r="E33" s="53" t="s">
        <v>8</v>
      </c>
      <c r="F33" s="11" t="n">
        <v>2</v>
      </c>
      <c r="G33" s="11"/>
      <c r="H33" s="11" t="n">
        <v>52</v>
      </c>
      <c r="I33" s="11" t="s">
        <v>46</v>
      </c>
      <c r="J33" s="83" t="n">
        <f aca="false">IF(H33="",0,(H33/H37)*100)</f>
        <v>86.6666666666667</v>
      </c>
      <c r="K33" s="54" t="n">
        <v>3</v>
      </c>
      <c r="L33" s="84" t="n">
        <v>1</v>
      </c>
      <c r="M33" s="85" t="n">
        <f aca="false">IF(K33=1,1,0)</f>
        <v>0</v>
      </c>
      <c r="N33" s="85" t="n">
        <f aca="false">IF(K33=2,1,0)</f>
        <v>0</v>
      </c>
      <c r="O33" s="85" t="n">
        <f aca="false">IF(K33=3,1,0)</f>
        <v>1</v>
      </c>
      <c r="P33" s="85" t="n">
        <f aca="false">IF(K33=4,1,0)</f>
        <v>0</v>
      </c>
      <c r="Q33" s="76"/>
      <c r="R33" s="39"/>
    </row>
    <row r="34" customFormat="false" ht="15" hidden="false" customHeight="false" outlineLevel="0" collapsed="false">
      <c r="B34" s="39"/>
      <c r="C34" s="76"/>
      <c r="D34" s="60" t="s">
        <v>10</v>
      </c>
      <c r="E34" s="61" t="s">
        <v>11</v>
      </c>
      <c r="F34" s="18" t="n">
        <v>1</v>
      </c>
      <c r="G34" s="18"/>
      <c r="H34" s="18" t="n">
        <v>53</v>
      </c>
      <c r="I34" s="18" t="s">
        <v>46</v>
      </c>
      <c r="J34" s="86" t="n">
        <f aca="false">IF(H34="",0,(H34/H37)*100)</f>
        <v>88.3333333333333</v>
      </c>
      <c r="K34" s="62" t="n">
        <v>2</v>
      </c>
      <c r="L34" s="87" t="n">
        <v>3</v>
      </c>
      <c r="M34" s="88" t="n">
        <f aca="false">IF(K34=1,1,0)</f>
        <v>0</v>
      </c>
      <c r="N34" s="88" t="n">
        <f aca="false">IF(K34=2,1,0)</f>
        <v>1</v>
      </c>
      <c r="O34" s="88" t="n">
        <f aca="false">IF(K34=3,1,0)</f>
        <v>0</v>
      </c>
      <c r="P34" s="88" t="n">
        <f aca="false">IF(K34=4,1,0)</f>
        <v>0</v>
      </c>
      <c r="Q34" s="76"/>
      <c r="R34" s="39"/>
    </row>
    <row r="35" customFormat="false" ht="15" hidden="false" customHeight="false" outlineLevel="0" collapsed="false">
      <c r="B35" s="39"/>
      <c r="C35" s="76"/>
      <c r="D35" s="60" t="s">
        <v>12</v>
      </c>
      <c r="E35" s="61" t="s">
        <v>13</v>
      </c>
      <c r="F35" s="18" t="n">
        <v>4</v>
      </c>
      <c r="G35" s="18"/>
      <c r="H35" s="18" t="n">
        <v>44</v>
      </c>
      <c r="I35" s="18" t="s">
        <v>46</v>
      </c>
      <c r="J35" s="86" t="n">
        <f aca="false">IF(H35="",0,(H35/H37)*100)</f>
        <v>73.3333333333333</v>
      </c>
      <c r="K35" s="62" t="n">
        <v>4</v>
      </c>
      <c r="L35" s="87" t="n">
        <v>0</v>
      </c>
      <c r="M35" s="88" t="n">
        <f aca="false">IF(K35=1,1,0)</f>
        <v>0</v>
      </c>
      <c r="N35" s="88" t="n">
        <f aca="false">IF(K35=2,1,0)</f>
        <v>0</v>
      </c>
      <c r="O35" s="88" t="n">
        <f aca="false">IF(K35=3,1,0)</f>
        <v>0</v>
      </c>
      <c r="P35" s="88" t="n">
        <f aca="false">IF(K35=4,1,0)</f>
        <v>1</v>
      </c>
      <c r="Q35" s="76"/>
      <c r="R35" s="39"/>
    </row>
    <row r="36" customFormat="false" ht="15.75" hidden="false" customHeight="false" outlineLevel="0" collapsed="false">
      <c r="B36" s="39"/>
      <c r="C36" s="76"/>
      <c r="D36" s="89" t="s">
        <v>14</v>
      </c>
      <c r="E36" s="90" t="s">
        <v>15</v>
      </c>
      <c r="F36" s="91" t="n">
        <v>3</v>
      </c>
      <c r="G36" s="91"/>
      <c r="H36" s="91" t="n">
        <v>60</v>
      </c>
      <c r="I36" s="91" t="s">
        <v>46</v>
      </c>
      <c r="J36" s="92" t="n">
        <f aca="false">IF(H36="",0,(H36/H37)*100)</f>
        <v>100</v>
      </c>
      <c r="K36" s="93" t="n">
        <v>1</v>
      </c>
      <c r="L36" s="94" t="n">
        <v>6</v>
      </c>
      <c r="M36" s="95" t="n">
        <f aca="false">IF(K36=1,1,0)</f>
        <v>1</v>
      </c>
      <c r="N36" s="95" t="n">
        <f aca="false">IF(K36=2,1,0)</f>
        <v>0</v>
      </c>
      <c r="O36" s="95" t="n">
        <f aca="false">IF(K36=3,1,0)</f>
        <v>0</v>
      </c>
      <c r="P36" s="95" t="n">
        <f aca="false">IF(K36=4,1,0)</f>
        <v>0</v>
      </c>
      <c r="Q36" s="76"/>
      <c r="R36" s="39"/>
    </row>
    <row r="37" customFormat="false" ht="15.75" hidden="true" customHeight="false" outlineLevel="1" collapsed="false">
      <c r="B37" s="39"/>
      <c r="C37" s="76"/>
      <c r="D37" s="96"/>
      <c r="E37" s="96"/>
      <c r="F37" s="97" t="s">
        <v>62</v>
      </c>
      <c r="G37" s="97"/>
      <c r="H37" s="98" t="n">
        <f aca="false">MAX(H33:H36)</f>
        <v>60</v>
      </c>
      <c r="I37" s="99"/>
      <c r="J37" s="100"/>
      <c r="K37" s="99"/>
      <c r="L37" s="101" t="s">
        <v>63</v>
      </c>
      <c r="M37" s="102" t="n">
        <f aca="false">SUM(M33:M36)</f>
        <v>1</v>
      </c>
      <c r="N37" s="103" t="n">
        <f aca="false">SUM(N33:N36)</f>
        <v>1</v>
      </c>
      <c r="O37" s="102" t="n">
        <f aca="false">SUM(O33:O36)</f>
        <v>1</v>
      </c>
      <c r="P37" s="104" t="n">
        <f aca="false">SUM(P33:P36)</f>
        <v>1</v>
      </c>
      <c r="Q37" s="76"/>
      <c r="R37" s="39"/>
    </row>
    <row r="38" customFormat="false" ht="15" hidden="false" customHeight="false" outlineLevel="0" collapsed="false">
      <c r="B38" s="39"/>
      <c r="C38" s="76"/>
      <c r="D38" s="105"/>
      <c r="E38" s="105"/>
      <c r="F38" s="106"/>
      <c r="G38" s="106"/>
      <c r="H38" s="78"/>
      <c r="I38" s="76"/>
      <c r="J38" s="76"/>
      <c r="K38" s="76"/>
      <c r="L38" s="76"/>
      <c r="M38" s="76"/>
      <c r="N38" s="76"/>
      <c r="O38" s="76"/>
      <c r="P38" s="76"/>
      <c r="Q38" s="76"/>
      <c r="R38" s="39"/>
    </row>
    <row r="39" customFormat="false" ht="15" hidden="false" customHeight="false" outlineLevel="0" collapsed="false">
      <c r="B39" s="39"/>
      <c r="R39" s="39"/>
    </row>
    <row r="40" customFormat="false" ht="15.75" hidden="false" customHeight="false" outlineLevel="0" collapsed="false">
      <c r="B40" s="39"/>
      <c r="C40" s="107"/>
      <c r="D40" s="108" t="str">
        <f aca="false">IF(OR(K27="-",K27= ""),H27,K27)</f>
        <v>Hawaii</v>
      </c>
      <c r="E40" s="108"/>
      <c r="F40" s="108"/>
      <c r="G40" s="108"/>
      <c r="H40" s="108"/>
      <c r="I40" s="108"/>
      <c r="J40" s="108"/>
      <c r="K40" s="108"/>
      <c r="L40" s="108"/>
      <c r="M40" s="109"/>
      <c r="N40" s="109"/>
      <c r="O40" s="109"/>
      <c r="P40" s="109"/>
      <c r="Q40" s="107"/>
      <c r="R40" s="39"/>
    </row>
    <row r="41" customFormat="false" ht="30.75" hidden="false" customHeight="false" outlineLevel="0" collapsed="false">
      <c r="B41" s="39"/>
      <c r="C41" s="107"/>
      <c r="D41" s="43" t="s">
        <v>36</v>
      </c>
      <c r="E41" s="79" t="s">
        <v>3</v>
      </c>
      <c r="F41" s="45" t="s">
        <v>52</v>
      </c>
      <c r="G41" s="45"/>
      <c r="H41" s="79" t="s">
        <v>53</v>
      </c>
      <c r="I41" s="80" t="s">
        <v>54</v>
      </c>
      <c r="J41" s="81" t="s">
        <v>55</v>
      </c>
      <c r="K41" s="82" t="s">
        <v>56</v>
      </c>
      <c r="L41" s="79" t="s">
        <v>57</v>
      </c>
      <c r="M41" s="43" t="s">
        <v>58</v>
      </c>
      <c r="N41" s="79" t="s">
        <v>59</v>
      </c>
      <c r="O41" s="79" t="s">
        <v>60</v>
      </c>
      <c r="P41" s="82" t="s">
        <v>61</v>
      </c>
      <c r="Q41" s="107"/>
      <c r="R41" s="39"/>
    </row>
    <row r="42" customFormat="false" ht="15" hidden="false" customHeight="false" outlineLevel="0" collapsed="false">
      <c r="B42" s="39"/>
      <c r="C42" s="107"/>
      <c r="D42" s="52" t="s">
        <v>7</v>
      </c>
      <c r="E42" s="53" t="s">
        <v>8</v>
      </c>
      <c r="F42" s="11" t="n">
        <v>2</v>
      </c>
      <c r="G42" s="11"/>
      <c r="H42" s="11" t="n">
        <v>103</v>
      </c>
      <c r="I42" s="11" t="s">
        <v>46</v>
      </c>
      <c r="J42" s="83" t="n">
        <f aca="false">IF(H42="",0,(H42/H46)*100)</f>
        <v>81.7460317460317</v>
      </c>
      <c r="K42" s="54" t="n">
        <v>3</v>
      </c>
      <c r="L42" s="84" t="n">
        <v>1</v>
      </c>
      <c r="M42" s="85" t="n">
        <f aca="false">IF(K42=1,1,0)</f>
        <v>0</v>
      </c>
      <c r="N42" s="85" t="n">
        <f aca="false">IF(K42=2,1,0)</f>
        <v>0</v>
      </c>
      <c r="O42" s="85" t="n">
        <f aca="false">IF(K42=3,1,0)</f>
        <v>1</v>
      </c>
      <c r="P42" s="85" t="n">
        <f aca="false">IF(K42=4,1,0)</f>
        <v>0</v>
      </c>
      <c r="Q42" s="107"/>
      <c r="R42" s="39"/>
    </row>
    <row r="43" customFormat="false" ht="15" hidden="false" customHeight="false" outlineLevel="0" collapsed="false">
      <c r="B43" s="39"/>
      <c r="C43" s="107"/>
      <c r="D43" s="110" t="s">
        <v>10</v>
      </c>
      <c r="E43" s="111" t="s">
        <v>11</v>
      </c>
      <c r="F43" s="112" t="n">
        <v>1</v>
      </c>
      <c r="G43" s="112"/>
      <c r="H43" s="112" t="n">
        <v>126</v>
      </c>
      <c r="I43" s="112" t="s">
        <v>46</v>
      </c>
      <c r="J43" s="113" t="n">
        <f aca="false">IF(H43="",0,(H43/H46)*100)</f>
        <v>100</v>
      </c>
      <c r="K43" s="114" t="n">
        <v>1</v>
      </c>
      <c r="L43" s="115" t="n">
        <v>6</v>
      </c>
      <c r="M43" s="88" t="n">
        <f aca="false">IF(K43=1,1,0)</f>
        <v>1</v>
      </c>
      <c r="N43" s="88" t="n">
        <f aca="false">IF(K43=2,1,0)</f>
        <v>0</v>
      </c>
      <c r="O43" s="88" t="n">
        <f aca="false">IF(K43=3,1,0)</f>
        <v>0</v>
      </c>
      <c r="P43" s="88" t="n">
        <f aca="false">IF(K43=4,1,0)</f>
        <v>0</v>
      </c>
      <c r="Q43" s="107"/>
      <c r="R43" s="39"/>
    </row>
    <row r="44" customFormat="false" ht="15" hidden="false" customHeight="false" outlineLevel="0" collapsed="false">
      <c r="B44" s="39"/>
      <c r="C44" s="107"/>
      <c r="D44" s="60" t="s">
        <v>12</v>
      </c>
      <c r="E44" s="61" t="s">
        <v>13</v>
      </c>
      <c r="F44" s="18" t="n">
        <v>4</v>
      </c>
      <c r="G44" s="18"/>
      <c r="H44" s="18" t="n">
        <v>79</v>
      </c>
      <c r="I44" s="18" t="s">
        <v>46</v>
      </c>
      <c r="J44" s="86" t="n">
        <f aca="false">IF(H44="",0,(H44/H46)*100)</f>
        <v>62.6984126984127</v>
      </c>
      <c r="K44" s="62" t="n">
        <v>4</v>
      </c>
      <c r="L44" s="87" t="n">
        <v>0</v>
      </c>
      <c r="M44" s="88" t="n">
        <f aca="false">IF(K44=1,1,0)</f>
        <v>0</v>
      </c>
      <c r="N44" s="88" t="n">
        <f aca="false">IF(K44=2,1,0)</f>
        <v>0</v>
      </c>
      <c r="O44" s="88" t="n">
        <f aca="false">IF(K44=3,1,0)</f>
        <v>0</v>
      </c>
      <c r="P44" s="88" t="n">
        <f aca="false">IF(K44=4,1,0)</f>
        <v>1</v>
      </c>
      <c r="Q44" s="107"/>
      <c r="R44" s="39"/>
    </row>
    <row r="45" customFormat="false" ht="15.75" hidden="false" customHeight="false" outlineLevel="0" collapsed="false">
      <c r="B45" s="39"/>
      <c r="C45" s="107"/>
      <c r="D45" s="69" t="s">
        <v>14</v>
      </c>
      <c r="E45" s="70" t="s">
        <v>15</v>
      </c>
      <c r="F45" s="22" t="n">
        <v>3</v>
      </c>
      <c r="G45" s="22"/>
      <c r="H45" s="22" t="n">
        <v>120</v>
      </c>
      <c r="I45" s="22" t="s">
        <v>46</v>
      </c>
      <c r="J45" s="116" t="n">
        <f aca="false">IF(H45="",0,(H45/H46)*100)</f>
        <v>95.2380952380952</v>
      </c>
      <c r="K45" s="71" t="n">
        <v>2</v>
      </c>
      <c r="L45" s="117" t="n">
        <v>3</v>
      </c>
      <c r="M45" s="95" t="n">
        <f aca="false">IF(K45=1,1,0)</f>
        <v>0</v>
      </c>
      <c r="N45" s="95" t="n">
        <f aca="false">IF(K45=2,1,0)</f>
        <v>1</v>
      </c>
      <c r="O45" s="95" t="n">
        <f aca="false">IF(K45=3,1,0)</f>
        <v>0</v>
      </c>
      <c r="P45" s="95" t="n">
        <f aca="false">IF(K45=4,1,0)</f>
        <v>0</v>
      </c>
      <c r="Q45" s="107"/>
      <c r="R45" s="39"/>
    </row>
    <row r="46" customFormat="false" ht="15.75" hidden="true" customHeight="false" outlineLevel="1" collapsed="false">
      <c r="B46" s="39"/>
      <c r="C46" s="107"/>
      <c r="D46" s="32"/>
      <c r="E46" s="32"/>
      <c r="F46" s="118" t="s">
        <v>62</v>
      </c>
      <c r="G46" s="118"/>
      <c r="H46" s="119" t="n">
        <f aca="false">MAX(H42:H45)</f>
        <v>126</v>
      </c>
      <c r="I46" s="120"/>
      <c r="J46" s="121"/>
      <c r="K46" s="120"/>
      <c r="L46" s="122" t="s">
        <v>63</v>
      </c>
      <c r="M46" s="102" t="n">
        <f aca="false">SUM(M42:M45)</f>
        <v>1</v>
      </c>
      <c r="N46" s="103" t="n">
        <f aca="false">SUM(N42:N45)</f>
        <v>1</v>
      </c>
      <c r="O46" s="102" t="n">
        <f aca="false">SUM(O42:O45)</f>
        <v>1</v>
      </c>
      <c r="P46" s="104" t="n">
        <f aca="false">SUM(P42:P45)</f>
        <v>1</v>
      </c>
      <c r="Q46" s="107"/>
      <c r="R46" s="39"/>
    </row>
    <row r="47" customFormat="false" ht="15" hidden="false" customHeight="false" outlineLevel="0" collapsed="false">
      <c r="B47" s="39"/>
      <c r="C47" s="107"/>
      <c r="D47" s="123"/>
      <c r="E47" s="123"/>
      <c r="F47" s="107"/>
      <c r="G47" s="107"/>
      <c r="H47" s="107"/>
      <c r="I47" s="107"/>
      <c r="J47" s="107"/>
      <c r="K47" s="107"/>
      <c r="L47" s="107"/>
      <c r="M47" s="107"/>
      <c r="N47" s="107"/>
      <c r="O47" s="107"/>
      <c r="P47" s="107"/>
      <c r="Q47" s="107"/>
      <c r="R47" s="39"/>
    </row>
    <row r="48" customFormat="false" ht="15" hidden="false" customHeight="false" outlineLevel="0" collapsed="false">
      <c r="B48" s="39"/>
      <c r="D48" s="124"/>
      <c r="E48" s="124"/>
      <c r="F48" s="124"/>
      <c r="G48" s="124"/>
      <c r="H48" s="125"/>
      <c r="I48" s="124"/>
      <c r="J48" s="36"/>
      <c r="K48" s="36"/>
      <c r="L48" s="36"/>
      <c r="M48" s="36"/>
      <c r="N48" s="36"/>
      <c r="O48" s="36"/>
      <c r="P48" s="36"/>
      <c r="R48" s="39"/>
    </row>
    <row r="49" customFormat="false" ht="15" hidden="false" customHeight="true" outlineLevel="0" collapsed="false">
      <c r="B49" s="39"/>
      <c r="C49" s="126"/>
      <c r="D49" s="127" t="str">
        <f aca="false">IF(OR(K28="-",K28= ""),H28,K28)</f>
        <v>Machi Koro</v>
      </c>
      <c r="E49" s="127"/>
      <c r="F49" s="127"/>
      <c r="G49" s="127"/>
      <c r="H49" s="127"/>
      <c r="I49" s="127"/>
      <c r="J49" s="127"/>
      <c r="K49" s="127"/>
      <c r="L49" s="127"/>
      <c r="M49" s="128"/>
      <c r="N49" s="128"/>
      <c r="O49" s="128"/>
      <c r="P49" s="128"/>
      <c r="Q49" s="126"/>
      <c r="R49" s="129"/>
      <c r="S49" s="130"/>
      <c r="T49" s="130"/>
    </row>
    <row r="50" customFormat="false" ht="30.75" hidden="false" customHeight="true" outlineLevel="0" collapsed="false">
      <c r="B50" s="39"/>
      <c r="C50" s="126"/>
      <c r="D50" s="43" t="s">
        <v>36</v>
      </c>
      <c r="E50" s="79" t="s">
        <v>3</v>
      </c>
      <c r="F50" s="45" t="s">
        <v>52</v>
      </c>
      <c r="G50" s="45"/>
      <c r="H50" s="79" t="s">
        <v>53</v>
      </c>
      <c r="I50" s="80" t="s">
        <v>54</v>
      </c>
      <c r="J50" s="81" t="s">
        <v>55</v>
      </c>
      <c r="K50" s="82" t="s">
        <v>56</v>
      </c>
      <c r="L50" s="79" t="s">
        <v>57</v>
      </c>
      <c r="M50" s="43" t="s">
        <v>58</v>
      </c>
      <c r="N50" s="79" t="s">
        <v>59</v>
      </c>
      <c r="O50" s="79" t="s">
        <v>60</v>
      </c>
      <c r="P50" s="82" t="s">
        <v>61</v>
      </c>
      <c r="Q50" s="126"/>
      <c r="R50" s="129"/>
      <c r="S50" s="130"/>
      <c r="T50" s="130"/>
    </row>
    <row r="51" customFormat="false" ht="15" hidden="false" customHeight="false" outlineLevel="0" collapsed="false">
      <c r="B51" s="39"/>
      <c r="C51" s="126"/>
      <c r="D51" s="52" t="s">
        <v>7</v>
      </c>
      <c r="E51" s="53" t="s">
        <v>8</v>
      </c>
      <c r="F51" s="11" t="n">
        <v>3</v>
      </c>
      <c r="G51" s="11"/>
      <c r="H51" s="11" t="s">
        <v>60</v>
      </c>
      <c r="I51" s="11" t="s">
        <v>46</v>
      </c>
      <c r="J51" s="83" t="n">
        <f aca="false">(J33+J42+J60)/3</f>
        <v>74.6981721981722</v>
      </c>
      <c r="K51" s="54" t="n">
        <v>3</v>
      </c>
      <c r="L51" s="84" t="n">
        <v>1</v>
      </c>
      <c r="M51" s="85" t="n">
        <f aca="false">IF(K51=1,1,0)</f>
        <v>0</v>
      </c>
      <c r="N51" s="85" t="n">
        <f aca="false">IF(K51=2,1,0)</f>
        <v>0</v>
      </c>
      <c r="O51" s="85" t="n">
        <f aca="false">IF(K51=3,1,0)</f>
        <v>1</v>
      </c>
      <c r="P51" s="85" t="n">
        <f aca="false">IF(K51=4,1,0)</f>
        <v>0</v>
      </c>
      <c r="Q51" s="126"/>
      <c r="R51" s="131"/>
      <c r="S51" s="36"/>
      <c r="T51" s="36"/>
    </row>
    <row r="52" customFormat="false" ht="15" hidden="false" customHeight="false" outlineLevel="0" collapsed="false">
      <c r="B52" s="39"/>
      <c r="C52" s="126"/>
      <c r="D52" s="110" t="s">
        <v>10</v>
      </c>
      <c r="E52" s="111" t="s">
        <v>11</v>
      </c>
      <c r="F52" s="112" t="n">
        <v>2</v>
      </c>
      <c r="G52" s="112"/>
      <c r="H52" s="112" t="s">
        <v>58</v>
      </c>
      <c r="I52" s="112" t="s">
        <v>46</v>
      </c>
      <c r="J52" s="113" t="n">
        <v>100</v>
      </c>
      <c r="K52" s="114" t="n">
        <v>1</v>
      </c>
      <c r="L52" s="115" t="n">
        <v>6</v>
      </c>
      <c r="M52" s="88" t="n">
        <f aca="false">IF(K52=1,1,0)</f>
        <v>1</v>
      </c>
      <c r="N52" s="88" t="n">
        <f aca="false">IF(K52=2,1,0)</f>
        <v>0</v>
      </c>
      <c r="O52" s="88" t="n">
        <f aca="false">IF(K52=3,1,0)</f>
        <v>0</v>
      </c>
      <c r="P52" s="88" t="n">
        <f aca="false">IF(K52=4,1,0)</f>
        <v>0</v>
      </c>
      <c r="Q52" s="126"/>
      <c r="R52" s="132"/>
      <c r="S52" s="36"/>
      <c r="T52" s="36"/>
    </row>
    <row r="53" customFormat="false" ht="15" hidden="false" customHeight="false" outlineLevel="0" collapsed="false">
      <c r="B53" s="39"/>
      <c r="C53" s="126"/>
      <c r="D53" s="60" t="s">
        <v>12</v>
      </c>
      <c r="E53" s="61" t="s">
        <v>13</v>
      </c>
      <c r="F53" s="18" t="n">
        <v>4</v>
      </c>
      <c r="G53" s="18"/>
      <c r="H53" s="18" t="s">
        <v>61</v>
      </c>
      <c r="I53" s="18" t="s">
        <v>46</v>
      </c>
      <c r="J53" s="86" t="n">
        <f aca="false">(J35+J44+J62)/3</f>
        <v>62.3893698893699</v>
      </c>
      <c r="K53" s="62" t="n">
        <v>4</v>
      </c>
      <c r="L53" s="87" t="n">
        <v>0</v>
      </c>
      <c r="M53" s="88" t="n">
        <f aca="false">IF(K53=1,1,0)</f>
        <v>0</v>
      </c>
      <c r="N53" s="88" t="n">
        <f aca="false">IF(K53=2,1,0)</f>
        <v>0</v>
      </c>
      <c r="O53" s="88" t="n">
        <f aca="false">IF(K53=3,1,0)</f>
        <v>0</v>
      </c>
      <c r="P53" s="88" t="n">
        <f aca="false">IF(K53=4,1,0)</f>
        <v>1</v>
      </c>
      <c r="Q53" s="126"/>
      <c r="R53" s="132"/>
      <c r="S53" s="36"/>
      <c r="T53" s="36"/>
    </row>
    <row r="54" customFormat="false" ht="15.75" hidden="false" customHeight="false" outlineLevel="0" collapsed="false">
      <c r="B54" s="39"/>
      <c r="C54" s="126"/>
      <c r="D54" s="69" t="s">
        <v>14</v>
      </c>
      <c r="E54" s="70" t="s">
        <v>15</v>
      </c>
      <c r="F54" s="22" t="n">
        <v>1</v>
      </c>
      <c r="G54" s="22"/>
      <c r="H54" s="22" t="s">
        <v>59</v>
      </c>
      <c r="I54" s="22" t="s">
        <v>46</v>
      </c>
      <c r="J54" s="116" t="n">
        <f aca="false">(J34+J45+J61)/3</f>
        <v>91.8722943722944</v>
      </c>
      <c r="K54" s="71" t="n">
        <v>2</v>
      </c>
      <c r="L54" s="117" t="n">
        <v>3</v>
      </c>
      <c r="M54" s="95" t="n">
        <f aca="false">IF(K54=1,1,0)</f>
        <v>0</v>
      </c>
      <c r="N54" s="95" t="n">
        <f aca="false">IF(K54=2,1,0)</f>
        <v>1</v>
      </c>
      <c r="O54" s="95" t="n">
        <f aca="false">IF(K54=3,1,0)</f>
        <v>0</v>
      </c>
      <c r="P54" s="95" t="n">
        <f aca="false">IF(K54=4,1,0)</f>
        <v>0</v>
      </c>
      <c r="Q54" s="126"/>
      <c r="R54" s="132"/>
      <c r="S54" s="36"/>
      <c r="T54" s="36"/>
    </row>
    <row r="55" customFormat="false" ht="15.75" hidden="true" customHeight="false" outlineLevel="1" collapsed="false">
      <c r="B55" s="39"/>
      <c r="C55" s="126"/>
      <c r="D55" s="32"/>
      <c r="E55" s="32"/>
      <c r="F55" s="118" t="s">
        <v>62</v>
      </c>
      <c r="G55" s="118"/>
      <c r="H55" s="119" t="n">
        <f aca="false">MAX(H51:H54)</f>
        <v>0</v>
      </c>
      <c r="I55" s="120"/>
      <c r="J55" s="121"/>
      <c r="K55" s="120"/>
      <c r="L55" s="122" t="s">
        <v>63</v>
      </c>
      <c r="M55" s="102" t="n">
        <f aca="false">SUM(M51:M54)</f>
        <v>1</v>
      </c>
      <c r="N55" s="103" t="n">
        <f aca="false">SUM(N51:N54)</f>
        <v>1</v>
      </c>
      <c r="O55" s="102" t="n">
        <f aca="false">SUM(O51:O54)</f>
        <v>1</v>
      </c>
      <c r="P55" s="104" t="n">
        <f aca="false">SUM(P51:P54)</f>
        <v>1</v>
      </c>
      <c r="Q55" s="126"/>
      <c r="R55" s="132"/>
      <c r="S55" s="36"/>
      <c r="T55" s="36"/>
    </row>
    <row r="56" customFormat="false" ht="15" hidden="false" customHeight="false" outlineLevel="0" collapsed="false">
      <c r="B56" s="39"/>
      <c r="C56" s="126"/>
      <c r="D56" s="133"/>
      <c r="E56" s="133"/>
      <c r="F56" s="126"/>
      <c r="G56" s="126"/>
      <c r="H56" s="126"/>
      <c r="I56" s="126"/>
      <c r="J56" s="126"/>
      <c r="K56" s="126"/>
      <c r="L56" s="126"/>
      <c r="M56" s="126"/>
      <c r="N56" s="126"/>
      <c r="O56" s="126"/>
      <c r="P56" s="126"/>
      <c r="Q56" s="126"/>
      <c r="R56" s="132"/>
      <c r="S56" s="36"/>
      <c r="T56" s="36"/>
    </row>
    <row r="57" customFormat="false" ht="15" hidden="false" customHeight="false" outlineLevel="0" collapsed="false">
      <c r="B57" s="39"/>
      <c r="D57" s="124"/>
      <c r="E57" s="124"/>
      <c r="F57" s="124"/>
      <c r="G57" s="124"/>
      <c r="H57" s="125"/>
      <c r="I57" s="124"/>
      <c r="J57" s="124"/>
      <c r="K57" s="36"/>
      <c r="L57" s="36"/>
      <c r="M57" s="36"/>
      <c r="N57" s="36"/>
      <c r="O57" s="36"/>
      <c r="P57" s="36"/>
      <c r="R57" s="131"/>
      <c r="S57" s="36"/>
      <c r="T57" s="36"/>
    </row>
    <row r="58" customFormat="false" ht="15.75" hidden="false" customHeight="false" outlineLevel="0" collapsed="false">
      <c r="B58" s="39"/>
      <c r="C58" s="134"/>
      <c r="D58" s="135" t="str">
        <f aca="false">IF(OR(K29="-",K29= ""),H29,K29)</f>
        <v>Marco Polo</v>
      </c>
      <c r="E58" s="135"/>
      <c r="F58" s="135"/>
      <c r="G58" s="135"/>
      <c r="H58" s="135"/>
      <c r="I58" s="135"/>
      <c r="J58" s="135"/>
      <c r="K58" s="135"/>
      <c r="L58" s="135"/>
      <c r="M58" s="136"/>
      <c r="N58" s="136"/>
      <c r="O58" s="136"/>
      <c r="P58" s="136"/>
      <c r="Q58" s="134"/>
      <c r="R58" s="39"/>
    </row>
    <row r="59" customFormat="false" ht="30.75" hidden="false" customHeight="false" outlineLevel="0" collapsed="false">
      <c r="B59" s="39"/>
      <c r="C59" s="134"/>
      <c r="D59" s="43" t="s">
        <v>36</v>
      </c>
      <c r="E59" s="79" t="s">
        <v>3</v>
      </c>
      <c r="F59" s="45" t="s">
        <v>52</v>
      </c>
      <c r="G59" s="45"/>
      <c r="H59" s="79" t="s">
        <v>53</v>
      </c>
      <c r="I59" s="80" t="s">
        <v>54</v>
      </c>
      <c r="J59" s="81" t="s">
        <v>55</v>
      </c>
      <c r="K59" s="82" t="s">
        <v>56</v>
      </c>
      <c r="L59" s="79" t="s">
        <v>57</v>
      </c>
      <c r="M59" s="43" t="s">
        <v>58</v>
      </c>
      <c r="N59" s="79" t="s">
        <v>59</v>
      </c>
      <c r="O59" s="79" t="s">
        <v>60</v>
      </c>
      <c r="P59" s="82" t="s">
        <v>61</v>
      </c>
      <c r="Q59" s="134"/>
      <c r="R59" s="39"/>
    </row>
    <row r="60" customFormat="false" ht="15" hidden="false" customHeight="false" outlineLevel="0" collapsed="false">
      <c r="B60" s="39"/>
      <c r="C60" s="134"/>
      <c r="D60" s="52" t="s">
        <v>7</v>
      </c>
      <c r="E60" s="53" t="s">
        <v>8</v>
      </c>
      <c r="F60" s="11" t="n">
        <v>1</v>
      </c>
      <c r="G60" s="11"/>
      <c r="H60" s="11" t="n">
        <v>49</v>
      </c>
      <c r="I60" s="11" t="s">
        <v>46</v>
      </c>
      <c r="J60" s="83" t="n">
        <f aca="false">IF(H60="",0,(H60/H64)*100)</f>
        <v>55.6818181818182</v>
      </c>
      <c r="K60" s="54" t="n">
        <v>3</v>
      </c>
      <c r="L60" s="84" t="n">
        <v>1</v>
      </c>
      <c r="M60" s="85" t="n">
        <f aca="false">IF(K60=1,1,0)</f>
        <v>0</v>
      </c>
      <c r="N60" s="85" t="n">
        <f aca="false">IF(K60=2,1,0)</f>
        <v>0</v>
      </c>
      <c r="O60" s="85" t="n">
        <f aca="false">IF(K60=3,1,0)</f>
        <v>1</v>
      </c>
      <c r="P60" s="85" t="n">
        <f aca="false">IF(K60=4,1,0)</f>
        <v>0</v>
      </c>
      <c r="Q60" s="134"/>
      <c r="R60" s="39"/>
    </row>
    <row r="61" customFormat="false" ht="15" hidden="false" customHeight="false" outlineLevel="0" collapsed="false">
      <c r="B61" s="39"/>
      <c r="C61" s="134"/>
      <c r="D61" s="60" t="s">
        <v>10</v>
      </c>
      <c r="E61" s="61" t="s">
        <v>11</v>
      </c>
      <c r="F61" s="18" t="n">
        <v>3</v>
      </c>
      <c r="G61" s="18"/>
      <c r="H61" s="18" t="n">
        <v>81</v>
      </c>
      <c r="I61" s="18" t="s">
        <v>46</v>
      </c>
      <c r="J61" s="86" t="n">
        <f aca="false">IF(H61="",0,(H61/H64)*100)</f>
        <v>92.0454545454546</v>
      </c>
      <c r="K61" s="62" t="n">
        <v>2</v>
      </c>
      <c r="L61" s="87" t="n">
        <v>3</v>
      </c>
      <c r="M61" s="88" t="n">
        <f aca="false">IF(K61=1,1,0)</f>
        <v>0</v>
      </c>
      <c r="N61" s="88" t="n">
        <f aca="false">IF(K61=2,1,0)</f>
        <v>1</v>
      </c>
      <c r="O61" s="88" t="n">
        <f aca="false">IF(K61=3,1,0)</f>
        <v>0</v>
      </c>
      <c r="P61" s="88" t="n">
        <f aca="false">IF(K61=4,1,0)</f>
        <v>0</v>
      </c>
      <c r="Q61" s="134"/>
      <c r="R61" s="39"/>
    </row>
    <row r="62" customFormat="false" ht="15" hidden="false" customHeight="false" outlineLevel="0" collapsed="false">
      <c r="B62" s="39"/>
      <c r="C62" s="134"/>
      <c r="D62" s="60" t="s">
        <v>12</v>
      </c>
      <c r="E62" s="61" t="s">
        <v>13</v>
      </c>
      <c r="F62" s="18" t="n">
        <v>2</v>
      </c>
      <c r="G62" s="18"/>
      <c r="H62" s="18" t="n">
        <v>45</v>
      </c>
      <c r="I62" s="18" t="s">
        <v>46</v>
      </c>
      <c r="J62" s="86" t="n">
        <f aca="false">IF(H62="",0,(H62/H64)*100)</f>
        <v>51.1363636363636</v>
      </c>
      <c r="K62" s="62" t="n">
        <v>4</v>
      </c>
      <c r="L62" s="87" t="n">
        <v>0</v>
      </c>
      <c r="M62" s="88" t="n">
        <f aca="false">IF(K62=1,1,0)</f>
        <v>0</v>
      </c>
      <c r="N62" s="88" t="n">
        <f aca="false">IF(K62=2,1,0)</f>
        <v>0</v>
      </c>
      <c r="O62" s="88" t="n">
        <f aca="false">IF(K62=3,1,0)</f>
        <v>0</v>
      </c>
      <c r="P62" s="88" t="n">
        <f aca="false">IF(K62=4,1,0)</f>
        <v>1</v>
      </c>
      <c r="Q62" s="134"/>
      <c r="R62" s="39"/>
    </row>
    <row r="63" customFormat="false" ht="15.75" hidden="false" customHeight="false" outlineLevel="0" collapsed="false">
      <c r="B63" s="39"/>
      <c r="C63" s="134"/>
      <c r="D63" s="89" t="s">
        <v>14</v>
      </c>
      <c r="E63" s="90" t="s">
        <v>15</v>
      </c>
      <c r="F63" s="91" t="n">
        <v>4</v>
      </c>
      <c r="G63" s="91"/>
      <c r="H63" s="91" t="n">
        <v>88</v>
      </c>
      <c r="I63" s="91" t="s">
        <v>46</v>
      </c>
      <c r="J63" s="92" t="n">
        <f aca="false">IF(H63="",0,(H63/H64)*100)</f>
        <v>100</v>
      </c>
      <c r="K63" s="93" t="n">
        <v>1</v>
      </c>
      <c r="L63" s="94" t="n">
        <v>6</v>
      </c>
      <c r="M63" s="95" t="n">
        <f aca="false">IF(K63=1,1,0)</f>
        <v>1</v>
      </c>
      <c r="N63" s="95" t="n">
        <f aca="false">IF(K63=2,1,0)</f>
        <v>0</v>
      </c>
      <c r="O63" s="95" t="n">
        <f aca="false">IF(K63=3,1,0)</f>
        <v>0</v>
      </c>
      <c r="P63" s="95" t="n">
        <f aca="false">IF(K63=4,1,0)</f>
        <v>0</v>
      </c>
      <c r="Q63" s="134"/>
      <c r="R63" s="39"/>
    </row>
    <row r="64" customFormat="false" ht="15.75" hidden="true" customHeight="false" outlineLevel="1" collapsed="false">
      <c r="B64" s="39"/>
      <c r="C64" s="134"/>
      <c r="D64" s="32"/>
      <c r="E64" s="32"/>
      <c r="F64" s="118" t="s">
        <v>62</v>
      </c>
      <c r="G64" s="118"/>
      <c r="H64" s="119" t="n">
        <f aca="false">MAX(H60:H63)</f>
        <v>88</v>
      </c>
      <c r="I64" s="120"/>
      <c r="J64" s="121"/>
      <c r="K64" s="120"/>
      <c r="L64" s="122" t="s">
        <v>63</v>
      </c>
      <c r="M64" s="102" t="n">
        <f aca="false">SUM(M60:M63)</f>
        <v>1</v>
      </c>
      <c r="N64" s="103" t="n">
        <f aca="false">SUM(N60:N63)</f>
        <v>1</v>
      </c>
      <c r="O64" s="102" t="n">
        <f aca="false">SUM(O60:O63)</f>
        <v>1</v>
      </c>
      <c r="P64" s="104" t="n">
        <f aca="false">SUM(P60:P63)</f>
        <v>1</v>
      </c>
      <c r="Q64" s="134"/>
      <c r="R64" s="39"/>
    </row>
    <row r="65" customFormat="false" ht="15" hidden="false" customHeight="false" outlineLevel="0" collapsed="false">
      <c r="B65" s="39"/>
      <c r="C65" s="134"/>
      <c r="D65" s="137"/>
      <c r="E65" s="137"/>
      <c r="F65" s="134"/>
      <c r="G65" s="134"/>
      <c r="H65" s="134"/>
      <c r="I65" s="134"/>
      <c r="J65" s="134"/>
      <c r="K65" s="134"/>
      <c r="L65" s="134"/>
      <c r="M65" s="134"/>
      <c r="N65" s="134"/>
      <c r="O65" s="134"/>
      <c r="P65" s="134"/>
      <c r="Q65" s="134"/>
      <c r="R65" s="39"/>
    </row>
    <row r="66" customFormat="false" ht="15" hidden="false" customHeight="false" outlineLevel="0" collapsed="false">
      <c r="B66" s="39"/>
      <c r="D66" s="138"/>
      <c r="E66" s="138"/>
      <c r="F66" s="138"/>
      <c r="G66" s="138"/>
      <c r="H66" s="138"/>
      <c r="I66" s="138"/>
      <c r="J66" s="36"/>
      <c r="K66" s="36"/>
      <c r="L66" s="36"/>
      <c r="M66" s="36"/>
      <c r="N66" s="36"/>
      <c r="O66" s="36"/>
      <c r="P66" s="36"/>
      <c r="R66" s="39"/>
    </row>
    <row r="67" customFormat="false" ht="30" hidden="false" customHeight="true" outlineLevel="0" collapsed="false">
      <c r="B67" s="39"/>
      <c r="C67" s="139"/>
      <c r="D67" s="140" t="s">
        <v>64</v>
      </c>
      <c r="E67" s="140"/>
      <c r="F67" s="140"/>
      <c r="G67" s="140"/>
      <c r="H67" s="140"/>
      <c r="I67" s="140"/>
      <c r="J67" s="140"/>
      <c r="K67" s="140"/>
      <c r="L67" s="140"/>
      <c r="M67" s="141"/>
      <c r="N67" s="141"/>
      <c r="O67" s="141"/>
      <c r="P67" s="141"/>
      <c r="Q67" s="139"/>
      <c r="R67" s="39"/>
    </row>
    <row r="68" customFormat="false" ht="45.75" hidden="false" customHeight="false" outlineLevel="0" collapsed="false">
      <c r="B68" s="39"/>
      <c r="C68" s="139"/>
      <c r="D68" s="142" t="s">
        <v>36</v>
      </c>
      <c r="E68" s="143" t="s">
        <v>3</v>
      </c>
      <c r="F68" s="142" t="s">
        <v>57</v>
      </c>
      <c r="G68" s="142"/>
      <c r="H68" s="144" t="s">
        <v>65</v>
      </c>
      <c r="I68" s="145" t="s">
        <v>66</v>
      </c>
      <c r="J68" s="143" t="s">
        <v>67</v>
      </c>
      <c r="K68" s="145" t="s">
        <v>68</v>
      </c>
      <c r="L68" s="146" t="s">
        <v>69</v>
      </c>
      <c r="M68" s="147"/>
      <c r="N68" s="147"/>
      <c r="O68" s="147"/>
      <c r="P68" s="147"/>
      <c r="Q68" s="139"/>
      <c r="R68" s="39"/>
    </row>
    <row r="69" customFormat="false" ht="15" hidden="false" customHeight="false" outlineLevel="0" collapsed="false">
      <c r="B69" s="39"/>
      <c r="C69" s="139"/>
      <c r="D69" s="148" t="s">
        <v>14</v>
      </c>
      <c r="E69" s="149" t="s">
        <v>15</v>
      </c>
      <c r="F69" s="150" t="n">
        <f aca="false">H69*6+I69*3+J69*1+K69*0</f>
        <v>18</v>
      </c>
      <c r="G69" s="150"/>
      <c r="H69" s="151" t="n">
        <v>2</v>
      </c>
      <c r="I69" s="151" t="n">
        <v>2</v>
      </c>
      <c r="J69" s="151" t="n">
        <v>0</v>
      </c>
      <c r="K69" s="151" t="n">
        <v>0</v>
      </c>
      <c r="L69" s="152" t="n">
        <f aca="false">(J36+J45+J54+J63)/4</f>
        <v>96.7775974025974</v>
      </c>
      <c r="M69" s="153"/>
      <c r="N69" s="153"/>
      <c r="O69" s="153"/>
      <c r="P69" s="153"/>
      <c r="Q69" s="139"/>
      <c r="R69" s="39"/>
    </row>
    <row r="70" customFormat="false" ht="15" hidden="false" customHeight="false" outlineLevel="0" collapsed="false">
      <c r="B70" s="39"/>
      <c r="C70" s="139"/>
      <c r="D70" s="154" t="s">
        <v>10</v>
      </c>
      <c r="E70" s="155" t="s">
        <v>11</v>
      </c>
      <c r="F70" s="156" t="n">
        <f aca="false">H70*6+I70*3+J70*1+K70*0</f>
        <v>18</v>
      </c>
      <c r="G70" s="156"/>
      <c r="H70" s="157" t="n">
        <v>2</v>
      </c>
      <c r="I70" s="158" t="n">
        <v>2</v>
      </c>
      <c r="J70" s="158" t="n">
        <v>0</v>
      </c>
      <c r="K70" s="158" t="n">
        <v>0</v>
      </c>
      <c r="L70" s="159" t="n">
        <f aca="false">(J34+J43+J52+J61)/4</f>
        <v>95.094696969697</v>
      </c>
      <c r="M70" s="153"/>
      <c r="N70" s="153"/>
      <c r="O70" s="153"/>
      <c r="P70" s="153"/>
      <c r="Q70" s="139"/>
      <c r="R70" s="39"/>
    </row>
    <row r="71" customFormat="false" ht="15" hidden="false" customHeight="false" outlineLevel="0" collapsed="false">
      <c r="B71" s="39"/>
      <c r="C71" s="139"/>
      <c r="D71" s="154" t="s">
        <v>7</v>
      </c>
      <c r="E71" s="155" t="s">
        <v>8</v>
      </c>
      <c r="F71" s="156" t="n">
        <f aca="false">H71*6+I71*3+J71*1+K71*0</f>
        <v>4</v>
      </c>
      <c r="G71" s="156"/>
      <c r="H71" s="157" t="n">
        <v>0</v>
      </c>
      <c r="I71" s="158" t="n">
        <v>0</v>
      </c>
      <c r="J71" s="158" t="n">
        <v>4</v>
      </c>
      <c r="K71" s="158" t="n">
        <v>0</v>
      </c>
      <c r="L71" s="159" t="n">
        <f aca="false">(J33+J42+J51+J60)/4</f>
        <v>74.6981721981722</v>
      </c>
      <c r="M71" s="153"/>
      <c r="N71" s="153"/>
      <c r="O71" s="153"/>
      <c r="P71" s="153"/>
      <c r="Q71" s="139"/>
      <c r="R71" s="39"/>
    </row>
    <row r="72" customFormat="false" ht="15.75" hidden="false" customHeight="false" outlineLevel="0" collapsed="false">
      <c r="B72" s="39"/>
      <c r="C72" s="139"/>
      <c r="D72" s="160" t="s">
        <v>12</v>
      </c>
      <c r="E72" s="161" t="s">
        <v>13</v>
      </c>
      <c r="F72" s="162" t="n">
        <f aca="false">H72*6+I72*3+J72*1+K72*0</f>
        <v>0</v>
      </c>
      <c r="G72" s="162"/>
      <c r="H72" s="163" t="n">
        <v>0</v>
      </c>
      <c r="I72" s="164" t="n">
        <v>0</v>
      </c>
      <c r="J72" s="164" t="n">
        <v>0</v>
      </c>
      <c r="K72" s="164" t="n">
        <v>4</v>
      </c>
      <c r="L72" s="165" t="n">
        <f aca="false">(J35+J44+J53+J62)/4</f>
        <v>62.3893698893699</v>
      </c>
      <c r="M72" s="153"/>
      <c r="N72" s="153"/>
      <c r="O72" s="153"/>
      <c r="P72" s="153"/>
      <c r="Q72" s="139"/>
      <c r="R72" s="39"/>
      <c r="T72" s="166"/>
      <c r="U72" s="166"/>
      <c r="V72" s="167"/>
      <c r="W72" s="167"/>
      <c r="X72" s="167"/>
      <c r="Y72" s="167"/>
      <c r="Z72" s="167"/>
      <c r="AA72" s="167"/>
      <c r="AB72" s="167"/>
    </row>
    <row r="73" customFormat="false" ht="15" hidden="false" customHeight="false" outlineLevel="0" collapsed="false">
      <c r="B73" s="39"/>
      <c r="C73" s="139"/>
      <c r="D73" s="168"/>
      <c r="E73" s="168"/>
      <c r="F73" s="153"/>
      <c r="G73" s="153"/>
      <c r="H73" s="153"/>
      <c r="I73" s="153"/>
      <c r="J73" s="153"/>
      <c r="K73" s="153"/>
      <c r="L73" s="153"/>
      <c r="M73" s="153"/>
      <c r="N73" s="153"/>
      <c r="O73" s="153"/>
      <c r="P73" s="153"/>
      <c r="Q73" s="139"/>
      <c r="R73" s="39"/>
    </row>
    <row r="74" customFormat="false" ht="15" hidden="false" customHeight="true" outlineLevel="0" collapsed="false">
      <c r="B74" s="39"/>
      <c r="C74" s="39"/>
      <c r="D74" s="169"/>
      <c r="E74" s="169"/>
      <c r="F74" s="129"/>
      <c r="G74" s="129"/>
      <c r="H74" s="169"/>
      <c r="I74" s="169"/>
      <c r="J74" s="131"/>
      <c r="K74" s="131"/>
      <c r="L74" s="131"/>
      <c r="M74" s="131"/>
      <c r="N74" s="131"/>
      <c r="O74" s="131"/>
      <c r="P74" s="131"/>
      <c r="Q74" s="39"/>
      <c r="R74" s="39"/>
    </row>
    <row r="75" customFormat="false" ht="15" hidden="false" customHeight="true" outlineLevel="0" collapsed="false">
      <c r="D75" s="170"/>
      <c r="E75" s="170"/>
      <c r="F75" s="130"/>
      <c r="G75" s="130"/>
      <c r="H75" s="170"/>
      <c r="I75" s="170"/>
      <c r="J75" s="36"/>
      <c r="K75" s="36"/>
      <c r="L75" s="36"/>
      <c r="M75" s="36"/>
      <c r="N75" s="36"/>
      <c r="O75" s="36"/>
      <c r="P75" s="36"/>
    </row>
    <row r="76" customFormat="false" ht="15" hidden="false" customHeight="false" outlineLevel="0" collapsed="false">
      <c r="D76" s="171"/>
      <c r="E76" s="171"/>
      <c r="F76" s="171"/>
      <c r="G76" s="171"/>
      <c r="H76" s="171"/>
      <c r="I76" s="171"/>
      <c r="J76" s="138"/>
      <c r="K76" s="36"/>
      <c r="L76" s="36"/>
      <c r="M76" s="36"/>
      <c r="N76" s="36"/>
      <c r="O76" s="36"/>
      <c r="P76" s="36"/>
    </row>
    <row r="77" customFormat="false" ht="15" hidden="false" customHeight="false" outlineLevel="0" collapsed="false">
      <c r="B77" s="39"/>
      <c r="C77" s="39"/>
      <c r="D77" s="40"/>
      <c r="E77" s="40"/>
      <c r="F77" s="40"/>
      <c r="G77" s="40"/>
      <c r="H77" s="39"/>
      <c r="I77" s="39"/>
      <c r="J77" s="39"/>
      <c r="K77" s="39"/>
      <c r="L77" s="39"/>
      <c r="M77" s="39"/>
      <c r="N77" s="39"/>
      <c r="O77" s="39"/>
      <c r="P77" s="39"/>
      <c r="Q77" s="39"/>
      <c r="R77" s="39"/>
    </row>
    <row r="78" customFormat="false" ht="31.5" hidden="false" customHeight="false" outlineLevel="0" collapsed="false">
      <c r="B78" s="39"/>
      <c r="C78" s="41"/>
      <c r="D78" s="172" t="s">
        <v>70</v>
      </c>
      <c r="E78" s="172"/>
      <c r="F78" s="172"/>
      <c r="G78" s="172"/>
      <c r="H78" s="172"/>
      <c r="I78" s="172"/>
      <c r="J78" s="172"/>
      <c r="K78" s="172"/>
      <c r="L78" s="172"/>
      <c r="M78" s="42"/>
      <c r="N78" s="42"/>
      <c r="O78" s="42"/>
      <c r="P78" s="42"/>
      <c r="Q78" s="41"/>
      <c r="R78" s="39"/>
    </row>
    <row r="79" customFormat="false" ht="15.75" hidden="false" customHeight="false" outlineLevel="0" collapsed="false">
      <c r="B79" s="39"/>
      <c r="D79" s="36"/>
      <c r="E79" s="36"/>
      <c r="R79" s="39"/>
    </row>
    <row r="80" customFormat="false" ht="15.75" hidden="false" customHeight="true" outlineLevel="0" collapsed="false">
      <c r="B80" s="39"/>
      <c r="D80" s="43" t="s">
        <v>36</v>
      </c>
      <c r="E80" s="79" t="s">
        <v>3</v>
      </c>
      <c r="F80" s="45" t="s">
        <v>37</v>
      </c>
      <c r="G80" s="45"/>
      <c r="H80" s="46" t="s">
        <v>38</v>
      </c>
      <c r="I80" s="46"/>
      <c r="J80" s="46" t="s">
        <v>71</v>
      </c>
      <c r="K80" s="47" t="s">
        <v>40</v>
      </c>
      <c r="L80" s="47"/>
      <c r="M80" s="48"/>
      <c r="N80" s="48"/>
      <c r="O80" s="48"/>
      <c r="P80" s="48"/>
      <c r="R80" s="39"/>
    </row>
    <row r="81" customFormat="false" ht="15.75" hidden="false" customHeight="false" outlineLevel="0" collapsed="false">
      <c r="B81" s="39"/>
      <c r="D81" s="43"/>
      <c r="E81" s="79"/>
      <c r="F81" s="45"/>
      <c r="G81" s="45"/>
      <c r="H81" s="4" t="s">
        <v>41</v>
      </c>
      <c r="I81" s="49" t="s">
        <v>42</v>
      </c>
      <c r="J81" s="4" t="s">
        <v>43</v>
      </c>
      <c r="K81" s="49" t="s">
        <v>44</v>
      </c>
      <c r="L81" s="49" t="s">
        <v>42</v>
      </c>
      <c r="M81" s="51"/>
      <c r="N81" s="51"/>
      <c r="O81" s="51"/>
      <c r="P81" s="51"/>
      <c r="R81" s="39"/>
    </row>
    <row r="82" customFormat="false" ht="15" hidden="false" customHeight="true" outlineLevel="0" collapsed="false">
      <c r="B82" s="39"/>
      <c r="D82" s="52" t="s">
        <v>16</v>
      </c>
      <c r="E82" s="53" t="s">
        <v>17</v>
      </c>
      <c r="F82" s="54" t="n">
        <v>1</v>
      </c>
      <c r="G82" s="54"/>
      <c r="H82" s="55" t="s">
        <v>51</v>
      </c>
      <c r="I82" s="173" t="s">
        <v>46</v>
      </c>
      <c r="J82" s="174" t="s">
        <v>50</v>
      </c>
      <c r="K82" s="58" t="s">
        <v>46</v>
      </c>
      <c r="L82" s="59" t="s">
        <v>46</v>
      </c>
      <c r="M82" s="36"/>
      <c r="N82" s="36"/>
      <c r="O82" s="36"/>
      <c r="P82" s="36"/>
      <c r="R82" s="39"/>
    </row>
    <row r="83" customFormat="false" ht="45" hidden="false" customHeight="true" outlineLevel="0" collapsed="false">
      <c r="B83" s="39"/>
      <c r="D83" s="60" t="s">
        <v>18</v>
      </c>
      <c r="E83" s="61" t="s">
        <v>19</v>
      </c>
      <c r="F83" s="62" t="n">
        <v>2</v>
      </c>
      <c r="G83" s="62"/>
      <c r="H83" s="175" t="s">
        <v>72</v>
      </c>
      <c r="I83" s="176" t="s">
        <v>46</v>
      </c>
      <c r="J83" s="65" t="s">
        <v>50</v>
      </c>
      <c r="K83" s="66" t="s">
        <v>46</v>
      </c>
      <c r="L83" s="64" t="s">
        <v>46</v>
      </c>
      <c r="M83" s="36"/>
      <c r="N83" s="36"/>
      <c r="O83" s="36"/>
      <c r="P83" s="36"/>
      <c r="R83" s="39"/>
    </row>
    <row r="84" customFormat="false" ht="30" hidden="false" customHeight="false" outlineLevel="0" collapsed="false">
      <c r="B84" s="39"/>
      <c r="D84" s="60" t="s">
        <v>20</v>
      </c>
      <c r="E84" s="61" t="s">
        <v>21</v>
      </c>
      <c r="F84" s="62" t="n">
        <v>3</v>
      </c>
      <c r="G84" s="62"/>
      <c r="H84" s="177" t="s">
        <v>73</v>
      </c>
      <c r="I84" s="178" t="s">
        <v>74</v>
      </c>
      <c r="J84" s="65" t="s">
        <v>50</v>
      </c>
      <c r="K84" s="66" t="s">
        <v>46</v>
      </c>
      <c r="L84" s="64" t="s">
        <v>46</v>
      </c>
      <c r="M84" s="36"/>
      <c r="N84" s="36"/>
      <c r="O84" s="36"/>
      <c r="P84" s="36"/>
      <c r="R84" s="39"/>
    </row>
    <row r="85" customFormat="false" ht="75.75" hidden="false" customHeight="false" outlineLevel="0" collapsed="false">
      <c r="B85" s="39"/>
      <c r="D85" s="69" t="s">
        <v>22</v>
      </c>
      <c r="E85" s="70" t="s">
        <v>23</v>
      </c>
      <c r="F85" s="71" t="n">
        <v>4</v>
      </c>
      <c r="G85" s="71"/>
      <c r="H85" s="72" t="s">
        <v>75</v>
      </c>
      <c r="I85" s="179" t="s">
        <v>76</v>
      </c>
      <c r="J85" s="74" t="s">
        <v>50</v>
      </c>
      <c r="K85" s="75" t="s">
        <v>46</v>
      </c>
      <c r="L85" s="73" t="s">
        <v>46</v>
      </c>
      <c r="M85" s="36"/>
      <c r="N85" s="36"/>
      <c r="O85" s="36"/>
      <c r="P85" s="36"/>
      <c r="R85" s="39"/>
    </row>
    <row r="86" customFormat="false" ht="15" hidden="false" customHeight="false" outlineLevel="0" collapsed="false">
      <c r="B86" s="39"/>
      <c r="D86" s="36"/>
      <c r="E86" s="36"/>
      <c r="R86" s="39"/>
    </row>
    <row r="87" customFormat="false" ht="15.75" hidden="false" customHeight="false" outlineLevel="0" collapsed="false">
      <c r="B87" s="39"/>
      <c r="C87" s="76"/>
      <c r="D87" s="77" t="str">
        <f aca="false">IF(OR(K82="-",K82= ""),H82,K82)</f>
        <v>Marco Polo</v>
      </c>
      <c r="E87" s="77"/>
      <c r="F87" s="77"/>
      <c r="G87" s="77"/>
      <c r="H87" s="77"/>
      <c r="I87" s="77"/>
      <c r="J87" s="77"/>
      <c r="K87" s="77"/>
      <c r="L87" s="77"/>
      <c r="M87" s="78"/>
      <c r="N87" s="78"/>
      <c r="O87" s="78"/>
      <c r="P87" s="78"/>
      <c r="Q87" s="76"/>
      <c r="R87" s="39"/>
    </row>
    <row r="88" customFormat="false" ht="30.75" hidden="false" customHeight="false" outlineLevel="0" collapsed="false">
      <c r="B88" s="39"/>
      <c r="C88" s="76"/>
      <c r="D88" s="43" t="s">
        <v>36</v>
      </c>
      <c r="E88" s="79" t="s">
        <v>3</v>
      </c>
      <c r="F88" s="45" t="s">
        <v>52</v>
      </c>
      <c r="G88" s="45"/>
      <c r="H88" s="79" t="s">
        <v>53</v>
      </c>
      <c r="I88" s="80" t="s">
        <v>54</v>
      </c>
      <c r="J88" s="81" t="s">
        <v>55</v>
      </c>
      <c r="K88" s="82" t="s">
        <v>56</v>
      </c>
      <c r="L88" s="79" t="s">
        <v>57</v>
      </c>
      <c r="M88" s="43" t="s">
        <v>58</v>
      </c>
      <c r="N88" s="79" t="s">
        <v>59</v>
      </c>
      <c r="O88" s="79" t="s">
        <v>60</v>
      </c>
      <c r="P88" s="82" t="s">
        <v>61</v>
      </c>
      <c r="Q88" s="76"/>
      <c r="R88" s="39"/>
    </row>
    <row r="89" customFormat="false" ht="15" hidden="false" customHeight="false" outlineLevel="0" collapsed="false">
      <c r="B89" s="39"/>
      <c r="C89" s="76"/>
      <c r="D89" s="180" t="s">
        <v>16</v>
      </c>
      <c r="E89" s="181" t="s">
        <v>17</v>
      </c>
      <c r="F89" s="182" t="n">
        <v>4</v>
      </c>
      <c r="G89" s="182"/>
      <c r="H89" s="182" t="n">
        <v>92</v>
      </c>
      <c r="I89" s="182" t="s">
        <v>46</v>
      </c>
      <c r="J89" s="183" t="n">
        <f aca="false">IF(H89="",0,(H89/H93)*100)</f>
        <v>100</v>
      </c>
      <c r="K89" s="184" t="n">
        <v>1</v>
      </c>
      <c r="L89" s="185" t="n">
        <v>6</v>
      </c>
      <c r="M89" s="85" t="n">
        <f aca="false">IF(K89=1,1,0)</f>
        <v>1</v>
      </c>
      <c r="N89" s="85" t="n">
        <f aca="false">IF(K89=2,1,0)</f>
        <v>0</v>
      </c>
      <c r="O89" s="85" t="n">
        <f aca="false">IF(K89=3,1,0)</f>
        <v>0</v>
      </c>
      <c r="P89" s="85" t="n">
        <f aca="false">IF(K89=4,1,0)</f>
        <v>0</v>
      </c>
      <c r="Q89" s="76"/>
      <c r="R89" s="39"/>
    </row>
    <row r="90" customFormat="false" ht="15" hidden="false" customHeight="false" outlineLevel="0" collapsed="false">
      <c r="B90" s="39"/>
      <c r="C90" s="76"/>
      <c r="D90" s="60" t="s">
        <v>18</v>
      </c>
      <c r="E90" s="61" t="s">
        <v>19</v>
      </c>
      <c r="F90" s="18" t="n">
        <v>2</v>
      </c>
      <c r="G90" s="18"/>
      <c r="H90" s="18" t="n">
        <v>62</v>
      </c>
      <c r="I90" s="18" t="s">
        <v>46</v>
      </c>
      <c r="J90" s="86" t="n">
        <f aca="false">IF(H90="",0,(H90/H93)*100)</f>
        <v>67.3913043478261</v>
      </c>
      <c r="K90" s="62" t="n">
        <v>3</v>
      </c>
      <c r="L90" s="87" t="n">
        <v>1</v>
      </c>
      <c r="M90" s="88" t="n">
        <f aca="false">IF(K90=1,1,0)</f>
        <v>0</v>
      </c>
      <c r="N90" s="88" t="n">
        <f aca="false">IF(K90=2,1,0)</f>
        <v>0</v>
      </c>
      <c r="O90" s="88" t="n">
        <f aca="false">IF(K90=3,1,0)</f>
        <v>1</v>
      </c>
      <c r="P90" s="88" t="n">
        <f aca="false">IF(K90=4,1,0)</f>
        <v>0</v>
      </c>
      <c r="Q90" s="76"/>
      <c r="R90" s="39"/>
    </row>
    <row r="91" customFormat="false" ht="15" hidden="false" customHeight="false" outlineLevel="0" collapsed="false">
      <c r="B91" s="39"/>
      <c r="C91" s="76"/>
      <c r="D91" s="60" t="s">
        <v>20</v>
      </c>
      <c r="E91" s="61" t="s">
        <v>21</v>
      </c>
      <c r="F91" s="18" t="n">
        <v>1</v>
      </c>
      <c r="G91" s="18"/>
      <c r="H91" s="18" t="n">
        <v>77</v>
      </c>
      <c r="I91" s="18" t="s">
        <v>46</v>
      </c>
      <c r="J91" s="86" t="n">
        <f aca="false">IF(H91="",0,(H91/H93)*100)</f>
        <v>83.695652173913</v>
      </c>
      <c r="K91" s="62" t="n">
        <v>2</v>
      </c>
      <c r="L91" s="87" t="n">
        <v>3</v>
      </c>
      <c r="M91" s="88" t="n">
        <f aca="false">IF(K91=1,1,0)</f>
        <v>0</v>
      </c>
      <c r="N91" s="88" t="n">
        <f aca="false">IF(K91=2,1,0)</f>
        <v>1</v>
      </c>
      <c r="O91" s="88" t="n">
        <f aca="false">IF(K91=3,1,0)</f>
        <v>0</v>
      </c>
      <c r="P91" s="88" t="n">
        <f aca="false">IF(K91=4,1,0)</f>
        <v>0</v>
      </c>
      <c r="Q91" s="76"/>
      <c r="R91" s="39"/>
    </row>
    <row r="92" customFormat="false" ht="15.75" hidden="false" customHeight="false" outlineLevel="0" collapsed="false">
      <c r="B92" s="39"/>
      <c r="C92" s="76"/>
      <c r="D92" s="69" t="s">
        <v>22</v>
      </c>
      <c r="E92" s="70" t="s">
        <v>23</v>
      </c>
      <c r="F92" s="186" t="n">
        <v>3</v>
      </c>
      <c r="G92" s="186"/>
      <c r="H92" s="186" t="n">
        <v>59</v>
      </c>
      <c r="I92" s="186" t="s">
        <v>46</v>
      </c>
      <c r="J92" s="116" t="n">
        <f aca="false">IF(H92="",0,(H92/H93)*100)</f>
        <v>64.1304347826087</v>
      </c>
      <c r="K92" s="187" t="n">
        <v>4</v>
      </c>
      <c r="L92" s="188" t="n">
        <v>0</v>
      </c>
      <c r="M92" s="95" t="n">
        <f aca="false">IF(K92=1,1,0)</f>
        <v>0</v>
      </c>
      <c r="N92" s="95" t="n">
        <f aca="false">IF(K92=2,1,0)</f>
        <v>0</v>
      </c>
      <c r="O92" s="95" t="n">
        <f aca="false">IF(K92=3,1,0)</f>
        <v>0</v>
      </c>
      <c r="P92" s="95" t="n">
        <f aca="false">IF(K92=4,1,0)</f>
        <v>1</v>
      </c>
      <c r="Q92" s="76"/>
      <c r="R92" s="39"/>
    </row>
    <row r="93" customFormat="false" ht="15.75" hidden="true" customHeight="false" outlineLevel="1" collapsed="false">
      <c r="B93" s="39"/>
      <c r="C93" s="76"/>
      <c r="D93" s="166"/>
      <c r="E93" s="166"/>
      <c r="F93" s="118" t="s">
        <v>62</v>
      </c>
      <c r="G93" s="118"/>
      <c r="H93" s="119" t="n">
        <f aca="false">MAX(H89:H92)</f>
        <v>92</v>
      </c>
      <c r="I93" s="167"/>
      <c r="J93" s="189"/>
      <c r="K93" s="167"/>
      <c r="L93" s="122" t="s">
        <v>63</v>
      </c>
      <c r="M93" s="102" t="n">
        <f aca="false">SUM(M89:M92)</f>
        <v>1</v>
      </c>
      <c r="N93" s="103" t="n">
        <f aca="false">SUM(N89:N92)</f>
        <v>1</v>
      </c>
      <c r="O93" s="102" t="n">
        <f aca="false">SUM(O89:O92)</f>
        <v>1</v>
      </c>
      <c r="P93" s="104" t="n">
        <f aca="false">SUM(P89:P92)</f>
        <v>1</v>
      </c>
      <c r="Q93" s="76"/>
      <c r="R93" s="39"/>
    </row>
    <row r="94" customFormat="false" ht="15" hidden="false" customHeight="false" outlineLevel="0" collapsed="false">
      <c r="B94" s="39"/>
      <c r="C94" s="76"/>
      <c r="D94" s="105"/>
      <c r="E94" s="105"/>
      <c r="F94" s="76"/>
      <c r="G94" s="76"/>
      <c r="H94" s="76"/>
      <c r="I94" s="76"/>
      <c r="J94" s="76"/>
      <c r="K94" s="76"/>
      <c r="L94" s="76"/>
      <c r="M94" s="76"/>
      <c r="N94" s="76"/>
      <c r="O94" s="76"/>
      <c r="P94" s="76"/>
      <c r="Q94" s="76"/>
      <c r="R94" s="39"/>
    </row>
    <row r="95" customFormat="false" ht="15" hidden="false" customHeight="false" outlineLevel="0" collapsed="false">
      <c r="B95" s="39"/>
      <c r="R95" s="39"/>
    </row>
    <row r="96" customFormat="false" ht="15.75" hidden="false" customHeight="false" outlineLevel="0" collapsed="false">
      <c r="B96" s="39"/>
      <c r="C96" s="107"/>
      <c r="D96" s="108" t="str">
        <f aca="false">IF(OR(K83="-",K83= ""),H83,K83)</f>
        <v>Im Wandel der Zeiten,
 das Würfelspiel (Bronzezeit)</v>
      </c>
      <c r="E96" s="108"/>
      <c r="F96" s="108"/>
      <c r="G96" s="108"/>
      <c r="H96" s="108"/>
      <c r="I96" s="108"/>
      <c r="J96" s="108"/>
      <c r="K96" s="108"/>
      <c r="L96" s="108"/>
      <c r="M96" s="109"/>
      <c r="N96" s="109"/>
      <c r="O96" s="109"/>
      <c r="P96" s="109"/>
      <c r="Q96" s="107"/>
      <c r="R96" s="39"/>
    </row>
    <row r="97" customFormat="false" ht="30.75" hidden="false" customHeight="false" outlineLevel="0" collapsed="false">
      <c r="B97" s="39"/>
      <c r="C97" s="107"/>
      <c r="D97" s="43" t="s">
        <v>36</v>
      </c>
      <c r="E97" s="79" t="s">
        <v>3</v>
      </c>
      <c r="F97" s="45" t="s">
        <v>52</v>
      </c>
      <c r="G97" s="45"/>
      <c r="H97" s="79" t="s">
        <v>53</v>
      </c>
      <c r="I97" s="80" t="s">
        <v>54</v>
      </c>
      <c r="J97" s="81" t="s">
        <v>77</v>
      </c>
      <c r="K97" s="82" t="s">
        <v>56</v>
      </c>
      <c r="L97" s="79" t="s">
        <v>57</v>
      </c>
      <c r="M97" s="43" t="s">
        <v>58</v>
      </c>
      <c r="N97" s="79" t="s">
        <v>59</v>
      </c>
      <c r="O97" s="79" t="s">
        <v>60</v>
      </c>
      <c r="P97" s="82" t="s">
        <v>61</v>
      </c>
      <c r="Q97" s="107"/>
      <c r="R97" s="39"/>
    </row>
    <row r="98" customFormat="false" ht="15" hidden="false" customHeight="false" outlineLevel="0" collapsed="false">
      <c r="B98" s="39"/>
      <c r="C98" s="107"/>
      <c r="D98" s="180" t="s">
        <v>16</v>
      </c>
      <c r="E98" s="181" t="s">
        <v>17</v>
      </c>
      <c r="F98" s="182" t="n">
        <v>1</v>
      </c>
      <c r="G98" s="182"/>
      <c r="H98" s="182" t="n">
        <v>12</v>
      </c>
      <c r="I98" s="182" t="s">
        <v>78</v>
      </c>
      <c r="J98" s="183" t="n">
        <f aca="false">IF(H98="",0,(H98/H102)*100)</f>
        <v>100</v>
      </c>
      <c r="K98" s="184" t="n">
        <v>1</v>
      </c>
      <c r="L98" s="185" t="n">
        <v>4.5</v>
      </c>
      <c r="M98" s="85" t="n">
        <f aca="false">IF(K98=1,1,0)</f>
        <v>1</v>
      </c>
      <c r="N98" s="85" t="n">
        <f aca="false">IF(K98=2,1,0)</f>
        <v>0</v>
      </c>
      <c r="O98" s="85" t="n">
        <f aca="false">IF(K98=3,1,0)</f>
        <v>0</v>
      </c>
      <c r="P98" s="85" t="n">
        <f aca="false">IF(K98=4,1,0)</f>
        <v>0</v>
      </c>
      <c r="Q98" s="107"/>
      <c r="R98" s="39"/>
    </row>
    <row r="99" customFormat="false" ht="15" hidden="false" customHeight="false" outlineLevel="0" collapsed="false">
      <c r="B99" s="39"/>
      <c r="C99" s="107"/>
      <c r="D99" s="60" t="s">
        <v>18</v>
      </c>
      <c r="E99" s="61" t="s">
        <v>19</v>
      </c>
      <c r="F99" s="18" t="n">
        <v>2</v>
      </c>
      <c r="G99" s="18"/>
      <c r="H99" s="18" t="n">
        <v>2</v>
      </c>
      <c r="I99" s="18" t="s">
        <v>46</v>
      </c>
      <c r="J99" s="86" t="n">
        <f aca="false">IF(H99="",0,(H99/H102)*100)</f>
        <v>16.6666666666667</v>
      </c>
      <c r="K99" s="62" t="n">
        <v>3</v>
      </c>
      <c r="L99" s="87" t="n">
        <v>1</v>
      </c>
      <c r="M99" s="88" t="n">
        <f aca="false">IF(K99=1,1,0)</f>
        <v>0</v>
      </c>
      <c r="N99" s="88" t="n">
        <f aca="false">IF(K99=2,1,0)</f>
        <v>0</v>
      </c>
      <c r="O99" s="88" t="n">
        <f aca="false">IF(K99=3,1,0)</f>
        <v>1</v>
      </c>
      <c r="P99" s="88" t="n">
        <f aca="false">IF(K99=4,1,0)</f>
        <v>0</v>
      </c>
      <c r="Q99" s="107"/>
      <c r="R99" s="39"/>
    </row>
    <row r="100" customFormat="false" ht="15" hidden="false" customHeight="false" outlineLevel="0" collapsed="false">
      <c r="B100" s="39"/>
      <c r="C100" s="107"/>
      <c r="D100" s="110" t="s">
        <v>20</v>
      </c>
      <c r="E100" s="111" t="s">
        <v>21</v>
      </c>
      <c r="F100" s="112" t="n">
        <v>3</v>
      </c>
      <c r="G100" s="112"/>
      <c r="H100" s="112" t="n">
        <v>12</v>
      </c>
      <c r="I100" s="112" t="s">
        <v>78</v>
      </c>
      <c r="J100" s="113" t="n">
        <f aca="false">IF(H100="",0,(H100/H102)*100)</f>
        <v>100</v>
      </c>
      <c r="K100" s="114" t="n">
        <v>1</v>
      </c>
      <c r="L100" s="115" t="n">
        <v>4.5</v>
      </c>
      <c r="M100" s="88" t="n">
        <f aca="false">IF(K100=1,1,0)</f>
        <v>1</v>
      </c>
      <c r="N100" s="88" t="n">
        <f aca="false">IF(K100=2,1,0)</f>
        <v>0</v>
      </c>
      <c r="O100" s="88" t="n">
        <f aca="false">IF(K100=3,1,0)</f>
        <v>0</v>
      </c>
      <c r="P100" s="88" t="n">
        <f aca="false">IF(K100=4,1,0)</f>
        <v>0</v>
      </c>
      <c r="Q100" s="107"/>
      <c r="R100" s="39"/>
    </row>
    <row r="101" customFormat="false" ht="15.75" hidden="false" customHeight="false" outlineLevel="0" collapsed="false">
      <c r="B101" s="39"/>
      <c r="C101" s="107"/>
      <c r="D101" s="69" t="s">
        <v>22</v>
      </c>
      <c r="E101" s="70" t="s">
        <v>23</v>
      </c>
      <c r="F101" s="22" t="n">
        <v>4</v>
      </c>
      <c r="G101" s="22"/>
      <c r="H101" s="22" t="n">
        <v>0</v>
      </c>
      <c r="I101" s="22" t="s">
        <v>46</v>
      </c>
      <c r="J101" s="116" t="n">
        <f aca="false">IF(H101="",0,(H101/H102)*100)</f>
        <v>0</v>
      </c>
      <c r="K101" s="71" t="n">
        <v>4</v>
      </c>
      <c r="L101" s="117" t="n">
        <v>0</v>
      </c>
      <c r="M101" s="95" t="n">
        <f aca="false">IF(K101=1,1,0)</f>
        <v>0</v>
      </c>
      <c r="N101" s="95" t="n">
        <f aca="false">IF(K101=2,1,0)</f>
        <v>0</v>
      </c>
      <c r="O101" s="95" t="n">
        <f aca="false">IF(K101=3,1,0)</f>
        <v>0</v>
      </c>
      <c r="P101" s="95" t="n">
        <f aca="false">IF(K101=4,1,0)</f>
        <v>1</v>
      </c>
      <c r="Q101" s="107"/>
      <c r="R101" s="39"/>
    </row>
    <row r="102" customFormat="false" ht="15.75" hidden="true" customHeight="false" outlineLevel="1" collapsed="false">
      <c r="B102" s="39"/>
      <c r="C102" s="107"/>
      <c r="D102" s="32"/>
      <c r="E102" s="32"/>
      <c r="F102" s="118" t="s">
        <v>62</v>
      </c>
      <c r="G102" s="118"/>
      <c r="H102" s="119" t="n">
        <f aca="false">MAX(H98:H101)</f>
        <v>12</v>
      </c>
      <c r="I102" s="120"/>
      <c r="J102" s="121"/>
      <c r="K102" s="120"/>
      <c r="L102" s="122" t="s">
        <v>63</v>
      </c>
      <c r="M102" s="102" t="n">
        <f aca="false">SUM(M98:M101)</f>
        <v>2</v>
      </c>
      <c r="N102" s="103" t="n">
        <f aca="false">SUM(N98:N101)</f>
        <v>0</v>
      </c>
      <c r="O102" s="102" t="n">
        <f aca="false">SUM(O98:O101)</f>
        <v>1</v>
      </c>
      <c r="P102" s="104" t="n">
        <f aca="false">SUM(P98:P101)</f>
        <v>1</v>
      </c>
      <c r="Q102" s="107"/>
      <c r="R102" s="39"/>
    </row>
    <row r="103" customFormat="false" ht="15" hidden="false" customHeight="false" outlineLevel="0" collapsed="false">
      <c r="B103" s="39"/>
      <c r="C103" s="107"/>
      <c r="D103" s="123"/>
      <c r="E103" s="123"/>
      <c r="F103" s="107"/>
      <c r="G103" s="107"/>
      <c r="H103" s="107"/>
      <c r="I103" s="107"/>
      <c r="J103" s="107"/>
      <c r="K103" s="107"/>
      <c r="L103" s="107"/>
      <c r="M103" s="107"/>
      <c r="N103" s="107"/>
      <c r="O103" s="107"/>
      <c r="P103" s="107"/>
      <c r="Q103" s="107"/>
      <c r="R103" s="39"/>
    </row>
    <row r="104" customFormat="false" ht="15" hidden="false" customHeight="false" outlineLevel="0" collapsed="false">
      <c r="B104" s="39"/>
      <c r="D104" s="124"/>
      <c r="E104" s="124"/>
      <c r="F104" s="124"/>
      <c r="G104" s="124"/>
      <c r="H104" s="125"/>
      <c r="I104" s="124"/>
      <c r="J104" s="36"/>
      <c r="K104" s="36"/>
      <c r="L104" s="36"/>
      <c r="M104" s="36"/>
      <c r="N104" s="36"/>
      <c r="O104" s="36"/>
      <c r="P104" s="36"/>
      <c r="R104" s="39"/>
    </row>
    <row r="105" customFormat="false" ht="15" hidden="false" customHeight="true" outlineLevel="0" collapsed="false">
      <c r="B105" s="39"/>
      <c r="C105" s="126"/>
      <c r="D105" s="127" t="str">
        <f aca="false">IF(OR(K84="-",K84= ""),H84,K84)</f>
        <v>Die Burgen von 
Burgund</v>
      </c>
      <c r="E105" s="127"/>
      <c r="F105" s="127"/>
      <c r="G105" s="127"/>
      <c r="H105" s="127"/>
      <c r="I105" s="127"/>
      <c r="J105" s="127"/>
      <c r="K105" s="127"/>
      <c r="L105" s="127"/>
      <c r="M105" s="128"/>
      <c r="N105" s="128"/>
      <c r="O105" s="128"/>
      <c r="P105" s="128"/>
      <c r="Q105" s="126"/>
      <c r="R105" s="129"/>
    </row>
    <row r="106" customFormat="false" ht="30.75" hidden="false" customHeight="false" outlineLevel="0" collapsed="false">
      <c r="B106" s="39"/>
      <c r="C106" s="126"/>
      <c r="D106" s="43" t="s">
        <v>36</v>
      </c>
      <c r="E106" s="79" t="s">
        <v>3</v>
      </c>
      <c r="F106" s="45" t="s">
        <v>52</v>
      </c>
      <c r="G106" s="45"/>
      <c r="H106" s="79" t="s">
        <v>53</v>
      </c>
      <c r="I106" s="80" t="s">
        <v>54</v>
      </c>
      <c r="J106" s="81" t="s">
        <v>55</v>
      </c>
      <c r="K106" s="82" t="s">
        <v>56</v>
      </c>
      <c r="L106" s="79" t="s">
        <v>57</v>
      </c>
      <c r="M106" s="43" t="s">
        <v>58</v>
      </c>
      <c r="N106" s="79" t="s">
        <v>59</v>
      </c>
      <c r="O106" s="79" t="s">
        <v>60</v>
      </c>
      <c r="P106" s="82" t="s">
        <v>61</v>
      </c>
      <c r="Q106" s="126"/>
      <c r="R106" s="129"/>
    </row>
    <row r="107" customFormat="false" ht="15" hidden="false" customHeight="false" outlineLevel="0" collapsed="false">
      <c r="B107" s="39"/>
      <c r="C107" s="126"/>
      <c r="D107" s="180" t="s">
        <v>16</v>
      </c>
      <c r="E107" s="181" t="s">
        <v>17</v>
      </c>
      <c r="F107" s="182" t="n">
        <v>2</v>
      </c>
      <c r="G107" s="182"/>
      <c r="H107" s="182" t="n">
        <v>250</v>
      </c>
      <c r="I107" s="182" t="s">
        <v>46</v>
      </c>
      <c r="J107" s="183" t="n">
        <f aca="false">IF(H107="",0,(H107/H111)*100)</f>
        <v>100</v>
      </c>
      <c r="K107" s="184" t="n">
        <v>1</v>
      </c>
      <c r="L107" s="185" t="n">
        <v>6</v>
      </c>
      <c r="M107" s="85" t="n">
        <f aca="false">IF(K107=1,1,0)</f>
        <v>1</v>
      </c>
      <c r="N107" s="85" t="n">
        <f aca="false">IF(K107=2,1,0)</f>
        <v>0</v>
      </c>
      <c r="O107" s="85" t="n">
        <f aca="false">IF(K107=3,1,0)</f>
        <v>0</v>
      </c>
      <c r="P107" s="85" t="n">
        <f aca="false">IF(K107=4,1,0)</f>
        <v>0</v>
      </c>
      <c r="Q107" s="126"/>
      <c r="R107" s="131"/>
    </row>
    <row r="108" customFormat="false" ht="15" hidden="false" customHeight="false" outlineLevel="0" collapsed="false">
      <c r="B108" s="39"/>
      <c r="C108" s="126"/>
      <c r="D108" s="60" t="s">
        <v>18</v>
      </c>
      <c r="E108" s="61" t="s">
        <v>19</v>
      </c>
      <c r="F108" s="18" t="n">
        <v>3</v>
      </c>
      <c r="G108" s="18"/>
      <c r="H108" s="18" t="n">
        <v>206</v>
      </c>
      <c r="I108" s="18" t="s">
        <v>46</v>
      </c>
      <c r="J108" s="86" t="n">
        <f aca="false">IF(H108="",0,(H108/H111)*100)</f>
        <v>82.4</v>
      </c>
      <c r="K108" s="62" t="n">
        <v>4</v>
      </c>
      <c r="L108" s="87" t="n">
        <v>0</v>
      </c>
      <c r="M108" s="88" t="n">
        <f aca="false">IF(K108=1,1,0)</f>
        <v>0</v>
      </c>
      <c r="N108" s="88" t="n">
        <f aca="false">IF(K108=2,1,0)</f>
        <v>0</v>
      </c>
      <c r="O108" s="88" t="n">
        <f aca="false">IF(K108=3,1,0)</f>
        <v>0</v>
      </c>
      <c r="P108" s="88" t="n">
        <f aca="false">IF(K108=4,1,0)</f>
        <v>1</v>
      </c>
      <c r="Q108" s="126"/>
      <c r="R108" s="132"/>
    </row>
    <row r="109" customFormat="false" ht="15" hidden="false" customHeight="false" outlineLevel="0" collapsed="false">
      <c r="B109" s="39"/>
      <c r="C109" s="126"/>
      <c r="D109" s="60" t="s">
        <v>20</v>
      </c>
      <c r="E109" s="61" t="s">
        <v>21</v>
      </c>
      <c r="F109" s="18" t="n">
        <v>4</v>
      </c>
      <c r="G109" s="18"/>
      <c r="H109" s="18" t="n">
        <v>221</v>
      </c>
      <c r="I109" s="18" t="s">
        <v>46</v>
      </c>
      <c r="J109" s="86" t="n">
        <f aca="false">IF(H109="",0,(H109/H111)*100)</f>
        <v>88.4</v>
      </c>
      <c r="K109" s="62" t="n">
        <v>2</v>
      </c>
      <c r="L109" s="87" t="n">
        <v>3</v>
      </c>
      <c r="M109" s="88" t="n">
        <f aca="false">IF(K109=1,1,0)</f>
        <v>0</v>
      </c>
      <c r="N109" s="88" t="n">
        <f aca="false">IF(K109=2,1,0)</f>
        <v>1</v>
      </c>
      <c r="O109" s="88" t="n">
        <f aca="false">IF(K109=3,1,0)</f>
        <v>0</v>
      </c>
      <c r="P109" s="88" t="n">
        <f aca="false">IF(K109=4,1,0)</f>
        <v>0</v>
      </c>
      <c r="Q109" s="126"/>
      <c r="R109" s="132"/>
    </row>
    <row r="110" customFormat="false" ht="15.75" hidden="false" customHeight="false" outlineLevel="0" collapsed="false">
      <c r="B110" s="39"/>
      <c r="C110" s="126"/>
      <c r="D110" s="69" t="s">
        <v>22</v>
      </c>
      <c r="E110" s="70" t="s">
        <v>23</v>
      </c>
      <c r="F110" s="22" t="n">
        <v>1</v>
      </c>
      <c r="G110" s="22"/>
      <c r="H110" s="22" t="n">
        <v>208</v>
      </c>
      <c r="I110" s="22" t="s">
        <v>46</v>
      </c>
      <c r="J110" s="116" t="n">
        <f aca="false">IF(H110="",0,(H110/H111)*100)</f>
        <v>83.2</v>
      </c>
      <c r="K110" s="71" t="n">
        <v>3</v>
      </c>
      <c r="L110" s="117" t="n">
        <v>1</v>
      </c>
      <c r="M110" s="95" t="n">
        <f aca="false">IF(K110=1,1,0)</f>
        <v>0</v>
      </c>
      <c r="N110" s="95" t="n">
        <f aca="false">IF(K110=2,1,0)</f>
        <v>0</v>
      </c>
      <c r="O110" s="95" t="n">
        <f aca="false">IF(K110=3,1,0)</f>
        <v>1</v>
      </c>
      <c r="P110" s="95" t="n">
        <f aca="false">IF(K110=4,1,0)</f>
        <v>0</v>
      </c>
      <c r="Q110" s="126"/>
      <c r="R110" s="132"/>
    </row>
    <row r="111" customFormat="false" ht="15.75" hidden="true" customHeight="false" outlineLevel="1" collapsed="false">
      <c r="B111" s="39"/>
      <c r="C111" s="126"/>
      <c r="D111" s="32"/>
      <c r="E111" s="32"/>
      <c r="F111" s="118" t="s">
        <v>62</v>
      </c>
      <c r="G111" s="118"/>
      <c r="H111" s="119" t="n">
        <f aca="false">MAX(H107:H110)</f>
        <v>250</v>
      </c>
      <c r="I111" s="120"/>
      <c r="J111" s="121"/>
      <c r="K111" s="120"/>
      <c r="L111" s="122" t="s">
        <v>63</v>
      </c>
      <c r="M111" s="102" t="n">
        <f aca="false">SUM(M107:M110)</f>
        <v>1</v>
      </c>
      <c r="N111" s="103" t="n">
        <f aca="false">SUM(N107:N110)</f>
        <v>1</v>
      </c>
      <c r="O111" s="102" t="n">
        <f aca="false">SUM(O107:O110)</f>
        <v>1</v>
      </c>
      <c r="P111" s="104" t="n">
        <f aca="false">SUM(P107:P110)</f>
        <v>1</v>
      </c>
      <c r="Q111" s="126"/>
      <c r="R111" s="132"/>
    </row>
    <row r="112" customFormat="false" ht="15" hidden="false" customHeight="false" outlineLevel="0" collapsed="false">
      <c r="B112" s="39"/>
      <c r="C112" s="126"/>
      <c r="D112" s="133"/>
      <c r="E112" s="133"/>
      <c r="F112" s="126"/>
      <c r="G112" s="126"/>
      <c r="H112" s="126"/>
      <c r="I112" s="126"/>
      <c r="J112" s="126"/>
      <c r="K112" s="126"/>
      <c r="L112" s="126"/>
      <c r="M112" s="126"/>
      <c r="N112" s="126"/>
      <c r="O112" s="126"/>
      <c r="P112" s="126"/>
      <c r="Q112" s="126"/>
      <c r="R112" s="132"/>
    </row>
    <row r="113" customFormat="false" ht="15" hidden="false" customHeight="false" outlineLevel="0" collapsed="false">
      <c r="B113" s="39"/>
      <c r="D113" s="124"/>
      <c r="E113" s="124"/>
      <c r="F113" s="124"/>
      <c r="G113" s="124"/>
      <c r="H113" s="125"/>
      <c r="I113" s="124"/>
      <c r="J113" s="124"/>
      <c r="K113" s="36"/>
      <c r="L113" s="36"/>
      <c r="M113" s="36"/>
      <c r="N113" s="36"/>
      <c r="O113" s="36"/>
      <c r="P113" s="36"/>
      <c r="R113" s="131"/>
    </row>
    <row r="114" customFormat="false" ht="15.75" hidden="false" customHeight="false" outlineLevel="0" collapsed="false">
      <c r="B114" s="39"/>
      <c r="C114" s="134"/>
      <c r="D114" s="135" t="str">
        <f aca="false">IF(OR(K85="-",K85= ""),H85,K85)</f>
        <v>Automobiles</v>
      </c>
      <c r="E114" s="135"/>
      <c r="F114" s="135"/>
      <c r="G114" s="135"/>
      <c r="H114" s="135"/>
      <c r="I114" s="135"/>
      <c r="J114" s="135"/>
      <c r="K114" s="135"/>
      <c r="L114" s="135"/>
      <c r="M114" s="136"/>
      <c r="N114" s="136"/>
      <c r="O114" s="136"/>
      <c r="P114" s="136"/>
      <c r="Q114" s="134"/>
      <c r="R114" s="39"/>
    </row>
    <row r="115" customFormat="false" ht="30.75" hidden="false" customHeight="false" outlineLevel="0" collapsed="false">
      <c r="B115" s="39"/>
      <c r="C115" s="134"/>
      <c r="D115" s="43" t="s">
        <v>36</v>
      </c>
      <c r="E115" s="79" t="s">
        <v>3</v>
      </c>
      <c r="F115" s="45" t="s">
        <v>52</v>
      </c>
      <c r="G115" s="45"/>
      <c r="H115" s="79" t="s">
        <v>53</v>
      </c>
      <c r="I115" s="80" t="s">
        <v>54</v>
      </c>
      <c r="J115" s="81" t="s">
        <v>55</v>
      </c>
      <c r="K115" s="82" t="s">
        <v>56</v>
      </c>
      <c r="L115" s="79" t="s">
        <v>57</v>
      </c>
      <c r="M115" s="43" t="s">
        <v>58</v>
      </c>
      <c r="N115" s="79" t="s">
        <v>59</v>
      </c>
      <c r="O115" s="79" t="s">
        <v>60</v>
      </c>
      <c r="P115" s="82" t="s">
        <v>61</v>
      </c>
      <c r="Q115" s="134"/>
      <c r="R115" s="39"/>
    </row>
    <row r="116" customFormat="false" ht="15" hidden="false" customHeight="false" outlineLevel="0" collapsed="false">
      <c r="B116" s="39"/>
      <c r="C116" s="134"/>
      <c r="D116" s="52" t="s">
        <v>16</v>
      </c>
      <c r="E116" s="53" t="s">
        <v>17</v>
      </c>
      <c r="F116" s="11" t="n">
        <v>1</v>
      </c>
      <c r="G116" s="11"/>
      <c r="H116" s="11" t="s">
        <v>61</v>
      </c>
      <c r="I116" s="11" t="s">
        <v>46</v>
      </c>
      <c r="J116" s="83" t="n">
        <f aca="false">(J92+J101+J108)/3</f>
        <v>48.8434782608696</v>
      </c>
      <c r="K116" s="54" t="n">
        <v>4</v>
      </c>
      <c r="L116" s="84" t="n">
        <v>0</v>
      </c>
      <c r="M116" s="85" t="n">
        <f aca="false">IF(K116=1,1,0)</f>
        <v>0</v>
      </c>
      <c r="N116" s="85" t="n">
        <f aca="false">IF(K116=2,1,0)</f>
        <v>0</v>
      </c>
      <c r="O116" s="85" t="n">
        <f aca="false">IF(K116=3,1,0)</f>
        <v>0</v>
      </c>
      <c r="P116" s="85" t="n">
        <f aca="false">IF(K116=4,1,0)</f>
        <v>1</v>
      </c>
      <c r="Q116" s="134"/>
      <c r="R116" s="39"/>
    </row>
    <row r="117" customFormat="false" ht="15" hidden="false" customHeight="false" outlineLevel="0" collapsed="false">
      <c r="B117" s="39"/>
      <c r="C117" s="134"/>
      <c r="D117" s="60" t="s">
        <v>18</v>
      </c>
      <c r="E117" s="61" t="s">
        <v>19</v>
      </c>
      <c r="F117" s="18" t="n">
        <v>3</v>
      </c>
      <c r="G117" s="18"/>
      <c r="H117" s="18" t="s">
        <v>59</v>
      </c>
      <c r="I117" s="18" t="s">
        <v>46</v>
      </c>
      <c r="J117" s="86" t="n">
        <f aca="false">(J91+J98+J109)/3</f>
        <v>90.6985507246377</v>
      </c>
      <c r="K117" s="62" t="n">
        <v>2</v>
      </c>
      <c r="L117" s="87" t="n">
        <v>3</v>
      </c>
      <c r="M117" s="88" t="n">
        <f aca="false">IF(K117=1,1,0)</f>
        <v>0</v>
      </c>
      <c r="N117" s="88" t="n">
        <f aca="false">IF(K117=2,1,0)</f>
        <v>1</v>
      </c>
      <c r="O117" s="88" t="n">
        <f aca="false">IF(K117=3,1,0)</f>
        <v>0</v>
      </c>
      <c r="P117" s="88" t="n">
        <f aca="false">IF(K117=4,1,0)</f>
        <v>0</v>
      </c>
      <c r="Q117" s="134"/>
      <c r="R117" s="39"/>
    </row>
    <row r="118" customFormat="false" ht="15" hidden="false" customHeight="false" outlineLevel="0" collapsed="false">
      <c r="B118" s="39"/>
      <c r="C118" s="134"/>
      <c r="D118" s="60" t="s">
        <v>20</v>
      </c>
      <c r="E118" s="61" t="s">
        <v>21</v>
      </c>
      <c r="F118" s="18" t="n">
        <v>4</v>
      </c>
      <c r="G118" s="18"/>
      <c r="H118" s="18" t="s">
        <v>60</v>
      </c>
      <c r="I118" s="18" t="s">
        <v>46</v>
      </c>
      <c r="J118" s="86" t="n">
        <f aca="false">(J90+J99+J110)/3</f>
        <v>55.7526570048309</v>
      </c>
      <c r="K118" s="62" t="n">
        <v>3</v>
      </c>
      <c r="L118" s="87" t="n">
        <v>1</v>
      </c>
      <c r="M118" s="88" t="n">
        <f aca="false">IF(K118=1,1,0)</f>
        <v>0</v>
      </c>
      <c r="N118" s="88" t="n">
        <f aca="false">IF(K118=2,1,0)</f>
        <v>0</v>
      </c>
      <c r="O118" s="88" t="n">
        <f aca="false">IF(K118=3,1,0)</f>
        <v>1</v>
      </c>
      <c r="P118" s="88" t="n">
        <f aca="false">IF(K118=4,1,0)</f>
        <v>0</v>
      </c>
      <c r="Q118" s="134"/>
      <c r="R118" s="39"/>
    </row>
    <row r="119" customFormat="false" ht="15.75" hidden="false" customHeight="false" outlineLevel="0" collapsed="false">
      <c r="B119" s="39"/>
      <c r="C119" s="134"/>
      <c r="D119" s="89" t="s">
        <v>22</v>
      </c>
      <c r="E119" s="90" t="s">
        <v>23</v>
      </c>
      <c r="F119" s="91" t="n">
        <v>2</v>
      </c>
      <c r="G119" s="91"/>
      <c r="H119" s="91" t="s">
        <v>58</v>
      </c>
      <c r="I119" s="91" t="s">
        <v>46</v>
      </c>
      <c r="J119" s="92" t="n">
        <v>100</v>
      </c>
      <c r="K119" s="93" t="n">
        <v>1</v>
      </c>
      <c r="L119" s="94" t="n">
        <v>6</v>
      </c>
      <c r="M119" s="95" t="n">
        <f aca="false">IF(K119=1,1,0)</f>
        <v>1</v>
      </c>
      <c r="N119" s="95" t="n">
        <f aca="false">IF(K119=2,1,0)</f>
        <v>0</v>
      </c>
      <c r="O119" s="95" t="n">
        <f aca="false">IF(K119=3,1,0)</f>
        <v>0</v>
      </c>
      <c r="P119" s="95" t="n">
        <f aca="false">IF(K119=4,1,0)</f>
        <v>0</v>
      </c>
      <c r="Q119" s="134"/>
      <c r="R119" s="39"/>
    </row>
    <row r="120" customFormat="false" ht="15.75" hidden="true" customHeight="false" outlineLevel="1" collapsed="false">
      <c r="B120" s="39"/>
      <c r="C120" s="134"/>
      <c r="D120" s="32"/>
      <c r="E120" s="32"/>
      <c r="F120" s="118" t="s">
        <v>62</v>
      </c>
      <c r="G120" s="118"/>
      <c r="H120" s="119" t="n">
        <f aca="false">MAX(H116:H119)</f>
        <v>0</v>
      </c>
      <c r="I120" s="120"/>
      <c r="J120" s="121"/>
      <c r="K120" s="120"/>
      <c r="L120" s="122" t="s">
        <v>63</v>
      </c>
      <c r="M120" s="102" t="n">
        <f aca="false">SUM(M116:M119)</f>
        <v>1</v>
      </c>
      <c r="N120" s="103" t="n">
        <f aca="false">SUM(N116:N119)</f>
        <v>1</v>
      </c>
      <c r="O120" s="102" t="n">
        <f aca="false">SUM(O116:O119)</f>
        <v>1</v>
      </c>
      <c r="P120" s="104" t="n">
        <f aca="false">SUM(P116:P119)</f>
        <v>1</v>
      </c>
      <c r="Q120" s="134"/>
      <c r="R120" s="39"/>
    </row>
    <row r="121" customFormat="false" ht="15" hidden="false" customHeight="false" outlineLevel="0" collapsed="false">
      <c r="B121" s="39"/>
      <c r="C121" s="134"/>
      <c r="D121" s="137"/>
      <c r="E121" s="137"/>
      <c r="F121" s="134"/>
      <c r="G121" s="134"/>
      <c r="H121" s="134"/>
      <c r="I121" s="134"/>
      <c r="J121" s="134"/>
      <c r="K121" s="134"/>
      <c r="L121" s="134"/>
      <c r="M121" s="134"/>
      <c r="N121" s="134"/>
      <c r="O121" s="134"/>
      <c r="P121" s="134"/>
      <c r="Q121" s="134"/>
      <c r="R121" s="39"/>
    </row>
    <row r="122" customFormat="false" ht="15" hidden="false" customHeight="false" outlineLevel="0" collapsed="false">
      <c r="B122" s="39"/>
      <c r="D122" s="138"/>
      <c r="E122" s="138"/>
      <c r="F122" s="138"/>
      <c r="G122" s="138"/>
      <c r="H122" s="138"/>
      <c r="I122" s="138"/>
      <c r="J122" s="36"/>
      <c r="K122" s="36"/>
      <c r="L122" s="36"/>
      <c r="M122" s="36"/>
      <c r="N122" s="36"/>
      <c r="O122" s="36"/>
      <c r="P122" s="36"/>
      <c r="R122" s="39"/>
    </row>
    <row r="123" customFormat="false" ht="24" hidden="false" customHeight="false" outlineLevel="0" collapsed="false">
      <c r="B123" s="39"/>
      <c r="C123" s="139"/>
      <c r="D123" s="140" t="s">
        <v>64</v>
      </c>
      <c r="E123" s="140"/>
      <c r="F123" s="140"/>
      <c r="G123" s="140"/>
      <c r="H123" s="140"/>
      <c r="I123" s="140"/>
      <c r="J123" s="140"/>
      <c r="K123" s="140"/>
      <c r="L123" s="140"/>
      <c r="M123" s="141"/>
      <c r="N123" s="141"/>
      <c r="O123" s="141"/>
      <c r="P123" s="141"/>
      <c r="Q123" s="139"/>
      <c r="R123" s="39"/>
    </row>
    <row r="124" customFormat="false" ht="45.75" hidden="false" customHeight="false" outlineLevel="0" collapsed="false">
      <c r="B124" s="39"/>
      <c r="C124" s="139"/>
      <c r="D124" s="142" t="s">
        <v>36</v>
      </c>
      <c r="E124" s="143" t="s">
        <v>3</v>
      </c>
      <c r="F124" s="142" t="s">
        <v>57</v>
      </c>
      <c r="G124" s="142"/>
      <c r="H124" s="144" t="s">
        <v>65</v>
      </c>
      <c r="I124" s="145" t="s">
        <v>66</v>
      </c>
      <c r="J124" s="143" t="s">
        <v>67</v>
      </c>
      <c r="K124" s="145" t="s">
        <v>68</v>
      </c>
      <c r="L124" s="146" t="s">
        <v>69</v>
      </c>
      <c r="M124" s="147"/>
      <c r="N124" s="147"/>
      <c r="O124" s="147"/>
      <c r="P124" s="147"/>
      <c r="Q124" s="139"/>
      <c r="R124" s="39"/>
    </row>
    <row r="125" customFormat="false" ht="15" hidden="false" customHeight="false" outlineLevel="0" collapsed="false">
      <c r="B125" s="39"/>
      <c r="C125" s="139"/>
      <c r="D125" s="148" t="s">
        <v>16</v>
      </c>
      <c r="E125" s="149" t="s">
        <v>17</v>
      </c>
      <c r="F125" s="150" t="n">
        <f aca="false">(H125*6+I125*3+J125*1+K125*0)</f>
        <v>16.5</v>
      </c>
      <c r="G125" s="150"/>
      <c r="H125" s="190" t="n">
        <v>2.5</v>
      </c>
      <c r="I125" s="190" t="n">
        <v>0.5</v>
      </c>
      <c r="J125" s="191" t="n">
        <v>0</v>
      </c>
      <c r="K125" s="191" t="n">
        <v>1</v>
      </c>
      <c r="L125" s="152" t="n">
        <f aca="false">(J89+J98+J107+J116)/4</f>
        <v>87.2108695652174</v>
      </c>
      <c r="M125" s="153"/>
      <c r="N125" s="153"/>
      <c r="O125" s="153"/>
      <c r="P125" s="153"/>
      <c r="Q125" s="139"/>
      <c r="R125" s="39"/>
    </row>
    <row r="126" customFormat="false" ht="15" hidden="false" customHeight="false" outlineLevel="0" collapsed="false">
      <c r="B126" s="39"/>
      <c r="C126" s="139"/>
      <c r="D126" s="154" t="s">
        <v>20</v>
      </c>
      <c r="E126" s="155" t="s">
        <v>21</v>
      </c>
      <c r="F126" s="192" t="n">
        <f aca="false">(H126*6+I126*3+J126*1+K126*0)</f>
        <v>11.5</v>
      </c>
      <c r="G126" s="192"/>
      <c r="H126" s="193" t="n">
        <v>0.5</v>
      </c>
      <c r="I126" s="193" t="n">
        <v>2.5</v>
      </c>
      <c r="J126" s="157" t="n">
        <v>1</v>
      </c>
      <c r="K126" s="157" t="n">
        <v>0</v>
      </c>
      <c r="L126" s="159" t="n">
        <f aca="false">(J91+J100+J109+J118)/4</f>
        <v>81.962077294686</v>
      </c>
      <c r="M126" s="153"/>
      <c r="N126" s="153"/>
      <c r="O126" s="153"/>
      <c r="P126" s="153"/>
      <c r="Q126" s="139"/>
      <c r="R126" s="39"/>
      <c r="T126" s="32"/>
      <c r="U126" s="32"/>
      <c r="V126" s="120"/>
      <c r="W126" s="120"/>
      <c r="X126" s="194"/>
      <c r="Y126" s="194"/>
      <c r="Z126" s="195"/>
      <c r="AA126" s="195"/>
      <c r="AB126" s="195"/>
    </row>
    <row r="127" customFormat="false" ht="15" hidden="false" customHeight="false" outlineLevel="0" collapsed="false">
      <c r="B127" s="39"/>
      <c r="C127" s="139"/>
      <c r="D127" s="154" t="s">
        <v>22</v>
      </c>
      <c r="E127" s="155" t="s">
        <v>23</v>
      </c>
      <c r="F127" s="192" t="n">
        <f aca="false">(H127*6+I127*3+J127*1+K127*0)</f>
        <v>7</v>
      </c>
      <c r="G127" s="192"/>
      <c r="H127" s="157" t="n">
        <v>1</v>
      </c>
      <c r="I127" s="157" t="n">
        <v>0</v>
      </c>
      <c r="J127" s="157" t="n">
        <v>1</v>
      </c>
      <c r="K127" s="157" t="n">
        <v>2</v>
      </c>
      <c r="L127" s="159" t="n">
        <f aca="false">(J92+J101+J110+J119)/4</f>
        <v>61.8326086956522</v>
      </c>
      <c r="M127" s="153"/>
      <c r="N127" s="153"/>
      <c r="O127" s="153"/>
      <c r="P127" s="153"/>
      <c r="Q127" s="139"/>
      <c r="R127" s="39"/>
    </row>
    <row r="128" customFormat="false" ht="15.75" hidden="false" customHeight="false" outlineLevel="0" collapsed="false">
      <c r="B128" s="39"/>
      <c r="C128" s="139"/>
      <c r="D128" s="196" t="s">
        <v>18</v>
      </c>
      <c r="E128" s="197" t="s">
        <v>19</v>
      </c>
      <c r="F128" s="198" t="n">
        <f aca="false">(H128*6+I128*3+J128*1+K128*0)</f>
        <v>5</v>
      </c>
      <c r="G128" s="198"/>
      <c r="H128" s="199" t="n">
        <v>0</v>
      </c>
      <c r="I128" s="199" t="n">
        <v>1</v>
      </c>
      <c r="J128" s="199" t="n">
        <v>2</v>
      </c>
      <c r="K128" s="199" t="n">
        <v>1</v>
      </c>
      <c r="L128" s="200" t="n">
        <f aca="false">(J90+J99+J108+J117)/4</f>
        <v>64.2891304347826</v>
      </c>
      <c r="M128" s="153"/>
      <c r="N128" s="153"/>
      <c r="O128" s="153"/>
      <c r="P128" s="153"/>
      <c r="Q128" s="139"/>
      <c r="R128" s="39"/>
    </row>
    <row r="129" customFormat="false" ht="15" hidden="false" customHeight="false" outlineLevel="0" collapsed="false">
      <c r="B129" s="39"/>
      <c r="C129" s="139"/>
      <c r="D129" s="168"/>
      <c r="E129" s="168"/>
      <c r="F129" s="153"/>
      <c r="G129" s="153"/>
      <c r="H129" s="153"/>
      <c r="I129" s="153"/>
      <c r="J129" s="153"/>
      <c r="K129" s="153"/>
      <c r="L129" s="153"/>
      <c r="M129" s="153"/>
      <c r="N129" s="153"/>
      <c r="O129" s="153"/>
      <c r="P129" s="153"/>
      <c r="Q129" s="139"/>
      <c r="R129" s="39"/>
    </row>
    <row r="130" customFormat="false" ht="15" hidden="false" customHeight="true" outlineLevel="0" collapsed="false">
      <c r="B130" s="39"/>
      <c r="C130" s="39"/>
      <c r="D130" s="169"/>
      <c r="E130" s="169"/>
      <c r="F130" s="129"/>
      <c r="G130" s="129"/>
      <c r="H130" s="169"/>
      <c r="I130" s="169"/>
      <c r="J130" s="131"/>
      <c r="K130" s="131"/>
      <c r="L130" s="131"/>
      <c r="M130" s="131"/>
      <c r="N130" s="131"/>
      <c r="O130" s="131"/>
      <c r="P130" s="131"/>
      <c r="Q130" s="39"/>
      <c r="R130" s="39"/>
    </row>
    <row r="133" customFormat="false" ht="15" hidden="false" customHeight="false" outlineLevel="0" collapsed="false">
      <c r="B133" s="39"/>
      <c r="C133" s="39"/>
      <c r="D133" s="40"/>
      <c r="E133" s="40"/>
      <c r="F133" s="40"/>
      <c r="G133" s="40"/>
      <c r="H133" s="39"/>
      <c r="I133" s="39"/>
      <c r="J133" s="39"/>
      <c r="K133" s="39"/>
      <c r="L133" s="39"/>
      <c r="M133" s="39"/>
      <c r="N133" s="39"/>
      <c r="O133" s="39"/>
      <c r="P133" s="39"/>
      <c r="Q133" s="39"/>
      <c r="R133" s="39"/>
    </row>
    <row r="134" customFormat="false" ht="31.5" hidden="false" customHeight="false" outlineLevel="0" collapsed="false">
      <c r="B134" s="39"/>
      <c r="C134" s="41"/>
      <c r="D134" s="172" t="s">
        <v>79</v>
      </c>
      <c r="E134" s="172"/>
      <c r="F134" s="172"/>
      <c r="G134" s="172"/>
      <c r="H134" s="172"/>
      <c r="I134" s="172"/>
      <c r="J134" s="172"/>
      <c r="K134" s="172"/>
      <c r="L134" s="172"/>
      <c r="M134" s="42"/>
      <c r="N134" s="42"/>
      <c r="O134" s="42"/>
      <c r="P134" s="42"/>
      <c r="Q134" s="41"/>
      <c r="R134" s="39"/>
    </row>
    <row r="135" customFormat="false" ht="15.75" hidden="false" customHeight="false" outlineLevel="0" collapsed="false">
      <c r="B135" s="39"/>
      <c r="D135" s="36"/>
      <c r="E135" s="36"/>
      <c r="R135" s="39"/>
    </row>
    <row r="136" customFormat="false" ht="15.75" hidden="false" customHeight="true" outlineLevel="0" collapsed="false">
      <c r="B136" s="39"/>
      <c r="D136" s="43" t="s">
        <v>36</v>
      </c>
      <c r="E136" s="79" t="s">
        <v>3</v>
      </c>
      <c r="F136" s="45" t="s">
        <v>37</v>
      </c>
      <c r="G136" s="45"/>
      <c r="H136" s="46" t="s">
        <v>38</v>
      </c>
      <c r="I136" s="46"/>
      <c r="J136" s="46" t="s">
        <v>71</v>
      </c>
      <c r="K136" s="47" t="s">
        <v>40</v>
      </c>
      <c r="L136" s="47"/>
      <c r="M136" s="48"/>
      <c r="N136" s="48"/>
      <c r="O136" s="48"/>
      <c r="P136" s="48"/>
      <c r="R136" s="39"/>
    </row>
    <row r="137" customFormat="false" ht="15.75" hidden="false" customHeight="false" outlineLevel="0" collapsed="false">
      <c r="B137" s="39"/>
      <c r="D137" s="43"/>
      <c r="E137" s="79"/>
      <c r="F137" s="45"/>
      <c r="G137" s="45"/>
      <c r="H137" s="4" t="s">
        <v>41</v>
      </c>
      <c r="I137" s="49" t="s">
        <v>42</v>
      </c>
      <c r="J137" s="4" t="s">
        <v>43</v>
      </c>
      <c r="K137" s="49" t="s">
        <v>44</v>
      </c>
      <c r="L137" s="49" t="s">
        <v>42</v>
      </c>
      <c r="M137" s="51"/>
      <c r="N137" s="51"/>
      <c r="O137" s="51"/>
      <c r="P137" s="51"/>
      <c r="R137" s="39"/>
    </row>
    <row r="138" customFormat="false" ht="30" hidden="false" customHeight="false" outlineLevel="0" collapsed="false">
      <c r="B138" s="39"/>
      <c r="D138" s="52" t="s">
        <v>24</v>
      </c>
      <c r="E138" s="53" t="s">
        <v>25</v>
      </c>
      <c r="F138" s="54" t="n">
        <v>1</v>
      </c>
      <c r="G138" s="54"/>
      <c r="H138" s="201" t="s">
        <v>73</v>
      </c>
      <c r="I138" s="202" t="s">
        <v>80</v>
      </c>
      <c r="J138" s="203" t="s">
        <v>81</v>
      </c>
      <c r="K138" s="58" t="s">
        <v>46</v>
      </c>
      <c r="L138" s="173" t="s">
        <v>46</v>
      </c>
      <c r="M138" s="36"/>
      <c r="N138" s="36"/>
      <c r="O138" s="36"/>
      <c r="P138" s="36"/>
      <c r="R138" s="39"/>
    </row>
    <row r="139" customFormat="false" ht="60" hidden="false" customHeight="false" outlineLevel="0" collapsed="false">
      <c r="B139" s="39"/>
      <c r="D139" s="60" t="s">
        <v>27</v>
      </c>
      <c r="E139" s="61" t="s">
        <v>28</v>
      </c>
      <c r="F139" s="62" t="n">
        <v>2</v>
      </c>
      <c r="G139" s="62"/>
      <c r="H139" s="63" t="s">
        <v>82</v>
      </c>
      <c r="I139" s="178" t="s">
        <v>83</v>
      </c>
      <c r="J139" s="204" t="s">
        <v>81</v>
      </c>
      <c r="K139" s="66" t="s">
        <v>46</v>
      </c>
      <c r="L139" s="176" t="s">
        <v>46</v>
      </c>
      <c r="M139" s="36"/>
      <c r="N139" s="36"/>
      <c r="O139" s="36"/>
      <c r="P139" s="36"/>
      <c r="R139" s="39"/>
    </row>
    <row r="140" customFormat="false" ht="30" hidden="false" customHeight="false" outlineLevel="0" collapsed="false">
      <c r="B140" s="39"/>
      <c r="D140" s="60" t="s">
        <v>29</v>
      </c>
      <c r="E140" s="61" t="s">
        <v>30</v>
      </c>
      <c r="F140" s="62" t="n">
        <v>3</v>
      </c>
      <c r="G140" s="62"/>
      <c r="H140" s="67" t="s">
        <v>81</v>
      </c>
      <c r="I140" s="178" t="s">
        <v>84</v>
      </c>
      <c r="J140" s="205" t="s">
        <v>45</v>
      </c>
      <c r="K140" s="206" t="s">
        <v>85</v>
      </c>
      <c r="L140" s="176" t="s">
        <v>86</v>
      </c>
      <c r="M140" s="36"/>
      <c r="N140" s="36"/>
      <c r="O140" s="36"/>
      <c r="P140" s="36"/>
      <c r="R140" s="39"/>
    </row>
    <row r="141" customFormat="false" ht="30.75" hidden="false" customHeight="false" outlineLevel="0" collapsed="false">
      <c r="B141" s="39"/>
      <c r="D141" s="69" t="s">
        <v>31</v>
      </c>
      <c r="E141" s="70" t="s">
        <v>32</v>
      </c>
      <c r="F141" s="71" t="n">
        <v>4</v>
      </c>
      <c r="G141" s="71"/>
      <c r="H141" s="72" t="s">
        <v>45</v>
      </c>
      <c r="I141" s="179" t="s">
        <v>87</v>
      </c>
      <c r="J141" s="207" t="s">
        <v>81</v>
      </c>
      <c r="K141" s="75" t="s">
        <v>46</v>
      </c>
      <c r="L141" s="208" t="s">
        <v>46</v>
      </c>
      <c r="M141" s="36"/>
      <c r="N141" s="36"/>
      <c r="O141" s="36"/>
      <c r="P141" s="36"/>
      <c r="R141" s="39"/>
    </row>
    <row r="142" customFormat="false" ht="15" hidden="false" customHeight="false" outlineLevel="0" collapsed="false">
      <c r="B142" s="39"/>
      <c r="D142" s="36"/>
      <c r="E142" s="36"/>
      <c r="R142" s="39"/>
    </row>
    <row r="143" customFormat="false" ht="15.75" hidden="false" customHeight="false" outlineLevel="0" collapsed="false">
      <c r="B143" s="39"/>
      <c r="C143" s="76"/>
      <c r="D143" s="77" t="str">
        <f aca="false">IF(OR(K138="-",K138= ""),H138,K138)</f>
        <v>Die Burgen von 
Burgund</v>
      </c>
      <c r="E143" s="77"/>
      <c r="F143" s="77"/>
      <c r="G143" s="77"/>
      <c r="H143" s="77"/>
      <c r="I143" s="77"/>
      <c r="J143" s="77"/>
      <c r="K143" s="77"/>
      <c r="L143" s="77"/>
      <c r="M143" s="78"/>
      <c r="N143" s="78"/>
      <c r="O143" s="78"/>
      <c r="P143" s="78"/>
      <c r="Q143" s="76"/>
      <c r="R143" s="39"/>
    </row>
    <row r="144" customFormat="false" ht="30.75" hidden="false" customHeight="false" outlineLevel="0" collapsed="false">
      <c r="B144" s="39"/>
      <c r="C144" s="76"/>
      <c r="D144" s="43" t="s">
        <v>36</v>
      </c>
      <c r="E144" s="79" t="s">
        <v>3</v>
      </c>
      <c r="F144" s="45" t="s">
        <v>52</v>
      </c>
      <c r="G144" s="45"/>
      <c r="H144" s="79" t="s">
        <v>53</v>
      </c>
      <c r="I144" s="80" t="s">
        <v>54</v>
      </c>
      <c r="J144" s="81" t="s">
        <v>55</v>
      </c>
      <c r="K144" s="82" t="s">
        <v>56</v>
      </c>
      <c r="L144" s="79" t="s">
        <v>57</v>
      </c>
      <c r="M144" s="43" t="s">
        <v>58</v>
      </c>
      <c r="N144" s="79" t="s">
        <v>59</v>
      </c>
      <c r="O144" s="79" t="s">
        <v>60</v>
      </c>
      <c r="P144" s="82" t="s">
        <v>61</v>
      </c>
      <c r="Q144" s="76"/>
      <c r="R144" s="39"/>
    </row>
    <row r="145" customFormat="false" ht="15" hidden="false" customHeight="false" outlineLevel="0" collapsed="false">
      <c r="B145" s="39"/>
      <c r="C145" s="76"/>
      <c r="D145" s="52" t="s">
        <v>24</v>
      </c>
      <c r="E145" s="53" t="s">
        <v>25</v>
      </c>
      <c r="F145" s="11" t="n">
        <v>1</v>
      </c>
      <c r="G145" s="11"/>
      <c r="H145" s="11" t="n">
        <v>212</v>
      </c>
      <c r="I145" s="11" t="s">
        <v>46</v>
      </c>
      <c r="J145" s="83" t="n">
        <f aca="false">IF(H145="",0,(H145/H149)*100)</f>
        <v>92.1739130434783</v>
      </c>
      <c r="K145" s="54" t="n">
        <v>3</v>
      </c>
      <c r="L145" s="84" t="n">
        <v>1</v>
      </c>
      <c r="M145" s="85" t="n">
        <f aca="false">IF(K145=1,1,0)</f>
        <v>0</v>
      </c>
      <c r="N145" s="85" t="n">
        <f aca="false">IF(K145=2,1,0)</f>
        <v>0</v>
      </c>
      <c r="O145" s="85" t="n">
        <f aca="false">IF(K145=3,1,0)</f>
        <v>1</v>
      </c>
      <c r="P145" s="85" t="n">
        <f aca="false">IF(K145=4,1,0)</f>
        <v>0</v>
      </c>
      <c r="Q145" s="76"/>
      <c r="R145" s="39"/>
    </row>
    <row r="146" customFormat="false" ht="15" hidden="false" customHeight="false" outlineLevel="0" collapsed="false">
      <c r="B146" s="39"/>
      <c r="C146" s="76"/>
      <c r="D146" s="60" t="s">
        <v>27</v>
      </c>
      <c r="E146" s="61" t="s">
        <v>28</v>
      </c>
      <c r="F146" s="18" t="n">
        <v>3</v>
      </c>
      <c r="G146" s="18"/>
      <c r="H146" s="18" t="n">
        <v>220</v>
      </c>
      <c r="I146" s="18" t="s">
        <v>46</v>
      </c>
      <c r="J146" s="86" t="n">
        <f aca="false">IF(H146="",0,(H146/H149)*100)</f>
        <v>95.6521739130435</v>
      </c>
      <c r="K146" s="62" t="n">
        <v>2</v>
      </c>
      <c r="L146" s="87" t="n">
        <v>3</v>
      </c>
      <c r="M146" s="88" t="n">
        <f aca="false">IF(K146=1,1,0)</f>
        <v>0</v>
      </c>
      <c r="N146" s="88" t="n">
        <f aca="false">IF(K146=2,1,0)</f>
        <v>1</v>
      </c>
      <c r="O146" s="88" t="n">
        <f aca="false">IF(K146=3,1,0)</f>
        <v>0</v>
      </c>
      <c r="P146" s="88" t="n">
        <f aca="false">IF(K146=4,1,0)</f>
        <v>0</v>
      </c>
      <c r="Q146" s="76"/>
      <c r="R146" s="39"/>
    </row>
    <row r="147" customFormat="false" ht="15" hidden="false" customHeight="false" outlineLevel="0" collapsed="false">
      <c r="B147" s="39"/>
      <c r="C147" s="76"/>
      <c r="D147" s="110" t="s">
        <v>29</v>
      </c>
      <c r="E147" s="111" t="s">
        <v>30</v>
      </c>
      <c r="F147" s="112" t="n">
        <v>4</v>
      </c>
      <c r="G147" s="112"/>
      <c r="H147" s="112" t="n">
        <v>230</v>
      </c>
      <c r="I147" s="112" t="s">
        <v>46</v>
      </c>
      <c r="J147" s="113" t="n">
        <f aca="false">IF(H147="",0,(H147/H149)*100)</f>
        <v>100</v>
      </c>
      <c r="K147" s="114" t="n">
        <v>1</v>
      </c>
      <c r="L147" s="115" t="n">
        <v>6</v>
      </c>
      <c r="M147" s="88" t="n">
        <f aca="false">IF(K147=1,1,0)</f>
        <v>1</v>
      </c>
      <c r="N147" s="88" t="n">
        <f aca="false">IF(K147=2,1,0)</f>
        <v>0</v>
      </c>
      <c r="O147" s="88" t="n">
        <f aca="false">IF(K147=3,1,0)</f>
        <v>0</v>
      </c>
      <c r="P147" s="88" t="n">
        <f aca="false">IF(K147=4,1,0)</f>
        <v>0</v>
      </c>
      <c r="Q147" s="76"/>
      <c r="R147" s="39"/>
    </row>
    <row r="148" customFormat="false" ht="15.75" hidden="false" customHeight="false" outlineLevel="0" collapsed="false">
      <c r="B148" s="39"/>
      <c r="C148" s="76"/>
      <c r="D148" s="69" t="s">
        <v>31</v>
      </c>
      <c r="E148" s="70" t="s">
        <v>32</v>
      </c>
      <c r="F148" s="186" t="n">
        <v>2</v>
      </c>
      <c r="G148" s="186"/>
      <c r="H148" s="186" t="n">
        <v>202</v>
      </c>
      <c r="I148" s="186" t="s">
        <v>46</v>
      </c>
      <c r="J148" s="116" t="n">
        <f aca="false">IF(H148="",0,(H148/H149)*100)</f>
        <v>87.8260869565218</v>
      </c>
      <c r="K148" s="187" t="n">
        <v>4</v>
      </c>
      <c r="L148" s="188" t="n">
        <v>0</v>
      </c>
      <c r="M148" s="95" t="n">
        <f aca="false">IF(K148=1,1,0)</f>
        <v>0</v>
      </c>
      <c r="N148" s="95" t="n">
        <f aca="false">IF(K148=2,1,0)</f>
        <v>0</v>
      </c>
      <c r="O148" s="95" t="n">
        <f aca="false">IF(K148=3,1,0)</f>
        <v>0</v>
      </c>
      <c r="P148" s="95" t="n">
        <f aca="false">IF(K148=4,1,0)</f>
        <v>1</v>
      </c>
      <c r="Q148" s="76"/>
      <c r="R148" s="39"/>
    </row>
    <row r="149" customFormat="false" ht="15.75" hidden="true" customHeight="false" outlineLevel="1" collapsed="false">
      <c r="B149" s="39"/>
      <c r="C149" s="76"/>
      <c r="D149" s="166"/>
      <c r="E149" s="166"/>
      <c r="F149" s="118" t="s">
        <v>62</v>
      </c>
      <c r="G149" s="118"/>
      <c r="H149" s="119" t="n">
        <f aca="false">MAX(H145:H148)</f>
        <v>230</v>
      </c>
      <c r="I149" s="167"/>
      <c r="J149" s="189"/>
      <c r="K149" s="167"/>
      <c r="L149" s="122" t="s">
        <v>63</v>
      </c>
      <c r="M149" s="102" t="n">
        <f aca="false">SUM(M145:M148)</f>
        <v>1</v>
      </c>
      <c r="N149" s="103" t="n">
        <f aca="false">SUM(N145:N148)</f>
        <v>1</v>
      </c>
      <c r="O149" s="102" t="n">
        <f aca="false">SUM(O145:O148)</f>
        <v>1</v>
      </c>
      <c r="P149" s="104" t="n">
        <f aca="false">SUM(P145:P148)</f>
        <v>1</v>
      </c>
      <c r="Q149" s="76"/>
      <c r="R149" s="39"/>
    </row>
    <row r="150" customFormat="false" ht="15" hidden="false" customHeight="false" outlineLevel="0" collapsed="false">
      <c r="B150" s="39"/>
      <c r="C150" s="76"/>
      <c r="D150" s="105"/>
      <c r="E150" s="105"/>
      <c r="F150" s="76"/>
      <c r="G150" s="76"/>
      <c r="H150" s="76"/>
      <c r="I150" s="76"/>
      <c r="J150" s="76"/>
      <c r="K150" s="76"/>
      <c r="L150" s="76"/>
      <c r="M150" s="76"/>
      <c r="N150" s="76"/>
      <c r="O150" s="76"/>
      <c r="P150" s="76"/>
      <c r="Q150" s="76"/>
      <c r="R150" s="39"/>
    </row>
    <row r="151" customFormat="false" ht="15" hidden="false" customHeight="false" outlineLevel="0" collapsed="false">
      <c r="B151" s="39"/>
      <c r="R151" s="39"/>
    </row>
    <row r="152" customFormat="false" ht="15.75" hidden="false" customHeight="false" outlineLevel="0" collapsed="false">
      <c r="B152" s="39"/>
      <c r="C152" s="107"/>
      <c r="D152" s="108" t="str">
        <f aca="false">IF(OR(K139="-",K139= ""),H139,K139)</f>
        <v>Sankt Petersburg</v>
      </c>
      <c r="E152" s="108"/>
      <c r="F152" s="108"/>
      <c r="G152" s="108"/>
      <c r="H152" s="108"/>
      <c r="I152" s="108"/>
      <c r="J152" s="108"/>
      <c r="K152" s="108"/>
      <c r="L152" s="108"/>
      <c r="M152" s="109"/>
      <c r="N152" s="109"/>
      <c r="O152" s="109"/>
      <c r="P152" s="109"/>
      <c r="Q152" s="107"/>
      <c r="R152" s="39"/>
    </row>
    <row r="153" customFormat="false" ht="30.75" hidden="false" customHeight="false" outlineLevel="0" collapsed="false">
      <c r="B153" s="39"/>
      <c r="C153" s="107"/>
      <c r="D153" s="43" t="s">
        <v>36</v>
      </c>
      <c r="E153" s="79" t="s">
        <v>3</v>
      </c>
      <c r="F153" s="45" t="s">
        <v>52</v>
      </c>
      <c r="G153" s="45"/>
      <c r="H153" s="79" t="s">
        <v>53</v>
      </c>
      <c r="I153" s="80" t="s">
        <v>54</v>
      </c>
      <c r="J153" s="81" t="s">
        <v>55</v>
      </c>
      <c r="K153" s="82" t="s">
        <v>56</v>
      </c>
      <c r="L153" s="79" t="s">
        <v>57</v>
      </c>
      <c r="M153" s="43" t="s">
        <v>58</v>
      </c>
      <c r="N153" s="79" t="s">
        <v>59</v>
      </c>
      <c r="O153" s="79" t="s">
        <v>60</v>
      </c>
      <c r="P153" s="82" t="s">
        <v>61</v>
      </c>
      <c r="Q153" s="107"/>
      <c r="R153" s="39"/>
    </row>
    <row r="154" customFormat="false" ht="15" hidden="false" customHeight="false" outlineLevel="0" collapsed="false">
      <c r="B154" s="39"/>
      <c r="C154" s="107"/>
      <c r="D154" s="52" t="s">
        <v>24</v>
      </c>
      <c r="E154" s="53" t="s">
        <v>25</v>
      </c>
      <c r="F154" s="11" t="n">
        <v>3</v>
      </c>
      <c r="G154" s="11"/>
      <c r="H154" s="11" t="n">
        <v>114</v>
      </c>
      <c r="I154" s="11" t="s">
        <v>46</v>
      </c>
      <c r="J154" s="83" t="n">
        <f aca="false">IF(H154="",0,(H154/H158)*100)</f>
        <v>86.3636363636364</v>
      </c>
      <c r="K154" s="54" t="n">
        <v>3</v>
      </c>
      <c r="L154" s="84" t="n">
        <v>1</v>
      </c>
      <c r="M154" s="85" t="n">
        <f aca="false">IF(K154=1,1,0)</f>
        <v>0</v>
      </c>
      <c r="N154" s="85" t="n">
        <f aca="false">IF(K154=2,1,0)</f>
        <v>0</v>
      </c>
      <c r="O154" s="85" t="n">
        <f aca="false">IF(K154=3,1,0)</f>
        <v>1</v>
      </c>
      <c r="P154" s="85" t="n">
        <f aca="false">IF(K154=4,1,0)</f>
        <v>0</v>
      </c>
      <c r="Q154" s="107"/>
      <c r="R154" s="39"/>
    </row>
    <row r="155" customFormat="false" ht="15" hidden="false" customHeight="false" outlineLevel="0" collapsed="false">
      <c r="B155" s="39"/>
      <c r="C155" s="107"/>
      <c r="D155" s="110" t="s">
        <v>27</v>
      </c>
      <c r="E155" s="111" t="s">
        <v>28</v>
      </c>
      <c r="F155" s="112" t="n">
        <v>2</v>
      </c>
      <c r="G155" s="112"/>
      <c r="H155" s="112" t="n">
        <v>132</v>
      </c>
      <c r="I155" s="112" t="s">
        <v>46</v>
      </c>
      <c r="J155" s="113" t="n">
        <f aca="false">IF(H155="",0,(H155/H158)*100)</f>
        <v>100</v>
      </c>
      <c r="K155" s="114" t="n">
        <v>1</v>
      </c>
      <c r="L155" s="115" t="n">
        <v>6</v>
      </c>
      <c r="M155" s="88" t="n">
        <f aca="false">IF(K155=1,1,0)</f>
        <v>1</v>
      </c>
      <c r="N155" s="88" t="n">
        <f aca="false">IF(K155=2,1,0)</f>
        <v>0</v>
      </c>
      <c r="O155" s="88" t="n">
        <f aca="false">IF(K155=3,1,0)</f>
        <v>0</v>
      </c>
      <c r="P155" s="88" t="n">
        <f aca="false">IF(K155=4,1,0)</f>
        <v>0</v>
      </c>
      <c r="Q155" s="107"/>
      <c r="R155" s="39"/>
    </row>
    <row r="156" customFormat="false" ht="15" hidden="false" customHeight="false" outlineLevel="0" collapsed="false">
      <c r="B156" s="39"/>
      <c r="C156" s="107"/>
      <c r="D156" s="60" t="s">
        <v>29</v>
      </c>
      <c r="E156" s="61" t="s">
        <v>30</v>
      </c>
      <c r="F156" s="18" t="n">
        <v>1</v>
      </c>
      <c r="G156" s="18"/>
      <c r="H156" s="18" t="n">
        <v>111</v>
      </c>
      <c r="I156" s="18" t="s">
        <v>46</v>
      </c>
      <c r="J156" s="86" t="n">
        <f aca="false">IF(H156="",0,(H156/H158)*100)</f>
        <v>84.0909090909091</v>
      </c>
      <c r="K156" s="62" t="n">
        <v>4</v>
      </c>
      <c r="L156" s="87" t="n">
        <v>0</v>
      </c>
      <c r="M156" s="88" t="n">
        <f aca="false">IF(K156=1,1,0)</f>
        <v>0</v>
      </c>
      <c r="N156" s="88" t="n">
        <f aca="false">IF(K156=2,1,0)</f>
        <v>0</v>
      </c>
      <c r="O156" s="88" t="n">
        <f aca="false">IF(K156=3,1,0)</f>
        <v>0</v>
      </c>
      <c r="P156" s="88" t="n">
        <f aca="false">IF(K156=4,1,0)</f>
        <v>1</v>
      </c>
      <c r="Q156" s="107"/>
      <c r="R156" s="39"/>
    </row>
    <row r="157" customFormat="false" ht="15.75" hidden="false" customHeight="false" outlineLevel="0" collapsed="false">
      <c r="B157" s="39"/>
      <c r="C157" s="107"/>
      <c r="D157" s="69" t="s">
        <v>31</v>
      </c>
      <c r="E157" s="70" t="s">
        <v>32</v>
      </c>
      <c r="F157" s="22" t="n">
        <v>4</v>
      </c>
      <c r="G157" s="22"/>
      <c r="H157" s="22" t="n">
        <v>116</v>
      </c>
      <c r="I157" s="22" t="s">
        <v>46</v>
      </c>
      <c r="J157" s="116" t="n">
        <f aca="false">IF(H157="",0,(H157/H158)*100)</f>
        <v>87.8787878787879</v>
      </c>
      <c r="K157" s="71" t="n">
        <v>2</v>
      </c>
      <c r="L157" s="117" t="n">
        <v>3</v>
      </c>
      <c r="M157" s="95" t="n">
        <f aca="false">IF(K157=1,1,0)</f>
        <v>0</v>
      </c>
      <c r="N157" s="95" t="n">
        <f aca="false">IF(K157=2,1,0)</f>
        <v>1</v>
      </c>
      <c r="O157" s="95" t="n">
        <f aca="false">IF(K157=3,1,0)</f>
        <v>0</v>
      </c>
      <c r="P157" s="95" t="n">
        <f aca="false">IF(K157=4,1,0)</f>
        <v>0</v>
      </c>
      <c r="Q157" s="107"/>
      <c r="R157" s="39"/>
    </row>
    <row r="158" customFormat="false" ht="15.75" hidden="true" customHeight="false" outlineLevel="1" collapsed="false">
      <c r="B158" s="39"/>
      <c r="C158" s="107"/>
      <c r="D158" s="32"/>
      <c r="E158" s="32"/>
      <c r="F158" s="118" t="s">
        <v>62</v>
      </c>
      <c r="G158" s="118"/>
      <c r="H158" s="119" t="n">
        <f aca="false">MAX(H154:H157)</f>
        <v>132</v>
      </c>
      <c r="I158" s="120"/>
      <c r="J158" s="121"/>
      <c r="K158" s="120"/>
      <c r="L158" s="122" t="s">
        <v>63</v>
      </c>
      <c r="M158" s="102" t="n">
        <f aca="false">SUM(M154:M157)</f>
        <v>1</v>
      </c>
      <c r="N158" s="103" t="n">
        <f aca="false">SUM(N154:N157)</f>
        <v>1</v>
      </c>
      <c r="O158" s="102" t="n">
        <f aca="false">SUM(O154:O157)</f>
        <v>1</v>
      </c>
      <c r="P158" s="104" t="n">
        <f aca="false">SUM(P154:P157)</f>
        <v>1</v>
      </c>
      <c r="Q158" s="107"/>
      <c r="R158" s="39"/>
    </row>
    <row r="159" customFormat="false" ht="15" hidden="false" customHeight="false" outlineLevel="0" collapsed="false">
      <c r="B159" s="39"/>
      <c r="C159" s="107"/>
      <c r="D159" s="123"/>
      <c r="E159" s="123"/>
      <c r="F159" s="107"/>
      <c r="G159" s="107"/>
      <c r="H159" s="107"/>
      <c r="I159" s="107"/>
      <c r="J159" s="107"/>
      <c r="K159" s="107"/>
      <c r="L159" s="107"/>
      <c r="M159" s="107"/>
      <c r="N159" s="107"/>
      <c r="O159" s="107"/>
      <c r="P159" s="107"/>
      <c r="Q159" s="107"/>
      <c r="R159" s="39"/>
    </row>
    <row r="160" customFormat="false" ht="15" hidden="false" customHeight="false" outlineLevel="0" collapsed="false">
      <c r="B160" s="39"/>
      <c r="D160" s="124"/>
      <c r="E160" s="124"/>
      <c r="F160" s="124"/>
      <c r="G160" s="124"/>
      <c r="H160" s="125"/>
      <c r="I160" s="124"/>
      <c r="J160" s="36"/>
      <c r="K160" s="36"/>
      <c r="L160" s="36"/>
      <c r="M160" s="36"/>
      <c r="N160" s="36"/>
      <c r="O160" s="36"/>
      <c r="P160" s="36"/>
      <c r="R160" s="39"/>
    </row>
    <row r="161" customFormat="false" ht="15" hidden="false" customHeight="true" outlineLevel="0" collapsed="false">
      <c r="B161" s="39"/>
      <c r="C161" s="126"/>
      <c r="D161" s="127" t="str">
        <f aca="false">IF(OR(K140="-",K140= ""),H140,K140)</f>
        <v>Yucata</v>
      </c>
      <c r="E161" s="127"/>
      <c r="F161" s="127"/>
      <c r="G161" s="127"/>
      <c r="H161" s="127"/>
      <c r="I161" s="127"/>
      <c r="J161" s="127"/>
      <c r="K161" s="127"/>
      <c r="L161" s="127"/>
      <c r="M161" s="128"/>
      <c r="N161" s="128"/>
      <c r="O161" s="128"/>
      <c r="P161" s="128"/>
      <c r="Q161" s="126"/>
      <c r="R161" s="129"/>
    </row>
    <row r="162" customFormat="false" ht="30.75" hidden="false" customHeight="false" outlineLevel="0" collapsed="false">
      <c r="B162" s="39"/>
      <c r="C162" s="126"/>
      <c r="D162" s="43" t="s">
        <v>36</v>
      </c>
      <c r="E162" s="79" t="s">
        <v>3</v>
      </c>
      <c r="F162" s="45" t="s">
        <v>52</v>
      </c>
      <c r="G162" s="45"/>
      <c r="H162" s="79" t="s">
        <v>53</v>
      </c>
      <c r="I162" s="80" t="s">
        <v>54</v>
      </c>
      <c r="J162" s="81" t="s">
        <v>55</v>
      </c>
      <c r="K162" s="82" t="s">
        <v>56</v>
      </c>
      <c r="L162" s="79" t="s">
        <v>57</v>
      </c>
      <c r="M162" s="43" t="s">
        <v>58</v>
      </c>
      <c r="N162" s="79" t="s">
        <v>59</v>
      </c>
      <c r="O162" s="79" t="s">
        <v>60</v>
      </c>
      <c r="P162" s="82" t="s">
        <v>61</v>
      </c>
      <c r="Q162" s="126"/>
      <c r="R162" s="129"/>
    </row>
    <row r="163" customFormat="false" ht="15" hidden="false" customHeight="false" outlineLevel="0" collapsed="false">
      <c r="B163" s="39"/>
      <c r="C163" s="126"/>
      <c r="D163" s="52" t="s">
        <v>24</v>
      </c>
      <c r="E163" s="53" t="s">
        <v>25</v>
      </c>
      <c r="F163" s="11" t="n">
        <v>2</v>
      </c>
      <c r="G163" s="11"/>
      <c r="H163" s="11" t="n">
        <v>0</v>
      </c>
      <c r="I163" s="11" t="s">
        <v>46</v>
      </c>
      <c r="J163" s="83" t="n">
        <f aca="false">IF(H163="",0,(H163/H167)*100)</f>
        <v>0</v>
      </c>
      <c r="K163" s="54" t="n">
        <v>3</v>
      </c>
      <c r="L163" s="84" t="n">
        <v>0.5</v>
      </c>
      <c r="M163" s="85" t="n">
        <f aca="false">IF(K163=1,1,0)</f>
        <v>0</v>
      </c>
      <c r="N163" s="85" t="n">
        <f aca="false">IF(K163=2,1,0)</f>
        <v>0</v>
      </c>
      <c r="O163" s="85" t="n">
        <f aca="false">IF(K163=3,1,0)</f>
        <v>1</v>
      </c>
      <c r="P163" s="85" t="n">
        <f aca="false">IF(K163=4,1,0)</f>
        <v>0</v>
      </c>
      <c r="Q163" s="126"/>
      <c r="R163" s="131"/>
    </row>
    <row r="164" customFormat="false" ht="15" hidden="false" customHeight="false" outlineLevel="0" collapsed="false">
      <c r="B164" s="39"/>
      <c r="C164" s="126"/>
      <c r="D164" s="60" t="s">
        <v>27</v>
      </c>
      <c r="E164" s="61" t="s">
        <v>28</v>
      </c>
      <c r="F164" s="18" t="n">
        <v>4</v>
      </c>
      <c r="G164" s="18"/>
      <c r="H164" s="18" t="n">
        <v>0</v>
      </c>
      <c r="I164" s="18" t="s">
        <v>46</v>
      </c>
      <c r="J164" s="86" t="n">
        <f aca="false">IF(H164="",0,(H164/H167)*100)</f>
        <v>0</v>
      </c>
      <c r="K164" s="62" t="n">
        <v>3</v>
      </c>
      <c r="L164" s="87" t="n">
        <v>0.5</v>
      </c>
      <c r="M164" s="88" t="n">
        <f aca="false">IF(K164=1,1,0)</f>
        <v>0</v>
      </c>
      <c r="N164" s="88" t="n">
        <f aca="false">IF(K164=2,1,0)</f>
        <v>0</v>
      </c>
      <c r="O164" s="88" t="n">
        <f aca="false">IF(K164=3,1,0)</f>
        <v>1</v>
      </c>
      <c r="P164" s="88" t="n">
        <f aca="false">IF(K164=4,1,0)</f>
        <v>0</v>
      </c>
      <c r="Q164" s="126"/>
      <c r="R164" s="132"/>
    </row>
    <row r="165" customFormat="false" ht="15" hidden="false" customHeight="false" outlineLevel="0" collapsed="false">
      <c r="B165" s="39"/>
      <c r="C165" s="126"/>
      <c r="D165" s="110" t="s">
        <v>29</v>
      </c>
      <c r="E165" s="111" t="s">
        <v>30</v>
      </c>
      <c r="F165" s="112" t="n">
        <v>1</v>
      </c>
      <c r="G165" s="112"/>
      <c r="H165" s="112" t="n">
        <v>6</v>
      </c>
      <c r="I165" s="112" t="s">
        <v>46</v>
      </c>
      <c r="J165" s="113" t="n">
        <f aca="false">IF(H165="",0,(H165/H167)*100)</f>
        <v>100</v>
      </c>
      <c r="K165" s="114" t="n">
        <v>1</v>
      </c>
      <c r="L165" s="115" t="n">
        <v>6</v>
      </c>
      <c r="M165" s="88" t="n">
        <f aca="false">IF(K165=1,1,0)</f>
        <v>1</v>
      </c>
      <c r="N165" s="88" t="n">
        <f aca="false">IF(K165=2,1,0)</f>
        <v>0</v>
      </c>
      <c r="O165" s="88" t="n">
        <f aca="false">IF(K165=3,1,0)</f>
        <v>0</v>
      </c>
      <c r="P165" s="88" t="n">
        <f aca="false">IF(K165=4,1,0)</f>
        <v>0</v>
      </c>
      <c r="Q165" s="126"/>
      <c r="R165" s="132"/>
    </row>
    <row r="166" customFormat="false" ht="15.75" hidden="false" customHeight="false" outlineLevel="0" collapsed="false">
      <c r="B166" s="39"/>
      <c r="C166" s="126"/>
      <c r="D166" s="69" t="s">
        <v>31</v>
      </c>
      <c r="E166" s="70" t="s">
        <v>32</v>
      </c>
      <c r="F166" s="22" t="n">
        <v>3</v>
      </c>
      <c r="G166" s="22"/>
      <c r="H166" s="22" t="n">
        <v>2</v>
      </c>
      <c r="I166" s="22" t="s">
        <v>46</v>
      </c>
      <c r="J166" s="116" t="n">
        <f aca="false">IF(H166="",0,(H166/H167)*100)</f>
        <v>33.3333333333333</v>
      </c>
      <c r="K166" s="71" t="n">
        <v>2</v>
      </c>
      <c r="L166" s="117" t="n">
        <v>3</v>
      </c>
      <c r="M166" s="95" t="n">
        <f aca="false">IF(K166=1,1,0)</f>
        <v>0</v>
      </c>
      <c r="N166" s="95" t="n">
        <f aca="false">IF(K166=2,1,0)</f>
        <v>1</v>
      </c>
      <c r="O166" s="95" t="n">
        <f aca="false">IF(K166=3,1,0)</f>
        <v>0</v>
      </c>
      <c r="P166" s="95" t="n">
        <f aca="false">IF(K166=4,1,0)</f>
        <v>0</v>
      </c>
      <c r="Q166" s="126"/>
      <c r="R166" s="132"/>
    </row>
    <row r="167" customFormat="false" ht="15.75" hidden="true" customHeight="false" outlineLevel="1" collapsed="false">
      <c r="B167" s="39"/>
      <c r="C167" s="126"/>
      <c r="D167" s="32"/>
      <c r="E167" s="32"/>
      <c r="F167" s="118" t="s">
        <v>62</v>
      </c>
      <c r="G167" s="118"/>
      <c r="H167" s="119" t="n">
        <f aca="false">MAX(H163:H166)</f>
        <v>6</v>
      </c>
      <c r="I167" s="120"/>
      <c r="J167" s="121"/>
      <c r="K167" s="120"/>
      <c r="L167" s="122" t="s">
        <v>63</v>
      </c>
      <c r="M167" s="102" t="n">
        <f aca="false">SUM(M163:M166)</f>
        <v>1</v>
      </c>
      <c r="N167" s="103" t="n">
        <f aca="false">SUM(N163:N166)</f>
        <v>1</v>
      </c>
      <c r="O167" s="102" t="n">
        <f aca="false">SUM(O163:O166)</f>
        <v>2</v>
      </c>
      <c r="P167" s="104" t="n">
        <f aca="false">SUM(P163:P166)</f>
        <v>0</v>
      </c>
      <c r="Q167" s="126"/>
      <c r="R167" s="132"/>
    </row>
    <row r="168" customFormat="false" ht="15" hidden="false" customHeight="false" outlineLevel="0" collapsed="false">
      <c r="B168" s="39"/>
      <c r="C168" s="126"/>
      <c r="D168" s="133"/>
      <c r="E168" s="133"/>
      <c r="F168" s="126"/>
      <c r="G168" s="126"/>
      <c r="H168" s="126"/>
      <c r="I168" s="126"/>
      <c r="J168" s="126"/>
      <c r="K168" s="126"/>
      <c r="L168" s="126"/>
      <c r="M168" s="126"/>
      <c r="N168" s="126"/>
      <c r="O168" s="126"/>
      <c r="P168" s="126"/>
      <c r="Q168" s="126"/>
      <c r="R168" s="132"/>
    </row>
    <row r="169" customFormat="false" ht="15" hidden="false" customHeight="false" outlineLevel="0" collapsed="false">
      <c r="B169" s="39"/>
      <c r="D169" s="124"/>
      <c r="E169" s="124"/>
      <c r="F169" s="124"/>
      <c r="G169" s="124"/>
      <c r="H169" s="125"/>
      <c r="I169" s="124"/>
      <c r="J169" s="124"/>
      <c r="K169" s="36"/>
      <c r="L169" s="36"/>
      <c r="M169" s="36"/>
      <c r="N169" s="36"/>
      <c r="O169" s="36"/>
      <c r="P169" s="36"/>
      <c r="R169" s="131"/>
    </row>
    <row r="170" customFormat="false" ht="15.75" hidden="false" customHeight="false" outlineLevel="0" collapsed="false">
      <c r="B170" s="39"/>
      <c r="C170" s="134"/>
      <c r="D170" s="135" t="str">
        <f aca="false">IF(OR(K141="-",K141= ""),H141,K141)</f>
        <v>Brügge</v>
      </c>
      <c r="E170" s="135"/>
      <c r="F170" s="135"/>
      <c r="G170" s="135"/>
      <c r="H170" s="135"/>
      <c r="I170" s="135"/>
      <c r="J170" s="135"/>
      <c r="K170" s="135"/>
      <c r="L170" s="135"/>
      <c r="M170" s="136"/>
      <c r="N170" s="136"/>
      <c r="O170" s="136"/>
      <c r="P170" s="136"/>
      <c r="Q170" s="134"/>
      <c r="R170" s="39"/>
    </row>
    <row r="171" customFormat="false" ht="30.75" hidden="false" customHeight="false" outlineLevel="0" collapsed="false">
      <c r="B171" s="39"/>
      <c r="C171" s="134"/>
      <c r="D171" s="43" t="s">
        <v>36</v>
      </c>
      <c r="E171" s="79" t="s">
        <v>3</v>
      </c>
      <c r="F171" s="45" t="s">
        <v>52</v>
      </c>
      <c r="G171" s="45"/>
      <c r="H171" s="79" t="s">
        <v>53</v>
      </c>
      <c r="I171" s="80" t="s">
        <v>54</v>
      </c>
      <c r="J171" s="81" t="s">
        <v>55</v>
      </c>
      <c r="K171" s="82" t="s">
        <v>56</v>
      </c>
      <c r="L171" s="79" t="s">
        <v>57</v>
      </c>
      <c r="M171" s="43" t="s">
        <v>58</v>
      </c>
      <c r="N171" s="79" t="s">
        <v>59</v>
      </c>
      <c r="O171" s="79" t="s">
        <v>60</v>
      </c>
      <c r="P171" s="82" t="s">
        <v>61</v>
      </c>
      <c r="Q171" s="134"/>
      <c r="R171" s="39"/>
    </row>
    <row r="172" customFormat="false" ht="15" hidden="false" customHeight="false" outlineLevel="0" collapsed="false">
      <c r="B172" s="39"/>
      <c r="C172" s="134"/>
      <c r="D172" s="180" t="s">
        <v>24</v>
      </c>
      <c r="E172" s="181" t="s">
        <v>25</v>
      </c>
      <c r="F172" s="182" t="n">
        <v>2</v>
      </c>
      <c r="G172" s="182"/>
      <c r="H172" s="182" t="n">
        <v>58</v>
      </c>
      <c r="I172" s="182" t="s">
        <v>46</v>
      </c>
      <c r="J172" s="183" t="n">
        <f aca="false">IF(H172="",0,(H172/H176)*100)</f>
        <v>100</v>
      </c>
      <c r="K172" s="184" t="n">
        <v>1</v>
      </c>
      <c r="L172" s="185" t="n">
        <v>6</v>
      </c>
      <c r="M172" s="85" t="n">
        <f aca="false">IF(K172=1,1,0)</f>
        <v>1</v>
      </c>
      <c r="N172" s="85" t="n">
        <f aca="false">IF(K172=2,1,0)</f>
        <v>0</v>
      </c>
      <c r="O172" s="85" t="n">
        <f aca="false">IF(K172=3,1,0)</f>
        <v>0</v>
      </c>
      <c r="P172" s="85" t="n">
        <f aca="false">IF(K172=4,1,0)</f>
        <v>0</v>
      </c>
      <c r="Q172" s="134"/>
      <c r="R172" s="39"/>
    </row>
    <row r="173" customFormat="false" ht="15" hidden="false" customHeight="false" outlineLevel="0" collapsed="false">
      <c r="B173" s="39"/>
      <c r="C173" s="134"/>
      <c r="D173" s="60" t="s">
        <v>27</v>
      </c>
      <c r="E173" s="61" t="s">
        <v>28</v>
      </c>
      <c r="F173" s="18" t="n">
        <v>1</v>
      </c>
      <c r="G173" s="18"/>
      <c r="H173" s="18" t="n">
        <v>43</v>
      </c>
      <c r="I173" s="18" t="s">
        <v>46</v>
      </c>
      <c r="J173" s="86" t="n">
        <f aca="false">IF(H173="",0,(H173/H176)*100)</f>
        <v>74.1379310344828</v>
      </c>
      <c r="K173" s="62" t="n">
        <v>2</v>
      </c>
      <c r="L173" s="87" t="n">
        <v>3</v>
      </c>
      <c r="M173" s="88" t="n">
        <f aca="false">IF(K173=1,1,0)</f>
        <v>0</v>
      </c>
      <c r="N173" s="88" t="n">
        <f aca="false">IF(K173=2,1,0)</f>
        <v>1</v>
      </c>
      <c r="O173" s="88" t="n">
        <f aca="false">IF(K173=3,1,0)</f>
        <v>0</v>
      </c>
      <c r="P173" s="88" t="n">
        <f aca="false">IF(K173=4,1,0)</f>
        <v>0</v>
      </c>
      <c r="Q173" s="134"/>
      <c r="R173" s="39"/>
    </row>
    <row r="174" customFormat="false" ht="15" hidden="false" customHeight="false" outlineLevel="0" collapsed="false">
      <c r="B174" s="39"/>
      <c r="C174" s="134"/>
      <c r="D174" s="60" t="s">
        <v>29</v>
      </c>
      <c r="E174" s="61" t="s">
        <v>30</v>
      </c>
      <c r="F174" s="18" t="n">
        <v>3</v>
      </c>
      <c r="G174" s="18"/>
      <c r="H174" s="18" t="n">
        <v>40</v>
      </c>
      <c r="I174" s="18" t="s">
        <v>46</v>
      </c>
      <c r="J174" s="86" t="n">
        <f aca="false">IF(H174="",0,(H174/H176)*100)</f>
        <v>68.9655172413793</v>
      </c>
      <c r="K174" s="62" t="n">
        <v>3</v>
      </c>
      <c r="L174" s="87" t="n">
        <v>1</v>
      </c>
      <c r="M174" s="88" t="n">
        <f aca="false">IF(K174=1,1,0)</f>
        <v>0</v>
      </c>
      <c r="N174" s="88" t="n">
        <f aca="false">IF(K174=2,1,0)</f>
        <v>0</v>
      </c>
      <c r="O174" s="88" t="n">
        <f aca="false">IF(K174=3,1,0)</f>
        <v>1</v>
      </c>
      <c r="P174" s="88" t="n">
        <f aca="false">IF(K174=4,1,0)</f>
        <v>0</v>
      </c>
      <c r="Q174" s="134"/>
      <c r="R174" s="39"/>
    </row>
    <row r="175" customFormat="false" ht="15.75" hidden="false" customHeight="false" outlineLevel="0" collapsed="false">
      <c r="B175" s="39"/>
      <c r="C175" s="134"/>
      <c r="D175" s="69" t="s">
        <v>31</v>
      </c>
      <c r="E175" s="70" t="s">
        <v>32</v>
      </c>
      <c r="F175" s="22" t="n">
        <v>4</v>
      </c>
      <c r="G175" s="22"/>
      <c r="H175" s="22" t="n">
        <v>32</v>
      </c>
      <c r="I175" s="22" t="s">
        <v>46</v>
      </c>
      <c r="J175" s="116" t="n">
        <f aca="false">IF(H175="",0,(H175/H176)*100)</f>
        <v>55.1724137931034</v>
      </c>
      <c r="K175" s="71" t="n">
        <v>4</v>
      </c>
      <c r="L175" s="117" t="n">
        <v>0</v>
      </c>
      <c r="M175" s="95" t="n">
        <f aca="false">IF(K175=1,1,0)</f>
        <v>0</v>
      </c>
      <c r="N175" s="95" t="n">
        <f aca="false">IF(K175=2,1,0)</f>
        <v>0</v>
      </c>
      <c r="O175" s="95" t="n">
        <f aca="false">IF(K175=3,1,0)</f>
        <v>0</v>
      </c>
      <c r="P175" s="95" t="n">
        <f aca="false">IF(K175=4,1,0)</f>
        <v>1</v>
      </c>
      <c r="Q175" s="134"/>
      <c r="R175" s="39"/>
    </row>
    <row r="176" customFormat="false" ht="15.75" hidden="true" customHeight="false" outlineLevel="1" collapsed="false">
      <c r="B176" s="39"/>
      <c r="C176" s="134"/>
      <c r="D176" s="32"/>
      <c r="E176" s="32"/>
      <c r="F176" s="118" t="s">
        <v>62</v>
      </c>
      <c r="G176" s="118"/>
      <c r="H176" s="119" t="n">
        <f aca="false">MAX(H172:H175)</f>
        <v>58</v>
      </c>
      <c r="I176" s="120"/>
      <c r="J176" s="121"/>
      <c r="K176" s="120"/>
      <c r="L176" s="122" t="s">
        <v>63</v>
      </c>
      <c r="M176" s="102" t="n">
        <f aca="false">SUM(M172:M175)</f>
        <v>1</v>
      </c>
      <c r="N176" s="103" t="n">
        <f aca="false">SUM(N172:N175)</f>
        <v>1</v>
      </c>
      <c r="O176" s="102" t="n">
        <f aca="false">SUM(O172:O175)</f>
        <v>1</v>
      </c>
      <c r="P176" s="104" t="n">
        <f aca="false">SUM(P172:P175)</f>
        <v>1</v>
      </c>
      <c r="Q176" s="134"/>
      <c r="R176" s="39"/>
    </row>
    <row r="177" customFormat="false" ht="15" hidden="false" customHeight="false" outlineLevel="0" collapsed="false">
      <c r="B177" s="39"/>
      <c r="C177" s="134"/>
      <c r="D177" s="137"/>
      <c r="E177" s="137"/>
      <c r="F177" s="134"/>
      <c r="G177" s="134"/>
      <c r="H177" s="134"/>
      <c r="I177" s="134"/>
      <c r="J177" s="134"/>
      <c r="K177" s="134"/>
      <c r="L177" s="134"/>
      <c r="M177" s="134"/>
      <c r="N177" s="134"/>
      <c r="O177" s="134"/>
      <c r="P177" s="134"/>
      <c r="Q177" s="134"/>
      <c r="R177" s="39"/>
    </row>
    <row r="178" customFormat="false" ht="15" hidden="false" customHeight="false" outlineLevel="0" collapsed="false">
      <c r="B178" s="39"/>
      <c r="D178" s="138"/>
      <c r="E178" s="138"/>
      <c r="F178" s="138"/>
      <c r="G178" s="138"/>
      <c r="H178" s="138"/>
      <c r="I178" s="138"/>
      <c r="J178" s="36"/>
      <c r="K178" s="36"/>
      <c r="L178" s="36"/>
      <c r="M178" s="36"/>
      <c r="N178" s="36"/>
      <c r="O178" s="36"/>
      <c r="P178" s="36"/>
      <c r="R178" s="39"/>
    </row>
    <row r="179" customFormat="false" ht="24" hidden="false" customHeight="false" outlineLevel="0" collapsed="false">
      <c r="B179" s="39"/>
      <c r="C179" s="139"/>
      <c r="D179" s="140" t="s">
        <v>64</v>
      </c>
      <c r="E179" s="140"/>
      <c r="F179" s="140"/>
      <c r="G179" s="140"/>
      <c r="H179" s="140"/>
      <c r="I179" s="140"/>
      <c r="J179" s="140"/>
      <c r="K179" s="140"/>
      <c r="L179" s="140"/>
      <c r="M179" s="141"/>
      <c r="N179" s="141"/>
      <c r="O179" s="141"/>
      <c r="P179" s="141"/>
      <c r="Q179" s="139"/>
      <c r="R179" s="39"/>
    </row>
    <row r="180" customFormat="false" ht="45.75" hidden="false" customHeight="false" outlineLevel="0" collapsed="false">
      <c r="B180" s="39"/>
      <c r="C180" s="139"/>
      <c r="D180" s="142" t="s">
        <v>36</v>
      </c>
      <c r="E180" s="143" t="s">
        <v>3</v>
      </c>
      <c r="F180" s="142" t="s">
        <v>57</v>
      </c>
      <c r="G180" s="142"/>
      <c r="H180" s="144" t="s">
        <v>65</v>
      </c>
      <c r="I180" s="145" t="s">
        <v>66</v>
      </c>
      <c r="J180" s="143" t="s">
        <v>67</v>
      </c>
      <c r="K180" s="145" t="s">
        <v>68</v>
      </c>
      <c r="L180" s="146" t="s">
        <v>69</v>
      </c>
      <c r="M180" s="147"/>
      <c r="N180" s="147"/>
      <c r="O180" s="147"/>
      <c r="P180" s="147"/>
      <c r="Q180" s="139"/>
      <c r="R180" s="39"/>
    </row>
    <row r="181" customFormat="false" ht="15" hidden="false" customHeight="false" outlineLevel="0" collapsed="false">
      <c r="B181" s="39"/>
      <c r="C181" s="139"/>
      <c r="D181" s="148" t="s">
        <v>29</v>
      </c>
      <c r="E181" s="149" t="s">
        <v>30</v>
      </c>
      <c r="F181" s="150" t="n">
        <f aca="false">H181*6+I181*3+J181*1+K181*0</f>
        <v>13</v>
      </c>
      <c r="G181" s="150"/>
      <c r="H181" s="191" t="n">
        <v>2</v>
      </c>
      <c r="I181" s="151" t="n">
        <v>0</v>
      </c>
      <c r="J181" s="151" t="n">
        <v>1</v>
      </c>
      <c r="K181" s="151" t="n">
        <v>1</v>
      </c>
      <c r="L181" s="152" t="n">
        <f aca="false">(J147+J156+J165+J174)/4</f>
        <v>88.2641065830721</v>
      </c>
      <c r="M181" s="153"/>
      <c r="N181" s="153"/>
      <c r="O181" s="153"/>
      <c r="P181" s="153"/>
      <c r="Q181" s="139"/>
      <c r="R181" s="39"/>
    </row>
    <row r="182" customFormat="false" ht="15" hidden="false" customHeight="false" outlineLevel="0" collapsed="false">
      <c r="B182" s="39"/>
      <c r="C182" s="139"/>
      <c r="D182" s="154" t="s">
        <v>27</v>
      </c>
      <c r="E182" s="155" t="s">
        <v>28</v>
      </c>
      <c r="F182" s="209" t="n">
        <f aca="false">H182*6+I182*3+J182*1+K182*0</f>
        <v>12.5</v>
      </c>
      <c r="G182" s="209"/>
      <c r="H182" s="157" t="n">
        <v>1</v>
      </c>
      <c r="I182" s="158" t="n">
        <v>2</v>
      </c>
      <c r="J182" s="158" t="n">
        <v>0.5</v>
      </c>
      <c r="K182" s="158" t="n">
        <v>0.5</v>
      </c>
      <c r="L182" s="159" t="n">
        <f aca="false">(J146+J155+J164+J173)/4</f>
        <v>67.4475262368816</v>
      </c>
      <c r="M182" s="153"/>
      <c r="N182" s="153"/>
      <c r="O182" s="153"/>
      <c r="P182" s="153"/>
      <c r="Q182" s="139"/>
      <c r="R182" s="39"/>
      <c r="T182" s="32"/>
      <c r="U182" s="32"/>
      <c r="V182" s="120"/>
      <c r="W182" s="120"/>
      <c r="X182" s="210"/>
      <c r="Y182" s="120"/>
      <c r="Z182" s="120"/>
      <c r="AA182" s="120"/>
      <c r="AB182" s="120"/>
    </row>
    <row r="183" customFormat="false" ht="15" hidden="false" customHeight="false" outlineLevel="0" collapsed="false">
      <c r="B183" s="39"/>
      <c r="C183" s="139"/>
      <c r="D183" s="154" t="s">
        <v>24</v>
      </c>
      <c r="E183" s="155" t="s">
        <v>25</v>
      </c>
      <c r="F183" s="209" t="n">
        <f aca="false">H183*6+I183*3+J183*1+K183*0</f>
        <v>8.5</v>
      </c>
      <c r="G183" s="209"/>
      <c r="H183" s="157" t="n">
        <v>1</v>
      </c>
      <c r="I183" s="158" t="n">
        <v>0</v>
      </c>
      <c r="J183" s="158" t="n">
        <v>2.5</v>
      </c>
      <c r="K183" s="158" t="n">
        <v>0.5</v>
      </c>
      <c r="L183" s="159" t="n">
        <f aca="false">(J145+J154+J163+J172)/4</f>
        <v>69.6343873517787</v>
      </c>
      <c r="M183" s="153"/>
      <c r="N183" s="153"/>
      <c r="O183" s="153"/>
      <c r="P183" s="153"/>
      <c r="Q183" s="139"/>
      <c r="R183" s="39"/>
      <c r="T183" s="32"/>
      <c r="U183" s="32"/>
      <c r="V183" s="120"/>
      <c r="W183" s="120"/>
      <c r="X183" s="210"/>
      <c r="Y183" s="120"/>
      <c r="Z183" s="120"/>
      <c r="AA183" s="120"/>
      <c r="AB183" s="120"/>
    </row>
    <row r="184" customFormat="false" ht="15.75" hidden="false" customHeight="false" outlineLevel="0" collapsed="false">
      <c r="B184" s="39"/>
      <c r="C184" s="139"/>
      <c r="D184" s="196" t="s">
        <v>31</v>
      </c>
      <c r="E184" s="197" t="s">
        <v>32</v>
      </c>
      <c r="F184" s="211" t="n">
        <f aca="false">H184*6+I184*3+J184*1+K184*0</f>
        <v>6</v>
      </c>
      <c r="G184" s="211"/>
      <c r="H184" s="199" t="n">
        <v>0</v>
      </c>
      <c r="I184" s="212" t="n">
        <v>2</v>
      </c>
      <c r="J184" s="212" t="n">
        <v>0</v>
      </c>
      <c r="K184" s="212" t="n">
        <v>2</v>
      </c>
      <c r="L184" s="200" t="n">
        <f aca="false">(J148+J157+J166+J175)/4</f>
        <v>66.0526554904366</v>
      </c>
      <c r="M184" s="153"/>
      <c r="N184" s="153"/>
      <c r="O184" s="153"/>
      <c r="P184" s="153"/>
      <c r="Q184" s="139"/>
      <c r="R184" s="39"/>
    </row>
    <row r="185" customFormat="false" ht="15" hidden="false" customHeight="false" outlineLevel="0" collapsed="false">
      <c r="B185" s="39"/>
      <c r="C185" s="139"/>
      <c r="D185" s="168"/>
      <c r="E185" s="168"/>
      <c r="F185" s="153"/>
      <c r="G185" s="153"/>
      <c r="H185" s="153"/>
      <c r="I185" s="153"/>
      <c r="J185" s="153"/>
      <c r="K185" s="153"/>
      <c r="L185" s="153"/>
      <c r="M185" s="153"/>
      <c r="N185" s="153"/>
      <c r="O185" s="153"/>
      <c r="P185" s="153"/>
      <c r="Q185" s="139"/>
      <c r="R185" s="39"/>
    </row>
    <row r="186" customFormat="false" ht="15" hidden="false" customHeight="true" outlineLevel="0" collapsed="false">
      <c r="B186" s="39"/>
      <c r="C186" s="39"/>
      <c r="D186" s="169"/>
      <c r="E186" s="169"/>
      <c r="F186" s="129"/>
      <c r="G186" s="129"/>
      <c r="H186" s="169"/>
      <c r="I186" s="169"/>
      <c r="J186" s="131"/>
      <c r="K186" s="131"/>
      <c r="L186" s="131"/>
      <c r="M186" s="131"/>
      <c r="N186" s="131"/>
      <c r="O186" s="131"/>
      <c r="P186" s="131"/>
      <c r="Q186" s="39"/>
      <c r="R186" s="39"/>
    </row>
  </sheetData>
  <mergeCells count="140">
    <mergeCell ref="D2:F2"/>
    <mergeCell ref="H2:K2"/>
    <mergeCell ref="D16:F16"/>
    <mergeCell ref="H16:J16"/>
    <mergeCell ref="D18:G18"/>
    <mergeCell ref="D21:L22"/>
    <mergeCell ref="D24:D25"/>
    <mergeCell ref="E24:E25"/>
    <mergeCell ref="F24:G25"/>
    <mergeCell ref="H24:I24"/>
    <mergeCell ref="K24:L24"/>
    <mergeCell ref="F26:G26"/>
    <mergeCell ref="F27:G27"/>
    <mergeCell ref="F28:G28"/>
    <mergeCell ref="F29:G29"/>
    <mergeCell ref="D31:L31"/>
    <mergeCell ref="F32:G32"/>
    <mergeCell ref="F33:G33"/>
    <mergeCell ref="F34:G34"/>
    <mergeCell ref="F35:G35"/>
    <mergeCell ref="F36:G36"/>
    <mergeCell ref="F37:G37"/>
    <mergeCell ref="F38:G38"/>
    <mergeCell ref="D40:L40"/>
    <mergeCell ref="F41:G41"/>
    <mergeCell ref="F42:G42"/>
    <mergeCell ref="F43:G43"/>
    <mergeCell ref="F44:G44"/>
    <mergeCell ref="F45:G45"/>
    <mergeCell ref="F46:G46"/>
    <mergeCell ref="D49:L49"/>
    <mergeCell ref="F50:G50"/>
    <mergeCell ref="F51:G51"/>
    <mergeCell ref="F52:G52"/>
    <mergeCell ref="F53:G53"/>
    <mergeCell ref="F54:G54"/>
    <mergeCell ref="F55:G55"/>
    <mergeCell ref="D58:L58"/>
    <mergeCell ref="F59:G59"/>
    <mergeCell ref="F60:G60"/>
    <mergeCell ref="F61:G61"/>
    <mergeCell ref="F62:G62"/>
    <mergeCell ref="F63:G63"/>
    <mergeCell ref="F64:G64"/>
    <mergeCell ref="D67:L67"/>
    <mergeCell ref="F68:G68"/>
    <mergeCell ref="F69:G69"/>
    <mergeCell ref="F70:G70"/>
    <mergeCell ref="F71:G71"/>
    <mergeCell ref="F72:G72"/>
    <mergeCell ref="V72:W72"/>
    <mergeCell ref="D80:D81"/>
    <mergeCell ref="E80:E81"/>
    <mergeCell ref="F80:G81"/>
    <mergeCell ref="H80:I80"/>
    <mergeCell ref="K80:L80"/>
    <mergeCell ref="F82:G82"/>
    <mergeCell ref="F83:G83"/>
    <mergeCell ref="F84:G84"/>
    <mergeCell ref="F85:G85"/>
    <mergeCell ref="D87:L87"/>
    <mergeCell ref="F88:G88"/>
    <mergeCell ref="F89:G89"/>
    <mergeCell ref="F90:G90"/>
    <mergeCell ref="F91:G91"/>
    <mergeCell ref="F92:G92"/>
    <mergeCell ref="F93:G93"/>
    <mergeCell ref="D96:L96"/>
    <mergeCell ref="F97:G97"/>
    <mergeCell ref="F98:G98"/>
    <mergeCell ref="F99:G99"/>
    <mergeCell ref="F100:G100"/>
    <mergeCell ref="F101:G101"/>
    <mergeCell ref="F102:G102"/>
    <mergeCell ref="D105:L105"/>
    <mergeCell ref="F106:G106"/>
    <mergeCell ref="F107:G107"/>
    <mergeCell ref="F108:G108"/>
    <mergeCell ref="F109:G109"/>
    <mergeCell ref="F110:G110"/>
    <mergeCell ref="F111:G111"/>
    <mergeCell ref="D114:L114"/>
    <mergeCell ref="F115:G115"/>
    <mergeCell ref="F116:G116"/>
    <mergeCell ref="F117:G117"/>
    <mergeCell ref="F118:G118"/>
    <mergeCell ref="F119:G119"/>
    <mergeCell ref="F120:G120"/>
    <mergeCell ref="D123:L123"/>
    <mergeCell ref="F124:G124"/>
    <mergeCell ref="F125:G125"/>
    <mergeCell ref="F126:G126"/>
    <mergeCell ref="V126:W126"/>
    <mergeCell ref="F127:G127"/>
    <mergeCell ref="F128:G128"/>
    <mergeCell ref="D136:D137"/>
    <mergeCell ref="E136:E137"/>
    <mergeCell ref="F136:G137"/>
    <mergeCell ref="H136:I136"/>
    <mergeCell ref="K136:L136"/>
    <mergeCell ref="F138:G138"/>
    <mergeCell ref="F139:G139"/>
    <mergeCell ref="F140:G140"/>
    <mergeCell ref="F141:G141"/>
    <mergeCell ref="D143:L143"/>
    <mergeCell ref="F144:G144"/>
    <mergeCell ref="F145:G145"/>
    <mergeCell ref="F146:G146"/>
    <mergeCell ref="F147:G147"/>
    <mergeCell ref="F148:G148"/>
    <mergeCell ref="F149:G149"/>
    <mergeCell ref="D152:L152"/>
    <mergeCell ref="F153:G153"/>
    <mergeCell ref="F154:G154"/>
    <mergeCell ref="F155:G155"/>
    <mergeCell ref="F156:G156"/>
    <mergeCell ref="F157:G157"/>
    <mergeCell ref="F158:G158"/>
    <mergeCell ref="D161:L161"/>
    <mergeCell ref="F162:G162"/>
    <mergeCell ref="F163:G163"/>
    <mergeCell ref="F164:G164"/>
    <mergeCell ref="F165:G165"/>
    <mergeCell ref="F166:G166"/>
    <mergeCell ref="F167:G167"/>
    <mergeCell ref="D170:L170"/>
    <mergeCell ref="F171:G171"/>
    <mergeCell ref="F172:G172"/>
    <mergeCell ref="F173:G173"/>
    <mergeCell ref="F174:G174"/>
    <mergeCell ref="F175:G175"/>
    <mergeCell ref="F176:G176"/>
    <mergeCell ref="D179:L179"/>
    <mergeCell ref="F180:G180"/>
    <mergeCell ref="F181:G181"/>
    <mergeCell ref="F182:G182"/>
    <mergeCell ref="V182:W182"/>
    <mergeCell ref="F183:G183"/>
    <mergeCell ref="V183:W183"/>
    <mergeCell ref="F184:G184"/>
  </mergeCells>
  <dataValidations count="1">
    <dataValidation allowBlank="true" operator="between" showDropDown="false" showErrorMessage="true" showInputMessage="true" sqref="F4:F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4"/>
  <sheetViews>
    <sheetView showFormulas="false" showGridLines="false" showRowColHeaders="true" showZeros="true" rightToLeft="false" tabSelected="false" showOutlineSymbols="true" defaultGridColor="true" view="normal" topLeftCell="A74" colorId="64" zoomScale="100" zoomScaleNormal="100" zoomScalePageLayoutView="100" workbookViewId="0">
      <selection pane="topLeft" activeCell="H82" activeCellId="0" sqref="H82"/>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7"/>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88</v>
      </c>
      <c r="C2" s="3"/>
      <c r="D2" s="3"/>
      <c r="E2" s="3"/>
      <c r="F2" s="3"/>
      <c r="H2" s="3" t="s">
        <v>89</v>
      </c>
      <c r="I2" s="3"/>
      <c r="J2" s="51"/>
      <c r="K2" s="3" t="s">
        <v>90</v>
      </c>
      <c r="L2" s="3"/>
      <c r="M2" s="3"/>
      <c r="N2" s="3"/>
      <c r="O2" s="3"/>
      <c r="P2" s="3"/>
      <c r="Q2" s="3"/>
      <c r="R2" s="3"/>
      <c r="S2" s="138"/>
      <c r="T2" s="51"/>
      <c r="U2" s="51"/>
      <c r="V2" s="51"/>
      <c r="W2" s="51"/>
    </row>
    <row r="3" customFormat="false" ht="60.75" hidden="false" customHeight="true" outlineLevel="0" collapsed="false">
      <c r="B3" s="81" t="s">
        <v>91</v>
      </c>
      <c r="C3" s="81"/>
      <c r="D3" s="213" t="s">
        <v>2</v>
      </c>
      <c r="E3" s="214" t="s">
        <v>92</v>
      </c>
      <c r="F3" s="4" t="s">
        <v>93</v>
      </c>
      <c r="H3" s="215" t="s">
        <v>2</v>
      </c>
      <c r="I3" s="216" t="s">
        <v>92</v>
      </c>
      <c r="J3" s="51"/>
      <c r="K3" s="217" t="s">
        <v>2</v>
      </c>
      <c r="L3" s="218" t="s">
        <v>92</v>
      </c>
      <c r="M3" s="219" t="s">
        <v>94</v>
      </c>
      <c r="N3" s="220"/>
      <c r="O3" s="131"/>
      <c r="P3" s="131"/>
      <c r="Q3" s="221" t="s">
        <v>94</v>
      </c>
      <c r="R3" s="222" t="s">
        <v>6</v>
      </c>
      <c r="S3" s="51"/>
      <c r="T3" s="51"/>
      <c r="U3" s="51"/>
      <c r="V3" s="138"/>
      <c r="W3" s="138"/>
    </row>
    <row r="4" customFormat="false" ht="45.75" hidden="false" customHeight="false" outlineLevel="0" collapsed="false">
      <c r="B4" s="223" t="n">
        <v>1</v>
      </c>
      <c r="C4" s="223"/>
      <c r="D4" s="224" t="str">
        <f aca="false">2020_S0!D69</f>
        <v>Devid Fulterer</v>
      </c>
      <c r="E4" s="225" t="s">
        <v>95</v>
      </c>
      <c r="F4" s="226" t="s">
        <v>9</v>
      </c>
      <c r="H4" s="227" t="s">
        <v>96</v>
      </c>
      <c r="I4" s="228" t="s">
        <v>97</v>
      </c>
      <c r="J4" s="36"/>
      <c r="K4" s="9" t="str">
        <f aca="false">D4</f>
        <v>Devid Fulterer</v>
      </c>
      <c r="L4" s="229" t="s">
        <v>95</v>
      </c>
      <c r="M4" s="230" t="n">
        <v>1</v>
      </c>
      <c r="N4" s="231"/>
      <c r="O4" s="232"/>
      <c r="P4" s="232"/>
      <c r="Q4" s="11" t="n">
        <v>1</v>
      </c>
      <c r="R4" s="12" t="n">
        <v>1</v>
      </c>
      <c r="S4" s="36"/>
      <c r="T4" s="36"/>
      <c r="U4" s="36"/>
      <c r="V4" s="120"/>
      <c r="W4" s="120"/>
    </row>
    <row r="5" customFormat="false" ht="45" hidden="false" customHeight="false" outlineLevel="0" collapsed="false">
      <c r="B5" s="233" t="n">
        <v>2</v>
      </c>
      <c r="C5" s="233"/>
      <c r="D5" s="234" t="str">
        <f aca="false">2020_S0!D125</f>
        <v>Jérôme Schätzle</v>
      </c>
      <c r="E5" s="235" t="s">
        <v>98</v>
      </c>
      <c r="F5" s="236" t="s">
        <v>9</v>
      </c>
      <c r="H5" s="36"/>
      <c r="I5" s="36"/>
      <c r="J5" s="36"/>
      <c r="K5" s="16" t="str">
        <f aca="false">D5</f>
        <v>Jérôme Schätzle</v>
      </c>
      <c r="L5" s="237" t="s">
        <v>98</v>
      </c>
      <c r="M5" s="230"/>
      <c r="N5" s="238"/>
      <c r="O5" s="239"/>
      <c r="P5" s="239"/>
      <c r="Q5" s="18" t="n">
        <v>1</v>
      </c>
      <c r="R5" s="19" t="n">
        <v>2</v>
      </c>
      <c r="S5" s="36"/>
      <c r="T5" s="36"/>
      <c r="U5" s="36"/>
      <c r="V5" s="120"/>
      <c r="W5" s="120"/>
    </row>
    <row r="6" customFormat="false" ht="45" hidden="false" customHeight="false" outlineLevel="0" collapsed="false">
      <c r="B6" s="233" t="n">
        <v>3</v>
      </c>
      <c r="C6" s="233"/>
      <c r="D6" s="234" t="str">
        <f aca="false">2020_S0!D181</f>
        <v>Martin Fink</v>
      </c>
      <c r="E6" s="235" t="s">
        <v>99</v>
      </c>
      <c r="F6" s="236" t="s">
        <v>9</v>
      </c>
      <c r="H6" s="36"/>
      <c r="I6" s="36"/>
      <c r="J6" s="36"/>
      <c r="K6" s="16" t="str">
        <f aca="false">D6</f>
        <v>Martin Fink</v>
      </c>
      <c r="L6" s="237" t="s">
        <v>99</v>
      </c>
      <c r="M6" s="230"/>
      <c r="N6" s="238"/>
      <c r="O6" s="239"/>
      <c r="P6" s="239"/>
      <c r="Q6" s="18" t="n">
        <v>1</v>
      </c>
      <c r="R6" s="19" t="n">
        <v>3</v>
      </c>
      <c r="S6" s="36"/>
      <c r="T6" s="36"/>
      <c r="U6" s="36"/>
      <c r="V6" s="120"/>
      <c r="W6" s="120"/>
    </row>
    <row r="7" customFormat="false" ht="45.75" hidden="false" customHeight="false" outlineLevel="0" collapsed="false">
      <c r="B7" s="233" t="n">
        <v>4</v>
      </c>
      <c r="C7" s="233"/>
      <c r="D7" s="234" t="str">
        <f aca="false">2020_S0!D70</f>
        <v>Wolfgang Mulser</v>
      </c>
      <c r="E7" s="235" t="s">
        <v>100</v>
      </c>
      <c r="F7" s="236" t="s">
        <v>9</v>
      </c>
      <c r="H7" s="36"/>
      <c r="I7" s="36"/>
      <c r="J7" s="36"/>
      <c r="K7" s="20" t="str">
        <f aca="false">D7</f>
        <v>Wolfgang Mulser</v>
      </c>
      <c r="L7" s="240" t="s">
        <v>100</v>
      </c>
      <c r="M7" s="230"/>
      <c r="N7" s="241"/>
      <c r="O7" s="242"/>
      <c r="P7" s="242"/>
      <c r="Q7" s="22" t="n">
        <v>1</v>
      </c>
      <c r="R7" s="23" t="n">
        <v>4</v>
      </c>
      <c r="S7" s="36"/>
      <c r="T7" s="36"/>
      <c r="U7" s="36"/>
      <c r="V7" s="120"/>
      <c r="W7" s="120"/>
    </row>
    <row r="8" customFormat="false" ht="45" hidden="false" customHeight="false" outlineLevel="0" collapsed="false">
      <c r="B8" s="233" t="n">
        <v>5</v>
      </c>
      <c r="C8" s="233"/>
      <c r="D8" s="234" t="str">
        <f aca="false">2020_S0!D182</f>
        <v>Alex Ulbricht</v>
      </c>
      <c r="E8" s="235" t="s">
        <v>101</v>
      </c>
      <c r="F8" s="236" t="s">
        <v>9</v>
      </c>
      <c r="H8" s="36"/>
      <c r="I8" s="36"/>
      <c r="J8" s="36"/>
      <c r="K8" s="25" t="str">
        <f aca="false">D8</f>
        <v>Alex Ulbricht</v>
      </c>
      <c r="L8" s="243" t="s">
        <v>101</v>
      </c>
      <c r="M8" s="244" t="n">
        <v>2</v>
      </c>
      <c r="N8" s="245"/>
      <c r="O8" s="246"/>
      <c r="P8" s="246"/>
      <c r="Q8" s="27" t="n">
        <v>2</v>
      </c>
      <c r="R8" s="28" t="n">
        <v>1</v>
      </c>
      <c r="S8" s="36"/>
      <c r="T8" s="36"/>
      <c r="U8" s="36"/>
      <c r="V8" s="120"/>
      <c r="W8" s="120"/>
    </row>
    <row r="9" customFormat="false" ht="45" hidden="false" customHeight="false" outlineLevel="0" collapsed="false">
      <c r="B9" s="233" t="n">
        <v>6</v>
      </c>
      <c r="C9" s="233"/>
      <c r="D9" s="234" t="str">
        <f aca="false">2020_S0!D126</f>
        <v>Judith Maibaum</v>
      </c>
      <c r="E9" s="235" t="s">
        <v>102</v>
      </c>
      <c r="F9" s="236" t="s">
        <v>9</v>
      </c>
      <c r="H9" s="36"/>
      <c r="I9" s="36"/>
      <c r="J9" s="36"/>
      <c r="K9" s="16" t="str">
        <f aca="false">D9</f>
        <v>Judith Maibaum</v>
      </c>
      <c r="L9" s="237" t="s">
        <v>102</v>
      </c>
      <c r="M9" s="244"/>
      <c r="N9" s="238"/>
      <c r="O9" s="239"/>
      <c r="P9" s="239"/>
      <c r="Q9" s="18" t="n">
        <v>2</v>
      </c>
      <c r="R9" s="19" t="n">
        <v>2</v>
      </c>
      <c r="S9" s="36"/>
      <c r="T9" s="36"/>
      <c r="U9" s="36"/>
      <c r="V9" s="120"/>
      <c r="W9" s="120"/>
    </row>
    <row r="10" customFormat="false" ht="45" hidden="false" customHeight="false" outlineLevel="0" collapsed="false">
      <c r="B10" s="233" t="n">
        <v>7</v>
      </c>
      <c r="C10" s="233"/>
      <c r="D10" s="234" t="str">
        <f aca="false">2020_S0!D127</f>
        <v>Markus Hagenauer</v>
      </c>
      <c r="E10" s="235" t="s">
        <v>103</v>
      </c>
      <c r="F10" s="236" t="s">
        <v>9</v>
      </c>
      <c r="H10" s="36"/>
      <c r="I10" s="36"/>
      <c r="J10" s="36"/>
      <c r="K10" s="16" t="str">
        <f aca="false">D10</f>
        <v>Markus Hagenauer</v>
      </c>
      <c r="L10" s="237" t="s">
        <v>103</v>
      </c>
      <c r="M10" s="244"/>
      <c r="N10" s="238"/>
      <c r="O10" s="239"/>
      <c r="P10" s="239"/>
      <c r="Q10" s="18" t="n">
        <v>2</v>
      </c>
      <c r="R10" s="19" t="n">
        <v>3</v>
      </c>
      <c r="S10" s="36"/>
      <c r="T10" s="36"/>
      <c r="U10" s="36"/>
      <c r="V10" s="120"/>
      <c r="W10" s="120"/>
    </row>
    <row r="11" customFormat="false" ht="45.75" hidden="false" customHeight="false" outlineLevel="0" collapsed="false">
      <c r="B11" s="233" t="n">
        <v>8</v>
      </c>
      <c r="C11" s="233"/>
      <c r="D11" s="234" t="str">
        <f aca="false">2020_S0!D71</f>
        <v>Pauline Schätzle</v>
      </c>
      <c r="E11" s="235" t="s">
        <v>104</v>
      </c>
      <c r="F11" s="236" t="s">
        <v>9</v>
      </c>
      <c r="H11" s="36"/>
      <c r="I11" s="36"/>
      <c r="J11" s="36"/>
      <c r="K11" s="247" t="str">
        <f aca="false">D11</f>
        <v>Pauline Schätzle</v>
      </c>
      <c r="L11" s="248" t="s">
        <v>104</v>
      </c>
      <c r="M11" s="244"/>
      <c r="N11" s="249"/>
      <c r="O11" s="250"/>
      <c r="P11" s="250"/>
      <c r="Q11" s="251" t="n">
        <v>2</v>
      </c>
      <c r="R11" s="252" t="n">
        <v>4</v>
      </c>
      <c r="S11" s="36"/>
      <c r="T11" s="36"/>
      <c r="U11" s="36"/>
      <c r="V11" s="120"/>
      <c r="W11" s="120"/>
    </row>
    <row r="12" customFormat="false" ht="45" hidden="false" customHeight="false" outlineLevel="0" collapsed="false">
      <c r="B12" s="233" t="n">
        <v>9</v>
      </c>
      <c r="C12" s="233"/>
      <c r="D12" s="234" t="str">
        <f aca="false">2020_S0!D184</f>
        <v>Andreas Micke</v>
      </c>
      <c r="E12" s="235" t="s">
        <v>105</v>
      </c>
      <c r="F12" s="236" t="s">
        <v>9</v>
      </c>
      <c r="H12" s="36"/>
      <c r="I12" s="36"/>
      <c r="J12" s="36"/>
      <c r="K12" s="9" t="str">
        <f aca="false">D12</f>
        <v>Andreas Micke</v>
      </c>
      <c r="L12" s="229" t="s">
        <v>105</v>
      </c>
      <c r="M12" s="230" t="n">
        <v>3</v>
      </c>
      <c r="N12" s="231"/>
      <c r="O12" s="232"/>
      <c r="P12" s="232"/>
      <c r="Q12" s="11" t="n">
        <v>3</v>
      </c>
      <c r="R12" s="12" t="n">
        <v>1</v>
      </c>
      <c r="S12" s="36"/>
      <c r="T12" s="36"/>
      <c r="U12" s="36"/>
      <c r="V12" s="120"/>
      <c r="W12" s="120"/>
    </row>
    <row r="13" customFormat="false" ht="45.75" hidden="false" customHeight="false" outlineLevel="0" collapsed="false">
      <c r="B13" s="253" t="n">
        <v>10</v>
      </c>
      <c r="C13" s="253"/>
      <c r="D13" s="254" t="str">
        <f aca="false">2020_S0!D72</f>
        <v>Miriam Dirler</v>
      </c>
      <c r="E13" s="255" t="s">
        <v>106</v>
      </c>
      <c r="F13" s="256" t="s">
        <v>9</v>
      </c>
      <c r="G13" s="32"/>
      <c r="H13" s="36"/>
      <c r="I13" s="36"/>
      <c r="J13" s="36"/>
      <c r="K13" s="20" t="str">
        <f aca="false">D13</f>
        <v>Miriam Dirler</v>
      </c>
      <c r="L13" s="240" t="s">
        <v>106</v>
      </c>
      <c r="M13" s="230"/>
      <c r="N13" s="241"/>
      <c r="O13" s="242"/>
      <c r="P13" s="242"/>
      <c r="Q13" s="22" t="n">
        <v>3</v>
      </c>
      <c r="R13" s="23" t="n">
        <v>3</v>
      </c>
      <c r="S13" s="36"/>
      <c r="T13" s="36"/>
      <c r="U13" s="36"/>
      <c r="V13" s="120"/>
      <c r="W13" s="120"/>
    </row>
    <row r="14" customFormat="false" ht="15.75" hidden="false" customHeight="false" outlineLevel="0" collapsed="false">
      <c r="D14" s="33"/>
      <c r="E14" s="33"/>
      <c r="F14" s="33"/>
      <c r="K14" s="257" t="s">
        <v>107</v>
      </c>
      <c r="L14" s="257"/>
      <c r="M14" s="257"/>
      <c r="N14" s="258"/>
      <c r="O14" s="258"/>
      <c r="P14" s="258"/>
      <c r="Q14" s="258"/>
      <c r="R14" s="259"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108</v>
      </c>
      <c r="E16" s="260"/>
      <c r="F16" s="260"/>
      <c r="G16" s="260"/>
      <c r="H16" s="260"/>
      <c r="I16" s="261"/>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15" hidden="false" customHeight="true" outlineLevel="0" collapsed="false">
      <c r="B19" s="39"/>
      <c r="C19" s="41"/>
      <c r="D19" s="42" t="s">
        <v>109</v>
      </c>
      <c r="E19" s="42"/>
      <c r="F19" s="42"/>
      <c r="G19" s="42"/>
      <c r="H19" s="42"/>
      <c r="I19" s="42"/>
      <c r="J19" s="42"/>
      <c r="K19" s="42"/>
      <c r="L19" s="42"/>
      <c r="M19" s="42"/>
      <c r="N19" s="42"/>
      <c r="O19" s="42"/>
      <c r="P19" s="42"/>
      <c r="Q19" s="42"/>
      <c r="R19" s="42"/>
      <c r="S19" s="41"/>
      <c r="T19" s="39"/>
    </row>
    <row r="20" customFormat="false" ht="15.75" hidden="false" customHeight="true" outlineLevel="0" collapsed="false">
      <c r="B20" s="39"/>
      <c r="C20" s="41"/>
      <c r="D20" s="42"/>
      <c r="E20" s="42"/>
      <c r="F20" s="42"/>
      <c r="G20" s="42"/>
      <c r="H20" s="42"/>
      <c r="I20" s="42"/>
      <c r="J20" s="42"/>
      <c r="K20" s="42"/>
      <c r="L20" s="42"/>
      <c r="M20" s="42"/>
      <c r="N20" s="42"/>
      <c r="O20" s="42"/>
      <c r="P20" s="42"/>
      <c r="Q20" s="42"/>
      <c r="R20" s="42"/>
      <c r="S20" s="41"/>
      <c r="T20" s="39"/>
    </row>
    <row r="21" customFormat="false" ht="15.75" hidden="false" customHeight="false" outlineLevel="0" collapsed="false">
      <c r="B21" s="39"/>
      <c r="D21" s="36"/>
      <c r="E21" s="36"/>
      <c r="T21" s="39"/>
    </row>
    <row r="22" customFormat="false" ht="45" hidden="false" customHeight="true" outlineLevel="0" collapsed="false">
      <c r="B22" s="39"/>
      <c r="D22" s="263" t="s">
        <v>36</v>
      </c>
      <c r="E22" s="264" t="s">
        <v>92</v>
      </c>
      <c r="F22" s="265" t="s">
        <v>6</v>
      </c>
      <c r="G22" s="265"/>
      <c r="H22" s="266" t="s">
        <v>110</v>
      </c>
      <c r="I22" s="266"/>
      <c r="J22" s="266"/>
      <c r="K22" s="264" t="s">
        <v>39</v>
      </c>
      <c r="L22" s="266" t="s">
        <v>40</v>
      </c>
      <c r="M22" s="266"/>
      <c r="N22" s="266"/>
      <c r="O22" s="266"/>
      <c r="P22" s="266"/>
      <c r="Q22" s="266"/>
      <c r="R22" s="266"/>
      <c r="T22" s="39"/>
    </row>
    <row r="23" customFormat="false" ht="15.75" hidden="false" customHeight="false" outlineLevel="0" collapsed="false">
      <c r="B23" s="39"/>
      <c r="D23" s="263"/>
      <c r="E23" s="264"/>
      <c r="F23" s="265"/>
      <c r="G23" s="265"/>
      <c r="H23" s="267" t="s">
        <v>41</v>
      </c>
      <c r="I23" s="268" t="s">
        <v>42</v>
      </c>
      <c r="J23" s="268" t="s">
        <v>111</v>
      </c>
      <c r="K23" s="269" t="s">
        <v>43</v>
      </c>
      <c r="L23" s="270" t="s">
        <v>44</v>
      </c>
      <c r="M23" s="270" t="s">
        <v>42</v>
      </c>
      <c r="N23" s="271"/>
      <c r="O23" s="271"/>
      <c r="P23" s="271"/>
      <c r="Q23" s="271"/>
      <c r="R23" s="267" t="s">
        <v>111</v>
      </c>
      <c r="T23" s="39"/>
    </row>
    <row r="24" customFormat="false" ht="102.2" hidden="false" customHeight="false" outlineLevel="0" collapsed="false">
      <c r="B24" s="39"/>
      <c r="D24" s="272" t="str">
        <f aca="false">K4</f>
        <v>Devid Fulterer</v>
      </c>
      <c r="E24" s="229" t="s">
        <v>95</v>
      </c>
      <c r="F24" s="12" t="n">
        <v>1</v>
      </c>
      <c r="G24" s="12"/>
      <c r="H24" s="273" t="s">
        <v>112</v>
      </c>
      <c r="I24" s="202" t="s">
        <v>113</v>
      </c>
      <c r="J24" s="274" t="s">
        <v>114</v>
      </c>
      <c r="K24" s="275" t="s">
        <v>50</v>
      </c>
      <c r="L24" s="272" t="s">
        <v>46</v>
      </c>
      <c r="M24" s="276" t="s">
        <v>46</v>
      </c>
      <c r="N24" s="277"/>
      <c r="O24" s="277"/>
      <c r="P24" s="277"/>
      <c r="Q24" s="277"/>
      <c r="R24" s="173" t="s">
        <v>46</v>
      </c>
      <c r="T24" s="39"/>
    </row>
    <row r="25" customFormat="false" ht="79.85" hidden="false" customHeight="false" outlineLevel="0" collapsed="false">
      <c r="B25" s="39"/>
      <c r="D25" s="278" t="str">
        <f aca="false">K5</f>
        <v>Jérôme Schätzle</v>
      </c>
      <c r="E25" s="237" t="s">
        <v>98</v>
      </c>
      <c r="F25" s="19" t="n">
        <v>2</v>
      </c>
      <c r="G25" s="19"/>
      <c r="H25" s="279" t="s">
        <v>115</v>
      </c>
      <c r="I25" s="178" t="s">
        <v>116</v>
      </c>
      <c r="J25" s="280" t="s">
        <v>85</v>
      </c>
      <c r="K25" s="281" t="s">
        <v>50</v>
      </c>
      <c r="L25" s="278" t="s">
        <v>46</v>
      </c>
      <c r="M25" s="282" t="s">
        <v>46</v>
      </c>
      <c r="N25" s="283"/>
      <c r="O25" s="283"/>
      <c r="P25" s="283"/>
      <c r="Q25" s="283"/>
      <c r="R25" s="176" t="s">
        <v>46</v>
      </c>
      <c r="T25" s="39"/>
    </row>
    <row r="26" customFormat="false" ht="60" hidden="false" customHeight="false" outlineLevel="0" collapsed="false">
      <c r="B26" s="39"/>
      <c r="D26" s="278" t="str">
        <f aca="false">K6</f>
        <v>Martin Fink</v>
      </c>
      <c r="E26" s="237" t="s">
        <v>99</v>
      </c>
      <c r="F26" s="19" t="n">
        <v>3</v>
      </c>
      <c r="G26" s="19"/>
      <c r="H26" s="284" t="s">
        <v>117</v>
      </c>
      <c r="I26" s="178" t="s">
        <v>118</v>
      </c>
      <c r="J26" s="285" t="s">
        <v>114</v>
      </c>
      <c r="K26" s="286" t="s">
        <v>115</v>
      </c>
      <c r="L26" s="278" t="s">
        <v>46</v>
      </c>
      <c r="M26" s="282" t="s">
        <v>46</v>
      </c>
      <c r="N26" s="283"/>
      <c r="O26" s="283"/>
      <c r="P26" s="283"/>
      <c r="Q26" s="283"/>
      <c r="R26" s="176" t="s">
        <v>46</v>
      </c>
      <c r="T26" s="39"/>
    </row>
    <row r="27" customFormat="false" ht="45.75" hidden="false" customHeight="false" outlineLevel="0" collapsed="false">
      <c r="B27" s="39"/>
      <c r="D27" s="287" t="str">
        <f aca="false">K7</f>
        <v>Wolfgang Mulser</v>
      </c>
      <c r="E27" s="240" t="s">
        <v>100</v>
      </c>
      <c r="F27" s="23" t="n">
        <v>4</v>
      </c>
      <c r="G27" s="23"/>
      <c r="H27" s="288" t="s">
        <v>47</v>
      </c>
      <c r="I27" s="208" t="s">
        <v>46</v>
      </c>
      <c r="J27" s="289" t="s">
        <v>85</v>
      </c>
      <c r="K27" s="290" t="s">
        <v>50</v>
      </c>
      <c r="L27" s="287" t="s">
        <v>46</v>
      </c>
      <c r="M27" s="291" t="s">
        <v>46</v>
      </c>
      <c r="N27" s="292"/>
      <c r="O27" s="292"/>
      <c r="P27" s="292"/>
      <c r="Q27" s="292"/>
      <c r="R27" s="208" t="s">
        <v>46</v>
      </c>
      <c r="T27" s="39"/>
    </row>
    <row r="28" customFormat="false" ht="15" hidden="false" customHeight="false" outlineLevel="0" collapsed="false">
      <c r="B28" s="39"/>
      <c r="D28" s="36"/>
      <c r="E28" s="36"/>
      <c r="T28" s="39"/>
    </row>
    <row r="29" customFormat="false" ht="15.75" hidden="false" customHeight="false" outlineLevel="0" collapsed="false">
      <c r="B29" s="39"/>
      <c r="C29" s="76"/>
      <c r="D29" s="293" t="str">
        <f aca="false">IF(OR(L24="-",L24= ""),H24,L24)</f>
        <v>Terra Mystica</v>
      </c>
      <c r="E29" s="293"/>
      <c r="F29" s="293"/>
      <c r="G29" s="293"/>
      <c r="H29" s="293"/>
      <c r="I29" s="293"/>
      <c r="J29" s="293"/>
      <c r="K29" s="293"/>
      <c r="L29" s="293"/>
      <c r="M29" s="293"/>
      <c r="N29" s="78"/>
      <c r="O29" s="78"/>
      <c r="P29" s="78"/>
      <c r="Q29" s="78"/>
      <c r="R29" s="78"/>
      <c r="S29" s="76"/>
      <c r="T29" s="39"/>
    </row>
    <row r="30" customFormat="false" ht="60" hidden="false" customHeight="true" outlineLevel="0" collapsed="false">
      <c r="B30" s="39"/>
      <c r="C30" s="76"/>
      <c r="D30" s="78"/>
      <c r="E30" s="263" t="s">
        <v>36</v>
      </c>
      <c r="F30" s="266" t="s">
        <v>92</v>
      </c>
      <c r="G30" s="266"/>
      <c r="H30" s="263" t="s">
        <v>52</v>
      </c>
      <c r="I30" s="294" t="s">
        <v>53</v>
      </c>
      <c r="J30" s="295" t="s">
        <v>54</v>
      </c>
      <c r="K30" s="264" t="s">
        <v>55</v>
      </c>
      <c r="L30" s="296" t="s">
        <v>56</v>
      </c>
      <c r="M30" s="294" t="s">
        <v>57</v>
      </c>
      <c r="N30" s="43" t="s">
        <v>58</v>
      </c>
      <c r="O30" s="79" t="s">
        <v>59</v>
      </c>
      <c r="P30" s="79" t="s">
        <v>60</v>
      </c>
      <c r="Q30" s="79" t="s">
        <v>61</v>
      </c>
      <c r="R30" s="78"/>
      <c r="S30" s="76"/>
      <c r="T30" s="39"/>
    </row>
    <row r="31" customFormat="false" ht="45" hidden="false" customHeight="true" outlineLevel="0" collapsed="false">
      <c r="B31" s="39"/>
      <c r="C31" s="76"/>
      <c r="D31" s="297"/>
      <c r="E31" s="298" t="s">
        <v>14</v>
      </c>
      <c r="F31" s="299" t="s">
        <v>95</v>
      </c>
      <c r="G31" s="299"/>
      <c r="H31" s="182" t="n">
        <v>1</v>
      </c>
      <c r="I31" s="182" t="n">
        <v>162</v>
      </c>
      <c r="J31" s="182" t="s">
        <v>46</v>
      </c>
      <c r="K31" s="183" t="n">
        <f aca="false">IF(I31="",0,(I31/I35)*100)</f>
        <v>100</v>
      </c>
      <c r="L31" s="182" t="n">
        <v>1</v>
      </c>
      <c r="M31" s="300" t="n">
        <v>6</v>
      </c>
      <c r="N31" s="301" t="n">
        <f aca="false">IF(L31=1,1,0)</f>
        <v>1</v>
      </c>
      <c r="O31" s="85" t="n">
        <f aca="false">IF(L31=2,1,0)</f>
        <v>0</v>
      </c>
      <c r="P31" s="85" t="n">
        <f aca="false">IF(L31=3,1,0)</f>
        <v>0</v>
      </c>
      <c r="Q31" s="84" t="n">
        <f aca="false">IF(L31=4,1,0)</f>
        <v>0</v>
      </c>
      <c r="R31" s="302"/>
      <c r="S31" s="76"/>
      <c r="T31" s="39"/>
    </row>
    <row r="32" customFormat="false" ht="45" hidden="false" customHeight="true" outlineLevel="0" collapsed="false">
      <c r="B32" s="39"/>
      <c r="C32" s="76"/>
      <c r="D32" s="297"/>
      <c r="E32" s="303" t="s">
        <v>16</v>
      </c>
      <c r="F32" s="304" t="s">
        <v>98</v>
      </c>
      <c r="G32" s="304"/>
      <c r="H32" s="18" t="n">
        <v>4</v>
      </c>
      <c r="I32" s="18" t="n">
        <v>124</v>
      </c>
      <c r="J32" s="18" t="s">
        <v>46</v>
      </c>
      <c r="K32" s="86" t="n">
        <f aca="false">IF(I32="",0,(I32/I35)*100)</f>
        <v>76.5432098765432</v>
      </c>
      <c r="L32" s="18" t="n">
        <v>2</v>
      </c>
      <c r="M32" s="19" t="n">
        <v>3</v>
      </c>
      <c r="N32" s="305" t="n">
        <f aca="false">IF(L32=1,1,0)</f>
        <v>0</v>
      </c>
      <c r="O32" s="88" t="n">
        <f aca="false">IF(L32=2,1,0)</f>
        <v>1</v>
      </c>
      <c r="P32" s="88" t="n">
        <f aca="false">IF(L32=3,1,0)</f>
        <v>0</v>
      </c>
      <c r="Q32" s="87" t="n">
        <f aca="false">IF(L32=4,1,0)</f>
        <v>0</v>
      </c>
      <c r="R32" s="302"/>
      <c r="S32" s="76"/>
      <c r="T32" s="39"/>
    </row>
    <row r="33" customFormat="false" ht="45" hidden="false" customHeight="true" outlineLevel="0" collapsed="false">
      <c r="B33" s="39"/>
      <c r="C33" s="76"/>
      <c r="D33" s="297"/>
      <c r="E33" s="303" t="s">
        <v>29</v>
      </c>
      <c r="F33" s="304" t="s">
        <v>99</v>
      </c>
      <c r="G33" s="304"/>
      <c r="H33" s="18" t="n">
        <v>3</v>
      </c>
      <c r="I33" s="18" t="n">
        <v>103</v>
      </c>
      <c r="J33" s="18" t="s">
        <v>46</v>
      </c>
      <c r="K33" s="86" t="n">
        <f aca="false">IF(I33="",0,(I33/I35)*100)</f>
        <v>63.5802469135803</v>
      </c>
      <c r="L33" s="18" t="n">
        <v>4</v>
      </c>
      <c r="M33" s="19" t="n">
        <v>0</v>
      </c>
      <c r="N33" s="305" t="n">
        <f aca="false">IF(L33=1,1,0)</f>
        <v>0</v>
      </c>
      <c r="O33" s="88" t="n">
        <f aca="false">IF(L33=2,1,0)</f>
        <v>0</v>
      </c>
      <c r="P33" s="88" t="n">
        <f aca="false">IF(L33=3,1,0)</f>
        <v>0</v>
      </c>
      <c r="Q33" s="87" t="n">
        <f aca="false">IF(L33=4,1,0)</f>
        <v>1</v>
      </c>
      <c r="R33" s="302"/>
      <c r="S33" s="76"/>
      <c r="T33" s="39"/>
    </row>
    <row r="34" customFormat="false" ht="45" hidden="false" customHeight="true" outlineLevel="0" collapsed="false">
      <c r="B34" s="39"/>
      <c r="C34" s="76"/>
      <c r="D34" s="306"/>
      <c r="E34" s="307" t="s">
        <v>10</v>
      </c>
      <c r="F34" s="308" t="s">
        <v>100</v>
      </c>
      <c r="G34" s="308"/>
      <c r="H34" s="186" t="n">
        <v>2</v>
      </c>
      <c r="I34" s="186" t="n">
        <v>105</v>
      </c>
      <c r="J34" s="186" t="s">
        <v>46</v>
      </c>
      <c r="K34" s="116" t="n">
        <f aca="false">IF(I34="",0,(I34/I35)*100)</f>
        <v>64.8148148148148</v>
      </c>
      <c r="L34" s="186" t="n">
        <v>3</v>
      </c>
      <c r="M34" s="309" t="n">
        <v>1</v>
      </c>
      <c r="N34" s="310" t="n">
        <f aca="false">IF(L34=1,1,0)</f>
        <v>0</v>
      </c>
      <c r="O34" s="95" t="n">
        <f aca="false">IF(L34=2,1,0)</f>
        <v>0</v>
      </c>
      <c r="P34" s="95" t="n">
        <f aca="false">IF(L34=3,1,0)</f>
        <v>1</v>
      </c>
      <c r="Q34" s="117" t="n">
        <f aca="false">IF(L34=4,1,0)</f>
        <v>0</v>
      </c>
      <c r="R34" s="302"/>
      <c r="S34" s="76"/>
      <c r="T34" s="39"/>
    </row>
    <row r="35" customFormat="false" ht="15.75" hidden="true" customHeight="false" outlineLevel="1" collapsed="false">
      <c r="B35" s="39"/>
      <c r="C35" s="76"/>
      <c r="D35" s="311"/>
      <c r="E35" s="311"/>
      <c r="F35" s="312"/>
      <c r="G35" s="312"/>
      <c r="H35" s="97" t="s">
        <v>62</v>
      </c>
      <c r="I35" s="98" t="n">
        <f aca="false">MAX(I31:I34)</f>
        <v>162</v>
      </c>
      <c r="J35" s="313"/>
      <c r="K35" s="314"/>
      <c r="L35" s="313"/>
      <c r="M35" s="315" t="s">
        <v>63</v>
      </c>
      <c r="N35" s="102" t="n">
        <f aca="false">SUM(N31:N34)</f>
        <v>1</v>
      </c>
      <c r="O35" s="103" t="n">
        <f aca="false">SUM(O31:O34)</f>
        <v>1</v>
      </c>
      <c r="P35" s="102" t="n">
        <f aca="false">SUM(P31:P34)</f>
        <v>1</v>
      </c>
      <c r="Q35" s="102" t="n">
        <f aca="false">SUM(Q31:Q34)</f>
        <v>1</v>
      </c>
      <c r="R35" s="316"/>
      <c r="S35" s="76"/>
      <c r="T35" s="39"/>
    </row>
    <row r="36" customFormat="false" ht="15" hidden="false" customHeight="false" outlineLevel="0" collapsed="false">
      <c r="B36" s="39"/>
      <c r="C36" s="76"/>
      <c r="D36" s="105"/>
      <c r="E36" s="105"/>
      <c r="F36" s="106"/>
      <c r="G36" s="106"/>
      <c r="H36" s="78"/>
      <c r="I36" s="76"/>
      <c r="J36" s="76"/>
      <c r="K36" s="76"/>
      <c r="L36" s="76"/>
      <c r="M36" s="76"/>
      <c r="N36" s="76"/>
      <c r="O36" s="76"/>
      <c r="P36" s="76"/>
      <c r="Q36" s="76"/>
      <c r="R36" s="76"/>
      <c r="S36" s="76"/>
      <c r="T36" s="39"/>
    </row>
    <row r="37" customFormat="false" ht="15" hidden="false" customHeight="false" outlineLevel="0" collapsed="false">
      <c r="B37" s="39"/>
      <c r="F37" s="120"/>
      <c r="G37" s="120"/>
      <c r="T37" s="39"/>
    </row>
    <row r="38" customFormat="false" ht="15.75" hidden="false" customHeight="false" outlineLevel="0" collapsed="false">
      <c r="B38" s="39"/>
      <c r="C38" s="107"/>
      <c r="D38" s="317" t="str">
        <f aca="false">IF(OR(L25="-",L25= ""),H25,L25)</f>
        <v>Orakel von Delphi</v>
      </c>
      <c r="E38" s="317"/>
      <c r="F38" s="317"/>
      <c r="G38" s="317"/>
      <c r="H38" s="317"/>
      <c r="I38" s="317"/>
      <c r="J38" s="317"/>
      <c r="K38" s="317"/>
      <c r="L38" s="317"/>
      <c r="M38" s="317"/>
      <c r="N38" s="109"/>
      <c r="O38" s="109"/>
      <c r="P38" s="109"/>
      <c r="Q38" s="109"/>
      <c r="R38" s="109"/>
      <c r="S38" s="107"/>
      <c r="T38" s="39"/>
    </row>
    <row r="39" customFormat="false" ht="60" hidden="false" customHeight="true" outlineLevel="0" collapsed="false">
      <c r="B39" s="39"/>
      <c r="C39" s="107"/>
      <c r="D39" s="109"/>
      <c r="E39" s="263" t="s">
        <v>36</v>
      </c>
      <c r="F39" s="318" t="s">
        <v>92</v>
      </c>
      <c r="G39" s="318"/>
      <c r="H39" s="294" t="s">
        <v>52</v>
      </c>
      <c r="I39" s="294" t="s">
        <v>53</v>
      </c>
      <c r="J39" s="295" t="s">
        <v>54</v>
      </c>
      <c r="K39" s="264" t="s">
        <v>55</v>
      </c>
      <c r="L39" s="296" t="s">
        <v>56</v>
      </c>
      <c r="M39" s="294" t="s">
        <v>57</v>
      </c>
      <c r="N39" s="43" t="s">
        <v>58</v>
      </c>
      <c r="O39" s="79" t="s">
        <v>59</v>
      </c>
      <c r="P39" s="79" t="s">
        <v>60</v>
      </c>
      <c r="Q39" s="79" t="s">
        <v>61</v>
      </c>
      <c r="R39" s="109"/>
      <c r="S39" s="107"/>
      <c r="T39" s="39"/>
    </row>
    <row r="40" customFormat="false" ht="45" hidden="false" customHeight="true" outlineLevel="0" collapsed="false">
      <c r="B40" s="39"/>
      <c r="C40" s="107"/>
      <c r="D40" s="319"/>
      <c r="E40" s="298" t="s">
        <v>14</v>
      </c>
      <c r="F40" s="299" t="s">
        <v>95</v>
      </c>
      <c r="G40" s="299"/>
      <c r="H40" s="182" t="n">
        <v>2</v>
      </c>
      <c r="I40" s="320" t="s">
        <v>119</v>
      </c>
      <c r="J40" s="320" t="s">
        <v>120</v>
      </c>
      <c r="K40" s="321" t="n">
        <v>100</v>
      </c>
      <c r="L40" s="182" t="n">
        <v>1</v>
      </c>
      <c r="M40" s="300" t="n">
        <v>6</v>
      </c>
      <c r="N40" s="301" t="n">
        <f aca="false">IF(L40=1,1,0)</f>
        <v>1</v>
      </c>
      <c r="O40" s="85" t="n">
        <f aca="false">IF(L40=2,1,0)</f>
        <v>0</v>
      </c>
      <c r="P40" s="85" t="n">
        <f aca="false">IF(L40=3,1,0)</f>
        <v>0</v>
      </c>
      <c r="Q40" s="84" t="n">
        <f aca="false">IF(L40=4,1,0)</f>
        <v>0</v>
      </c>
      <c r="R40" s="322"/>
      <c r="S40" s="107"/>
      <c r="T40" s="39"/>
    </row>
    <row r="41" customFormat="false" ht="45" hidden="false" customHeight="true" outlineLevel="0" collapsed="false">
      <c r="B41" s="39"/>
      <c r="C41" s="107"/>
      <c r="D41" s="323"/>
      <c r="E41" s="303" t="s">
        <v>16</v>
      </c>
      <c r="F41" s="304" t="s">
        <v>98</v>
      </c>
      <c r="G41" s="304"/>
      <c r="H41" s="324" t="n">
        <v>3</v>
      </c>
      <c r="I41" s="325" t="s">
        <v>121</v>
      </c>
      <c r="J41" s="324" t="s">
        <v>46</v>
      </c>
      <c r="K41" s="326" t="n">
        <f aca="false">(K34+K52+K59)/3</f>
        <v>54.5611976984526</v>
      </c>
      <c r="L41" s="324" t="n">
        <v>3</v>
      </c>
      <c r="M41" s="327" t="n">
        <v>1</v>
      </c>
      <c r="N41" s="305" t="n">
        <f aca="false">IF(L41=1,1,0)</f>
        <v>0</v>
      </c>
      <c r="O41" s="88" t="n">
        <f aca="false">IF(L41=2,1,0)</f>
        <v>0</v>
      </c>
      <c r="P41" s="88" t="n">
        <f aca="false">IF(L41=3,1,0)</f>
        <v>1</v>
      </c>
      <c r="Q41" s="87" t="n">
        <f aca="false">IF(L41=4,1,0)</f>
        <v>0</v>
      </c>
      <c r="R41" s="322"/>
      <c r="S41" s="107"/>
      <c r="T41" s="39"/>
    </row>
    <row r="42" customFormat="false" ht="45" hidden="false" customHeight="true" outlineLevel="0" collapsed="false">
      <c r="B42" s="39"/>
      <c r="C42" s="107"/>
      <c r="D42" s="319"/>
      <c r="E42" s="303" t="s">
        <v>29</v>
      </c>
      <c r="F42" s="304" t="s">
        <v>99</v>
      </c>
      <c r="G42" s="304"/>
      <c r="H42" s="18" t="n">
        <v>4</v>
      </c>
      <c r="I42" s="328" t="s">
        <v>119</v>
      </c>
      <c r="J42" s="328" t="s">
        <v>122</v>
      </c>
      <c r="K42" s="326" t="n">
        <v>100</v>
      </c>
      <c r="L42" s="18" t="n">
        <v>2</v>
      </c>
      <c r="M42" s="19" t="n">
        <v>3</v>
      </c>
      <c r="N42" s="305" t="n">
        <f aca="false">IF(L42=1,1,0)</f>
        <v>0</v>
      </c>
      <c r="O42" s="88" t="n">
        <f aca="false">IF(L42=2,1,0)</f>
        <v>1</v>
      </c>
      <c r="P42" s="88" t="n">
        <f aca="false">IF(L42=3,1,0)</f>
        <v>0</v>
      </c>
      <c r="Q42" s="87" t="n">
        <f aca="false">IF(L42=4,1,0)</f>
        <v>0</v>
      </c>
      <c r="R42" s="322"/>
      <c r="S42" s="107"/>
      <c r="T42" s="39"/>
    </row>
    <row r="43" customFormat="false" ht="45" hidden="false" customHeight="true" outlineLevel="0" collapsed="false">
      <c r="B43" s="39"/>
      <c r="C43" s="107"/>
      <c r="D43" s="319"/>
      <c r="E43" s="307" t="s">
        <v>10</v>
      </c>
      <c r="F43" s="308" t="s">
        <v>100</v>
      </c>
      <c r="G43" s="308"/>
      <c r="H43" s="22" t="n">
        <v>1</v>
      </c>
      <c r="I43" s="329" t="s">
        <v>123</v>
      </c>
      <c r="J43" s="22" t="s">
        <v>46</v>
      </c>
      <c r="K43" s="330" t="n">
        <f aca="false">(K33+K49+K61)/3</f>
        <v>51.5855725006052</v>
      </c>
      <c r="L43" s="22" t="n">
        <v>4</v>
      </c>
      <c r="M43" s="23" t="n">
        <v>0</v>
      </c>
      <c r="N43" s="310" t="n">
        <f aca="false">IF(L43=1,1,0)</f>
        <v>0</v>
      </c>
      <c r="O43" s="95" t="n">
        <f aca="false">IF(L43=2,1,0)</f>
        <v>0</v>
      </c>
      <c r="P43" s="95" t="n">
        <f aca="false">IF(L43=3,1,0)</f>
        <v>0</v>
      </c>
      <c r="Q43" s="117" t="n">
        <f aca="false">IF(L43=4,1,0)</f>
        <v>1</v>
      </c>
      <c r="R43" s="322"/>
      <c r="S43" s="107"/>
      <c r="T43" s="39"/>
    </row>
    <row r="44" customFormat="false" ht="15.75" hidden="true" customHeight="false" outlineLevel="1" collapsed="false">
      <c r="B44" s="39"/>
      <c r="C44" s="107"/>
      <c r="D44" s="319"/>
      <c r="E44" s="319"/>
      <c r="F44" s="109"/>
      <c r="G44" s="109"/>
      <c r="H44" s="331" t="s">
        <v>62</v>
      </c>
      <c r="I44" s="98" t="n">
        <f aca="false">MAX(I40:I43)</f>
        <v>0</v>
      </c>
      <c r="J44" s="322"/>
      <c r="K44" s="332"/>
      <c r="L44" s="322"/>
      <c r="M44" s="333" t="s">
        <v>63</v>
      </c>
      <c r="N44" s="102" t="n">
        <f aca="false">SUM(N40:N43)</f>
        <v>1</v>
      </c>
      <c r="O44" s="103" t="n">
        <f aca="false">SUM(O40:O43)</f>
        <v>1</v>
      </c>
      <c r="P44" s="102" t="n">
        <f aca="false">SUM(P40:P43)</f>
        <v>1</v>
      </c>
      <c r="Q44" s="104" t="n">
        <f aca="false">SUM(Q40:Q43)</f>
        <v>1</v>
      </c>
      <c r="R44" s="334"/>
      <c r="S44" s="107"/>
      <c r="T44" s="39"/>
    </row>
    <row r="45" customFormat="false" ht="15" hidden="false" customHeight="false" outlineLevel="0" collapsed="false">
      <c r="B45" s="39"/>
      <c r="C45" s="107"/>
      <c r="D45" s="123"/>
      <c r="E45" s="123"/>
      <c r="F45" s="107"/>
      <c r="G45" s="107"/>
      <c r="H45" s="107"/>
      <c r="I45" s="107"/>
      <c r="J45" s="107"/>
      <c r="K45" s="107"/>
      <c r="L45" s="107"/>
      <c r="M45" s="107"/>
      <c r="N45" s="107"/>
      <c r="O45" s="107"/>
      <c r="P45" s="107"/>
      <c r="Q45" s="107"/>
      <c r="R45" s="107"/>
      <c r="S45" s="107"/>
      <c r="T45" s="39"/>
    </row>
    <row r="46" customFormat="false" ht="15" hidden="false" customHeight="false" outlineLevel="0" collapsed="false">
      <c r="B46" s="39"/>
      <c r="D46" s="124"/>
      <c r="E46" s="124"/>
      <c r="F46" s="124"/>
      <c r="G46" s="124"/>
      <c r="H46" s="125"/>
      <c r="I46" s="124"/>
      <c r="J46" s="124"/>
      <c r="K46" s="36"/>
      <c r="L46" s="36"/>
      <c r="M46" s="36"/>
      <c r="N46" s="36"/>
      <c r="O46" s="36"/>
      <c r="P46" s="36"/>
      <c r="Q46" s="36"/>
      <c r="R46" s="36"/>
      <c r="T46" s="39"/>
    </row>
    <row r="47" customFormat="false" ht="15" hidden="false" customHeight="true" outlineLevel="0" collapsed="false">
      <c r="B47" s="39"/>
      <c r="C47" s="126"/>
      <c r="D47" s="335" t="str">
        <f aca="false">IF(OR(L26="-",L26= ""),H26,L26)</f>
        <v>6 Nimmt!</v>
      </c>
      <c r="E47" s="335"/>
      <c r="F47" s="335"/>
      <c r="G47" s="335"/>
      <c r="H47" s="335"/>
      <c r="I47" s="335"/>
      <c r="J47" s="335"/>
      <c r="K47" s="335"/>
      <c r="L47" s="335"/>
      <c r="M47" s="335"/>
      <c r="N47" s="128"/>
      <c r="O47" s="128"/>
      <c r="P47" s="128"/>
      <c r="Q47" s="128"/>
      <c r="R47" s="128"/>
      <c r="S47" s="126"/>
      <c r="T47" s="129"/>
      <c r="U47" s="130"/>
      <c r="V47" s="130"/>
    </row>
    <row r="48" customFormat="false" ht="60" hidden="false" customHeight="true" outlineLevel="0" collapsed="false">
      <c r="B48" s="39"/>
      <c r="C48" s="126"/>
      <c r="D48" s="128"/>
      <c r="E48" s="263" t="s">
        <v>36</v>
      </c>
      <c r="F48" s="266" t="s">
        <v>92</v>
      </c>
      <c r="G48" s="266"/>
      <c r="H48" s="265" t="s">
        <v>52</v>
      </c>
      <c r="I48" s="294" t="s">
        <v>53</v>
      </c>
      <c r="J48" s="295" t="s">
        <v>54</v>
      </c>
      <c r="K48" s="264" t="s">
        <v>55</v>
      </c>
      <c r="L48" s="296" t="s">
        <v>56</v>
      </c>
      <c r="M48" s="294" t="s">
        <v>57</v>
      </c>
      <c r="N48" s="43" t="s">
        <v>58</v>
      </c>
      <c r="O48" s="79" t="s">
        <v>59</v>
      </c>
      <c r="P48" s="79" t="s">
        <v>60</v>
      </c>
      <c r="Q48" s="82" t="s">
        <v>61</v>
      </c>
      <c r="R48" s="128"/>
      <c r="S48" s="126"/>
      <c r="T48" s="129"/>
      <c r="U48" s="130"/>
      <c r="V48" s="130"/>
    </row>
    <row r="49" customFormat="false" ht="45" hidden="false" customHeight="true" outlineLevel="0" collapsed="false">
      <c r="B49" s="39"/>
      <c r="C49" s="126"/>
      <c r="D49" s="336"/>
      <c r="E49" s="337" t="s">
        <v>14</v>
      </c>
      <c r="F49" s="338" t="s">
        <v>95</v>
      </c>
      <c r="G49" s="338"/>
      <c r="H49" s="11" t="s">
        <v>46</v>
      </c>
      <c r="I49" s="11" t="n">
        <v>0</v>
      </c>
      <c r="J49" s="11" t="s">
        <v>46</v>
      </c>
      <c r="K49" s="83" t="n">
        <f aca="false">IF(I49="",0,(I49/I53)*100)</f>
        <v>0</v>
      </c>
      <c r="L49" s="11" t="n">
        <v>4</v>
      </c>
      <c r="M49" s="12" t="n">
        <v>0</v>
      </c>
      <c r="N49" s="85" t="n">
        <f aca="false">IF(L49=1,1,0)</f>
        <v>0</v>
      </c>
      <c r="O49" s="85" t="n">
        <f aca="false">IF(L49=2,1,0)</f>
        <v>0</v>
      </c>
      <c r="P49" s="85" t="n">
        <f aca="false">IF(L49=3,1,0)</f>
        <v>0</v>
      </c>
      <c r="Q49" s="84" t="n">
        <f aca="false">IF(L49=4,1,0)</f>
        <v>1</v>
      </c>
      <c r="R49" s="339"/>
      <c r="S49" s="126"/>
      <c r="T49" s="131"/>
      <c r="U49" s="36"/>
      <c r="V49" s="36"/>
    </row>
    <row r="50" customFormat="false" ht="45" hidden="false" customHeight="true" outlineLevel="0" collapsed="false">
      <c r="B50" s="39"/>
      <c r="C50" s="126"/>
      <c r="D50" s="340"/>
      <c r="E50" s="303" t="s">
        <v>16</v>
      </c>
      <c r="F50" s="304" t="s">
        <v>98</v>
      </c>
      <c r="G50" s="304"/>
      <c r="H50" s="324" t="s">
        <v>46</v>
      </c>
      <c r="I50" s="324" t="n">
        <v>2</v>
      </c>
      <c r="J50" s="324" t="s">
        <v>46</v>
      </c>
      <c r="K50" s="341" t="n">
        <f aca="false">IF(I50="",0,(I50/I53)*100)</f>
        <v>15.3846153846154</v>
      </c>
      <c r="L50" s="324" t="n">
        <v>2</v>
      </c>
      <c r="M50" s="327" t="n">
        <v>3</v>
      </c>
      <c r="N50" s="88" t="n">
        <f aca="false">IF(L50=1,1,0)</f>
        <v>0</v>
      </c>
      <c r="O50" s="88" t="n">
        <f aca="false">IF(L50=2,1,0)</f>
        <v>1</v>
      </c>
      <c r="P50" s="88" t="n">
        <f aca="false">IF(L50=3,1,0)</f>
        <v>0</v>
      </c>
      <c r="Q50" s="87" t="n">
        <f aca="false">IF(L50=4,1,0)</f>
        <v>0</v>
      </c>
      <c r="R50" s="339"/>
      <c r="S50" s="126"/>
      <c r="T50" s="132"/>
      <c r="U50" s="36"/>
      <c r="V50" s="36"/>
    </row>
    <row r="51" customFormat="false" ht="45" hidden="false" customHeight="true" outlineLevel="0" collapsed="false">
      <c r="B51" s="39"/>
      <c r="C51" s="126"/>
      <c r="D51" s="336"/>
      <c r="E51" s="342" t="s">
        <v>29</v>
      </c>
      <c r="F51" s="343" t="s">
        <v>99</v>
      </c>
      <c r="G51" s="343"/>
      <c r="H51" s="112" t="s">
        <v>46</v>
      </c>
      <c r="I51" s="112" t="n">
        <v>13</v>
      </c>
      <c r="J51" s="112" t="s">
        <v>46</v>
      </c>
      <c r="K51" s="113" t="n">
        <f aca="false">IF(I51="",0,(I51/I53)*100)</f>
        <v>100</v>
      </c>
      <c r="L51" s="112" t="n">
        <v>1</v>
      </c>
      <c r="M51" s="344" t="n">
        <v>6</v>
      </c>
      <c r="N51" s="88" t="n">
        <f aca="false">IF(L51=1,1,0)</f>
        <v>1</v>
      </c>
      <c r="O51" s="88" t="n">
        <f aca="false">IF(L51=2,1,0)</f>
        <v>0</v>
      </c>
      <c r="P51" s="88" t="n">
        <f aca="false">IF(L51=3,1,0)</f>
        <v>0</v>
      </c>
      <c r="Q51" s="87" t="n">
        <f aca="false">IF(L51=4,1,0)</f>
        <v>0</v>
      </c>
      <c r="R51" s="339"/>
      <c r="S51" s="126"/>
      <c r="T51" s="132"/>
      <c r="U51" s="36"/>
      <c r="V51" s="36"/>
    </row>
    <row r="52" customFormat="false" ht="45" hidden="false" customHeight="true" outlineLevel="0" collapsed="false">
      <c r="B52" s="39"/>
      <c r="C52" s="126"/>
      <c r="D52" s="336"/>
      <c r="E52" s="307" t="s">
        <v>10</v>
      </c>
      <c r="F52" s="308" t="s">
        <v>100</v>
      </c>
      <c r="G52" s="308"/>
      <c r="H52" s="22" t="s">
        <v>46</v>
      </c>
      <c r="I52" s="22" t="n">
        <v>1</v>
      </c>
      <c r="J52" s="22" t="s">
        <v>46</v>
      </c>
      <c r="K52" s="116" t="n">
        <f aca="false">IF(I52="",0,(I52/I53)*100)</f>
        <v>7.69230769230769</v>
      </c>
      <c r="L52" s="22" t="n">
        <v>3</v>
      </c>
      <c r="M52" s="23" t="n">
        <v>1</v>
      </c>
      <c r="N52" s="95" t="n">
        <f aca="false">IF(L52=1,1,0)</f>
        <v>0</v>
      </c>
      <c r="O52" s="95" t="n">
        <f aca="false">IF(L52=2,1,0)</f>
        <v>0</v>
      </c>
      <c r="P52" s="95" t="n">
        <f aca="false">IF(L52=3,1,0)</f>
        <v>1</v>
      </c>
      <c r="Q52" s="117" t="n">
        <f aca="false">IF(L52=4,1,0)</f>
        <v>0</v>
      </c>
      <c r="R52" s="339"/>
      <c r="S52" s="126"/>
      <c r="T52" s="132"/>
      <c r="U52" s="36"/>
      <c r="V52" s="36"/>
    </row>
    <row r="53" customFormat="false" ht="15.75" hidden="true" customHeight="false" outlineLevel="1" collapsed="false">
      <c r="B53" s="39"/>
      <c r="C53" s="126"/>
      <c r="D53" s="336"/>
      <c r="E53" s="336"/>
      <c r="F53" s="339"/>
      <c r="G53" s="339"/>
      <c r="H53" s="345" t="s">
        <v>62</v>
      </c>
      <c r="I53" s="98" t="n">
        <f aca="false">MAX(I49:I52)</f>
        <v>13</v>
      </c>
      <c r="J53" s="339"/>
      <c r="K53" s="346"/>
      <c r="L53" s="339"/>
      <c r="M53" s="333" t="s">
        <v>63</v>
      </c>
      <c r="N53" s="102" t="n">
        <f aca="false">SUM(N49:N52)</f>
        <v>1</v>
      </c>
      <c r="O53" s="103" t="n">
        <f aca="false">SUM(O49:O52)</f>
        <v>1</v>
      </c>
      <c r="P53" s="102" t="n">
        <f aca="false">SUM(P49:P52)</f>
        <v>1</v>
      </c>
      <c r="Q53" s="104" t="n">
        <f aca="false">SUM(Q49:Q52)</f>
        <v>1</v>
      </c>
      <c r="R53" s="347"/>
      <c r="S53" s="126"/>
      <c r="T53" s="132"/>
      <c r="U53" s="36"/>
      <c r="V53" s="36"/>
    </row>
    <row r="54" customFormat="false" ht="15" hidden="false" customHeight="false" outlineLevel="0" collapsed="false">
      <c r="B54" s="39"/>
      <c r="C54" s="126"/>
      <c r="D54" s="133"/>
      <c r="E54" s="133"/>
      <c r="F54" s="126"/>
      <c r="G54" s="126"/>
      <c r="H54" s="126"/>
      <c r="I54" s="126"/>
      <c r="J54" s="126"/>
      <c r="K54" s="126"/>
      <c r="L54" s="126"/>
      <c r="M54" s="126"/>
      <c r="N54" s="126"/>
      <c r="O54" s="126"/>
      <c r="P54" s="126"/>
      <c r="Q54" s="126"/>
      <c r="R54" s="126"/>
      <c r="S54" s="126"/>
      <c r="T54" s="132"/>
      <c r="U54" s="36"/>
      <c r="V54" s="36"/>
    </row>
    <row r="55" customFormat="false" ht="15" hidden="false" customHeight="false" outlineLevel="0" collapsed="false">
      <c r="B55" s="39"/>
      <c r="D55" s="124"/>
      <c r="E55" s="124"/>
      <c r="F55" s="124"/>
      <c r="G55" s="124"/>
      <c r="H55" s="125"/>
      <c r="I55" s="124"/>
      <c r="J55" s="124"/>
      <c r="K55" s="124"/>
      <c r="L55" s="36"/>
      <c r="M55" s="36"/>
      <c r="N55" s="36"/>
      <c r="O55" s="36"/>
      <c r="P55" s="36"/>
      <c r="Q55" s="36"/>
      <c r="R55" s="36"/>
      <c r="T55" s="131"/>
      <c r="U55" s="36"/>
      <c r="V55" s="36"/>
    </row>
    <row r="56" customFormat="false" ht="15.75" hidden="false" customHeight="false" outlineLevel="0" collapsed="false">
      <c r="B56" s="39"/>
      <c r="C56" s="134"/>
      <c r="D56" s="348" t="str">
        <f aca="false">IF(OR(L27="-",L27= ""),H27,L27)</f>
        <v>Hawaii</v>
      </c>
      <c r="E56" s="348"/>
      <c r="F56" s="348"/>
      <c r="G56" s="348"/>
      <c r="H56" s="348"/>
      <c r="I56" s="348"/>
      <c r="J56" s="348"/>
      <c r="K56" s="348"/>
      <c r="L56" s="348"/>
      <c r="M56" s="348"/>
      <c r="N56" s="136"/>
      <c r="O56" s="136"/>
      <c r="P56" s="136"/>
      <c r="Q56" s="136"/>
      <c r="R56" s="136"/>
      <c r="S56" s="134"/>
      <c r="T56" s="39"/>
    </row>
    <row r="57" customFormat="false" ht="60" hidden="false" customHeight="true" outlineLevel="0" collapsed="false">
      <c r="B57" s="39"/>
      <c r="C57" s="134"/>
      <c r="D57" s="136"/>
      <c r="E57" s="263" t="s">
        <v>36</v>
      </c>
      <c r="F57" s="266" t="s">
        <v>92</v>
      </c>
      <c r="G57" s="266"/>
      <c r="H57" s="265" t="s">
        <v>52</v>
      </c>
      <c r="I57" s="294" t="s">
        <v>53</v>
      </c>
      <c r="J57" s="295" t="s">
        <v>54</v>
      </c>
      <c r="K57" s="264" t="s">
        <v>55</v>
      </c>
      <c r="L57" s="296" t="s">
        <v>56</v>
      </c>
      <c r="M57" s="294" t="s">
        <v>57</v>
      </c>
      <c r="N57" s="43" t="s">
        <v>58</v>
      </c>
      <c r="O57" s="79" t="s">
        <v>59</v>
      </c>
      <c r="P57" s="79" t="s">
        <v>60</v>
      </c>
      <c r="Q57" s="82" t="s">
        <v>61</v>
      </c>
      <c r="R57" s="136"/>
      <c r="S57" s="134"/>
      <c r="T57" s="39"/>
    </row>
    <row r="58" customFormat="false" ht="45" hidden="false" customHeight="true" outlineLevel="0" collapsed="false">
      <c r="B58" s="39"/>
      <c r="C58" s="134"/>
      <c r="D58" s="349"/>
      <c r="E58" s="298" t="s">
        <v>14</v>
      </c>
      <c r="F58" s="299" t="s">
        <v>95</v>
      </c>
      <c r="G58" s="299"/>
      <c r="H58" s="182" t="n">
        <v>1</v>
      </c>
      <c r="I58" s="182" t="n">
        <v>102</v>
      </c>
      <c r="J58" s="182" t="s">
        <v>46</v>
      </c>
      <c r="K58" s="183" t="n">
        <f aca="false">IF(I58="",0,(I58/I62)*100)</f>
        <v>100</v>
      </c>
      <c r="L58" s="182" t="n">
        <v>1</v>
      </c>
      <c r="M58" s="300" t="n">
        <v>6</v>
      </c>
      <c r="N58" s="85" t="n">
        <f aca="false">IF(L58=1,1,0)</f>
        <v>1</v>
      </c>
      <c r="O58" s="85" t="n">
        <f aca="false">IF(L58=2,1,0)</f>
        <v>0</v>
      </c>
      <c r="P58" s="85" t="n">
        <f aca="false">IF(L58=3,1,0)</f>
        <v>0</v>
      </c>
      <c r="Q58" s="84" t="n">
        <f aca="false">IF(L58=4,1,0)</f>
        <v>0</v>
      </c>
      <c r="R58" s="350"/>
      <c r="S58" s="134"/>
      <c r="T58" s="39"/>
    </row>
    <row r="59" customFormat="false" ht="45" hidden="false" customHeight="true" outlineLevel="0" collapsed="false">
      <c r="B59" s="39"/>
      <c r="C59" s="134"/>
      <c r="D59" s="349"/>
      <c r="E59" s="303" t="s">
        <v>16</v>
      </c>
      <c r="F59" s="304" t="s">
        <v>98</v>
      </c>
      <c r="G59" s="304"/>
      <c r="H59" s="18" t="n">
        <v>4</v>
      </c>
      <c r="I59" s="18" t="n">
        <v>93</v>
      </c>
      <c r="J59" s="328" t="s">
        <v>124</v>
      </c>
      <c r="K59" s="86" t="n">
        <f aca="false">IF(I59="",0,(I59/I62)*100)</f>
        <v>91.1764705882353</v>
      </c>
      <c r="L59" s="18" t="n">
        <v>3</v>
      </c>
      <c r="M59" s="19" t="n">
        <v>0.5</v>
      </c>
      <c r="N59" s="88" t="n">
        <f aca="false">IF(L59=1,1,0)</f>
        <v>0</v>
      </c>
      <c r="O59" s="88" t="n">
        <f aca="false">IF(L59=2,1,0)</f>
        <v>0</v>
      </c>
      <c r="P59" s="88" t="n">
        <f aca="false">IF(L59=3,1,0)</f>
        <v>1</v>
      </c>
      <c r="Q59" s="87" t="n">
        <f aca="false">IF(L59=4,1,0)</f>
        <v>0</v>
      </c>
      <c r="R59" s="350"/>
      <c r="S59" s="134"/>
      <c r="T59" s="39"/>
    </row>
    <row r="60" customFormat="false" ht="45" hidden="false" customHeight="true" outlineLevel="0" collapsed="false">
      <c r="B60" s="39"/>
      <c r="C60" s="134"/>
      <c r="D60" s="349"/>
      <c r="E60" s="303" t="s">
        <v>29</v>
      </c>
      <c r="F60" s="304" t="s">
        <v>99</v>
      </c>
      <c r="G60" s="304"/>
      <c r="H60" s="18" t="n">
        <v>2</v>
      </c>
      <c r="I60" s="18" t="n">
        <v>99</v>
      </c>
      <c r="J60" s="18" t="s">
        <v>46</v>
      </c>
      <c r="K60" s="86" t="n">
        <f aca="false">IF(I60="",0,(I60/I62)*100)</f>
        <v>97.0588235294118</v>
      </c>
      <c r="L60" s="18" t="n">
        <v>2</v>
      </c>
      <c r="M60" s="19" t="n">
        <v>3</v>
      </c>
      <c r="N60" s="88" t="n">
        <f aca="false">IF(L60=1,1,0)</f>
        <v>0</v>
      </c>
      <c r="O60" s="88" t="n">
        <f aca="false">IF(L60=2,1,0)</f>
        <v>1</v>
      </c>
      <c r="P60" s="88" t="n">
        <f aca="false">IF(L60=3,1,0)</f>
        <v>0</v>
      </c>
      <c r="Q60" s="87" t="n">
        <f aca="false">IF(L60=4,1,0)</f>
        <v>0</v>
      </c>
      <c r="R60" s="350"/>
      <c r="S60" s="134"/>
      <c r="T60" s="39"/>
    </row>
    <row r="61" customFormat="false" ht="45" hidden="false" customHeight="true" outlineLevel="0" collapsed="false">
      <c r="B61" s="39"/>
      <c r="C61" s="134"/>
      <c r="D61" s="351"/>
      <c r="E61" s="307" t="s">
        <v>10</v>
      </c>
      <c r="F61" s="308" t="s">
        <v>100</v>
      </c>
      <c r="G61" s="308"/>
      <c r="H61" s="186" t="n">
        <v>3</v>
      </c>
      <c r="I61" s="186" t="n">
        <v>93</v>
      </c>
      <c r="J61" s="352" t="s">
        <v>124</v>
      </c>
      <c r="K61" s="116" t="n">
        <f aca="false">IF(I61="",0,(I61/I62)*100)</f>
        <v>91.1764705882353</v>
      </c>
      <c r="L61" s="186" t="n">
        <v>3</v>
      </c>
      <c r="M61" s="309" t="n">
        <v>0.5</v>
      </c>
      <c r="N61" s="95" t="n">
        <f aca="false">IF(L61=1,1,0)</f>
        <v>0</v>
      </c>
      <c r="O61" s="95" t="n">
        <f aca="false">IF(L61=2,1,0)</f>
        <v>0</v>
      </c>
      <c r="P61" s="95" t="n">
        <f aca="false">IF(L61=3,1,0)</f>
        <v>1</v>
      </c>
      <c r="Q61" s="117" t="n">
        <f aca="false">IF(L61=4,1,0)</f>
        <v>0</v>
      </c>
      <c r="R61" s="350"/>
      <c r="S61" s="134"/>
      <c r="T61" s="39"/>
    </row>
    <row r="62" customFormat="false" ht="8.25" hidden="true" customHeight="false" outlineLevel="1" collapsed="false">
      <c r="B62" s="39"/>
      <c r="C62" s="134"/>
      <c r="D62" s="349"/>
      <c r="E62" s="349"/>
      <c r="F62" s="350"/>
      <c r="G62" s="350"/>
      <c r="H62" s="215" t="s">
        <v>62</v>
      </c>
      <c r="I62" s="119" t="n">
        <f aca="false">MAX(I58:I61)</f>
        <v>102</v>
      </c>
      <c r="J62" s="350"/>
      <c r="K62" s="353"/>
      <c r="L62" s="350"/>
      <c r="M62" s="333" t="s">
        <v>63</v>
      </c>
      <c r="N62" s="102" t="n">
        <f aca="false">SUM(N58:N61)</f>
        <v>1</v>
      </c>
      <c r="O62" s="103" t="n">
        <f aca="false">SUM(O58:O61)</f>
        <v>1</v>
      </c>
      <c r="P62" s="102" t="n">
        <f aca="false">SUM(P58:P61)</f>
        <v>2</v>
      </c>
      <c r="Q62" s="104" t="n">
        <f aca="false">SUM(Q58:Q61)</f>
        <v>0</v>
      </c>
      <c r="R62" s="354"/>
      <c r="S62" s="134"/>
      <c r="T62" s="39"/>
    </row>
    <row r="63" customFormat="false" ht="15" hidden="false" customHeight="false" outlineLevel="0" collapsed="false">
      <c r="B63" s="39"/>
      <c r="C63" s="134"/>
      <c r="D63" s="137"/>
      <c r="E63" s="137"/>
      <c r="F63" s="134"/>
      <c r="G63" s="134"/>
      <c r="H63" s="134"/>
      <c r="I63" s="134"/>
      <c r="J63" s="134"/>
      <c r="K63" s="134"/>
      <c r="L63" s="134"/>
      <c r="M63" s="134"/>
      <c r="N63" s="134"/>
      <c r="O63" s="134"/>
      <c r="P63" s="134"/>
      <c r="Q63" s="134"/>
      <c r="R63" s="134"/>
      <c r="S63" s="134"/>
      <c r="T63" s="39"/>
    </row>
    <row r="64" customFormat="false" ht="15" hidden="false" customHeight="false" outlineLevel="0" collapsed="false">
      <c r="B64" s="39"/>
      <c r="D64" s="138"/>
      <c r="E64" s="138"/>
      <c r="F64" s="138"/>
      <c r="G64" s="138"/>
      <c r="H64" s="138"/>
      <c r="I64" s="138"/>
      <c r="J64" s="138"/>
      <c r="K64" s="36"/>
      <c r="L64" s="36"/>
      <c r="M64" s="36"/>
      <c r="N64" s="36"/>
      <c r="O64" s="36"/>
      <c r="P64" s="36"/>
      <c r="Q64" s="36"/>
      <c r="R64" s="36"/>
      <c r="T64" s="39"/>
    </row>
    <row r="65" customFormat="false" ht="30" hidden="false" customHeight="true" outlineLevel="0" collapsed="false">
      <c r="B65" s="39"/>
      <c r="C65" s="139"/>
      <c r="D65" s="141" t="s">
        <v>64</v>
      </c>
      <c r="E65" s="141"/>
      <c r="F65" s="141"/>
      <c r="G65" s="141"/>
      <c r="H65" s="141"/>
      <c r="I65" s="141"/>
      <c r="J65" s="141"/>
      <c r="K65" s="141"/>
      <c r="L65" s="141"/>
      <c r="M65" s="141"/>
      <c r="N65" s="141"/>
      <c r="O65" s="141"/>
      <c r="P65" s="141"/>
      <c r="Q65" s="141"/>
      <c r="R65" s="141"/>
      <c r="S65" s="139"/>
      <c r="T65" s="39"/>
    </row>
    <row r="66" customFormat="false" ht="60" hidden="false" customHeight="true" outlineLevel="0" collapsed="false">
      <c r="B66" s="39"/>
      <c r="C66" s="139"/>
      <c r="D66" s="355"/>
      <c r="E66" s="356" t="s">
        <v>36</v>
      </c>
      <c r="F66" s="357" t="s">
        <v>92</v>
      </c>
      <c r="G66" s="357"/>
      <c r="H66" s="358" t="s">
        <v>57</v>
      </c>
      <c r="I66" s="359" t="s">
        <v>65</v>
      </c>
      <c r="J66" s="358" t="s">
        <v>66</v>
      </c>
      <c r="K66" s="359" t="s">
        <v>67</v>
      </c>
      <c r="L66" s="358" t="s">
        <v>68</v>
      </c>
      <c r="M66" s="357" t="s">
        <v>69</v>
      </c>
      <c r="N66" s="147"/>
      <c r="O66" s="147"/>
      <c r="P66" s="147"/>
      <c r="Q66" s="147"/>
      <c r="R66" s="147"/>
      <c r="S66" s="139"/>
      <c r="T66" s="39"/>
    </row>
    <row r="67" customFormat="false" ht="45" hidden="false" customHeight="true" outlineLevel="0" collapsed="false">
      <c r="B67" s="39"/>
      <c r="C67" s="139"/>
      <c r="D67" s="360"/>
      <c r="E67" s="361" t="s">
        <v>14</v>
      </c>
      <c r="F67" s="362" t="s">
        <v>95</v>
      </c>
      <c r="G67" s="362"/>
      <c r="H67" s="363" t="n">
        <f aca="false">I67*6+J67*3+K67*1+L67*0</f>
        <v>18</v>
      </c>
      <c r="I67" s="363" t="n">
        <v>3</v>
      </c>
      <c r="J67" s="363" t="n">
        <v>0</v>
      </c>
      <c r="K67" s="363" t="n">
        <v>0</v>
      </c>
      <c r="L67" s="363" t="n">
        <v>1</v>
      </c>
      <c r="M67" s="364" t="n">
        <f aca="false">(K31+K40+K49+K58)/4</f>
        <v>75</v>
      </c>
      <c r="N67" s="153"/>
      <c r="O67" s="153"/>
      <c r="P67" s="153"/>
      <c r="Q67" s="153"/>
      <c r="R67" s="153"/>
      <c r="S67" s="139"/>
      <c r="T67" s="39"/>
    </row>
    <row r="68" customFormat="false" ht="45" hidden="false" customHeight="true" outlineLevel="0" collapsed="false">
      <c r="B68" s="39"/>
      <c r="C68" s="139"/>
      <c r="D68" s="360"/>
      <c r="E68" s="365" t="s">
        <v>29</v>
      </c>
      <c r="F68" s="366" t="s">
        <v>99</v>
      </c>
      <c r="G68" s="366"/>
      <c r="H68" s="192" t="n">
        <f aca="false">I68*6+J68*3+K68*1+L68*0</f>
        <v>12</v>
      </c>
      <c r="I68" s="192" t="n">
        <v>1</v>
      </c>
      <c r="J68" s="192" t="n">
        <v>2</v>
      </c>
      <c r="K68" s="192" t="n">
        <v>0</v>
      </c>
      <c r="L68" s="192" t="n">
        <v>1</v>
      </c>
      <c r="M68" s="367" t="n">
        <f aca="false">(K33+K42+K51+K60)/4</f>
        <v>90.159767610748</v>
      </c>
      <c r="N68" s="153"/>
      <c r="O68" s="153"/>
      <c r="P68" s="153"/>
      <c r="Q68" s="153"/>
      <c r="R68" s="153"/>
      <c r="S68" s="139"/>
      <c r="T68" s="39"/>
    </row>
    <row r="69" customFormat="false" ht="45" hidden="false" customHeight="true" outlineLevel="0" collapsed="false">
      <c r="B69" s="39"/>
      <c r="C69" s="139"/>
      <c r="D69" s="360"/>
      <c r="E69" s="365" t="s">
        <v>16</v>
      </c>
      <c r="F69" s="366" t="s">
        <v>98</v>
      </c>
      <c r="G69" s="366"/>
      <c r="H69" s="192" t="n">
        <f aca="false">I69*6+J69*3+K69*1+L69*0</f>
        <v>7.5</v>
      </c>
      <c r="I69" s="192" t="n">
        <v>0</v>
      </c>
      <c r="J69" s="192" t="n">
        <v>2</v>
      </c>
      <c r="K69" s="192" t="n">
        <v>1.5</v>
      </c>
      <c r="L69" s="192" t="n">
        <v>0.5</v>
      </c>
      <c r="M69" s="367" t="n">
        <f aca="false">(K32+K41+K50+K59)/4</f>
        <v>59.4163733869616</v>
      </c>
      <c r="N69" s="153"/>
      <c r="O69" s="153"/>
      <c r="P69" s="153"/>
      <c r="Q69" s="153"/>
      <c r="R69" s="153"/>
      <c r="S69" s="139"/>
      <c r="T69" s="39"/>
    </row>
    <row r="70" customFormat="false" ht="45" hidden="false" customHeight="true" outlineLevel="0" collapsed="false">
      <c r="B70" s="39"/>
      <c r="C70" s="139"/>
      <c r="D70" s="360"/>
      <c r="E70" s="368" t="s">
        <v>10</v>
      </c>
      <c r="F70" s="369" t="s">
        <v>100</v>
      </c>
      <c r="G70" s="369"/>
      <c r="H70" s="370" t="n">
        <f aca="false">I70*6+J70*3+K70*1+L70*0</f>
        <v>2.5</v>
      </c>
      <c r="I70" s="370" t="n">
        <v>0</v>
      </c>
      <c r="J70" s="370" t="n">
        <v>0</v>
      </c>
      <c r="K70" s="370" t="n">
        <v>2.5</v>
      </c>
      <c r="L70" s="370" t="n">
        <v>1.5</v>
      </c>
      <c r="M70" s="371" t="n">
        <f aca="false">(K34+K43+K52+K61)/4</f>
        <v>53.8172913989907</v>
      </c>
      <c r="N70" s="153"/>
      <c r="O70" s="153"/>
      <c r="P70" s="153"/>
      <c r="Q70" s="153"/>
      <c r="R70" s="153"/>
      <c r="S70" s="139"/>
      <c r="T70" s="39"/>
      <c r="V70" s="166"/>
      <c r="W70" s="166"/>
      <c r="X70" s="167"/>
      <c r="Y70" s="167"/>
      <c r="Z70" s="167"/>
      <c r="AA70" s="167"/>
      <c r="AB70" s="167"/>
      <c r="AC70" s="167"/>
      <c r="AD70" s="167"/>
    </row>
    <row r="71" customFormat="false" ht="15" hidden="false" customHeight="false" outlineLevel="0" collapsed="false">
      <c r="B71" s="39"/>
      <c r="C71" s="139"/>
      <c r="D71" s="168"/>
      <c r="E71" s="168"/>
      <c r="F71" s="153"/>
      <c r="G71" s="153"/>
      <c r="H71" s="153"/>
      <c r="I71" s="153"/>
      <c r="J71" s="153"/>
      <c r="K71" s="153"/>
      <c r="L71" s="153"/>
      <c r="M71" s="153"/>
      <c r="N71" s="153"/>
      <c r="O71" s="153"/>
      <c r="P71" s="153"/>
      <c r="Q71" s="153"/>
      <c r="R71" s="153"/>
      <c r="S71" s="139"/>
      <c r="T71" s="39"/>
    </row>
    <row r="72" customFormat="false" ht="15" hidden="false" customHeight="true" outlineLevel="0" collapsed="false">
      <c r="B72" s="39"/>
      <c r="C72" s="39"/>
      <c r="D72" s="169"/>
      <c r="E72" s="169"/>
      <c r="F72" s="129"/>
      <c r="G72" s="129"/>
      <c r="H72" s="169"/>
      <c r="I72" s="169"/>
      <c r="J72" s="169"/>
      <c r="K72" s="131"/>
      <c r="L72" s="131"/>
      <c r="M72" s="131"/>
      <c r="N72" s="131"/>
      <c r="O72" s="131"/>
      <c r="P72" s="131"/>
      <c r="Q72" s="131"/>
      <c r="R72" s="131"/>
      <c r="S72" s="39"/>
      <c r="T72" s="39"/>
    </row>
    <row r="73" customFormat="false" ht="15" hidden="false" customHeight="true" outlineLevel="0" collapsed="false">
      <c r="D73" s="170"/>
      <c r="N73" s="36"/>
      <c r="O73" s="36"/>
      <c r="P73" s="36"/>
      <c r="Q73" s="36"/>
      <c r="R73" s="36"/>
    </row>
    <row r="74" customFormat="false" ht="15" hidden="false" customHeight="false" outlineLevel="0" collapsed="false">
      <c r="D74" s="171"/>
      <c r="E74" s="171"/>
      <c r="F74" s="171"/>
      <c r="G74" s="171"/>
      <c r="H74" s="171"/>
      <c r="I74" s="171"/>
      <c r="J74" s="171"/>
      <c r="K74" s="138"/>
      <c r="L74" s="36"/>
      <c r="M74" s="36"/>
      <c r="N74" s="36"/>
      <c r="O74" s="36"/>
      <c r="P74" s="36"/>
      <c r="Q74" s="36"/>
      <c r="R74" s="36"/>
    </row>
    <row r="75" customFormat="false" ht="15" hidden="false" customHeight="false" outlineLevel="0" collapsed="false">
      <c r="B75" s="39"/>
      <c r="C75" s="39"/>
      <c r="D75" s="40"/>
      <c r="E75" s="40"/>
      <c r="F75" s="40"/>
      <c r="G75" s="40"/>
      <c r="H75" s="39"/>
      <c r="I75" s="39"/>
      <c r="J75" s="39"/>
      <c r="K75" s="39"/>
      <c r="L75" s="39"/>
      <c r="M75" s="39"/>
      <c r="N75" s="39"/>
      <c r="O75" s="39"/>
      <c r="P75" s="39"/>
      <c r="Q75" s="39"/>
      <c r="R75" s="39"/>
      <c r="S75" s="39"/>
      <c r="T75" s="39"/>
    </row>
    <row r="76" customFormat="false" ht="31.5" hidden="false" customHeight="false" outlineLevel="0" collapsed="false">
      <c r="B76" s="39"/>
      <c r="C76" s="41"/>
      <c r="D76" s="172" t="s">
        <v>125</v>
      </c>
      <c r="E76" s="172"/>
      <c r="F76" s="172"/>
      <c r="G76" s="172"/>
      <c r="H76" s="172"/>
      <c r="I76" s="172"/>
      <c r="J76" s="172"/>
      <c r="K76" s="172"/>
      <c r="L76" s="172"/>
      <c r="M76" s="172"/>
      <c r="N76" s="42"/>
      <c r="O76" s="42"/>
      <c r="P76" s="42"/>
      <c r="Q76" s="42"/>
      <c r="R76" s="42"/>
      <c r="S76" s="41"/>
      <c r="T76" s="39"/>
    </row>
    <row r="77" customFormat="false" ht="15.75" hidden="false" customHeight="false" outlineLevel="0" collapsed="false">
      <c r="B77" s="39"/>
      <c r="D77" s="36"/>
      <c r="E77" s="36"/>
      <c r="T77" s="39"/>
    </row>
    <row r="78" customFormat="false" ht="45" hidden="false" customHeight="true" outlineLevel="0" collapsed="false">
      <c r="B78" s="39"/>
      <c r="D78" s="263" t="s">
        <v>36</v>
      </c>
      <c r="E78" s="264" t="s">
        <v>92</v>
      </c>
      <c r="F78" s="265" t="s">
        <v>6</v>
      </c>
      <c r="G78" s="265"/>
      <c r="H78" s="266" t="s">
        <v>110</v>
      </c>
      <c r="I78" s="266"/>
      <c r="J78" s="266"/>
      <c r="K78" s="264" t="s">
        <v>71</v>
      </c>
      <c r="L78" s="266" t="s">
        <v>40</v>
      </c>
      <c r="M78" s="266"/>
      <c r="N78" s="266"/>
      <c r="O78" s="266"/>
      <c r="P78" s="266"/>
      <c r="Q78" s="266"/>
      <c r="R78" s="266"/>
      <c r="T78" s="39"/>
    </row>
    <row r="79" customFormat="false" ht="15.75" hidden="false" customHeight="false" outlineLevel="0" collapsed="false">
      <c r="B79" s="39"/>
      <c r="D79" s="263"/>
      <c r="E79" s="264"/>
      <c r="F79" s="265"/>
      <c r="G79" s="265"/>
      <c r="H79" s="267" t="s">
        <v>41</v>
      </c>
      <c r="I79" s="268" t="s">
        <v>42</v>
      </c>
      <c r="J79" s="268" t="s">
        <v>111</v>
      </c>
      <c r="K79" s="267" t="s">
        <v>43</v>
      </c>
      <c r="L79" s="270" t="s">
        <v>44</v>
      </c>
      <c r="M79" s="270" t="s">
        <v>42</v>
      </c>
      <c r="N79" s="271"/>
      <c r="O79" s="271"/>
      <c r="P79" s="271"/>
      <c r="Q79" s="271"/>
      <c r="R79" s="372" t="s">
        <v>111</v>
      </c>
      <c r="T79" s="39"/>
    </row>
    <row r="80" customFormat="false" ht="75" hidden="false" customHeight="false" outlineLevel="0" collapsed="false">
      <c r="B80" s="39"/>
      <c r="D80" s="272" t="str">
        <f aca="false">K8</f>
        <v>Alex Ulbricht</v>
      </c>
      <c r="E80" s="373" t="s">
        <v>101</v>
      </c>
      <c r="F80" s="54" t="n">
        <v>1</v>
      </c>
      <c r="G80" s="54"/>
      <c r="H80" s="374" t="s">
        <v>126</v>
      </c>
      <c r="I80" s="373" t="s">
        <v>127</v>
      </c>
      <c r="J80" s="173" t="s">
        <v>114</v>
      </c>
      <c r="K80" s="375" t="s">
        <v>50</v>
      </c>
      <c r="L80" s="272" t="s">
        <v>46</v>
      </c>
      <c r="M80" s="276" t="s">
        <v>46</v>
      </c>
      <c r="N80" s="277"/>
      <c r="O80" s="277"/>
      <c r="P80" s="277"/>
      <c r="Q80" s="277"/>
      <c r="R80" s="173" t="s">
        <v>46</v>
      </c>
      <c r="T80" s="39"/>
    </row>
    <row r="81" customFormat="false" ht="102.2" hidden="false" customHeight="false" outlineLevel="0" collapsed="false">
      <c r="B81" s="39"/>
      <c r="D81" s="278" t="str">
        <f aca="false">K9</f>
        <v>Judith Maibaum</v>
      </c>
      <c r="E81" s="376" t="s">
        <v>102</v>
      </c>
      <c r="F81" s="62" t="n">
        <v>2</v>
      </c>
      <c r="G81" s="62"/>
      <c r="H81" s="377" t="s">
        <v>112</v>
      </c>
      <c r="I81" s="376" t="s">
        <v>128</v>
      </c>
      <c r="J81" s="176" t="s">
        <v>114</v>
      </c>
      <c r="K81" s="378" t="s">
        <v>50</v>
      </c>
      <c r="L81" s="278" t="s">
        <v>46</v>
      </c>
      <c r="M81" s="282" t="s">
        <v>46</v>
      </c>
      <c r="N81" s="283"/>
      <c r="O81" s="283"/>
      <c r="P81" s="283"/>
      <c r="Q81" s="283"/>
      <c r="R81" s="176" t="s">
        <v>46</v>
      </c>
      <c r="T81" s="39"/>
    </row>
    <row r="82" customFormat="false" ht="45" hidden="false" customHeight="false" outlineLevel="0" collapsed="false">
      <c r="B82" s="39"/>
      <c r="D82" s="278" t="str">
        <f aca="false">K10</f>
        <v>Markus Hagenauer</v>
      </c>
      <c r="E82" s="376" t="s">
        <v>103</v>
      </c>
      <c r="F82" s="62" t="n">
        <v>3</v>
      </c>
      <c r="G82" s="62"/>
      <c r="H82" s="379" t="s">
        <v>129</v>
      </c>
      <c r="I82" s="376" t="s">
        <v>46</v>
      </c>
      <c r="J82" s="178" t="s">
        <v>85</v>
      </c>
      <c r="K82" s="378" t="s">
        <v>50</v>
      </c>
      <c r="L82" s="278" t="s">
        <v>46</v>
      </c>
      <c r="M82" s="282" t="s">
        <v>46</v>
      </c>
      <c r="N82" s="283"/>
      <c r="O82" s="283"/>
      <c r="P82" s="283"/>
      <c r="Q82" s="283"/>
      <c r="R82" s="176" t="s">
        <v>46</v>
      </c>
      <c r="T82" s="39"/>
    </row>
    <row r="83" customFormat="false" ht="45.75" hidden="false" customHeight="false" outlineLevel="0" collapsed="false">
      <c r="B83" s="39"/>
      <c r="D83" s="287" t="str">
        <f aca="false">K11</f>
        <v>Pauline Schätzle</v>
      </c>
      <c r="E83" s="380" t="s">
        <v>104</v>
      </c>
      <c r="F83" s="71" t="n">
        <v>4</v>
      </c>
      <c r="G83" s="71"/>
      <c r="H83" s="381" t="s">
        <v>130</v>
      </c>
      <c r="I83" s="291" t="s">
        <v>46</v>
      </c>
      <c r="J83" s="208" t="s">
        <v>85</v>
      </c>
      <c r="K83" s="382" t="s">
        <v>50</v>
      </c>
      <c r="L83" s="287" t="s">
        <v>46</v>
      </c>
      <c r="M83" s="291" t="s">
        <v>46</v>
      </c>
      <c r="N83" s="292"/>
      <c r="O83" s="292"/>
      <c r="P83" s="292"/>
      <c r="Q83" s="292"/>
      <c r="R83" s="208" t="s">
        <v>46</v>
      </c>
      <c r="T83" s="39"/>
    </row>
    <row r="84" customFormat="false" ht="15" hidden="false" customHeight="false" outlineLevel="0" collapsed="false">
      <c r="B84" s="39"/>
      <c r="D84" s="36"/>
      <c r="E84" s="36"/>
      <c r="T84" s="39"/>
    </row>
    <row r="85" customFormat="false" ht="15.75" hidden="false" customHeight="false" outlineLevel="0" collapsed="false">
      <c r="B85" s="39"/>
      <c r="C85" s="76"/>
      <c r="D85" s="293" t="str">
        <f aca="false">IF(OR(L80="-",L80= ""),H80,L80)</f>
        <v>Race for the Galaxy</v>
      </c>
      <c r="E85" s="293"/>
      <c r="F85" s="293"/>
      <c r="G85" s="293"/>
      <c r="H85" s="293"/>
      <c r="I85" s="293"/>
      <c r="J85" s="293"/>
      <c r="K85" s="293"/>
      <c r="L85" s="293"/>
      <c r="M85" s="293"/>
      <c r="N85" s="78"/>
      <c r="O85" s="78"/>
      <c r="P85" s="78"/>
      <c r="Q85" s="78"/>
      <c r="R85" s="78"/>
      <c r="S85" s="76"/>
      <c r="T85" s="39"/>
    </row>
    <row r="86" customFormat="false" ht="60" hidden="false" customHeight="true" outlineLevel="0" collapsed="false">
      <c r="B86" s="39"/>
      <c r="C86" s="76"/>
      <c r="D86" s="78"/>
      <c r="E86" s="263" t="s">
        <v>36</v>
      </c>
      <c r="F86" s="383" t="s">
        <v>92</v>
      </c>
      <c r="G86" s="383"/>
      <c r="H86" s="384" t="s">
        <v>52</v>
      </c>
      <c r="I86" s="294" t="s">
        <v>53</v>
      </c>
      <c r="J86" s="295" t="s">
        <v>54</v>
      </c>
      <c r="K86" s="264" t="s">
        <v>55</v>
      </c>
      <c r="L86" s="296" t="s">
        <v>56</v>
      </c>
      <c r="M86" s="294" t="s">
        <v>57</v>
      </c>
      <c r="N86" s="43" t="s">
        <v>58</v>
      </c>
      <c r="O86" s="79" t="s">
        <v>59</v>
      </c>
      <c r="P86" s="79" t="s">
        <v>60</v>
      </c>
      <c r="Q86" s="82" t="s">
        <v>61</v>
      </c>
      <c r="R86" s="78"/>
      <c r="S86" s="76"/>
      <c r="T86" s="39"/>
    </row>
    <row r="87" customFormat="false" ht="45" hidden="false" customHeight="true" outlineLevel="0" collapsed="false">
      <c r="B87" s="39"/>
      <c r="C87" s="76"/>
      <c r="D87" s="306"/>
      <c r="E87" s="6" t="s">
        <v>27</v>
      </c>
      <c r="F87" s="385" t="s">
        <v>101</v>
      </c>
      <c r="G87" s="385"/>
      <c r="H87" s="386" t="s">
        <v>46</v>
      </c>
      <c r="I87" s="387" t="n">
        <v>17</v>
      </c>
      <c r="J87" s="387" t="s">
        <v>46</v>
      </c>
      <c r="K87" s="388" t="n">
        <f aca="false">IF(I87="",0,(I87/I91)*100)</f>
        <v>50</v>
      </c>
      <c r="L87" s="387" t="n">
        <v>4</v>
      </c>
      <c r="M87" s="389" t="n">
        <v>0</v>
      </c>
      <c r="N87" s="301" t="n">
        <f aca="false">IF(L87=1,1,0)</f>
        <v>0</v>
      </c>
      <c r="O87" s="85" t="n">
        <f aca="false">IF(L87=2,1,0)</f>
        <v>0</v>
      </c>
      <c r="P87" s="85" t="n">
        <f aca="false">IF(L87=3,1,0)</f>
        <v>0</v>
      </c>
      <c r="Q87" s="84" t="n">
        <f aca="false">IF(L87=4,1,0)</f>
        <v>1</v>
      </c>
      <c r="R87" s="302"/>
      <c r="S87" s="76"/>
      <c r="T87" s="39"/>
    </row>
    <row r="88" customFormat="false" ht="45" hidden="false" customHeight="true" outlineLevel="0" collapsed="false">
      <c r="B88" s="39"/>
      <c r="C88" s="76"/>
      <c r="D88" s="297"/>
      <c r="E88" s="60" t="s">
        <v>20</v>
      </c>
      <c r="F88" s="304" t="s">
        <v>102</v>
      </c>
      <c r="G88" s="304"/>
      <c r="H88" s="390" t="s">
        <v>46</v>
      </c>
      <c r="I88" s="18" t="n">
        <v>34</v>
      </c>
      <c r="J88" s="328" t="s">
        <v>131</v>
      </c>
      <c r="K88" s="86" t="n">
        <f aca="false">IF(I88="",0,(I88/I91)*100)</f>
        <v>100</v>
      </c>
      <c r="L88" s="18" t="n">
        <v>2</v>
      </c>
      <c r="M88" s="19" t="n">
        <v>3</v>
      </c>
      <c r="N88" s="305" t="n">
        <f aca="false">IF(L88=1,1,0)</f>
        <v>0</v>
      </c>
      <c r="O88" s="88" t="n">
        <f aca="false">IF(L88=2,1,0)</f>
        <v>1</v>
      </c>
      <c r="P88" s="88" t="n">
        <f aca="false">IF(L88=3,1,0)</f>
        <v>0</v>
      </c>
      <c r="Q88" s="87" t="n">
        <f aca="false">IF(L88=4,1,0)</f>
        <v>0</v>
      </c>
      <c r="R88" s="302"/>
      <c r="S88" s="76"/>
      <c r="T88" s="39"/>
    </row>
    <row r="89" customFormat="false" ht="45" hidden="false" customHeight="true" outlineLevel="0" collapsed="false">
      <c r="B89" s="39"/>
      <c r="C89" s="76"/>
      <c r="D89" s="297"/>
      <c r="E89" s="60" t="s">
        <v>22</v>
      </c>
      <c r="F89" s="304" t="s">
        <v>103</v>
      </c>
      <c r="G89" s="304"/>
      <c r="H89" s="390" t="s">
        <v>46</v>
      </c>
      <c r="I89" s="18" t="n">
        <v>21</v>
      </c>
      <c r="J89" s="18" t="s">
        <v>46</v>
      </c>
      <c r="K89" s="86" t="n">
        <f aca="false">IF(I89="",0,(I89/I91)*100)</f>
        <v>61.7647058823529</v>
      </c>
      <c r="L89" s="18" t="n">
        <v>3</v>
      </c>
      <c r="M89" s="19" t="n">
        <v>1</v>
      </c>
      <c r="N89" s="305" t="n">
        <f aca="false">IF(L89=1,1,0)</f>
        <v>0</v>
      </c>
      <c r="O89" s="88" t="n">
        <f aca="false">IF(L89=2,1,0)</f>
        <v>0</v>
      </c>
      <c r="P89" s="88" t="n">
        <f aca="false">IF(L89=3,1,0)</f>
        <v>1</v>
      </c>
      <c r="Q89" s="87" t="n">
        <f aca="false">IF(L89=4,1,0)</f>
        <v>0</v>
      </c>
      <c r="R89" s="302"/>
      <c r="S89" s="76"/>
      <c r="T89" s="39"/>
    </row>
    <row r="90" customFormat="false" ht="45" hidden="false" customHeight="true" outlineLevel="0" collapsed="false">
      <c r="B90" s="39"/>
      <c r="C90" s="76"/>
      <c r="D90" s="297"/>
      <c r="E90" s="89" t="s">
        <v>7</v>
      </c>
      <c r="F90" s="391" t="s">
        <v>104</v>
      </c>
      <c r="G90" s="391"/>
      <c r="H90" s="392" t="s">
        <v>46</v>
      </c>
      <c r="I90" s="91" t="n">
        <v>34</v>
      </c>
      <c r="J90" s="393" t="s">
        <v>132</v>
      </c>
      <c r="K90" s="92" t="n">
        <f aca="false">IF(I90="",0,(I90/I91)*100)</f>
        <v>100</v>
      </c>
      <c r="L90" s="91" t="n">
        <v>1</v>
      </c>
      <c r="M90" s="394" t="n">
        <v>6</v>
      </c>
      <c r="N90" s="310" t="n">
        <f aca="false">IF(L90=1,1,0)</f>
        <v>1</v>
      </c>
      <c r="O90" s="95" t="n">
        <f aca="false">IF(L90=2,1,0)</f>
        <v>0</v>
      </c>
      <c r="P90" s="95" t="n">
        <f aca="false">IF(L90=3,1,0)</f>
        <v>0</v>
      </c>
      <c r="Q90" s="117" t="n">
        <f aca="false">IF(L90=4,1,0)</f>
        <v>0</v>
      </c>
      <c r="R90" s="302"/>
      <c r="S90" s="76"/>
      <c r="T90" s="39"/>
    </row>
    <row r="91" customFormat="false" ht="15.75" hidden="true" customHeight="false" outlineLevel="1" collapsed="false">
      <c r="B91" s="39"/>
      <c r="C91" s="76"/>
      <c r="D91" s="306"/>
      <c r="E91" s="306"/>
      <c r="F91" s="302"/>
      <c r="G91" s="302"/>
      <c r="H91" s="395" t="s">
        <v>62</v>
      </c>
      <c r="I91" s="98" t="n">
        <f aca="false">MAX(I87:I90)</f>
        <v>34</v>
      </c>
      <c r="J91" s="316"/>
      <c r="K91" s="396"/>
      <c r="L91" s="316"/>
      <c r="M91" s="333" t="s">
        <v>63</v>
      </c>
      <c r="N91" s="102" t="n">
        <f aca="false">SUM(N87:N90)</f>
        <v>1</v>
      </c>
      <c r="O91" s="103" t="n">
        <f aca="false">SUM(O87:O90)</f>
        <v>1</v>
      </c>
      <c r="P91" s="102" t="n">
        <f aca="false">SUM(P87:P90)</f>
        <v>1</v>
      </c>
      <c r="Q91" s="104" t="n">
        <f aca="false">SUM(Q87:Q90)</f>
        <v>1</v>
      </c>
      <c r="R91" s="316"/>
      <c r="S91" s="76"/>
      <c r="T91" s="39"/>
    </row>
    <row r="92" customFormat="false" ht="15" hidden="false" customHeight="false" outlineLevel="0" collapsed="false">
      <c r="B92" s="39"/>
      <c r="C92" s="76"/>
      <c r="D92" s="105"/>
      <c r="E92" s="105"/>
      <c r="F92" s="76"/>
      <c r="G92" s="76"/>
      <c r="H92" s="76"/>
      <c r="I92" s="76"/>
      <c r="J92" s="76"/>
      <c r="K92" s="76"/>
      <c r="L92" s="76"/>
      <c r="M92" s="76"/>
      <c r="N92" s="76"/>
      <c r="O92" s="76"/>
      <c r="P92" s="76"/>
      <c r="Q92" s="76"/>
      <c r="R92" s="76"/>
      <c r="S92" s="76"/>
      <c r="T92" s="39"/>
    </row>
    <row r="93" customFormat="false" ht="15" hidden="false" customHeight="false" outlineLevel="0" collapsed="false">
      <c r="B93" s="39"/>
      <c r="T93" s="39"/>
    </row>
    <row r="94" customFormat="false" ht="15.75" hidden="false" customHeight="false" outlineLevel="0" collapsed="false">
      <c r="B94" s="39"/>
      <c r="C94" s="107"/>
      <c r="D94" s="317" t="str">
        <f aca="false">IF(OR(L81="-",L81= ""),H81,L81)</f>
        <v>Terra Mystica</v>
      </c>
      <c r="E94" s="317"/>
      <c r="F94" s="317"/>
      <c r="G94" s="317"/>
      <c r="H94" s="317"/>
      <c r="I94" s="317"/>
      <c r="J94" s="317"/>
      <c r="K94" s="317"/>
      <c r="L94" s="317"/>
      <c r="M94" s="317"/>
      <c r="N94" s="109"/>
      <c r="O94" s="109"/>
      <c r="P94" s="109"/>
      <c r="Q94" s="109"/>
      <c r="R94" s="109"/>
      <c r="S94" s="107"/>
      <c r="T94" s="39"/>
    </row>
    <row r="95" customFormat="false" ht="60" hidden="false" customHeight="true" outlineLevel="0" collapsed="false">
      <c r="B95" s="39"/>
      <c r="C95" s="107"/>
      <c r="D95" s="109"/>
      <c r="E95" s="263" t="s">
        <v>36</v>
      </c>
      <c r="F95" s="266" t="s">
        <v>92</v>
      </c>
      <c r="G95" s="266"/>
      <c r="H95" s="265" t="s">
        <v>52</v>
      </c>
      <c r="I95" s="294" t="s">
        <v>53</v>
      </c>
      <c r="J95" s="295" t="s">
        <v>54</v>
      </c>
      <c r="K95" s="264" t="s">
        <v>77</v>
      </c>
      <c r="L95" s="296" t="s">
        <v>56</v>
      </c>
      <c r="M95" s="294" t="s">
        <v>57</v>
      </c>
      <c r="N95" s="43" t="s">
        <v>58</v>
      </c>
      <c r="O95" s="79" t="s">
        <v>59</v>
      </c>
      <c r="P95" s="79" t="s">
        <v>60</v>
      </c>
      <c r="Q95" s="82" t="s">
        <v>61</v>
      </c>
      <c r="R95" s="109"/>
      <c r="S95" s="107"/>
      <c r="T95" s="39"/>
    </row>
    <row r="96" customFormat="false" ht="45" hidden="false" customHeight="true" outlineLevel="0" collapsed="false">
      <c r="B96" s="39"/>
      <c r="C96" s="107"/>
      <c r="D96" s="323"/>
      <c r="E96" s="6" t="s">
        <v>27</v>
      </c>
      <c r="F96" s="385" t="s">
        <v>101</v>
      </c>
      <c r="G96" s="385"/>
      <c r="H96" s="11" t="n">
        <v>2</v>
      </c>
      <c r="I96" s="387" t="n">
        <v>105</v>
      </c>
      <c r="J96" s="387" t="s">
        <v>46</v>
      </c>
      <c r="K96" s="388" t="n">
        <f aca="false">IF(I96="",0,(I96/I100)*100)</f>
        <v>66.4556962025316</v>
      </c>
      <c r="L96" s="387" t="n">
        <v>2</v>
      </c>
      <c r="M96" s="389" t="n">
        <v>3</v>
      </c>
      <c r="N96" s="301" t="n">
        <f aca="false">IF(L96=1,1,0)</f>
        <v>0</v>
      </c>
      <c r="O96" s="85" t="n">
        <f aca="false">IF(L96=2,1,0)</f>
        <v>1</v>
      </c>
      <c r="P96" s="85" t="n">
        <f aca="false">IF(L96=3,1,0)</f>
        <v>0</v>
      </c>
      <c r="Q96" s="84" t="n">
        <f aca="false">IF(L96=4,1,0)</f>
        <v>0</v>
      </c>
      <c r="R96" s="322"/>
      <c r="S96" s="107"/>
      <c r="T96" s="39"/>
    </row>
    <row r="97" customFormat="false" ht="45" hidden="false" customHeight="true" outlineLevel="0" collapsed="false">
      <c r="B97" s="39"/>
      <c r="C97" s="107"/>
      <c r="D97" s="319"/>
      <c r="E97" s="110" t="s">
        <v>20</v>
      </c>
      <c r="F97" s="343" t="s">
        <v>102</v>
      </c>
      <c r="G97" s="343"/>
      <c r="H97" s="112" t="n">
        <v>4</v>
      </c>
      <c r="I97" s="112" t="n">
        <v>158</v>
      </c>
      <c r="J97" s="112" t="s">
        <v>46</v>
      </c>
      <c r="K97" s="113" t="n">
        <f aca="false">IF(I97="",0,(I97/I100)*100)</f>
        <v>100</v>
      </c>
      <c r="L97" s="112" t="n">
        <v>1</v>
      </c>
      <c r="M97" s="344" t="n">
        <v>6</v>
      </c>
      <c r="N97" s="305" t="n">
        <f aca="false">IF(L97=1,1,0)</f>
        <v>1</v>
      </c>
      <c r="O97" s="88" t="n">
        <f aca="false">IF(L97=2,1,0)</f>
        <v>0</v>
      </c>
      <c r="P97" s="88" t="n">
        <f aca="false">IF(L97=3,1,0)</f>
        <v>0</v>
      </c>
      <c r="Q97" s="87" t="n">
        <f aca="false">IF(L97=4,1,0)</f>
        <v>0</v>
      </c>
      <c r="R97" s="322"/>
      <c r="S97" s="107"/>
      <c r="T97" s="39"/>
    </row>
    <row r="98" customFormat="false" ht="45" hidden="false" customHeight="true" outlineLevel="0" collapsed="false">
      <c r="B98" s="39"/>
      <c r="C98" s="107"/>
      <c r="D98" s="323"/>
      <c r="E98" s="60" t="s">
        <v>22</v>
      </c>
      <c r="F98" s="304" t="s">
        <v>103</v>
      </c>
      <c r="G98" s="304"/>
      <c r="H98" s="18" t="n">
        <v>1</v>
      </c>
      <c r="I98" s="324" t="n">
        <v>91</v>
      </c>
      <c r="J98" s="324" t="s">
        <v>46</v>
      </c>
      <c r="K98" s="341" t="n">
        <f aca="false">IF(I98="",0,(I98/I100)*100)</f>
        <v>57.5949367088608</v>
      </c>
      <c r="L98" s="324" t="n">
        <v>4</v>
      </c>
      <c r="M98" s="327" t="n">
        <v>0</v>
      </c>
      <c r="N98" s="305" t="n">
        <f aca="false">IF(L98=1,1,0)</f>
        <v>0</v>
      </c>
      <c r="O98" s="88" t="n">
        <f aca="false">IF(L98=2,1,0)</f>
        <v>0</v>
      </c>
      <c r="P98" s="88" t="n">
        <f aca="false">IF(L98=3,1,0)</f>
        <v>0</v>
      </c>
      <c r="Q98" s="87" t="n">
        <f aca="false">IF(L98=4,1,0)</f>
        <v>1</v>
      </c>
      <c r="R98" s="322"/>
      <c r="S98" s="107"/>
      <c r="T98" s="39"/>
    </row>
    <row r="99" customFormat="false" ht="45" hidden="false" customHeight="true" outlineLevel="0" collapsed="false">
      <c r="B99" s="39"/>
      <c r="C99" s="107"/>
      <c r="D99" s="319"/>
      <c r="E99" s="69" t="s">
        <v>7</v>
      </c>
      <c r="F99" s="397" t="s">
        <v>104</v>
      </c>
      <c r="G99" s="397"/>
      <c r="H99" s="186" t="n">
        <v>3</v>
      </c>
      <c r="I99" s="22" t="n">
        <v>94</v>
      </c>
      <c r="J99" s="22" t="s">
        <v>46</v>
      </c>
      <c r="K99" s="116" t="n">
        <f aca="false">IF(I99="",0,(I99/I100)*100)</f>
        <v>59.4936708860759</v>
      </c>
      <c r="L99" s="22" t="n">
        <v>3</v>
      </c>
      <c r="M99" s="23" t="n">
        <v>1</v>
      </c>
      <c r="N99" s="310" t="n">
        <f aca="false">IF(L99=1,1,0)</f>
        <v>0</v>
      </c>
      <c r="O99" s="95" t="n">
        <f aca="false">IF(L99=2,1,0)</f>
        <v>0</v>
      </c>
      <c r="P99" s="95" t="n">
        <f aca="false">IF(L99=3,1,0)</f>
        <v>1</v>
      </c>
      <c r="Q99" s="117" t="n">
        <f aca="false">IF(L99=4,1,0)</f>
        <v>0</v>
      </c>
      <c r="R99" s="322"/>
      <c r="S99" s="107"/>
      <c r="T99" s="39"/>
    </row>
    <row r="100" customFormat="false" ht="15.75" hidden="true" customHeight="false" outlineLevel="1" collapsed="false">
      <c r="B100" s="39"/>
      <c r="C100" s="107"/>
      <c r="D100" s="319"/>
      <c r="E100" s="319"/>
      <c r="F100" s="109"/>
      <c r="G100" s="109"/>
      <c r="H100" s="395" t="s">
        <v>62</v>
      </c>
      <c r="I100" s="98" t="n">
        <f aca="false">MAX(I96:I99)</f>
        <v>158</v>
      </c>
      <c r="J100" s="322"/>
      <c r="K100" s="332"/>
      <c r="L100" s="322"/>
      <c r="M100" s="333" t="s">
        <v>63</v>
      </c>
      <c r="N100" s="102" t="n">
        <f aca="false">SUM(N96:N99)</f>
        <v>1</v>
      </c>
      <c r="O100" s="103" t="n">
        <f aca="false">SUM(O96:O99)</f>
        <v>1</v>
      </c>
      <c r="P100" s="102" t="n">
        <f aca="false">SUM(P96:P99)</f>
        <v>1</v>
      </c>
      <c r="Q100" s="104" t="n">
        <f aca="false">SUM(Q96:Q99)</f>
        <v>1</v>
      </c>
      <c r="R100" s="334"/>
      <c r="S100" s="107"/>
      <c r="T100" s="39"/>
    </row>
    <row r="101" customFormat="false" ht="15" hidden="false" customHeight="false" outlineLevel="0" collapsed="false">
      <c r="B101" s="39"/>
      <c r="C101" s="107"/>
      <c r="D101" s="123"/>
      <c r="E101" s="123"/>
      <c r="F101" s="107"/>
      <c r="G101" s="107"/>
      <c r="H101" s="107"/>
      <c r="I101" s="107"/>
      <c r="J101" s="107"/>
      <c r="K101" s="107"/>
      <c r="L101" s="107"/>
      <c r="M101" s="107"/>
      <c r="N101" s="107"/>
      <c r="O101" s="107"/>
      <c r="P101" s="107"/>
      <c r="Q101" s="107"/>
      <c r="R101" s="107"/>
      <c r="S101" s="107"/>
      <c r="T101" s="39"/>
    </row>
    <row r="102" customFormat="false" ht="15" hidden="false" customHeight="false" outlineLevel="0" collapsed="false">
      <c r="B102" s="39"/>
      <c r="D102" s="124"/>
      <c r="E102" s="124"/>
      <c r="F102" s="124"/>
      <c r="G102" s="124"/>
      <c r="H102" s="125"/>
      <c r="I102" s="124"/>
      <c r="J102" s="124"/>
      <c r="K102" s="36"/>
      <c r="L102" s="36"/>
      <c r="M102" s="36"/>
      <c r="N102" s="36"/>
      <c r="O102" s="36"/>
      <c r="P102" s="36"/>
      <c r="Q102" s="36"/>
      <c r="R102" s="36"/>
      <c r="T102" s="39"/>
    </row>
    <row r="103" customFormat="false" ht="15" hidden="false" customHeight="true" outlineLevel="0" collapsed="false">
      <c r="B103" s="39"/>
      <c r="C103" s="126"/>
      <c r="D103" s="335" t="str">
        <f aca="false">IF(OR(L82="-",L82= ""),H82,L82)</f>
        <v>Snowdonia</v>
      </c>
      <c r="E103" s="335"/>
      <c r="F103" s="335"/>
      <c r="G103" s="335"/>
      <c r="H103" s="335"/>
      <c r="I103" s="335"/>
      <c r="J103" s="335"/>
      <c r="K103" s="335"/>
      <c r="L103" s="335"/>
      <c r="M103" s="335"/>
      <c r="N103" s="128"/>
      <c r="O103" s="128"/>
      <c r="P103" s="128"/>
      <c r="Q103" s="128"/>
      <c r="R103" s="128"/>
      <c r="S103" s="126"/>
      <c r="T103" s="129"/>
    </row>
    <row r="104" customFormat="false" ht="60" hidden="false" customHeight="true" outlineLevel="0" collapsed="false">
      <c r="B104" s="39"/>
      <c r="C104" s="126"/>
      <c r="D104" s="128"/>
      <c r="E104" s="263" t="s">
        <v>36</v>
      </c>
      <c r="F104" s="383" t="s">
        <v>92</v>
      </c>
      <c r="G104" s="383"/>
      <c r="H104" s="384" t="s">
        <v>52</v>
      </c>
      <c r="I104" s="294" t="s">
        <v>53</v>
      </c>
      <c r="J104" s="295" t="s">
        <v>54</v>
      </c>
      <c r="K104" s="264" t="s">
        <v>55</v>
      </c>
      <c r="L104" s="296" t="s">
        <v>56</v>
      </c>
      <c r="M104" s="294" t="s">
        <v>57</v>
      </c>
      <c r="N104" s="43" t="s">
        <v>58</v>
      </c>
      <c r="O104" s="79" t="s">
        <v>59</v>
      </c>
      <c r="P104" s="79" t="s">
        <v>60</v>
      </c>
      <c r="Q104" s="82" t="s">
        <v>61</v>
      </c>
      <c r="R104" s="128"/>
      <c r="S104" s="126"/>
      <c r="T104" s="129"/>
    </row>
    <row r="105" customFormat="false" ht="45" hidden="false" customHeight="true" outlineLevel="0" collapsed="false">
      <c r="B105" s="39"/>
      <c r="C105" s="126"/>
      <c r="D105" s="340"/>
      <c r="E105" s="6" t="s">
        <v>27</v>
      </c>
      <c r="F105" s="385" t="s">
        <v>101</v>
      </c>
      <c r="G105" s="385"/>
      <c r="H105" s="387" t="n">
        <v>4</v>
      </c>
      <c r="I105" s="387" t="n">
        <v>24</v>
      </c>
      <c r="J105" s="387" t="s">
        <v>46</v>
      </c>
      <c r="K105" s="388" t="n">
        <f aca="false">IF(I105="",0,(I105/I109)*100)</f>
        <v>31.5789473684211</v>
      </c>
      <c r="L105" s="387" t="n">
        <v>4</v>
      </c>
      <c r="M105" s="389" t="n">
        <v>0</v>
      </c>
      <c r="N105" s="301" t="n">
        <f aca="false">IF(L105=1,1,0)</f>
        <v>0</v>
      </c>
      <c r="O105" s="85" t="n">
        <f aca="false">IF(L105=2,1,0)</f>
        <v>0</v>
      </c>
      <c r="P105" s="85" t="n">
        <f aca="false">IF(L105=3,1,0)</f>
        <v>0</v>
      </c>
      <c r="Q105" s="84" t="n">
        <f aca="false">IF(L105=4,1,0)</f>
        <v>1</v>
      </c>
      <c r="R105" s="339"/>
      <c r="S105" s="126"/>
      <c r="T105" s="131"/>
    </row>
    <row r="106" customFormat="false" ht="45" hidden="false" customHeight="true" outlineLevel="0" collapsed="false">
      <c r="B106" s="39"/>
      <c r="C106" s="126"/>
      <c r="D106" s="336"/>
      <c r="E106" s="60" t="s">
        <v>20</v>
      </c>
      <c r="F106" s="304" t="s">
        <v>102</v>
      </c>
      <c r="G106" s="304"/>
      <c r="H106" s="18" t="n">
        <v>1</v>
      </c>
      <c r="I106" s="18" t="n">
        <v>57</v>
      </c>
      <c r="J106" s="18" t="s">
        <v>46</v>
      </c>
      <c r="K106" s="86" t="n">
        <f aca="false">IF(I106="",0,(I106/I109)*100)</f>
        <v>75</v>
      </c>
      <c r="L106" s="18" t="n">
        <v>3</v>
      </c>
      <c r="M106" s="19" t="n">
        <v>1</v>
      </c>
      <c r="N106" s="305" t="n">
        <f aca="false">IF(L106=1,1,0)</f>
        <v>0</v>
      </c>
      <c r="O106" s="88" t="n">
        <f aca="false">IF(L106=2,1,0)</f>
        <v>0</v>
      </c>
      <c r="P106" s="88" t="n">
        <f aca="false">IF(L106=3,1,0)</f>
        <v>1</v>
      </c>
      <c r="Q106" s="87" t="n">
        <f aca="false">IF(L106=4,1,0)</f>
        <v>0</v>
      </c>
      <c r="R106" s="339"/>
      <c r="S106" s="126"/>
      <c r="T106" s="132"/>
    </row>
    <row r="107" customFormat="false" ht="45" hidden="false" customHeight="true" outlineLevel="0" collapsed="false">
      <c r="B107" s="39"/>
      <c r="C107" s="126"/>
      <c r="D107" s="336"/>
      <c r="E107" s="60" t="s">
        <v>22</v>
      </c>
      <c r="F107" s="304" t="s">
        <v>103</v>
      </c>
      <c r="G107" s="304"/>
      <c r="H107" s="18" t="n">
        <v>3</v>
      </c>
      <c r="I107" s="18" t="n">
        <v>62</v>
      </c>
      <c r="J107" s="18" t="s">
        <v>46</v>
      </c>
      <c r="K107" s="86" t="n">
        <f aca="false">IF(I107="",0,(I107/I109)*100)</f>
        <v>81.5789473684211</v>
      </c>
      <c r="L107" s="18" t="n">
        <v>2</v>
      </c>
      <c r="M107" s="19" t="n">
        <v>3</v>
      </c>
      <c r="N107" s="305" t="n">
        <f aca="false">IF(L107=1,1,0)</f>
        <v>0</v>
      </c>
      <c r="O107" s="88" t="n">
        <f aca="false">IF(L107=2,1,0)</f>
        <v>1</v>
      </c>
      <c r="P107" s="88" t="n">
        <f aca="false">IF(L107=3,1,0)</f>
        <v>0</v>
      </c>
      <c r="Q107" s="87" t="n">
        <f aca="false">IF(L107=4,1,0)</f>
        <v>0</v>
      </c>
      <c r="R107" s="339"/>
      <c r="S107" s="126"/>
      <c r="T107" s="132"/>
    </row>
    <row r="108" customFormat="false" ht="45" hidden="false" customHeight="true" outlineLevel="0" collapsed="false">
      <c r="B108" s="39"/>
      <c r="C108" s="126"/>
      <c r="D108" s="336"/>
      <c r="E108" s="89" t="s">
        <v>7</v>
      </c>
      <c r="F108" s="391" t="s">
        <v>104</v>
      </c>
      <c r="G108" s="391"/>
      <c r="H108" s="91" t="n">
        <v>2</v>
      </c>
      <c r="I108" s="91" t="n">
        <v>76</v>
      </c>
      <c r="J108" s="91" t="s">
        <v>46</v>
      </c>
      <c r="K108" s="92" t="n">
        <f aca="false">IF(I108="",0,(I108/I109)*100)</f>
        <v>100</v>
      </c>
      <c r="L108" s="91" t="n">
        <v>1</v>
      </c>
      <c r="M108" s="394" t="n">
        <v>6</v>
      </c>
      <c r="N108" s="310" t="n">
        <f aca="false">IF(L108=1,1,0)</f>
        <v>1</v>
      </c>
      <c r="O108" s="95" t="n">
        <f aca="false">IF(L108=2,1,0)</f>
        <v>0</v>
      </c>
      <c r="P108" s="95" t="n">
        <f aca="false">IF(L108=3,1,0)</f>
        <v>0</v>
      </c>
      <c r="Q108" s="117" t="n">
        <f aca="false">IF(L108=4,1,0)</f>
        <v>0</v>
      </c>
      <c r="R108" s="339"/>
      <c r="S108" s="126"/>
      <c r="T108" s="132"/>
    </row>
    <row r="109" customFormat="false" ht="15.75" hidden="true" customHeight="false" outlineLevel="1" collapsed="false">
      <c r="B109" s="39"/>
      <c r="C109" s="126"/>
      <c r="D109" s="336"/>
      <c r="E109" s="336"/>
      <c r="F109" s="339"/>
      <c r="G109" s="339"/>
      <c r="H109" s="345" t="s">
        <v>62</v>
      </c>
      <c r="I109" s="98" t="n">
        <f aca="false">MAX(I105:I108)</f>
        <v>76</v>
      </c>
      <c r="J109" s="339"/>
      <c r="K109" s="346"/>
      <c r="L109" s="339"/>
      <c r="M109" s="333" t="s">
        <v>63</v>
      </c>
      <c r="N109" s="102" t="n">
        <f aca="false">SUM(N105:N108)</f>
        <v>1</v>
      </c>
      <c r="O109" s="103" t="n">
        <f aca="false">SUM(O105:O108)</f>
        <v>1</v>
      </c>
      <c r="P109" s="102" t="n">
        <f aca="false">SUM(P105:P108)</f>
        <v>1</v>
      </c>
      <c r="Q109" s="104" t="n">
        <f aca="false">SUM(Q105:Q108)</f>
        <v>1</v>
      </c>
      <c r="R109" s="347"/>
      <c r="S109" s="126"/>
      <c r="T109" s="132"/>
    </row>
    <row r="110" customFormat="false" ht="15" hidden="false" customHeight="false" outlineLevel="0" collapsed="false">
      <c r="B110" s="39"/>
      <c r="C110" s="126"/>
      <c r="D110" s="133"/>
      <c r="E110" s="133"/>
      <c r="F110" s="126"/>
      <c r="G110" s="126"/>
      <c r="H110" s="126"/>
      <c r="I110" s="126"/>
      <c r="J110" s="126"/>
      <c r="K110" s="126"/>
      <c r="L110" s="126"/>
      <c r="M110" s="126"/>
      <c r="N110" s="126"/>
      <c r="O110" s="126"/>
      <c r="P110" s="126"/>
      <c r="Q110" s="126"/>
      <c r="R110" s="126"/>
      <c r="S110" s="126"/>
      <c r="T110" s="132"/>
    </row>
    <row r="111" customFormat="false" ht="15" hidden="false" customHeight="false" outlineLevel="0" collapsed="false">
      <c r="B111" s="39"/>
      <c r="D111" s="124"/>
      <c r="E111" s="124"/>
      <c r="F111" s="124"/>
      <c r="G111" s="124"/>
      <c r="H111" s="125"/>
      <c r="I111" s="124"/>
      <c r="J111" s="124"/>
      <c r="K111" s="124"/>
      <c r="L111" s="36"/>
      <c r="M111" s="36"/>
      <c r="N111" s="36"/>
      <c r="O111" s="36"/>
      <c r="P111" s="36"/>
      <c r="Q111" s="36"/>
      <c r="R111" s="36"/>
      <c r="T111" s="131"/>
    </row>
    <row r="112" customFormat="false" ht="15.75" hidden="false" customHeight="false" outlineLevel="0" collapsed="false">
      <c r="B112" s="39"/>
      <c r="C112" s="134"/>
      <c r="D112" s="348" t="str">
        <f aca="false">IF(OR(L83="-",L83= ""),H83,L83)</f>
        <v>Auf den Spuren von 
Marco Polo</v>
      </c>
      <c r="E112" s="348"/>
      <c r="F112" s="348"/>
      <c r="G112" s="348"/>
      <c r="H112" s="348"/>
      <c r="I112" s="348"/>
      <c r="J112" s="348"/>
      <c r="K112" s="348"/>
      <c r="L112" s="348"/>
      <c r="M112" s="348"/>
      <c r="N112" s="136"/>
      <c r="O112" s="136"/>
      <c r="P112" s="136"/>
      <c r="Q112" s="136"/>
      <c r="R112" s="136"/>
      <c r="S112" s="134"/>
      <c r="T112" s="39"/>
    </row>
    <row r="113" customFormat="false" ht="60" hidden="false" customHeight="true" outlineLevel="0" collapsed="false">
      <c r="B113" s="39"/>
      <c r="C113" s="134"/>
      <c r="D113" s="136"/>
      <c r="E113" s="263" t="s">
        <v>36</v>
      </c>
      <c r="F113" s="266" t="s">
        <v>92</v>
      </c>
      <c r="G113" s="266"/>
      <c r="H113" s="265" t="s">
        <v>52</v>
      </c>
      <c r="I113" s="294" t="s">
        <v>53</v>
      </c>
      <c r="J113" s="295" t="s">
        <v>54</v>
      </c>
      <c r="K113" s="264" t="s">
        <v>55</v>
      </c>
      <c r="L113" s="296" t="s">
        <v>56</v>
      </c>
      <c r="M113" s="294" t="s">
        <v>57</v>
      </c>
      <c r="N113" s="43" t="s">
        <v>58</v>
      </c>
      <c r="O113" s="79" t="s">
        <v>59</v>
      </c>
      <c r="P113" s="79" t="s">
        <v>60</v>
      </c>
      <c r="Q113" s="82" t="s">
        <v>61</v>
      </c>
      <c r="R113" s="136"/>
      <c r="S113" s="134"/>
      <c r="T113" s="39"/>
    </row>
    <row r="114" customFormat="false" ht="45" hidden="false" customHeight="true" outlineLevel="0" collapsed="false">
      <c r="B114" s="39"/>
      <c r="C114" s="134"/>
      <c r="D114" s="349"/>
      <c r="E114" s="6" t="s">
        <v>27</v>
      </c>
      <c r="F114" s="385" t="s">
        <v>101</v>
      </c>
      <c r="G114" s="385"/>
      <c r="H114" s="11" t="n">
        <v>1</v>
      </c>
      <c r="I114" s="11" t="n">
        <v>69</v>
      </c>
      <c r="J114" s="11" t="s">
        <v>46</v>
      </c>
      <c r="K114" s="388" t="n">
        <f aca="false">IF(I114="",0,(I114/I118)*100)</f>
        <v>80.2325581395349</v>
      </c>
      <c r="L114" s="11" t="n">
        <v>3</v>
      </c>
      <c r="M114" s="12" t="n">
        <v>1</v>
      </c>
      <c r="N114" s="301" t="n">
        <f aca="false">IF(L114=1,1,0)</f>
        <v>0</v>
      </c>
      <c r="O114" s="85" t="n">
        <f aca="false">IF(L114=2,1,0)</f>
        <v>0</v>
      </c>
      <c r="P114" s="85" t="n">
        <f aca="false">IF(L114=3,1,0)</f>
        <v>1</v>
      </c>
      <c r="Q114" s="84" t="n">
        <f aca="false">IF(L114=4,1,0)</f>
        <v>0</v>
      </c>
      <c r="R114" s="350"/>
      <c r="S114" s="134"/>
      <c r="T114" s="39"/>
    </row>
    <row r="115" customFormat="false" ht="45" hidden="false" customHeight="true" outlineLevel="0" collapsed="false">
      <c r="B115" s="39"/>
      <c r="C115" s="134"/>
      <c r="D115" s="349"/>
      <c r="E115" s="60" t="s">
        <v>20</v>
      </c>
      <c r="F115" s="304" t="s">
        <v>102</v>
      </c>
      <c r="G115" s="304"/>
      <c r="H115" s="18" t="n">
        <v>2</v>
      </c>
      <c r="I115" s="18" t="n">
        <v>82</v>
      </c>
      <c r="J115" s="18" t="s">
        <v>46</v>
      </c>
      <c r="K115" s="86" t="n">
        <f aca="false">IF(I115="",0,(I115/I118)*100)</f>
        <v>95.3488372093023</v>
      </c>
      <c r="L115" s="18" t="n">
        <v>2</v>
      </c>
      <c r="M115" s="19" t="n">
        <v>3</v>
      </c>
      <c r="N115" s="305" t="n">
        <f aca="false">IF(L115=1,1,0)</f>
        <v>0</v>
      </c>
      <c r="O115" s="88" t="n">
        <f aca="false">IF(L115=2,1,0)</f>
        <v>1</v>
      </c>
      <c r="P115" s="88" t="n">
        <f aca="false">IF(L115=3,1,0)</f>
        <v>0</v>
      </c>
      <c r="Q115" s="87" t="n">
        <f aca="false">IF(L115=4,1,0)</f>
        <v>0</v>
      </c>
      <c r="R115" s="350"/>
      <c r="S115" s="134"/>
      <c r="T115" s="39"/>
    </row>
    <row r="116" customFormat="false" ht="45" hidden="false" customHeight="true" outlineLevel="0" collapsed="false">
      <c r="B116" s="39"/>
      <c r="C116" s="134"/>
      <c r="D116" s="349"/>
      <c r="E116" s="60" t="s">
        <v>22</v>
      </c>
      <c r="F116" s="304" t="s">
        <v>103</v>
      </c>
      <c r="G116" s="304"/>
      <c r="H116" s="18" t="n">
        <v>4</v>
      </c>
      <c r="I116" s="18" t="n">
        <v>60</v>
      </c>
      <c r="J116" s="18" t="s">
        <v>46</v>
      </c>
      <c r="K116" s="86" t="n">
        <f aca="false">IF(I116="",0,(I116/I118)*100)</f>
        <v>69.7674418604651</v>
      </c>
      <c r="L116" s="18" t="n">
        <v>4</v>
      </c>
      <c r="M116" s="19" t="n">
        <v>0</v>
      </c>
      <c r="N116" s="305" t="n">
        <f aca="false">IF(L116=1,1,0)</f>
        <v>0</v>
      </c>
      <c r="O116" s="88" t="n">
        <f aca="false">IF(L116=2,1,0)</f>
        <v>0</v>
      </c>
      <c r="P116" s="88" t="n">
        <f aca="false">IF(L116=3,1,0)</f>
        <v>0</v>
      </c>
      <c r="Q116" s="87" t="n">
        <f aca="false">IF(L116=4,1,0)</f>
        <v>1</v>
      </c>
      <c r="R116" s="350"/>
      <c r="S116" s="134"/>
      <c r="T116" s="39"/>
    </row>
    <row r="117" customFormat="false" ht="45" hidden="false" customHeight="true" outlineLevel="0" collapsed="false">
      <c r="B117" s="39"/>
      <c r="C117" s="134"/>
      <c r="D117" s="351"/>
      <c r="E117" s="89" t="s">
        <v>7</v>
      </c>
      <c r="F117" s="391" t="s">
        <v>104</v>
      </c>
      <c r="G117" s="391"/>
      <c r="H117" s="91" t="n">
        <v>3</v>
      </c>
      <c r="I117" s="91" t="n">
        <v>86</v>
      </c>
      <c r="J117" s="91" t="s">
        <v>46</v>
      </c>
      <c r="K117" s="92" t="n">
        <f aca="false">IF(I117="",0,(I117/I118)*100)</f>
        <v>100</v>
      </c>
      <c r="L117" s="91" t="n">
        <v>1</v>
      </c>
      <c r="M117" s="394" t="n">
        <v>6</v>
      </c>
      <c r="N117" s="310" t="n">
        <f aca="false">IF(L117=1,1,0)</f>
        <v>1</v>
      </c>
      <c r="O117" s="95" t="n">
        <f aca="false">IF(L117=2,1,0)</f>
        <v>0</v>
      </c>
      <c r="P117" s="95" t="n">
        <f aca="false">IF(L117=3,1,0)</f>
        <v>0</v>
      </c>
      <c r="Q117" s="117" t="n">
        <f aca="false">IF(L117=4,1,0)</f>
        <v>0</v>
      </c>
      <c r="R117" s="350"/>
      <c r="S117" s="134"/>
      <c r="T117" s="39"/>
    </row>
    <row r="118" customFormat="false" ht="15.75" hidden="true" customHeight="false" outlineLevel="1" collapsed="false">
      <c r="B118" s="39"/>
      <c r="C118" s="134"/>
      <c r="D118" s="349"/>
      <c r="E118" s="349"/>
      <c r="F118" s="350"/>
      <c r="G118" s="350"/>
      <c r="H118" s="395" t="s">
        <v>62</v>
      </c>
      <c r="I118" s="98" t="n">
        <f aca="false">MAX(I114:I117)</f>
        <v>86</v>
      </c>
      <c r="J118" s="350"/>
      <c r="K118" s="353"/>
      <c r="L118" s="350"/>
      <c r="M118" s="333" t="s">
        <v>63</v>
      </c>
      <c r="N118" s="102" t="n">
        <f aca="false">SUM(N114:N117)</f>
        <v>1</v>
      </c>
      <c r="O118" s="103" t="n">
        <f aca="false">SUM(O114:O117)</f>
        <v>1</v>
      </c>
      <c r="P118" s="102" t="n">
        <f aca="false">SUM(P114:P117)</f>
        <v>1</v>
      </c>
      <c r="Q118" s="104" t="n">
        <f aca="false">SUM(Q114:Q117)</f>
        <v>1</v>
      </c>
      <c r="R118" s="354"/>
      <c r="S118" s="134"/>
      <c r="T118" s="39"/>
    </row>
    <row r="119" customFormat="false" ht="15" hidden="false" customHeight="false" outlineLevel="0" collapsed="false">
      <c r="B119" s="39"/>
      <c r="C119" s="134"/>
      <c r="D119" s="137"/>
      <c r="E119" s="137"/>
      <c r="F119" s="134"/>
      <c r="G119" s="134"/>
      <c r="H119" s="134"/>
      <c r="I119" s="134"/>
      <c r="J119" s="134"/>
      <c r="K119" s="134"/>
      <c r="L119" s="134"/>
      <c r="M119" s="134"/>
      <c r="N119" s="134"/>
      <c r="O119" s="134"/>
      <c r="P119" s="134"/>
      <c r="Q119" s="134"/>
      <c r="R119" s="134"/>
      <c r="S119" s="134"/>
      <c r="T119" s="39"/>
    </row>
    <row r="120" customFormat="false" ht="15" hidden="false" customHeight="false" outlineLevel="0" collapsed="false">
      <c r="B120" s="39"/>
      <c r="D120" s="138"/>
      <c r="E120" s="138"/>
      <c r="F120" s="138"/>
      <c r="G120" s="138"/>
      <c r="H120" s="138"/>
      <c r="I120" s="138"/>
      <c r="J120" s="138"/>
      <c r="K120" s="36"/>
      <c r="L120" s="36"/>
      <c r="M120" s="36"/>
      <c r="N120" s="36"/>
      <c r="O120" s="36"/>
      <c r="P120" s="36"/>
      <c r="Q120" s="36"/>
      <c r="R120" s="36"/>
      <c r="T120" s="39"/>
    </row>
    <row r="121" customFormat="false" ht="24" hidden="false" customHeight="false" outlineLevel="0" collapsed="false">
      <c r="B121" s="39"/>
      <c r="C121" s="139"/>
      <c r="D121" s="141" t="s">
        <v>64</v>
      </c>
      <c r="E121" s="141"/>
      <c r="F121" s="141"/>
      <c r="G121" s="141"/>
      <c r="H121" s="141"/>
      <c r="I121" s="141"/>
      <c r="J121" s="141"/>
      <c r="K121" s="141"/>
      <c r="L121" s="141"/>
      <c r="M121" s="141"/>
      <c r="N121" s="141"/>
      <c r="O121" s="141"/>
      <c r="P121" s="141"/>
      <c r="Q121" s="141"/>
      <c r="R121" s="141"/>
      <c r="S121" s="139"/>
      <c r="T121" s="39"/>
    </row>
    <row r="122" customFormat="false" ht="60" hidden="false" customHeight="true" outlineLevel="0" collapsed="false">
      <c r="B122" s="39"/>
      <c r="C122" s="139"/>
      <c r="D122" s="398"/>
      <c r="E122" s="356" t="s">
        <v>36</v>
      </c>
      <c r="F122" s="357" t="s">
        <v>92</v>
      </c>
      <c r="G122" s="357"/>
      <c r="H122" s="356" t="s">
        <v>57</v>
      </c>
      <c r="I122" s="359" t="s">
        <v>65</v>
      </c>
      <c r="J122" s="358" t="s">
        <v>66</v>
      </c>
      <c r="K122" s="359" t="s">
        <v>67</v>
      </c>
      <c r="L122" s="358" t="s">
        <v>68</v>
      </c>
      <c r="M122" s="357" t="s">
        <v>69</v>
      </c>
      <c r="N122" s="147"/>
      <c r="O122" s="147"/>
      <c r="P122" s="147"/>
      <c r="Q122" s="147"/>
      <c r="R122" s="147"/>
      <c r="S122" s="139"/>
      <c r="T122" s="39"/>
    </row>
    <row r="123" customFormat="false" ht="45" hidden="false" customHeight="true" outlineLevel="0" collapsed="false">
      <c r="B123" s="39"/>
      <c r="C123" s="139"/>
      <c r="D123" s="360"/>
      <c r="E123" s="361" t="s">
        <v>7</v>
      </c>
      <c r="F123" s="362" t="s">
        <v>104</v>
      </c>
      <c r="G123" s="362"/>
      <c r="H123" s="399" t="n">
        <f aca="false">I123*6+J123*3+K123*1+L123*0</f>
        <v>19</v>
      </c>
      <c r="I123" s="399" t="n">
        <v>3</v>
      </c>
      <c r="J123" s="399" t="n">
        <v>0</v>
      </c>
      <c r="K123" s="399" t="n">
        <v>1</v>
      </c>
      <c r="L123" s="399" t="n">
        <v>0</v>
      </c>
      <c r="M123" s="364" t="n">
        <f aca="false">(K90+K99+K108+K117)/4</f>
        <v>89.873417721519</v>
      </c>
      <c r="N123" s="153"/>
      <c r="O123" s="153"/>
      <c r="P123" s="153"/>
      <c r="Q123" s="153"/>
      <c r="R123" s="153"/>
      <c r="S123" s="139"/>
      <c r="T123" s="39"/>
    </row>
    <row r="124" customFormat="false" ht="45" hidden="false" customHeight="true" outlineLevel="0" collapsed="false">
      <c r="B124" s="39"/>
      <c r="C124" s="139"/>
      <c r="D124" s="168"/>
      <c r="E124" s="154" t="s">
        <v>20</v>
      </c>
      <c r="F124" s="366" t="s">
        <v>102</v>
      </c>
      <c r="G124" s="366"/>
      <c r="H124" s="400" t="n">
        <f aca="false">I124*6+J124*3+K124*1+L124*0</f>
        <v>13</v>
      </c>
      <c r="I124" s="157" t="n">
        <v>1</v>
      </c>
      <c r="J124" s="157" t="n">
        <v>2</v>
      </c>
      <c r="K124" s="157" t="n">
        <v>1</v>
      </c>
      <c r="L124" s="157" t="n">
        <v>0</v>
      </c>
      <c r="M124" s="367" t="n">
        <f aca="false">(K88+K97+K106+K115)/4</f>
        <v>92.5872093023256</v>
      </c>
      <c r="N124" s="153"/>
      <c r="O124" s="153"/>
      <c r="P124" s="153"/>
      <c r="Q124" s="153"/>
      <c r="R124" s="153"/>
      <c r="S124" s="139"/>
      <c r="T124" s="39"/>
      <c r="V124" s="32"/>
      <c r="W124" s="32"/>
      <c r="X124" s="120"/>
      <c r="Y124" s="120"/>
      <c r="Z124" s="194"/>
      <c r="AA124" s="194"/>
      <c r="AB124" s="195"/>
      <c r="AC124" s="195"/>
      <c r="AD124" s="195"/>
    </row>
    <row r="125" customFormat="false" ht="45" hidden="false" customHeight="true" outlineLevel="0" collapsed="false">
      <c r="B125" s="39"/>
      <c r="C125" s="139"/>
      <c r="D125" s="168"/>
      <c r="E125" s="154" t="s">
        <v>22</v>
      </c>
      <c r="F125" s="366" t="s">
        <v>103</v>
      </c>
      <c r="G125" s="366"/>
      <c r="H125" s="400" t="n">
        <f aca="false">I125*6+J125*3+K125*1+L125*0</f>
        <v>4</v>
      </c>
      <c r="I125" s="157" t="n">
        <v>0</v>
      </c>
      <c r="J125" s="157" t="n">
        <v>1</v>
      </c>
      <c r="K125" s="157" t="n">
        <v>1</v>
      </c>
      <c r="L125" s="157" t="n">
        <v>2</v>
      </c>
      <c r="M125" s="367" t="n">
        <f aca="false">(K89+K98+K107+K116)/4</f>
        <v>67.676507955025</v>
      </c>
      <c r="N125" s="153"/>
      <c r="O125" s="153"/>
      <c r="P125" s="153"/>
      <c r="Q125" s="153"/>
      <c r="R125" s="153"/>
      <c r="S125" s="139"/>
      <c r="T125" s="39"/>
    </row>
    <row r="126" customFormat="false" ht="45" hidden="false" customHeight="true" outlineLevel="0" collapsed="false">
      <c r="B126" s="39"/>
      <c r="C126" s="139"/>
      <c r="D126" s="168"/>
      <c r="E126" s="401" t="s">
        <v>27</v>
      </c>
      <c r="F126" s="369" t="s">
        <v>101</v>
      </c>
      <c r="G126" s="369"/>
      <c r="H126" s="402" t="n">
        <f aca="false">I126*6+J126*3+K126*1+L126*0</f>
        <v>4</v>
      </c>
      <c r="I126" s="403" t="n">
        <v>0</v>
      </c>
      <c r="J126" s="403" t="n">
        <v>1</v>
      </c>
      <c r="K126" s="403" t="n">
        <v>1</v>
      </c>
      <c r="L126" s="403" t="n">
        <v>2</v>
      </c>
      <c r="M126" s="371" t="n">
        <f aca="false">(K87+K96+K105+K114)/4</f>
        <v>57.0668004276219</v>
      </c>
      <c r="N126" s="153"/>
      <c r="O126" s="153"/>
      <c r="P126" s="153"/>
      <c r="Q126" s="153"/>
      <c r="R126" s="153"/>
      <c r="S126" s="139"/>
      <c r="T126" s="39"/>
    </row>
    <row r="127" customFormat="false" ht="15" hidden="false" customHeight="false" outlineLevel="0" collapsed="false">
      <c r="B127" s="39"/>
      <c r="C127" s="139"/>
      <c r="D127" s="168"/>
      <c r="E127" s="168"/>
      <c r="F127" s="153"/>
      <c r="G127" s="153"/>
      <c r="H127" s="153"/>
      <c r="I127" s="153"/>
      <c r="J127" s="153"/>
      <c r="K127" s="153"/>
      <c r="L127" s="153"/>
      <c r="M127" s="153"/>
      <c r="N127" s="153"/>
      <c r="O127" s="153"/>
      <c r="P127" s="153"/>
      <c r="Q127" s="153"/>
      <c r="R127" s="153"/>
      <c r="S127" s="139"/>
      <c r="T127" s="39"/>
    </row>
    <row r="128" customFormat="false" ht="15" hidden="false" customHeight="true" outlineLevel="0" collapsed="false">
      <c r="B128" s="39"/>
      <c r="C128" s="39"/>
      <c r="D128" s="169"/>
      <c r="E128" s="169"/>
      <c r="F128" s="129"/>
      <c r="G128" s="129"/>
      <c r="H128" s="169"/>
      <c r="I128" s="169"/>
      <c r="J128" s="169"/>
      <c r="K128" s="131"/>
      <c r="L128" s="131"/>
      <c r="M128" s="131"/>
      <c r="N128" s="131"/>
      <c r="O128" s="131"/>
      <c r="P128" s="131"/>
      <c r="Q128" s="131"/>
      <c r="R128" s="131"/>
      <c r="S128" s="39"/>
      <c r="T128" s="39"/>
    </row>
    <row r="131" customFormat="false" ht="15" hidden="false" customHeight="false" outlineLevel="0" collapsed="false">
      <c r="B131" s="39"/>
      <c r="C131" s="39"/>
      <c r="D131" s="40"/>
      <c r="E131" s="40"/>
      <c r="F131" s="40"/>
      <c r="G131" s="40"/>
      <c r="H131" s="39"/>
      <c r="I131" s="39"/>
      <c r="J131" s="39"/>
      <c r="K131" s="39"/>
      <c r="L131" s="39"/>
      <c r="M131" s="39"/>
      <c r="N131" s="39"/>
      <c r="O131" s="39"/>
      <c r="P131" s="39"/>
      <c r="Q131" s="39"/>
      <c r="R131" s="39"/>
      <c r="S131" s="39"/>
      <c r="T131" s="39"/>
    </row>
    <row r="132" customFormat="false" ht="31.5" hidden="false" customHeight="false" outlineLevel="0" collapsed="false">
      <c r="B132" s="39"/>
      <c r="C132" s="41"/>
      <c r="D132" s="42" t="s">
        <v>133</v>
      </c>
      <c r="E132" s="42"/>
      <c r="F132" s="42"/>
      <c r="G132" s="172"/>
      <c r="H132" s="172"/>
      <c r="I132" s="172"/>
      <c r="J132" s="172"/>
      <c r="K132" s="172"/>
      <c r="L132" s="172"/>
      <c r="M132" s="172"/>
      <c r="N132" s="42"/>
      <c r="O132" s="42"/>
      <c r="P132" s="42"/>
      <c r="Q132" s="42"/>
      <c r="R132" s="42"/>
      <c r="S132" s="41"/>
      <c r="T132" s="39"/>
    </row>
    <row r="133" customFormat="false" ht="15.75" hidden="false" customHeight="false" outlineLevel="0" collapsed="false">
      <c r="B133" s="39"/>
      <c r="D133" s="36"/>
      <c r="E133" s="36"/>
      <c r="T133" s="39"/>
    </row>
    <row r="134" customFormat="false" ht="45" hidden="false" customHeight="true" outlineLevel="0" collapsed="false">
      <c r="B134" s="39"/>
      <c r="D134" s="263" t="s">
        <v>36</v>
      </c>
      <c r="E134" s="264" t="s">
        <v>92</v>
      </c>
      <c r="F134" s="265" t="s">
        <v>6</v>
      </c>
      <c r="G134" s="265"/>
      <c r="H134" s="266" t="s">
        <v>110</v>
      </c>
      <c r="I134" s="266"/>
      <c r="J134" s="266"/>
      <c r="K134" s="264" t="s">
        <v>71</v>
      </c>
      <c r="L134" s="266" t="s">
        <v>40</v>
      </c>
      <c r="M134" s="266"/>
      <c r="N134" s="266"/>
      <c r="O134" s="266"/>
      <c r="P134" s="266"/>
      <c r="Q134" s="266"/>
      <c r="R134" s="266"/>
      <c r="T134" s="39"/>
    </row>
    <row r="135" customFormat="false" ht="15.75" hidden="false" customHeight="false" outlineLevel="0" collapsed="false">
      <c r="B135" s="39"/>
      <c r="D135" s="263"/>
      <c r="E135" s="264"/>
      <c r="F135" s="265"/>
      <c r="G135" s="265"/>
      <c r="H135" s="267" t="s">
        <v>41</v>
      </c>
      <c r="I135" s="268" t="s">
        <v>42</v>
      </c>
      <c r="J135" s="268" t="s">
        <v>111</v>
      </c>
      <c r="K135" s="267" t="s">
        <v>43</v>
      </c>
      <c r="L135" s="270" t="s">
        <v>44</v>
      </c>
      <c r="M135" s="270" t="s">
        <v>42</v>
      </c>
      <c r="N135" s="271"/>
      <c r="O135" s="271"/>
      <c r="P135" s="271"/>
      <c r="Q135" s="271"/>
      <c r="R135" s="404" t="s">
        <v>111</v>
      </c>
      <c r="T135" s="39"/>
    </row>
    <row r="136" customFormat="false" ht="45" hidden="false" customHeight="false" outlineLevel="0" collapsed="false">
      <c r="B136" s="39"/>
      <c r="D136" s="272" t="str">
        <f aca="false">K12</f>
        <v>Andreas Micke</v>
      </c>
      <c r="E136" s="373" t="s">
        <v>105</v>
      </c>
      <c r="F136" s="12" t="n">
        <v>1</v>
      </c>
      <c r="G136" s="12"/>
      <c r="H136" s="405" t="s">
        <v>51</v>
      </c>
      <c r="I136" s="373" t="s">
        <v>46</v>
      </c>
      <c r="J136" s="202" t="s">
        <v>85</v>
      </c>
      <c r="K136" s="406" t="s">
        <v>50</v>
      </c>
      <c r="L136" s="272" t="s">
        <v>46</v>
      </c>
      <c r="M136" s="276" t="s">
        <v>46</v>
      </c>
      <c r="N136" s="277"/>
      <c r="O136" s="277"/>
      <c r="P136" s="277"/>
      <c r="Q136" s="277"/>
      <c r="R136" s="173" t="s">
        <v>46</v>
      </c>
      <c r="T136" s="39"/>
    </row>
    <row r="137" customFormat="false" ht="45" hidden="false" customHeight="false" outlineLevel="0" collapsed="false">
      <c r="B137" s="39"/>
      <c r="D137" s="407" t="s">
        <v>12</v>
      </c>
      <c r="E137" s="408" t="s">
        <v>106</v>
      </c>
      <c r="F137" s="19" t="n">
        <v>2</v>
      </c>
      <c r="G137" s="19"/>
      <c r="H137" s="409" t="s">
        <v>134</v>
      </c>
      <c r="I137" s="408" t="s">
        <v>46</v>
      </c>
      <c r="J137" s="410" t="s">
        <v>85</v>
      </c>
      <c r="K137" s="411" t="s">
        <v>50</v>
      </c>
      <c r="L137" s="412"/>
      <c r="M137" s="413"/>
      <c r="N137" s="414"/>
      <c r="O137" s="414"/>
      <c r="P137" s="414"/>
      <c r="Q137" s="414"/>
      <c r="R137" s="415"/>
      <c r="T137" s="39"/>
    </row>
    <row r="138" customFormat="false" ht="45" hidden="false" customHeight="false" outlineLevel="0" collapsed="false">
      <c r="B138" s="39"/>
      <c r="D138" s="278" t="s">
        <v>12</v>
      </c>
      <c r="E138" s="376" t="s">
        <v>106</v>
      </c>
      <c r="F138" s="19" t="n">
        <v>3</v>
      </c>
      <c r="G138" s="19"/>
      <c r="H138" s="379" t="s">
        <v>73</v>
      </c>
      <c r="I138" s="376" t="s">
        <v>135</v>
      </c>
      <c r="J138" s="178" t="s">
        <v>85</v>
      </c>
      <c r="K138" s="416" t="s">
        <v>50</v>
      </c>
      <c r="L138" s="278" t="s">
        <v>46</v>
      </c>
      <c r="M138" s="282" t="s">
        <v>46</v>
      </c>
      <c r="N138" s="283"/>
      <c r="O138" s="283"/>
      <c r="P138" s="283"/>
      <c r="Q138" s="283"/>
      <c r="R138" s="176" t="s">
        <v>46</v>
      </c>
      <c r="T138" s="39"/>
    </row>
    <row r="139" customFormat="false" ht="35.05" hidden="false" customHeight="false" outlineLevel="0" collapsed="false">
      <c r="B139" s="39"/>
      <c r="D139" s="287" t="s">
        <v>31</v>
      </c>
      <c r="E139" s="380" t="s">
        <v>105</v>
      </c>
      <c r="F139" s="23" t="n">
        <v>4</v>
      </c>
      <c r="G139" s="23"/>
      <c r="H139" s="417" t="s">
        <v>136</v>
      </c>
      <c r="I139" s="380" t="s">
        <v>137</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D140" s="36"/>
      <c r="E140" s="36"/>
      <c r="T140" s="39"/>
    </row>
    <row r="141" customFormat="false" ht="15.75" hidden="false" customHeight="false" outlineLevel="0" collapsed="false">
      <c r="B141" s="39"/>
      <c r="C141" s="76"/>
      <c r="D141" s="293" t="str">
        <f aca="false">IF(OR(L136="-",L136= ""),H136,L136)</f>
        <v>Marco Polo</v>
      </c>
      <c r="E141" s="293"/>
      <c r="F141" s="293"/>
      <c r="G141" s="293"/>
      <c r="H141" s="293"/>
      <c r="I141" s="293"/>
      <c r="J141" s="293"/>
      <c r="K141" s="293"/>
      <c r="L141" s="293"/>
      <c r="M141" s="293"/>
      <c r="N141" s="78"/>
      <c r="O141" s="78"/>
      <c r="P141" s="78"/>
      <c r="Q141" s="78"/>
      <c r="R141" s="78"/>
      <c r="S141" s="76"/>
      <c r="T141" s="39"/>
    </row>
    <row r="142" customFormat="false" ht="60" hidden="false" customHeight="true" outlineLevel="0" collapsed="false">
      <c r="B142" s="39"/>
      <c r="C142" s="76"/>
      <c r="D142" s="78"/>
      <c r="E142" s="263" t="s">
        <v>36</v>
      </c>
      <c r="F142" s="266" t="s">
        <v>92</v>
      </c>
      <c r="G142" s="266"/>
      <c r="H142" s="265" t="s">
        <v>52</v>
      </c>
      <c r="I142" s="294" t="s">
        <v>53</v>
      </c>
      <c r="J142" s="295" t="s">
        <v>54</v>
      </c>
      <c r="K142" s="264" t="s">
        <v>55</v>
      </c>
      <c r="L142" s="296" t="s">
        <v>56</v>
      </c>
      <c r="M142" s="294" t="s">
        <v>57</v>
      </c>
      <c r="N142" s="43" t="s">
        <v>58</v>
      </c>
      <c r="O142" s="79" t="s">
        <v>59</v>
      </c>
      <c r="P142" s="78"/>
      <c r="Q142" s="78"/>
      <c r="R142" s="78"/>
      <c r="S142" s="76"/>
      <c r="T142" s="39"/>
    </row>
    <row r="143" customFormat="false" ht="45" hidden="false" customHeight="true" outlineLevel="0" collapsed="false">
      <c r="B143" s="39"/>
      <c r="C143" s="76"/>
      <c r="D143" s="297"/>
      <c r="E143" s="180" t="s">
        <v>31</v>
      </c>
      <c r="F143" s="299" t="s">
        <v>105</v>
      </c>
      <c r="G143" s="299"/>
      <c r="H143" s="182" t="n">
        <v>2</v>
      </c>
      <c r="I143" s="182" t="n">
        <v>90</v>
      </c>
      <c r="J143" s="182" t="s">
        <v>46</v>
      </c>
      <c r="K143" s="183" t="n">
        <f aca="false">IF(I143="",0,(I143/I145)*100)</f>
        <v>100</v>
      </c>
      <c r="L143" s="182" t="n">
        <v>1</v>
      </c>
      <c r="M143" s="300" t="n">
        <v>6</v>
      </c>
      <c r="N143" s="301" t="n">
        <f aca="false">IF(L143=1,1,0)</f>
        <v>1</v>
      </c>
      <c r="O143" s="84" t="n">
        <f aca="false">IF(L143=2,1,0)</f>
        <v>0</v>
      </c>
      <c r="P143" s="302"/>
      <c r="Q143" s="302"/>
      <c r="R143" s="302"/>
      <c r="S143" s="76"/>
      <c r="T143" s="39"/>
    </row>
    <row r="144" customFormat="false" ht="45" hidden="false" customHeight="true" outlineLevel="0" collapsed="false">
      <c r="B144" s="39"/>
      <c r="C144" s="76"/>
      <c r="D144" s="297"/>
      <c r="E144" s="69" t="s">
        <v>12</v>
      </c>
      <c r="F144" s="397" t="s">
        <v>106</v>
      </c>
      <c r="G144" s="397"/>
      <c r="H144" s="186" t="n">
        <v>1</v>
      </c>
      <c r="I144" s="186" t="n">
        <v>70</v>
      </c>
      <c r="J144" s="186" t="s">
        <v>46</v>
      </c>
      <c r="K144" s="116" t="n">
        <f aca="false">IF(I144="",0,(I144/I145)*100)</f>
        <v>77.7777777777778</v>
      </c>
      <c r="L144" s="186" t="n">
        <v>2</v>
      </c>
      <c r="M144" s="309" t="n">
        <v>0</v>
      </c>
      <c r="N144" s="310" t="n">
        <f aca="false">IF(L144=1,1,0)</f>
        <v>0</v>
      </c>
      <c r="O144" s="117" t="n">
        <f aca="false">IF(L144=2,1,0)</f>
        <v>1</v>
      </c>
      <c r="P144" s="302"/>
      <c r="Q144" s="302"/>
      <c r="R144" s="302"/>
      <c r="S144" s="76"/>
      <c r="T144" s="39"/>
    </row>
    <row r="145" customFormat="false" ht="15.75" hidden="true" customHeight="false" outlineLevel="1" collapsed="false">
      <c r="B145" s="39"/>
      <c r="C145" s="76"/>
      <c r="D145" s="306"/>
      <c r="E145" s="306"/>
      <c r="F145" s="302"/>
      <c r="G145" s="302"/>
      <c r="H145" s="395" t="s">
        <v>62</v>
      </c>
      <c r="I145" s="98" t="n">
        <f aca="false">MAX(I143:I144)</f>
        <v>90</v>
      </c>
      <c r="J145" s="316"/>
      <c r="K145" s="396"/>
      <c r="L145" s="316"/>
      <c r="M145" s="333" t="s">
        <v>63</v>
      </c>
      <c r="N145" s="102" t="n">
        <f aca="false">SUM(N143:N144)</f>
        <v>1</v>
      </c>
      <c r="O145" s="103" t="n">
        <f aca="false">SUM(O143:O144)</f>
        <v>1</v>
      </c>
      <c r="P145" s="102" t="n">
        <f aca="false">SUM(P143:P144)</f>
        <v>0</v>
      </c>
      <c r="Q145" s="102" t="n">
        <f aca="false">SUM(Q143:Q144)</f>
        <v>0</v>
      </c>
      <c r="R145" s="316"/>
      <c r="S145" s="76"/>
      <c r="T145" s="39"/>
    </row>
    <row r="146" customFormat="false" ht="15" hidden="false" customHeight="false" outlineLevel="0" collapsed="false">
      <c r="B146" s="39"/>
      <c r="C146" s="76"/>
      <c r="D146" s="105"/>
      <c r="E146" s="105"/>
      <c r="F146" s="76"/>
      <c r="G146" s="76"/>
      <c r="H146" s="76"/>
      <c r="I146" s="76"/>
      <c r="J146" s="76"/>
      <c r="K146" s="76"/>
      <c r="L146" s="76"/>
      <c r="M146" s="76"/>
      <c r="N146" s="76"/>
      <c r="O146" s="76"/>
      <c r="P146" s="76"/>
      <c r="Q146" s="76"/>
      <c r="R146" s="76"/>
      <c r="S146" s="76"/>
      <c r="T146" s="39"/>
    </row>
    <row r="147" customFormat="false" ht="15" hidden="false" customHeight="false" outlineLevel="0" collapsed="false">
      <c r="B147" s="39"/>
      <c r="T147" s="39"/>
    </row>
    <row r="148" customFormat="false" ht="15.75" hidden="false" customHeight="false" outlineLevel="0" collapsed="false">
      <c r="B148" s="39"/>
      <c r="C148" s="107"/>
      <c r="D148" s="317" t="str">
        <f aca="false">IF(OR(L137="-",L137= ""),H137,L137)</f>
        <v>Stone Age</v>
      </c>
      <c r="E148" s="317"/>
      <c r="F148" s="317"/>
      <c r="G148" s="317"/>
      <c r="H148" s="317"/>
      <c r="I148" s="317"/>
      <c r="J148" s="317"/>
      <c r="K148" s="317"/>
      <c r="L148" s="317"/>
      <c r="M148" s="317"/>
      <c r="N148" s="109"/>
      <c r="O148" s="109"/>
      <c r="P148" s="109"/>
      <c r="Q148" s="109"/>
      <c r="R148" s="109"/>
      <c r="S148" s="107"/>
      <c r="T148" s="39"/>
    </row>
    <row r="149" customFormat="false" ht="60" hidden="false" customHeight="true" outlineLevel="0" collapsed="false">
      <c r="B149" s="39"/>
      <c r="C149" s="107"/>
      <c r="D149" s="109"/>
      <c r="E149" s="263" t="s">
        <v>36</v>
      </c>
      <c r="F149" s="266" t="s">
        <v>92</v>
      </c>
      <c r="G149" s="266"/>
      <c r="H149" s="265" t="s">
        <v>52</v>
      </c>
      <c r="I149" s="294" t="s">
        <v>53</v>
      </c>
      <c r="J149" s="295" t="s">
        <v>54</v>
      </c>
      <c r="K149" s="264" t="s">
        <v>55</v>
      </c>
      <c r="L149" s="296" t="s">
        <v>56</v>
      </c>
      <c r="M149" s="294" t="s">
        <v>57</v>
      </c>
      <c r="N149" s="43" t="s">
        <v>58</v>
      </c>
      <c r="O149" s="79" t="s">
        <v>59</v>
      </c>
      <c r="P149" s="109"/>
      <c r="Q149" s="109"/>
      <c r="R149" s="109"/>
      <c r="S149" s="107"/>
      <c r="T149" s="39"/>
    </row>
    <row r="150" customFormat="false" ht="45" hidden="false" customHeight="true" outlineLevel="0" collapsed="false">
      <c r="B150" s="39"/>
      <c r="C150" s="107"/>
      <c r="D150" s="319"/>
      <c r="E150" s="52" t="s">
        <v>31</v>
      </c>
      <c r="F150" s="338" t="s">
        <v>105</v>
      </c>
      <c r="G150" s="338"/>
      <c r="H150" s="11" t="n">
        <v>2</v>
      </c>
      <c r="I150" s="11" t="n">
        <v>194</v>
      </c>
      <c r="J150" s="11" t="s">
        <v>46</v>
      </c>
      <c r="K150" s="83" t="n">
        <f aca="false">IF(I150="",0,(I150/I152)*100)</f>
        <v>64.6666666666667</v>
      </c>
      <c r="L150" s="11" t="n">
        <v>2</v>
      </c>
      <c r="M150" s="12" t="n">
        <v>0</v>
      </c>
      <c r="N150" s="301" t="n">
        <f aca="false">IF(L150=1,1,0)</f>
        <v>0</v>
      </c>
      <c r="O150" s="84" t="n">
        <f aca="false">IF(L150=2,1,0)</f>
        <v>1</v>
      </c>
      <c r="P150" s="322"/>
      <c r="Q150" s="322"/>
      <c r="R150" s="322"/>
      <c r="S150" s="107"/>
      <c r="T150" s="39"/>
    </row>
    <row r="151" customFormat="false" ht="45" hidden="false" customHeight="true" outlineLevel="0" collapsed="false">
      <c r="B151" s="39"/>
      <c r="C151" s="107"/>
      <c r="D151" s="319"/>
      <c r="E151" s="89" t="s">
        <v>12</v>
      </c>
      <c r="F151" s="391" t="s">
        <v>106</v>
      </c>
      <c r="G151" s="391"/>
      <c r="H151" s="91" t="n">
        <v>1</v>
      </c>
      <c r="I151" s="91" t="n">
        <v>300</v>
      </c>
      <c r="J151" s="91" t="s">
        <v>46</v>
      </c>
      <c r="K151" s="92" t="n">
        <f aca="false">IF(I151="",0,(I151/I152)*100)</f>
        <v>100</v>
      </c>
      <c r="L151" s="91" t="n">
        <v>1</v>
      </c>
      <c r="M151" s="394" t="n">
        <v>6</v>
      </c>
      <c r="N151" s="310" t="n">
        <f aca="false">IF(L151=1,1,0)</f>
        <v>1</v>
      </c>
      <c r="O151" s="117" t="n">
        <f aca="false">IF(L151=2,1,0)</f>
        <v>0</v>
      </c>
      <c r="P151" s="322"/>
      <c r="Q151" s="322"/>
      <c r="R151" s="322"/>
      <c r="S151" s="107"/>
      <c r="T151" s="39"/>
    </row>
    <row r="152" customFormat="false" ht="15.75" hidden="true" customHeight="false" outlineLevel="1" collapsed="false">
      <c r="B152" s="39"/>
      <c r="C152" s="107"/>
      <c r="D152" s="319"/>
      <c r="E152" s="319"/>
      <c r="F152" s="322"/>
      <c r="G152" s="322"/>
      <c r="H152" s="215" t="s">
        <v>62</v>
      </c>
      <c r="I152" s="119" t="n">
        <f aca="false">MAX(I150:I151)</f>
        <v>300</v>
      </c>
      <c r="J152" s="322"/>
      <c r="K152" s="332"/>
      <c r="L152" s="322"/>
      <c r="M152" s="333" t="s">
        <v>63</v>
      </c>
      <c r="N152" s="102" t="n">
        <f aca="false">SUM(N150:N151)</f>
        <v>1</v>
      </c>
      <c r="O152" s="103" t="n">
        <f aca="false">SUM(O150:O151)</f>
        <v>1</v>
      </c>
      <c r="P152" s="102" t="n">
        <f aca="false">SUM(P150:P151)</f>
        <v>0</v>
      </c>
      <c r="Q152" s="104" t="n">
        <f aca="false">SUM(Q150:Q151)</f>
        <v>0</v>
      </c>
      <c r="R152" s="334"/>
      <c r="S152" s="107"/>
      <c r="T152" s="39"/>
    </row>
    <row r="153" customFormat="false" ht="15" hidden="false" customHeight="false" outlineLevel="0" collapsed="false">
      <c r="B153" s="39"/>
      <c r="C153" s="107"/>
      <c r="D153" s="123"/>
      <c r="E153" s="123"/>
      <c r="F153" s="107"/>
      <c r="G153" s="107"/>
      <c r="H153" s="107"/>
      <c r="I153" s="107"/>
      <c r="J153" s="107"/>
      <c r="K153" s="107"/>
      <c r="L153" s="107"/>
      <c r="M153" s="107"/>
      <c r="N153" s="107"/>
      <c r="O153" s="107"/>
      <c r="P153" s="107"/>
      <c r="Q153" s="107"/>
      <c r="R153" s="107"/>
      <c r="S153" s="107"/>
      <c r="T153" s="39"/>
    </row>
    <row r="154" customFormat="false" ht="15" hidden="false" customHeight="false" outlineLevel="0" collapsed="false">
      <c r="B154" s="39"/>
      <c r="D154" s="124"/>
      <c r="E154" s="124"/>
      <c r="F154" s="124"/>
      <c r="G154" s="124"/>
      <c r="H154" s="125"/>
      <c r="I154" s="124"/>
      <c r="J154" s="124"/>
      <c r="K154" s="36"/>
      <c r="L154" s="36"/>
      <c r="M154" s="36"/>
      <c r="N154" s="36"/>
      <c r="O154" s="36"/>
      <c r="P154" s="36"/>
      <c r="Q154" s="36"/>
      <c r="R154" s="36"/>
      <c r="T154" s="39"/>
    </row>
    <row r="155" customFormat="false" ht="15" hidden="false" customHeight="true" outlineLevel="0" collapsed="false">
      <c r="B155" s="39"/>
      <c r="C155" s="126"/>
      <c r="D155" s="335" t="str">
        <f aca="false">IF(OR(L138="-",L138= ""),H138,L138)</f>
        <v>Die Burgen von 
Burgund</v>
      </c>
      <c r="E155" s="335"/>
      <c r="F155" s="335"/>
      <c r="G155" s="335"/>
      <c r="H155" s="335"/>
      <c r="I155" s="335"/>
      <c r="J155" s="335"/>
      <c r="K155" s="335"/>
      <c r="L155" s="335"/>
      <c r="M155" s="335"/>
      <c r="N155" s="128"/>
      <c r="O155" s="128"/>
      <c r="P155" s="128"/>
      <c r="Q155" s="128"/>
      <c r="R155" s="128"/>
      <c r="S155" s="126"/>
      <c r="T155" s="129"/>
    </row>
    <row r="156" customFormat="false" ht="60" hidden="false" customHeight="true" outlineLevel="0" collapsed="false">
      <c r="B156" s="39"/>
      <c r="C156" s="126"/>
      <c r="D156" s="128"/>
      <c r="E156" s="263" t="s">
        <v>36</v>
      </c>
      <c r="F156" s="266" t="s">
        <v>92</v>
      </c>
      <c r="G156" s="266"/>
      <c r="H156" s="265" t="s">
        <v>52</v>
      </c>
      <c r="I156" s="294" t="s">
        <v>53</v>
      </c>
      <c r="J156" s="295" t="s">
        <v>54</v>
      </c>
      <c r="K156" s="264" t="s">
        <v>55</v>
      </c>
      <c r="L156" s="296" t="s">
        <v>56</v>
      </c>
      <c r="M156" s="294" t="s">
        <v>57</v>
      </c>
      <c r="N156" s="43" t="s">
        <v>58</v>
      </c>
      <c r="O156" s="79" t="s">
        <v>59</v>
      </c>
      <c r="P156" s="128"/>
      <c r="Q156" s="128"/>
      <c r="R156" s="128"/>
      <c r="S156" s="126"/>
      <c r="T156" s="129"/>
    </row>
    <row r="157" customFormat="false" ht="45" hidden="false" customHeight="true" outlineLevel="0" collapsed="false">
      <c r="B157" s="39"/>
      <c r="C157" s="126"/>
      <c r="D157" s="336"/>
      <c r="E157" s="180" t="s">
        <v>31</v>
      </c>
      <c r="F157" s="299" t="s">
        <v>105</v>
      </c>
      <c r="G157" s="299"/>
      <c r="H157" s="182" t="n">
        <v>1</v>
      </c>
      <c r="I157" s="182" t="n">
        <v>190</v>
      </c>
      <c r="J157" s="182" t="s">
        <v>46</v>
      </c>
      <c r="K157" s="183" t="n">
        <f aca="false">IF(I157="",0,(I157/I159)*100)</f>
        <v>100</v>
      </c>
      <c r="L157" s="182" t="n">
        <v>1</v>
      </c>
      <c r="M157" s="300" t="n">
        <v>6</v>
      </c>
      <c r="N157" s="301" t="n">
        <f aca="false">IF(L157=1,1,0)</f>
        <v>1</v>
      </c>
      <c r="O157" s="84" t="n">
        <f aca="false">IF(L157=2,1,0)</f>
        <v>0</v>
      </c>
      <c r="P157" s="339"/>
      <c r="Q157" s="339"/>
      <c r="R157" s="339"/>
      <c r="S157" s="126"/>
      <c r="T157" s="131"/>
    </row>
    <row r="158" customFormat="false" ht="45" hidden="false" customHeight="true" outlineLevel="0" collapsed="false">
      <c r="B158" s="39"/>
      <c r="C158" s="126"/>
      <c r="D158" s="336"/>
      <c r="E158" s="69" t="s">
        <v>12</v>
      </c>
      <c r="F158" s="397" t="s">
        <v>106</v>
      </c>
      <c r="G158" s="397"/>
      <c r="H158" s="22" t="n">
        <v>2</v>
      </c>
      <c r="I158" s="22" t="n">
        <v>188</v>
      </c>
      <c r="J158" s="22" t="s">
        <v>46</v>
      </c>
      <c r="K158" s="116" t="n">
        <f aca="false">IF(I158="",0,(I158/I159)*100)</f>
        <v>98.9473684210526</v>
      </c>
      <c r="L158" s="22" t="n">
        <v>2</v>
      </c>
      <c r="M158" s="23" t="n">
        <v>0</v>
      </c>
      <c r="N158" s="310" t="n">
        <f aca="false">IF(L158=1,1,0)</f>
        <v>0</v>
      </c>
      <c r="O158" s="117" t="n">
        <f aca="false">IF(L158=2,1,0)</f>
        <v>1</v>
      </c>
      <c r="P158" s="339"/>
      <c r="Q158" s="339"/>
      <c r="R158" s="339"/>
      <c r="S158" s="126"/>
      <c r="T158" s="132"/>
    </row>
    <row r="159" customFormat="false" ht="15.75" hidden="true" customHeight="false" outlineLevel="1" collapsed="false">
      <c r="B159" s="39"/>
      <c r="C159" s="126"/>
      <c r="D159" s="336"/>
      <c r="E159" s="336"/>
      <c r="F159" s="339"/>
      <c r="G159" s="339"/>
      <c r="H159" s="395" t="s">
        <v>62</v>
      </c>
      <c r="I159" s="98" t="n">
        <f aca="false">MAX(I157:I158)</f>
        <v>190</v>
      </c>
      <c r="J159" s="339"/>
      <c r="K159" s="346"/>
      <c r="L159" s="339"/>
      <c r="M159" s="333" t="s">
        <v>63</v>
      </c>
      <c r="N159" s="102" t="n">
        <f aca="false">SUM(N157:N158)</f>
        <v>1</v>
      </c>
      <c r="O159" s="103" t="n">
        <f aca="false">SUM(O157:O158)</f>
        <v>1</v>
      </c>
      <c r="P159" s="102" t="n">
        <f aca="false">SUM(P157:P158)</f>
        <v>0</v>
      </c>
      <c r="Q159" s="104" t="n">
        <f aca="false">SUM(Q157:Q158)</f>
        <v>0</v>
      </c>
      <c r="R159" s="347"/>
      <c r="S159" s="126"/>
      <c r="T159" s="132"/>
    </row>
    <row r="160" customFormat="false" ht="15" hidden="false" customHeight="false" outlineLevel="0" collapsed="false">
      <c r="B160" s="39"/>
      <c r="C160" s="126"/>
      <c r="D160" s="133"/>
      <c r="E160" s="133"/>
      <c r="F160" s="126"/>
      <c r="G160" s="126"/>
      <c r="H160" s="126"/>
      <c r="I160" s="126"/>
      <c r="J160" s="126"/>
      <c r="K160" s="126"/>
      <c r="L160" s="126"/>
      <c r="M160" s="126"/>
      <c r="N160" s="126"/>
      <c r="O160" s="126"/>
      <c r="P160" s="126"/>
      <c r="Q160" s="126"/>
      <c r="R160" s="126"/>
      <c r="S160" s="126"/>
      <c r="T160" s="132"/>
    </row>
    <row r="161" customFormat="false" ht="15" hidden="false" customHeight="false" outlineLevel="0" collapsed="false">
      <c r="B161" s="39"/>
      <c r="D161" s="124"/>
      <c r="E161" s="124"/>
      <c r="F161" s="124"/>
      <c r="G161" s="124"/>
      <c r="H161" s="125"/>
      <c r="I161" s="124"/>
      <c r="J161" s="124"/>
      <c r="K161" s="124"/>
      <c r="L161" s="36"/>
      <c r="M161" s="36"/>
      <c r="N161" s="36"/>
      <c r="O161" s="36"/>
      <c r="P161" s="36"/>
      <c r="Q161" s="36"/>
      <c r="R161" s="36"/>
      <c r="T161" s="131"/>
    </row>
    <row r="162" customFormat="false" ht="15" hidden="false" customHeight="true" outlineLevel="0" collapsed="false">
      <c r="B162" s="39"/>
      <c r="C162" s="134"/>
      <c r="D162" s="348" t="str">
        <f aca="false">IF(OR(L139="-",L139= ""),H139,L139)</f>
        <v>Thurn und Taxis</v>
      </c>
      <c r="E162" s="348"/>
      <c r="F162" s="348"/>
      <c r="G162" s="348"/>
      <c r="H162" s="348"/>
      <c r="I162" s="348"/>
      <c r="J162" s="348"/>
      <c r="K162" s="348"/>
      <c r="L162" s="348"/>
      <c r="M162" s="348"/>
      <c r="N162" s="136"/>
      <c r="O162" s="136"/>
      <c r="P162" s="136"/>
      <c r="Q162" s="136"/>
      <c r="R162" s="136"/>
      <c r="S162" s="134"/>
      <c r="T162" s="129"/>
    </row>
    <row r="163" customFormat="false" ht="60" hidden="false" customHeight="true" outlineLevel="0" collapsed="false">
      <c r="B163" s="39"/>
      <c r="C163" s="134"/>
      <c r="D163" s="136"/>
      <c r="E163" s="263" t="s">
        <v>36</v>
      </c>
      <c r="F163" s="266" t="s">
        <v>92</v>
      </c>
      <c r="G163" s="266"/>
      <c r="H163" s="265" t="s">
        <v>52</v>
      </c>
      <c r="I163" s="294" t="s">
        <v>53</v>
      </c>
      <c r="J163" s="295" t="s">
        <v>54</v>
      </c>
      <c r="K163" s="264" t="s">
        <v>55</v>
      </c>
      <c r="L163" s="296" t="s">
        <v>56</v>
      </c>
      <c r="M163" s="294" t="s">
        <v>57</v>
      </c>
      <c r="N163" s="43" t="s">
        <v>58</v>
      </c>
      <c r="O163" s="79" t="s">
        <v>59</v>
      </c>
      <c r="P163" s="136"/>
      <c r="Q163" s="136"/>
      <c r="R163" s="136"/>
      <c r="S163" s="134"/>
      <c r="T163" s="129"/>
    </row>
    <row r="164" customFormat="false" ht="45" hidden="false" customHeight="true" outlineLevel="0" collapsed="false">
      <c r="B164" s="39"/>
      <c r="C164" s="134"/>
      <c r="D164" s="349"/>
      <c r="E164" s="180" t="s">
        <v>31</v>
      </c>
      <c r="F164" s="299" t="s">
        <v>105</v>
      </c>
      <c r="G164" s="299"/>
      <c r="H164" s="182" t="n">
        <v>2</v>
      </c>
      <c r="I164" s="182" t="n">
        <v>35</v>
      </c>
      <c r="J164" s="182" t="s">
        <v>46</v>
      </c>
      <c r="K164" s="183" t="n">
        <f aca="false">IF(I164="",0,(I164/I166)*100)</f>
        <v>100</v>
      </c>
      <c r="L164" s="182" t="n">
        <v>1</v>
      </c>
      <c r="M164" s="300" t="n">
        <v>6</v>
      </c>
      <c r="N164" s="301" t="n">
        <f aca="false">IF(L164=1,1,0)</f>
        <v>1</v>
      </c>
      <c r="O164" s="84" t="n">
        <f aca="false">IF(L164=2,1,0)</f>
        <v>0</v>
      </c>
      <c r="P164" s="350"/>
      <c r="Q164" s="350"/>
      <c r="R164" s="350"/>
      <c r="S164" s="134"/>
      <c r="T164" s="131"/>
    </row>
    <row r="165" customFormat="false" ht="45" hidden="false" customHeight="true" outlineLevel="0" collapsed="false">
      <c r="B165" s="39"/>
      <c r="C165" s="134"/>
      <c r="D165" s="349"/>
      <c r="E165" s="69" t="s">
        <v>12</v>
      </c>
      <c r="F165" s="397" t="s">
        <v>106</v>
      </c>
      <c r="G165" s="397"/>
      <c r="H165" s="22" t="n">
        <v>1</v>
      </c>
      <c r="I165" s="22" t="n">
        <v>-12</v>
      </c>
      <c r="J165" s="22" t="s">
        <v>46</v>
      </c>
      <c r="K165" s="116" t="n">
        <v>0</v>
      </c>
      <c r="L165" s="22" t="n">
        <v>2</v>
      </c>
      <c r="M165" s="23" t="n">
        <v>0</v>
      </c>
      <c r="N165" s="310" t="n">
        <f aca="false">IF(L165=1,1,0)</f>
        <v>0</v>
      </c>
      <c r="O165" s="117" t="n">
        <f aca="false">IF(L165=2,1,0)</f>
        <v>1</v>
      </c>
      <c r="P165" s="350"/>
      <c r="Q165" s="350"/>
      <c r="R165" s="350"/>
      <c r="S165" s="134"/>
      <c r="T165" s="132"/>
    </row>
    <row r="166" customFormat="false" ht="15.75" hidden="true" customHeight="false" outlineLevel="1" collapsed="false">
      <c r="B166" s="39"/>
      <c r="C166" s="134"/>
      <c r="D166" s="349"/>
      <c r="E166" s="349"/>
      <c r="F166" s="350"/>
      <c r="G166" s="350"/>
      <c r="H166" s="395" t="s">
        <v>62</v>
      </c>
      <c r="I166" s="98" t="n">
        <f aca="false">MAX(I164:I165)</f>
        <v>35</v>
      </c>
      <c r="J166" s="350"/>
      <c r="K166" s="353"/>
      <c r="L166" s="350"/>
      <c r="M166" s="333" t="s">
        <v>63</v>
      </c>
      <c r="N166" s="102" t="n">
        <f aca="false">SUM(N164:N165)</f>
        <v>1</v>
      </c>
      <c r="O166" s="103" t="n">
        <f aca="false">SUM(O164:O165)</f>
        <v>1</v>
      </c>
      <c r="P166" s="102" t="n">
        <f aca="false">SUM(P164:P165)</f>
        <v>0</v>
      </c>
      <c r="Q166" s="104" t="n">
        <f aca="false">SUM(Q164:Q165)</f>
        <v>0</v>
      </c>
      <c r="R166" s="354"/>
      <c r="S166" s="134"/>
      <c r="T166" s="132"/>
    </row>
    <row r="167" customFormat="false" ht="15" hidden="false" customHeight="false" outlineLevel="0" collapsed="false">
      <c r="B167" s="39"/>
      <c r="C167" s="134"/>
      <c r="D167" s="137"/>
      <c r="E167" s="137"/>
      <c r="F167" s="134"/>
      <c r="G167" s="134"/>
      <c r="H167" s="134"/>
      <c r="I167" s="134"/>
      <c r="J167" s="134"/>
      <c r="K167" s="134"/>
      <c r="L167" s="134"/>
      <c r="M167" s="134"/>
      <c r="N167" s="134"/>
      <c r="O167" s="134"/>
      <c r="P167" s="134"/>
      <c r="Q167" s="134"/>
      <c r="R167" s="134"/>
      <c r="S167" s="134"/>
      <c r="T167" s="132"/>
    </row>
    <row r="168" customFormat="false" ht="15" hidden="false" customHeight="false" outlineLevel="0" collapsed="false">
      <c r="B168" s="39"/>
      <c r="D168" s="124"/>
      <c r="E168" s="124"/>
      <c r="F168" s="124"/>
      <c r="G168" s="124"/>
      <c r="H168" s="125"/>
      <c r="I168" s="124"/>
      <c r="J168" s="124"/>
      <c r="K168" s="124"/>
      <c r="L168" s="36"/>
      <c r="M168" s="36"/>
      <c r="N168" s="36"/>
      <c r="O168" s="36"/>
      <c r="P168" s="36"/>
      <c r="Q168" s="36"/>
      <c r="R168" s="36"/>
      <c r="T168" s="131"/>
    </row>
    <row r="169" customFormat="false" ht="24" hidden="false" customHeight="false" outlineLevel="0" collapsed="false">
      <c r="B169" s="39"/>
      <c r="C169" s="139"/>
      <c r="D169" s="419"/>
      <c r="E169" s="419"/>
      <c r="F169" s="140" t="s">
        <v>64</v>
      </c>
      <c r="G169" s="140"/>
      <c r="H169" s="140"/>
      <c r="I169" s="140"/>
      <c r="J169" s="140"/>
      <c r="K169" s="140"/>
      <c r="L169" s="140"/>
      <c r="M169" s="419"/>
      <c r="N169" s="141"/>
      <c r="O169" s="141"/>
      <c r="P169" s="141"/>
      <c r="Q169" s="141"/>
      <c r="R169" s="141"/>
      <c r="S169" s="139"/>
      <c r="T169" s="39"/>
    </row>
    <row r="170" customFormat="false" ht="60" hidden="false" customHeight="true" outlineLevel="0" collapsed="false">
      <c r="B170" s="39"/>
      <c r="C170" s="139"/>
      <c r="D170" s="398"/>
      <c r="E170" s="355"/>
      <c r="F170" s="420" t="s">
        <v>36</v>
      </c>
      <c r="G170" s="420"/>
      <c r="H170" s="421" t="s">
        <v>92</v>
      </c>
      <c r="I170" s="356" t="s">
        <v>57</v>
      </c>
      <c r="J170" s="359" t="s">
        <v>65</v>
      </c>
      <c r="K170" s="358" t="s">
        <v>66</v>
      </c>
      <c r="L170" s="357" t="s">
        <v>69</v>
      </c>
      <c r="M170" s="355"/>
      <c r="N170" s="147"/>
      <c r="O170" s="147"/>
      <c r="P170" s="147"/>
      <c r="Q170" s="147"/>
      <c r="R170" s="147"/>
      <c r="S170" s="139"/>
      <c r="T170" s="39"/>
    </row>
    <row r="171" customFormat="false" ht="45" hidden="false" customHeight="true" outlineLevel="0" collapsed="false">
      <c r="B171" s="39"/>
      <c r="C171" s="139"/>
      <c r="D171" s="360"/>
      <c r="E171" s="355"/>
      <c r="F171" s="422" t="s">
        <v>31</v>
      </c>
      <c r="G171" s="422"/>
      <c r="H171" s="423" t="s">
        <v>105</v>
      </c>
      <c r="I171" s="363" t="n">
        <f aca="false">J171*6+K171*0</f>
        <v>18</v>
      </c>
      <c r="J171" s="399" t="n">
        <v>3</v>
      </c>
      <c r="K171" s="363" t="n">
        <v>1</v>
      </c>
      <c r="L171" s="364" t="n">
        <f aca="false">(K143+K150+K157+K164)/4</f>
        <v>91.1666666666667</v>
      </c>
      <c r="M171" s="355"/>
      <c r="N171" s="153"/>
      <c r="O171" s="153"/>
      <c r="P171" s="153"/>
      <c r="Q171" s="153"/>
      <c r="R171" s="153"/>
      <c r="S171" s="139"/>
      <c r="T171" s="39"/>
    </row>
    <row r="172" customFormat="false" ht="45" hidden="false" customHeight="true" outlineLevel="0" collapsed="false">
      <c r="B172" s="39"/>
      <c r="C172" s="139"/>
      <c r="D172" s="168"/>
      <c r="E172" s="355"/>
      <c r="F172" s="424" t="s">
        <v>12</v>
      </c>
      <c r="G172" s="424"/>
      <c r="H172" s="425" t="s">
        <v>106</v>
      </c>
      <c r="I172" s="426" t="n">
        <f aca="false">J172*6+K172*0</f>
        <v>6</v>
      </c>
      <c r="J172" s="403" t="n">
        <v>1</v>
      </c>
      <c r="K172" s="427" t="n">
        <v>3</v>
      </c>
      <c r="L172" s="428" t="n">
        <f aca="false">(K144+K151+K158+K165)/4</f>
        <v>69.1812865497076</v>
      </c>
      <c r="M172" s="355"/>
      <c r="N172" s="153"/>
      <c r="O172" s="153"/>
      <c r="P172" s="153"/>
      <c r="Q172" s="153"/>
      <c r="R172" s="153"/>
      <c r="S172" s="139"/>
      <c r="T172" s="39"/>
    </row>
    <row r="173" customFormat="false" ht="15" hidden="false" customHeight="false" outlineLevel="0" collapsed="false">
      <c r="B173" s="39"/>
      <c r="C173" s="139"/>
      <c r="D173" s="168"/>
      <c r="E173" s="168"/>
      <c r="F173" s="153"/>
      <c r="G173" s="153"/>
      <c r="H173" s="153"/>
      <c r="I173" s="153"/>
      <c r="J173" s="153"/>
      <c r="K173" s="153"/>
      <c r="L173" s="153"/>
      <c r="M173" s="153"/>
      <c r="N173" s="153"/>
      <c r="O173" s="153"/>
      <c r="P173" s="153"/>
      <c r="Q173" s="153"/>
      <c r="R173" s="153"/>
      <c r="S173" s="139"/>
      <c r="T173" s="39"/>
    </row>
    <row r="174" customFormat="false" ht="15" hidden="false" customHeight="true" outlineLevel="0" collapsed="false">
      <c r="B174" s="39"/>
      <c r="C174" s="39"/>
      <c r="D174" s="169"/>
      <c r="E174" s="169"/>
      <c r="F174" s="129"/>
      <c r="G174" s="129"/>
      <c r="H174" s="169"/>
      <c r="I174" s="169"/>
      <c r="J174" s="169"/>
      <c r="K174" s="131"/>
      <c r="L174" s="131"/>
      <c r="M174" s="131"/>
      <c r="N174" s="131"/>
      <c r="O174" s="131"/>
      <c r="P174" s="131"/>
      <c r="Q174" s="131"/>
      <c r="R174" s="131"/>
      <c r="S174" s="39"/>
      <c r="T174" s="39"/>
    </row>
  </sheetData>
  <mergeCells count="145">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H16"/>
    <mergeCell ref="D19:M20"/>
    <mergeCell ref="D22:D23"/>
    <mergeCell ref="E22:E23"/>
    <mergeCell ref="F22:G23"/>
    <mergeCell ref="H22:J22"/>
    <mergeCell ref="L22:R22"/>
    <mergeCell ref="F24:G24"/>
    <mergeCell ref="F25:G25"/>
    <mergeCell ref="F26:G26"/>
    <mergeCell ref="F27:G27"/>
    <mergeCell ref="D29:M29"/>
    <mergeCell ref="F30:G30"/>
    <mergeCell ref="F31:G31"/>
    <mergeCell ref="F32:G32"/>
    <mergeCell ref="F33:G33"/>
    <mergeCell ref="F34:G34"/>
    <mergeCell ref="F35:G35"/>
    <mergeCell ref="F36:G36"/>
    <mergeCell ref="F37:G37"/>
    <mergeCell ref="D38:M38"/>
    <mergeCell ref="F39:G39"/>
    <mergeCell ref="F40:G40"/>
    <mergeCell ref="F41:G41"/>
    <mergeCell ref="F42:G42"/>
    <mergeCell ref="F43:G43"/>
    <mergeCell ref="F44:G44"/>
    <mergeCell ref="D47:M47"/>
    <mergeCell ref="F48:G48"/>
    <mergeCell ref="F49:G49"/>
    <mergeCell ref="F50:G50"/>
    <mergeCell ref="F51:G51"/>
    <mergeCell ref="F52:G52"/>
    <mergeCell ref="F53:G53"/>
    <mergeCell ref="D56:M56"/>
    <mergeCell ref="F57:G57"/>
    <mergeCell ref="F58:G58"/>
    <mergeCell ref="F59:G59"/>
    <mergeCell ref="F60:G60"/>
    <mergeCell ref="F61:G61"/>
    <mergeCell ref="F62:G62"/>
    <mergeCell ref="D65:M65"/>
    <mergeCell ref="F66:G66"/>
    <mergeCell ref="F67:G67"/>
    <mergeCell ref="F68:G68"/>
    <mergeCell ref="F69:G69"/>
    <mergeCell ref="F70:G70"/>
    <mergeCell ref="X70:Y70"/>
    <mergeCell ref="D78:D79"/>
    <mergeCell ref="E78:E79"/>
    <mergeCell ref="F78:G79"/>
    <mergeCell ref="H78:J78"/>
    <mergeCell ref="L78:R78"/>
    <mergeCell ref="F80:G80"/>
    <mergeCell ref="F81:G81"/>
    <mergeCell ref="F82:G82"/>
    <mergeCell ref="F83:G83"/>
    <mergeCell ref="D85:M85"/>
    <mergeCell ref="F86:G86"/>
    <mergeCell ref="F87:G87"/>
    <mergeCell ref="F88:G88"/>
    <mergeCell ref="F89:G89"/>
    <mergeCell ref="F90:G90"/>
    <mergeCell ref="F91:G91"/>
    <mergeCell ref="D94:M94"/>
    <mergeCell ref="F95:G95"/>
    <mergeCell ref="F96:G96"/>
    <mergeCell ref="F97:G97"/>
    <mergeCell ref="F98:G98"/>
    <mergeCell ref="F99:G99"/>
    <mergeCell ref="F100:G100"/>
    <mergeCell ref="D103:M103"/>
    <mergeCell ref="F104:G104"/>
    <mergeCell ref="F105:G105"/>
    <mergeCell ref="F106:G106"/>
    <mergeCell ref="F107:G107"/>
    <mergeCell ref="F108:G108"/>
    <mergeCell ref="F109:G109"/>
    <mergeCell ref="D112:M112"/>
    <mergeCell ref="F113:G113"/>
    <mergeCell ref="F114:G114"/>
    <mergeCell ref="F115:G115"/>
    <mergeCell ref="F116:G116"/>
    <mergeCell ref="F117:G117"/>
    <mergeCell ref="F118:G118"/>
    <mergeCell ref="D121:M121"/>
    <mergeCell ref="F122:G122"/>
    <mergeCell ref="F123:G123"/>
    <mergeCell ref="F124:G124"/>
    <mergeCell ref="X124:Y124"/>
    <mergeCell ref="F125:G125"/>
    <mergeCell ref="F126:G126"/>
    <mergeCell ref="D132:F132"/>
    <mergeCell ref="D134:D135"/>
    <mergeCell ref="E134:E135"/>
    <mergeCell ref="F134:G135"/>
    <mergeCell ref="H134:J134"/>
    <mergeCell ref="L134:R134"/>
    <mergeCell ref="F136:G136"/>
    <mergeCell ref="F137:G137"/>
    <mergeCell ref="F138:G138"/>
    <mergeCell ref="F139:G139"/>
    <mergeCell ref="D141:M141"/>
    <mergeCell ref="F142:G142"/>
    <mergeCell ref="F143:G143"/>
    <mergeCell ref="F144:G144"/>
    <mergeCell ref="F145:G145"/>
    <mergeCell ref="D148:M148"/>
    <mergeCell ref="F149:G149"/>
    <mergeCell ref="F150:G150"/>
    <mergeCell ref="F151:G151"/>
    <mergeCell ref="F152:G152"/>
    <mergeCell ref="D155:M155"/>
    <mergeCell ref="F156:G156"/>
    <mergeCell ref="F157:G157"/>
    <mergeCell ref="F158:G158"/>
    <mergeCell ref="F159:G159"/>
    <mergeCell ref="D162:M162"/>
    <mergeCell ref="F163:G163"/>
    <mergeCell ref="F164:G164"/>
    <mergeCell ref="F165:G165"/>
    <mergeCell ref="F166:G166"/>
    <mergeCell ref="F169:L169"/>
    <mergeCell ref="F170:G170"/>
    <mergeCell ref="F171:G171"/>
    <mergeCell ref="F172:G172"/>
  </mergeCells>
  <dataValidations count="1">
    <dataValidation allowBlank="true" operator="between" showDropDown="false" showErrorMessage="true" showInputMessage="true" sqref="F4: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1"/>
  <sheetViews>
    <sheetView showFormulas="false" showGridLines="false" showRowColHeaders="true" showZeros="true" rightToLeft="false" tabSelected="false" showOutlineSymbols="true" defaultGridColor="true" view="normal" topLeftCell="A14" colorId="64" zoomScale="100" zoomScaleNormal="100" zoomScalePageLayoutView="100" workbookViewId="0">
      <selection pane="topLeft" activeCell="H27" activeCellId="0" sqref="H27"/>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7"/>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138</v>
      </c>
      <c r="C2" s="3"/>
      <c r="D2" s="3"/>
      <c r="E2" s="3"/>
      <c r="F2" s="3"/>
      <c r="H2" s="3" t="s">
        <v>139</v>
      </c>
      <c r="I2" s="3"/>
      <c r="J2" s="261"/>
      <c r="K2" s="3" t="s">
        <v>90</v>
      </c>
      <c r="L2" s="3"/>
      <c r="M2" s="3"/>
      <c r="N2" s="3"/>
      <c r="O2" s="3"/>
      <c r="P2" s="3"/>
      <c r="Q2" s="3"/>
      <c r="R2" s="3"/>
      <c r="S2" s="262"/>
      <c r="T2" s="261"/>
      <c r="U2" s="261"/>
      <c r="V2" s="261"/>
      <c r="W2" s="261"/>
    </row>
    <row r="3" customFormat="false" ht="60.75" hidden="false" customHeight="true" outlineLevel="0" collapsed="false">
      <c r="B3" s="81" t="s">
        <v>140</v>
      </c>
      <c r="C3" s="81"/>
      <c r="D3" s="213" t="s">
        <v>2</v>
      </c>
      <c r="E3" s="429" t="s">
        <v>92</v>
      </c>
      <c r="F3" s="4" t="s">
        <v>141</v>
      </c>
      <c r="H3" s="215" t="s">
        <v>2</v>
      </c>
      <c r="I3" s="216" t="s">
        <v>92</v>
      </c>
      <c r="J3" s="261"/>
      <c r="K3" s="5" t="s">
        <v>2</v>
      </c>
      <c r="L3" s="430" t="s">
        <v>92</v>
      </c>
      <c r="M3" s="219" t="s">
        <v>94</v>
      </c>
      <c r="N3" s="431"/>
      <c r="O3" s="432"/>
      <c r="P3" s="432"/>
      <c r="Q3" s="43" t="s">
        <v>94</v>
      </c>
      <c r="R3" s="82" t="s">
        <v>6</v>
      </c>
      <c r="S3" s="261"/>
      <c r="T3" s="261"/>
      <c r="U3" s="261"/>
      <c r="V3" s="262"/>
      <c r="W3" s="262"/>
    </row>
    <row r="4" customFormat="false" ht="45.75" hidden="false" customHeight="false" outlineLevel="0" collapsed="false">
      <c r="B4" s="223" t="n">
        <v>1</v>
      </c>
      <c r="C4" s="223"/>
      <c r="D4" s="224" t="s">
        <v>14</v>
      </c>
      <c r="E4" s="225" t="s">
        <v>95</v>
      </c>
      <c r="F4" s="226" t="s">
        <v>9</v>
      </c>
      <c r="H4" s="227"/>
      <c r="I4" s="228"/>
      <c r="K4" s="9" t="str">
        <f aca="false">D4</f>
        <v>Devid Fulterer</v>
      </c>
      <c r="L4" s="229" t="s">
        <v>95</v>
      </c>
      <c r="M4" s="230" t="n">
        <v>1</v>
      </c>
      <c r="N4" s="231"/>
      <c r="O4" s="232"/>
      <c r="P4" s="232"/>
      <c r="Q4" s="11" t="n">
        <v>1</v>
      </c>
      <c r="R4" s="12" t="n">
        <v>1</v>
      </c>
      <c r="V4" s="433"/>
      <c r="W4" s="433"/>
    </row>
    <row r="5" customFormat="false" ht="45" hidden="false" customHeight="false" outlineLevel="0" collapsed="false">
      <c r="B5" s="434" t="n">
        <v>2</v>
      </c>
      <c r="C5" s="434"/>
      <c r="D5" s="435" t="s">
        <v>29</v>
      </c>
      <c r="E5" s="436" t="s">
        <v>142</v>
      </c>
      <c r="F5" s="437" t="s">
        <v>26</v>
      </c>
      <c r="K5" s="16" t="str">
        <f aca="false">D5</f>
        <v>Martin Fink</v>
      </c>
      <c r="L5" s="237" t="s">
        <v>142</v>
      </c>
      <c r="M5" s="230"/>
      <c r="N5" s="238"/>
      <c r="O5" s="239"/>
      <c r="P5" s="239"/>
      <c r="Q5" s="18" t="n">
        <v>1</v>
      </c>
      <c r="R5" s="19" t="n">
        <v>2</v>
      </c>
      <c r="V5" s="433"/>
      <c r="W5" s="433"/>
    </row>
    <row r="6" customFormat="false" ht="45" hidden="false" customHeight="false" outlineLevel="0" collapsed="false">
      <c r="B6" s="233" t="n">
        <v>3</v>
      </c>
      <c r="C6" s="233"/>
      <c r="D6" s="438" t="s">
        <v>16</v>
      </c>
      <c r="E6" s="235" t="s">
        <v>98</v>
      </c>
      <c r="F6" s="236" t="s">
        <v>9</v>
      </c>
      <c r="K6" s="16" t="str">
        <f aca="false">D6</f>
        <v>Jérôme Schätzle</v>
      </c>
      <c r="L6" s="237" t="s">
        <v>98</v>
      </c>
      <c r="M6" s="230"/>
      <c r="N6" s="238"/>
      <c r="O6" s="239"/>
      <c r="P6" s="239"/>
      <c r="Q6" s="18" t="n">
        <v>1</v>
      </c>
      <c r="R6" s="19" t="n">
        <v>3</v>
      </c>
      <c r="V6" s="433"/>
      <c r="W6" s="433"/>
    </row>
    <row r="7" customFormat="false" ht="45.75" hidden="false" customHeight="false" outlineLevel="0" collapsed="false">
      <c r="B7" s="233" t="n">
        <v>4</v>
      </c>
      <c r="C7" s="233"/>
      <c r="D7" s="234" t="s">
        <v>7</v>
      </c>
      <c r="E7" s="235" t="s">
        <v>143</v>
      </c>
      <c r="F7" s="236" t="s">
        <v>9</v>
      </c>
      <c r="K7" s="20" t="str">
        <f aca="false">D7</f>
        <v>Pauline Schätzle</v>
      </c>
      <c r="L7" s="240" t="s">
        <v>143</v>
      </c>
      <c r="M7" s="230"/>
      <c r="N7" s="241"/>
      <c r="O7" s="242"/>
      <c r="P7" s="242"/>
      <c r="Q7" s="22" t="n">
        <v>1</v>
      </c>
      <c r="R7" s="23" t="n">
        <v>4</v>
      </c>
      <c r="V7" s="433"/>
      <c r="W7" s="433"/>
    </row>
    <row r="8" customFormat="false" ht="45" hidden="false" customHeight="false" outlineLevel="0" collapsed="false">
      <c r="B8" s="233" t="n">
        <v>5</v>
      </c>
      <c r="C8" s="233"/>
      <c r="D8" s="234" t="s">
        <v>10</v>
      </c>
      <c r="E8" s="235" t="s">
        <v>100</v>
      </c>
      <c r="F8" s="236" t="s">
        <v>9</v>
      </c>
      <c r="K8" s="9" t="s">
        <v>10</v>
      </c>
      <c r="L8" s="229" t="s">
        <v>100</v>
      </c>
      <c r="M8" s="230" t="n">
        <v>2</v>
      </c>
      <c r="N8" s="231"/>
      <c r="O8" s="232"/>
      <c r="P8" s="232"/>
      <c r="Q8" s="11" t="n">
        <v>2</v>
      </c>
      <c r="R8" s="12" t="n">
        <v>1</v>
      </c>
      <c r="V8" s="433"/>
      <c r="W8" s="433"/>
    </row>
    <row r="9" customFormat="false" ht="45" hidden="false" customHeight="false" outlineLevel="0" collapsed="false">
      <c r="B9" s="233" t="n">
        <v>6</v>
      </c>
      <c r="C9" s="233"/>
      <c r="D9" s="234" t="s">
        <v>20</v>
      </c>
      <c r="E9" s="235" t="s">
        <v>102</v>
      </c>
      <c r="F9" s="236" t="s">
        <v>9</v>
      </c>
      <c r="H9" s="439"/>
      <c r="I9" s="440"/>
      <c r="J9" s="439"/>
      <c r="K9" s="16" t="str">
        <f aca="false">D9</f>
        <v>Judith Maibaum</v>
      </c>
      <c r="L9" s="237" t="s">
        <v>102</v>
      </c>
      <c r="M9" s="230"/>
      <c r="N9" s="238"/>
      <c r="O9" s="239"/>
      <c r="P9" s="239"/>
      <c r="Q9" s="18" t="n">
        <v>2</v>
      </c>
      <c r="R9" s="19" t="n">
        <v>2</v>
      </c>
      <c r="V9" s="433"/>
      <c r="W9" s="433"/>
    </row>
    <row r="10" customFormat="false" ht="45" hidden="false" customHeight="false" outlineLevel="0" collapsed="false">
      <c r="B10" s="233" t="n">
        <v>7</v>
      </c>
      <c r="C10" s="233"/>
      <c r="D10" s="234" t="s">
        <v>22</v>
      </c>
      <c r="E10" s="235" t="s">
        <v>103</v>
      </c>
      <c r="F10" s="236" t="s">
        <v>9</v>
      </c>
      <c r="K10" s="16" t="str">
        <f aca="false">D10</f>
        <v>Markus Hagenauer</v>
      </c>
      <c r="L10" s="237" t="s">
        <v>103</v>
      </c>
      <c r="M10" s="230"/>
      <c r="N10" s="238"/>
      <c r="O10" s="239"/>
      <c r="P10" s="239"/>
      <c r="Q10" s="18" t="n">
        <v>2</v>
      </c>
      <c r="R10" s="19" t="n">
        <v>3</v>
      </c>
      <c r="V10" s="433"/>
      <c r="W10" s="433"/>
    </row>
    <row r="11" customFormat="false" ht="45.75" hidden="false" customHeight="false" outlineLevel="0" collapsed="false">
      <c r="B11" s="233" t="n">
        <v>8</v>
      </c>
      <c r="C11" s="233"/>
      <c r="D11" s="234" t="s">
        <v>31</v>
      </c>
      <c r="E11" s="235" t="s">
        <v>144</v>
      </c>
      <c r="F11" s="236" t="s">
        <v>9</v>
      </c>
      <c r="H11" s="439"/>
      <c r="I11" s="440"/>
      <c r="J11" s="439"/>
      <c r="K11" s="20" t="str">
        <f aca="false">D11</f>
        <v>Andreas Micke</v>
      </c>
      <c r="L11" s="240" t="s">
        <v>144</v>
      </c>
      <c r="M11" s="230"/>
      <c r="N11" s="241"/>
      <c r="O11" s="242"/>
      <c r="P11" s="242"/>
      <c r="Q11" s="22" t="n">
        <v>2</v>
      </c>
      <c r="R11" s="23" t="n">
        <v>4</v>
      </c>
      <c r="V11" s="433"/>
      <c r="W11" s="433"/>
    </row>
    <row r="12" customFormat="false" ht="45" hidden="false" customHeight="false" outlineLevel="0" collapsed="false">
      <c r="B12" s="233" t="n">
        <v>9</v>
      </c>
      <c r="C12" s="233"/>
      <c r="D12" s="234" t="s">
        <v>27</v>
      </c>
      <c r="E12" s="235" t="s">
        <v>101</v>
      </c>
      <c r="F12" s="236" t="s">
        <v>9</v>
      </c>
      <c r="K12" s="9" t="str">
        <f aca="false">D12</f>
        <v>Alex Ulbricht</v>
      </c>
      <c r="L12" s="229" t="s">
        <v>101</v>
      </c>
      <c r="M12" s="230" t="n">
        <v>3</v>
      </c>
      <c r="N12" s="231"/>
      <c r="O12" s="232"/>
      <c r="P12" s="232"/>
      <c r="Q12" s="11" t="n">
        <v>3</v>
      </c>
      <c r="R12" s="12" t="n">
        <v>1</v>
      </c>
      <c r="V12" s="433"/>
      <c r="W12" s="433"/>
    </row>
    <row r="13" customFormat="false" ht="45" hidden="false" customHeight="false" outlineLevel="0" collapsed="false">
      <c r="B13" s="233" t="n">
        <v>10</v>
      </c>
      <c r="C13" s="233"/>
      <c r="D13" s="234" t="s">
        <v>12</v>
      </c>
      <c r="E13" s="235" t="s">
        <v>145</v>
      </c>
      <c r="F13" s="236" t="s">
        <v>9</v>
      </c>
      <c r="K13" s="16" t="str">
        <f aca="false">D13</f>
        <v>Miriam Dirler</v>
      </c>
      <c r="L13" s="237" t="s">
        <v>145</v>
      </c>
      <c r="M13" s="230"/>
      <c r="N13" s="238"/>
      <c r="O13" s="239"/>
      <c r="P13" s="239"/>
      <c r="Q13" s="18" t="n">
        <v>3</v>
      </c>
      <c r="R13" s="19" t="n">
        <v>2</v>
      </c>
      <c r="V13" s="433"/>
      <c r="W13" s="433"/>
    </row>
    <row r="14" customFormat="false" ht="45" hidden="false" customHeight="true" outlineLevel="0" collapsed="false">
      <c r="B14" s="253" t="n">
        <v>11</v>
      </c>
      <c r="C14" s="253"/>
      <c r="D14" s="254" t="s">
        <v>96</v>
      </c>
      <c r="E14" s="255" t="s">
        <v>97</v>
      </c>
      <c r="F14" s="256" t="s">
        <v>9</v>
      </c>
      <c r="K14" s="20" t="str">
        <f aca="false">D14</f>
        <v>Kai Maibaum</v>
      </c>
      <c r="L14" s="240" t="s">
        <v>97</v>
      </c>
      <c r="M14" s="230"/>
      <c r="N14" s="241"/>
      <c r="O14" s="242"/>
      <c r="P14" s="242"/>
      <c r="Q14" s="22"/>
      <c r="R14" s="23" t="n">
        <v>3</v>
      </c>
      <c r="V14" s="433"/>
      <c r="W14" s="433"/>
    </row>
    <row r="15" customFormat="false" ht="15.75" hidden="false" customHeight="false" outlineLevel="0" collapsed="false">
      <c r="D15" s="33"/>
      <c r="E15" s="33"/>
      <c r="F15" s="33"/>
      <c r="K15" s="441" t="s">
        <v>146</v>
      </c>
      <c r="L15" s="441"/>
      <c r="M15" s="441"/>
      <c r="N15" s="258"/>
      <c r="O15" s="258"/>
      <c r="P15" s="258"/>
      <c r="Q15" s="258"/>
      <c r="R15" s="259" t="n">
        <v>11</v>
      </c>
      <c r="S15" s="261"/>
      <c r="T15" s="261"/>
      <c r="U15" s="261"/>
      <c r="V15" s="261"/>
    </row>
    <row r="17" customFormat="false" ht="15" hidden="false" customHeight="false" outlineLevel="0" collapsed="false">
      <c r="D17" s="260" t="s">
        <v>147</v>
      </c>
      <c r="E17" s="260"/>
      <c r="F17" s="260"/>
      <c r="G17" s="260"/>
      <c r="H17" s="260"/>
      <c r="I17" s="261"/>
      <c r="J17" s="262"/>
    </row>
    <row r="18" customFormat="false" ht="15" hidden="false" customHeight="false" outlineLevel="0" collapsed="false">
      <c r="D18" s="38"/>
      <c r="E18" s="38"/>
      <c r="F18" s="38"/>
      <c r="G18" s="38"/>
    </row>
    <row r="19" customFormat="false" ht="15" hidden="false" customHeight="false" outlineLevel="0" collapsed="false">
      <c r="B19" s="39"/>
      <c r="C19" s="39"/>
      <c r="D19" s="40"/>
      <c r="E19" s="40"/>
      <c r="F19" s="40"/>
      <c r="G19" s="40"/>
      <c r="H19" s="39"/>
      <c r="I19" s="39"/>
      <c r="J19" s="39"/>
      <c r="K19" s="39"/>
      <c r="L19" s="39"/>
      <c r="M19" s="39"/>
      <c r="N19" s="39"/>
      <c r="O19" s="39"/>
      <c r="P19" s="39"/>
      <c r="Q19" s="39"/>
      <c r="R19" s="39"/>
      <c r="S19" s="39"/>
      <c r="T19" s="39"/>
    </row>
    <row r="20" customFormat="false" ht="15" hidden="false" customHeight="true" outlineLevel="0" collapsed="false">
      <c r="B20" s="39"/>
      <c r="C20" s="442" t="s">
        <v>109</v>
      </c>
      <c r="D20" s="442"/>
      <c r="E20" s="442"/>
      <c r="F20" s="442"/>
      <c r="G20" s="442"/>
      <c r="H20" s="442"/>
      <c r="I20" s="442"/>
      <c r="J20" s="442"/>
      <c r="K20" s="442"/>
      <c r="L20" s="442"/>
      <c r="M20" s="442"/>
      <c r="N20" s="442"/>
      <c r="O20" s="442"/>
      <c r="P20" s="442"/>
      <c r="Q20" s="442"/>
      <c r="R20" s="442"/>
      <c r="S20" s="442"/>
      <c r="T20" s="39"/>
    </row>
    <row r="21" customFormat="false" ht="15.75" hidden="false" customHeight="true" outlineLevel="0" collapsed="false">
      <c r="B21" s="39"/>
      <c r="C21" s="442"/>
      <c r="D21" s="442"/>
      <c r="E21" s="442"/>
      <c r="F21" s="442"/>
      <c r="G21" s="442"/>
      <c r="H21" s="442"/>
      <c r="I21" s="442"/>
      <c r="J21" s="442"/>
      <c r="K21" s="442"/>
      <c r="L21" s="442"/>
      <c r="M21" s="442"/>
      <c r="N21" s="442"/>
      <c r="O21" s="442"/>
      <c r="P21" s="442"/>
      <c r="Q21" s="442"/>
      <c r="R21" s="442"/>
      <c r="S21" s="442"/>
      <c r="T21" s="39"/>
    </row>
    <row r="22" customFormat="false" ht="15.75" hidden="false" customHeight="false" outlineLevel="0" collapsed="false">
      <c r="B22" s="39"/>
      <c r="T22" s="39"/>
    </row>
    <row r="23" customFormat="false" ht="45" hidden="false" customHeight="true" outlineLevel="0" collapsed="false">
      <c r="B23" s="39"/>
      <c r="D23" s="263" t="s">
        <v>36</v>
      </c>
      <c r="E23" s="264" t="s">
        <v>92</v>
      </c>
      <c r="F23" s="265" t="s">
        <v>6</v>
      </c>
      <c r="G23" s="265"/>
      <c r="H23" s="266" t="s">
        <v>110</v>
      </c>
      <c r="I23" s="266"/>
      <c r="J23" s="266"/>
      <c r="K23" s="264" t="s">
        <v>39</v>
      </c>
      <c r="L23" s="266" t="s">
        <v>40</v>
      </c>
      <c r="M23" s="266"/>
      <c r="N23" s="266"/>
      <c r="O23" s="266"/>
      <c r="P23" s="266"/>
      <c r="Q23" s="266"/>
      <c r="R23" s="266"/>
      <c r="T23" s="39"/>
    </row>
    <row r="24" customFormat="false" ht="15.75" hidden="false" customHeight="false" outlineLevel="0" collapsed="false">
      <c r="B24" s="39"/>
      <c r="D24" s="263"/>
      <c r="E24" s="264"/>
      <c r="F24" s="265"/>
      <c r="G24" s="265"/>
      <c r="H24" s="267" t="s">
        <v>41</v>
      </c>
      <c r="I24" s="268" t="s">
        <v>42</v>
      </c>
      <c r="J24" s="268" t="s">
        <v>111</v>
      </c>
      <c r="K24" s="269" t="s">
        <v>43</v>
      </c>
      <c r="L24" s="270" t="s">
        <v>44</v>
      </c>
      <c r="M24" s="270" t="s">
        <v>42</v>
      </c>
      <c r="N24" s="443"/>
      <c r="O24" s="443"/>
      <c r="P24" s="443"/>
      <c r="Q24" s="443"/>
      <c r="R24" s="267" t="s">
        <v>111</v>
      </c>
      <c r="T24" s="39"/>
    </row>
    <row r="25" customFormat="false" ht="60" hidden="false" customHeight="false" outlineLevel="0" collapsed="false">
      <c r="B25" s="39"/>
      <c r="D25" s="272" t="str">
        <f aca="false">K4</f>
        <v>Devid Fulterer</v>
      </c>
      <c r="E25" s="229" t="s">
        <v>95</v>
      </c>
      <c r="F25" s="54" t="n">
        <v>1</v>
      </c>
      <c r="G25" s="54"/>
      <c r="H25" s="374" t="s">
        <v>148</v>
      </c>
      <c r="I25" s="373" t="s">
        <v>149</v>
      </c>
      <c r="J25" s="444" t="s">
        <v>114</v>
      </c>
      <c r="K25" s="445" t="s">
        <v>126</v>
      </c>
      <c r="L25" s="374" t="s">
        <v>150</v>
      </c>
      <c r="M25" s="373" t="s">
        <v>151</v>
      </c>
      <c r="N25" s="277"/>
      <c r="O25" s="277"/>
      <c r="P25" s="277"/>
      <c r="Q25" s="277"/>
      <c r="R25" s="173" t="s">
        <v>152</v>
      </c>
      <c r="T25" s="39"/>
    </row>
    <row r="26" customFormat="false" ht="35.05" hidden="false" customHeight="false" outlineLevel="0" collapsed="false">
      <c r="B26" s="39"/>
      <c r="D26" s="278" t="str">
        <f aca="false">K5</f>
        <v>Martin Fink</v>
      </c>
      <c r="E26" s="237" t="s">
        <v>142</v>
      </c>
      <c r="F26" s="62" t="n">
        <v>2</v>
      </c>
      <c r="G26" s="62"/>
      <c r="H26" s="446" t="s">
        <v>81</v>
      </c>
      <c r="I26" s="376" t="s">
        <v>153</v>
      </c>
      <c r="J26" s="447" t="s">
        <v>85</v>
      </c>
      <c r="K26" s="448" t="s">
        <v>148</v>
      </c>
      <c r="L26" s="278" t="s">
        <v>46</v>
      </c>
      <c r="M26" s="282" t="s">
        <v>46</v>
      </c>
      <c r="N26" s="283"/>
      <c r="O26" s="283"/>
      <c r="P26" s="283"/>
      <c r="Q26" s="283"/>
      <c r="R26" s="176" t="s">
        <v>46</v>
      </c>
      <c r="T26" s="39"/>
    </row>
    <row r="27" customFormat="false" ht="35.05" hidden="false" customHeight="false" outlineLevel="0" collapsed="false">
      <c r="B27" s="39"/>
      <c r="D27" s="278" t="str">
        <f aca="false">K6</f>
        <v>Jérôme Schätzle</v>
      </c>
      <c r="E27" s="237" t="s">
        <v>98</v>
      </c>
      <c r="F27" s="62" t="n">
        <v>3</v>
      </c>
      <c r="G27" s="62"/>
      <c r="H27" s="379" t="s">
        <v>130</v>
      </c>
      <c r="I27" s="376" t="s">
        <v>154</v>
      </c>
      <c r="J27" s="449" t="s">
        <v>85</v>
      </c>
      <c r="K27" s="378" t="s">
        <v>50</v>
      </c>
      <c r="L27" s="278" t="s">
        <v>46</v>
      </c>
      <c r="M27" s="282" t="s">
        <v>46</v>
      </c>
      <c r="N27" s="283"/>
      <c r="O27" s="283"/>
      <c r="P27" s="283"/>
      <c r="Q27" s="283"/>
      <c r="R27" s="176" t="s">
        <v>46</v>
      </c>
      <c r="T27" s="39"/>
    </row>
    <row r="28" customFormat="false" ht="135.75" hidden="false" customHeight="false" outlineLevel="0" collapsed="false">
      <c r="B28" s="39"/>
      <c r="D28" s="287" t="str">
        <f aca="false">K7</f>
        <v>Pauline Schätzle</v>
      </c>
      <c r="E28" s="240" t="s">
        <v>143</v>
      </c>
      <c r="F28" s="71" t="n">
        <v>4</v>
      </c>
      <c r="G28" s="71"/>
      <c r="H28" s="417" t="s">
        <v>126</v>
      </c>
      <c r="I28" s="380" t="s">
        <v>155</v>
      </c>
      <c r="J28" s="450" t="s">
        <v>114</v>
      </c>
      <c r="K28" s="451" t="s">
        <v>148</v>
      </c>
      <c r="L28" s="287" t="s">
        <v>46</v>
      </c>
      <c r="M28" s="291" t="s">
        <v>46</v>
      </c>
      <c r="N28" s="292"/>
      <c r="O28" s="292"/>
      <c r="P28" s="292"/>
      <c r="Q28" s="292"/>
      <c r="R28" s="208" t="s">
        <v>46</v>
      </c>
      <c r="T28" s="39"/>
    </row>
    <row r="29" customFormat="false" ht="15" hidden="false" customHeight="false" outlineLevel="0" collapsed="false">
      <c r="B29" s="39"/>
      <c r="T29" s="39"/>
    </row>
    <row r="30" customFormat="false" ht="15.75" hidden="false" customHeight="false" outlineLevel="0" collapsed="false">
      <c r="B30" s="39"/>
      <c r="C30" s="76"/>
      <c r="D30" s="452"/>
      <c r="E30" s="77" t="str">
        <f aca="false">IF(OR(L25="-",L25= ""),H25,L25)</f>
        <v>Agricola</v>
      </c>
      <c r="F30" s="77"/>
      <c r="G30" s="77"/>
      <c r="H30" s="77"/>
      <c r="I30" s="77"/>
      <c r="J30" s="77"/>
      <c r="K30" s="77"/>
      <c r="L30" s="77"/>
      <c r="M30" s="77"/>
      <c r="N30" s="453"/>
      <c r="O30" s="453"/>
      <c r="P30" s="453"/>
      <c r="Q30" s="453"/>
      <c r="R30" s="453"/>
      <c r="S30" s="76"/>
      <c r="T30" s="39"/>
    </row>
    <row r="31" customFormat="false" ht="60" hidden="false" customHeight="true" outlineLevel="0" collapsed="false">
      <c r="B31" s="39"/>
      <c r="C31" s="76"/>
      <c r="D31" s="453"/>
      <c r="E31" s="263" t="s">
        <v>36</v>
      </c>
      <c r="F31" s="266" t="s">
        <v>92</v>
      </c>
      <c r="G31" s="266"/>
      <c r="H31" s="263" t="s">
        <v>52</v>
      </c>
      <c r="I31" s="294" t="s">
        <v>53</v>
      </c>
      <c r="J31" s="295" t="s">
        <v>54</v>
      </c>
      <c r="K31" s="264" t="s">
        <v>55</v>
      </c>
      <c r="L31" s="296" t="s">
        <v>56</v>
      </c>
      <c r="M31" s="294" t="s">
        <v>57</v>
      </c>
      <c r="N31" s="43" t="s">
        <v>58</v>
      </c>
      <c r="O31" s="79" t="s">
        <v>59</v>
      </c>
      <c r="P31" s="79" t="s">
        <v>60</v>
      </c>
      <c r="Q31" s="79" t="s">
        <v>61</v>
      </c>
      <c r="R31" s="453"/>
      <c r="S31" s="76"/>
      <c r="T31" s="39"/>
    </row>
    <row r="32" customFormat="false" ht="45" hidden="false" customHeight="true" outlineLevel="0" collapsed="false">
      <c r="B32" s="39"/>
      <c r="C32" s="76"/>
      <c r="D32" s="76"/>
      <c r="E32" s="298" t="s">
        <v>14</v>
      </c>
      <c r="F32" s="299" t="s">
        <v>95</v>
      </c>
      <c r="G32" s="299"/>
      <c r="H32" s="182" t="n">
        <v>3</v>
      </c>
      <c r="I32" s="182" t="n">
        <v>62</v>
      </c>
      <c r="J32" s="182" t="s">
        <v>46</v>
      </c>
      <c r="K32" s="183" t="n">
        <f aca="false">IF(I32="",0,(I32/I36)*100)</f>
        <v>100</v>
      </c>
      <c r="L32" s="182" t="n">
        <v>1</v>
      </c>
      <c r="M32" s="300" t="n">
        <v>6</v>
      </c>
      <c r="N32" s="301" t="n">
        <f aca="false">IF(L32=1,1,0)</f>
        <v>1</v>
      </c>
      <c r="O32" s="85" t="n">
        <f aca="false">IF(L32=2,1,0)</f>
        <v>0</v>
      </c>
      <c r="P32" s="85" t="n">
        <f aca="false">IF(L32=3,1,0)</f>
        <v>0</v>
      </c>
      <c r="Q32" s="84" t="n">
        <f aca="false">IF(L32=4,1,0)</f>
        <v>0</v>
      </c>
      <c r="R32" s="454"/>
      <c r="S32" s="76"/>
      <c r="T32" s="39"/>
    </row>
    <row r="33" customFormat="false" ht="45" hidden="false" customHeight="true" outlineLevel="0" collapsed="false">
      <c r="B33" s="39"/>
      <c r="C33" s="76"/>
      <c r="D33" s="76"/>
      <c r="E33" s="303" t="s">
        <v>29</v>
      </c>
      <c r="F33" s="304" t="s">
        <v>142</v>
      </c>
      <c r="G33" s="304"/>
      <c r="H33" s="18" t="n">
        <v>1</v>
      </c>
      <c r="I33" s="18" t="n">
        <v>-16</v>
      </c>
      <c r="J33" s="18" t="s">
        <v>46</v>
      </c>
      <c r="K33" s="86" t="n">
        <v>0</v>
      </c>
      <c r="L33" s="18" t="n">
        <v>4</v>
      </c>
      <c r="M33" s="19" t="n">
        <v>0</v>
      </c>
      <c r="N33" s="305" t="n">
        <f aca="false">IF(L33=1,1,0)</f>
        <v>0</v>
      </c>
      <c r="O33" s="88" t="n">
        <f aca="false">IF(L33=2,1,0)</f>
        <v>0</v>
      </c>
      <c r="P33" s="88" t="n">
        <f aca="false">IF(L33=3,1,0)</f>
        <v>0</v>
      </c>
      <c r="Q33" s="87" t="n">
        <f aca="false">IF(L33=4,1,0)</f>
        <v>1</v>
      </c>
      <c r="R33" s="454"/>
      <c r="S33" s="76"/>
      <c r="T33" s="39"/>
    </row>
    <row r="34" customFormat="false" ht="45" hidden="false" customHeight="true" outlineLevel="0" collapsed="false">
      <c r="B34" s="39"/>
      <c r="C34" s="76"/>
      <c r="D34" s="76"/>
      <c r="E34" s="278" t="s">
        <v>16</v>
      </c>
      <c r="F34" s="304" t="s">
        <v>98</v>
      </c>
      <c r="G34" s="304"/>
      <c r="H34" s="18" t="n">
        <v>2</v>
      </c>
      <c r="I34" s="18" t="n">
        <v>18</v>
      </c>
      <c r="J34" s="18" t="s">
        <v>46</v>
      </c>
      <c r="K34" s="86" t="n">
        <f aca="false">IF(I34="",0,(I34/I36)*100)</f>
        <v>29.0322580645161</v>
      </c>
      <c r="L34" s="18" t="n">
        <v>3</v>
      </c>
      <c r="M34" s="19" t="n">
        <v>1</v>
      </c>
      <c r="N34" s="305" t="n">
        <f aca="false">IF(L34=1,1,0)</f>
        <v>0</v>
      </c>
      <c r="O34" s="88" t="n">
        <f aca="false">IF(L34=2,1,0)</f>
        <v>0</v>
      </c>
      <c r="P34" s="88" t="n">
        <f aca="false">IF(L34=3,1,0)</f>
        <v>1</v>
      </c>
      <c r="Q34" s="87" t="n">
        <f aca="false">IF(L34=4,1,0)</f>
        <v>0</v>
      </c>
      <c r="R34" s="454"/>
      <c r="S34" s="76"/>
      <c r="T34" s="39"/>
    </row>
    <row r="35" customFormat="false" ht="45" hidden="false" customHeight="true" outlineLevel="0" collapsed="false">
      <c r="B35" s="39"/>
      <c r="C35" s="76"/>
      <c r="D35" s="455"/>
      <c r="E35" s="29" t="s">
        <v>7</v>
      </c>
      <c r="F35" s="397" t="s">
        <v>143</v>
      </c>
      <c r="G35" s="397"/>
      <c r="H35" s="22" t="n">
        <v>4</v>
      </c>
      <c r="I35" s="22" t="n">
        <v>49</v>
      </c>
      <c r="J35" s="22" t="s">
        <v>46</v>
      </c>
      <c r="K35" s="456" t="n">
        <f aca="false">IF(I35="",0,(I35/I36)*100)</f>
        <v>79.0322580645161</v>
      </c>
      <c r="L35" s="22" t="n">
        <v>2</v>
      </c>
      <c r="M35" s="23" t="n">
        <v>3</v>
      </c>
      <c r="N35" s="310" t="n">
        <f aca="false">IF(L35=1,1,0)</f>
        <v>0</v>
      </c>
      <c r="O35" s="95" t="n">
        <f aca="false">IF(L35=2,1,0)</f>
        <v>1</v>
      </c>
      <c r="P35" s="95" t="n">
        <f aca="false">IF(L35=3,1,0)</f>
        <v>0</v>
      </c>
      <c r="Q35" s="117" t="n">
        <f aca="false">IF(L35=4,1,0)</f>
        <v>0</v>
      </c>
      <c r="R35" s="454"/>
      <c r="S35" s="76"/>
      <c r="T35" s="39"/>
    </row>
    <row r="36" customFormat="false" ht="15.75" hidden="true" customHeight="false" outlineLevel="1" collapsed="false">
      <c r="B36" s="39"/>
      <c r="C36" s="76"/>
      <c r="D36" s="457"/>
      <c r="E36" s="457"/>
      <c r="F36" s="458"/>
      <c r="G36" s="458"/>
      <c r="H36" s="97" t="s">
        <v>62</v>
      </c>
      <c r="I36" s="98" t="n">
        <f aca="false">MAX(I32:I35)</f>
        <v>62</v>
      </c>
      <c r="J36" s="459"/>
      <c r="K36" s="460"/>
      <c r="L36" s="459"/>
      <c r="M36" s="333" t="s">
        <v>63</v>
      </c>
      <c r="N36" s="102" t="n">
        <f aca="false">SUM(N32:N35)</f>
        <v>1</v>
      </c>
      <c r="O36" s="103" t="n">
        <f aca="false">SUM(O32:O35)</f>
        <v>1</v>
      </c>
      <c r="P36" s="102" t="n">
        <f aca="false">SUM(P32:P35)</f>
        <v>1</v>
      </c>
      <c r="Q36" s="102" t="n">
        <f aca="false">SUM(Q32:Q35)</f>
        <v>1</v>
      </c>
      <c r="R36" s="461"/>
      <c r="S36" s="76"/>
      <c r="T36" s="39"/>
    </row>
    <row r="37" customFormat="false" ht="15" hidden="false" customHeight="false" outlineLevel="0" collapsed="false">
      <c r="B37" s="39"/>
      <c r="C37" s="76"/>
      <c r="D37" s="76"/>
      <c r="E37" s="76"/>
      <c r="F37" s="106"/>
      <c r="G37" s="106"/>
      <c r="H37" s="453"/>
      <c r="I37" s="76"/>
      <c r="J37" s="76"/>
      <c r="K37" s="76"/>
      <c r="L37" s="76"/>
      <c r="M37" s="76"/>
      <c r="N37" s="76"/>
      <c r="O37" s="76"/>
      <c r="P37" s="76"/>
      <c r="Q37" s="76"/>
      <c r="R37" s="76"/>
      <c r="S37" s="76"/>
      <c r="T37" s="39"/>
    </row>
    <row r="38" customFormat="false" ht="15" hidden="false" customHeight="false" outlineLevel="0" collapsed="false">
      <c r="B38" s="39"/>
      <c r="F38" s="120"/>
      <c r="G38" s="120"/>
      <c r="T38" s="39"/>
    </row>
    <row r="39" customFormat="false" ht="15.75" hidden="false" customHeight="false" outlineLevel="0" collapsed="false">
      <c r="B39" s="39"/>
      <c r="C39" s="107"/>
      <c r="D39" s="462"/>
      <c r="E39" s="108" t="str">
        <f aca="false">IF(OR(L26="-",L26= ""),H26,L26)</f>
        <v>Torres</v>
      </c>
      <c r="F39" s="108"/>
      <c r="G39" s="108"/>
      <c r="H39" s="108"/>
      <c r="I39" s="108"/>
      <c r="J39" s="108"/>
      <c r="K39" s="108"/>
      <c r="L39" s="108"/>
      <c r="M39" s="108"/>
      <c r="N39" s="463"/>
      <c r="O39" s="463"/>
      <c r="P39" s="463"/>
      <c r="Q39" s="463"/>
      <c r="R39" s="463"/>
      <c r="S39" s="107"/>
      <c r="T39" s="39"/>
    </row>
    <row r="40" customFormat="false" ht="60" hidden="false" customHeight="true" outlineLevel="0" collapsed="false">
      <c r="B40" s="39"/>
      <c r="C40" s="107"/>
      <c r="D40" s="463"/>
      <c r="E40" s="263" t="s">
        <v>36</v>
      </c>
      <c r="F40" s="266" t="s">
        <v>92</v>
      </c>
      <c r="G40" s="266"/>
      <c r="H40" s="263" t="s">
        <v>52</v>
      </c>
      <c r="I40" s="294" t="s">
        <v>53</v>
      </c>
      <c r="J40" s="295" t="s">
        <v>54</v>
      </c>
      <c r="K40" s="264" t="s">
        <v>55</v>
      </c>
      <c r="L40" s="296" t="s">
        <v>56</v>
      </c>
      <c r="M40" s="294" t="s">
        <v>57</v>
      </c>
      <c r="N40" s="43" t="s">
        <v>58</v>
      </c>
      <c r="O40" s="79" t="s">
        <v>59</v>
      </c>
      <c r="P40" s="79" t="s">
        <v>60</v>
      </c>
      <c r="Q40" s="79" t="s">
        <v>61</v>
      </c>
      <c r="R40" s="463"/>
      <c r="S40" s="107"/>
      <c r="T40" s="39"/>
    </row>
    <row r="41" customFormat="false" ht="45" hidden="false" customHeight="true" outlineLevel="0" collapsed="false">
      <c r="B41" s="39"/>
      <c r="C41" s="107"/>
      <c r="D41" s="107"/>
      <c r="E41" s="337" t="s">
        <v>14</v>
      </c>
      <c r="F41" s="338" t="s">
        <v>95</v>
      </c>
      <c r="G41" s="338"/>
      <c r="H41" s="11" t="n">
        <v>3</v>
      </c>
      <c r="I41" s="11" t="n">
        <v>205</v>
      </c>
      <c r="J41" s="11" t="s">
        <v>46</v>
      </c>
      <c r="K41" s="83" t="n">
        <f aca="false">IF(I41="",0,(I41/I45)*100)</f>
        <v>95.7943925233645</v>
      </c>
      <c r="L41" s="11" t="n">
        <v>2</v>
      </c>
      <c r="M41" s="12" t="n">
        <v>3</v>
      </c>
      <c r="N41" s="301" t="n">
        <f aca="false">IF(L41=1,1,0)</f>
        <v>0</v>
      </c>
      <c r="O41" s="85" t="n">
        <f aca="false">IF(L41=2,1,0)</f>
        <v>1</v>
      </c>
      <c r="P41" s="85" t="n">
        <f aca="false">IF(L41=3,1,0)</f>
        <v>0</v>
      </c>
      <c r="Q41" s="84" t="n">
        <f aca="false">IF(L41=4,1,0)</f>
        <v>0</v>
      </c>
      <c r="R41" s="464"/>
      <c r="S41" s="107"/>
      <c r="T41" s="39"/>
    </row>
    <row r="42" customFormat="false" ht="45" hidden="false" customHeight="true" outlineLevel="0" collapsed="false">
      <c r="B42" s="39"/>
      <c r="C42" s="107"/>
      <c r="D42" s="465"/>
      <c r="E42" s="342" t="s">
        <v>29</v>
      </c>
      <c r="F42" s="343" t="s">
        <v>142</v>
      </c>
      <c r="G42" s="343"/>
      <c r="H42" s="112" t="n">
        <v>4</v>
      </c>
      <c r="I42" s="112" t="n">
        <v>214</v>
      </c>
      <c r="J42" s="112" t="s">
        <v>46</v>
      </c>
      <c r="K42" s="113" t="n">
        <f aca="false">IF(I42="",0,(I42/I45)*100)</f>
        <v>100</v>
      </c>
      <c r="L42" s="112" t="n">
        <v>1</v>
      </c>
      <c r="M42" s="344" t="n">
        <v>6</v>
      </c>
      <c r="N42" s="305" t="n">
        <f aca="false">IF(L42=1,1,0)</f>
        <v>1</v>
      </c>
      <c r="O42" s="88" t="n">
        <f aca="false">IF(L42=2,1,0)</f>
        <v>0</v>
      </c>
      <c r="P42" s="88" t="n">
        <f aca="false">IF(L42=3,1,0)</f>
        <v>0</v>
      </c>
      <c r="Q42" s="87" t="n">
        <f aca="false">IF(L42=4,1,0)</f>
        <v>0</v>
      </c>
      <c r="R42" s="464"/>
      <c r="S42" s="107"/>
      <c r="T42" s="39"/>
    </row>
    <row r="43" customFormat="false" ht="45" hidden="false" customHeight="true" outlineLevel="0" collapsed="false">
      <c r="B43" s="39"/>
      <c r="C43" s="107"/>
      <c r="D43" s="107"/>
      <c r="E43" s="278" t="s">
        <v>16</v>
      </c>
      <c r="F43" s="304" t="s">
        <v>98</v>
      </c>
      <c r="G43" s="304"/>
      <c r="H43" s="18" t="n">
        <v>1</v>
      </c>
      <c r="I43" s="18" t="n">
        <v>200</v>
      </c>
      <c r="J43" s="18" t="s">
        <v>46</v>
      </c>
      <c r="K43" s="86" t="n">
        <f aca="false">IF(I43="",0,(I43/I45)*100)</f>
        <v>93.4579439252336</v>
      </c>
      <c r="L43" s="18" t="n">
        <v>3</v>
      </c>
      <c r="M43" s="19" t="n">
        <v>1</v>
      </c>
      <c r="N43" s="305" t="n">
        <f aca="false">IF(L43=1,1,0)</f>
        <v>0</v>
      </c>
      <c r="O43" s="88" t="n">
        <f aca="false">IF(L43=2,1,0)</f>
        <v>0</v>
      </c>
      <c r="P43" s="88" t="n">
        <f aca="false">IF(L43=3,1,0)</f>
        <v>1</v>
      </c>
      <c r="Q43" s="87" t="n">
        <f aca="false">IF(L43=4,1,0)</f>
        <v>0</v>
      </c>
      <c r="R43" s="464"/>
      <c r="S43" s="107"/>
      <c r="T43" s="39"/>
    </row>
    <row r="44" customFormat="false" ht="45" hidden="false" customHeight="true" outlineLevel="0" collapsed="false">
      <c r="B44" s="39"/>
      <c r="C44" s="107"/>
      <c r="D44" s="107"/>
      <c r="E44" s="29" t="s">
        <v>7</v>
      </c>
      <c r="F44" s="397" t="s">
        <v>143</v>
      </c>
      <c r="G44" s="397"/>
      <c r="H44" s="22" t="n">
        <v>2</v>
      </c>
      <c r="I44" s="22" t="n">
        <v>198</v>
      </c>
      <c r="J44" s="22" t="s">
        <v>46</v>
      </c>
      <c r="K44" s="456" t="n">
        <f aca="false">IF(I44="",0,(I44/I45)*100)</f>
        <v>92.5233644859813</v>
      </c>
      <c r="L44" s="22" t="n">
        <v>4</v>
      </c>
      <c r="M44" s="23" t="n">
        <v>0</v>
      </c>
      <c r="N44" s="310" t="n">
        <f aca="false">IF(L44=1,1,0)</f>
        <v>0</v>
      </c>
      <c r="O44" s="95" t="n">
        <f aca="false">IF(L44=2,1,0)</f>
        <v>0</v>
      </c>
      <c r="P44" s="95" t="n">
        <f aca="false">IF(L44=3,1,0)</f>
        <v>0</v>
      </c>
      <c r="Q44" s="117" t="n">
        <f aca="false">IF(L44=4,1,0)</f>
        <v>1</v>
      </c>
      <c r="R44" s="464"/>
      <c r="S44" s="107"/>
      <c r="T44" s="39"/>
    </row>
    <row r="45" customFormat="false" ht="15.75" hidden="true" customHeight="false" outlineLevel="1" collapsed="false">
      <c r="B45" s="39"/>
      <c r="C45" s="107"/>
      <c r="D45" s="107"/>
      <c r="E45" s="107"/>
      <c r="F45" s="109"/>
      <c r="G45" s="109"/>
      <c r="H45" s="331" t="s">
        <v>62</v>
      </c>
      <c r="I45" s="98" t="n">
        <f aca="false">MAX(I41:I44)</f>
        <v>214</v>
      </c>
      <c r="J45" s="464"/>
      <c r="K45" s="466"/>
      <c r="L45" s="464"/>
      <c r="M45" s="333" t="s">
        <v>63</v>
      </c>
      <c r="N45" s="102" t="n">
        <f aca="false">SUM(N41:N44)</f>
        <v>1</v>
      </c>
      <c r="O45" s="103" t="n">
        <f aca="false">SUM(O41:O44)</f>
        <v>1</v>
      </c>
      <c r="P45" s="102" t="n">
        <f aca="false">SUM(P41:P44)</f>
        <v>1</v>
      </c>
      <c r="Q45" s="104" t="n">
        <f aca="false">SUM(Q41:Q44)</f>
        <v>1</v>
      </c>
      <c r="R45" s="467"/>
      <c r="S45" s="107"/>
      <c r="T45" s="39"/>
    </row>
    <row r="46" customFormat="false" ht="15" hidden="false" customHeight="false" outlineLevel="0" collapsed="false">
      <c r="B46" s="39"/>
      <c r="C46" s="107"/>
      <c r="D46" s="107"/>
      <c r="E46" s="107"/>
      <c r="F46" s="107"/>
      <c r="G46" s="107"/>
      <c r="H46" s="107"/>
      <c r="I46" s="107"/>
      <c r="J46" s="107"/>
      <c r="K46" s="107"/>
      <c r="L46" s="107"/>
      <c r="M46" s="107"/>
      <c r="N46" s="107"/>
      <c r="O46" s="107"/>
      <c r="P46" s="107"/>
      <c r="Q46" s="107"/>
      <c r="R46" s="107"/>
      <c r="S46" s="107"/>
      <c r="T46" s="39"/>
    </row>
    <row r="47" customFormat="false" ht="15" hidden="false" customHeight="false" outlineLevel="0" collapsed="false">
      <c r="B47" s="39"/>
      <c r="D47" s="468"/>
      <c r="E47" s="468"/>
      <c r="F47" s="468"/>
      <c r="G47" s="468"/>
      <c r="H47" s="469"/>
      <c r="I47" s="468"/>
      <c r="J47" s="468"/>
      <c r="T47" s="39"/>
    </row>
    <row r="48" customFormat="false" ht="15" hidden="false" customHeight="true" outlineLevel="0" collapsed="false">
      <c r="B48" s="39"/>
      <c r="C48" s="126"/>
      <c r="D48" s="470"/>
      <c r="E48" s="127" t="str">
        <f aca="false">IF(OR(L27="-",L27= ""),H27,L27)</f>
        <v>Auf den Spuren von 
Marco Polo</v>
      </c>
      <c r="F48" s="127"/>
      <c r="G48" s="127"/>
      <c r="H48" s="127"/>
      <c r="I48" s="127"/>
      <c r="J48" s="127"/>
      <c r="K48" s="127"/>
      <c r="L48" s="127"/>
      <c r="M48" s="127"/>
      <c r="N48" s="471"/>
      <c r="O48" s="471"/>
      <c r="P48" s="471"/>
      <c r="Q48" s="471"/>
      <c r="R48" s="471"/>
      <c r="S48" s="126"/>
      <c r="T48" s="472"/>
      <c r="U48" s="473"/>
      <c r="V48" s="473"/>
    </row>
    <row r="49" customFormat="false" ht="60" hidden="false" customHeight="true" outlineLevel="0" collapsed="false">
      <c r="B49" s="39"/>
      <c r="C49" s="126"/>
      <c r="D49" s="471"/>
      <c r="E49" s="263" t="s">
        <v>36</v>
      </c>
      <c r="F49" s="266" t="s">
        <v>92</v>
      </c>
      <c r="G49" s="266"/>
      <c r="H49" s="263" t="s">
        <v>52</v>
      </c>
      <c r="I49" s="294" t="s">
        <v>53</v>
      </c>
      <c r="J49" s="295" t="s">
        <v>54</v>
      </c>
      <c r="K49" s="264" t="s">
        <v>55</v>
      </c>
      <c r="L49" s="296" t="s">
        <v>56</v>
      </c>
      <c r="M49" s="294" t="s">
        <v>57</v>
      </c>
      <c r="N49" s="43" t="s">
        <v>58</v>
      </c>
      <c r="O49" s="79" t="s">
        <v>59</v>
      </c>
      <c r="P49" s="79" t="s">
        <v>60</v>
      </c>
      <c r="Q49" s="82" t="s">
        <v>61</v>
      </c>
      <c r="R49" s="471"/>
      <c r="S49" s="126"/>
      <c r="T49" s="472"/>
      <c r="U49" s="473"/>
      <c r="V49" s="473"/>
    </row>
    <row r="50" customFormat="false" ht="45" hidden="false" customHeight="true" outlineLevel="0" collapsed="false">
      <c r="B50" s="39"/>
      <c r="C50" s="126"/>
      <c r="D50" s="126"/>
      <c r="E50" s="337" t="s">
        <v>14</v>
      </c>
      <c r="F50" s="338" t="s">
        <v>95</v>
      </c>
      <c r="G50" s="338"/>
      <c r="H50" s="11" t="n">
        <v>4</v>
      </c>
      <c r="I50" s="11" t="n">
        <v>63</v>
      </c>
      <c r="J50" s="11" t="s">
        <v>46</v>
      </c>
      <c r="K50" s="83" t="n">
        <f aca="false">IF(I50="",0,(I50/I54)*100)</f>
        <v>68.4782608695652</v>
      </c>
      <c r="L50" s="11" t="n">
        <v>3</v>
      </c>
      <c r="M50" s="12" t="n">
        <v>1</v>
      </c>
      <c r="N50" s="85" t="n">
        <f aca="false">IF(L50=1,1,0)</f>
        <v>0</v>
      </c>
      <c r="O50" s="85" t="n">
        <f aca="false">IF(L50=2,1,0)</f>
        <v>0</v>
      </c>
      <c r="P50" s="85" t="n">
        <f aca="false">IF(L50=3,1,0)</f>
        <v>1</v>
      </c>
      <c r="Q50" s="84" t="n">
        <f aca="false">IF(L50=4,1,0)</f>
        <v>0</v>
      </c>
      <c r="R50" s="474"/>
      <c r="S50" s="126"/>
      <c r="T50" s="39"/>
    </row>
    <row r="51" customFormat="false" ht="45" hidden="false" customHeight="true" outlineLevel="0" collapsed="false">
      <c r="B51" s="39"/>
      <c r="C51" s="126"/>
      <c r="D51" s="475"/>
      <c r="E51" s="303" t="s">
        <v>29</v>
      </c>
      <c r="F51" s="304" t="s">
        <v>142</v>
      </c>
      <c r="G51" s="304"/>
      <c r="H51" s="18" t="n">
        <v>2</v>
      </c>
      <c r="I51" s="18" t="n">
        <v>1</v>
      </c>
      <c r="J51" s="18" t="s">
        <v>46</v>
      </c>
      <c r="K51" s="86" t="n">
        <f aca="false">IF(I51="",0,(I51/I54)*100)</f>
        <v>1.08695652173913</v>
      </c>
      <c r="L51" s="18" t="n">
        <v>4</v>
      </c>
      <c r="M51" s="19" t="n">
        <v>0</v>
      </c>
      <c r="N51" s="88" t="n">
        <f aca="false">IF(L51=1,1,0)</f>
        <v>0</v>
      </c>
      <c r="O51" s="88" t="n">
        <f aca="false">IF(L51=2,1,0)</f>
        <v>0</v>
      </c>
      <c r="P51" s="88" t="n">
        <f aca="false">IF(L51=3,1,0)</f>
        <v>0</v>
      </c>
      <c r="Q51" s="87" t="n">
        <f aca="false">IF(L51=4,1,0)</f>
        <v>1</v>
      </c>
      <c r="R51" s="474"/>
      <c r="S51" s="126"/>
      <c r="T51" s="476"/>
    </row>
    <row r="52" customFormat="false" ht="45" hidden="false" customHeight="true" outlineLevel="0" collapsed="false">
      <c r="B52" s="39"/>
      <c r="C52" s="126"/>
      <c r="D52" s="126"/>
      <c r="E52" s="278" t="s">
        <v>16</v>
      </c>
      <c r="F52" s="304" t="s">
        <v>98</v>
      </c>
      <c r="G52" s="304"/>
      <c r="H52" s="18" t="n">
        <v>3</v>
      </c>
      <c r="I52" s="18" t="n">
        <v>79</v>
      </c>
      <c r="J52" s="18" t="s">
        <v>46</v>
      </c>
      <c r="K52" s="86" t="n">
        <f aca="false">IF(I52="",0,(I52/I54)*100)</f>
        <v>85.8695652173913</v>
      </c>
      <c r="L52" s="18" t="n">
        <v>2</v>
      </c>
      <c r="M52" s="19" t="n">
        <v>3</v>
      </c>
      <c r="N52" s="88" t="n">
        <f aca="false">IF(L52=1,1,0)</f>
        <v>0</v>
      </c>
      <c r="O52" s="88" t="n">
        <f aca="false">IF(L52=2,1,0)</f>
        <v>1</v>
      </c>
      <c r="P52" s="88" t="n">
        <f aca="false">IF(L52=3,1,0)</f>
        <v>0</v>
      </c>
      <c r="Q52" s="87" t="n">
        <f aca="false">IF(L52=4,1,0)</f>
        <v>0</v>
      </c>
      <c r="R52" s="474"/>
      <c r="S52" s="126"/>
      <c r="T52" s="476"/>
    </row>
    <row r="53" customFormat="false" ht="45" hidden="false" customHeight="true" outlineLevel="0" collapsed="false">
      <c r="B53" s="39"/>
      <c r="C53" s="126"/>
      <c r="D53" s="126"/>
      <c r="E53" s="89" t="s">
        <v>7</v>
      </c>
      <c r="F53" s="391" t="s">
        <v>143</v>
      </c>
      <c r="G53" s="391"/>
      <c r="H53" s="91" t="n">
        <v>1</v>
      </c>
      <c r="I53" s="91" t="n">
        <v>92</v>
      </c>
      <c r="J53" s="91" t="s">
        <v>46</v>
      </c>
      <c r="K53" s="92" t="n">
        <f aca="false">IF(I53="",0,(I53/I54)*100)</f>
        <v>100</v>
      </c>
      <c r="L53" s="91" t="n">
        <v>1</v>
      </c>
      <c r="M53" s="394" t="n">
        <v>6</v>
      </c>
      <c r="N53" s="95" t="n">
        <f aca="false">IF(L53=1,1,0)</f>
        <v>1</v>
      </c>
      <c r="O53" s="95" t="n">
        <f aca="false">IF(L53=2,1,0)</f>
        <v>0</v>
      </c>
      <c r="P53" s="95" t="n">
        <f aca="false">IF(L53=3,1,0)</f>
        <v>0</v>
      </c>
      <c r="Q53" s="117" t="n">
        <f aca="false">IF(L53=4,1,0)</f>
        <v>0</v>
      </c>
      <c r="R53" s="474"/>
      <c r="S53" s="126"/>
      <c r="T53" s="476"/>
    </row>
    <row r="54" customFormat="false" ht="15.75" hidden="true" customHeight="false" outlineLevel="1" collapsed="false">
      <c r="B54" s="39"/>
      <c r="C54" s="126"/>
      <c r="D54" s="126"/>
      <c r="E54" s="126"/>
      <c r="F54" s="339"/>
      <c r="G54" s="339"/>
      <c r="H54" s="345" t="s">
        <v>62</v>
      </c>
      <c r="I54" s="98" t="n">
        <f aca="false">MAX(I50:I53)</f>
        <v>92</v>
      </c>
      <c r="J54" s="474"/>
      <c r="K54" s="477"/>
      <c r="L54" s="474"/>
      <c r="M54" s="333" t="s">
        <v>63</v>
      </c>
      <c r="N54" s="102" t="n">
        <f aca="false">SUM(N50:N53)</f>
        <v>1</v>
      </c>
      <c r="O54" s="103" t="n">
        <f aca="false">SUM(O50:O53)</f>
        <v>1</v>
      </c>
      <c r="P54" s="102" t="n">
        <f aca="false">SUM(P50:P53)</f>
        <v>1</v>
      </c>
      <c r="Q54" s="104" t="n">
        <f aca="false">SUM(Q50:Q53)</f>
        <v>1</v>
      </c>
      <c r="R54" s="478"/>
      <c r="S54" s="126"/>
      <c r="T54" s="476"/>
    </row>
    <row r="55" customFormat="false" ht="15" hidden="false" customHeight="false" outlineLevel="0" collapsed="false">
      <c r="B55" s="39"/>
      <c r="C55" s="126"/>
      <c r="D55" s="126"/>
      <c r="E55" s="126"/>
      <c r="F55" s="126"/>
      <c r="G55" s="126"/>
      <c r="H55" s="126"/>
      <c r="I55" s="126"/>
      <c r="J55" s="126"/>
      <c r="K55" s="126"/>
      <c r="L55" s="126"/>
      <c r="M55" s="126"/>
      <c r="N55" s="126"/>
      <c r="O55" s="126"/>
      <c r="P55" s="126"/>
      <c r="Q55" s="126"/>
      <c r="R55" s="126"/>
      <c r="S55" s="126"/>
      <c r="T55" s="476"/>
    </row>
    <row r="56" customFormat="false" ht="15" hidden="false" customHeight="false" outlineLevel="0" collapsed="false">
      <c r="B56" s="39"/>
      <c r="D56" s="468"/>
      <c r="E56" s="468"/>
      <c r="F56" s="468"/>
      <c r="G56" s="468"/>
      <c r="H56" s="469"/>
      <c r="I56" s="468"/>
      <c r="J56" s="468"/>
      <c r="K56" s="468"/>
      <c r="T56" s="39"/>
    </row>
    <row r="57" customFormat="false" ht="15.75" hidden="false" customHeight="false" outlineLevel="0" collapsed="false">
      <c r="B57" s="39"/>
      <c r="C57" s="134"/>
      <c r="D57" s="479"/>
      <c r="E57" s="135" t="str">
        <f aca="false">IF(OR(L28="-",L28= ""),H28,L28)</f>
        <v>Race for the Galaxy</v>
      </c>
      <c r="F57" s="135"/>
      <c r="G57" s="135"/>
      <c r="H57" s="135"/>
      <c r="I57" s="135"/>
      <c r="J57" s="135"/>
      <c r="K57" s="135"/>
      <c r="L57" s="135"/>
      <c r="M57" s="135"/>
      <c r="N57" s="480"/>
      <c r="O57" s="480"/>
      <c r="P57" s="480"/>
      <c r="Q57" s="480"/>
      <c r="R57" s="480"/>
      <c r="S57" s="134"/>
      <c r="T57" s="39"/>
    </row>
    <row r="58" customFormat="false" ht="60" hidden="false" customHeight="true" outlineLevel="0" collapsed="false">
      <c r="B58" s="39"/>
      <c r="C58" s="134"/>
      <c r="D58" s="480"/>
      <c r="E58" s="263" t="s">
        <v>36</v>
      </c>
      <c r="F58" s="266" t="s">
        <v>92</v>
      </c>
      <c r="G58" s="266"/>
      <c r="H58" s="263" t="s">
        <v>52</v>
      </c>
      <c r="I58" s="294" t="s">
        <v>53</v>
      </c>
      <c r="J58" s="295" t="s">
        <v>54</v>
      </c>
      <c r="K58" s="264" t="s">
        <v>55</v>
      </c>
      <c r="L58" s="296" t="s">
        <v>56</v>
      </c>
      <c r="M58" s="294" t="s">
        <v>57</v>
      </c>
      <c r="N58" s="43" t="s">
        <v>58</v>
      </c>
      <c r="O58" s="79" t="s">
        <v>59</v>
      </c>
      <c r="P58" s="79" t="s">
        <v>60</v>
      </c>
      <c r="Q58" s="82" t="s">
        <v>61</v>
      </c>
      <c r="R58" s="480"/>
      <c r="S58" s="134"/>
      <c r="T58" s="39"/>
    </row>
    <row r="59" customFormat="false" ht="45" hidden="false" customHeight="true" outlineLevel="0" collapsed="false">
      <c r="B59" s="39"/>
      <c r="C59" s="134"/>
      <c r="D59" s="134"/>
      <c r="E59" s="337" t="s">
        <v>14</v>
      </c>
      <c r="F59" s="338" t="s">
        <v>95</v>
      </c>
      <c r="G59" s="338"/>
      <c r="H59" s="481" t="s">
        <v>46</v>
      </c>
      <c r="I59" s="11" t="n">
        <v>32</v>
      </c>
      <c r="J59" s="11" t="s">
        <v>46</v>
      </c>
      <c r="K59" s="83" t="n">
        <f aca="false">IF(I59="",0,(I59/I63)*100)</f>
        <v>86.4864864864865</v>
      </c>
      <c r="L59" s="11" t="n">
        <v>2</v>
      </c>
      <c r="M59" s="12" t="n">
        <v>3</v>
      </c>
      <c r="N59" s="85" t="n">
        <f aca="false">IF(L59=1,1,0)</f>
        <v>0</v>
      </c>
      <c r="O59" s="85" t="n">
        <f aca="false">IF(L59=2,1,0)</f>
        <v>1</v>
      </c>
      <c r="P59" s="85" t="n">
        <f aca="false">IF(L59=3,1,0)</f>
        <v>0</v>
      </c>
      <c r="Q59" s="84" t="n">
        <f aca="false">IF(L59=4,1,0)</f>
        <v>0</v>
      </c>
      <c r="R59" s="482"/>
      <c r="S59" s="134"/>
      <c r="T59" s="39"/>
    </row>
    <row r="60" customFormat="false" ht="45" hidden="false" customHeight="true" outlineLevel="0" collapsed="false">
      <c r="B60" s="39"/>
      <c r="C60" s="134"/>
      <c r="D60" s="134"/>
      <c r="E60" s="303" t="s">
        <v>29</v>
      </c>
      <c r="F60" s="304" t="s">
        <v>142</v>
      </c>
      <c r="G60" s="304"/>
      <c r="H60" s="390" t="s">
        <v>46</v>
      </c>
      <c r="I60" s="18" t="n">
        <v>11</v>
      </c>
      <c r="J60" s="18" t="s">
        <v>46</v>
      </c>
      <c r="K60" s="86" t="n">
        <f aca="false">IF(I60="",0,(I60/I63)*100)</f>
        <v>29.7297297297297</v>
      </c>
      <c r="L60" s="18" t="n">
        <v>4</v>
      </c>
      <c r="M60" s="19" t="n">
        <v>0</v>
      </c>
      <c r="N60" s="88" t="n">
        <f aca="false">IF(L60=1,1,0)</f>
        <v>0</v>
      </c>
      <c r="O60" s="88" t="n">
        <f aca="false">IF(L60=2,1,0)</f>
        <v>0</v>
      </c>
      <c r="P60" s="88" t="n">
        <f aca="false">IF(L60=3,1,0)</f>
        <v>0</v>
      </c>
      <c r="Q60" s="87" t="n">
        <f aca="false">IF(L60=4,1,0)</f>
        <v>1</v>
      </c>
      <c r="R60" s="482"/>
      <c r="S60" s="134"/>
      <c r="T60" s="39"/>
    </row>
    <row r="61" customFormat="false" ht="45" hidden="false" customHeight="true" outlineLevel="0" collapsed="false">
      <c r="B61" s="39"/>
      <c r="C61" s="134"/>
      <c r="D61" s="134"/>
      <c r="E61" s="278" t="s">
        <v>16</v>
      </c>
      <c r="F61" s="304" t="s">
        <v>98</v>
      </c>
      <c r="G61" s="304"/>
      <c r="H61" s="390" t="s">
        <v>46</v>
      </c>
      <c r="I61" s="18" t="n">
        <v>21</v>
      </c>
      <c r="J61" s="18" t="s">
        <v>46</v>
      </c>
      <c r="K61" s="86" t="n">
        <f aca="false">IF(I61="",0,(I61/I63)*100)</f>
        <v>56.7567567567568</v>
      </c>
      <c r="L61" s="18" t="n">
        <v>3</v>
      </c>
      <c r="M61" s="19" t="n">
        <v>1</v>
      </c>
      <c r="N61" s="88" t="n">
        <f aca="false">IF(L61=1,1,0)</f>
        <v>0</v>
      </c>
      <c r="O61" s="88" t="n">
        <f aca="false">IF(L61=2,1,0)</f>
        <v>0</v>
      </c>
      <c r="P61" s="88" t="n">
        <f aca="false">IF(L61=3,1,0)</f>
        <v>1</v>
      </c>
      <c r="Q61" s="87" t="n">
        <f aca="false">IF(L61=4,1,0)</f>
        <v>0</v>
      </c>
      <c r="R61" s="482"/>
      <c r="S61" s="134"/>
      <c r="T61" s="39"/>
    </row>
    <row r="62" customFormat="false" ht="45" hidden="false" customHeight="true" outlineLevel="0" collapsed="false">
      <c r="B62" s="39"/>
      <c r="C62" s="134"/>
      <c r="D62" s="483"/>
      <c r="E62" s="89" t="s">
        <v>7</v>
      </c>
      <c r="F62" s="391" t="s">
        <v>143</v>
      </c>
      <c r="G62" s="391"/>
      <c r="H62" s="392" t="s">
        <v>46</v>
      </c>
      <c r="I62" s="91" t="n">
        <v>37</v>
      </c>
      <c r="J62" s="91" t="s">
        <v>46</v>
      </c>
      <c r="K62" s="92" t="n">
        <f aca="false">IF(I62="",0,(I62/I63)*100)</f>
        <v>100</v>
      </c>
      <c r="L62" s="91" t="n">
        <v>1</v>
      </c>
      <c r="M62" s="394" t="n">
        <v>6</v>
      </c>
      <c r="N62" s="95" t="n">
        <f aca="false">IF(L62=1,1,0)</f>
        <v>1</v>
      </c>
      <c r="O62" s="95" t="n">
        <f aca="false">IF(L62=2,1,0)</f>
        <v>0</v>
      </c>
      <c r="P62" s="95" t="n">
        <f aca="false">IF(L62=3,1,0)</f>
        <v>0</v>
      </c>
      <c r="Q62" s="117" t="n">
        <f aca="false">IF(L62=4,1,0)</f>
        <v>0</v>
      </c>
      <c r="R62" s="482"/>
      <c r="S62" s="134"/>
      <c r="T62" s="39"/>
    </row>
    <row r="63" customFormat="false" ht="15.75" hidden="true" customHeight="false" outlineLevel="1" collapsed="false">
      <c r="B63" s="39"/>
      <c r="C63" s="134"/>
      <c r="D63" s="134"/>
      <c r="E63" s="134"/>
      <c r="F63" s="350"/>
      <c r="G63" s="350"/>
      <c r="H63" s="215" t="s">
        <v>62</v>
      </c>
      <c r="I63" s="119" t="n">
        <f aca="false">MAX(I59:I62)</f>
        <v>37</v>
      </c>
      <c r="J63" s="482"/>
      <c r="K63" s="484"/>
      <c r="L63" s="482"/>
      <c r="M63" s="333" t="s">
        <v>63</v>
      </c>
      <c r="N63" s="102" t="n">
        <f aca="false">SUM(N59:N62)</f>
        <v>1</v>
      </c>
      <c r="O63" s="103" t="n">
        <f aca="false">SUM(O59:O62)</f>
        <v>1</v>
      </c>
      <c r="P63" s="102" t="n">
        <f aca="false">SUM(P59:P62)</f>
        <v>1</v>
      </c>
      <c r="Q63" s="104" t="n">
        <f aca="false">SUM(Q59:Q62)</f>
        <v>1</v>
      </c>
      <c r="R63" s="485"/>
      <c r="S63" s="134"/>
      <c r="T63" s="39"/>
    </row>
    <row r="64" customFormat="false" ht="15" hidden="false" customHeight="false" outlineLevel="0" collapsed="false">
      <c r="B64" s="39"/>
      <c r="C64" s="134"/>
      <c r="D64" s="134"/>
      <c r="E64" s="134"/>
      <c r="F64" s="134"/>
      <c r="G64" s="134"/>
      <c r="H64" s="134"/>
      <c r="I64" s="134"/>
      <c r="J64" s="134"/>
      <c r="K64" s="134"/>
      <c r="L64" s="134"/>
      <c r="M64" s="134"/>
      <c r="N64" s="134"/>
      <c r="O64" s="134"/>
      <c r="P64" s="134"/>
      <c r="Q64" s="134"/>
      <c r="R64" s="134"/>
      <c r="S64" s="134"/>
      <c r="T64" s="39"/>
    </row>
    <row r="65" customFormat="false" ht="15" hidden="false" customHeight="false" outlineLevel="0" collapsed="false">
      <c r="B65" s="39"/>
      <c r="D65" s="262"/>
      <c r="E65" s="262"/>
      <c r="F65" s="262"/>
      <c r="G65" s="262"/>
      <c r="H65" s="262"/>
      <c r="I65" s="262"/>
      <c r="J65" s="262"/>
      <c r="T65" s="39"/>
    </row>
    <row r="66" customFormat="false" ht="30" hidden="false" customHeight="true" outlineLevel="0" collapsed="false">
      <c r="B66" s="39"/>
      <c r="C66" s="139"/>
      <c r="D66" s="486"/>
      <c r="E66" s="141" t="s">
        <v>156</v>
      </c>
      <c r="F66" s="141"/>
      <c r="G66" s="141"/>
      <c r="H66" s="141"/>
      <c r="I66" s="141"/>
      <c r="J66" s="141"/>
      <c r="K66" s="141"/>
      <c r="L66" s="141"/>
      <c r="M66" s="141"/>
      <c r="N66" s="487"/>
      <c r="O66" s="487"/>
      <c r="P66" s="487"/>
      <c r="Q66" s="487"/>
      <c r="R66" s="487"/>
      <c r="S66" s="139"/>
      <c r="T66" s="39"/>
    </row>
    <row r="67" customFormat="false" ht="60" hidden="false" customHeight="true" outlineLevel="0" collapsed="false">
      <c r="B67" s="39"/>
      <c r="C67" s="139"/>
      <c r="D67" s="139"/>
      <c r="E67" s="356" t="s">
        <v>36</v>
      </c>
      <c r="F67" s="357" t="s">
        <v>92</v>
      </c>
      <c r="G67" s="357"/>
      <c r="H67" s="358" t="s">
        <v>57</v>
      </c>
      <c r="I67" s="359" t="s">
        <v>65</v>
      </c>
      <c r="J67" s="358" t="s">
        <v>66</v>
      </c>
      <c r="K67" s="359" t="s">
        <v>67</v>
      </c>
      <c r="L67" s="359" t="s">
        <v>68</v>
      </c>
      <c r="M67" s="488" t="s">
        <v>69</v>
      </c>
      <c r="N67" s="489"/>
      <c r="O67" s="489"/>
      <c r="P67" s="489"/>
      <c r="Q67" s="489"/>
      <c r="R67" s="489"/>
      <c r="S67" s="139"/>
      <c r="T67" s="39"/>
    </row>
    <row r="68" customFormat="false" ht="45" hidden="false" customHeight="true" outlineLevel="0" collapsed="false">
      <c r="B68" s="39"/>
      <c r="C68" s="139"/>
      <c r="D68" s="490"/>
      <c r="E68" s="361" t="s">
        <v>7</v>
      </c>
      <c r="F68" s="491" t="s">
        <v>143</v>
      </c>
      <c r="G68" s="491"/>
      <c r="H68" s="363" t="n">
        <f aca="false">I68*6+J68*3+K68*1+L68*0</f>
        <v>15</v>
      </c>
      <c r="I68" s="363" t="n">
        <v>2</v>
      </c>
      <c r="J68" s="363" t="n">
        <v>1</v>
      </c>
      <c r="K68" s="363" t="n">
        <v>0</v>
      </c>
      <c r="L68" s="363" t="n">
        <v>1</v>
      </c>
      <c r="M68" s="364" t="n">
        <f aca="false">(K35+K44+K53+K62)/4</f>
        <v>92.8889056376244</v>
      </c>
      <c r="N68" s="492"/>
      <c r="O68" s="492"/>
      <c r="P68" s="492"/>
      <c r="Q68" s="492"/>
      <c r="R68" s="492"/>
      <c r="S68" s="139"/>
      <c r="T68" s="39"/>
    </row>
    <row r="69" customFormat="false" ht="45" hidden="false" customHeight="true" outlineLevel="0" collapsed="false">
      <c r="B69" s="39"/>
      <c r="C69" s="139"/>
      <c r="D69" s="490"/>
      <c r="E69" s="365" t="s">
        <v>14</v>
      </c>
      <c r="F69" s="366" t="s">
        <v>95</v>
      </c>
      <c r="G69" s="366"/>
      <c r="H69" s="192" t="n">
        <f aca="false">I69*6+J69*3+K69*1+L69*0</f>
        <v>13</v>
      </c>
      <c r="I69" s="192" t="n">
        <v>1</v>
      </c>
      <c r="J69" s="192" t="n">
        <v>2</v>
      </c>
      <c r="K69" s="192" t="n">
        <v>1</v>
      </c>
      <c r="L69" s="192" t="n">
        <v>0</v>
      </c>
      <c r="M69" s="367" t="n">
        <f aca="false">(K32+K41+K50+K59)/4</f>
        <v>87.689784969854</v>
      </c>
      <c r="N69" s="492"/>
      <c r="O69" s="492"/>
      <c r="P69" s="492"/>
      <c r="Q69" s="492"/>
      <c r="R69" s="492"/>
      <c r="S69" s="139"/>
      <c r="T69" s="39"/>
    </row>
    <row r="70" customFormat="false" ht="45" hidden="false" customHeight="true" outlineLevel="0" collapsed="false">
      <c r="B70" s="39"/>
      <c r="C70" s="139"/>
      <c r="D70" s="490"/>
      <c r="E70" s="365" t="s">
        <v>29</v>
      </c>
      <c r="F70" s="366" t="s">
        <v>142</v>
      </c>
      <c r="G70" s="366"/>
      <c r="H70" s="192" t="n">
        <f aca="false">I70*6+J70*3+K70*1+L70*0</f>
        <v>6</v>
      </c>
      <c r="I70" s="192" t="n">
        <v>1</v>
      </c>
      <c r="J70" s="192" t="n">
        <v>0</v>
      </c>
      <c r="K70" s="192" t="n">
        <v>0</v>
      </c>
      <c r="L70" s="192" t="n">
        <v>3</v>
      </c>
      <c r="M70" s="367" t="n">
        <f aca="false">(K33+K42+K51+K60)/4</f>
        <v>32.7041715628672</v>
      </c>
      <c r="N70" s="492"/>
      <c r="O70" s="492"/>
      <c r="P70" s="492"/>
      <c r="Q70" s="492"/>
      <c r="R70" s="492"/>
      <c r="S70" s="139"/>
      <c r="T70" s="39"/>
    </row>
    <row r="71" customFormat="false" ht="45" hidden="false" customHeight="true" outlineLevel="0" collapsed="false">
      <c r="B71" s="39"/>
      <c r="C71" s="139"/>
      <c r="D71" s="490"/>
      <c r="E71" s="493" t="s">
        <v>16</v>
      </c>
      <c r="F71" s="494" t="s">
        <v>98</v>
      </c>
      <c r="G71" s="494"/>
      <c r="H71" s="370" t="n">
        <f aca="false">I71*6+J71*3+K71*1+L71*0</f>
        <v>6</v>
      </c>
      <c r="I71" s="370" t="n">
        <v>0</v>
      </c>
      <c r="J71" s="370" t="n">
        <v>1</v>
      </c>
      <c r="K71" s="370" t="n">
        <v>3</v>
      </c>
      <c r="L71" s="370" t="n">
        <v>0</v>
      </c>
      <c r="M71" s="371" t="n">
        <f aca="false">(K34+K43+K52+K61)/4</f>
        <v>66.2791309909745</v>
      </c>
      <c r="N71" s="492"/>
      <c r="O71" s="492"/>
      <c r="P71" s="492"/>
      <c r="Q71" s="492"/>
      <c r="R71" s="492"/>
      <c r="S71" s="139"/>
      <c r="T71" s="39"/>
      <c r="V71" s="439"/>
      <c r="W71" s="439"/>
      <c r="X71" s="167"/>
      <c r="Y71" s="167"/>
      <c r="Z71" s="495"/>
      <c r="AA71" s="495"/>
      <c r="AB71" s="495"/>
      <c r="AC71" s="495"/>
      <c r="AD71" s="495"/>
    </row>
    <row r="72" customFormat="false" ht="15" hidden="false" customHeight="false" outlineLevel="0" collapsed="false">
      <c r="B72" s="39"/>
      <c r="C72" s="139"/>
      <c r="D72" s="139"/>
      <c r="E72" s="490"/>
      <c r="F72" s="496"/>
      <c r="G72" s="496"/>
      <c r="H72" s="497"/>
      <c r="I72" s="497"/>
      <c r="J72" s="497"/>
      <c r="K72" s="497"/>
      <c r="L72" s="497"/>
      <c r="M72" s="498"/>
      <c r="N72" s="492"/>
      <c r="O72" s="492"/>
      <c r="P72" s="492"/>
      <c r="Q72" s="492"/>
      <c r="R72" s="492"/>
      <c r="S72" s="139"/>
      <c r="T72" s="39"/>
    </row>
    <row r="73" customFormat="false" ht="15" hidden="false" customHeight="true" outlineLevel="0" collapsed="false">
      <c r="B73" s="39"/>
      <c r="C73" s="39"/>
      <c r="D73" s="499"/>
      <c r="E73" s="499"/>
      <c r="F73" s="472"/>
      <c r="G73" s="472"/>
      <c r="H73" s="499"/>
      <c r="I73" s="499"/>
      <c r="J73" s="499"/>
      <c r="K73" s="39"/>
      <c r="L73" s="39"/>
      <c r="M73" s="39"/>
      <c r="N73" s="39"/>
      <c r="O73" s="39"/>
      <c r="P73" s="39"/>
      <c r="Q73" s="39"/>
      <c r="R73" s="39"/>
      <c r="S73" s="39"/>
      <c r="T73" s="39"/>
    </row>
    <row r="74" customFormat="false" ht="15" hidden="false" customHeight="true" outlineLevel="0" collapsed="false">
      <c r="D74" s="500"/>
    </row>
    <row r="75" customFormat="false" ht="15" hidden="false" customHeight="false" outlineLevel="0" collapsed="false">
      <c r="D75" s="38"/>
      <c r="E75" s="38"/>
      <c r="F75" s="38"/>
      <c r="G75" s="38"/>
      <c r="H75" s="38"/>
      <c r="I75" s="38"/>
      <c r="J75" s="38"/>
      <c r="K75" s="262"/>
    </row>
    <row r="76" customFormat="false" ht="15" hidden="false" customHeight="false" outlineLevel="0" collapsed="false">
      <c r="B76" s="39"/>
      <c r="C76" s="39"/>
      <c r="D76" s="40"/>
      <c r="E76" s="40"/>
      <c r="F76" s="40"/>
      <c r="G76" s="40"/>
      <c r="H76" s="39"/>
      <c r="I76" s="39"/>
      <c r="J76" s="39"/>
      <c r="K76" s="39"/>
      <c r="L76" s="39"/>
      <c r="M76" s="39"/>
      <c r="N76" s="39"/>
      <c r="O76" s="39"/>
      <c r="P76" s="39"/>
      <c r="Q76" s="39"/>
      <c r="R76" s="39"/>
      <c r="S76" s="39"/>
      <c r="T76" s="39"/>
    </row>
    <row r="77" customFormat="false" ht="31.5" hidden="false" customHeight="false" outlineLevel="0" collapsed="false">
      <c r="B77" s="39"/>
      <c r="C77" s="442" t="s">
        <v>125</v>
      </c>
      <c r="D77" s="442"/>
      <c r="E77" s="442"/>
      <c r="F77" s="442"/>
      <c r="G77" s="442"/>
      <c r="H77" s="442"/>
      <c r="I77" s="442"/>
      <c r="J77" s="442"/>
      <c r="K77" s="442"/>
      <c r="L77" s="442"/>
      <c r="M77" s="442"/>
      <c r="N77" s="442"/>
      <c r="O77" s="442"/>
      <c r="P77" s="442"/>
      <c r="Q77" s="442"/>
      <c r="R77" s="442"/>
      <c r="S77" s="442"/>
      <c r="T77" s="39"/>
    </row>
    <row r="78" customFormat="false" ht="15.75" hidden="false" customHeight="false" outlineLevel="0" collapsed="false">
      <c r="B78" s="39"/>
      <c r="T78" s="39"/>
    </row>
    <row r="79" customFormat="false" ht="45" hidden="false" customHeight="true" outlineLevel="0" collapsed="false">
      <c r="B79" s="39"/>
      <c r="D79" s="263" t="s">
        <v>36</v>
      </c>
      <c r="E79" s="264" t="s">
        <v>92</v>
      </c>
      <c r="F79" s="265" t="s">
        <v>6</v>
      </c>
      <c r="G79" s="265"/>
      <c r="H79" s="266" t="s">
        <v>110</v>
      </c>
      <c r="I79" s="266"/>
      <c r="J79" s="266"/>
      <c r="K79" s="264" t="s">
        <v>71</v>
      </c>
      <c r="L79" s="266" t="s">
        <v>40</v>
      </c>
      <c r="M79" s="266"/>
      <c r="N79" s="266"/>
      <c r="O79" s="266"/>
      <c r="P79" s="266"/>
      <c r="Q79" s="266"/>
      <c r="R79" s="266"/>
      <c r="T79" s="39"/>
    </row>
    <row r="80" customFormat="false" ht="15.75" hidden="false" customHeight="false" outlineLevel="0" collapsed="false">
      <c r="B80" s="39"/>
      <c r="D80" s="263"/>
      <c r="E80" s="264"/>
      <c r="F80" s="265"/>
      <c r="G80" s="265"/>
      <c r="H80" s="267" t="s">
        <v>41</v>
      </c>
      <c r="I80" s="268" t="s">
        <v>42</v>
      </c>
      <c r="J80" s="268" t="s">
        <v>111</v>
      </c>
      <c r="K80" s="267" t="s">
        <v>43</v>
      </c>
      <c r="L80" s="270" t="s">
        <v>44</v>
      </c>
      <c r="M80" s="270" t="s">
        <v>42</v>
      </c>
      <c r="N80" s="443"/>
      <c r="O80" s="443"/>
      <c r="P80" s="443"/>
      <c r="Q80" s="443"/>
      <c r="R80" s="372" t="s">
        <v>111</v>
      </c>
      <c r="T80" s="39"/>
    </row>
    <row r="81" customFormat="false" ht="120" hidden="false" customHeight="false" outlineLevel="0" collapsed="false">
      <c r="B81" s="39"/>
      <c r="D81" s="272" t="str">
        <f aca="false">K8</f>
        <v>Wolfgang Mulser</v>
      </c>
      <c r="E81" s="229" t="s">
        <v>100</v>
      </c>
      <c r="F81" s="54" t="n">
        <v>1</v>
      </c>
      <c r="G81" s="54"/>
      <c r="H81" s="374" t="s">
        <v>157</v>
      </c>
      <c r="I81" s="373" t="s">
        <v>158</v>
      </c>
      <c r="J81" s="173" t="s">
        <v>85</v>
      </c>
      <c r="K81" s="445" t="s">
        <v>126</v>
      </c>
      <c r="L81" s="272" t="s">
        <v>46</v>
      </c>
      <c r="M81" s="276" t="s">
        <v>46</v>
      </c>
      <c r="N81" s="277"/>
      <c r="O81" s="277"/>
      <c r="P81" s="277"/>
      <c r="Q81" s="277"/>
      <c r="R81" s="173" t="s">
        <v>46</v>
      </c>
      <c r="T81" s="39"/>
    </row>
    <row r="82" customFormat="false" ht="102.2" hidden="false" customHeight="false" outlineLevel="0" collapsed="false">
      <c r="B82" s="39"/>
      <c r="D82" s="278" t="str">
        <f aca="false">K9</f>
        <v>Judith Maibaum</v>
      </c>
      <c r="E82" s="376" t="s">
        <v>102</v>
      </c>
      <c r="F82" s="62" t="n">
        <v>2</v>
      </c>
      <c r="G82" s="62"/>
      <c r="H82" s="377" t="s">
        <v>150</v>
      </c>
      <c r="I82" s="376" t="s">
        <v>159</v>
      </c>
      <c r="J82" s="176" t="s">
        <v>152</v>
      </c>
      <c r="K82" s="448" t="s">
        <v>157</v>
      </c>
      <c r="L82" s="377" t="s">
        <v>112</v>
      </c>
      <c r="M82" s="376" t="s">
        <v>128</v>
      </c>
      <c r="N82" s="176" t="s">
        <v>114</v>
      </c>
      <c r="O82" s="283"/>
      <c r="P82" s="283"/>
      <c r="Q82" s="283"/>
      <c r="R82" s="176" t="s">
        <v>114</v>
      </c>
      <c r="T82" s="39"/>
    </row>
    <row r="83" customFormat="false" ht="57.45" hidden="false" customHeight="false" outlineLevel="0" collapsed="false">
      <c r="B83" s="39"/>
      <c r="D83" s="278" t="str">
        <f aca="false">K10</f>
        <v>Markus Hagenauer</v>
      </c>
      <c r="E83" s="376" t="s">
        <v>103</v>
      </c>
      <c r="F83" s="62" t="n">
        <v>3</v>
      </c>
      <c r="G83" s="62"/>
      <c r="H83" s="379" t="s">
        <v>75</v>
      </c>
      <c r="I83" s="376" t="s">
        <v>160</v>
      </c>
      <c r="J83" s="178" t="s">
        <v>85</v>
      </c>
      <c r="K83" s="501" t="s">
        <v>150</v>
      </c>
      <c r="L83" s="278" t="s">
        <v>46</v>
      </c>
      <c r="M83" s="282" t="s">
        <v>46</v>
      </c>
      <c r="N83" s="283"/>
      <c r="O83" s="283"/>
      <c r="P83" s="283"/>
      <c r="Q83" s="283"/>
      <c r="R83" s="176" t="s">
        <v>46</v>
      </c>
      <c r="T83" s="39"/>
    </row>
    <row r="84" customFormat="false" ht="91" hidden="false" customHeight="false" outlineLevel="0" collapsed="false">
      <c r="B84" s="39"/>
      <c r="D84" s="287" t="str">
        <f aca="false">K11</f>
        <v>Andreas Micke</v>
      </c>
      <c r="E84" s="240" t="s">
        <v>144</v>
      </c>
      <c r="F84" s="71" t="n">
        <v>4</v>
      </c>
      <c r="G84" s="71"/>
      <c r="H84" s="381" t="s">
        <v>126</v>
      </c>
      <c r="I84" s="380" t="s">
        <v>155</v>
      </c>
      <c r="J84" s="208" t="s">
        <v>114</v>
      </c>
      <c r="K84" s="502" t="s">
        <v>150</v>
      </c>
      <c r="L84" s="287" t="s">
        <v>46</v>
      </c>
      <c r="M84" s="291" t="s">
        <v>46</v>
      </c>
      <c r="N84" s="292"/>
      <c r="O84" s="292"/>
      <c r="P84" s="292"/>
      <c r="Q84" s="292"/>
      <c r="R84" s="208" t="s">
        <v>46</v>
      </c>
      <c r="T84" s="39"/>
    </row>
    <row r="85" customFormat="false" ht="15" hidden="false" customHeight="false" outlineLevel="0" collapsed="false">
      <c r="B85" s="39"/>
      <c r="T85" s="39"/>
    </row>
    <row r="86" customFormat="false" ht="15.75" hidden="false" customHeight="false" outlineLevel="0" collapsed="false">
      <c r="B86" s="39"/>
      <c r="C86" s="76"/>
      <c r="D86" s="452"/>
      <c r="E86" s="77" t="str">
        <f aca="false">IF(OR(L81="-",L81= ""),H81,L81)</f>
        <v>Egizia</v>
      </c>
      <c r="F86" s="77"/>
      <c r="G86" s="77"/>
      <c r="H86" s="77"/>
      <c r="I86" s="77"/>
      <c r="J86" s="77"/>
      <c r="K86" s="77"/>
      <c r="L86" s="77"/>
      <c r="M86" s="77"/>
      <c r="N86" s="453"/>
      <c r="O86" s="453"/>
      <c r="P86" s="453"/>
      <c r="Q86" s="453"/>
      <c r="R86" s="453"/>
      <c r="S86" s="76"/>
      <c r="T86" s="39"/>
    </row>
    <row r="87" customFormat="false" ht="60" hidden="false" customHeight="true" outlineLevel="0" collapsed="false">
      <c r="B87" s="39"/>
      <c r="C87" s="76"/>
      <c r="D87" s="453"/>
      <c r="E87" s="263" t="s">
        <v>36</v>
      </c>
      <c r="F87" s="383" t="s">
        <v>92</v>
      </c>
      <c r="G87" s="383"/>
      <c r="H87" s="384" t="s">
        <v>52</v>
      </c>
      <c r="I87" s="294" t="s">
        <v>53</v>
      </c>
      <c r="J87" s="295" t="s">
        <v>54</v>
      </c>
      <c r="K87" s="264" t="s">
        <v>55</v>
      </c>
      <c r="L87" s="296" t="s">
        <v>56</v>
      </c>
      <c r="M87" s="294" t="s">
        <v>57</v>
      </c>
      <c r="N87" s="43" t="s">
        <v>58</v>
      </c>
      <c r="O87" s="79" t="s">
        <v>59</v>
      </c>
      <c r="P87" s="79" t="s">
        <v>60</v>
      </c>
      <c r="Q87" s="82" t="s">
        <v>61</v>
      </c>
      <c r="R87" s="453"/>
      <c r="S87" s="76"/>
      <c r="T87" s="39"/>
    </row>
    <row r="88" customFormat="false" ht="45" hidden="false" customHeight="true" outlineLevel="0" collapsed="false">
      <c r="B88" s="39"/>
      <c r="C88" s="76"/>
      <c r="D88" s="455"/>
      <c r="E88" s="503" t="s">
        <v>10</v>
      </c>
      <c r="F88" s="299" t="s">
        <v>100</v>
      </c>
      <c r="G88" s="299"/>
      <c r="H88" s="504" t="s">
        <v>161</v>
      </c>
      <c r="I88" s="182" t="n">
        <v>102</v>
      </c>
      <c r="J88" s="182" t="s">
        <v>46</v>
      </c>
      <c r="K88" s="183" t="n">
        <f aca="false">IF(I88="",0,(I88/I92)*100)</f>
        <v>100</v>
      </c>
      <c r="L88" s="182" t="n">
        <v>1</v>
      </c>
      <c r="M88" s="300" t="n">
        <v>6</v>
      </c>
      <c r="N88" s="301" t="n">
        <f aca="false">IF(L88=1,1,0)</f>
        <v>1</v>
      </c>
      <c r="O88" s="85" t="n">
        <f aca="false">IF(L88=2,1,0)</f>
        <v>0</v>
      </c>
      <c r="P88" s="85" t="n">
        <f aca="false">IF(L88=3,1,0)</f>
        <v>0</v>
      </c>
      <c r="Q88" s="84" t="n">
        <f aca="false">IF(L88=4,1,0)</f>
        <v>0</v>
      </c>
      <c r="R88" s="454"/>
      <c r="S88" s="76"/>
      <c r="T88" s="39"/>
    </row>
    <row r="89" customFormat="false" ht="45" hidden="false" customHeight="true" outlineLevel="0" collapsed="false">
      <c r="B89" s="39"/>
      <c r="C89" s="76"/>
      <c r="D89" s="76"/>
      <c r="E89" s="16" t="s">
        <v>20</v>
      </c>
      <c r="F89" s="304" t="s">
        <v>102</v>
      </c>
      <c r="G89" s="304"/>
      <c r="H89" s="390" t="s">
        <v>162</v>
      </c>
      <c r="I89" s="18" t="n">
        <v>86</v>
      </c>
      <c r="J89" s="328" t="s">
        <v>46</v>
      </c>
      <c r="K89" s="86" t="n">
        <f aca="false">IF(I89="",0,(I89/I92)*100)</f>
        <v>84.3137254901961</v>
      </c>
      <c r="L89" s="18" t="n">
        <v>2</v>
      </c>
      <c r="M89" s="19" t="n">
        <v>3</v>
      </c>
      <c r="N89" s="305" t="n">
        <f aca="false">IF(L89=1,1,0)</f>
        <v>0</v>
      </c>
      <c r="O89" s="88" t="n">
        <f aca="false">IF(L89=2,1,0)</f>
        <v>1</v>
      </c>
      <c r="P89" s="88" t="n">
        <f aca="false">IF(L89=3,1,0)</f>
        <v>0</v>
      </c>
      <c r="Q89" s="87" t="n">
        <f aca="false">IF(L89=4,1,0)</f>
        <v>0</v>
      </c>
      <c r="R89" s="454"/>
      <c r="S89" s="76"/>
      <c r="T89" s="39"/>
    </row>
    <row r="90" customFormat="false" ht="45" hidden="false" customHeight="true" outlineLevel="0" collapsed="false">
      <c r="B90" s="39"/>
      <c r="C90" s="76"/>
      <c r="D90" s="76"/>
      <c r="E90" s="16" t="s">
        <v>22</v>
      </c>
      <c r="F90" s="304" t="s">
        <v>103</v>
      </c>
      <c r="G90" s="304"/>
      <c r="H90" s="390" t="s">
        <v>163</v>
      </c>
      <c r="I90" s="18" t="n">
        <v>77</v>
      </c>
      <c r="J90" s="18" t="s">
        <v>46</v>
      </c>
      <c r="K90" s="86" t="n">
        <f aca="false">IF(I90="",0,(I90/I92)*100)</f>
        <v>75.4901960784314</v>
      </c>
      <c r="L90" s="18" t="n">
        <v>3</v>
      </c>
      <c r="M90" s="19" t="n">
        <v>1</v>
      </c>
      <c r="N90" s="305" t="n">
        <f aca="false">IF(L90=1,1,0)</f>
        <v>0</v>
      </c>
      <c r="O90" s="88" t="n">
        <f aca="false">IF(L90=2,1,0)</f>
        <v>0</v>
      </c>
      <c r="P90" s="88" t="n">
        <f aca="false">IF(L90=3,1,0)</f>
        <v>1</v>
      </c>
      <c r="Q90" s="87" t="n">
        <f aca="false">IF(L90=4,1,0)</f>
        <v>0</v>
      </c>
      <c r="R90" s="454"/>
      <c r="S90" s="76"/>
      <c r="T90" s="39"/>
    </row>
    <row r="91" customFormat="false" ht="45" hidden="false" customHeight="true" outlineLevel="0" collapsed="false">
      <c r="B91" s="39"/>
      <c r="C91" s="76"/>
      <c r="D91" s="76"/>
      <c r="E91" s="20" t="s">
        <v>31</v>
      </c>
      <c r="F91" s="397" t="s">
        <v>105</v>
      </c>
      <c r="G91" s="397"/>
      <c r="H91" s="505" t="s">
        <v>164</v>
      </c>
      <c r="I91" s="22" t="n">
        <v>74</v>
      </c>
      <c r="J91" s="329" t="s">
        <v>46</v>
      </c>
      <c r="K91" s="456" t="n">
        <f aca="false">IF(I91="",0,(I91/I92)*100)</f>
        <v>72.5490196078431</v>
      </c>
      <c r="L91" s="22" t="n">
        <v>4</v>
      </c>
      <c r="M91" s="23" t="n">
        <v>0</v>
      </c>
      <c r="N91" s="310" t="n">
        <f aca="false">IF(L91=1,1,0)</f>
        <v>0</v>
      </c>
      <c r="O91" s="95" t="n">
        <f aca="false">IF(L91=2,1,0)</f>
        <v>0</v>
      </c>
      <c r="P91" s="95" t="n">
        <f aca="false">IF(L91=3,1,0)</f>
        <v>0</v>
      </c>
      <c r="Q91" s="117" t="n">
        <f aca="false">IF(L91=4,1,0)</f>
        <v>1</v>
      </c>
      <c r="R91" s="454"/>
      <c r="S91" s="76"/>
      <c r="T91" s="39"/>
    </row>
    <row r="92" customFormat="false" ht="15.75" hidden="true" customHeight="false" outlineLevel="1" collapsed="false">
      <c r="B92" s="39"/>
      <c r="C92" s="76"/>
      <c r="D92" s="455"/>
      <c r="E92" s="455"/>
      <c r="F92" s="302"/>
      <c r="G92" s="302"/>
      <c r="H92" s="395" t="s">
        <v>62</v>
      </c>
      <c r="I92" s="98" t="n">
        <f aca="false">MAX(I88:I91)</f>
        <v>102</v>
      </c>
      <c r="J92" s="461"/>
      <c r="K92" s="506"/>
      <c r="L92" s="461"/>
      <c r="M92" s="333" t="s">
        <v>63</v>
      </c>
      <c r="N92" s="102" t="n">
        <f aca="false">SUM(N88:N91)</f>
        <v>1</v>
      </c>
      <c r="O92" s="103" t="n">
        <f aca="false">SUM(O88:O91)</f>
        <v>1</v>
      </c>
      <c r="P92" s="102" t="n">
        <f aca="false">SUM(P88:P91)</f>
        <v>1</v>
      </c>
      <c r="Q92" s="104" t="n">
        <f aca="false">SUM(Q88:Q91)</f>
        <v>1</v>
      </c>
      <c r="R92" s="461"/>
      <c r="S92" s="76"/>
      <c r="T92" s="39"/>
    </row>
    <row r="93" customFormat="false" ht="15" hidden="false" customHeight="false" outlineLevel="0" collapsed="false">
      <c r="B93" s="39"/>
      <c r="C93" s="76"/>
      <c r="D93" s="76"/>
      <c r="E93" s="76"/>
      <c r="F93" s="76"/>
      <c r="G93" s="76"/>
      <c r="H93" s="76"/>
      <c r="I93" s="76"/>
      <c r="J93" s="76"/>
      <c r="K93" s="76"/>
      <c r="L93" s="76"/>
      <c r="M93" s="76"/>
      <c r="N93" s="76"/>
      <c r="O93" s="76"/>
      <c r="P93" s="76"/>
      <c r="Q93" s="76"/>
      <c r="R93" s="76"/>
      <c r="S93" s="76"/>
      <c r="T93" s="39"/>
    </row>
    <row r="94" customFormat="false" ht="15" hidden="false" customHeight="false" outlineLevel="0" collapsed="false">
      <c r="B94" s="39"/>
      <c r="T94" s="39"/>
    </row>
    <row r="95" customFormat="false" ht="15.75" hidden="false" customHeight="false" outlineLevel="0" collapsed="false">
      <c r="B95" s="39"/>
      <c r="C95" s="107"/>
      <c r="D95" s="462"/>
      <c r="E95" s="108" t="str">
        <f aca="false">IF(OR(L82="-",L82= ""),H82,L82)</f>
        <v>Terra Mystica</v>
      </c>
      <c r="F95" s="108"/>
      <c r="G95" s="108"/>
      <c r="H95" s="108"/>
      <c r="I95" s="108"/>
      <c r="J95" s="108"/>
      <c r="K95" s="108"/>
      <c r="L95" s="108"/>
      <c r="M95" s="108"/>
      <c r="N95" s="463"/>
      <c r="O95" s="463"/>
      <c r="P95" s="463"/>
      <c r="Q95" s="463"/>
      <c r="R95" s="463"/>
      <c r="S95" s="107"/>
      <c r="T95" s="39"/>
    </row>
    <row r="96" customFormat="false" ht="60" hidden="false" customHeight="true" outlineLevel="0" collapsed="false">
      <c r="B96" s="39"/>
      <c r="C96" s="107"/>
      <c r="D96" s="463"/>
      <c r="E96" s="263" t="s">
        <v>36</v>
      </c>
      <c r="F96" s="266" t="s">
        <v>92</v>
      </c>
      <c r="G96" s="266"/>
      <c r="H96" s="265" t="s">
        <v>52</v>
      </c>
      <c r="I96" s="294" t="s">
        <v>53</v>
      </c>
      <c r="J96" s="295" t="s">
        <v>54</v>
      </c>
      <c r="K96" s="264" t="s">
        <v>77</v>
      </c>
      <c r="L96" s="296" t="s">
        <v>56</v>
      </c>
      <c r="M96" s="294" t="s">
        <v>57</v>
      </c>
      <c r="N96" s="43" t="s">
        <v>58</v>
      </c>
      <c r="O96" s="79" t="s">
        <v>59</v>
      </c>
      <c r="P96" s="79" t="s">
        <v>60</v>
      </c>
      <c r="Q96" s="82" t="s">
        <v>61</v>
      </c>
      <c r="R96" s="463"/>
      <c r="S96" s="107"/>
      <c r="T96" s="39"/>
    </row>
    <row r="97" customFormat="false" ht="45" hidden="false" customHeight="true" outlineLevel="0" collapsed="false">
      <c r="B97" s="39"/>
      <c r="C97" s="107"/>
      <c r="D97" s="465"/>
      <c r="E97" s="272" t="s">
        <v>10</v>
      </c>
      <c r="F97" s="338" t="s">
        <v>100</v>
      </c>
      <c r="G97" s="338"/>
      <c r="H97" s="481" t="s">
        <v>161</v>
      </c>
      <c r="I97" s="11" t="n">
        <v>127</v>
      </c>
      <c r="J97" s="11" t="s">
        <v>46</v>
      </c>
      <c r="K97" s="83" t="n">
        <f aca="false">IF(I97="",0,(I97/I101)*100)</f>
        <v>88.1944444444444</v>
      </c>
      <c r="L97" s="11" t="n">
        <v>3</v>
      </c>
      <c r="M97" s="12" t="n">
        <v>1</v>
      </c>
      <c r="N97" s="301" t="n">
        <f aca="false">IF(L97=1,1,0)</f>
        <v>0</v>
      </c>
      <c r="O97" s="85" t="n">
        <f aca="false">IF(L97=2,1,0)</f>
        <v>0</v>
      </c>
      <c r="P97" s="85" t="n">
        <f aca="false">IF(L97=3,1,0)</f>
        <v>1</v>
      </c>
      <c r="Q97" s="84" t="n">
        <f aca="false">IF(L97=4,1,0)</f>
        <v>0</v>
      </c>
      <c r="R97" s="464"/>
      <c r="S97" s="107"/>
      <c r="T97" s="39"/>
    </row>
    <row r="98" customFormat="false" ht="45" hidden="false" customHeight="true" outlineLevel="0" collapsed="false">
      <c r="B98" s="39"/>
      <c r="C98" s="107"/>
      <c r="D98" s="107"/>
      <c r="E98" s="16" t="s">
        <v>20</v>
      </c>
      <c r="F98" s="304" t="s">
        <v>102</v>
      </c>
      <c r="G98" s="304"/>
      <c r="H98" s="390" t="s">
        <v>164</v>
      </c>
      <c r="I98" s="18" t="n">
        <v>139</v>
      </c>
      <c r="J98" s="328" t="s">
        <v>46</v>
      </c>
      <c r="K98" s="86" t="n">
        <f aca="false">IF(I98="",0,(I98/I101)*100)</f>
        <v>96.5277777777778</v>
      </c>
      <c r="L98" s="18" t="n">
        <v>2</v>
      </c>
      <c r="M98" s="19" t="n">
        <v>3</v>
      </c>
      <c r="N98" s="305" t="n">
        <f aca="false">IF(L98=1,1,0)</f>
        <v>0</v>
      </c>
      <c r="O98" s="88" t="n">
        <f aca="false">IF(L98=2,1,0)</f>
        <v>1</v>
      </c>
      <c r="P98" s="88" t="n">
        <f aca="false">IF(L98=3,1,0)</f>
        <v>0</v>
      </c>
      <c r="Q98" s="87" t="n">
        <f aca="false">IF(L98=4,1,0)</f>
        <v>0</v>
      </c>
      <c r="R98" s="464"/>
      <c r="S98" s="107"/>
      <c r="T98" s="39"/>
    </row>
    <row r="99" customFormat="false" ht="45" hidden="false" customHeight="true" outlineLevel="0" collapsed="false">
      <c r="B99" s="39"/>
      <c r="C99" s="107"/>
      <c r="D99" s="465"/>
      <c r="E99" s="16" t="s">
        <v>22</v>
      </c>
      <c r="F99" s="304" t="s">
        <v>103</v>
      </c>
      <c r="G99" s="304"/>
      <c r="H99" s="390" t="s">
        <v>162</v>
      </c>
      <c r="I99" s="18" t="n">
        <v>108</v>
      </c>
      <c r="J99" s="18" t="s">
        <v>46</v>
      </c>
      <c r="K99" s="86" t="n">
        <f aca="false">IF(I99="",0,(I99/I101)*100)</f>
        <v>75</v>
      </c>
      <c r="L99" s="18" t="n">
        <v>4</v>
      </c>
      <c r="M99" s="19" t="n">
        <v>0</v>
      </c>
      <c r="N99" s="305" t="n">
        <f aca="false">IF(L99=1,1,0)</f>
        <v>0</v>
      </c>
      <c r="O99" s="88" t="n">
        <f aca="false">IF(L99=2,1,0)</f>
        <v>0</v>
      </c>
      <c r="P99" s="88" t="n">
        <f aca="false">IF(L99=3,1,0)</f>
        <v>0</v>
      </c>
      <c r="Q99" s="87" t="n">
        <f aca="false">IF(L99=4,1,0)</f>
        <v>1</v>
      </c>
      <c r="R99" s="464"/>
      <c r="S99" s="107"/>
      <c r="T99" s="39"/>
    </row>
    <row r="100" customFormat="false" ht="45" hidden="false" customHeight="true" outlineLevel="0" collapsed="false">
      <c r="B100" s="39"/>
      <c r="C100" s="107"/>
      <c r="D100" s="107"/>
      <c r="E100" s="89" t="s">
        <v>31</v>
      </c>
      <c r="F100" s="391" t="s">
        <v>144</v>
      </c>
      <c r="G100" s="391"/>
      <c r="H100" s="392" t="s">
        <v>163</v>
      </c>
      <c r="I100" s="91" t="n">
        <v>144</v>
      </c>
      <c r="J100" s="393" t="s">
        <v>46</v>
      </c>
      <c r="K100" s="92" t="n">
        <f aca="false">IF(I100="",0,(I100/I101)*100)</f>
        <v>100</v>
      </c>
      <c r="L100" s="91" t="n">
        <v>1</v>
      </c>
      <c r="M100" s="394" t="n">
        <v>6</v>
      </c>
      <c r="N100" s="310" t="n">
        <f aca="false">IF(L100=1,1,0)</f>
        <v>1</v>
      </c>
      <c r="O100" s="95" t="n">
        <f aca="false">IF(L100=2,1,0)</f>
        <v>0</v>
      </c>
      <c r="P100" s="95" t="n">
        <f aca="false">IF(L100=3,1,0)</f>
        <v>0</v>
      </c>
      <c r="Q100" s="117" t="n">
        <f aca="false">IF(L100=4,1,0)</f>
        <v>0</v>
      </c>
      <c r="R100" s="464"/>
      <c r="S100" s="107"/>
      <c r="T100" s="39"/>
    </row>
    <row r="101" customFormat="false" ht="15.75" hidden="true" customHeight="false" outlineLevel="1" collapsed="false">
      <c r="B101" s="39"/>
      <c r="C101" s="107"/>
      <c r="D101" s="107"/>
      <c r="E101" s="107"/>
      <c r="F101" s="109"/>
      <c r="G101" s="109"/>
      <c r="H101" s="395" t="s">
        <v>62</v>
      </c>
      <c r="I101" s="98" t="n">
        <f aca="false">MAX(I97:I100)</f>
        <v>144</v>
      </c>
      <c r="J101" s="464"/>
      <c r="K101" s="466"/>
      <c r="L101" s="464"/>
      <c r="M101" s="333" t="s">
        <v>63</v>
      </c>
      <c r="N101" s="102" t="n">
        <f aca="false">SUM(N97:N100)</f>
        <v>1</v>
      </c>
      <c r="O101" s="103" t="n">
        <f aca="false">SUM(O97:O100)</f>
        <v>1</v>
      </c>
      <c r="P101" s="102" t="n">
        <f aca="false">SUM(P97:P100)</f>
        <v>1</v>
      </c>
      <c r="Q101" s="104" t="n">
        <f aca="false">SUM(Q97:Q100)</f>
        <v>1</v>
      </c>
      <c r="R101" s="467"/>
      <c r="S101" s="107"/>
      <c r="T101" s="39"/>
    </row>
    <row r="102" customFormat="false" ht="15" hidden="false" customHeight="false" outlineLevel="0" collapsed="false">
      <c r="B102" s="39"/>
      <c r="C102" s="107"/>
      <c r="D102" s="107"/>
      <c r="E102" s="107"/>
      <c r="F102" s="107"/>
      <c r="G102" s="107"/>
      <c r="H102" s="107"/>
      <c r="I102" s="107"/>
      <c r="J102" s="107"/>
      <c r="K102" s="107"/>
      <c r="L102" s="107"/>
      <c r="M102" s="107"/>
      <c r="N102" s="107"/>
      <c r="O102" s="107"/>
      <c r="P102" s="107"/>
      <c r="Q102" s="107"/>
      <c r="R102" s="107"/>
      <c r="S102" s="107"/>
      <c r="T102" s="39"/>
    </row>
    <row r="103" customFormat="false" ht="15" hidden="false" customHeight="false" outlineLevel="0" collapsed="false">
      <c r="B103" s="39"/>
      <c r="D103" s="468"/>
      <c r="E103" s="468"/>
      <c r="F103" s="468"/>
      <c r="G103" s="468"/>
      <c r="H103" s="469"/>
      <c r="I103" s="468"/>
      <c r="J103" s="468"/>
      <c r="T103" s="39"/>
    </row>
    <row r="104" customFormat="false" ht="15" hidden="false" customHeight="true" outlineLevel="0" collapsed="false">
      <c r="B104" s="39"/>
      <c r="C104" s="126"/>
      <c r="D104" s="470"/>
      <c r="E104" s="127" t="str">
        <f aca="false">IF(OR(L83="-",L83= ""),H83,L83)</f>
        <v>Automobiles</v>
      </c>
      <c r="F104" s="127"/>
      <c r="G104" s="127"/>
      <c r="H104" s="127"/>
      <c r="I104" s="127"/>
      <c r="J104" s="127"/>
      <c r="K104" s="127"/>
      <c r="L104" s="127"/>
      <c r="M104" s="127"/>
      <c r="N104" s="471"/>
      <c r="O104" s="471"/>
      <c r="P104" s="471"/>
      <c r="Q104" s="471"/>
      <c r="R104" s="471"/>
      <c r="S104" s="126"/>
      <c r="T104" s="472"/>
    </row>
    <row r="105" customFormat="false" ht="60" hidden="false" customHeight="true" outlineLevel="0" collapsed="false">
      <c r="B105" s="39"/>
      <c r="C105" s="126"/>
      <c r="D105" s="471"/>
      <c r="E105" s="263" t="s">
        <v>36</v>
      </c>
      <c r="F105" s="383" t="s">
        <v>92</v>
      </c>
      <c r="G105" s="383"/>
      <c r="H105" s="384" t="s">
        <v>52</v>
      </c>
      <c r="I105" s="294" t="s">
        <v>53</v>
      </c>
      <c r="J105" s="295" t="s">
        <v>54</v>
      </c>
      <c r="K105" s="264" t="s">
        <v>55</v>
      </c>
      <c r="L105" s="296" t="s">
        <v>56</v>
      </c>
      <c r="M105" s="294" t="s">
        <v>57</v>
      </c>
      <c r="N105" s="43" t="s">
        <v>58</v>
      </c>
      <c r="O105" s="79" t="s">
        <v>59</v>
      </c>
      <c r="P105" s="79" t="s">
        <v>60</v>
      </c>
      <c r="Q105" s="82" t="s">
        <v>61</v>
      </c>
      <c r="R105" s="471"/>
      <c r="S105" s="126"/>
      <c r="T105" s="472"/>
    </row>
    <row r="106" customFormat="false" ht="45" hidden="false" customHeight="true" outlineLevel="0" collapsed="false">
      <c r="B106" s="39"/>
      <c r="C106" s="126"/>
      <c r="D106" s="475"/>
      <c r="E106" s="272" t="s">
        <v>10</v>
      </c>
      <c r="F106" s="338" t="s">
        <v>100</v>
      </c>
      <c r="G106" s="338"/>
      <c r="H106" s="481" t="s">
        <v>164</v>
      </c>
      <c r="I106" s="11" t="s">
        <v>46</v>
      </c>
      <c r="J106" s="11" t="s">
        <v>46</v>
      </c>
      <c r="K106" s="83" t="n">
        <f aca="false">(K90+K97+K117)/3</f>
        <v>78.7282135076253</v>
      </c>
      <c r="L106" s="11" t="n">
        <v>3</v>
      </c>
      <c r="M106" s="12" t="n">
        <v>1</v>
      </c>
      <c r="N106" s="301" t="n">
        <f aca="false">IF(L106=1,1,0)</f>
        <v>0</v>
      </c>
      <c r="O106" s="85" t="n">
        <f aca="false">IF(L106=2,1,0)</f>
        <v>0</v>
      </c>
      <c r="P106" s="85" t="n">
        <f aca="false">IF(L106=3,1,0)</f>
        <v>1</v>
      </c>
      <c r="Q106" s="84" t="n">
        <f aca="false">IF(L106=4,1,0)</f>
        <v>0</v>
      </c>
      <c r="R106" s="474"/>
      <c r="S106" s="126"/>
      <c r="T106" s="39"/>
    </row>
    <row r="107" customFormat="false" ht="45" hidden="false" customHeight="true" outlineLevel="0" collapsed="false">
      <c r="B107" s="39"/>
      <c r="C107" s="126"/>
      <c r="D107" s="126"/>
      <c r="E107" s="16" t="s">
        <v>20</v>
      </c>
      <c r="F107" s="304" t="s">
        <v>102</v>
      </c>
      <c r="G107" s="304"/>
      <c r="H107" s="390" t="s">
        <v>162</v>
      </c>
      <c r="I107" s="18" t="s">
        <v>46</v>
      </c>
      <c r="J107" s="328" t="s">
        <v>46</v>
      </c>
      <c r="K107" s="86" t="n">
        <f aca="false">(K89+K98+K118)/3</f>
        <v>88.6138344226579</v>
      </c>
      <c r="L107" s="18" t="n">
        <v>2</v>
      </c>
      <c r="M107" s="19" t="n">
        <v>3</v>
      </c>
      <c r="N107" s="305" t="n">
        <f aca="false">IF(L107=1,1,0)</f>
        <v>0</v>
      </c>
      <c r="O107" s="88" t="n">
        <f aca="false">IF(L107=2,1,0)</f>
        <v>1</v>
      </c>
      <c r="P107" s="88" t="n">
        <f aca="false">IF(L107=3,1,0)</f>
        <v>0</v>
      </c>
      <c r="Q107" s="87" t="n">
        <f aca="false">IF(L107=4,1,0)</f>
        <v>0</v>
      </c>
      <c r="R107" s="474"/>
      <c r="S107" s="126"/>
      <c r="T107" s="476"/>
    </row>
    <row r="108" customFormat="false" ht="45" hidden="false" customHeight="true" outlineLevel="0" collapsed="false">
      <c r="B108" s="39"/>
      <c r="C108" s="126"/>
      <c r="D108" s="126"/>
      <c r="E108" s="110" t="s">
        <v>22</v>
      </c>
      <c r="F108" s="343" t="s">
        <v>103</v>
      </c>
      <c r="G108" s="343"/>
      <c r="H108" s="507" t="s">
        <v>163</v>
      </c>
      <c r="I108" s="112" t="s">
        <v>46</v>
      </c>
      <c r="J108" s="112" t="s">
        <v>46</v>
      </c>
      <c r="K108" s="113" t="n">
        <v>100</v>
      </c>
      <c r="L108" s="112" t="n">
        <v>1</v>
      </c>
      <c r="M108" s="344" t="n">
        <v>6</v>
      </c>
      <c r="N108" s="305" t="n">
        <f aca="false">IF(L108=1,1,0)</f>
        <v>1</v>
      </c>
      <c r="O108" s="88" t="n">
        <f aca="false">IF(L108=2,1,0)</f>
        <v>0</v>
      </c>
      <c r="P108" s="88" t="n">
        <f aca="false">IF(L108=3,1,0)</f>
        <v>0</v>
      </c>
      <c r="Q108" s="87" t="n">
        <f aca="false">IF(L108=4,1,0)</f>
        <v>0</v>
      </c>
      <c r="R108" s="474"/>
      <c r="S108" s="126"/>
      <c r="T108" s="476"/>
    </row>
    <row r="109" customFormat="false" ht="45" hidden="false" customHeight="true" outlineLevel="0" collapsed="false">
      <c r="B109" s="39"/>
      <c r="C109" s="126"/>
      <c r="D109" s="126"/>
      <c r="E109" s="20" t="s">
        <v>31</v>
      </c>
      <c r="F109" s="397" t="s">
        <v>144</v>
      </c>
      <c r="G109" s="397"/>
      <c r="H109" s="505" t="s">
        <v>161</v>
      </c>
      <c r="I109" s="22" t="s">
        <v>46</v>
      </c>
      <c r="J109" s="329" t="s">
        <v>46</v>
      </c>
      <c r="K109" s="456" t="n">
        <f aca="false">(K91+K99+K115)/3</f>
        <v>68.3496732026144</v>
      </c>
      <c r="L109" s="22" t="n">
        <v>4</v>
      </c>
      <c r="M109" s="23" t="n">
        <v>0</v>
      </c>
      <c r="N109" s="310" t="n">
        <f aca="false">IF(L109=1,1,0)</f>
        <v>0</v>
      </c>
      <c r="O109" s="95" t="n">
        <f aca="false">IF(L109=2,1,0)</f>
        <v>0</v>
      </c>
      <c r="P109" s="95" t="n">
        <f aca="false">IF(L109=3,1,0)</f>
        <v>0</v>
      </c>
      <c r="Q109" s="117" t="n">
        <f aca="false">IF(L109=4,1,0)</f>
        <v>1</v>
      </c>
      <c r="R109" s="474"/>
      <c r="S109" s="126"/>
      <c r="T109" s="476"/>
    </row>
    <row r="110" customFormat="false" ht="15.75" hidden="true" customHeight="false" outlineLevel="1" collapsed="false">
      <c r="B110" s="39"/>
      <c r="C110" s="126"/>
      <c r="D110" s="126"/>
      <c r="E110" s="126"/>
      <c r="F110" s="339"/>
      <c r="G110" s="339"/>
      <c r="H110" s="345" t="s">
        <v>62</v>
      </c>
      <c r="I110" s="98" t="n">
        <f aca="false">MAX(I106:I109)</f>
        <v>0</v>
      </c>
      <c r="J110" s="474"/>
      <c r="K110" s="477"/>
      <c r="L110" s="474"/>
      <c r="M110" s="333" t="s">
        <v>63</v>
      </c>
      <c r="N110" s="102" t="n">
        <f aca="false">SUM(N106:N109)</f>
        <v>1</v>
      </c>
      <c r="O110" s="103" t="n">
        <f aca="false">SUM(O106:O109)</f>
        <v>1</v>
      </c>
      <c r="P110" s="102" t="n">
        <f aca="false">SUM(P106:P109)</f>
        <v>1</v>
      </c>
      <c r="Q110" s="104" t="n">
        <f aca="false">SUM(Q106:Q109)</f>
        <v>1</v>
      </c>
      <c r="R110" s="478"/>
      <c r="S110" s="126"/>
      <c r="T110" s="476"/>
    </row>
    <row r="111" customFormat="false" ht="15" hidden="false" customHeight="false" outlineLevel="0" collapsed="false">
      <c r="B111" s="39"/>
      <c r="C111" s="126"/>
      <c r="D111" s="126"/>
      <c r="E111" s="126"/>
      <c r="F111" s="126"/>
      <c r="G111" s="126"/>
      <c r="H111" s="126"/>
      <c r="I111" s="126"/>
      <c r="J111" s="126"/>
      <c r="K111" s="126"/>
      <c r="L111" s="126"/>
      <c r="M111" s="126"/>
      <c r="N111" s="126"/>
      <c r="O111" s="126"/>
      <c r="P111" s="126"/>
      <c r="Q111" s="126"/>
      <c r="R111" s="126"/>
      <c r="S111" s="126"/>
      <c r="T111" s="476"/>
    </row>
    <row r="112" customFormat="false" ht="15" hidden="false" customHeight="false" outlineLevel="0" collapsed="false">
      <c r="B112" s="39"/>
      <c r="D112" s="468"/>
      <c r="E112" s="468"/>
      <c r="F112" s="468"/>
      <c r="G112" s="468"/>
      <c r="H112" s="469"/>
      <c r="I112" s="468"/>
      <c r="J112" s="468"/>
      <c r="K112" s="468"/>
      <c r="T112" s="39"/>
    </row>
    <row r="113" customFormat="false" ht="15.75" hidden="false" customHeight="false" outlineLevel="0" collapsed="false">
      <c r="B113" s="39"/>
      <c r="C113" s="134"/>
      <c r="D113" s="479"/>
      <c r="E113" s="135" t="str">
        <f aca="false">IF(OR(L84="-",L84= ""),H84,L84)</f>
        <v>Race for the Galaxy</v>
      </c>
      <c r="F113" s="135"/>
      <c r="G113" s="135"/>
      <c r="H113" s="135"/>
      <c r="I113" s="135"/>
      <c r="J113" s="135"/>
      <c r="K113" s="135"/>
      <c r="L113" s="135"/>
      <c r="M113" s="135"/>
      <c r="N113" s="480"/>
      <c r="O113" s="480"/>
      <c r="P113" s="480"/>
      <c r="Q113" s="480"/>
      <c r="R113" s="480"/>
      <c r="S113" s="134"/>
      <c r="T113" s="39"/>
    </row>
    <row r="114" customFormat="false" ht="60" hidden="false" customHeight="true" outlineLevel="0" collapsed="false">
      <c r="B114" s="39"/>
      <c r="C114" s="134"/>
      <c r="D114" s="480"/>
      <c r="E114" s="263" t="s">
        <v>36</v>
      </c>
      <c r="F114" s="266" t="s">
        <v>92</v>
      </c>
      <c r="G114" s="266"/>
      <c r="H114" s="265" t="s">
        <v>52</v>
      </c>
      <c r="I114" s="294" t="s">
        <v>53</v>
      </c>
      <c r="J114" s="295" t="s">
        <v>54</v>
      </c>
      <c r="K114" s="264" t="s">
        <v>55</v>
      </c>
      <c r="L114" s="296" t="s">
        <v>56</v>
      </c>
      <c r="M114" s="294" t="s">
        <v>57</v>
      </c>
      <c r="N114" s="43" t="s">
        <v>58</v>
      </c>
      <c r="O114" s="79" t="s">
        <v>59</v>
      </c>
      <c r="P114" s="79" t="s">
        <v>60</v>
      </c>
      <c r="Q114" s="82" t="s">
        <v>61</v>
      </c>
      <c r="R114" s="480"/>
      <c r="S114" s="134"/>
      <c r="T114" s="39"/>
    </row>
    <row r="115" customFormat="false" ht="45" hidden="false" customHeight="true" outlineLevel="0" collapsed="false">
      <c r="B115" s="39"/>
      <c r="C115" s="134"/>
      <c r="D115" s="134"/>
      <c r="E115" s="272" t="s">
        <v>10</v>
      </c>
      <c r="F115" s="338" t="s">
        <v>100</v>
      </c>
      <c r="G115" s="338"/>
      <c r="H115" s="481" t="s">
        <v>46</v>
      </c>
      <c r="I115" s="11" t="n">
        <v>23</v>
      </c>
      <c r="J115" s="11" t="s">
        <v>46</v>
      </c>
      <c r="K115" s="83" t="n">
        <f aca="false">IF(I115="",0,(I115/I119)*100)</f>
        <v>57.5</v>
      </c>
      <c r="L115" s="11" t="n">
        <v>4</v>
      </c>
      <c r="M115" s="12" t="n">
        <v>0</v>
      </c>
      <c r="N115" s="301" t="n">
        <f aca="false">IF(L115=1,1,0)</f>
        <v>0</v>
      </c>
      <c r="O115" s="85" t="n">
        <f aca="false">IF(L115=2,1,0)</f>
        <v>0</v>
      </c>
      <c r="P115" s="85" t="n">
        <f aca="false">IF(L115=3,1,0)</f>
        <v>0</v>
      </c>
      <c r="Q115" s="84" t="n">
        <f aca="false">IF(L115=4,1,0)</f>
        <v>1</v>
      </c>
      <c r="R115" s="482"/>
      <c r="S115" s="134"/>
      <c r="T115" s="39"/>
    </row>
    <row r="116" customFormat="false" ht="45" hidden="false" customHeight="true" outlineLevel="0" collapsed="false">
      <c r="B116" s="39"/>
      <c r="C116" s="134"/>
      <c r="D116" s="134"/>
      <c r="E116" s="110" t="s">
        <v>20</v>
      </c>
      <c r="F116" s="343" t="s">
        <v>102</v>
      </c>
      <c r="G116" s="343"/>
      <c r="H116" s="507" t="s">
        <v>46</v>
      </c>
      <c r="I116" s="112" t="n">
        <v>40</v>
      </c>
      <c r="J116" s="508" t="s">
        <v>46</v>
      </c>
      <c r="K116" s="113" t="n">
        <f aca="false">IF(I116="",0,(I116/I119)*100)</f>
        <v>100</v>
      </c>
      <c r="L116" s="112" t="n">
        <v>1</v>
      </c>
      <c r="M116" s="344" t="n">
        <v>6</v>
      </c>
      <c r="N116" s="305" t="n">
        <f aca="false">IF(L116=1,1,0)</f>
        <v>1</v>
      </c>
      <c r="O116" s="88" t="n">
        <f aca="false">IF(L116=2,1,0)</f>
        <v>0</v>
      </c>
      <c r="P116" s="88" t="n">
        <f aca="false">IF(L116=3,1,0)</f>
        <v>0</v>
      </c>
      <c r="Q116" s="87" t="n">
        <f aca="false">IF(L116=4,1,0)</f>
        <v>0</v>
      </c>
      <c r="R116" s="482"/>
      <c r="S116" s="134"/>
      <c r="T116" s="39"/>
    </row>
    <row r="117" customFormat="false" ht="45" hidden="false" customHeight="true" outlineLevel="0" collapsed="false">
      <c r="B117" s="39"/>
      <c r="C117" s="134"/>
      <c r="D117" s="134"/>
      <c r="E117" s="16" t="s">
        <v>22</v>
      </c>
      <c r="F117" s="304" t="s">
        <v>103</v>
      </c>
      <c r="G117" s="304"/>
      <c r="H117" s="390" t="s">
        <v>46</v>
      </c>
      <c r="I117" s="18" t="n">
        <v>29</v>
      </c>
      <c r="J117" s="18" t="s">
        <v>46</v>
      </c>
      <c r="K117" s="86" t="n">
        <f aca="false">IF(I117="",0,(I117/I119)*100)</f>
        <v>72.5</v>
      </c>
      <c r="L117" s="18" t="n">
        <v>3</v>
      </c>
      <c r="M117" s="19" t="n">
        <v>1</v>
      </c>
      <c r="N117" s="305" t="n">
        <f aca="false">IF(L117=1,1,0)</f>
        <v>0</v>
      </c>
      <c r="O117" s="88" t="n">
        <f aca="false">IF(L117=2,1,0)</f>
        <v>0</v>
      </c>
      <c r="P117" s="88" t="n">
        <f aca="false">IF(L117=3,1,0)</f>
        <v>1</v>
      </c>
      <c r="Q117" s="87" t="n">
        <f aca="false">IF(L117=4,1,0)</f>
        <v>0</v>
      </c>
      <c r="R117" s="482"/>
      <c r="S117" s="134"/>
      <c r="T117" s="39"/>
    </row>
    <row r="118" customFormat="false" ht="45" hidden="false" customHeight="true" outlineLevel="0" collapsed="false">
      <c r="B118" s="39"/>
      <c r="C118" s="134"/>
      <c r="D118" s="483"/>
      <c r="E118" s="20" t="s">
        <v>31</v>
      </c>
      <c r="F118" s="397" t="s">
        <v>144</v>
      </c>
      <c r="G118" s="397"/>
      <c r="H118" s="505" t="s">
        <v>46</v>
      </c>
      <c r="I118" s="22" t="n">
        <v>34</v>
      </c>
      <c r="J118" s="329" t="s">
        <v>46</v>
      </c>
      <c r="K118" s="456" t="n">
        <f aca="false">IF(I118="",0,(I118/I119)*100)</f>
        <v>85</v>
      </c>
      <c r="L118" s="22" t="n">
        <v>2</v>
      </c>
      <c r="M118" s="23" t="n">
        <v>3</v>
      </c>
      <c r="N118" s="310" t="n">
        <f aca="false">IF(L118=1,1,0)</f>
        <v>0</v>
      </c>
      <c r="O118" s="95" t="n">
        <f aca="false">IF(L118=2,1,0)</f>
        <v>1</v>
      </c>
      <c r="P118" s="95" t="n">
        <f aca="false">IF(L118=3,1,0)</f>
        <v>0</v>
      </c>
      <c r="Q118" s="117" t="n">
        <f aca="false">IF(L118=4,1,0)</f>
        <v>0</v>
      </c>
      <c r="R118" s="482"/>
      <c r="S118" s="134"/>
      <c r="T118" s="39"/>
    </row>
    <row r="119" customFormat="false" ht="15.75" hidden="true" customHeight="false" outlineLevel="1" collapsed="false">
      <c r="B119" s="39"/>
      <c r="C119" s="134"/>
      <c r="D119" s="134"/>
      <c r="E119" s="134"/>
      <c r="F119" s="350"/>
      <c r="G119" s="350"/>
      <c r="H119" s="395" t="s">
        <v>62</v>
      </c>
      <c r="I119" s="98" t="n">
        <f aca="false">MAX(I115:I118)</f>
        <v>40</v>
      </c>
      <c r="J119" s="482"/>
      <c r="K119" s="484"/>
      <c r="L119" s="482"/>
      <c r="M119" s="333" t="s">
        <v>63</v>
      </c>
      <c r="N119" s="102" t="n">
        <f aca="false">SUM(N115:N118)</f>
        <v>1</v>
      </c>
      <c r="O119" s="103" t="n">
        <f aca="false">SUM(O115:O118)</f>
        <v>1</v>
      </c>
      <c r="P119" s="102" t="n">
        <f aca="false">SUM(P115:P118)</f>
        <v>1</v>
      </c>
      <c r="Q119" s="104" t="n">
        <f aca="false">SUM(Q115:Q118)</f>
        <v>1</v>
      </c>
      <c r="R119" s="485"/>
      <c r="S119" s="134"/>
      <c r="T119" s="39"/>
    </row>
    <row r="120" customFormat="false" ht="15" hidden="false" customHeight="false" outlineLevel="0" collapsed="false">
      <c r="B120" s="39"/>
      <c r="C120" s="134"/>
      <c r="D120" s="134"/>
      <c r="E120" s="134"/>
      <c r="F120" s="134"/>
      <c r="G120" s="134"/>
      <c r="H120" s="134"/>
      <c r="I120" s="134"/>
      <c r="J120" s="134"/>
      <c r="K120" s="134"/>
      <c r="L120" s="134"/>
      <c r="M120" s="134"/>
      <c r="N120" s="134"/>
      <c r="O120" s="134"/>
      <c r="P120" s="134"/>
      <c r="Q120" s="134"/>
      <c r="R120" s="134"/>
      <c r="S120" s="134"/>
      <c r="T120" s="39"/>
    </row>
    <row r="121" customFormat="false" ht="15" hidden="false" customHeight="false" outlineLevel="0" collapsed="false">
      <c r="B121" s="39"/>
      <c r="D121" s="262"/>
      <c r="E121" s="262"/>
      <c r="F121" s="262"/>
      <c r="G121" s="262"/>
      <c r="H121" s="262"/>
      <c r="I121" s="262"/>
      <c r="J121" s="262"/>
      <c r="T121" s="39"/>
    </row>
    <row r="122" customFormat="false" ht="24" hidden="false" customHeight="false" outlineLevel="0" collapsed="false">
      <c r="B122" s="39"/>
      <c r="C122" s="139"/>
      <c r="D122" s="486"/>
      <c r="E122" s="140" t="s">
        <v>165</v>
      </c>
      <c r="F122" s="140"/>
      <c r="G122" s="140"/>
      <c r="H122" s="140"/>
      <c r="I122" s="140"/>
      <c r="J122" s="140"/>
      <c r="K122" s="140"/>
      <c r="L122" s="140"/>
      <c r="M122" s="140"/>
      <c r="N122" s="487"/>
      <c r="O122" s="487"/>
      <c r="P122" s="487"/>
      <c r="Q122" s="487"/>
      <c r="R122" s="487"/>
      <c r="S122" s="139"/>
      <c r="T122" s="39"/>
    </row>
    <row r="123" customFormat="false" ht="60" hidden="false" customHeight="true" outlineLevel="0" collapsed="false">
      <c r="B123" s="39"/>
      <c r="C123" s="139"/>
      <c r="D123" s="509"/>
      <c r="E123" s="356" t="s">
        <v>36</v>
      </c>
      <c r="F123" s="357" t="s">
        <v>92</v>
      </c>
      <c r="G123" s="357"/>
      <c r="H123" s="356" t="s">
        <v>57</v>
      </c>
      <c r="I123" s="359" t="s">
        <v>65</v>
      </c>
      <c r="J123" s="358" t="s">
        <v>66</v>
      </c>
      <c r="K123" s="359" t="s">
        <v>67</v>
      </c>
      <c r="L123" s="358" t="s">
        <v>68</v>
      </c>
      <c r="M123" s="357" t="s">
        <v>69</v>
      </c>
      <c r="N123" s="489"/>
      <c r="O123" s="489"/>
      <c r="P123" s="489"/>
      <c r="Q123" s="489"/>
      <c r="R123" s="489"/>
      <c r="S123" s="139"/>
      <c r="T123" s="39"/>
    </row>
    <row r="124" customFormat="false" ht="45" hidden="false" customHeight="true" outlineLevel="0" collapsed="false">
      <c r="B124" s="39"/>
      <c r="C124" s="139"/>
      <c r="D124" s="490"/>
      <c r="E124" s="55" t="s">
        <v>20</v>
      </c>
      <c r="F124" s="510" t="s">
        <v>102</v>
      </c>
      <c r="G124" s="510"/>
      <c r="H124" s="399" t="n">
        <f aca="false">I124*6+J124*3+K124*1+L124*0</f>
        <v>15</v>
      </c>
      <c r="I124" s="511" t="n">
        <v>1</v>
      </c>
      <c r="J124" s="511" t="n">
        <v>3</v>
      </c>
      <c r="K124" s="511" t="n">
        <v>0</v>
      </c>
      <c r="L124" s="511" t="n">
        <v>0</v>
      </c>
      <c r="M124" s="364" t="n">
        <f aca="false">(K89+K98+K107+K116)/4</f>
        <v>92.3638344226579</v>
      </c>
      <c r="N124" s="492"/>
      <c r="O124" s="492"/>
      <c r="P124" s="492"/>
      <c r="Q124" s="492"/>
      <c r="R124" s="492"/>
      <c r="S124" s="139"/>
      <c r="T124" s="39"/>
    </row>
    <row r="125" customFormat="false" ht="45" hidden="false" customHeight="true" outlineLevel="0" collapsed="false">
      <c r="B125" s="39"/>
      <c r="C125" s="139"/>
      <c r="D125" s="139"/>
      <c r="E125" s="154" t="s">
        <v>31</v>
      </c>
      <c r="F125" s="512" t="s">
        <v>144</v>
      </c>
      <c r="G125" s="512"/>
      <c r="H125" s="400" t="n">
        <f aca="false">I125*6+J125*3+K125*1+L125*0</f>
        <v>9</v>
      </c>
      <c r="I125" s="157" t="n">
        <v>1</v>
      </c>
      <c r="J125" s="157" t="n">
        <v>1</v>
      </c>
      <c r="K125" s="157" t="n">
        <v>0</v>
      </c>
      <c r="L125" s="157" t="n">
        <v>2</v>
      </c>
      <c r="M125" s="367" t="n">
        <f aca="false">(K91+K100+K109+K118)/4</f>
        <v>81.4746732026144</v>
      </c>
      <c r="N125" s="492"/>
      <c r="O125" s="492"/>
      <c r="P125" s="492"/>
      <c r="Q125" s="492"/>
      <c r="R125" s="492"/>
      <c r="S125" s="139"/>
      <c r="T125" s="39"/>
      <c r="X125" s="120"/>
      <c r="Y125" s="120"/>
      <c r="Z125" s="513"/>
      <c r="AA125" s="513"/>
      <c r="AB125" s="514"/>
      <c r="AC125" s="514"/>
      <c r="AD125" s="514"/>
    </row>
    <row r="126" customFormat="false" ht="45" hidden="false" customHeight="true" outlineLevel="0" collapsed="false">
      <c r="B126" s="39"/>
      <c r="C126" s="139"/>
      <c r="D126" s="139"/>
      <c r="E126" s="515" t="s">
        <v>10</v>
      </c>
      <c r="F126" s="512" t="s">
        <v>100</v>
      </c>
      <c r="G126" s="512"/>
      <c r="H126" s="400" t="n">
        <f aca="false">I126*6+J126*3+K126*1+L126*0</f>
        <v>8</v>
      </c>
      <c r="I126" s="400" t="n">
        <v>1</v>
      </c>
      <c r="J126" s="400" t="n">
        <v>0</v>
      </c>
      <c r="K126" s="400" t="n">
        <v>2</v>
      </c>
      <c r="L126" s="400" t="n">
        <v>1</v>
      </c>
      <c r="M126" s="367" t="n">
        <f aca="false">(K88+K97+K106+K115)/4</f>
        <v>81.1056644880174</v>
      </c>
      <c r="N126" s="492"/>
      <c r="O126" s="492"/>
      <c r="P126" s="492"/>
      <c r="Q126" s="492"/>
      <c r="R126" s="492"/>
      <c r="S126" s="139"/>
      <c r="T126" s="39"/>
    </row>
    <row r="127" customFormat="false" ht="45" hidden="false" customHeight="true" outlineLevel="0" collapsed="false">
      <c r="B127" s="39"/>
      <c r="C127" s="139"/>
      <c r="D127" s="139"/>
      <c r="E127" s="401" t="s">
        <v>22</v>
      </c>
      <c r="F127" s="516" t="s">
        <v>103</v>
      </c>
      <c r="G127" s="516"/>
      <c r="H127" s="402" t="n">
        <f aca="false">I127*6+J127*3+K127*1+L127*0</f>
        <v>8</v>
      </c>
      <c r="I127" s="403" t="n">
        <v>1</v>
      </c>
      <c r="J127" s="403" t="n">
        <v>0</v>
      </c>
      <c r="K127" s="403" t="n">
        <v>2</v>
      </c>
      <c r="L127" s="403" t="n">
        <v>1</v>
      </c>
      <c r="M127" s="371" t="n">
        <f aca="false">(K90+K99+K108+K117)/4</f>
        <v>80.7475490196078</v>
      </c>
      <c r="N127" s="492"/>
      <c r="O127" s="492"/>
      <c r="P127" s="492"/>
      <c r="Q127" s="492"/>
      <c r="R127" s="492"/>
      <c r="S127" s="139"/>
      <c r="T127" s="39"/>
    </row>
    <row r="128" customFormat="false" ht="15" hidden="false" customHeight="false" outlineLevel="0" collapsed="false">
      <c r="B128" s="39"/>
      <c r="C128" s="139"/>
      <c r="D128" s="139"/>
      <c r="E128" s="139"/>
      <c r="F128" s="139"/>
      <c r="G128" s="139"/>
      <c r="H128" s="139"/>
      <c r="I128" s="139"/>
      <c r="J128" s="139"/>
      <c r="K128" s="139"/>
      <c r="L128" s="139"/>
      <c r="M128" s="139"/>
      <c r="N128" s="492"/>
      <c r="O128" s="492"/>
      <c r="P128" s="492"/>
      <c r="Q128" s="492"/>
      <c r="R128" s="492"/>
      <c r="S128" s="139"/>
      <c r="T128" s="39"/>
    </row>
    <row r="129" customFormat="false" ht="15" hidden="false" customHeight="true" outlineLevel="0" collapsed="false">
      <c r="B129" s="39"/>
      <c r="C129" s="39"/>
      <c r="D129" s="499"/>
      <c r="E129" s="499"/>
      <c r="F129" s="472"/>
      <c r="G129" s="472"/>
      <c r="H129" s="499"/>
      <c r="I129" s="499"/>
      <c r="J129" s="499"/>
      <c r="K129" s="39"/>
      <c r="L129" s="39"/>
      <c r="M129" s="39"/>
      <c r="N129" s="39"/>
      <c r="O129" s="39"/>
      <c r="P129" s="39"/>
      <c r="Q129" s="39"/>
      <c r="R129" s="39"/>
      <c r="S129" s="39"/>
      <c r="T129" s="39"/>
    </row>
    <row r="132" customFormat="false" ht="15" hidden="false" customHeight="false" outlineLevel="0" collapsed="false">
      <c r="B132" s="39"/>
      <c r="C132" s="39"/>
      <c r="D132" s="40"/>
      <c r="E132" s="40"/>
      <c r="F132" s="40"/>
      <c r="G132" s="40"/>
      <c r="H132" s="39"/>
      <c r="I132" s="39"/>
      <c r="J132" s="39"/>
      <c r="K132" s="39"/>
      <c r="L132" s="39"/>
      <c r="M132" s="39"/>
      <c r="N132" s="39"/>
      <c r="O132" s="39"/>
      <c r="P132" s="39"/>
      <c r="Q132" s="39"/>
      <c r="R132" s="39"/>
      <c r="S132" s="39"/>
      <c r="T132" s="39"/>
    </row>
    <row r="133" customFormat="false" ht="31.5" hidden="false" customHeight="false" outlineLevel="0" collapsed="false">
      <c r="B133" s="39"/>
      <c r="C133" s="442" t="s">
        <v>166</v>
      </c>
      <c r="D133" s="442"/>
      <c r="E133" s="442"/>
      <c r="F133" s="442"/>
      <c r="G133" s="442"/>
      <c r="H133" s="442"/>
      <c r="I133" s="442"/>
      <c r="J133" s="442"/>
      <c r="K133" s="442"/>
      <c r="L133" s="442"/>
      <c r="M133" s="442"/>
      <c r="N133" s="442"/>
      <c r="O133" s="442"/>
      <c r="P133" s="442"/>
      <c r="Q133" s="442"/>
      <c r="R133" s="442"/>
      <c r="S133" s="442"/>
      <c r="T133" s="39"/>
    </row>
    <row r="134" customFormat="false" ht="15.75" hidden="false" customHeight="false" outlineLevel="0" collapsed="false">
      <c r="B134" s="39"/>
      <c r="T134" s="39"/>
    </row>
    <row r="135" customFormat="false" ht="45" hidden="false" customHeight="true" outlineLevel="0" collapsed="false">
      <c r="B135" s="39"/>
      <c r="D135" s="263" t="s">
        <v>36</v>
      </c>
      <c r="E135" s="264" t="s">
        <v>92</v>
      </c>
      <c r="F135" s="265" t="s">
        <v>6</v>
      </c>
      <c r="G135" s="265"/>
      <c r="H135" s="266" t="s">
        <v>110</v>
      </c>
      <c r="I135" s="266"/>
      <c r="J135" s="266"/>
      <c r="K135" s="264" t="s">
        <v>71</v>
      </c>
      <c r="L135" s="266" t="s">
        <v>40</v>
      </c>
      <c r="M135" s="266"/>
      <c r="N135" s="266"/>
      <c r="O135" s="266"/>
      <c r="P135" s="266"/>
      <c r="Q135" s="266"/>
      <c r="R135" s="266"/>
      <c r="T135" s="39"/>
    </row>
    <row r="136" customFormat="false" ht="15.75" hidden="false" customHeight="false" outlineLevel="0" collapsed="false">
      <c r="B136" s="39"/>
      <c r="D136" s="263"/>
      <c r="E136" s="264"/>
      <c r="F136" s="265"/>
      <c r="G136" s="265"/>
      <c r="H136" s="267" t="s">
        <v>41</v>
      </c>
      <c r="I136" s="268" t="s">
        <v>42</v>
      </c>
      <c r="J136" s="268" t="s">
        <v>111</v>
      </c>
      <c r="K136" s="267" t="s">
        <v>43</v>
      </c>
      <c r="L136" s="270" t="s">
        <v>44</v>
      </c>
      <c r="M136" s="270" t="s">
        <v>42</v>
      </c>
      <c r="N136" s="443"/>
      <c r="O136" s="443"/>
      <c r="P136" s="443"/>
      <c r="Q136" s="443"/>
      <c r="R136" s="372" t="s">
        <v>111</v>
      </c>
      <c r="T136" s="39"/>
    </row>
    <row r="137" customFormat="false" ht="165" hidden="false" customHeight="false" outlineLevel="0" collapsed="false">
      <c r="B137" s="39"/>
      <c r="D137" s="517" t="str">
        <f aca="false">D12</f>
        <v>Alex Ulbricht</v>
      </c>
      <c r="E137" s="229" t="s">
        <v>101</v>
      </c>
      <c r="F137" s="12" t="n">
        <v>1</v>
      </c>
      <c r="G137" s="12"/>
      <c r="H137" s="405" t="s">
        <v>167</v>
      </c>
      <c r="I137" s="373" t="s">
        <v>168</v>
      </c>
      <c r="J137" s="202" t="s">
        <v>114</v>
      </c>
      <c r="K137" s="406" t="s">
        <v>50</v>
      </c>
      <c r="L137" s="272" t="s">
        <v>46</v>
      </c>
      <c r="M137" s="276" t="s">
        <v>46</v>
      </c>
      <c r="N137" s="277"/>
      <c r="O137" s="277"/>
      <c r="P137" s="277"/>
      <c r="Q137" s="277"/>
      <c r="R137" s="173" t="s">
        <v>46</v>
      </c>
      <c r="T137" s="39"/>
    </row>
    <row r="138" customFormat="false" ht="45" hidden="false" customHeight="false" outlineLevel="0" collapsed="false">
      <c r="B138" s="39"/>
      <c r="D138" s="518" t="str">
        <f aca="false">D13</f>
        <v>Miriam Dirler</v>
      </c>
      <c r="E138" s="408" t="s">
        <v>145</v>
      </c>
      <c r="F138" s="19" t="n">
        <v>2</v>
      </c>
      <c r="G138" s="19"/>
      <c r="H138" s="409" t="s">
        <v>134</v>
      </c>
      <c r="I138" s="408" t="s">
        <v>46</v>
      </c>
      <c r="J138" s="410" t="s">
        <v>85</v>
      </c>
      <c r="K138" s="411" t="s">
        <v>50</v>
      </c>
      <c r="L138" s="412" t="s">
        <v>46</v>
      </c>
      <c r="M138" s="413" t="s">
        <v>46</v>
      </c>
      <c r="N138" s="414"/>
      <c r="O138" s="414"/>
      <c r="P138" s="414"/>
      <c r="Q138" s="414"/>
      <c r="R138" s="415" t="s">
        <v>46</v>
      </c>
      <c r="T138" s="39"/>
    </row>
    <row r="139" customFormat="false" ht="46.25" hidden="false" customHeight="false" outlineLevel="0" collapsed="false">
      <c r="B139" s="39"/>
      <c r="D139" s="519" t="str">
        <f aca="false">D14</f>
        <v>Kai Maibaum</v>
      </c>
      <c r="E139" s="308" t="s">
        <v>97</v>
      </c>
      <c r="F139" s="23" t="n">
        <v>3</v>
      </c>
      <c r="G139" s="23"/>
      <c r="H139" s="520" t="s">
        <v>169</v>
      </c>
      <c r="I139" s="380" t="s">
        <v>170</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T140" s="39"/>
    </row>
    <row r="141" customFormat="false" ht="15.75" hidden="false" customHeight="false" outlineLevel="0" collapsed="false">
      <c r="B141" s="39"/>
      <c r="C141" s="76"/>
      <c r="D141" s="452"/>
      <c r="E141" s="77" t="str">
        <f aca="false">IF(OR(L137="-",L137= ""),H137,L137)</f>
        <v>Puerto Rico</v>
      </c>
      <c r="F141" s="77"/>
      <c r="G141" s="77"/>
      <c r="H141" s="77"/>
      <c r="I141" s="77"/>
      <c r="J141" s="77"/>
      <c r="K141" s="77"/>
      <c r="L141" s="77"/>
      <c r="M141" s="77"/>
      <c r="N141" s="453"/>
      <c r="O141" s="453"/>
      <c r="P141" s="453"/>
      <c r="Q141" s="453"/>
      <c r="R141" s="453"/>
      <c r="S141" s="76"/>
      <c r="T141" s="39"/>
    </row>
    <row r="142" customFormat="false" ht="60" hidden="false" customHeight="true" outlineLevel="0" collapsed="false">
      <c r="B142" s="39"/>
      <c r="C142" s="76"/>
      <c r="D142" s="453"/>
      <c r="E142" s="263" t="s">
        <v>36</v>
      </c>
      <c r="F142" s="266" t="s">
        <v>92</v>
      </c>
      <c r="G142" s="266"/>
      <c r="H142" s="265" t="s">
        <v>52</v>
      </c>
      <c r="I142" s="294" t="s">
        <v>53</v>
      </c>
      <c r="J142" s="295" t="s">
        <v>54</v>
      </c>
      <c r="K142" s="264" t="s">
        <v>55</v>
      </c>
      <c r="L142" s="296" t="s">
        <v>56</v>
      </c>
      <c r="M142" s="294" t="s">
        <v>57</v>
      </c>
      <c r="N142" s="43" t="s">
        <v>58</v>
      </c>
      <c r="O142" s="79" t="s">
        <v>59</v>
      </c>
      <c r="P142" s="79" t="s">
        <v>60</v>
      </c>
      <c r="Q142" s="453"/>
      <c r="R142" s="453"/>
      <c r="S142" s="76"/>
      <c r="T142" s="39"/>
    </row>
    <row r="143" customFormat="false" ht="45" hidden="false" customHeight="true" outlineLevel="0" collapsed="false">
      <c r="B143" s="39"/>
      <c r="C143" s="76"/>
      <c r="D143" s="76"/>
      <c r="E143" s="180" t="s">
        <v>27</v>
      </c>
      <c r="F143" s="521" t="s">
        <v>101</v>
      </c>
      <c r="G143" s="521"/>
      <c r="H143" s="182" t="n">
        <v>3</v>
      </c>
      <c r="I143" s="182" t="n">
        <v>83</v>
      </c>
      <c r="J143" s="182" t="s">
        <v>46</v>
      </c>
      <c r="K143" s="183" t="n">
        <f aca="false">IF(I143="",0,(I143/I146)*100)</f>
        <v>100</v>
      </c>
      <c r="L143" s="182" t="n">
        <v>1</v>
      </c>
      <c r="M143" s="300" t="n">
        <v>6</v>
      </c>
      <c r="N143" s="301" t="n">
        <f aca="false">IF(L143=1,1,0)</f>
        <v>1</v>
      </c>
      <c r="O143" s="84" t="n">
        <f aca="false">IF(L143=2,1,0)</f>
        <v>0</v>
      </c>
      <c r="P143" s="84" t="n">
        <f aca="false">IF(L143=3,1,0)</f>
        <v>0</v>
      </c>
      <c r="Q143" s="454"/>
      <c r="R143" s="454"/>
      <c r="S143" s="76"/>
      <c r="T143" s="39"/>
    </row>
    <row r="144" customFormat="false" ht="45" hidden="false" customHeight="true" outlineLevel="0" collapsed="false">
      <c r="B144" s="39"/>
      <c r="C144" s="76"/>
      <c r="D144" s="76"/>
      <c r="E144" s="522" t="s">
        <v>12</v>
      </c>
      <c r="F144" s="523" t="s">
        <v>145</v>
      </c>
      <c r="G144" s="523"/>
      <c r="H144" s="244" t="n">
        <v>2</v>
      </c>
      <c r="I144" s="244" t="n">
        <v>42</v>
      </c>
      <c r="J144" s="244"/>
      <c r="K144" s="524" t="n">
        <f aca="false">IF(I144="",0,(I144/I146)*100)</f>
        <v>50.6024096385542</v>
      </c>
      <c r="L144" s="244" t="n">
        <v>3</v>
      </c>
      <c r="M144" s="525" t="n">
        <v>0</v>
      </c>
      <c r="N144" s="526" t="n">
        <f aca="false">IF(L144=1,1,0)</f>
        <v>0</v>
      </c>
      <c r="O144" s="527" t="n">
        <f aca="false">IF(L144=2,1,0)</f>
        <v>0</v>
      </c>
      <c r="P144" s="527" t="n">
        <f aca="false">IF(L144=3,1,0)</f>
        <v>1</v>
      </c>
      <c r="Q144" s="454"/>
      <c r="R144" s="454"/>
      <c r="S144" s="76"/>
      <c r="T144" s="39"/>
    </row>
    <row r="145" customFormat="false" ht="45" hidden="false" customHeight="true" outlineLevel="0" collapsed="false">
      <c r="B145" s="39"/>
      <c r="C145" s="76"/>
      <c r="D145" s="76"/>
      <c r="E145" s="20" t="s">
        <v>96</v>
      </c>
      <c r="F145" s="397" t="s">
        <v>97</v>
      </c>
      <c r="G145" s="397"/>
      <c r="H145" s="22" t="n">
        <v>1</v>
      </c>
      <c r="I145" s="22" t="n">
        <v>55</v>
      </c>
      <c r="J145" s="22" t="s">
        <v>46</v>
      </c>
      <c r="K145" s="456" t="n">
        <f aca="false">IF(I145="",0,(I145/I146)*100)</f>
        <v>66.2650602409639</v>
      </c>
      <c r="L145" s="22" t="n">
        <v>2</v>
      </c>
      <c r="M145" s="23" t="n">
        <v>3</v>
      </c>
      <c r="N145" s="310" t="n">
        <f aca="false">IF(L145=1,1,0)</f>
        <v>0</v>
      </c>
      <c r="O145" s="117" t="n">
        <f aca="false">IF(L145=2,1,0)</f>
        <v>1</v>
      </c>
      <c r="P145" s="117" t="n">
        <f aca="false">IF(L145=3,1,0)</f>
        <v>0</v>
      </c>
      <c r="Q145" s="454"/>
      <c r="R145" s="454"/>
      <c r="S145" s="76"/>
      <c r="T145" s="39"/>
    </row>
    <row r="146" customFormat="false" ht="15.75" hidden="true" customHeight="false" outlineLevel="1" collapsed="false">
      <c r="B146" s="39"/>
      <c r="C146" s="76"/>
      <c r="D146" s="455"/>
      <c r="E146" s="455"/>
      <c r="F146" s="302"/>
      <c r="G146" s="302"/>
      <c r="H146" s="395" t="s">
        <v>62</v>
      </c>
      <c r="I146" s="98" t="n">
        <f aca="false">MAX(I143:I145)</f>
        <v>83</v>
      </c>
      <c r="J146" s="461"/>
      <c r="K146" s="506"/>
      <c r="L146" s="461"/>
      <c r="M146" s="333" t="s">
        <v>63</v>
      </c>
      <c r="N146" s="102" t="n">
        <f aca="false">SUM(N143:N145)</f>
        <v>1</v>
      </c>
      <c r="O146" s="103" t="n">
        <f aca="false">SUM(O143:O145)</f>
        <v>1</v>
      </c>
      <c r="P146" s="102" t="n">
        <f aca="false">SUM(P143:P145)</f>
        <v>1</v>
      </c>
      <c r="Q146" s="461"/>
      <c r="R146" s="461"/>
      <c r="S146" s="76"/>
      <c r="T146" s="39"/>
    </row>
    <row r="147" customFormat="false" ht="15" hidden="false" customHeight="false" outlineLevel="0" collapsed="false">
      <c r="B147" s="39"/>
      <c r="C147" s="76"/>
      <c r="D147" s="76"/>
      <c r="E147" s="76"/>
      <c r="F147" s="76"/>
      <c r="G147" s="76"/>
      <c r="H147" s="76"/>
      <c r="I147" s="76"/>
      <c r="J147" s="76"/>
      <c r="K147" s="76"/>
      <c r="L147" s="76"/>
      <c r="M147" s="76"/>
      <c r="N147" s="76"/>
      <c r="O147" s="76"/>
      <c r="P147" s="76"/>
      <c r="Q147" s="76"/>
      <c r="R147" s="76"/>
      <c r="S147" s="76"/>
      <c r="T147" s="39"/>
    </row>
    <row r="148" customFormat="false" ht="15" hidden="false" customHeight="false" outlineLevel="0" collapsed="false">
      <c r="B148" s="39"/>
      <c r="T148" s="39"/>
    </row>
    <row r="149" customFormat="false" ht="15.75" hidden="false" customHeight="false" outlineLevel="0" collapsed="false">
      <c r="B149" s="39"/>
      <c r="C149" s="107"/>
      <c r="D149" s="462"/>
      <c r="E149" s="108" t="str">
        <f aca="false">IF(OR(L138="-",L138= ""),H138,L138)</f>
        <v>Stone Age</v>
      </c>
      <c r="F149" s="108"/>
      <c r="G149" s="108"/>
      <c r="H149" s="108"/>
      <c r="I149" s="108"/>
      <c r="J149" s="108"/>
      <c r="K149" s="108"/>
      <c r="L149" s="108"/>
      <c r="M149" s="108"/>
      <c r="N149" s="463"/>
      <c r="O149" s="463"/>
      <c r="P149" s="463"/>
      <c r="Q149" s="463"/>
      <c r="R149" s="463"/>
      <c r="S149" s="107"/>
      <c r="T149" s="39"/>
    </row>
    <row r="150" customFormat="false" ht="60" hidden="false" customHeight="true" outlineLevel="0" collapsed="false">
      <c r="B150" s="39"/>
      <c r="C150" s="107"/>
      <c r="D150" s="463"/>
      <c r="E150" s="263" t="s">
        <v>36</v>
      </c>
      <c r="F150" s="266" t="s">
        <v>92</v>
      </c>
      <c r="G150" s="266"/>
      <c r="H150" s="265" t="s">
        <v>52</v>
      </c>
      <c r="I150" s="294" t="s">
        <v>53</v>
      </c>
      <c r="J150" s="295" t="s">
        <v>54</v>
      </c>
      <c r="K150" s="264" t="s">
        <v>55</v>
      </c>
      <c r="L150" s="296" t="s">
        <v>56</v>
      </c>
      <c r="M150" s="294" t="s">
        <v>57</v>
      </c>
      <c r="N150" s="43" t="s">
        <v>58</v>
      </c>
      <c r="O150" s="79" t="s">
        <v>59</v>
      </c>
      <c r="P150" s="79" t="s">
        <v>60</v>
      </c>
      <c r="Q150" s="463"/>
      <c r="R150" s="463"/>
      <c r="S150" s="107"/>
      <c r="T150" s="39"/>
    </row>
    <row r="151" customFormat="false" ht="45" hidden="false" customHeight="true" outlineLevel="0" collapsed="false">
      <c r="B151" s="39"/>
      <c r="C151" s="107"/>
      <c r="D151" s="107"/>
      <c r="E151" s="9" t="s">
        <v>27</v>
      </c>
      <c r="F151" s="528" t="s">
        <v>101</v>
      </c>
      <c r="G151" s="528"/>
      <c r="H151" s="11" t="n">
        <v>1</v>
      </c>
      <c r="I151" s="11" t="n">
        <v>193</v>
      </c>
      <c r="J151" s="11" t="s">
        <v>46</v>
      </c>
      <c r="K151" s="83" t="n">
        <f aca="false">IF(I151="",0,(I151/I154)*100)</f>
        <v>96.9849246231156</v>
      </c>
      <c r="L151" s="11" t="n">
        <v>2</v>
      </c>
      <c r="M151" s="12" t="n">
        <v>3</v>
      </c>
      <c r="N151" s="301" t="n">
        <f aca="false">IF(L151=1,1,0)</f>
        <v>0</v>
      </c>
      <c r="O151" s="84" t="n">
        <f aca="false">IF(L151=2,1,0)</f>
        <v>1</v>
      </c>
      <c r="P151" s="84" t="n">
        <f aca="false">IF(L151=3,1,0)</f>
        <v>0</v>
      </c>
      <c r="Q151" s="464"/>
      <c r="R151" s="464"/>
      <c r="S151" s="107"/>
      <c r="T151" s="39"/>
    </row>
    <row r="152" customFormat="false" ht="45" hidden="false" customHeight="true" outlineLevel="0" collapsed="false">
      <c r="B152" s="39"/>
      <c r="C152" s="107"/>
      <c r="D152" s="107"/>
      <c r="E152" s="529" t="s">
        <v>12</v>
      </c>
      <c r="F152" s="530" t="s">
        <v>145</v>
      </c>
      <c r="G152" s="530"/>
      <c r="H152" s="531" t="n">
        <v>2</v>
      </c>
      <c r="I152" s="531" t="n">
        <v>199</v>
      </c>
      <c r="J152" s="531"/>
      <c r="K152" s="532" t="n">
        <f aca="false">IF(I152="",0,(I152/I154)*100)</f>
        <v>100</v>
      </c>
      <c r="L152" s="531" t="n">
        <v>1</v>
      </c>
      <c r="M152" s="533" t="n">
        <v>6</v>
      </c>
      <c r="N152" s="526" t="n">
        <f aca="false">IF(L152=1,1,0)</f>
        <v>1</v>
      </c>
      <c r="O152" s="527" t="n">
        <f aca="false">IF(L152=2,1,0)</f>
        <v>0</v>
      </c>
      <c r="P152" s="527" t="n">
        <f aca="false">IF(L152=3,1,0)</f>
        <v>0</v>
      </c>
      <c r="Q152" s="464"/>
      <c r="R152" s="464"/>
      <c r="S152" s="107"/>
      <c r="T152" s="39"/>
    </row>
    <row r="153" customFormat="false" ht="45" hidden="false" customHeight="true" outlineLevel="0" collapsed="false">
      <c r="B153" s="39"/>
      <c r="C153" s="107"/>
      <c r="D153" s="107"/>
      <c r="E153" s="20" t="s">
        <v>96</v>
      </c>
      <c r="F153" s="397" t="s">
        <v>97</v>
      </c>
      <c r="G153" s="397"/>
      <c r="H153" s="22" t="n">
        <v>3</v>
      </c>
      <c r="I153" s="22" t="n">
        <v>83</v>
      </c>
      <c r="J153" s="22" t="s">
        <v>46</v>
      </c>
      <c r="K153" s="456" t="n">
        <f aca="false">IF(I153="",0,(I153/I154)*100)</f>
        <v>41.7085427135678</v>
      </c>
      <c r="L153" s="22" t="n">
        <v>3</v>
      </c>
      <c r="M153" s="23" t="n">
        <v>0</v>
      </c>
      <c r="N153" s="310" t="n">
        <f aca="false">IF(L153=1,1,0)</f>
        <v>0</v>
      </c>
      <c r="O153" s="117" t="n">
        <f aca="false">IF(L153=2,1,0)</f>
        <v>0</v>
      </c>
      <c r="P153" s="117" t="n">
        <f aca="false">IF(L153=3,1,0)</f>
        <v>1</v>
      </c>
      <c r="Q153" s="464"/>
      <c r="R153" s="464"/>
      <c r="S153" s="107"/>
      <c r="T153" s="39"/>
    </row>
    <row r="154" customFormat="false" ht="15.75" hidden="true" customHeight="false" outlineLevel="1" collapsed="false">
      <c r="B154" s="39"/>
      <c r="C154" s="107"/>
      <c r="D154" s="107"/>
      <c r="E154" s="465"/>
      <c r="F154" s="322"/>
      <c r="G154" s="322"/>
      <c r="H154" s="395" t="s">
        <v>62</v>
      </c>
      <c r="I154" s="98" t="n">
        <f aca="false">MAX(I151:I153)</f>
        <v>199</v>
      </c>
      <c r="J154" s="467"/>
      <c r="K154" s="534"/>
      <c r="L154" s="467"/>
      <c r="M154" s="333" t="s">
        <v>63</v>
      </c>
      <c r="N154" s="102" t="n">
        <f aca="false">SUM(N151:N153)</f>
        <v>1</v>
      </c>
      <c r="O154" s="103" t="n">
        <f aca="false">SUM(O151:O153)</f>
        <v>1</v>
      </c>
      <c r="P154" s="102" t="n">
        <f aca="false">SUM(P151:P153)</f>
        <v>1</v>
      </c>
      <c r="Q154" s="467"/>
      <c r="R154" s="467"/>
      <c r="S154" s="107"/>
      <c r="T154" s="39"/>
    </row>
    <row r="155" customFormat="false" ht="15" hidden="false" customHeight="false" outlineLevel="0" collapsed="false">
      <c r="B155" s="39"/>
      <c r="C155" s="107"/>
      <c r="D155" s="107"/>
      <c r="E155" s="107"/>
      <c r="F155" s="107"/>
      <c r="G155" s="107"/>
      <c r="H155" s="107"/>
      <c r="I155" s="107"/>
      <c r="J155" s="107"/>
      <c r="K155" s="107"/>
      <c r="L155" s="107"/>
      <c r="M155" s="107"/>
      <c r="N155" s="107"/>
      <c r="O155" s="107"/>
      <c r="P155" s="107"/>
      <c r="Q155" s="107"/>
      <c r="R155" s="107"/>
      <c r="S155" s="107"/>
      <c r="T155" s="39"/>
    </row>
    <row r="156" customFormat="false" ht="15" hidden="false" customHeight="false" outlineLevel="0" collapsed="false">
      <c r="B156" s="39"/>
      <c r="D156" s="468"/>
      <c r="E156" s="468"/>
      <c r="F156" s="468"/>
      <c r="G156" s="468"/>
      <c r="H156" s="469"/>
      <c r="I156" s="468"/>
      <c r="J156" s="468"/>
      <c r="T156" s="39"/>
    </row>
    <row r="157" customFormat="false" ht="15" hidden="false" customHeight="true" outlineLevel="0" collapsed="false">
      <c r="B157" s="39"/>
      <c r="C157" s="126"/>
      <c r="D157" s="470"/>
      <c r="E157" s="127" t="str">
        <f aca="false">IF(OR(L139="-",L139= ""),H139,L139)</f>
        <v>Imhotep</v>
      </c>
      <c r="F157" s="127"/>
      <c r="G157" s="127"/>
      <c r="H157" s="127"/>
      <c r="I157" s="127"/>
      <c r="J157" s="127"/>
      <c r="K157" s="127"/>
      <c r="L157" s="127"/>
      <c r="M157" s="127"/>
      <c r="N157" s="471"/>
      <c r="O157" s="471"/>
      <c r="P157" s="471"/>
      <c r="Q157" s="471"/>
      <c r="R157" s="471"/>
      <c r="S157" s="126"/>
      <c r="T157" s="472"/>
    </row>
    <row r="158" customFormat="false" ht="60" hidden="false" customHeight="true" outlineLevel="0" collapsed="false">
      <c r="B158" s="39"/>
      <c r="C158" s="126"/>
      <c r="D158" s="471"/>
      <c r="E158" s="263" t="s">
        <v>36</v>
      </c>
      <c r="F158" s="266" t="s">
        <v>92</v>
      </c>
      <c r="G158" s="266"/>
      <c r="H158" s="265" t="s">
        <v>52</v>
      </c>
      <c r="I158" s="294" t="s">
        <v>53</v>
      </c>
      <c r="J158" s="295" t="s">
        <v>54</v>
      </c>
      <c r="K158" s="264" t="s">
        <v>55</v>
      </c>
      <c r="L158" s="296" t="s">
        <v>56</v>
      </c>
      <c r="M158" s="294" t="s">
        <v>57</v>
      </c>
      <c r="N158" s="43" t="s">
        <v>58</v>
      </c>
      <c r="O158" s="79" t="s">
        <v>59</v>
      </c>
      <c r="P158" s="79" t="s">
        <v>60</v>
      </c>
      <c r="Q158" s="471"/>
      <c r="R158" s="471"/>
      <c r="S158" s="126"/>
      <c r="T158" s="472"/>
    </row>
    <row r="159" customFormat="false" ht="45" hidden="false" customHeight="true" outlineLevel="0" collapsed="false">
      <c r="B159" s="39"/>
      <c r="C159" s="126"/>
      <c r="D159" s="126"/>
      <c r="E159" s="9" t="s">
        <v>27</v>
      </c>
      <c r="F159" s="528" t="s">
        <v>101</v>
      </c>
      <c r="G159" s="528"/>
      <c r="H159" s="11" t="n">
        <v>1</v>
      </c>
      <c r="I159" s="11" t="n">
        <v>53</v>
      </c>
      <c r="J159" s="11" t="s">
        <v>171</v>
      </c>
      <c r="K159" s="83" t="n">
        <f aca="false">IF(I159="",0,(I159/I162)*100)</f>
        <v>84.1269841269841</v>
      </c>
      <c r="L159" s="11" t="n">
        <v>2</v>
      </c>
      <c r="M159" s="12" t="n">
        <v>3</v>
      </c>
      <c r="N159" s="301" t="n">
        <f aca="false">IF(L159=1,1,0)</f>
        <v>0</v>
      </c>
      <c r="O159" s="84" t="n">
        <f aca="false">IF(L159=2,1,0)</f>
        <v>1</v>
      </c>
      <c r="P159" s="84" t="n">
        <f aca="false">IF(L159=3,1,0)</f>
        <v>0</v>
      </c>
      <c r="Q159" s="474"/>
      <c r="R159" s="474"/>
      <c r="S159" s="126"/>
      <c r="T159" s="39"/>
    </row>
    <row r="160" customFormat="false" ht="45" hidden="false" customHeight="true" outlineLevel="0" collapsed="false">
      <c r="B160" s="39"/>
      <c r="C160" s="126"/>
      <c r="D160" s="126"/>
      <c r="E160" s="522" t="s">
        <v>12</v>
      </c>
      <c r="F160" s="523" t="s">
        <v>145</v>
      </c>
      <c r="G160" s="523"/>
      <c r="H160" s="244" t="n">
        <v>3</v>
      </c>
      <c r="I160" s="244" t="n">
        <v>53</v>
      </c>
      <c r="J160" s="244" t="s">
        <v>172</v>
      </c>
      <c r="K160" s="524" t="n">
        <f aca="false">IF(I160="",0,(I160/I162)*100)</f>
        <v>84.1269841269841</v>
      </c>
      <c r="L160" s="244" t="n">
        <v>3</v>
      </c>
      <c r="M160" s="525" t="n">
        <v>0</v>
      </c>
      <c r="N160" s="526" t="n">
        <f aca="false">IF(L160=1,1,0)</f>
        <v>0</v>
      </c>
      <c r="O160" s="527" t="n">
        <f aca="false">IF(L160=2,1,0)</f>
        <v>0</v>
      </c>
      <c r="P160" s="527" t="n">
        <f aca="false">IF(L160=3,1,0)</f>
        <v>1</v>
      </c>
      <c r="Q160" s="474"/>
      <c r="R160" s="474"/>
      <c r="S160" s="126"/>
      <c r="T160" s="39"/>
    </row>
    <row r="161" customFormat="false" ht="45" hidden="false" customHeight="true" outlineLevel="0" collapsed="false">
      <c r="B161" s="39"/>
      <c r="C161" s="126"/>
      <c r="D161" s="126"/>
      <c r="E161" s="89" t="s">
        <v>96</v>
      </c>
      <c r="F161" s="391" t="s">
        <v>97</v>
      </c>
      <c r="G161" s="391"/>
      <c r="H161" s="91" t="n">
        <v>2</v>
      </c>
      <c r="I161" s="91" t="n">
        <v>63</v>
      </c>
      <c r="J161" s="91" t="s">
        <v>46</v>
      </c>
      <c r="K161" s="92" t="n">
        <f aca="false">IF(I161="",0,(I161/I162)*100)</f>
        <v>100</v>
      </c>
      <c r="L161" s="91" t="n">
        <v>1</v>
      </c>
      <c r="M161" s="394" t="n">
        <v>6</v>
      </c>
      <c r="N161" s="310" t="n">
        <f aca="false">IF(L161=1,1,0)</f>
        <v>1</v>
      </c>
      <c r="O161" s="117" t="n">
        <f aca="false">IF(L161=2,1,0)</f>
        <v>0</v>
      </c>
      <c r="P161" s="117" t="n">
        <f aca="false">IF(L161=3,1,0)</f>
        <v>0</v>
      </c>
      <c r="Q161" s="474"/>
      <c r="R161" s="474"/>
      <c r="S161" s="126"/>
      <c r="T161" s="476"/>
    </row>
    <row r="162" customFormat="false" ht="15.75" hidden="true" customHeight="false" outlineLevel="1" collapsed="false">
      <c r="B162" s="39"/>
      <c r="C162" s="126"/>
      <c r="D162" s="126"/>
      <c r="E162" s="475"/>
      <c r="F162" s="339"/>
      <c r="G162" s="339"/>
      <c r="H162" s="395" t="s">
        <v>62</v>
      </c>
      <c r="I162" s="98" t="n">
        <f aca="false">MAX(I159:I161)</f>
        <v>63</v>
      </c>
      <c r="J162" s="478"/>
      <c r="K162" s="535"/>
      <c r="L162" s="478"/>
      <c r="M162" s="333" t="s">
        <v>63</v>
      </c>
      <c r="N162" s="102" t="n">
        <f aca="false">SUM(N159:N161)</f>
        <v>1</v>
      </c>
      <c r="O162" s="103" t="n">
        <f aca="false">SUM(O159:O161)</f>
        <v>1</v>
      </c>
      <c r="P162" s="102" t="n">
        <f aca="false">SUM(P159:P161)</f>
        <v>1</v>
      </c>
      <c r="Q162" s="478"/>
      <c r="R162" s="478"/>
      <c r="S162" s="126"/>
      <c r="T162" s="476"/>
    </row>
    <row r="163" customFormat="false" ht="15" hidden="false" customHeight="false" outlineLevel="0" collapsed="false">
      <c r="B163" s="39"/>
      <c r="C163" s="126"/>
      <c r="D163" s="126"/>
      <c r="E163" s="126"/>
      <c r="F163" s="126"/>
      <c r="G163" s="126"/>
      <c r="H163" s="126"/>
      <c r="I163" s="126"/>
      <c r="J163" s="126"/>
      <c r="K163" s="126"/>
      <c r="L163" s="126"/>
      <c r="M163" s="126"/>
      <c r="N163" s="126"/>
      <c r="O163" s="126"/>
      <c r="P163" s="126"/>
      <c r="Q163" s="126"/>
      <c r="R163" s="126"/>
      <c r="S163" s="126"/>
      <c r="T163" s="476"/>
    </row>
    <row r="164" customFormat="false" ht="15" hidden="false" customHeight="false" outlineLevel="0" collapsed="false">
      <c r="B164" s="39"/>
      <c r="D164" s="468"/>
      <c r="E164" s="468"/>
      <c r="F164" s="468"/>
      <c r="G164" s="468"/>
      <c r="H164" s="469"/>
      <c r="I164" s="468"/>
      <c r="J164" s="468"/>
      <c r="K164" s="468"/>
      <c r="T164" s="39"/>
    </row>
    <row r="165" customFormat="false" ht="24" hidden="false" customHeight="false" outlineLevel="0" collapsed="false">
      <c r="B165" s="39"/>
      <c r="C165" s="139"/>
      <c r="D165" s="486"/>
      <c r="E165" s="140" t="s">
        <v>173</v>
      </c>
      <c r="F165" s="140"/>
      <c r="G165" s="140"/>
      <c r="H165" s="140"/>
      <c r="I165" s="140"/>
      <c r="J165" s="140"/>
      <c r="K165" s="140"/>
      <c r="L165" s="140"/>
      <c r="M165" s="486"/>
      <c r="N165" s="487"/>
      <c r="O165" s="487"/>
      <c r="P165" s="487"/>
      <c r="Q165" s="487"/>
      <c r="R165" s="487"/>
      <c r="S165" s="139"/>
      <c r="T165" s="39"/>
    </row>
    <row r="166" customFormat="false" ht="60" hidden="false" customHeight="true" outlineLevel="0" collapsed="false">
      <c r="B166" s="39"/>
      <c r="C166" s="139"/>
      <c r="D166" s="509"/>
      <c r="E166" s="536" t="s">
        <v>36</v>
      </c>
      <c r="F166" s="357" t="s">
        <v>92</v>
      </c>
      <c r="G166" s="357"/>
      <c r="H166" s="358" t="s">
        <v>57</v>
      </c>
      <c r="I166" s="359" t="s">
        <v>65</v>
      </c>
      <c r="J166" s="358" t="s">
        <v>66</v>
      </c>
      <c r="K166" s="359" t="s">
        <v>67</v>
      </c>
      <c r="L166" s="488" t="s">
        <v>69</v>
      </c>
      <c r="M166" s="139"/>
      <c r="N166" s="489"/>
      <c r="O166" s="489"/>
      <c r="P166" s="489"/>
      <c r="Q166" s="489"/>
      <c r="R166" s="489"/>
      <c r="S166" s="139"/>
      <c r="T166" s="39"/>
    </row>
    <row r="167" customFormat="false" ht="45" hidden="false" customHeight="true" outlineLevel="0" collapsed="false">
      <c r="B167" s="39"/>
      <c r="C167" s="139"/>
      <c r="D167" s="490"/>
      <c r="E167" s="55" t="s">
        <v>27</v>
      </c>
      <c r="F167" s="491" t="s">
        <v>101</v>
      </c>
      <c r="G167" s="491"/>
      <c r="H167" s="537" t="n">
        <f aca="false">I167*6+J167*3+K167*0</f>
        <v>12</v>
      </c>
      <c r="I167" s="363" t="n">
        <v>1</v>
      </c>
      <c r="J167" s="399" t="n">
        <v>2</v>
      </c>
      <c r="K167" s="363" t="n">
        <v>0</v>
      </c>
      <c r="L167" s="364" t="n">
        <f aca="false">(K143+K151+K159)/3</f>
        <v>93.7039695833666</v>
      </c>
      <c r="M167" s="139"/>
      <c r="N167" s="492"/>
      <c r="O167" s="492"/>
      <c r="P167" s="492"/>
      <c r="Q167" s="492"/>
      <c r="R167" s="492"/>
      <c r="S167" s="139"/>
      <c r="T167" s="39"/>
    </row>
    <row r="168" customFormat="false" ht="45" hidden="false" customHeight="true" outlineLevel="0" collapsed="false">
      <c r="B168" s="39"/>
      <c r="C168" s="139"/>
      <c r="D168" s="490"/>
      <c r="E168" s="154" t="s">
        <v>96</v>
      </c>
      <c r="F168" s="538" t="s">
        <v>97</v>
      </c>
      <c r="G168" s="538"/>
      <c r="H168" s="539" t="n">
        <f aca="false">I168*6+J168*3+K168*0</f>
        <v>9</v>
      </c>
      <c r="I168" s="158" t="n">
        <v>1</v>
      </c>
      <c r="J168" s="157" t="n">
        <v>1</v>
      </c>
      <c r="K168" s="158" t="n">
        <v>1</v>
      </c>
      <c r="L168" s="367" t="n">
        <f aca="false">(K145+K153+K161)/3</f>
        <v>69.3245343181772</v>
      </c>
      <c r="M168" s="139"/>
      <c r="N168" s="492"/>
      <c r="O168" s="492"/>
      <c r="P168" s="492"/>
      <c r="Q168" s="492"/>
      <c r="R168" s="492"/>
      <c r="S168" s="139"/>
      <c r="T168" s="39"/>
    </row>
    <row r="169" customFormat="false" ht="45" hidden="false" customHeight="true" outlineLevel="0" collapsed="false">
      <c r="B169" s="39"/>
      <c r="C169" s="139"/>
      <c r="D169" s="139"/>
      <c r="E169" s="196" t="s">
        <v>12</v>
      </c>
      <c r="F169" s="540" t="s">
        <v>145</v>
      </c>
      <c r="G169" s="540"/>
      <c r="H169" s="541" t="n">
        <f aca="false">I169*6+J169*3+K169*0</f>
        <v>6</v>
      </c>
      <c r="I169" s="164" t="n">
        <v>1</v>
      </c>
      <c r="J169" s="163" t="n">
        <v>0</v>
      </c>
      <c r="K169" s="164" t="n">
        <v>2</v>
      </c>
      <c r="L169" s="542" t="n">
        <f aca="false">(K144+K152+K160)/3</f>
        <v>78.2431312551794</v>
      </c>
      <c r="M169" s="139"/>
      <c r="N169" s="492"/>
      <c r="O169" s="492"/>
      <c r="P169" s="492"/>
      <c r="Q169" s="492"/>
      <c r="R169" s="492"/>
      <c r="S169" s="139"/>
      <c r="T169" s="39"/>
    </row>
    <row r="170" customFormat="false" ht="15" hidden="false" customHeight="false" outlineLevel="0" collapsed="false">
      <c r="B170" s="39"/>
      <c r="C170" s="139"/>
      <c r="D170" s="139"/>
      <c r="E170" s="139"/>
      <c r="F170" s="139"/>
      <c r="G170" s="139"/>
      <c r="H170" s="139"/>
      <c r="I170" s="139"/>
      <c r="J170" s="139"/>
      <c r="K170" s="139"/>
      <c r="L170" s="139"/>
      <c r="M170" s="492"/>
      <c r="N170" s="492"/>
      <c r="O170" s="492"/>
      <c r="P170" s="492"/>
      <c r="Q170" s="492"/>
      <c r="R170" s="492"/>
      <c r="S170" s="139"/>
      <c r="T170" s="39"/>
    </row>
    <row r="171" customFormat="false" ht="15" hidden="false" customHeight="true" outlineLevel="0" collapsed="false">
      <c r="B171" s="39"/>
      <c r="C171" s="39"/>
      <c r="D171" s="499"/>
      <c r="E171" s="499"/>
      <c r="F171" s="472"/>
      <c r="G171" s="472"/>
      <c r="H171" s="499"/>
      <c r="I171" s="499"/>
      <c r="J171" s="499"/>
      <c r="K171" s="39"/>
      <c r="L171" s="39"/>
      <c r="M171" s="39"/>
      <c r="N171" s="39"/>
      <c r="O171" s="39"/>
      <c r="P171" s="39"/>
      <c r="Q171" s="39"/>
      <c r="R171" s="39"/>
      <c r="S171" s="39"/>
      <c r="T171" s="39"/>
    </row>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4"/>
    <mergeCell ref="B13:C13"/>
    <mergeCell ref="B14:C14"/>
    <mergeCell ref="D15:F15"/>
    <mergeCell ref="K15:M15"/>
    <mergeCell ref="D17:H17"/>
    <mergeCell ref="C20:S21"/>
    <mergeCell ref="D23:D24"/>
    <mergeCell ref="E23:E24"/>
    <mergeCell ref="F23:G24"/>
    <mergeCell ref="H23:J23"/>
    <mergeCell ref="L23:R23"/>
    <mergeCell ref="F25:G25"/>
    <mergeCell ref="F26:G26"/>
    <mergeCell ref="F27:G27"/>
    <mergeCell ref="F28:G28"/>
    <mergeCell ref="E30:M30"/>
    <mergeCell ref="F31:G31"/>
    <mergeCell ref="F32:G32"/>
    <mergeCell ref="F33:G33"/>
    <mergeCell ref="F34:G34"/>
    <mergeCell ref="F35:G35"/>
    <mergeCell ref="F36:G36"/>
    <mergeCell ref="F37:G37"/>
    <mergeCell ref="F38:G38"/>
    <mergeCell ref="E39:M39"/>
    <mergeCell ref="F40:G40"/>
    <mergeCell ref="F41:G41"/>
    <mergeCell ref="F42:G42"/>
    <mergeCell ref="F43:G43"/>
    <mergeCell ref="F44:G44"/>
    <mergeCell ref="F45:G45"/>
    <mergeCell ref="E48:M48"/>
    <mergeCell ref="F49:G49"/>
    <mergeCell ref="F50:G50"/>
    <mergeCell ref="F51:G51"/>
    <mergeCell ref="F52:G52"/>
    <mergeCell ref="F53:G53"/>
    <mergeCell ref="F54:G54"/>
    <mergeCell ref="E57:M57"/>
    <mergeCell ref="F58:G58"/>
    <mergeCell ref="F59:G59"/>
    <mergeCell ref="F60:G60"/>
    <mergeCell ref="F61:G61"/>
    <mergeCell ref="F62:G62"/>
    <mergeCell ref="F63:G63"/>
    <mergeCell ref="E66:M66"/>
    <mergeCell ref="F67:G67"/>
    <mergeCell ref="F68:G68"/>
    <mergeCell ref="F69:G69"/>
    <mergeCell ref="F70:G70"/>
    <mergeCell ref="F71:G71"/>
    <mergeCell ref="X71:Y71"/>
    <mergeCell ref="F72:G72"/>
    <mergeCell ref="C77:S77"/>
    <mergeCell ref="D79:D80"/>
    <mergeCell ref="E79:E80"/>
    <mergeCell ref="F79:G80"/>
    <mergeCell ref="H79:J79"/>
    <mergeCell ref="L79:R79"/>
    <mergeCell ref="F81:G81"/>
    <mergeCell ref="F82:G82"/>
    <mergeCell ref="F83:G83"/>
    <mergeCell ref="F84:G84"/>
    <mergeCell ref="E86:M86"/>
    <mergeCell ref="F87:G87"/>
    <mergeCell ref="F88:G88"/>
    <mergeCell ref="F89:G89"/>
    <mergeCell ref="F90:G90"/>
    <mergeCell ref="F91:G91"/>
    <mergeCell ref="F92:G92"/>
    <mergeCell ref="E95:M95"/>
    <mergeCell ref="F96:G96"/>
    <mergeCell ref="F97:G97"/>
    <mergeCell ref="F98:G98"/>
    <mergeCell ref="F99:G99"/>
    <mergeCell ref="F100:G100"/>
    <mergeCell ref="F101:G101"/>
    <mergeCell ref="E104:M104"/>
    <mergeCell ref="F105:G105"/>
    <mergeCell ref="F106:G106"/>
    <mergeCell ref="F107:G107"/>
    <mergeCell ref="F108:G108"/>
    <mergeCell ref="F109:G109"/>
    <mergeCell ref="F110:G110"/>
    <mergeCell ref="E113:M113"/>
    <mergeCell ref="F114:G114"/>
    <mergeCell ref="F115:G115"/>
    <mergeCell ref="F116:G116"/>
    <mergeCell ref="F117:G117"/>
    <mergeCell ref="F118:G118"/>
    <mergeCell ref="F119:G119"/>
    <mergeCell ref="E122:M122"/>
    <mergeCell ref="F123:G123"/>
    <mergeCell ref="F124:G124"/>
    <mergeCell ref="F125:G125"/>
    <mergeCell ref="X125:Y125"/>
    <mergeCell ref="F126:G126"/>
    <mergeCell ref="F127:G127"/>
    <mergeCell ref="C133:S133"/>
    <mergeCell ref="D135:D136"/>
    <mergeCell ref="E135:E136"/>
    <mergeCell ref="F135:G136"/>
    <mergeCell ref="H135:J135"/>
    <mergeCell ref="L135:R135"/>
    <mergeCell ref="F137:G137"/>
    <mergeCell ref="F138:G138"/>
    <mergeCell ref="F139:G139"/>
    <mergeCell ref="E141:M141"/>
    <mergeCell ref="F142:G142"/>
    <mergeCell ref="F143:G143"/>
    <mergeCell ref="F144:G144"/>
    <mergeCell ref="F145:G145"/>
    <mergeCell ref="F146:G146"/>
    <mergeCell ref="E149:M149"/>
    <mergeCell ref="F150:G150"/>
    <mergeCell ref="F151:G151"/>
    <mergeCell ref="F152:G152"/>
    <mergeCell ref="F153:G153"/>
    <mergeCell ref="F154:G154"/>
    <mergeCell ref="E157:M157"/>
    <mergeCell ref="F158:G158"/>
    <mergeCell ref="F159:G159"/>
    <mergeCell ref="F160:G160"/>
    <mergeCell ref="F161:G161"/>
    <mergeCell ref="F162:G162"/>
    <mergeCell ref="E165:L165"/>
    <mergeCell ref="F166:G166"/>
    <mergeCell ref="F167:G167"/>
    <mergeCell ref="F168:G168"/>
    <mergeCell ref="F169:G169"/>
  </mergeCells>
  <dataValidations count="1">
    <dataValidation allowBlank="true" operator="between" showDropDown="false" showErrorMessage="true" showInputMessage="true" sqref="F4:F12 J9 J11 F13:F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4"/>
  <sheetViews>
    <sheetView showFormulas="false" showGridLines="false" showRowColHeaders="true" showZeros="true" rightToLeft="false" tabSelected="true" showOutlineSymbols="true" defaultGridColor="true" view="normal" topLeftCell="A13" colorId="64" zoomScale="100" zoomScaleNormal="100" zoomScalePageLayoutView="100" workbookViewId="0">
      <selection pane="topLeft" activeCell="I25" activeCellId="0" sqref="I25"/>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7"/>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174</v>
      </c>
      <c r="C2" s="3"/>
      <c r="D2" s="3"/>
      <c r="E2" s="3"/>
      <c r="F2" s="3"/>
      <c r="H2" s="3" t="s">
        <v>175</v>
      </c>
      <c r="I2" s="3"/>
      <c r="J2" s="51"/>
      <c r="K2" s="3" t="s">
        <v>90</v>
      </c>
      <c r="L2" s="3"/>
      <c r="M2" s="3"/>
      <c r="N2" s="3"/>
      <c r="O2" s="3"/>
      <c r="P2" s="3"/>
      <c r="Q2" s="3"/>
      <c r="R2" s="3"/>
      <c r="S2" s="138"/>
      <c r="T2" s="51"/>
      <c r="U2" s="51"/>
      <c r="V2" s="51"/>
      <c r="W2" s="51"/>
    </row>
    <row r="3" customFormat="false" ht="60.75" hidden="false" customHeight="true" outlineLevel="0" collapsed="false">
      <c r="B3" s="81" t="s">
        <v>176</v>
      </c>
      <c r="C3" s="81"/>
      <c r="D3" s="213" t="s">
        <v>2</v>
      </c>
      <c r="E3" s="214" t="s">
        <v>92</v>
      </c>
      <c r="F3" s="4" t="s">
        <v>177</v>
      </c>
      <c r="H3" s="215" t="s">
        <v>2</v>
      </c>
      <c r="I3" s="216" t="s">
        <v>92</v>
      </c>
      <c r="J3" s="51"/>
      <c r="K3" s="5" t="s">
        <v>2</v>
      </c>
      <c r="L3" s="430" t="s">
        <v>92</v>
      </c>
      <c r="M3" s="219" t="s">
        <v>94</v>
      </c>
      <c r="N3" s="431"/>
      <c r="O3" s="432"/>
      <c r="P3" s="432"/>
      <c r="Q3" s="43" t="s">
        <v>94</v>
      </c>
      <c r="R3" s="82" t="s">
        <v>6</v>
      </c>
      <c r="S3" s="51"/>
      <c r="T3" s="51"/>
      <c r="U3" s="51"/>
      <c r="V3" s="138"/>
      <c r="W3" s="138"/>
    </row>
    <row r="4" customFormat="false" ht="45.75" hidden="false" customHeight="false" outlineLevel="0" collapsed="false">
      <c r="B4" s="223" t="n">
        <v>1</v>
      </c>
      <c r="C4" s="223"/>
      <c r="D4" s="224" t="s">
        <v>7</v>
      </c>
      <c r="E4" s="225" t="s">
        <v>143</v>
      </c>
      <c r="F4" s="226" t="s">
        <v>9</v>
      </c>
      <c r="H4" s="227" t="s">
        <v>178</v>
      </c>
      <c r="I4" s="228" t="s">
        <v>179</v>
      </c>
      <c r="J4" s="36"/>
      <c r="K4" s="9" t="str">
        <f aca="false">D4</f>
        <v>Pauline Schätzle</v>
      </c>
      <c r="L4" s="229" t="s">
        <v>143</v>
      </c>
      <c r="M4" s="543" t="n">
        <v>1</v>
      </c>
      <c r="N4" s="231"/>
      <c r="O4" s="232"/>
      <c r="P4" s="232"/>
      <c r="Q4" s="11" t="n">
        <v>1</v>
      </c>
      <c r="R4" s="12" t="n">
        <v>1</v>
      </c>
      <c r="S4" s="36"/>
      <c r="T4" s="36"/>
      <c r="U4" s="36"/>
      <c r="V4" s="120"/>
      <c r="W4" s="120"/>
    </row>
    <row r="5" customFormat="false" ht="45" hidden="false" customHeight="false" outlineLevel="0" collapsed="false">
      <c r="B5" s="233" t="n">
        <v>2</v>
      </c>
      <c r="C5" s="233"/>
      <c r="D5" s="234" t="s">
        <v>14</v>
      </c>
      <c r="E5" s="235" t="s">
        <v>95</v>
      </c>
      <c r="F5" s="236" t="s">
        <v>9</v>
      </c>
      <c r="H5" s="36"/>
      <c r="I5" s="36"/>
      <c r="J5" s="36"/>
      <c r="K5" s="16" t="str">
        <f aca="false">D5</f>
        <v>Devid Fulterer</v>
      </c>
      <c r="L5" s="237" t="s">
        <v>95</v>
      </c>
      <c r="M5" s="543"/>
      <c r="N5" s="238"/>
      <c r="O5" s="239"/>
      <c r="P5" s="239"/>
      <c r="Q5" s="18" t="n">
        <v>1</v>
      </c>
      <c r="R5" s="19" t="n">
        <v>2</v>
      </c>
      <c r="S5" s="36"/>
      <c r="T5" s="36"/>
      <c r="U5" s="36"/>
      <c r="V5" s="120"/>
      <c r="W5" s="120"/>
    </row>
    <row r="6" customFormat="false" ht="45" hidden="false" customHeight="false" outlineLevel="0" collapsed="false">
      <c r="B6" s="233" t="n">
        <v>3</v>
      </c>
      <c r="C6" s="233"/>
      <c r="D6" s="234" t="s">
        <v>20</v>
      </c>
      <c r="E6" s="235" t="s">
        <v>102</v>
      </c>
      <c r="F6" s="236" t="s">
        <v>9</v>
      </c>
      <c r="H6" s="36"/>
      <c r="I6" s="36"/>
      <c r="J6" s="36"/>
      <c r="K6" s="16" t="str">
        <f aca="false">D6</f>
        <v>Judith Maibaum</v>
      </c>
      <c r="L6" s="237" t="s">
        <v>102</v>
      </c>
      <c r="M6" s="543"/>
      <c r="N6" s="238"/>
      <c r="O6" s="239"/>
      <c r="P6" s="239"/>
      <c r="Q6" s="18" t="n">
        <v>1</v>
      </c>
      <c r="R6" s="19" t="n">
        <v>3</v>
      </c>
      <c r="S6" s="36"/>
      <c r="T6" s="36"/>
      <c r="U6" s="36"/>
      <c r="V6" s="120"/>
      <c r="W6" s="120"/>
    </row>
    <row r="7" customFormat="false" ht="45.75" hidden="false" customHeight="false" outlineLevel="0" collapsed="false">
      <c r="B7" s="233" t="n">
        <v>4</v>
      </c>
      <c r="C7" s="233"/>
      <c r="D7" s="234" t="s">
        <v>31</v>
      </c>
      <c r="E7" s="235" t="s">
        <v>144</v>
      </c>
      <c r="F7" s="236" t="s">
        <v>9</v>
      </c>
      <c r="H7" s="544"/>
      <c r="I7" s="36"/>
      <c r="J7" s="36"/>
      <c r="K7" s="247" t="str">
        <f aca="false">D7</f>
        <v>Andreas Micke</v>
      </c>
      <c r="L7" s="248" t="s">
        <v>144</v>
      </c>
      <c r="M7" s="543"/>
      <c r="N7" s="249"/>
      <c r="O7" s="250"/>
      <c r="P7" s="250"/>
      <c r="Q7" s="251" t="n">
        <v>1</v>
      </c>
      <c r="R7" s="252" t="n">
        <v>4</v>
      </c>
      <c r="S7" s="36"/>
      <c r="T7" s="36"/>
      <c r="U7" s="36"/>
      <c r="V7" s="120"/>
      <c r="W7" s="120"/>
    </row>
    <row r="8" customFormat="false" ht="45" hidden="false" customHeight="false" outlineLevel="0" collapsed="false">
      <c r="B8" s="434" t="n">
        <v>5</v>
      </c>
      <c r="C8" s="434"/>
      <c r="D8" s="435" t="s">
        <v>16</v>
      </c>
      <c r="E8" s="436" t="s">
        <v>98</v>
      </c>
      <c r="F8" s="437" t="s">
        <v>26</v>
      </c>
      <c r="H8" s="166"/>
      <c r="I8" s="544"/>
      <c r="J8" s="166"/>
      <c r="K8" s="9" t="str">
        <f aca="false">D8</f>
        <v>Jérôme Schätzle</v>
      </c>
      <c r="L8" s="229" t="s">
        <v>98</v>
      </c>
      <c r="M8" s="230" t="n">
        <v>2</v>
      </c>
      <c r="N8" s="231"/>
      <c r="O8" s="232"/>
      <c r="P8" s="232"/>
      <c r="Q8" s="11" t="n">
        <v>2</v>
      </c>
      <c r="R8" s="12" t="n">
        <v>1</v>
      </c>
      <c r="S8" s="36"/>
      <c r="T8" s="36"/>
      <c r="U8" s="36"/>
      <c r="V8" s="120"/>
      <c r="W8" s="120"/>
    </row>
    <row r="9" customFormat="false" ht="45" hidden="false" customHeight="false" outlineLevel="0" collapsed="false">
      <c r="B9" s="233" t="n">
        <v>6</v>
      </c>
      <c r="C9" s="233"/>
      <c r="D9" s="234" t="s">
        <v>10</v>
      </c>
      <c r="E9" s="235" t="s">
        <v>100</v>
      </c>
      <c r="F9" s="236" t="s">
        <v>9</v>
      </c>
      <c r="H9" s="166"/>
      <c r="I9" s="544"/>
      <c r="J9" s="166"/>
      <c r="K9" s="16" t="str">
        <f aca="false">D9</f>
        <v>Wolfgang Mulser</v>
      </c>
      <c r="L9" s="237" t="s">
        <v>100</v>
      </c>
      <c r="M9" s="230"/>
      <c r="N9" s="238"/>
      <c r="O9" s="239"/>
      <c r="P9" s="239"/>
      <c r="Q9" s="18" t="n">
        <v>2</v>
      </c>
      <c r="R9" s="19" t="n">
        <v>2</v>
      </c>
      <c r="S9" s="36"/>
      <c r="T9" s="36"/>
      <c r="U9" s="36"/>
      <c r="V9" s="120"/>
      <c r="W9" s="120"/>
    </row>
    <row r="10" customFormat="false" ht="45" hidden="false" customHeight="false" outlineLevel="0" collapsed="false">
      <c r="B10" s="233" t="n">
        <v>7</v>
      </c>
      <c r="C10" s="233"/>
      <c r="D10" s="234" t="s">
        <v>27</v>
      </c>
      <c r="E10" s="235" t="s">
        <v>101</v>
      </c>
      <c r="F10" s="236" t="s">
        <v>9</v>
      </c>
      <c r="H10" s="166"/>
      <c r="I10" s="544"/>
      <c r="J10" s="166"/>
      <c r="K10" s="16" t="str">
        <f aca="false">D10</f>
        <v>Alex Ulbricht</v>
      </c>
      <c r="L10" s="237" t="s">
        <v>101</v>
      </c>
      <c r="M10" s="230"/>
      <c r="N10" s="238"/>
      <c r="O10" s="239"/>
      <c r="P10" s="239"/>
      <c r="Q10" s="18" t="n">
        <v>2</v>
      </c>
      <c r="R10" s="19" t="n">
        <v>3</v>
      </c>
      <c r="S10" s="36"/>
      <c r="T10" s="36"/>
      <c r="U10" s="36"/>
      <c r="V10" s="120"/>
      <c r="W10" s="120"/>
    </row>
    <row r="11" customFormat="false" ht="45.75" hidden="false" customHeight="false" outlineLevel="0" collapsed="false">
      <c r="B11" s="233" t="n">
        <v>8</v>
      </c>
      <c r="C11" s="233"/>
      <c r="D11" s="234" t="s">
        <v>96</v>
      </c>
      <c r="E11" s="545" t="s">
        <v>180</v>
      </c>
      <c r="F11" s="236" t="s">
        <v>9</v>
      </c>
      <c r="H11" s="166"/>
      <c r="I11" s="544"/>
      <c r="J11" s="166"/>
      <c r="K11" s="20" t="str">
        <f aca="false">D11</f>
        <v>Kai Maibaum</v>
      </c>
      <c r="L11" s="546" t="s">
        <v>180</v>
      </c>
      <c r="M11" s="230"/>
      <c r="N11" s="241"/>
      <c r="O11" s="242"/>
      <c r="P11" s="242"/>
      <c r="Q11" s="22" t="n">
        <v>2</v>
      </c>
      <c r="R11" s="23" t="n">
        <v>4</v>
      </c>
      <c r="S11" s="36"/>
      <c r="T11" s="36"/>
      <c r="U11" s="36"/>
      <c r="V11" s="120"/>
      <c r="W11" s="120"/>
    </row>
    <row r="12" customFormat="false" ht="45" hidden="false" customHeight="false" outlineLevel="0" collapsed="false">
      <c r="B12" s="233" t="n">
        <v>9</v>
      </c>
      <c r="C12" s="233"/>
      <c r="D12" s="234" t="s">
        <v>22</v>
      </c>
      <c r="E12" s="235" t="s">
        <v>103</v>
      </c>
      <c r="F12" s="236" t="s">
        <v>9</v>
      </c>
      <c r="H12" s="36"/>
      <c r="I12" s="36"/>
      <c r="J12" s="36"/>
      <c r="K12" s="25" t="str">
        <f aca="false">D12</f>
        <v>Markus Hagenauer</v>
      </c>
      <c r="L12" s="243" t="s">
        <v>103</v>
      </c>
      <c r="M12" s="547" t="n">
        <v>3</v>
      </c>
      <c r="N12" s="245"/>
      <c r="O12" s="246"/>
      <c r="P12" s="246"/>
      <c r="Q12" s="27" t="n">
        <v>3</v>
      </c>
      <c r="R12" s="28" t="n">
        <v>1</v>
      </c>
      <c r="S12" s="36"/>
      <c r="T12" s="36"/>
      <c r="U12" s="36"/>
      <c r="V12" s="120"/>
      <c r="W12" s="120"/>
    </row>
    <row r="13" customFormat="false" ht="45.75" hidden="false" customHeight="false" outlineLevel="0" collapsed="false">
      <c r="B13" s="253" t="n">
        <v>10</v>
      </c>
      <c r="C13" s="253"/>
      <c r="D13" s="254" t="str">
        <f aca="false">2020_S0!D72</f>
        <v>Miriam Dirler</v>
      </c>
      <c r="E13" s="255" t="s">
        <v>145</v>
      </c>
      <c r="F13" s="256" t="s">
        <v>9</v>
      </c>
      <c r="G13" s="32"/>
      <c r="H13" s="36"/>
      <c r="I13" s="36"/>
      <c r="J13" s="36"/>
      <c r="K13" s="20" t="str">
        <f aca="false">D13</f>
        <v>Miriam Dirler</v>
      </c>
      <c r="L13" s="240" t="s">
        <v>145</v>
      </c>
      <c r="M13" s="547"/>
      <c r="N13" s="241"/>
      <c r="O13" s="242"/>
      <c r="P13" s="242"/>
      <c r="Q13" s="22" t="n">
        <v>3</v>
      </c>
      <c r="R13" s="23" t="n">
        <v>2</v>
      </c>
      <c r="S13" s="36"/>
      <c r="T13" s="36"/>
      <c r="U13" s="36"/>
      <c r="V13" s="120"/>
      <c r="W13" s="120"/>
    </row>
    <row r="14" customFormat="false" ht="15.75" hidden="false" customHeight="false" outlineLevel="0" collapsed="false">
      <c r="D14" s="33"/>
      <c r="E14" s="33"/>
      <c r="F14" s="33"/>
      <c r="K14" s="257" t="s">
        <v>181</v>
      </c>
      <c r="L14" s="257"/>
      <c r="M14" s="257"/>
      <c r="N14" s="258"/>
      <c r="O14" s="258"/>
      <c r="P14" s="258"/>
      <c r="Q14" s="258"/>
      <c r="R14" s="548"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182</v>
      </c>
      <c r="E16" s="260"/>
      <c r="F16" s="260"/>
      <c r="G16" s="260"/>
      <c r="H16" s="260"/>
      <c r="I16" s="260"/>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15" hidden="false" customHeight="true" outlineLevel="0" collapsed="false">
      <c r="B19" s="39"/>
      <c r="C19" s="442" t="s">
        <v>109</v>
      </c>
      <c r="D19" s="442"/>
      <c r="E19" s="442"/>
      <c r="F19" s="442"/>
      <c r="G19" s="442"/>
      <c r="H19" s="442"/>
      <c r="I19" s="442"/>
      <c r="J19" s="442"/>
      <c r="K19" s="442"/>
      <c r="L19" s="442"/>
      <c r="M19" s="442"/>
      <c r="N19" s="442"/>
      <c r="O19" s="442"/>
      <c r="P19" s="442"/>
      <c r="Q19" s="442"/>
      <c r="R19" s="442"/>
      <c r="S19" s="442"/>
      <c r="T19" s="39"/>
    </row>
    <row r="20" customFormat="false" ht="15.75" hidden="false" customHeight="true" outlineLevel="0" collapsed="false">
      <c r="B20" s="39"/>
      <c r="C20" s="442"/>
      <c r="D20" s="442"/>
      <c r="E20" s="442"/>
      <c r="F20" s="442"/>
      <c r="G20" s="442"/>
      <c r="H20" s="442"/>
      <c r="I20" s="442"/>
      <c r="J20" s="442"/>
      <c r="K20" s="442"/>
      <c r="L20" s="442"/>
      <c r="M20" s="442"/>
      <c r="N20" s="442"/>
      <c r="O20" s="442"/>
      <c r="P20" s="442"/>
      <c r="Q20" s="442"/>
      <c r="R20" s="442"/>
      <c r="S20" s="442"/>
      <c r="T20" s="39"/>
    </row>
    <row r="21" customFormat="false" ht="15.75" hidden="false" customHeight="false" outlineLevel="0" collapsed="false">
      <c r="B21" s="39"/>
      <c r="D21" s="36"/>
      <c r="E21" s="36"/>
      <c r="T21" s="39"/>
    </row>
    <row r="22" customFormat="false" ht="45" hidden="false" customHeight="true" outlineLevel="0" collapsed="false">
      <c r="B22" s="39"/>
      <c r="D22" s="263" t="s">
        <v>36</v>
      </c>
      <c r="E22" s="264" t="s">
        <v>92</v>
      </c>
      <c r="F22" s="265" t="s">
        <v>6</v>
      </c>
      <c r="G22" s="265"/>
      <c r="H22" s="266" t="s">
        <v>110</v>
      </c>
      <c r="I22" s="266"/>
      <c r="J22" s="266"/>
      <c r="K22" s="264" t="s">
        <v>39</v>
      </c>
      <c r="L22" s="266" t="s">
        <v>40</v>
      </c>
      <c r="M22" s="266"/>
      <c r="N22" s="266"/>
      <c r="O22" s="266"/>
      <c r="P22" s="266"/>
      <c r="Q22" s="266"/>
      <c r="R22" s="266"/>
      <c r="T22" s="39"/>
    </row>
    <row r="23" customFormat="false" ht="15.75" hidden="false" customHeight="false" outlineLevel="0" collapsed="false">
      <c r="B23" s="39"/>
      <c r="D23" s="263"/>
      <c r="E23" s="264"/>
      <c r="F23" s="265"/>
      <c r="G23" s="265"/>
      <c r="H23" s="267" t="s">
        <v>41</v>
      </c>
      <c r="I23" s="268" t="s">
        <v>42</v>
      </c>
      <c r="J23" s="268" t="s">
        <v>111</v>
      </c>
      <c r="K23" s="269" t="s">
        <v>43</v>
      </c>
      <c r="L23" s="270" t="s">
        <v>44</v>
      </c>
      <c r="M23" s="270" t="s">
        <v>42</v>
      </c>
      <c r="N23" s="271"/>
      <c r="O23" s="271"/>
      <c r="P23" s="271"/>
      <c r="Q23" s="271"/>
      <c r="R23" s="267" t="s">
        <v>111</v>
      </c>
      <c r="T23" s="39"/>
    </row>
    <row r="24" customFormat="false" ht="35.05" hidden="false" customHeight="false" outlineLevel="0" collapsed="false">
      <c r="B24" s="39"/>
      <c r="D24" s="6" t="s">
        <v>7</v>
      </c>
      <c r="E24" s="229" t="s">
        <v>143</v>
      </c>
      <c r="F24" s="12" t="n">
        <v>1</v>
      </c>
      <c r="G24" s="12"/>
      <c r="H24" s="273" t="s">
        <v>51</v>
      </c>
      <c r="I24" s="202" t="s">
        <v>154</v>
      </c>
      <c r="J24" s="274" t="s">
        <v>85</v>
      </c>
      <c r="K24" s="549" t="s">
        <v>183</v>
      </c>
      <c r="L24" s="272" t="s">
        <v>46</v>
      </c>
      <c r="M24" s="276" t="s">
        <v>46</v>
      </c>
      <c r="N24" s="277"/>
      <c r="O24" s="277"/>
      <c r="P24" s="277"/>
      <c r="Q24" s="277"/>
      <c r="R24" s="173" t="s">
        <v>46</v>
      </c>
      <c r="T24" s="39"/>
    </row>
    <row r="25" customFormat="false" ht="91" hidden="false" customHeight="false" outlineLevel="0" collapsed="false">
      <c r="B25" s="39"/>
      <c r="D25" s="13" t="s">
        <v>14</v>
      </c>
      <c r="E25" s="237" t="s">
        <v>95</v>
      </c>
      <c r="F25" s="19" t="n">
        <v>2</v>
      </c>
      <c r="G25" s="19"/>
      <c r="H25" s="279" t="s">
        <v>112</v>
      </c>
      <c r="I25" s="178" t="s">
        <v>184</v>
      </c>
      <c r="J25" s="280" t="s">
        <v>185</v>
      </c>
      <c r="K25" s="281" t="s">
        <v>50</v>
      </c>
      <c r="L25" s="278" t="s">
        <v>46</v>
      </c>
      <c r="M25" s="282" t="s">
        <v>46</v>
      </c>
      <c r="N25" s="283"/>
      <c r="O25" s="283"/>
      <c r="P25" s="283"/>
      <c r="Q25" s="283"/>
      <c r="R25" s="176" t="s">
        <v>46</v>
      </c>
      <c r="T25" s="39"/>
    </row>
    <row r="26" customFormat="false" ht="120" hidden="false" customHeight="false" outlineLevel="0" collapsed="false">
      <c r="B26" s="39"/>
      <c r="D26" s="13" t="s">
        <v>20</v>
      </c>
      <c r="E26" s="237" t="s">
        <v>102</v>
      </c>
      <c r="F26" s="19" t="n">
        <v>3</v>
      </c>
      <c r="G26" s="19"/>
      <c r="H26" s="284" t="s">
        <v>183</v>
      </c>
      <c r="I26" s="178" t="s">
        <v>46</v>
      </c>
      <c r="J26" s="285" t="s">
        <v>185</v>
      </c>
      <c r="K26" s="281" t="s">
        <v>50</v>
      </c>
      <c r="L26" s="550" t="s">
        <v>150</v>
      </c>
      <c r="M26" s="376" t="s">
        <v>186</v>
      </c>
      <c r="N26" s="283"/>
      <c r="O26" s="283"/>
      <c r="P26" s="283"/>
      <c r="Q26" s="283"/>
      <c r="R26" s="176" t="s">
        <v>185</v>
      </c>
      <c r="T26" s="39"/>
    </row>
    <row r="27" customFormat="false" ht="45.75" hidden="false" customHeight="false" outlineLevel="0" collapsed="false">
      <c r="B27" s="39"/>
      <c r="D27" s="29" t="s">
        <v>31</v>
      </c>
      <c r="E27" s="240" t="s">
        <v>144</v>
      </c>
      <c r="F27" s="23" t="n">
        <v>4</v>
      </c>
      <c r="G27" s="23"/>
      <c r="H27" s="288" t="s">
        <v>187</v>
      </c>
      <c r="I27" s="179" t="s">
        <v>188</v>
      </c>
      <c r="J27" s="289" t="s">
        <v>185</v>
      </c>
      <c r="K27" s="551" t="s">
        <v>183</v>
      </c>
      <c r="L27" s="287" t="s">
        <v>46</v>
      </c>
      <c r="M27" s="291" t="s">
        <v>46</v>
      </c>
      <c r="N27" s="292"/>
      <c r="O27" s="292"/>
      <c r="P27" s="292"/>
      <c r="Q27" s="292"/>
      <c r="R27" s="208" t="s">
        <v>46</v>
      </c>
      <c r="T27" s="39"/>
    </row>
    <row r="28" customFormat="false" ht="15" hidden="false" customHeight="false" outlineLevel="0" collapsed="false">
      <c r="B28" s="39"/>
      <c r="D28" s="36"/>
      <c r="E28" s="36"/>
      <c r="T28" s="39"/>
    </row>
    <row r="29" customFormat="false" ht="15.75" hidden="false" customHeight="false" outlineLevel="0" collapsed="false">
      <c r="B29" s="39"/>
      <c r="C29" s="76"/>
      <c r="D29" s="76"/>
      <c r="E29" s="77" t="str">
        <f aca="false">IF(OR(L24="-",L24= ""),H24,L24)</f>
        <v>Marco Polo</v>
      </c>
      <c r="F29" s="77"/>
      <c r="G29" s="77"/>
      <c r="H29" s="77"/>
      <c r="I29" s="77"/>
      <c r="J29" s="77"/>
      <c r="K29" s="77"/>
      <c r="L29" s="77"/>
      <c r="M29" s="77"/>
      <c r="N29" s="78"/>
      <c r="O29" s="78"/>
      <c r="P29" s="78"/>
      <c r="Q29" s="78"/>
      <c r="R29" s="78"/>
      <c r="S29" s="76"/>
      <c r="T29" s="39"/>
    </row>
    <row r="30" customFormat="false" ht="60" hidden="false" customHeight="true" outlineLevel="0" collapsed="false">
      <c r="B30" s="39"/>
      <c r="C30" s="76"/>
      <c r="D30" s="78"/>
      <c r="E30" s="263" t="s">
        <v>36</v>
      </c>
      <c r="F30" s="266" t="s">
        <v>92</v>
      </c>
      <c r="G30" s="266"/>
      <c r="H30" s="263" t="s">
        <v>52</v>
      </c>
      <c r="I30" s="294" t="s">
        <v>53</v>
      </c>
      <c r="J30" s="295" t="s">
        <v>54</v>
      </c>
      <c r="K30" s="264" t="s">
        <v>55</v>
      </c>
      <c r="L30" s="296" t="s">
        <v>56</v>
      </c>
      <c r="M30" s="294" t="s">
        <v>57</v>
      </c>
      <c r="N30" s="43" t="s">
        <v>58</v>
      </c>
      <c r="O30" s="79" t="s">
        <v>59</v>
      </c>
      <c r="P30" s="79" t="s">
        <v>60</v>
      </c>
      <c r="Q30" s="79" t="s">
        <v>61</v>
      </c>
      <c r="R30" s="78"/>
      <c r="S30" s="76"/>
      <c r="T30" s="39"/>
    </row>
    <row r="31" customFormat="false" ht="45" hidden="false" customHeight="true" outlineLevel="0" collapsed="false">
      <c r="B31" s="39"/>
      <c r="C31" s="76"/>
      <c r="D31" s="297"/>
      <c r="E31" s="180" t="s">
        <v>7</v>
      </c>
      <c r="F31" s="299" t="s">
        <v>143</v>
      </c>
      <c r="G31" s="299"/>
      <c r="H31" s="182" t="n">
        <v>4</v>
      </c>
      <c r="I31" s="182" t="n">
        <v>88</v>
      </c>
      <c r="J31" s="182" t="s">
        <v>46</v>
      </c>
      <c r="K31" s="183" t="n">
        <f aca="false">IF(I31="",0,(I31/I35)*100)</f>
        <v>100</v>
      </c>
      <c r="L31" s="182" t="n">
        <v>1</v>
      </c>
      <c r="M31" s="300" t="n">
        <v>6</v>
      </c>
      <c r="N31" s="301" t="n">
        <f aca="false">IF(L31=1,1,0)</f>
        <v>1</v>
      </c>
      <c r="O31" s="85" t="n">
        <f aca="false">IF(L31=2,1,0)</f>
        <v>0</v>
      </c>
      <c r="P31" s="85" t="n">
        <f aca="false">IF(L31=3,1,0)</f>
        <v>0</v>
      </c>
      <c r="Q31" s="84" t="n">
        <f aca="false">IF(L31=4,1,0)</f>
        <v>0</v>
      </c>
      <c r="R31" s="302"/>
      <c r="S31" s="76"/>
      <c r="T31" s="39"/>
    </row>
    <row r="32" customFormat="false" ht="45" hidden="false" customHeight="true" outlineLevel="0" collapsed="false">
      <c r="B32" s="39"/>
      <c r="C32" s="76"/>
      <c r="D32" s="297"/>
      <c r="E32" s="13" t="s">
        <v>14</v>
      </c>
      <c r="F32" s="552" t="s">
        <v>95</v>
      </c>
      <c r="G32" s="552"/>
      <c r="H32" s="324" t="n">
        <v>2</v>
      </c>
      <c r="I32" s="324" t="n">
        <v>61</v>
      </c>
      <c r="J32" s="324" t="s">
        <v>46</v>
      </c>
      <c r="K32" s="341" t="n">
        <f aca="false">IF(I32="",0,(I32/I35)*100)</f>
        <v>69.3181818181818</v>
      </c>
      <c r="L32" s="324" t="n">
        <v>3</v>
      </c>
      <c r="M32" s="327" t="n">
        <v>1</v>
      </c>
      <c r="N32" s="305" t="n">
        <f aca="false">IF(L32=1,1,0)</f>
        <v>0</v>
      </c>
      <c r="O32" s="88" t="n">
        <f aca="false">IF(L32=2,1,0)</f>
        <v>0</v>
      </c>
      <c r="P32" s="88" t="n">
        <f aca="false">IF(L32=3,1,0)</f>
        <v>1</v>
      </c>
      <c r="Q32" s="87" t="n">
        <f aca="false">IF(L32=4,1,0)</f>
        <v>0</v>
      </c>
      <c r="R32" s="302"/>
      <c r="S32" s="76"/>
      <c r="T32" s="39"/>
    </row>
    <row r="33" customFormat="false" ht="45" hidden="false" customHeight="true" outlineLevel="0" collapsed="false">
      <c r="B33" s="39"/>
      <c r="C33" s="76"/>
      <c r="D33" s="297"/>
      <c r="E33" s="13" t="s">
        <v>20</v>
      </c>
      <c r="F33" s="552" t="s">
        <v>102</v>
      </c>
      <c r="G33" s="552"/>
      <c r="H33" s="324" t="n">
        <v>3</v>
      </c>
      <c r="I33" s="324" t="n">
        <v>79</v>
      </c>
      <c r="J33" s="324" t="s">
        <v>46</v>
      </c>
      <c r="K33" s="341" t="n">
        <f aca="false">IF(I33="",0,(I33/I35)*100)</f>
        <v>89.7727272727273</v>
      </c>
      <c r="L33" s="324" t="n">
        <v>2</v>
      </c>
      <c r="M33" s="327" t="n">
        <v>3</v>
      </c>
      <c r="N33" s="305" t="n">
        <f aca="false">IF(L33=1,1,0)</f>
        <v>0</v>
      </c>
      <c r="O33" s="88" t="n">
        <f aca="false">IF(L33=2,1,0)</f>
        <v>1</v>
      </c>
      <c r="P33" s="88" t="n">
        <f aca="false">IF(L33=3,1,0)</f>
        <v>0</v>
      </c>
      <c r="Q33" s="87" t="n">
        <f aca="false">IF(L33=4,1,0)</f>
        <v>0</v>
      </c>
      <c r="R33" s="302"/>
      <c r="S33" s="76"/>
      <c r="T33" s="39"/>
    </row>
    <row r="34" customFormat="false" ht="45" hidden="false" customHeight="true" outlineLevel="0" collapsed="false">
      <c r="B34" s="39"/>
      <c r="C34" s="76"/>
      <c r="D34" s="306"/>
      <c r="E34" s="29" t="s">
        <v>31</v>
      </c>
      <c r="F34" s="308" t="s">
        <v>144</v>
      </c>
      <c r="G34" s="308"/>
      <c r="H34" s="186" t="n">
        <v>1</v>
      </c>
      <c r="I34" s="186" t="n">
        <v>52</v>
      </c>
      <c r="J34" s="186" t="s">
        <v>46</v>
      </c>
      <c r="K34" s="116" t="n">
        <f aca="false">IF(I34="",0,(I34/I35)*100)</f>
        <v>59.0909090909091</v>
      </c>
      <c r="L34" s="186" t="n">
        <v>4</v>
      </c>
      <c r="M34" s="309" t="n">
        <v>0</v>
      </c>
      <c r="N34" s="310" t="n">
        <f aca="false">IF(L34=1,1,0)</f>
        <v>0</v>
      </c>
      <c r="O34" s="95" t="n">
        <f aca="false">IF(L34=2,1,0)</f>
        <v>0</v>
      </c>
      <c r="P34" s="95" t="n">
        <f aca="false">IF(L34=3,1,0)</f>
        <v>0</v>
      </c>
      <c r="Q34" s="117" t="n">
        <f aca="false">IF(L34=4,1,0)</f>
        <v>1</v>
      </c>
      <c r="R34" s="302"/>
      <c r="S34" s="76"/>
      <c r="T34" s="39"/>
    </row>
    <row r="35" customFormat="false" ht="15.75" hidden="true" customHeight="false" outlineLevel="1" collapsed="false">
      <c r="B35" s="39"/>
      <c r="C35" s="76"/>
      <c r="D35" s="311"/>
      <c r="E35" s="311"/>
      <c r="F35" s="312"/>
      <c r="G35" s="312"/>
      <c r="H35" s="97" t="s">
        <v>62</v>
      </c>
      <c r="I35" s="98" t="n">
        <f aca="false">MAX(I31:I34)</f>
        <v>88</v>
      </c>
      <c r="J35" s="313"/>
      <c r="K35" s="314"/>
      <c r="L35" s="313"/>
      <c r="M35" s="315" t="s">
        <v>63</v>
      </c>
      <c r="N35" s="102" t="n">
        <f aca="false">SUM(N31:N34)</f>
        <v>1</v>
      </c>
      <c r="O35" s="103" t="n">
        <f aca="false">SUM(O31:O34)</f>
        <v>1</v>
      </c>
      <c r="P35" s="102" t="n">
        <f aca="false">SUM(P31:P34)</f>
        <v>1</v>
      </c>
      <c r="Q35" s="102" t="n">
        <f aca="false">SUM(Q31:Q34)</f>
        <v>1</v>
      </c>
      <c r="R35" s="316"/>
      <c r="S35" s="76"/>
      <c r="T35" s="39"/>
    </row>
    <row r="36" customFormat="false" ht="15" hidden="false" customHeight="false" outlineLevel="0" collapsed="false">
      <c r="B36" s="39"/>
      <c r="C36" s="76"/>
      <c r="D36" s="105"/>
      <c r="E36" s="105"/>
      <c r="F36" s="106"/>
      <c r="G36" s="106"/>
      <c r="H36" s="78"/>
      <c r="I36" s="76"/>
      <c r="J36" s="76"/>
      <c r="K36" s="76"/>
      <c r="L36" s="76"/>
      <c r="M36" s="76"/>
      <c r="N36" s="76"/>
      <c r="O36" s="76"/>
      <c r="P36" s="76"/>
      <c r="Q36" s="76"/>
      <c r="R36" s="76"/>
      <c r="S36" s="76"/>
      <c r="T36" s="39"/>
    </row>
    <row r="37" customFormat="false" ht="15" hidden="false" customHeight="false" outlineLevel="0" collapsed="false">
      <c r="B37" s="39"/>
      <c r="F37" s="120"/>
      <c r="G37" s="120"/>
      <c r="T37" s="39"/>
    </row>
    <row r="38" customFormat="false" ht="15.75" hidden="false" customHeight="false" outlineLevel="0" collapsed="false">
      <c r="B38" s="39"/>
      <c r="C38" s="107"/>
      <c r="D38" s="107"/>
      <c r="E38" s="108" t="str">
        <f aca="false">IF(OR(L25="-",L25= ""),H25,L25)</f>
        <v>Terra Mystica</v>
      </c>
      <c r="F38" s="108"/>
      <c r="G38" s="108"/>
      <c r="H38" s="108"/>
      <c r="I38" s="108"/>
      <c r="J38" s="108"/>
      <c r="K38" s="108"/>
      <c r="L38" s="108"/>
      <c r="M38" s="108"/>
      <c r="N38" s="109"/>
      <c r="O38" s="109"/>
      <c r="P38" s="109"/>
      <c r="Q38" s="109"/>
      <c r="R38" s="109"/>
      <c r="S38" s="107"/>
      <c r="T38" s="39"/>
    </row>
    <row r="39" customFormat="false" ht="60" hidden="false" customHeight="true" outlineLevel="0" collapsed="false">
      <c r="B39" s="39"/>
      <c r="C39" s="107"/>
      <c r="D39" s="109"/>
      <c r="E39" s="263" t="s">
        <v>36</v>
      </c>
      <c r="F39" s="318" t="s">
        <v>92</v>
      </c>
      <c r="G39" s="318"/>
      <c r="H39" s="294" t="s">
        <v>52</v>
      </c>
      <c r="I39" s="294" t="s">
        <v>53</v>
      </c>
      <c r="J39" s="295" t="s">
        <v>54</v>
      </c>
      <c r="K39" s="264" t="s">
        <v>55</v>
      </c>
      <c r="L39" s="296" t="s">
        <v>56</v>
      </c>
      <c r="M39" s="294" t="s">
        <v>57</v>
      </c>
      <c r="N39" s="43" t="s">
        <v>58</v>
      </c>
      <c r="O39" s="79" t="s">
        <v>59</v>
      </c>
      <c r="P39" s="79" t="s">
        <v>60</v>
      </c>
      <c r="Q39" s="79" t="s">
        <v>61</v>
      </c>
      <c r="R39" s="109"/>
      <c r="S39" s="107"/>
      <c r="T39" s="39"/>
    </row>
    <row r="40" customFormat="false" ht="45" hidden="false" customHeight="true" outlineLevel="0" collapsed="false">
      <c r="B40" s="39"/>
      <c r="C40" s="107"/>
      <c r="D40" s="319"/>
      <c r="E40" s="6" t="s">
        <v>7</v>
      </c>
      <c r="F40" s="385" t="s">
        <v>143</v>
      </c>
      <c r="G40" s="385"/>
      <c r="H40" s="387" t="n">
        <v>2</v>
      </c>
      <c r="I40" s="553" t="n">
        <v>144</v>
      </c>
      <c r="J40" s="553" t="s">
        <v>46</v>
      </c>
      <c r="K40" s="554" t="n">
        <f aca="false">IF(I40="",0,(I40/I44)*100)</f>
        <v>88.3435582822086</v>
      </c>
      <c r="L40" s="387" t="n">
        <v>2</v>
      </c>
      <c r="M40" s="389" t="n">
        <v>3</v>
      </c>
      <c r="N40" s="301" t="n">
        <f aca="false">IF(L40=1,1,0)</f>
        <v>0</v>
      </c>
      <c r="O40" s="85" t="n">
        <f aca="false">IF(L40=2,1,0)</f>
        <v>1</v>
      </c>
      <c r="P40" s="85" t="n">
        <f aca="false">IF(L40=3,1,0)</f>
        <v>0</v>
      </c>
      <c r="Q40" s="84" t="n">
        <f aca="false">IF(L40=4,1,0)</f>
        <v>0</v>
      </c>
      <c r="R40" s="322"/>
      <c r="S40" s="107"/>
      <c r="T40" s="39"/>
    </row>
    <row r="41" customFormat="false" ht="45" hidden="false" customHeight="true" outlineLevel="0" collapsed="false">
      <c r="B41" s="39"/>
      <c r="C41" s="107"/>
      <c r="D41" s="323"/>
      <c r="E41" s="110" t="s">
        <v>14</v>
      </c>
      <c r="F41" s="343" t="s">
        <v>95</v>
      </c>
      <c r="G41" s="343"/>
      <c r="H41" s="112" t="n">
        <v>1</v>
      </c>
      <c r="I41" s="508" t="n">
        <v>163</v>
      </c>
      <c r="J41" s="112" t="s">
        <v>46</v>
      </c>
      <c r="K41" s="555" t="n">
        <f aca="false">IF(I41="",0,(I41/I44)*100)</f>
        <v>100</v>
      </c>
      <c r="L41" s="112" t="n">
        <v>1</v>
      </c>
      <c r="M41" s="344" t="n">
        <v>6</v>
      </c>
      <c r="N41" s="305" t="n">
        <f aca="false">IF(L41=1,1,0)</f>
        <v>1</v>
      </c>
      <c r="O41" s="88" t="n">
        <f aca="false">IF(L41=2,1,0)</f>
        <v>0</v>
      </c>
      <c r="P41" s="88" t="n">
        <f aca="false">IF(L41=3,1,0)</f>
        <v>0</v>
      </c>
      <c r="Q41" s="87" t="n">
        <f aca="false">IF(L41=4,1,0)</f>
        <v>0</v>
      </c>
      <c r="R41" s="322"/>
      <c r="S41" s="107"/>
      <c r="T41" s="39"/>
    </row>
    <row r="42" customFormat="false" ht="45" hidden="false" customHeight="true" outlineLevel="0" collapsed="false">
      <c r="B42" s="39"/>
      <c r="C42" s="107"/>
      <c r="D42" s="319"/>
      <c r="E42" s="13" t="s">
        <v>20</v>
      </c>
      <c r="F42" s="552" t="s">
        <v>102</v>
      </c>
      <c r="G42" s="552"/>
      <c r="H42" s="324" t="n">
        <v>3</v>
      </c>
      <c r="I42" s="325" t="n">
        <v>132</v>
      </c>
      <c r="J42" s="325" t="s">
        <v>46</v>
      </c>
      <c r="K42" s="326" t="n">
        <f aca="false">IF(I42="",0,(I42/I44)*100)</f>
        <v>80.9815950920245</v>
      </c>
      <c r="L42" s="324" t="n">
        <v>3</v>
      </c>
      <c r="M42" s="327" t="n">
        <v>1</v>
      </c>
      <c r="N42" s="305" t="n">
        <f aca="false">IF(L42=1,1,0)</f>
        <v>0</v>
      </c>
      <c r="O42" s="88" t="n">
        <f aca="false">IF(L42=2,1,0)</f>
        <v>0</v>
      </c>
      <c r="P42" s="88" t="n">
        <f aca="false">IF(L42=3,1,0)</f>
        <v>1</v>
      </c>
      <c r="Q42" s="87" t="n">
        <f aca="false">IF(L42=4,1,0)</f>
        <v>0</v>
      </c>
      <c r="R42" s="322"/>
      <c r="S42" s="107"/>
      <c r="T42" s="39"/>
    </row>
    <row r="43" customFormat="false" ht="45" hidden="false" customHeight="true" outlineLevel="0" collapsed="false">
      <c r="B43" s="39"/>
      <c r="C43" s="107"/>
      <c r="D43" s="319"/>
      <c r="E43" s="29" t="s">
        <v>31</v>
      </c>
      <c r="F43" s="308" t="s">
        <v>144</v>
      </c>
      <c r="G43" s="308"/>
      <c r="H43" s="186" t="n">
        <v>4</v>
      </c>
      <c r="I43" s="352" t="n">
        <v>103</v>
      </c>
      <c r="J43" s="186" t="s">
        <v>46</v>
      </c>
      <c r="K43" s="330" t="n">
        <f aca="false">IF(I43="",0,(I43/I44)*100)</f>
        <v>63.1901840490798</v>
      </c>
      <c r="L43" s="186" t="n">
        <v>4</v>
      </c>
      <c r="M43" s="309" t="n">
        <v>0</v>
      </c>
      <c r="N43" s="310" t="n">
        <f aca="false">IF(L43=1,1,0)</f>
        <v>0</v>
      </c>
      <c r="O43" s="95" t="n">
        <f aca="false">IF(L43=2,1,0)</f>
        <v>0</v>
      </c>
      <c r="P43" s="95" t="n">
        <f aca="false">IF(L43=3,1,0)</f>
        <v>0</v>
      </c>
      <c r="Q43" s="117" t="n">
        <f aca="false">IF(L43=4,1,0)</f>
        <v>1</v>
      </c>
      <c r="R43" s="322"/>
      <c r="S43" s="107"/>
      <c r="T43" s="39"/>
    </row>
    <row r="44" customFormat="false" ht="15.75" hidden="true" customHeight="false" outlineLevel="1" collapsed="false">
      <c r="B44" s="39"/>
      <c r="C44" s="107"/>
      <c r="D44" s="319"/>
      <c r="E44" s="319"/>
      <c r="F44" s="109"/>
      <c r="G44" s="109"/>
      <c r="H44" s="331" t="s">
        <v>62</v>
      </c>
      <c r="I44" s="98" t="n">
        <f aca="false">MAX(I40:I43)</f>
        <v>163</v>
      </c>
      <c r="J44" s="322"/>
      <c r="K44" s="332"/>
      <c r="L44" s="322"/>
      <c r="M44" s="333" t="s">
        <v>63</v>
      </c>
      <c r="N44" s="102" t="n">
        <f aca="false">SUM(N40:N43)</f>
        <v>1</v>
      </c>
      <c r="O44" s="103" t="n">
        <f aca="false">SUM(O40:O43)</f>
        <v>1</v>
      </c>
      <c r="P44" s="102" t="n">
        <f aca="false">SUM(P40:P43)</f>
        <v>1</v>
      </c>
      <c r="Q44" s="104" t="n">
        <f aca="false">SUM(Q40:Q43)</f>
        <v>1</v>
      </c>
      <c r="R44" s="334"/>
      <c r="S44" s="107"/>
      <c r="T44" s="39"/>
    </row>
    <row r="45" customFormat="false" ht="15" hidden="false" customHeight="false" outlineLevel="0" collapsed="false">
      <c r="B45" s="39"/>
      <c r="C45" s="107"/>
      <c r="D45" s="123"/>
      <c r="E45" s="123"/>
      <c r="F45" s="107"/>
      <c r="G45" s="107"/>
      <c r="H45" s="107"/>
      <c r="I45" s="107"/>
      <c r="J45" s="107"/>
      <c r="K45" s="107"/>
      <c r="L45" s="107"/>
      <c r="M45" s="107"/>
      <c r="N45" s="107"/>
      <c r="O45" s="107"/>
      <c r="P45" s="107"/>
      <c r="Q45" s="107"/>
      <c r="R45" s="107"/>
      <c r="S45" s="107"/>
      <c r="T45" s="39"/>
    </row>
    <row r="46" customFormat="false" ht="15" hidden="false" customHeight="false" outlineLevel="0" collapsed="false">
      <c r="B46" s="39"/>
      <c r="D46" s="124"/>
      <c r="E46" s="124"/>
      <c r="F46" s="124"/>
      <c r="G46" s="124"/>
      <c r="H46" s="125"/>
      <c r="I46" s="124"/>
      <c r="J46" s="124"/>
      <c r="K46" s="36"/>
      <c r="L46" s="36"/>
      <c r="M46" s="36"/>
      <c r="N46" s="36"/>
      <c r="O46" s="36"/>
      <c r="P46" s="36"/>
      <c r="Q46" s="36"/>
      <c r="R46" s="36"/>
      <c r="T46" s="39"/>
    </row>
    <row r="47" customFormat="false" ht="15" hidden="false" customHeight="true" outlineLevel="0" collapsed="false">
      <c r="B47" s="39"/>
      <c r="C47" s="126"/>
      <c r="D47" s="126"/>
      <c r="E47" s="127" t="str">
        <f aca="false">IF(OR(L26="-",L26= ""),H26,L26)</f>
        <v>Agricola</v>
      </c>
      <c r="F47" s="127"/>
      <c r="G47" s="127"/>
      <c r="H47" s="127"/>
      <c r="I47" s="127"/>
      <c r="J47" s="127"/>
      <c r="K47" s="127"/>
      <c r="L47" s="127"/>
      <c r="M47" s="127"/>
      <c r="N47" s="128"/>
      <c r="O47" s="128"/>
      <c r="P47" s="128"/>
      <c r="Q47" s="128"/>
      <c r="R47" s="128"/>
      <c r="S47" s="126"/>
      <c r="T47" s="129"/>
      <c r="U47" s="130"/>
      <c r="V47" s="130"/>
    </row>
    <row r="48" customFormat="false" ht="60" hidden="false" customHeight="true" outlineLevel="0" collapsed="false">
      <c r="B48" s="39"/>
      <c r="C48" s="126"/>
      <c r="D48" s="128"/>
      <c r="E48" s="263" t="s">
        <v>36</v>
      </c>
      <c r="F48" s="266" t="s">
        <v>92</v>
      </c>
      <c r="G48" s="266"/>
      <c r="H48" s="265" t="s">
        <v>52</v>
      </c>
      <c r="I48" s="294" t="s">
        <v>53</v>
      </c>
      <c r="J48" s="295" t="s">
        <v>54</v>
      </c>
      <c r="K48" s="264" t="s">
        <v>55</v>
      </c>
      <c r="L48" s="296" t="s">
        <v>56</v>
      </c>
      <c r="M48" s="294" t="s">
        <v>57</v>
      </c>
      <c r="N48" s="43" t="s">
        <v>58</v>
      </c>
      <c r="O48" s="79" t="s">
        <v>59</v>
      </c>
      <c r="P48" s="79" t="s">
        <v>60</v>
      </c>
      <c r="Q48" s="82" t="s">
        <v>61</v>
      </c>
      <c r="R48" s="128"/>
      <c r="S48" s="126"/>
      <c r="T48" s="129"/>
      <c r="U48" s="130"/>
      <c r="V48" s="130"/>
    </row>
    <row r="49" customFormat="false" ht="45" hidden="false" customHeight="true" outlineLevel="0" collapsed="false">
      <c r="B49" s="39"/>
      <c r="C49" s="126"/>
      <c r="D49" s="336"/>
      <c r="E49" s="6" t="s">
        <v>7</v>
      </c>
      <c r="F49" s="385" t="s">
        <v>143</v>
      </c>
      <c r="G49" s="385"/>
      <c r="H49" s="387" t="n">
        <v>4</v>
      </c>
      <c r="I49" s="387" t="n">
        <v>41</v>
      </c>
      <c r="J49" s="387" t="s">
        <v>46</v>
      </c>
      <c r="K49" s="388" t="n">
        <f aca="false">IF(I49="",0,(I49/I53)*100)</f>
        <v>75.9259259259259</v>
      </c>
      <c r="L49" s="387" t="n">
        <v>2</v>
      </c>
      <c r="M49" s="389" t="n">
        <v>3</v>
      </c>
      <c r="N49" s="85" t="n">
        <f aca="false">IF(L49=1,1,0)</f>
        <v>0</v>
      </c>
      <c r="O49" s="85" t="n">
        <f aca="false">IF(L49=2,1,0)</f>
        <v>1</v>
      </c>
      <c r="P49" s="85" t="n">
        <f aca="false">IF(L49=3,1,0)</f>
        <v>0</v>
      </c>
      <c r="Q49" s="84" t="n">
        <f aca="false">IF(L49=4,1,0)</f>
        <v>0</v>
      </c>
      <c r="R49" s="339"/>
      <c r="S49" s="126"/>
      <c r="T49" s="131"/>
      <c r="U49" s="36"/>
      <c r="V49" s="36"/>
    </row>
    <row r="50" customFormat="false" ht="45" hidden="false" customHeight="true" outlineLevel="0" collapsed="false">
      <c r="B50" s="39"/>
      <c r="C50" s="126"/>
      <c r="D50" s="340"/>
      <c r="E50" s="110" t="s">
        <v>14</v>
      </c>
      <c r="F50" s="343" t="s">
        <v>95</v>
      </c>
      <c r="G50" s="343"/>
      <c r="H50" s="112" t="n">
        <v>1</v>
      </c>
      <c r="I50" s="112" t="n">
        <v>54</v>
      </c>
      <c r="J50" s="112" t="s">
        <v>46</v>
      </c>
      <c r="K50" s="113" t="n">
        <f aca="false">IF(I50="",0,(I50/I53)*100)</f>
        <v>100</v>
      </c>
      <c r="L50" s="112" t="n">
        <v>1</v>
      </c>
      <c r="M50" s="344" t="n">
        <v>6</v>
      </c>
      <c r="N50" s="88" t="n">
        <f aca="false">IF(L50=1,1,0)</f>
        <v>1</v>
      </c>
      <c r="O50" s="88" t="n">
        <f aca="false">IF(L50=2,1,0)</f>
        <v>0</v>
      </c>
      <c r="P50" s="88" t="n">
        <f aca="false">IF(L50=3,1,0)</f>
        <v>0</v>
      </c>
      <c r="Q50" s="87" t="n">
        <f aca="false">IF(L50=4,1,0)</f>
        <v>0</v>
      </c>
      <c r="R50" s="339"/>
      <c r="S50" s="126"/>
      <c r="T50" s="132"/>
      <c r="U50" s="36"/>
      <c r="V50" s="36"/>
    </row>
    <row r="51" customFormat="false" ht="45" hidden="false" customHeight="true" outlineLevel="0" collapsed="false">
      <c r="B51" s="39"/>
      <c r="C51" s="126"/>
      <c r="D51" s="336"/>
      <c r="E51" s="13" t="s">
        <v>20</v>
      </c>
      <c r="F51" s="552" t="s">
        <v>102</v>
      </c>
      <c r="G51" s="552"/>
      <c r="H51" s="324" t="n">
        <v>2</v>
      </c>
      <c r="I51" s="324" t="n">
        <v>31</v>
      </c>
      <c r="J51" s="324" t="s">
        <v>46</v>
      </c>
      <c r="K51" s="341" t="n">
        <f aca="false">IF(I51="",0,(I51/I53)*100)</f>
        <v>57.4074074074074</v>
      </c>
      <c r="L51" s="324" t="n">
        <v>4</v>
      </c>
      <c r="M51" s="327" t="n">
        <v>0</v>
      </c>
      <c r="N51" s="88" t="n">
        <f aca="false">IF(L51=1,1,0)</f>
        <v>0</v>
      </c>
      <c r="O51" s="88" t="n">
        <f aca="false">IF(L51=2,1,0)</f>
        <v>0</v>
      </c>
      <c r="P51" s="88" t="n">
        <f aca="false">IF(L51=3,1,0)</f>
        <v>0</v>
      </c>
      <c r="Q51" s="87" t="n">
        <f aca="false">IF(L51=4,1,0)</f>
        <v>1</v>
      </c>
      <c r="R51" s="339"/>
      <c r="S51" s="126"/>
      <c r="T51" s="132"/>
      <c r="U51" s="36"/>
      <c r="V51" s="36"/>
    </row>
    <row r="52" customFormat="false" ht="45" hidden="false" customHeight="true" outlineLevel="0" collapsed="false">
      <c r="B52" s="39"/>
      <c r="C52" s="126"/>
      <c r="D52" s="336"/>
      <c r="E52" s="29" t="s">
        <v>31</v>
      </c>
      <c r="F52" s="308" t="s">
        <v>144</v>
      </c>
      <c r="G52" s="308"/>
      <c r="H52" s="186" t="n">
        <v>3</v>
      </c>
      <c r="I52" s="186" t="n">
        <v>38</v>
      </c>
      <c r="J52" s="186" t="s">
        <v>46</v>
      </c>
      <c r="K52" s="116" t="n">
        <f aca="false">IF(I52="",0,(I52/I53)*100)</f>
        <v>70.3703703703704</v>
      </c>
      <c r="L52" s="186" t="n">
        <v>3</v>
      </c>
      <c r="M52" s="309" t="n">
        <v>1</v>
      </c>
      <c r="N52" s="95" t="n">
        <f aca="false">IF(L52=1,1,0)</f>
        <v>0</v>
      </c>
      <c r="O52" s="95" t="n">
        <f aca="false">IF(L52=2,1,0)</f>
        <v>0</v>
      </c>
      <c r="P52" s="95" t="n">
        <f aca="false">IF(L52=3,1,0)</f>
        <v>1</v>
      </c>
      <c r="Q52" s="117" t="n">
        <f aca="false">IF(L52=4,1,0)</f>
        <v>0</v>
      </c>
      <c r="R52" s="339"/>
      <c r="S52" s="126"/>
      <c r="T52" s="132"/>
      <c r="U52" s="36"/>
      <c r="V52" s="36"/>
    </row>
    <row r="53" customFormat="false" ht="15.75" hidden="true" customHeight="false" outlineLevel="1" collapsed="false">
      <c r="B53" s="39"/>
      <c r="C53" s="126"/>
      <c r="D53" s="336"/>
      <c r="E53" s="336"/>
      <c r="F53" s="339"/>
      <c r="G53" s="339"/>
      <c r="H53" s="345" t="s">
        <v>62</v>
      </c>
      <c r="I53" s="98" t="n">
        <f aca="false">MAX(I49:I52)</f>
        <v>54</v>
      </c>
      <c r="J53" s="339"/>
      <c r="K53" s="346"/>
      <c r="L53" s="339"/>
      <c r="M53" s="333" t="s">
        <v>63</v>
      </c>
      <c r="N53" s="102" t="n">
        <f aca="false">SUM(N49:N52)</f>
        <v>1</v>
      </c>
      <c r="O53" s="103" t="n">
        <f aca="false">SUM(O49:O52)</f>
        <v>1</v>
      </c>
      <c r="P53" s="102" t="n">
        <f aca="false">SUM(P49:P52)</f>
        <v>1</v>
      </c>
      <c r="Q53" s="104" t="n">
        <f aca="false">SUM(Q49:Q52)</f>
        <v>1</v>
      </c>
      <c r="R53" s="347"/>
      <c r="S53" s="126"/>
      <c r="T53" s="132"/>
      <c r="U53" s="36"/>
      <c r="V53" s="36"/>
    </row>
    <row r="54" customFormat="false" ht="15" hidden="false" customHeight="false" outlineLevel="0" collapsed="false">
      <c r="B54" s="39"/>
      <c r="C54" s="126"/>
      <c r="D54" s="133"/>
      <c r="E54" s="133"/>
      <c r="F54" s="126"/>
      <c r="G54" s="126"/>
      <c r="H54" s="126"/>
      <c r="I54" s="126"/>
      <c r="J54" s="126"/>
      <c r="K54" s="126"/>
      <c r="L54" s="126"/>
      <c r="M54" s="126"/>
      <c r="N54" s="126"/>
      <c r="O54" s="126"/>
      <c r="P54" s="126"/>
      <c r="Q54" s="126"/>
      <c r="R54" s="126"/>
      <c r="S54" s="126"/>
      <c r="T54" s="132"/>
      <c r="U54" s="36"/>
      <c r="V54" s="36"/>
    </row>
    <row r="55" customFormat="false" ht="15" hidden="false" customHeight="false" outlineLevel="0" collapsed="false">
      <c r="B55" s="39"/>
      <c r="D55" s="124"/>
      <c r="E55" s="124"/>
      <c r="F55" s="124"/>
      <c r="G55" s="124"/>
      <c r="H55" s="125"/>
      <c r="I55" s="124"/>
      <c r="J55" s="124"/>
      <c r="K55" s="124"/>
      <c r="L55" s="36"/>
      <c r="M55" s="36"/>
      <c r="N55" s="36"/>
      <c r="O55" s="36"/>
      <c r="P55" s="36"/>
      <c r="Q55" s="36"/>
      <c r="R55" s="36"/>
      <c r="T55" s="131"/>
      <c r="U55" s="36"/>
      <c r="V55" s="36"/>
    </row>
    <row r="56" customFormat="false" ht="15.75" hidden="false" customHeight="false" outlineLevel="0" collapsed="false">
      <c r="B56" s="39"/>
      <c r="C56" s="134"/>
      <c r="D56" s="134"/>
      <c r="E56" s="135" t="str">
        <f aca="false">IF(OR(L27="-",L27= ""),H27,L27)</f>
        <v>Gaia Project</v>
      </c>
      <c r="F56" s="135"/>
      <c r="G56" s="135"/>
      <c r="H56" s="135"/>
      <c r="I56" s="135"/>
      <c r="J56" s="135"/>
      <c r="K56" s="135"/>
      <c r="L56" s="135"/>
      <c r="M56" s="135"/>
      <c r="N56" s="136"/>
      <c r="O56" s="136"/>
      <c r="P56" s="136"/>
      <c r="Q56" s="136"/>
      <c r="R56" s="136"/>
      <c r="S56" s="134"/>
      <c r="T56" s="39"/>
    </row>
    <row r="57" customFormat="false" ht="60" hidden="false" customHeight="true" outlineLevel="0" collapsed="false">
      <c r="B57" s="39"/>
      <c r="C57" s="134"/>
      <c r="D57" s="136"/>
      <c r="E57" s="263" t="s">
        <v>36</v>
      </c>
      <c r="F57" s="266" t="s">
        <v>92</v>
      </c>
      <c r="G57" s="266"/>
      <c r="H57" s="265" t="s">
        <v>52</v>
      </c>
      <c r="I57" s="294" t="s">
        <v>53</v>
      </c>
      <c r="J57" s="295" t="s">
        <v>54</v>
      </c>
      <c r="K57" s="264" t="s">
        <v>55</v>
      </c>
      <c r="L57" s="296" t="s">
        <v>56</v>
      </c>
      <c r="M57" s="294" t="s">
        <v>57</v>
      </c>
      <c r="N57" s="43" t="s">
        <v>58</v>
      </c>
      <c r="O57" s="79" t="s">
        <v>59</v>
      </c>
      <c r="P57" s="79" t="s">
        <v>60</v>
      </c>
      <c r="Q57" s="82" t="s">
        <v>61</v>
      </c>
      <c r="R57" s="136"/>
      <c r="S57" s="134"/>
      <c r="T57" s="39"/>
    </row>
    <row r="58" customFormat="false" ht="45" hidden="false" customHeight="true" outlineLevel="0" collapsed="false">
      <c r="B58" s="39"/>
      <c r="C58" s="134"/>
      <c r="D58" s="349"/>
      <c r="E58" s="6" t="s">
        <v>7</v>
      </c>
      <c r="F58" s="385" t="s">
        <v>143</v>
      </c>
      <c r="G58" s="385"/>
      <c r="H58" s="387" t="n">
        <v>3</v>
      </c>
      <c r="I58" s="387" t="n">
        <v>158</v>
      </c>
      <c r="J58" s="387" t="s">
        <v>46</v>
      </c>
      <c r="K58" s="388" t="n">
        <f aca="false">IF(I58="",0,(I58/I62)*100)</f>
        <v>94.6107784431138</v>
      </c>
      <c r="L58" s="387" t="n">
        <v>2</v>
      </c>
      <c r="M58" s="389" t="n">
        <v>3</v>
      </c>
      <c r="N58" s="85" t="n">
        <f aca="false">IF(L58=1,1,0)</f>
        <v>0</v>
      </c>
      <c r="O58" s="85" t="n">
        <f aca="false">IF(L58=2,1,0)</f>
        <v>1</v>
      </c>
      <c r="P58" s="85" t="n">
        <f aca="false">IF(L58=3,1,0)</f>
        <v>0</v>
      </c>
      <c r="Q58" s="84" t="n">
        <f aca="false">IF(L58=4,1,0)</f>
        <v>0</v>
      </c>
      <c r="R58" s="350"/>
      <c r="S58" s="134"/>
      <c r="T58" s="39"/>
    </row>
    <row r="59" customFormat="false" ht="45" hidden="false" customHeight="true" outlineLevel="0" collapsed="false">
      <c r="B59" s="39"/>
      <c r="C59" s="134"/>
      <c r="D59" s="349"/>
      <c r="E59" s="110" t="s">
        <v>14</v>
      </c>
      <c r="F59" s="343" t="s">
        <v>95</v>
      </c>
      <c r="G59" s="343"/>
      <c r="H59" s="112" t="n">
        <v>2</v>
      </c>
      <c r="I59" s="112" t="n">
        <v>167</v>
      </c>
      <c r="J59" s="508" t="s">
        <v>46</v>
      </c>
      <c r="K59" s="113" t="n">
        <f aca="false">IF(I59="",0,(I59/I62)*100)</f>
        <v>100</v>
      </c>
      <c r="L59" s="112" t="n">
        <v>1</v>
      </c>
      <c r="M59" s="344" t="n">
        <v>6</v>
      </c>
      <c r="N59" s="88" t="n">
        <f aca="false">IF(L59=1,1,0)</f>
        <v>1</v>
      </c>
      <c r="O59" s="88" t="n">
        <f aca="false">IF(L59=2,1,0)</f>
        <v>0</v>
      </c>
      <c r="P59" s="88" t="n">
        <f aca="false">IF(L59=3,1,0)</f>
        <v>0</v>
      </c>
      <c r="Q59" s="87" t="n">
        <f aca="false">IF(L59=4,1,0)</f>
        <v>0</v>
      </c>
      <c r="R59" s="350"/>
      <c r="S59" s="134"/>
      <c r="T59" s="39"/>
    </row>
    <row r="60" customFormat="false" ht="45" hidden="false" customHeight="true" outlineLevel="0" collapsed="false">
      <c r="B60" s="39"/>
      <c r="C60" s="134"/>
      <c r="D60" s="349"/>
      <c r="E60" s="13" t="s">
        <v>20</v>
      </c>
      <c r="F60" s="552" t="s">
        <v>102</v>
      </c>
      <c r="G60" s="552"/>
      <c r="H60" s="324" t="n">
        <v>4</v>
      </c>
      <c r="I60" s="324" t="n">
        <v>115</v>
      </c>
      <c r="J60" s="324" t="s">
        <v>46</v>
      </c>
      <c r="K60" s="341" t="n">
        <f aca="false">IF(I60="",0,(I60/I62)*100)</f>
        <v>68.8622754491018</v>
      </c>
      <c r="L60" s="324" t="n">
        <v>4</v>
      </c>
      <c r="M60" s="327" t="n">
        <v>0</v>
      </c>
      <c r="N60" s="88" t="n">
        <f aca="false">IF(L60=1,1,0)</f>
        <v>0</v>
      </c>
      <c r="O60" s="88" t="n">
        <f aca="false">IF(L60=2,1,0)</f>
        <v>0</v>
      </c>
      <c r="P60" s="88" t="n">
        <f aca="false">IF(L60=3,1,0)</f>
        <v>0</v>
      </c>
      <c r="Q60" s="87" t="n">
        <f aca="false">IF(L60=4,1,0)</f>
        <v>1</v>
      </c>
      <c r="R60" s="350"/>
      <c r="S60" s="134"/>
      <c r="T60" s="39"/>
    </row>
    <row r="61" customFormat="false" ht="45" hidden="false" customHeight="true" outlineLevel="0" collapsed="false">
      <c r="B61" s="39"/>
      <c r="C61" s="134"/>
      <c r="D61" s="351"/>
      <c r="E61" s="29" t="s">
        <v>31</v>
      </c>
      <c r="F61" s="308" t="s">
        <v>144</v>
      </c>
      <c r="G61" s="308"/>
      <c r="H61" s="186" t="n">
        <v>1</v>
      </c>
      <c r="I61" s="186" t="n">
        <v>125</v>
      </c>
      <c r="J61" s="352" t="s">
        <v>46</v>
      </c>
      <c r="K61" s="116" t="n">
        <f aca="false">IF(I61="",0,(I61/I62)*100)</f>
        <v>74.8502994011976</v>
      </c>
      <c r="L61" s="186" t="n">
        <v>3</v>
      </c>
      <c r="M61" s="309" t="n">
        <v>1</v>
      </c>
      <c r="N61" s="95" t="n">
        <f aca="false">IF(L61=1,1,0)</f>
        <v>0</v>
      </c>
      <c r="O61" s="95" t="n">
        <f aca="false">IF(L61=2,1,0)</f>
        <v>0</v>
      </c>
      <c r="P61" s="95" t="n">
        <f aca="false">IF(L61=3,1,0)</f>
        <v>1</v>
      </c>
      <c r="Q61" s="117" t="n">
        <f aca="false">IF(L61=4,1,0)</f>
        <v>0</v>
      </c>
      <c r="R61" s="350"/>
      <c r="S61" s="134"/>
      <c r="T61" s="39"/>
    </row>
    <row r="62" customFormat="false" ht="15.75" hidden="true" customHeight="false" outlineLevel="1" collapsed="false">
      <c r="B62" s="39"/>
      <c r="C62" s="134"/>
      <c r="D62" s="349"/>
      <c r="E62" s="349"/>
      <c r="F62" s="350"/>
      <c r="G62" s="350"/>
      <c r="H62" s="215" t="s">
        <v>62</v>
      </c>
      <c r="I62" s="119" t="n">
        <f aca="false">MAX(I58:I61)</f>
        <v>167</v>
      </c>
      <c r="J62" s="350"/>
      <c r="K62" s="353"/>
      <c r="L62" s="350"/>
      <c r="M62" s="333" t="s">
        <v>63</v>
      </c>
      <c r="N62" s="102" t="n">
        <f aca="false">SUM(N58:N61)</f>
        <v>1</v>
      </c>
      <c r="O62" s="103" t="n">
        <f aca="false">SUM(O58:O61)</f>
        <v>1</v>
      </c>
      <c r="P62" s="102" t="n">
        <f aca="false">SUM(P58:P61)</f>
        <v>1</v>
      </c>
      <c r="Q62" s="104" t="n">
        <f aca="false">SUM(Q58:Q61)</f>
        <v>1</v>
      </c>
      <c r="R62" s="354"/>
      <c r="S62" s="134"/>
      <c r="T62" s="39"/>
    </row>
    <row r="63" customFormat="false" ht="15" hidden="false" customHeight="false" outlineLevel="0" collapsed="false">
      <c r="B63" s="39"/>
      <c r="C63" s="134"/>
      <c r="D63" s="137"/>
      <c r="E63" s="137"/>
      <c r="F63" s="134"/>
      <c r="G63" s="134"/>
      <c r="H63" s="134"/>
      <c r="I63" s="134"/>
      <c r="J63" s="134"/>
      <c r="K63" s="134"/>
      <c r="L63" s="134"/>
      <c r="M63" s="134"/>
      <c r="N63" s="134"/>
      <c r="O63" s="134"/>
      <c r="P63" s="134"/>
      <c r="Q63" s="134"/>
      <c r="R63" s="134"/>
      <c r="S63" s="134"/>
      <c r="T63" s="39"/>
    </row>
    <row r="64" customFormat="false" ht="15" hidden="false" customHeight="false" outlineLevel="0" collapsed="false">
      <c r="B64" s="39"/>
      <c r="D64" s="138"/>
      <c r="E64" s="138"/>
      <c r="F64" s="138"/>
      <c r="G64" s="138"/>
      <c r="H64" s="138"/>
      <c r="I64" s="138"/>
      <c r="J64" s="138"/>
      <c r="K64" s="36"/>
      <c r="L64" s="36"/>
      <c r="M64" s="36"/>
      <c r="N64" s="36"/>
      <c r="O64" s="36"/>
      <c r="P64" s="36"/>
      <c r="Q64" s="36"/>
      <c r="R64" s="36"/>
      <c r="T64" s="39"/>
    </row>
    <row r="65" customFormat="false" ht="30" hidden="false" customHeight="true" outlineLevel="0" collapsed="false">
      <c r="B65" s="39"/>
      <c r="C65" s="139"/>
      <c r="D65" s="139"/>
      <c r="E65" s="140" t="s">
        <v>156</v>
      </c>
      <c r="F65" s="140"/>
      <c r="G65" s="140"/>
      <c r="H65" s="140"/>
      <c r="I65" s="140"/>
      <c r="J65" s="140"/>
      <c r="K65" s="140"/>
      <c r="L65" s="140"/>
      <c r="M65" s="140"/>
      <c r="N65" s="141"/>
      <c r="O65" s="141"/>
      <c r="P65" s="141"/>
      <c r="Q65" s="141"/>
      <c r="R65" s="141"/>
      <c r="S65" s="139"/>
      <c r="T65" s="39"/>
    </row>
    <row r="66" customFormat="false" ht="60" hidden="false" customHeight="true" outlineLevel="0" collapsed="false">
      <c r="B66" s="39"/>
      <c r="C66" s="139"/>
      <c r="D66" s="355"/>
      <c r="E66" s="356" t="s">
        <v>36</v>
      </c>
      <c r="F66" s="357" t="s">
        <v>92</v>
      </c>
      <c r="G66" s="357"/>
      <c r="H66" s="358" t="s">
        <v>57</v>
      </c>
      <c r="I66" s="359" t="s">
        <v>65</v>
      </c>
      <c r="J66" s="358" t="s">
        <v>66</v>
      </c>
      <c r="K66" s="359" t="s">
        <v>67</v>
      </c>
      <c r="L66" s="358" t="s">
        <v>68</v>
      </c>
      <c r="M66" s="357" t="s">
        <v>69</v>
      </c>
      <c r="N66" s="147"/>
      <c r="O66" s="147"/>
      <c r="P66" s="147"/>
      <c r="Q66" s="147"/>
      <c r="R66" s="147"/>
      <c r="S66" s="139"/>
      <c r="T66" s="39"/>
    </row>
    <row r="67" customFormat="false" ht="45" hidden="false" customHeight="true" outlineLevel="0" collapsed="false">
      <c r="B67" s="39"/>
      <c r="C67" s="139"/>
      <c r="D67" s="360"/>
      <c r="E67" s="361" t="s">
        <v>14</v>
      </c>
      <c r="F67" s="362" t="s">
        <v>95</v>
      </c>
      <c r="G67" s="362"/>
      <c r="H67" s="363" t="n">
        <f aca="false">I67*6+J67*3+K67*1+L67*0</f>
        <v>19</v>
      </c>
      <c r="I67" s="363" t="n">
        <v>3</v>
      </c>
      <c r="J67" s="363" t="n">
        <v>0</v>
      </c>
      <c r="K67" s="363" t="n">
        <v>1</v>
      </c>
      <c r="L67" s="363" t="n">
        <v>0</v>
      </c>
      <c r="M67" s="364" t="n">
        <f aca="false">(K32+K41+K50+K59)/4</f>
        <v>92.3295454545455</v>
      </c>
      <c r="N67" s="153"/>
      <c r="O67" s="153"/>
      <c r="P67" s="153"/>
      <c r="Q67" s="153"/>
      <c r="R67" s="153"/>
      <c r="S67" s="139"/>
      <c r="T67" s="39"/>
    </row>
    <row r="68" customFormat="false" ht="45" hidden="false" customHeight="true" outlineLevel="0" collapsed="false">
      <c r="B68" s="39"/>
      <c r="C68" s="139"/>
      <c r="D68" s="360"/>
      <c r="E68" s="365" t="s">
        <v>7</v>
      </c>
      <c r="F68" s="366" t="s">
        <v>143</v>
      </c>
      <c r="G68" s="366"/>
      <c r="H68" s="192" t="n">
        <f aca="false">I68*6+J68*3+K68*1+L68*0</f>
        <v>15</v>
      </c>
      <c r="I68" s="192" t="n">
        <v>1</v>
      </c>
      <c r="J68" s="192" t="n">
        <v>3</v>
      </c>
      <c r="K68" s="192" t="n">
        <v>0</v>
      </c>
      <c r="L68" s="192" t="n">
        <v>0</v>
      </c>
      <c r="M68" s="367" t="n">
        <f aca="false">(K31+K40+K49+K58)/4</f>
        <v>89.7200656628121</v>
      </c>
      <c r="N68" s="153"/>
      <c r="O68" s="153"/>
      <c r="P68" s="153"/>
      <c r="Q68" s="153"/>
      <c r="R68" s="153"/>
      <c r="S68" s="139"/>
      <c r="T68" s="39"/>
    </row>
    <row r="69" customFormat="false" ht="45" hidden="false" customHeight="true" outlineLevel="0" collapsed="false">
      <c r="B69" s="39"/>
      <c r="C69" s="139"/>
      <c r="D69" s="360"/>
      <c r="E69" s="365" t="s">
        <v>20</v>
      </c>
      <c r="F69" s="366" t="s">
        <v>102</v>
      </c>
      <c r="G69" s="366"/>
      <c r="H69" s="192" t="n">
        <f aca="false">I69*6+J69*3+K69*1+L69*0</f>
        <v>4</v>
      </c>
      <c r="I69" s="192" t="n">
        <v>0</v>
      </c>
      <c r="J69" s="192" t="n">
        <v>1</v>
      </c>
      <c r="K69" s="192" t="n">
        <v>1</v>
      </c>
      <c r="L69" s="192" t="n">
        <v>2</v>
      </c>
      <c r="M69" s="367" t="n">
        <f aca="false">(K33+K42+K51+K60)/4</f>
        <v>74.2560013053153</v>
      </c>
      <c r="N69" s="153"/>
      <c r="O69" s="153"/>
      <c r="P69" s="153"/>
      <c r="Q69" s="153"/>
      <c r="R69" s="153"/>
      <c r="S69" s="139"/>
      <c r="T69" s="39"/>
    </row>
    <row r="70" customFormat="false" ht="45" hidden="false" customHeight="true" outlineLevel="0" collapsed="false">
      <c r="B70" s="39"/>
      <c r="C70" s="139"/>
      <c r="D70" s="360"/>
      <c r="E70" s="368" t="s">
        <v>31</v>
      </c>
      <c r="F70" s="369" t="s">
        <v>144</v>
      </c>
      <c r="G70" s="369"/>
      <c r="H70" s="370" t="n">
        <f aca="false">I70*6+J70*3+K70*1+L70*0</f>
        <v>2</v>
      </c>
      <c r="I70" s="370" t="n">
        <v>0</v>
      </c>
      <c r="J70" s="370" t="n">
        <v>0</v>
      </c>
      <c r="K70" s="370" t="n">
        <v>2</v>
      </c>
      <c r="L70" s="370" t="n">
        <v>2</v>
      </c>
      <c r="M70" s="371" t="n">
        <f aca="false">(K34+K43+K52+K61)/4</f>
        <v>66.8754407278892</v>
      </c>
      <c r="N70" s="153"/>
      <c r="O70" s="153"/>
      <c r="P70" s="153"/>
      <c r="Q70" s="153"/>
      <c r="R70" s="153"/>
      <c r="S70" s="139"/>
      <c r="T70" s="39"/>
      <c r="V70" s="166"/>
      <c r="W70" s="166"/>
      <c r="X70" s="167"/>
      <c r="Y70" s="167"/>
      <c r="Z70" s="167"/>
      <c r="AA70" s="167"/>
      <c r="AB70" s="167"/>
      <c r="AC70" s="167"/>
      <c r="AD70" s="167"/>
    </row>
    <row r="71" customFormat="false" ht="15" hidden="false" customHeight="false" outlineLevel="0" collapsed="false">
      <c r="B71" s="39"/>
      <c r="C71" s="139"/>
      <c r="D71" s="168"/>
      <c r="E71" s="168"/>
      <c r="F71" s="153"/>
      <c r="G71" s="153"/>
      <c r="H71" s="153"/>
      <c r="I71" s="153"/>
      <c r="J71" s="153"/>
      <c r="K71" s="153"/>
      <c r="L71" s="153"/>
      <c r="M71" s="153"/>
      <c r="N71" s="153"/>
      <c r="O71" s="153"/>
      <c r="P71" s="153"/>
      <c r="Q71" s="153"/>
      <c r="R71" s="153"/>
      <c r="S71" s="139"/>
      <c r="T71" s="39"/>
    </row>
    <row r="72" customFormat="false" ht="15" hidden="false" customHeight="true" outlineLevel="0" collapsed="false">
      <c r="B72" s="39"/>
      <c r="C72" s="39"/>
      <c r="D72" s="169"/>
      <c r="E72" s="169"/>
      <c r="F72" s="129"/>
      <c r="G72" s="129"/>
      <c r="H72" s="169"/>
      <c r="I72" s="169"/>
      <c r="J72" s="169"/>
      <c r="K72" s="131"/>
      <c r="L72" s="131"/>
      <c r="M72" s="131"/>
      <c r="N72" s="131"/>
      <c r="O72" s="131"/>
      <c r="P72" s="131"/>
      <c r="Q72" s="131"/>
      <c r="R72" s="131"/>
      <c r="S72" s="39"/>
      <c r="T72" s="39"/>
    </row>
    <row r="73" customFormat="false" ht="15" hidden="false" customHeight="true" outlineLevel="0" collapsed="false">
      <c r="D73" s="170"/>
      <c r="N73" s="36"/>
      <c r="O73" s="36"/>
      <c r="P73" s="36"/>
      <c r="Q73" s="36"/>
      <c r="R73" s="36"/>
    </row>
    <row r="74" customFormat="false" ht="15" hidden="false" customHeight="false" outlineLevel="0" collapsed="false">
      <c r="D74" s="171"/>
      <c r="N74" s="36"/>
      <c r="O74" s="36"/>
      <c r="P74" s="36"/>
      <c r="Q74" s="36"/>
      <c r="R74" s="36"/>
    </row>
    <row r="75" customFormat="false" ht="15" hidden="false" customHeight="false" outlineLevel="0" collapsed="false">
      <c r="B75" s="39"/>
      <c r="C75" s="39"/>
      <c r="D75" s="40"/>
      <c r="E75" s="40"/>
      <c r="F75" s="40"/>
      <c r="G75" s="40"/>
      <c r="H75" s="39"/>
      <c r="I75" s="39"/>
      <c r="J75" s="39"/>
      <c r="K75" s="39"/>
      <c r="L75" s="39"/>
      <c r="M75" s="39"/>
      <c r="N75" s="39"/>
      <c r="O75" s="39"/>
      <c r="P75" s="39"/>
      <c r="Q75" s="39"/>
      <c r="R75" s="39"/>
      <c r="S75" s="39"/>
      <c r="T75" s="39"/>
    </row>
    <row r="76" customFormat="false" ht="31.5" hidden="false" customHeight="false" outlineLevel="0" collapsed="false">
      <c r="B76" s="39"/>
      <c r="C76" s="442" t="s">
        <v>125</v>
      </c>
      <c r="D76" s="442"/>
      <c r="E76" s="442"/>
      <c r="F76" s="442"/>
      <c r="G76" s="442"/>
      <c r="H76" s="442"/>
      <c r="I76" s="442"/>
      <c r="J76" s="442"/>
      <c r="K76" s="442"/>
      <c r="L76" s="442"/>
      <c r="M76" s="442"/>
      <c r="N76" s="442"/>
      <c r="O76" s="442"/>
      <c r="P76" s="442"/>
      <c r="Q76" s="442"/>
      <c r="R76" s="442"/>
      <c r="S76" s="442"/>
      <c r="T76" s="39"/>
    </row>
    <row r="77" customFormat="false" ht="15.75" hidden="false" customHeight="false" outlineLevel="0" collapsed="false">
      <c r="B77" s="39"/>
      <c r="D77" s="36"/>
      <c r="E77" s="36"/>
      <c r="T77" s="39"/>
    </row>
    <row r="78" customFormat="false" ht="45" hidden="false" customHeight="true" outlineLevel="0" collapsed="false">
      <c r="B78" s="39"/>
      <c r="D78" s="263" t="s">
        <v>36</v>
      </c>
      <c r="E78" s="264" t="s">
        <v>92</v>
      </c>
      <c r="F78" s="265" t="s">
        <v>6</v>
      </c>
      <c r="G78" s="265"/>
      <c r="H78" s="266" t="s">
        <v>110</v>
      </c>
      <c r="I78" s="266"/>
      <c r="J78" s="266"/>
      <c r="K78" s="264" t="s">
        <v>71</v>
      </c>
      <c r="L78" s="266" t="s">
        <v>40</v>
      </c>
      <c r="M78" s="266"/>
      <c r="N78" s="266"/>
      <c r="O78" s="266"/>
      <c r="P78" s="266"/>
      <c r="Q78" s="266"/>
      <c r="R78" s="266"/>
      <c r="T78" s="39"/>
    </row>
    <row r="79" customFormat="false" ht="15.75" hidden="false" customHeight="false" outlineLevel="0" collapsed="false">
      <c r="B79" s="39"/>
      <c r="D79" s="263"/>
      <c r="E79" s="264"/>
      <c r="F79" s="265"/>
      <c r="G79" s="265"/>
      <c r="H79" s="267" t="s">
        <v>41</v>
      </c>
      <c r="I79" s="268" t="s">
        <v>42</v>
      </c>
      <c r="J79" s="268" t="s">
        <v>111</v>
      </c>
      <c r="K79" s="267" t="s">
        <v>43</v>
      </c>
      <c r="L79" s="270" t="s">
        <v>44</v>
      </c>
      <c r="M79" s="270" t="s">
        <v>42</v>
      </c>
      <c r="N79" s="271"/>
      <c r="O79" s="271"/>
      <c r="P79" s="271"/>
      <c r="Q79" s="271"/>
      <c r="R79" s="372" t="s">
        <v>111</v>
      </c>
      <c r="T79" s="39"/>
    </row>
    <row r="80" customFormat="false" ht="35.05" hidden="false" customHeight="false" outlineLevel="0" collapsed="false">
      <c r="B80" s="39"/>
      <c r="D80" s="6" t="s">
        <v>16</v>
      </c>
      <c r="E80" s="229" t="s">
        <v>98</v>
      </c>
      <c r="F80" s="54" t="n">
        <v>1</v>
      </c>
      <c r="G80" s="54"/>
      <c r="H80" s="374" t="s">
        <v>51</v>
      </c>
      <c r="I80" s="373" t="s">
        <v>154</v>
      </c>
      <c r="J80" s="173" t="s">
        <v>85</v>
      </c>
      <c r="K80" s="375" t="s">
        <v>50</v>
      </c>
      <c r="L80" s="272" t="s">
        <v>46</v>
      </c>
      <c r="M80" s="276" t="s">
        <v>46</v>
      </c>
      <c r="N80" s="277"/>
      <c r="O80" s="277"/>
      <c r="P80" s="277"/>
      <c r="Q80" s="277"/>
      <c r="R80" s="173" t="s">
        <v>46</v>
      </c>
      <c r="T80" s="39"/>
    </row>
    <row r="81" customFormat="false" ht="120" hidden="false" customHeight="false" outlineLevel="0" collapsed="false">
      <c r="B81" s="39"/>
      <c r="D81" s="13" t="s">
        <v>10</v>
      </c>
      <c r="E81" s="237" t="s">
        <v>100</v>
      </c>
      <c r="F81" s="62" t="n">
        <v>2</v>
      </c>
      <c r="G81" s="62"/>
      <c r="H81" s="377" t="s">
        <v>157</v>
      </c>
      <c r="I81" s="376" t="s">
        <v>189</v>
      </c>
      <c r="J81" s="176" t="s">
        <v>85</v>
      </c>
      <c r="K81" s="556" t="s">
        <v>190</v>
      </c>
      <c r="L81" s="278" t="s">
        <v>46</v>
      </c>
      <c r="M81" s="282" t="s">
        <v>46</v>
      </c>
      <c r="N81" s="283"/>
      <c r="O81" s="283"/>
      <c r="P81" s="283"/>
      <c r="Q81" s="283"/>
      <c r="R81" s="176" t="s">
        <v>46</v>
      </c>
      <c r="T81" s="39"/>
    </row>
    <row r="82" customFormat="false" ht="120" hidden="false" customHeight="false" outlineLevel="0" collapsed="false">
      <c r="B82" s="39"/>
      <c r="D82" s="13" t="s">
        <v>27</v>
      </c>
      <c r="E82" s="237" t="s">
        <v>101</v>
      </c>
      <c r="F82" s="62" t="n">
        <v>3</v>
      </c>
      <c r="G82" s="62"/>
      <c r="H82" s="379" t="s">
        <v>167</v>
      </c>
      <c r="I82" s="376" t="s">
        <v>191</v>
      </c>
      <c r="J82" s="178" t="s">
        <v>114</v>
      </c>
      <c r="K82" s="378" t="s">
        <v>50</v>
      </c>
      <c r="L82" s="278" t="s">
        <v>46</v>
      </c>
      <c r="M82" s="282" t="s">
        <v>46</v>
      </c>
      <c r="N82" s="283"/>
      <c r="O82" s="283"/>
      <c r="P82" s="283"/>
      <c r="Q82" s="283"/>
      <c r="R82" s="176" t="s">
        <v>46</v>
      </c>
      <c r="T82" s="39"/>
    </row>
    <row r="83" customFormat="false" ht="45.75" hidden="false" customHeight="false" outlineLevel="0" collapsed="false">
      <c r="B83" s="39"/>
      <c r="D83" s="29" t="s">
        <v>96</v>
      </c>
      <c r="E83" s="546" t="s">
        <v>180</v>
      </c>
      <c r="F83" s="71" t="n">
        <v>4</v>
      </c>
      <c r="G83" s="71"/>
      <c r="H83" s="381" t="s">
        <v>190</v>
      </c>
      <c r="I83" s="291" t="s">
        <v>46</v>
      </c>
      <c r="J83" s="208" t="s">
        <v>114</v>
      </c>
      <c r="K83" s="382" t="s">
        <v>50</v>
      </c>
      <c r="L83" s="287" t="s">
        <v>46</v>
      </c>
      <c r="M83" s="291" t="s">
        <v>46</v>
      </c>
      <c r="N83" s="292"/>
      <c r="O83" s="292"/>
      <c r="P83" s="292"/>
      <c r="Q83" s="292"/>
      <c r="R83" s="208" t="s">
        <v>46</v>
      </c>
      <c r="T83" s="39"/>
    </row>
    <row r="84" customFormat="false" ht="15" hidden="false" customHeight="false" outlineLevel="0" collapsed="false">
      <c r="B84" s="39"/>
      <c r="D84" s="36"/>
      <c r="E84" s="36"/>
      <c r="T84" s="39"/>
    </row>
    <row r="85" customFormat="false" ht="15.75" hidden="false" customHeight="false" outlineLevel="0" collapsed="false">
      <c r="B85" s="39"/>
      <c r="C85" s="76"/>
      <c r="D85" s="76"/>
      <c r="E85" s="77" t="str">
        <f aca="false">IF(OR(L80="-",L80= ""),H80,L80)</f>
        <v>Marco Polo</v>
      </c>
      <c r="F85" s="77"/>
      <c r="G85" s="77"/>
      <c r="H85" s="77"/>
      <c r="I85" s="77"/>
      <c r="J85" s="77"/>
      <c r="K85" s="77"/>
      <c r="L85" s="77"/>
      <c r="M85" s="77"/>
      <c r="N85" s="78"/>
      <c r="O85" s="78"/>
      <c r="P85" s="78"/>
      <c r="Q85" s="78"/>
      <c r="R85" s="78"/>
      <c r="S85" s="76"/>
      <c r="T85" s="39"/>
    </row>
    <row r="86" customFormat="false" ht="60" hidden="false" customHeight="true" outlineLevel="0" collapsed="false">
      <c r="B86" s="39"/>
      <c r="C86" s="76"/>
      <c r="D86" s="78"/>
      <c r="E86" s="263" t="s">
        <v>36</v>
      </c>
      <c r="F86" s="383" t="s">
        <v>92</v>
      </c>
      <c r="G86" s="383"/>
      <c r="H86" s="384" t="s">
        <v>52</v>
      </c>
      <c r="I86" s="294" t="s">
        <v>53</v>
      </c>
      <c r="J86" s="295" t="s">
        <v>54</v>
      </c>
      <c r="K86" s="264" t="s">
        <v>55</v>
      </c>
      <c r="L86" s="296" t="s">
        <v>56</v>
      </c>
      <c r="M86" s="294" t="s">
        <v>57</v>
      </c>
      <c r="N86" s="43" t="s">
        <v>58</v>
      </c>
      <c r="O86" s="79" t="s">
        <v>59</v>
      </c>
      <c r="P86" s="79" t="s">
        <v>60</v>
      </c>
      <c r="Q86" s="82" t="s">
        <v>61</v>
      </c>
      <c r="R86" s="78"/>
      <c r="S86" s="76"/>
      <c r="T86" s="39"/>
    </row>
    <row r="87" customFormat="false" ht="45" hidden="false" customHeight="true" outlineLevel="0" collapsed="false">
      <c r="B87" s="39"/>
      <c r="C87" s="76"/>
      <c r="D87" s="306"/>
      <c r="E87" s="52" t="s">
        <v>16</v>
      </c>
      <c r="F87" s="338" t="s">
        <v>98</v>
      </c>
      <c r="G87" s="338"/>
      <c r="H87" s="481" t="s">
        <v>164</v>
      </c>
      <c r="I87" s="557" t="n">
        <v>65</v>
      </c>
      <c r="J87" s="557" t="s">
        <v>46</v>
      </c>
      <c r="K87" s="558" t="n">
        <f aca="false">IF(I87="",0,(I87/I91)*100)</f>
        <v>81.25</v>
      </c>
      <c r="L87" s="557" t="n">
        <v>3</v>
      </c>
      <c r="M87" s="559" t="n">
        <v>1</v>
      </c>
      <c r="N87" s="301" t="n">
        <f aca="false">IF(L87=1,1,0)</f>
        <v>0</v>
      </c>
      <c r="O87" s="85" t="n">
        <f aca="false">IF(L87=2,1,0)</f>
        <v>0</v>
      </c>
      <c r="P87" s="85" t="n">
        <f aca="false">IF(L87=3,1,0)</f>
        <v>1</v>
      </c>
      <c r="Q87" s="84" t="n">
        <f aca="false">IF(L87=4,1,0)</f>
        <v>0</v>
      </c>
      <c r="R87" s="302"/>
      <c r="S87" s="76"/>
      <c r="T87" s="39"/>
    </row>
    <row r="88" customFormat="false" ht="45" hidden="false" customHeight="true" outlineLevel="0" collapsed="false">
      <c r="B88" s="39"/>
      <c r="C88" s="76"/>
      <c r="D88" s="297"/>
      <c r="E88" s="60" t="s">
        <v>10</v>
      </c>
      <c r="F88" s="304" t="s">
        <v>100</v>
      </c>
      <c r="G88" s="304"/>
      <c r="H88" s="390" t="s">
        <v>161</v>
      </c>
      <c r="I88" s="560" t="n">
        <v>71</v>
      </c>
      <c r="J88" s="328" t="s">
        <v>46</v>
      </c>
      <c r="K88" s="561" t="n">
        <f aca="false">IF(I88="",0,(I88/I91)*100)</f>
        <v>88.75</v>
      </c>
      <c r="L88" s="560" t="n">
        <v>2</v>
      </c>
      <c r="M88" s="562" t="n">
        <v>3</v>
      </c>
      <c r="N88" s="305" t="n">
        <f aca="false">IF(L88=1,1,0)</f>
        <v>0</v>
      </c>
      <c r="O88" s="88" t="n">
        <f aca="false">IF(L88=2,1,0)</f>
        <v>1</v>
      </c>
      <c r="P88" s="88" t="n">
        <f aca="false">IF(L88=3,1,0)</f>
        <v>0</v>
      </c>
      <c r="Q88" s="87" t="n">
        <f aca="false">IF(L88=4,1,0)</f>
        <v>0</v>
      </c>
      <c r="R88" s="302"/>
      <c r="S88" s="76"/>
      <c r="T88" s="39"/>
    </row>
    <row r="89" customFormat="false" ht="45" hidden="false" customHeight="true" outlineLevel="0" collapsed="false">
      <c r="B89" s="39"/>
      <c r="C89" s="76"/>
      <c r="D89" s="297"/>
      <c r="E89" s="110" t="s">
        <v>27</v>
      </c>
      <c r="F89" s="343" t="s">
        <v>101</v>
      </c>
      <c r="G89" s="343"/>
      <c r="H89" s="507" t="s">
        <v>163</v>
      </c>
      <c r="I89" s="112" t="n">
        <v>80</v>
      </c>
      <c r="J89" s="112" t="s">
        <v>46</v>
      </c>
      <c r="K89" s="113" t="n">
        <f aca="false">IF(I89="",0,(I89/I91)*100)</f>
        <v>100</v>
      </c>
      <c r="L89" s="112" t="n">
        <v>1</v>
      </c>
      <c r="M89" s="344" t="n">
        <v>6</v>
      </c>
      <c r="N89" s="305" t="n">
        <f aca="false">IF(L89=1,1,0)</f>
        <v>1</v>
      </c>
      <c r="O89" s="88" t="n">
        <f aca="false">IF(L89=2,1,0)</f>
        <v>0</v>
      </c>
      <c r="P89" s="88" t="n">
        <f aca="false">IF(L89=3,1,0)</f>
        <v>0</v>
      </c>
      <c r="Q89" s="87" t="n">
        <f aca="false">IF(L89=4,1,0)</f>
        <v>0</v>
      </c>
      <c r="R89" s="302"/>
      <c r="S89" s="76"/>
      <c r="T89" s="39"/>
    </row>
    <row r="90" customFormat="false" ht="45" hidden="false" customHeight="true" outlineLevel="0" collapsed="false">
      <c r="B90" s="39"/>
      <c r="C90" s="76"/>
      <c r="D90" s="297"/>
      <c r="E90" s="69" t="s">
        <v>96</v>
      </c>
      <c r="F90" s="397" t="s">
        <v>180</v>
      </c>
      <c r="G90" s="397"/>
      <c r="H90" s="505" t="s">
        <v>162</v>
      </c>
      <c r="I90" s="563" t="n">
        <v>37</v>
      </c>
      <c r="J90" s="329" t="s">
        <v>46</v>
      </c>
      <c r="K90" s="564" t="n">
        <f aca="false">IF(I90="",0,(I90/I91)*100)</f>
        <v>46.25</v>
      </c>
      <c r="L90" s="563" t="n">
        <v>4</v>
      </c>
      <c r="M90" s="565" t="n">
        <v>0</v>
      </c>
      <c r="N90" s="310" t="n">
        <f aca="false">IF(L90=1,1,0)</f>
        <v>0</v>
      </c>
      <c r="O90" s="95" t="n">
        <f aca="false">IF(L90=2,1,0)</f>
        <v>0</v>
      </c>
      <c r="P90" s="95" t="n">
        <f aca="false">IF(L90=3,1,0)</f>
        <v>0</v>
      </c>
      <c r="Q90" s="117" t="n">
        <f aca="false">IF(L90=4,1,0)</f>
        <v>1</v>
      </c>
      <c r="R90" s="302"/>
      <c r="S90" s="76"/>
      <c r="T90" s="39"/>
    </row>
    <row r="91" customFormat="false" ht="15.75" hidden="true" customHeight="false" outlineLevel="1" collapsed="false">
      <c r="B91" s="39"/>
      <c r="C91" s="76"/>
      <c r="D91" s="306"/>
      <c r="E91" s="306"/>
      <c r="F91" s="302"/>
      <c r="G91" s="302"/>
      <c r="H91" s="395" t="s">
        <v>62</v>
      </c>
      <c r="I91" s="98" t="n">
        <f aca="false">MAX(I87:I90)</f>
        <v>80</v>
      </c>
      <c r="J91" s="316"/>
      <c r="K91" s="396"/>
      <c r="L91" s="316"/>
      <c r="M91" s="333" t="s">
        <v>63</v>
      </c>
      <c r="N91" s="102" t="n">
        <f aca="false">SUM(N87:N90)</f>
        <v>1</v>
      </c>
      <c r="O91" s="103" t="n">
        <f aca="false">SUM(O87:O90)</f>
        <v>1</v>
      </c>
      <c r="P91" s="102" t="n">
        <f aca="false">SUM(P87:P90)</f>
        <v>1</v>
      </c>
      <c r="Q91" s="104" t="n">
        <f aca="false">SUM(Q87:Q90)</f>
        <v>1</v>
      </c>
      <c r="R91" s="316"/>
      <c r="S91" s="76"/>
      <c r="T91" s="39"/>
    </row>
    <row r="92" customFormat="false" ht="15" hidden="false" customHeight="false" outlineLevel="0" collapsed="false">
      <c r="B92" s="39"/>
      <c r="C92" s="76"/>
      <c r="D92" s="105"/>
      <c r="E92" s="105"/>
      <c r="F92" s="76"/>
      <c r="G92" s="76"/>
      <c r="H92" s="76"/>
      <c r="I92" s="76"/>
      <c r="J92" s="76"/>
      <c r="K92" s="76"/>
      <c r="L92" s="76"/>
      <c r="M92" s="76"/>
      <c r="N92" s="76"/>
      <c r="O92" s="76"/>
      <c r="P92" s="76"/>
      <c r="Q92" s="76"/>
      <c r="R92" s="76"/>
      <c r="S92" s="76"/>
      <c r="T92" s="39"/>
    </row>
    <row r="93" customFormat="false" ht="15" hidden="false" customHeight="false" outlineLevel="0" collapsed="false">
      <c r="B93" s="39"/>
      <c r="T93" s="39"/>
    </row>
    <row r="94" customFormat="false" ht="15.75" hidden="false" customHeight="false" outlineLevel="0" collapsed="false">
      <c r="B94" s="39"/>
      <c r="C94" s="107"/>
      <c r="D94" s="107"/>
      <c r="E94" s="108" t="str">
        <f aca="false">IF(OR(L81="-",L81= ""),H81,L81)</f>
        <v>Egizia</v>
      </c>
      <c r="F94" s="108"/>
      <c r="G94" s="108"/>
      <c r="H94" s="108"/>
      <c r="I94" s="108"/>
      <c r="J94" s="108"/>
      <c r="K94" s="108"/>
      <c r="L94" s="108"/>
      <c r="M94" s="108"/>
      <c r="N94" s="109"/>
      <c r="O94" s="109"/>
      <c r="P94" s="109"/>
      <c r="Q94" s="109"/>
      <c r="R94" s="109"/>
      <c r="S94" s="107"/>
      <c r="T94" s="39"/>
    </row>
    <row r="95" customFormat="false" ht="60" hidden="false" customHeight="true" outlineLevel="0" collapsed="false">
      <c r="B95" s="39"/>
      <c r="C95" s="107"/>
      <c r="D95" s="109"/>
      <c r="E95" s="263" t="s">
        <v>36</v>
      </c>
      <c r="F95" s="266" t="s">
        <v>92</v>
      </c>
      <c r="G95" s="266"/>
      <c r="H95" s="265" t="s">
        <v>52</v>
      </c>
      <c r="I95" s="294" t="s">
        <v>53</v>
      </c>
      <c r="J95" s="295" t="s">
        <v>54</v>
      </c>
      <c r="K95" s="264" t="s">
        <v>77</v>
      </c>
      <c r="L95" s="296" t="s">
        <v>56</v>
      </c>
      <c r="M95" s="294" t="s">
        <v>57</v>
      </c>
      <c r="N95" s="43" t="s">
        <v>58</v>
      </c>
      <c r="O95" s="79" t="s">
        <v>59</v>
      </c>
      <c r="P95" s="79" t="s">
        <v>60</v>
      </c>
      <c r="Q95" s="82" t="s">
        <v>61</v>
      </c>
      <c r="R95" s="109"/>
      <c r="S95" s="107"/>
      <c r="T95" s="39"/>
    </row>
    <row r="96" customFormat="false" ht="45" hidden="false" customHeight="true" outlineLevel="0" collapsed="false">
      <c r="B96" s="39"/>
      <c r="C96" s="107"/>
      <c r="D96" s="323"/>
      <c r="E96" s="52" t="s">
        <v>16</v>
      </c>
      <c r="F96" s="338" t="s">
        <v>98</v>
      </c>
      <c r="G96" s="338"/>
      <c r="H96" s="557" t="n">
        <v>4</v>
      </c>
      <c r="I96" s="557" t="n">
        <v>69</v>
      </c>
      <c r="J96" s="557" t="s">
        <v>46</v>
      </c>
      <c r="K96" s="558" t="n">
        <f aca="false">IF(I96="",0,(I96/I100)*100)</f>
        <v>75.8241758241758</v>
      </c>
      <c r="L96" s="557" t="n">
        <v>2</v>
      </c>
      <c r="M96" s="559" t="n">
        <v>3</v>
      </c>
      <c r="N96" s="301" t="n">
        <f aca="false">IF(L96=1,1,0)</f>
        <v>0</v>
      </c>
      <c r="O96" s="85" t="n">
        <f aca="false">IF(L96=2,1,0)</f>
        <v>1</v>
      </c>
      <c r="P96" s="85" t="n">
        <f aca="false">IF(L96=3,1,0)</f>
        <v>0</v>
      </c>
      <c r="Q96" s="84" t="n">
        <f aca="false">IF(L96=4,1,0)</f>
        <v>0</v>
      </c>
      <c r="R96" s="322"/>
      <c r="S96" s="107"/>
      <c r="T96" s="39"/>
    </row>
    <row r="97" customFormat="false" ht="45" hidden="false" customHeight="true" outlineLevel="0" collapsed="false">
      <c r="B97" s="39"/>
      <c r="C97" s="107"/>
      <c r="D97" s="319"/>
      <c r="E97" s="110" t="s">
        <v>10</v>
      </c>
      <c r="F97" s="343" t="s">
        <v>100</v>
      </c>
      <c r="G97" s="343"/>
      <c r="H97" s="112" t="n">
        <v>1</v>
      </c>
      <c r="I97" s="112" t="n">
        <v>91</v>
      </c>
      <c r="J97" s="112" t="s">
        <v>46</v>
      </c>
      <c r="K97" s="113" t="n">
        <f aca="false">IF(I97="",0,(I97/I100)*100)</f>
        <v>100</v>
      </c>
      <c r="L97" s="112" t="n">
        <v>1</v>
      </c>
      <c r="M97" s="344" t="n">
        <v>6</v>
      </c>
      <c r="N97" s="305" t="n">
        <f aca="false">IF(L97=1,1,0)</f>
        <v>1</v>
      </c>
      <c r="O97" s="88" t="n">
        <f aca="false">IF(L97=2,1,0)</f>
        <v>0</v>
      </c>
      <c r="P97" s="88" t="n">
        <f aca="false">IF(L97=3,1,0)</f>
        <v>0</v>
      </c>
      <c r="Q97" s="87" t="n">
        <f aca="false">IF(L97=4,1,0)</f>
        <v>0</v>
      </c>
      <c r="R97" s="322"/>
      <c r="S97" s="107"/>
      <c r="T97" s="39"/>
    </row>
    <row r="98" customFormat="false" ht="45" hidden="false" customHeight="true" outlineLevel="0" collapsed="false">
      <c r="B98" s="39"/>
      <c r="C98" s="107"/>
      <c r="D98" s="323"/>
      <c r="E98" s="60" t="s">
        <v>27</v>
      </c>
      <c r="F98" s="304" t="s">
        <v>101</v>
      </c>
      <c r="G98" s="304"/>
      <c r="H98" s="560" t="n">
        <v>2</v>
      </c>
      <c r="I98" s="560" t="n">
        <v>53</v>
      </c>
      <c r="J98" s="560" t="s">
        <v>46</v>
      </c>
      <c r="K98" s="561" t="n">
        <f aca="false">IF(I98="",0,(I98/I100)*100)</f>
        <v>58.2417582417583</v>
      </c>
      <c r="L98" s="560" t="n">
        <v>4</v>
      </c>
      <c r="M98" s="562" t="n">
        <v>0</v>
      </c>
      <c r="N98" s="305" t="n">
        <f aca="false">IF(L98=1,1,0)</f>
        <v>0</v>
      </c>
      <c r="O98" s="88" t="n">
        <f aca="false">IF(L98=2,1,0)</f>
        <v>0</v>
      </c>
      <c r="P98" s="88" t="n">
        <f aca="false">IF(L98=3,1,0)</f>
        <v>0</v>
      </c>
      <c r="Q98" s="87" t="n">
        <f aca="false">IF(L98=4,1,0)</f>
        <v>1</v>
      </c>
      <c r="R98" s="322"/>
      <c r="S98" s="107"/>
      <c r="T98" s="39"/>
    </row>
    <row r="99" customFormat="false" ht="45" hidden="false" customHeight="true" outlineLevel="0" collapsed="false">
      <c r="B99" s="39"/>
      <c r="C99" s="107"/>
      <c r="D99" s="319"/>
      <c r="E99" s="69" t="s">
        <v>96</v>
      </c>
      <c r="F99" s="397" t="s">
        <v>180</v>
      </c>
      <c r="G99" s="397"/>
      <c r="H99" s="563" t="n">
        <v>3</v>
      </c>
      <c r="I99" s="563" t="n">
        <v>55</v>
      </c>
      <c r="J99" s="563" t="s">
        <v>46</v>
      </c>
      <c r="K99" s="564" t="n">
        <f aca="false">IF(I99="",0,(I99/I100)*100)</f>
        <v>60.4395604395604</v>
      </c>
      <c r="L99" s="563" t="n">
        <v>3</v>
      </c>
      <c r="M99" s="565" t="n">
        <v>1</v>
      </c>
      <c r="N99" s="310" t="n">
        <f aca="false">IF(L99=1,1,0)</f>
        <v>0</v>
      </c>
      <c r="O99" s="95" t="n">
        <f aca="false">IF(L99=2,1,0)</f>
        <v>0</v>
      </c>
      <c r="P99" s="95" t="n">
        <f aca="false">IF(L99=3,1,0)</f>
        <v>1</v>
      </c>
      <c r="Q99" s="117" t="n">
        <f aca="false">IF(L99=4,1,0)</f>
        <v>0</v>
      </c>
      <c r="R99" s="322"/>
      <c r="S99" s="107"/>
      <c r="T99" s="39"/>
    </row>
    <row r="100" customFormat="false" ht="15.75" hidden="true" customHeight="false" outlineLevel="1" collapsed="false">
      <c r="B100" s="39"/>
      <c r="C100" s="107"/>
      <c r="D100" s="319"/>
      <c r="E100" s="319"/>
      <c r="F100" s="109"/>
      <c r="G100" s="109"/>
      <c r="H100" s="395" t="s">
        <v>62</v>
      </c>
      <c r="I100" s="98" t="n">
        <f aca="false">MAX(I96:I99)</f>
        <v>91</v>
      </c>
      <c r="J100" s="322"/>
      <c r="K100" s="332"/>
      <c r="L100" s="322"/>
      <c r="M100" s="333" t="s">
        <v>63</v>
      </c>
      <c r="N100" s="102" t="n">
        <f aca="false">SUM(N96:N99)</f>
        <v>1</v>
      </c>
      <c r="O100" s="103" t="n">
        <f aca="false">SUM(O96:O99)</f>
        <v>1</v>
      </c>
      <c r="P100" s="102" t="n">
        <f aca="false">SUM(P96:P99)</f>
        <v>1</v>
      </c>
      <c r="Q100" s="104" t="n">
        <f aca="false">SUM(Q96:Q99)</f>
        <v>1</v>
      </c>
      <c r="R100" s="334"/>
      <c r="S100" s="107"/>
      <c r="T100" s="39"/>
    </row>
    <row r="101" customFormat="false" ht="15" hidden="false" customHeight="false" outlineLevel="0" collapsed="false">
      <c r="B101" s="39"/>
      <c r="C101" s="107"/>
      <c r="D101" s="123"/>
      <c r="E101" s="123"/>
      <c r="F101" s="107"/>
      <c r="G101" s="107"/>
      <c r="H101" s="107"/>
      <c r="I101" s="107"/>
      <c r="J101" s="107"/>
      <c r="K101" s="107"/>
      <c r="L101" s="107"/>
      <c r="M101" s="107"/>
      <c r="N101" s="107"/>
      <c r="O101" s="107"/>
      <c r="P101" s="107"/>
      <c r="Q101" s="107"/>
      <c r="R101" s="107"/>
      <c r="S101" s="107"/>
      <c r="T101" s="39"/>
    </row>
    <row r="102" customFormat="false" ht="15" hidden="false" customHeight="false" outlineLevel="0" collapsed="false">
      <c r="B102" s="39"/>
      <c r="D102" s="124"/>
      <c r="E102" s="124"/>
      <c r="F102" s="124"/>
      <c r="G102" s="124"/>
      <c r="H102" s="125"/>
      <c r="I102" s="124"/>
      <c r="J102" s="124"/>
      <c r="K102" s="36"/>
      <c r="L102" s="36"/>
      <c r="M102" s="36"/>
      <c r="N102" s="36"/>
      <c r="O102" s="36"/>
      <c r="P102" s="36"/>
      <c r="Q102" s="36"/>
      <c r="R102" s="36"/>
      <c r="T102" s="39"/>
    </row>
    <row r="103" customFormat="false" ht="15" hidden="false" customHeight="true" outlineLevel="0" collapsed="false">
      <c r="B103" s="39"/>
      <c r="C103" s="126"/>
      <c r="D103" s="126"/>
      <c r="E103" s="127" t="str">
        <f aca="false">IF(OR(L82="-",L82= ""),H82,L82)</f>
        <v>Puerto Rico</v>
      </c>
      <c r="F103" s="127"/>
      <c r="G103" s="127"/>
      <c r="H103" s="127"/>
      <c r="I103" s="127"/>
      <c r="J103" s="127"/>
      <c r="K103" s="127"/>
      <c r="L103" s="127"/>
      <c r="M103" s="127"/>
      <c r="N103" s="128"/>
      <c r="O103" s="128"/>
      <c r="P103" s="128"/>
      <c r="Q103" s="128"/>
      <c r="R103" s="128"/>
      <c r="S103" s="126"/>
      <c r="T103" s="129"/>
    </row>
    <row r="104" customFormat="false" ht="60" hidden="false" customHeight="true" outlineLevel="0" collapsed="false">
      <c r="B104" s="39"/>
      <c r="C104" s="126"/>
      <c r="D104" s="128"/>
      <c r="E104" s="263" t="s">
        <v>36</v>
      </c>
      <c r="F104" s="383" t="s">
        <v>92</v>
      </c>
      <c r="G104" s="383"/>
      <c r="H104" s="384" t="s">
        <v>52</v>
      </c>
      <c r="I104" s="294" t="s">
        <v>53</v>
      </c>
      <c r="J104" s="295" t="s">
        <v>54</v>
      </c>
      <c r="K104" s="264" t="s">
        <v>55</v>
      </c>
      <c r="L104" s="296" t="s">
        <v>56</v>
      </c>
      <c r="M104" s="294" t="s">
        <v>57</v>
      </c>
      <c r="N104" s="43" t="s">
        <v>58</v>
      </c>
      <c r="O104" s="79" t="s">
        <v>59</v>
      </c>
      <c r="P104" s="79" t="s">
        <v>60</v>
      </c>
      <c r="Q104" s="82" t="s">
        <v>61</v>
      </c>
      <c r="R104" s="128"/>
      <c r="S104" s="126"/>
      <c r="T104" s="129"/>
    </row>
    <row r="105" customFormat="false" ht="45" hidden="false" customHeight="true" outlineLevel="0" collapsed="false">
      <c r="B105" s="39"/>
      <c r="C105" s="126"/>
      <c r="D105" s="340"/>
      <c r="E105" s="52" t="s">
        <v>16</v>
      </c>
      <c r="F105" s="338" t="s">
        <v>98</v>
      </c>
      <c r="G105" s="338"/>
      <c r="H105" s="557" t="n">
        <v>1</v>
      </c>
      <c r="I105" s="557" t="n">
        <v>57</v>
      </c>
      <c r="J105" s="557" t="s">
        <v>46</v>
      </c>
      <c r="K105" s="558" t="n">
        <f aca="false">IF(I105="",0,(I105/I109)*100)</f>
        <v>87.6923076923077</v>
      </c>
      <c r="L105" s="557" t="n">
        <v>3</v>
      </c>
      <c r="M105" s="559" t="n">
        <v>1</v>
      </c>
      <c r="N105" s="301" t="n">
        <f aca="false">IF(L105=1,1,0)</f>
        <v>0</v>
      </c>
      <c r="O105" s="85" t="n">
        <f aca="false">IF(L105=2,1,0)</f>
        <v>0</v>
      </c>
      <c r="P105" s="85" t="n">
        <f aca="false">IF(L105=3,1,0)</f>
        <v>1</v>
      </c>
      <c r="Q105" s="84" t="n">
        <f aca="false">IF(L105=4,1,0)</f>
        <v>0</v>
      </c>
      <c r="R105" s="339"/>
      <c r="S105" s="126"/>
      <c r="T105" s="131"/>
    </row>
    <row r="106" customFormat="false" ht="45" hidden="false" customHeight="true" outlineLevel="0" collapsed="false">
      <c r="B106" s="39"/>
      <c r="C106" s="126"/>
      <c r="D106" s="336"/>
      <c r="E106" s="110" t="s">
        <v>10</v>
      </c>
      <c r="F106" s="343" t="s">
        <v>100</v>
      </c>
      <c r="G106" s="343"/>
      <c r="H106" s="112" t="n">
        <v>3</v>
      </c>
      <c r="I106" s="112" t="n">
        <v>65</v>
      </c>
      <c r="J106" s="112" t="s">
        <v>46</v>
      </c>
      <c r="K106" s="113" t="n">
        <f aca="false">IF(I106="",0,(I106/I109)*100)</f>
        <v>100</v>
      </c>
      <c r="L106" s="112" t="n">
        <v>1</v>
      </c>
      <c r="M106" s="344" t="n">
        <v>6</v>
      </c>
      <c r="N106" s="305" t="n">
        <f aca="false">IF(L106=1,1,0)</f>
        <v>1</v>
      </c>
      <c r="O106" s="88" t="n">
        <f aca="false">IF(L106=2,1,0)</f>
        <v>0</v>
      </c>
      <c r="P106" s="88" t="n">
        <f aca="false">IF(L106=3,1,0)</f>
        <v>0</v>
      </c>
      <c r="Q106" s="87" t="n">
        <f aca="false">IF(L106=4,1,0)</f>
        <v>0</v>
      </c>
      <c r="R106" s="339"/>
      <c r="S106" s="126"/>
      <c r="T106" s="132"/>
    </row>
    <row r="107" customFormat="false" ht="45" hidden="false" customHeight="true" outlineLevel="0" collapsed="false">
      <c r="B107" s="39"/>
      <c r="C107" s="126"/>
      <c r="D107" s="336"/>
      <c r="E107" s="60" t="s">
        <v>27</v>
      </c>
      <c r="F107" s="304" t="s">
        <v>101</v>
      </c>
      <c r="G107" s="304"/>
      <c r="H107" s="560" t="n">
        <v>2</v>
      </c>
      <c r="I107" s="560" t="n">
        <v>62</v>
      </c>
      <c r="J107" s="560" t="s">
        <v>46</v>
      </c>
      <c r="K107" s="561" t="n">
        <f aca="false">IF(I107="",0,(I107/I109)*100)</f>
        <v>95.3846153846154</v>
      </c>
      <c r="L107" s="560" t="n">
        <v>2</v>
      </c>
      <c r="M107" s="562" t="n">
        <v>3</v>
      </c>
      <c r="N107" s="305" t="n">
        <f aca="false">IF(L107=1,1,0)</f>
        <v>0</v>
      </c>
      <c r="O107" s="88" t="n">
        <f aca="false">IF(L107=2,1,0)</f>
        <v>1</v>
      </c>
      <c r="P107" s="88" t="n">
        <f aca="false">IF(L107=3,1,0)</f>
        <v>0</v>
      </c>
      <c r="Q107" s="87" t="n">
        <f aca="false">IF(L107=4,1,0)</f>
        <v>0</v>
      </c>
      <c r="R107" s="339"/>
      <c r="S107" s="126"/>
      <c r="T107" s="132"/>
    </row>
    <row r="108" customFormat="false" ht="45" hidden="false" customHeight="true" outlineLevel="0" collapsed="false">
      <c r="B108" s="39"/>
      <c r="C108" s="126"/>
      <c r="D108" s="336"/>
      <c r="E108" s="69" t="s">
        <v>96</v>
      </c>
      <c r="F108" s="397" t="s">
        <v>180</v>
      </c>
      <c r="G108" s="397"/>
      <c r="H108" s="563" t="n">
        <v>4</v>
      </c>
      <c r="I108" s="563" t="n">
        <v>44</v>
      </c>
      <c r="J108" s="563" t="s">
        <v>46</v>
      </c>
      <c r="K108" s="564" t="n">
        <f aca="false">IF(I108="",0,(I108/I109)*100)</f>
        <v>67.6923076923077</v>
      </c>
      <c r="L108" s="563" t="n">
        <v>4</v>
      </c>
      <c r="M108" s="565" t="n">
        <v>0</v>
      </c>
      <c r="N108" s="310" t="n">
        <f aca="false">IF(L108=1,1,0)</f>
        <v>0</v>
      </c>
      <c r="O108" s="95" t="n">
        <f aca="false">IF(L108=2,1,0)</f>
        <v>0</v>
      </c>
      <c r="P108" s="95" t="n">
        <f aca="false">IF(L108=3,1,0)</f>
        <v>0</v>
      </c>
      <c r="Q108" s="117" t="n">
        <f aca="false">IF(L108=4,1,0)</f>
        <v>1</v>
      </c>
      <c r="R108" s="339"/>
      <c r="S108" s="126"/>
      <c r="T108" s="132"/>
    </row>
    <row r="109" customFormat="false" ht="15.75" hidden="true" customHeight="false" outlineLevel="1" collapsed="false">
      <c r="B109" s="39"/>
      <c r="C109" s="126"/>
      <c r="D109" s="336"/>
      <c r="E109" s="336"/>
      <c r="F109" s="339"/>
      <c r="G109" s="339"/>
      <c r="H109" s="345" t="s">
        <v>62</v>
      </c>
      <c r="I109" s="98" t="n">
        <f aca="false">MAX(I105:I108)</f>
        <v>65</v>
      </c>
      <c r="J109" s="339"/>
      <c r="K109" s="346"/>
      <c r="L109" s="339"/>
      <c r="M109" s="333" t="s">
        <v>63</v>
      </c>
      <c r="N109" s="102" t="n">
        <f aca="false">SUM(N105:N108)</f>
        <v>1</v>
      </c>
      <c r="O109" s="103" t="n">
        <f aca="false">SUM(O105:O108)</f>
        <v>1</v>
      </c>
      <c r="P109" s="102" t="n">
        <f aca="false">SUM(P105:P108)</f>
        <v>1</v>
      </c>
      <c r="Q109" s="104" t="n">
        <f aca="false">SUM(Q105:Q108)</f>
        <v>1</v>
      </c>
      <c r="R109" s="347"/>
      <c r="S109" s="126"/>
      <c r="T109" s="132"/>
    </row>
    <row r="110" customFormat="false" ht="15" hidden="false" customHeight="false" outlineLevel="0" collapsed="false">
      <c r="B110" s="39"/>
      <c r="C110" s="126"/>
      <c r="D110" s="133"/>
      <c r="E110" s="133"/>
      <c r="F110" s="126"/>
      <c r="G110" s="126"/>
      <c r="H110" s="126"/>
      <c r="I110" s="126"/>
      <c r="J110" s="126"/>
      <c r="K110" s="126"/>
      <c r="L110" s="126"/>
      <c r="M110" s="126"/>
      <c r="N110" s="126"/>
      <c r="O110" s="126"/>
      <c r="P110" s="126"/>
      <c r="Q110" s="126"/>
      <c r="R110" s="126"/>
      <c r="S110" s="126"/>
      <c r="T110" s="132"/>
    </row>
    <row r="111" customFormat="false" ht="15" hidden="false" customHeight="false" outlineLevel="0" collapsed="false">
      <c r="B111" s="39"/>
      <c r="D111" s="124"/>
      <c r="E111" s="124"/>
      <c r="F111" s="124"/>
      <c r="G111" s="124"/>
      <c r="H111" s="125"/>
      <c r="I111" s="124"/>
      <c r="J111" s="124"/>
      <c r="K111" s="124"/>
      <c r="L111" s="36"/>
      <c r="M111" s="36"/>
      <c r="N111" s="36"/>
      <c r="O111" s="36"/>
      <c r="P111" s="36"/>
      <c r="Q111" s="36"/>
      <c r="R111" s="36"/>
      <c r="T111" s="131"/>
    </row>
    <row r="112" customFormat="false" ht="15.75" hidden="false" customHeight="false" outlineLevel="0" collapsed="false">
      <c r="B112" s="39"/>
      <c r="C112" s="134"/>
      <c r="D112" s="134"/>
      <c r="E112" s="135" t="str">
        <f aca="false">IF(OR(L83="-",L83= ""),H83,L83)</f>
        <v>Roll for the Galaxy</v>
      </c>
      <c r="F112" s="135"/>
      <c r="G112" s="135"/>
      <c r="H112" s="135"/>
      <c r="I112" s="135"/>
      <c r="J112" s="135"/>
      <c r="K112" s="135"/>
      <c r="L112" s="135"/>
      <c r="M112" s="135"/>
      <c r="N112" s="136"/>
      <c r="O112" s="136"/>
      <c r="P112" s="136"/>
      <c r="Q112" s="136"/>
      <c r="R112" s="136"/>
      <c r="S112" s="134"/>
      <c r="T112" s="39"/>
    </row>
    <row r="113" customFormat="false" ht="60" hidden="false" customHeight="true" outlineLevel="0" collapsed="false">
      <c r="B113" s="39"/>
      <c r="C113" s="134"/>
      <c r="D113" s="136"/>
      <c r="E113" s="263" t="s">
        <v>36</v>
      </c>
      <c r="F113" s="266" t="s">
        <v>92</v>
      </c>
      <c r="G113" s="266"/>
      <c r="H113" s="265" t="s">
        <v>52</v>
      </c>
      <c r="I113" s="294" t="s">
        <v>53</v>
      </c>
      <c r="J113" s="295" t="s">
        <v>54</v>
      </c>
      <c r="K113" s="264" t="s">
        <v>55</v>
      </c>
      <c r="L113" s="296" t="s">
        <v>56</v>
      </c>
      <c r="M113" s="294" t="s">
        <v>57</v>
      </c>
      <c r="N113" s="43" t="s">
        <v>58</v>
      </c>
      <c r="O113" s="79" t="s">
        <v>59</v>
      </c>
      <c r="P113" s="79" t="s">
        <v>60</v>
      </c>
      <c r="Q113" s="82" t="s">
        <v>61</v>
      </c>
      <c r="R113" s="136"/>
      <c r="S113" s="134"/>
      <c r="T113" s="39"/>
    </row>
    <row r="114" customFormat="false" ht="45" hidden="false" customHeight="true" outlineLevel="0" collapsed="false">
      <c r="B114" s="39"/>
      <c r="C114" s="134"/>
      <c r="D114" s="349"/>
      <c r="E114" s="52" t="s">
        <v>16</v>
      </c>
      <c r="F114" s="338" t="s">
        <v>98</v>
      </c>
      <c r="G114" s="338"/>
      <c r="H114" s="557" t="s">
        <v>46</v>
      </c>
      <c r="I114" s="557" t="n">
        <v>33</v>
      </c>
      <c r="J114" s="557" t="s">
        <v>46</v>
      </c>
      <c r="K114" s="558" t="n">
        <f aca="false">IF(I114="",0,(I114/I118)*100)</f>
        <v>73.3333333333333</v>
      </c>
      <c r="L114" s="557" t="n">
        <v>3</v>
      </c>
      <c r="M114" s="559" t="n">
        <v>1</v>
      </c>
      <c r="N114" s="301" t="n">
        <f aca="false">IF(L114=1,1,0)</f>
        <v>0</v>
      </c>
      <c r="O114" s="85" t="n">
        <f aca="false">IF(L114=2,1,0)</f>
        <v>0</v>
      </c>
      <c r="P114" s="85" t="n">
        <f aca="false">IF(L114=3,1,0)</f>
        <v>1</v>
      </c>
      <c r="Q114" s="84" t="n">
        <f aca="false">IF(L114=4,1,0)</f>
        <v>0</v>
      </c>
      <c r="R114" s="350"/>
      <c r="S114" s="134"/>
      <c r="T114" s="39"/>
    </row>
    <row r="115" customFormat="false" ht="45" hidden="false" customHeight="true" outlineLevel="0" collapsed="false">
      <c r="B115" s="39"/>
      <c r="C115" s="134"/>
      <c r="D115" s="349"/>
      <c r="E115" s="60" t="s">
        <v>10</v>
      </c>
      <c r="F115" s="304" t="s">
        <v>100</v>
      </c>
      <c r="G115" s="304"/>
      <c r="H115" s="560" t="s">
        <v>46</v>
      </c>
      <c r="I115" s="560" t="n">
        <v>19</v>
      </c>
      <c r="J115" s="560" t="s">
        <v>46</v>
      </c>
      <c r="K115" s="561" t="n">
        <f aca="false">IF(I115="",0,(I115/I118)*100)</f>
        <v>42.2222222222222</v>
      </c>
      <c r="L115" s="560" t="n">
        <v>4</v>
      </c>
      <c r="M115" s="562" t="n">
        <v>0</v>
      </c>
      <c r="N115" s="305" t="n">
        <f aca="false">IF(L115=1,1,0)</f>
        <v>0</v>
      </c>
      <c r="O115" s="88" t="n">
        <f aca="false">IF(L115=2,1,0)</f>
        <v>0</v>
      </c>
      <c r="P115" s="88" t="n">
        <f aca="false">IF(L115=3,1,0)</f>
        <v>0</v>
      </c>
      <c r="Q115" s="87" t="n">
        <f aca="false">IF(L115=4,1,0)</f>
        <v>1</v>
      </c>
      <c r="R115" s="350"/>
      <c r="S115" s="134"/>
      <c r="T115" s="39"/>
    </row>
    <row r="116" customFormat="false" ht="45" hidden="false" customHeight="true" outlineLevel="0" collapsed="false">
      <c r="B116" s="39"/>
      <c r="C116" s="134"/>
      <c r="D116" s="349"/>
      <c r="E116" s="110" t="s">
        <v>27</v>
      </c>
      <c r="F116" s="343" t="s">
        <v>101</v>
      </c>
      <c r="G116" s="343"/>
      <c r="H116" s="112" t="s">
        <v>46</v>
      </c>
      <c r="I116" s="112" t="n">
        <v>45</v>
      </c>
      <c r="J116" s="112" t="s">
        <v>46</v>
      </c>
      <c r="K116" s="113" t="n">
        <f aca="false">IF(I116="",0,(I116/I118)*100)</f>
        <v>100</v>
      </c>
      <c r="L116" s="112" t="n">
        <v>1</v>
      </c>
      <c r="M116" s="344" t="n">
        <v>6</v>
      </c>
      <c r="N116" s="305" t="n">
        <f aca="false">IF(L116=1,1,0)</f>
        <v>1</v>
      </c>
      <c r="O116" s="88" t="n">
        <f aca="false">IF(L116=2,1,0)</f>
        <v>0</v>
      </c>
      <c r="P116" s="88" t="n">
        <f aca="false">IF(L116=3,1,0)</f>
        <v>0</v>
      </c>
      <c r="Q116" s="87" t="n">
        <f aca="false">IF(L116=4,1,0)</f>
        <v>0</v>
      </c>
      <c r="R116" s="350"/>
      <c r="S116" s="134"/>
      <c r="T116" s="39"/>
    </row>
    <row r="117" customFormat="false" ht="45" hidden="false" customHeight="true" outlineLevel="0" collapsed="false">
      <c r="B117" s="39"/>
      <c r="C117" s="134"/>
      <c r="D117" s="351"/>
      <c r="E117" s="69" t="s">
        <v>96</v>
      </c>
      <c r="F117" s="397" t="s">
        <v>180</v>
      </c>
      <c r="G117" s="397"/>
      <c r="H117" s="563" t="s">
        <v>46</v>
      </c>
      <c r="I117" s="563" t="n">
        <v>41</v>
      </c>
      <c r="J117" s="563" t="s">
        <v>46</v>
      </c>
      <c r="K117" s="564" t="n">
        <f aca="false">IF(I117="",0,(I117/I118)*100)</f>
        <v>91.1111111111111</v>
      </c>
      <c r="L117" s="563" t="n">
        <v>2</v>
      </c>
      <c r="M117" s="565" t="n">
        <v>3</v>
      </c>
      <c r="N117" s="310" t="n">
        <f aca="false">IF(L117=1,1,0)</f>
        <v>0</v>
      </c>
      <c r="O117" s="95" t="n">
        <f aca="false">IF(L117=2,1,0)</f>
        <v>1</v>
      </c>
      <c r="P117" s="95" t="n">
        <f aca="false">IF(L117=3,1,0)</f>
        <v>0</v>
      </c>
      <c r="Q117" s="117" t="n">
        <f aca="false">IF(L117=4,1,0)</f>
        <v>0</v>
      </c>
      <c r="R117" s="350"/>
      <c r="S117" s="134"/>
      <c r="T117" s="39"/>
    </row>
    <row r="118" customFormat="false" ht="15.75" hidden="true" customHeight="false" outlineLevel="1" collapsed="false">
      <c r="B118" s="39"/>
      <c r="C118" s="134"/>
      <c r="D118" s="349"/>
      <c r="E118" s="349"/>
      <c r="F118" s="350"/>
      <c r="G118" s="350"/>
      <c r="H118" s="395" t="s">
        <v>62</v>
      </c>
      <c r="I118" s="98" t="n">
        <f aca="false">MAX(I114:I117)</f>
        <v>45</v>
      </c>
      <c r="J118" s="350"/>
      <c r="K118" s="353"/>
      <c r="L118" s="350"/>
      <c r="M118" s="333" t="s">
        <v>63</v>
      </c>
      <c r="N118" s="102" t="n">
        <f aca="false">SUM(N114:N117)</f>
        <v>1</v>
      </c>
      <c r="O118" s="103" t="n">
        <f aca="false">SUM(O114:O117)</f>
        <v>1</v>
      </c>
      <c r="P118" s="102" t="n">
        <f aca="false">SUM(P114:P117)</f>
        <v>1</v>
      </c>
      <c r="Q118" s="104" t="n">
        <f aca="false">SUM(Q114:Q117)</f>
        <v>1</v>
      </c>
      <c r="R118" s="354"/>
      <c r="S118" s="134"/>
      <c r="T118" s="39"/>
    </row>
    <row r="119" customFormat="false" ht="15" hidden="false" customHeight="false" outlineLevel="0" collapsed="false">
      <c r="B119" s="39"/>
      <c r="C119" s="134"/>
      <c r="D119" s="137"/>
      <c r="E119" s="137"/>
      <c r="F119" s="134"/>
      <c r="G119" s="134"/>
      <c r="H119" s="134"/>
      <c r="I119" s="134"/>
      <c r="J119" s="134"/>
      <c r="K119" s="134"/>
      <c r="L119" s="134"/>
      <c r="M119" s="134"/>
      <c r="N119" s="134"/>
      <c r="O119" s="134"/>
      <c r="P119" s="134"/>
      <c r="Q119" s="134"/>
      <c r="R119" s="134"/>
      <c r="S119" s="134"/>
      <c r="T119" s="39"/>
    </row>
    <row r="120" customFormat="false" ht="15" hidden="false" customHeight="false" outlineLevel="0" collapsed="false">
      <c r="B120" s="39"/>
      <c r="D120" s="138"/>
      <c r="E120" s="138"/>
      <c r="F120" s="138"/>
      <c r="G120" s="138"/>
      <c r="H120" s="138"/>
      <c r="I120" s="138"/>
      <c r="J120" s="138"/>
      <c r="K120" s="36"/>
      <c r="L120" s="36"/>
      <c r="M120" s="36"/>
      <c r="N120" s="36"/>
      <c r="O120" s="36"/>
      <c r="P120" s="36"/>
      <c r="Q120" s="36"/>
      <c r="R120" s="36"/>
      <c r="T120" s="39"/>
    </row>
    <row r="121" customFormat="false" ht="24" hidden="false" customHeight="false" outlineLevel="0" collapsed="false">
      <c r="B121" s="39"/>
      <c r="C121" s="139"/>
      <c r="D121" s="139"/>
      <c r="E121" s="140" t="s">
        <v>165</v>
      </c>
      <c r="F121" s="140"/>
      <c r="G121" s="140"/>
      <c r="H121" s="140"/>
      <c r="I121" s="140"/>
      <c r="J121" s="140"/>
      <c r="K121" s="140"/>
      <c r="L121" s="140"/>
      <c r="M121" s="140"/>
      <c r="N121" s="141"/>
      <c r="O121" s="141"/>
      <c r="P121" s="141"/>
      <c r="Q121" s="141"/>
      <c r="R121" s="141"/>
      <c r="S121" s="139"/>
      <c r="T121" s="39"/>
    </row>
    <row r="122" customFormat="false" ht="60" hidden="false" customHeight="true" outlineLevel="0" collapsed="false">
      <c r="B122" s="39"/>
      <c r="C122" s="139"/>
      <c r="D122" s="398"/>
      <c r="E122" s="356" t="s">
        <v>36</v>
      </c>
      <c r="F122" s="357" t="s">
        <v>92</v>
      </c>
      <c r="G122" s="357"/>
      <c r="H122" s="356" t="s">
        <v>57</v>
      </c>
      <c r="I122" s="359" t="s">
        <v>65</v>
      </c>
      <c r="J122" s="358" t="s">
        <v>66</v>
      </c>
      <c r="K122" s="359" t="s">
        <v>67</v>
      </c>
      <c r="L122" s="358" t="s">
        <v>68</v>
      </c>
      <c r="M122" s="357" t="s">
        <v>69</v>
      </c>
      <c r="N122" s="147"/>
      <c r="O122" s="147"/>
      <c r="P122" s="147"/>
      <c r="Q122" s="147"/>
      <c r="R122" s="147"/>
      <c r="S122" s="139"/>
      <c r="T122" s="39"/>
    </row>
    <row r="123" customFormat="false" ht="45" hidden="false" customHeight="true" outlineLevel="0" collapsed="false">
      <c r="B123" s="39"/>
      <c r="C123" s="139"/>
      <c r="D123" s="360"/>
      <c r="E123" s="361" t="s">
        <v>27</v>
      </c>
      <c r="F123" s="362" t="s">
        <v>101</v>
      </c>
      <c r="G123" s="362"/>
      <c r="H123" s="399" t="n">
        <f aca="false">I123*6+J123*3+K123*1+L123*0</f>
        <v>15</v>
      </c>
      <c r="I123" s="399" t="n">
        <v>2</v>
      </c>
      <c r="J123" s="399" t="n">
        <v>1</v>
      </c>
      <c r="K123" s="399" t="n">
        <v>0</v>
      </c>
      <c r="L123" s="399" t="n">
        <v>1</v>
      </c>
      <c r="M123" s="364" t="n">
        <f aca="false">(K89+K98+K107+K116)/4</f>
        <v>88.4065934065934</v>
      </c>
      <c r="N123" s="153"/>
      <c r="O123" s="153"/>
      <c r="P123" s="153"/>
      <c r="Q123" s="153"/>
      <c r="R123" s="153"/>
      <c r="S123" s="139"/>
      <c r="T123" s="39"/>
    </row>
    <row r="124" customFormat="false" ht="45" hidden="false" customHeight="true" outlineLevel="0" collapsed="false">
      <c r="B124" s="39"/>
      <c r="C124" s="139"/>
      <c r="D124" s="168"/>
      <c r="E124" s="365" t="s">
        <v>10</v>
      </c>
      <c r="F124" s="366" t="s">
        <v>100</v>
      </c>
      <c r="G124" s="366"/>
      <c r="H124" s="400" t="n">
        <f aca="false">I124*6+J124*3+K124*1+L124*0</f>
        <v>15</v>
      </c>
      <c r="I124" s="400" t="n">
        <v>2</v>
      </c>
      <c r="J124" s="400" t="n">
        <v>1</v>
      </c>
      <c r="K124" s="400" t="n">
        <v>0</v>
      </c>
      <c r="L124" s="400" t="n">
        <v>1</v>
      </c>
      <c r="M124" s="367" t="n">
        <f aca="false">(K88+K97+K106+K115)/4</f>
        <v>82.7430555555556</v>
      </c>
      <c r="N124" s="153"/>
      <c r="O124" s="153"/>
      <c r="P124" s="153"/>
      <c r="Q124" s="153"/>
      <c r="R124" s="153"/>
      <c r="S124" s="139"/>
      <c r="T124" s="39"/>
      <c r="V124" s="32"/>
      <c r="W124" s="32"/>
      <c r="X124" s="120"/>
      <c r="Y124" s="120"/>
      <c r="Z124" s="194"/>
      <c r="AA124" s="194"/>
      <c r="AB124" s="195"/>
      <c r="AC124" s="195"/>
      <c r="AD124" s="195"/>
    </row>
    <row r="125" customFormat="false" ht="45" hidden="false" customHeight="true" outlineLevel="0" collapsed="false">
      <c r="B125" s="39"/>
      <c r="C125" s="139"/>
      <c r="D125" s="168"/>
      <c r="E125" s="365" t="s">
        <v>16</v>
      </c>
      <c r="F125" s="366" t="s">
        <v>98</v>
      </c>
      <c r="G125" s="366"/>
      <c r="H125" s="400" t="n">
        <f aca="false">I125*6+J125*3+K125*1+L125*0</f>
        <v>6</v>
      </c>
      <c r="I125" s="400" t="n">
        <v>0</v>
      </c>
      <c r="J125" s="400" t="n">
        <v>1</v>
      </c>
      <c r="K125" s="400" t="n">
        <v>3</v>
      </c>
      <c r="L125" s="400" t="n">
        <v>0</v>
      </c>
      <c r="M125" s="367" t="n">
        <f aca="false">(K87+K96+K105+K114)/4</f>
        <v>79.5249542124542</v>
      </c>
      <c r="N125" s="153"/>
      <c r="O125" s="153"/>
      <c r="P125" s="153"/>
      <c r="Q125" s="153"/>
      <c r="R125" s="153"/>
      <c r="S125" s="139"/>
      <c r="T125" s="39"/>
    </row>
    <row r="126" customFormat="false" ht="45" hidden="false" customHeight="true" outlineLevel="0" collapsed="false">
      <c r="B126" s="39"/>
      <c r="C126" s="139"/>
      <c r="D126" s="168"/>
      <c r="E126" s="368" t="s">
        <v>96</v>
      </c>
      <c r="F126" s="369" t="s">
        <v>180</v>
      </c>
      <c r="G126" s="369"/>
      <c r="H126" s="402" t="n">
        <f aca="false">I126*6+J126*3+K126*1+L126*0</f>
        <v>4</v>
      </c>
      <c r="I126" s="402" t="n">
        <v>0</v>
      </c>
      <c r="J126" s="402" t="n">
        <v>1</v>
      </c>
      <c r="K126" s="402" t="n">
        <v>1</v>
      </c>
      <c r="L126" s="402" t="n">
        <v>2</v>
      </c>
      <c r="M126" s="371" t="n">
        <f aca="false">(K90+K99+K108+K117)/4</f>
        <v>66.3732448107448</v>
      </c>
      <c r="N126" s="153"/>
      <c r="O126" s="153"/>
      <c r="P126" s="153"/>
      <c r="Q126" s="153"/>
      <c r="R126" s="153"/>
      <c r="S126" s="139"/>
      <c r="T126" s="39"/>
    </row>
    <row r="127" customFormat="false" ht="15" hidden="false" customHeight="false" outlineLevel="0" collapsed="false">
      <c r="B127" s="39"/>
      <c r="C127" s="139"/>
      <c r="D127" s="168"/>
      <c r="E127" s="168"/>
      <c r="F127" s="153"/>
      <c r="G127" s="153"/>
      <c r="H127" s="153"/>
      <c r="I127" s="153"/>
      <c r="J127" s="153"/>
      <c r="K127" s="153"/>
      <c r="L127" s="153"/>
      <c r="M127" s="153"/>
      <c r="N127" s="153"/>
      <c r="O127" s="153"/>
      <c r="P127" s="153"/>
      <c r="Q127" s="153"/>
      <c r="R127" s="153"/>
      <c r="S127" s="139"/>
      <c r="T127" s="39"/>
    </row>
    <row r="128" customFormat="false" ht="15" hidden="false" customHeight="true" outlineLevel="0" collapsed="false">
      <c r="B128" s="39"/>
      <c r="C128" s="39"/>
      <c r="D128" s="169"/>
      <c r="E128" s="169"/>
      <c r="F128" s="129"/>
      <c r="G128" s="129"/>
      <c r="H128" s="169"/>
      <c r="I128" s="169"/>
      <c r="J128" s="169"/>
      <c r="K128" s="131"/>
      <c r="L128" s="131"/>
      <c r="M128" s="131"/>
      <c r="N128" s="131"/>
      <c r="O128" s="131"/>
      <c r="P128" s="131"/>
      <c r="Q128" s="131"/>
      <c r="R128" s="131"/>
      <c r="S128" s="39"/>
      <c r="T128" s="39"/>
    </row>
    <row r="131" customFormat="false" ht="15" hidden="false" customHeight="false" outlineLevel="0" collapsed="false">
      <c r="B131" s="39"/>
      <c r="C131" s="39"/>
      <c r="D131" s="40"/>
      <c r="E131" s="40"/>
      <c r="F131" s="40"/>
      <c r="G131" s="40"/>
      <c r="H131" s="39"/>
      <c r="I131" s="39"/>
      <c r="J131" s="39"/>
      <c r="K131" s="39"/>
      <c r="L131" s="39"/>
      <c r="M131" s="39"/>
      <c r="N131" s="39"/>
      <c r="O131" s="39"/>
      <c r="P131" s="39"/>
      <c r="Q131" s="39"/>
      <c r="R131" s="39"/>
      <c r="S131" s="39"/>
      <c r="T131" s="39"/>
    </row>
    <row r="132" customFormat="false" ht="31.5" hidden="false" customHeight="false" outlineLevel="0" collapsed="false">
      <c r="B132" s="39"/>
      <c r="C132" s="442" t="s">
        <v>133</v>
      </c>
      <c r="D132" s="442"/>
      <c r="E132" s="442"/>
      <c r="F132" s="442"/>
      <c r="G132" s="442"/>
      <c r="H132" s="442"/>
      <c r="I132" s="442"/>
      <c r="J132" s="442"/>
      <c r="K132" s="442"/>
      <c r="L132" s="442"/>
      <c r="M132" s="442"/>
      <c r="N132" s="442"/>
      <c r="O132" s="442"/>
      <c r="P132" s="442"/>
      <c r="Q132" s="442"/>
      <c r="R132" s="442"/>
      <c r="S132" s="442"/>
      <c r="T132" s="39"/>
    </row>
    <row r="133" customFormat="false" ht="15.75" hidden="false" customHeight="false" outlineLevel="0" collapsed="false">
      <c r="B133" s="39"/>
      <c r="D133" s="36"/>
      <c r="E133" s="36"/>
      <c r="T133" s="39"/>
    </row>
    <row r="134" customFormat="false" ht="45" hidden="false" customHeight="true" outlineLevel="0" collapsed="false">
      <c r="B134" s="39"/>
      <c r="D134" s="263" t="s">
        <v>36</v>
      </c>
      <c r="E134" s="264" t="s">
        <v>92</v>
      </c>
      <c r="F134" s="265" t="s">
        <v>6</v>
      </c>
      <c r="G134" s="265"/>
      <c r="H134" s="266" t="s">
        <v>110</v>
      </c>
      <c r="I134" s="266"/>
      <c r="J134" s="266"/>
      <c r="K134" s="264" t="s">
        <v>71</v>
      </c>
      <c r="L134" s="266" t="s">
        <v>40</v>
      </c>
      <c r="M134" s="266"/>
      <c r="N134" s="266"/>
      <c r="O134" s="266"/>
      <c r="P134" s="266"/>
      <c r="Q134" s="266"/>
      <c r="R134" s="266"/>
      <c r="T134" s="39"/>
    </row>
    <row r="135" customFormat="false" ht="15.75" hidden="false" customHeight="false" outlineLevel="0" collapsed="false">
      <c r="B135" s="39"/>
      <c r="D135" s="263"/>
      <c r="E135" s="264"/>
      <c r="F135" s="265"/>
      <c r="G135" s="265"/>
      <c r="H135" s="267" t="s">
        <v>41</v>
      </c>
      <c r="I135" s="268" t="s">
        <v>42</v>
      </c>
      <c r="J135" s="268" t="s">
        <v>111</v>
      </c>
      <c r="K135" s="267" t="s">
        <v>43</v>
      </c>
      <c r="L135" s="270" t="s">
        <v>44</v>
      </c>
      <c r="M135" s="270" t="s">
        <v>42</v>
      </c>
      <c r="N135" s="271"/>
      <c r="O135" s="271"/>
      <c r="P135" s="271"/>
      <c r="Q135" s="271"/>
      <c r="R135" s="404" t="s">
        <v>111</v>
      </c>
      <c r="T135" s="39"/>
    </row>
    <row r="136" customFormat="false" ht="45" hidden="false" customHeight="false" outlineLevel="0" collapsed="false">
      <c r="B136" s="39"/>
      <c r="D136" s="272" t="str">
        <f aca="false">K12</f>
        <v>Markus Hagenauer</v>
      </c>
      <c r="E136" s="373" t="s">
        <v>105</v>
      </c>
      <c r="F136" s="12" t="n">
        <v>1</v>
      </c>
      <c r="G136" s="12"/>
      <c r="H136" s="405" t="s">
        <v>192</v>
      </c>
      <c r="I136" s="373" t="s">
        <v>193</v>
      </c>
      <c r="J136" s="202" t="s">
        <v>85</v>
      </c>
      <c r="K136" s="406" t="s">
        <v>50</v>
      </c>
      <c r="L136" s="272" t="s">
        <v>46</v>
      </c>
      <c r="M136" s="276" t="s">
        <v>46</v>
      </c>
      <c r="N136" s="277"/>
      <c r="O136" s="277"/>
      <c r="P136" s="277"/>
      <c r="Q136" s="277"/>
      <c r="R136" s="173" t="s">
        <v>46</v>
      </c>
      <c r="T136" s="39"/>
    </row>
    <row r="137" customFormat="false" ht="45" hidden="false" customHeight="false" outlineLevel="0" collapsed="false">
      <c r="B137" s="39"/>
      <c r="D137" s="407" t="s">
        <v>12</v>
      </c>
      <c r="E137" s="408" t="s">
        <v>106</v>
      </c>
      <c r="F137" s="19" t="n">
        <v>2</v>
      </c>
      <c r="G137" s="19"/>
      <c r="H137" s="409" t="s">
        <v>194</v>
      </c>
      <c r="I137" s="408" t="s">
        <v>195</v>
      </c>
      <c r="J137" s="410" t="s">
        <v>85</v>
      </c>
      <c r="K137" s="411" t="s">
        <v>50</v>
      </c>
      <c r="L137" s="412"/>
      <c r="M137" s="413"/>
      <c r="N137" s="414"/>
      <c r="O137" s="414"/>
      <c r="P137" s="414"/>
      <c r="Q137" s="414"/>
      <c r="R137" s="415"/>
      <c r="T137" s="39"/>
    </row>
    <row r="138" customFormat="false" ht="60" hidden="false" customHeight="false" outlineLevel="0" collapsed="false">
      <c r="B138" s="39"/>
      <c r="D138" s="278" t="s">
        <v>12</v>
      </c>
      <c r="E138" s="376" t="s">
        <v>106</v>
      </c>
      <c r="F138" s="19" t="n">
        <v>3</v>
      </c>
      <c r="G138" s="19"/>
      <c r="H138" s="379" t="s">
        <v>196</v>
      </c>
      <c r="I138" s="376" t="s">
        <v>197</v>
      </c>
      <c r="J138" s="178" t="s">
        <v>85</v>
      </c>
      <c r="K138" s="416" t="s">
        <v>50</v>
      </c>
      <c r="L138" s="278" t="s">
        <v>46</v>
      </c>
      <c r="M138" s="282" t="s">
        <v>46</v>
      </c>
      <c r="N138" s="283"/>
      <c r="O138" s="283"/>
      <c r="P138" s="283"/>
      <c r="Q138" s="283"/>
      <c r="R138" s="176" t="s">
        <v>46</v>
      </c>
      <c r="T138" s="39"/>
    </row>
    <row r="139" customFormat="false" ht="45.75" hidden="false" customHeight="false" outlineLevel="0" collapsed="false">
      <c r="B139" s="39"/>
      <c r="D139" s="29" t="s">
        <v>22</v>
      </c>
      <c r="E139" s="240" t="s">
        <v>103</v>
      </c>
      <c r="F139" s="23" t="n">
        <v>4</v>
      </c>
      <c r="G139" s="23"/>
      <c r="H139" s="417" t="s">
        <v>198</v>
      </c>
      <c r="I139" s="380" t="s">
        <v>46</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D140" s="36"/>
      <c r="E140" s="36"/>
      <c r="T140" s="39"/>
    </row>
    <row r="141" customFormat="false" ht="15.75" hidden="false" customHeight="false" outlineLevel="0" collapsed="false">
      <c r="B141" s="39"/>
      <c r="C141" s="76"/>
      <c r="D141" s="76"/>
      <c r="E141" s="77" t="str">
        <f aca="false">IF(OR(L136="-",L136= ""),H136,L136)</f>
        <v>Bangkok Klongs</v>
      </c>
      <c r="F141" s="77"/>
      <c r="G141" s="77"/>
      <c r="H141" s="77"/>
      <c r="I141" s="77"/>
      <c r="J141" s="77"/>
      <c r="K141" s="77"/>
      <c r="L141" s="77"/>
      <c r="M141" s="77"/>
      <c r="N141" s="78"/>
      <c r="O141" s="78"/>
      <c r="P141" s="78"/>
      <c r="Q141" s="78"/>
      <c r="R141" s="78"/>
      <c r="S141" s="76"/>
      <c r="T141" s="39"/>
    </row>
    <row r="142" customFormat="false" ht="60" hidden="false" customHeight="true" outlineLevel="0" collapsed="false">
      <c r="B142" s="39"/>
      <c r="C142" s="76"/>
      <c r="D142" s="78"/>
      <c r="E142" s="263" t="s">
        <v>36</v>
      </c>
      <c r="F142" s="264" t="s">
        <v>92</v>
      </c>
      <c r="G142" s="264"/>
      <c r="H142" s="265" t="s">
        <v>52</v>
      </c>
      <c r="I142" s="294" t="s">
        <v>53</v>
      </c>
      <c r="J142" s="295" t="s">
        <v>54</v>
      </c>
      <c r="K142" s="264" t="s">
        <v>55</v>
      </c>
      <c r="L142" s="296" t="s">
        <v>56</v>
      </c>
      <c r="M142" s="294" t="s">
        <v>57</v>
      </c>
      <c r="N142" s="43" t="s">
        <v>58</v>
      </c>
      <c r="O142" s="79" t="s">
        <v>59</v>
      </c>
      <c r="P142" s="78"/>
      <c r="Q142" s="78"/>
      <c r="R142" s="78"/>
      <c r="S142" s="76"/>
      <c r="T142" s="39"/>
    </row>
    <row r="143" customFormat="false" ht="45" hidden="false" customHeight="true" outlineLevel="0" collapsed="false">
      <c r="B143" s="39"/>
      <c r="C143" s="76"/>
      <c r="D143" s="297"/>
      <c r="E143" s="180" t="s">
        <v>22</v>
      </c>
      <c r="F143" s="299" t="s">
        <v>103</v>
      </c>
      <c r="G143" s="299"/>
      <c r="H143" s="182" t="n">
        <v>1</v>
      </c>
      <c r="I143" s="182" t="n">
        <v>244</v>
      </c>
      <c r="J143" s="182" t="s">
        <v>46</v>
      </c>
      <c r="K143" s="183" t="n">
        <f aca="false">IF(I143="",0,(I143/I145)*100)</f>
        <v>100</v>
      </c>
      <c r="L143" s="182" t="n">
        <v>1</v>
      </c>
      <c r="M143" s="300" t="n">
        <v>6</v>
      </c>
      <c r="N143" s="301" t="n">
        <f aca="false">IF(L143=1,1,0)</f>
        <v>1</v>
      </c>
      <c r="O143" s="84" t="n">
        <f aca="false">IF(L143=2,1,0)</f>
        <v>0</v>
      </c>
      <c r="P143" s="302"/>
      <c r="Q143" s="302"/>
      <c r="R143" s="302"/>
      <c r="S143" s="76"/>
      <c r="T143" s="39"/>
    </row>
    <row r="144" customFormat="false" ht="45" hidden="false" customHeight="true" outlineLevel="0" collapsed="false">
      <c r="B144" s="39"/>
      <c r="C144" s="76"/>
      <c r="D144" s="297"/>
      <c r="E144" s="29" t="s">
        <v>12</v>
      </c>
      <c r="F144" s="308" t="s">
        <v>106</v>
      </c>
      <c r="G144" s="308"/>
      <c r="H144" s="186" t="n">
        <v>2</v>
      </c>
      <c r="I144" s="186" t="n">
        <v>130</v>
      </c>
      <c r="J144" s="186" t="s">
        <v>46</v>
      </c>
      <c r="K144" s="116" t="n">
        <f aca="false">IF(I144="",0,(I144/I145)*100)</f>
        <v>53.2786885245902</v>
      </c>
      <c r="L144" s="186" t="n">
        <v>2</v>
      </c>
      <c r="M144" s="309" t="n">
        <v>0</v>
      </c>
      <c r="N144" s="310" t="n">
        <f aca="false">IF(L144=1,1,0)</f>
        <v>0</v>
      </c>
      <c r="O144" s="117" t="n">
        <f aca="false">IF(L144=2,1,0)</f>
        <v>1</v>
      </c>
      <c r="P144" s="302"/>
      <c r="Q144" s="302"/>
      <c r="R144" s="302"/>
      <c r="S144" s="76"/>
      <c r="T144" s="39"/>
    </row>
    <row r="145" customFormat="false" ht="15.75" hidden="true" customHeight="false" outlineLevel="1" collapsed="false">
      <c r="B145" s="39"/>
      <c r="C145" s="76"/>
      <c r="D145" s="306"/>
      <c r="E145" s="306"/>
      <c r="F145" s="302"/>
      <c r="G145" s="302"/>
      <c r="H145" s="395" t="s">
        <v>62</v>
      </c>
      <c r="I145" s="98" t="n">
        <f aca="false">MAX(I143:I144)</f>
        <v>244</v>
      </c>
      <c r="J145" s="316"/>
      <c r="K145" s="396"/>
      <c r="L145" s="316"/>
      <c r="M145" s="333" t="s">
        <v>63</v>
      </c>
      <c r="N145" s="102" t="n">
        <f aca="false">SUM(N143:N144)</f>
        <v>1</v>
      </c>
      <c r="O145" s="103" t="n">
        <f aca="false">SUM(O143:O144)</f>
        <v>1</v>
      </c>
      <c r="P145" s="102" t="n">
        <f aca="false">SUM(P143:P144)</f>
        <v>0</v>
      </c>
      <c r="Q145" s="102" t="n">
        <f aca="false">SUM(Q143:Q144)</f>
        <v>0</v>
      </c>
      <c r="R145" s="316"/>
      <c r="S145" s="76"/>
      <c r="T145" s="39"/>
    </row>
    <row r="146" customFormat="false" ht="15" hidden="false" customHeight="false" outlineLevel="0" collapsed="false">
      <c r="B146" s="39"/>
      <c r="C146" s="76"/>
      <c r="D146" s="105"/>
      <c r="E146" s="105"/>
      <c r="F146" s="76"/>
      <c r="G146" s="76"/>
      <c r="H146" s="76"/>
      <c r="I146" s="76"/>
      <c r="J146" s="76"/>
      <c r="K146" s="76"/>
      <c r="L146" s="76"/>
      <c r="M146" s="76"/>
      <c r="N146" s="76"/>
      <c r="O146" s="76"/>
      <c r="P146" s="76"/>
      <c r="Q146" s="76"/>
      <c r="R146" s="76"/>
      <c r="S146" s="76"/>
      <c r="T146" s="39"/>
    </row>
    <row r="147" customFormat="false" ht="15" hidden="false" customHeight="false" outlineLevel="0" collapsed="false">
      <c r="B147" s="39"/>
      <c r="T147" s="39"/>
    </row>
    <row r="148" customFormat="false" ht="15.75" hidden="false" customHeight="false" outlineLevel="0" collapsed="false">
      <c r="B148" s="39"/>
      <c r="C148" s="107"/>
      <c r="D148" s="107"/>
      <c r="E148" s="108" t="str">
        <f aca="false">IF(OR(L137="-",L137= ""),H137,L137)</f>
        <v>Burgen von Burgund</v>
      </c>
      <c r="F148" s="108"/>
      <c r="G148" s="108"/>
      <c r="H148" s="108"/>
      <c r="I148" s="108"/>
      <c r="J148" s="108"/>
      <c r="K148" s="108"/>
      <c r="L148" s="108"/>
      <c r="M148" s="108"/>
      <c r="N148" s="109"/>
      <c r="O148" s="109"/>
      <c r="P148" s="109"/>
      <c r="Q148" s="109"/>
      <c r="R148" s="109"/>
      <c r="S148" s="107"/>
      <c r="T148" s="39"/>
    </row>
    <row r="149" customFormat="false" ht="60" hidden="false" customHeight="true" outlineLevel="0" collapsed="false">
      <c r="B149" s="39"/>
      <c r="C149" s="107"/>
      <c r="D149" s="109"/>
      <c r="E149" s="263" t="s">
        <v>36</v>
      </c>
      <c r="F149" s="264" t="s">
        <v>92</v>
      </c>
      <c r="G149" s="264"/>
      <c r="H149" s="265" t="s">
        <v>52</v>
      </c>
      <c r="I149" s="294" t="s">
        <v>53</v>
      </c>
      <c r="J149" s="295" t="s">
        <v>54</v>
      </c>
      <c r="K149" s="264" t="s">
        <v>55</v>
      </c>
      <c r="L149" s="296" t="s">
        <v>56</v>
      </c>
      <c r="M149" s="294" t="s">
        <v>57</v>
      </c>
      <c r="N149" s="43" t="s">
        <v>58</v>
      </c>
      <c r="O149" s="79" t="s">
        <v>59</v>
      </c>
      <c r="P149" s="109"/>
      <c r="Q149" s="109"/>
      <c r="R149" s="109"/>
      <c r="S149" s="107"/>
      <c r="T149" s="39"/>
    </row>
    <row r="150" customFormat="false" ht="45" hidden="false" customHeight="true" outlineLevel="0" collapsed="false">
      <c r="B150" s="39"/>
      <c r="C150" s="107"/>
      <c r="D150" s="319"/>
      <c r="E150" s="6" t="s">
        <v>22</v>
      </c>
      <c r="F150" s="385" t="s">
        <v>103</v>
      </c>
      <c r="G150" s="385"/>
      <c r="H150" s="387" t="n">
        <v>1</v>
      </c>
      <c r="I150" s="387" t="n">
        <v>182</v>
      </c>
      <c r="J150" s="387" t="s">
        <v>46</v>
      </c>
      <c r="K150" s="388" t="n">
        <f aca="false">IF(I150="",0,(I150/I152)*100)</f>
        <v>94.300518134715</v>
      </c>
      <c r="L150" s="387" t="n">
        <v>2</v>
      </c>
      <c r="M150" s="389" t="n">
        <v>0</v>
      </c>
      <c r="N150" s="301" t="n">
        <f aca="false">IF(L150=1,1,0)</f>
        <v>0</v>
      </c>
      <c r="O150" s="84" t="n">
        <f aca="false">IF(L150=2,1,0)</f>
        <v>1</v>
      </c>
      <c r="P150" s="322"/>
      <c r="Q150" s="322"/>
      <c r="R150" s="322"/>
      <c r="S150" s="107"/>
      <c r="T150" s="39"/>
    </row>
    <row r="151" customFormat="false" ht="45" hidden="false" customHeight="true" outlineLevel="0" collapsed="false">
      <c r="B151" s="39"/>
      <c r="C151" s="107"/>
      <c r="D151" s="319"/>
      <c r="E151" s="89" t="s">
        <v>12</v>
      </c>
      <c r="F151" s="391" t="s">
        <v>106</v>
      </c>
      <c r="G151" s="391"/>
      <c r="H151" s="91" t="n">
        <v>2</v>
      </c>
      <c r="I151" s="91" t="n">
        <v>193</v>
      </c>
      <c r="J151" s="91" t="s">
        <v>46</v>
      </c>
      <c r="K151" s="92" t="n">
        <f aca="false">IF(I151="",0,(I151/I152)*100)</f>
        <v>100</v>
      </c>
      <c r="L151" s="91" t="n">
        <v>1</v>
      </c>
      <c r="M151" s="394" t="n">
        <v>6</v>
      </c>
      <c r="N151" s="310" t="n">
        <f aca="false">IF(L151=1,1,0)</f>
        <v>1</v>
      </c>
      <c r="O151" s="117" t="n">
        <f aca="false">IF(L151=2,1,0)</f>
        <v>0</v>
      </c>
      <c r="P151" s="322"/>
      <c r="Q151" s="322"/>
      <c r="R151" s="322"/>
      <c r="S151" s="107"/>
      <c r="T151" s="39"/>
    </row>
    <row r="152" customFormat="false" ht="15.75" hidden="true" customHeight="false" outlineLevel="1" collapsed="false">
      <c r="B152" s="39"/>
      <c r="C152" s="107"/>
      <c r="D152" s="319"/>
      <c r="E152" s="319"/>
      <c r="F152" s="322"/>
      <c r="G152" s="322"/>
      <c r="H152" s="215" t="s">
        <v>62</v>
      </c>
      <c r="I152" s="119" t="n">
        <f aca="false">MAX(I150:I151)</f>
        <v>193</v>
      </c>
      <c r="J152" s="322"/>
      <c r="K152" s="332"/>
      <c r="L152" s="322"/>
      <c r="M152" s="333" t="s">
        <v>63</v>
      </c>
      <c r="N152" s="102" t="n">
        <f aca="false">SUM(N150:N151)</f>
        <v>1</v>
      </c>
      <c r="O152" s="103" t="n">
        <f aca="false">SUM(O150:O151)</f>
        <v>1</v>
      </c>
      <c r="P152" s="102" t="n">
        <f aca="false">SUM(P150:P151)</f>
        <v>0</v>
      </c>
      <c r="Q152" s="104" t="n">
        <f aca="false">SUM(Q150:Q151)</f>
        <v>0</v>
      </c>
      <c r="R152" s="334"/>
      <c r="S152" s="107"/>
      <c r="T152" s="39"/>
    </row>
    <row r="153" customFormat="false" ht="15" hidden="false" customHeight="false" outlineLevel="0" collapsed="false">
      <c r="B153" s="39"/>
      <c r="C153" s="107"/>
      <c r="D153" s="123"/>
      <c r="E153" s="123"/>
      <c r="F153" s="107"/>
      <c r="G153" s="107"/>
      <c r="H153" s="107"/>
      <c r="I153" s="107"/>
      <c r="J153" s="107"/>
      <c r="K153" s="107"/>
      <c r="L153" s="107"/>
      <c r="M153" s="107"/>
      <c r="N153" s="107"/>
      <c r="O153" s="107"/>
      <c r="P153" s="107"/>
      <c r="Q153" s="107"/>
      <c r="R153" s="107"/>
      <c r="S153" s="107"/>
      <c r="T153" s="39"/>
    </row>
    <row r="154" customFormat="false" ht="15" hidden="false" customHeight="false" outlineLevel="0" collapsed="false">
      <c r="B154" s="39"/>
      <c r="D154" s="124"/>
      <c r="E154" s="124"/>
      <c r="F154" s="124"/>
      <c r="G154" s="124"/>
      <c r="H154" s="125"/>
      <c r="I154" s="124"/>
      <c r="J154" s="124"/>
      <c r="K154" s="36"/>
      <c r="L154" s="36"/>
      <c r="M154" s="36"/>
      <c r="N154" s="36"/>
      <c r="O154" s="36"/>
      <c r="P154" s="36"/>
      <c r="Q154" s="36"/>
      <c r="R154" s="36"/>
      <c r="T154" s="39"/>
    </row>
    <row r="155" customFormat="false" ht="15" hidden="false" customHeight="true" outlineLevel="0" collapsed="false">
      <c r="B155" s="39"/>
      <c r="C155" s="126"/>
      <c r="D155" s="126"/>
      <c r="E155" s="127" t="str">
        <f aca="false">IF(OR(L138="-",L138= ""),H138,L138)</f>
        <v>Carcassonne J&amp;S</v>
      </c>
      <c r="F155" s="127"/>
      <c r="G155" s="127"/>
      <c r="H155" s="127"/>
      <c r="I155" s="127"/>
      <c r="J155" s="127"/>
      <c r="K155" s="127"/>
      <c r="L155" s="127"/>
      <c r="M155" s="127"/>
      <c r="N155" s="128"/>
      <c r="O155" s="128"/>
      <c r="P155" s="128"/>
      <c r="Q155" s="128"/>
      <c r="R155" s="128"/>
      <c r="S155" s="126"/>
      <c r="T155" s="129"/>
    </row>
    <row r="156" customFormat="false" ht="60" hidden="false" customHeight="true" outlineLevel="0" collapsed="false">
      <c r="B156" s="39"/>
      <c r="C156" s="126"/>
      <c r="D156" s="128"/>
      <c r="E156" s="263" t="s">
        <v>36</v>
      </c>
      <c r="F156" s="264" t="s">
        <v>92</v>
      </c>
      <c r="G156" s="264"/>
      <c r="H156" s="265" t="s">
        <v>52</v>
      </c>
      <c r="I156" s="294" t="s">
        <v>53</v>
      </c>
      <c r="J156" s="295" t="s">
        <v>54</v>
      </c>
      <c r="K156" s="264" t="s">
        <v>55</v>
      </c>
      <c r="L156" s="296" t="s">
        <v>56</v>
      </c>
      <c r="M156" s="294" t="s">
        <v>57</v>
      </c>
      <c r="N156" s="43" t="s">
        <v>58</v>
      </c>
      <c r="O156" s="79" t="s">
        <v>59</v>
      </c>
      <c r="P156" s="128"/>
      <c r="Q156" s="128"/>
      <c r="R156" s="128"/>
      <c r="S156" s="126"/>
      <c r="T156" s="129"/>
    </row>
    <row r="157" customFormat="false" ht="45" hidden="false" customHeight="true" outlineLevel="0" collapsed="false">
      <c r="B157" s="39"/>
      <c r="C157" s="126"/>
      <c r="D157" s="336"/>
      <c r="E157" s="180" t="s">
        <v>22</v>
      </c>
      <c r="F157" s="299" t="s">
        <v>103</v>
      </c>
      <c r="G157" s="299"/>
      <c r="H157" s="182" t="n">
        <v>2</v>
      </c>
      <c r="I157" s="182" t="n">
        <v>198</v>
      </c>
      <c r="J157" s="182" t="s">
        <v>46</v>
      </c>
      <c r="K157" s="183" t="n">
        <f aca="false">IF(I157="",0,(I157/I159)*100)</f>
        <v>100</v>
      </c>
      <c r="L157" s="182" t="n">
        <v>1</v>
      </c>
      <c r="M157" s="300" t="n">
        <v>6</v>
      </c>
      <c r="N157" s="301" t="n">
        <f aca="false">IF(L157=1,1,0)</f>
        <v>1</v>
      </c>
      <c r="O157" s="84" t="n">
        <f aca="false">IF(L157=2,1,0)</f>
        <v>0</v>
      </c>
      <c r="P157" s="339"/>
      <c r="Q157" s="339"/>
      <c r="R157" s="339"/>
      <c r="S157" s="126"/>
      <c r="T157" s="131"/>
    </row>
    <row r="158" customFormat="false" ht="45" hidden="false" customHeight="true" outlineLevel="0" collapsed="false">
      <c r="B158" s="39"/>
      <c r="C158" s="126"/>
      <c r="D158" s="336"/>
      <c r="E158" s="29" t="s">
        <v>12</v>
      </c>
      <c r="F158" s="308" t="s">
        <v>106</v>
      </c>
      <c r="G158" s="308"/>
      <c r="H158" s="186" t="n">
        <v>1</v>
      </c>
      <c r="I158" s="186" t="n">
        <v>16</v>
      </c>
      <c r="J158" s="186" t="s">
        <v>46</v>
      </c>
      <c r="K158" s="116" t="n">
        <f aca="false">IF(I158="",0,(I158/I159)*100)</f>
        <v>8.08080808080808</v>
      </c>
      <c r="L158" s="186" t="n">
        <v>2</v>
      </c>
      <c r="M158" s="309" t="n">
        <v>0</v>
      </c>
      <c r="N158" s="310" t="n">
        <f aca="false">IF(L158=1,1,0)</f>
        <v>0</v>
      </c>
      <c r="O158" s="117" t="n">
        <f aca="false">IF(L158=2,1,0)</f>
        <v>1</v>
      </c>
      <c r="P158" s="339"/>
      <c r="Q158" s="339"/>
      <c r="R158" s="339"/>
      <c r="S158" s="126"/>
      <c r="T158" s="132"/>
    </row>
    <row r="159" customFormat="false" ht="15.75" hidden="true" customHeight="false" outlineLevel="1" collapsed="false">
      <c r="B159" s="39"/>
      <c r="C159" s="126"/>
      <c r="D159" s="336"/>
      <c r="E159" s="336"/>
      <c r="F159" s="339"/>
      <c r="G159" s="339"/>
      <c r="H159" s="395" t="s">
        <v>62</v>
      </c>
      <c r="I159" s="98" t="n">
        <f aca="false">MAX(I157:I158)</f>
        <v>198</v>
      </c>
      <c r="J159" s="339"/>
      <c r="K159" s="346"/>
      <c r="L159" s="339"/>
      <c r="M159" s="333" t="s">
        <v>63</v>
      </c>
      <c r="N159" s="102" t="n">
        <f aca="false">SUM(N157:N158)</f>
        <v>1</v>
      </c>
      <c r="O159" s="103" t="n">
        <f aca="false">SUM(O157:O158)</f>
        <v>1</v>
      </c>
      <c r="P159" s="102" t="n">
        <f aca="false">SUM(P157:P158)</f>
        <v>0</v>
      </c>
      <c r="Q159" s="104" t="n">
        <f aca="false">SUM(Q157:Q158)</f>
        <v>0</v>
      </c>
      <c r="R159" s="347"/>
      <c r="S159" s="126"/>
      <c r="T159" s="132"/>
    </row>
    <row r="160" customFormat="false" ht="15" hidden="false" customHeight="false" outlineLevel="0" collapsed="false">
      <c r="B160" s="39"/>
      <c r="C160" s="126"/>
      <c r="D160" s="133"/>
      <c r="E160" s="133"/>
      <c r="F160" s="126"/>
      <c r="G160" s="126"/>
      <c r="H160" s="126"/>
      <c r="I160" s="126"/>
      <c r="J160" s="126"/>
      <c r="K160" s="126"/>
      <c r="L160" s="126"/>
      <c r="M160" s="126"/>
      <c r="N160" s="126"/>
      <c r="O160" s="126"/>
      <c r="P160" s="126"/>
      <c r="Q160" s="126"/>
      <c r="R160" s="126"/>
      <c r="S160" s="126"/>
      <c r="T160" s="132"/>
    </row>
    <row r="161" customFormat="false" ht="15" hidden="false" customHeight="false" outlineLevel="0" collapsed="false">
      <c r="B161" s="39"/>
      <c r="D161" s="124"/>
      <c r="E161" s="124"/>
      <c r="F161" s="124"/>
      <c r="G161" s="124"/>
      <c r="H161" s="125"/>
      <c r="I161" s="124"/>
      <c r="J161" s="124"/>
      <c r="K161" s="124"/>
      <c r="L161" s="36"/>
      <c r="M161" s="36"/>
      <c r="N161" s="36"/>
      <c r="O161" s="36"/>
      <c r="P161" s="36"/>
      <c r="Q161" s="36"/>
      <c r="R161" s="36"/>
      <c r="T161" s="131"/>
    </row>
    <row r="162" customFormat="false" ht="15" hidden="false" customHeight="true" outlineLevel="0" collapsed="false">
      <c r="B162" s="39"/>
      <c r="C162" s="134"/>
      <c r="D162" s="134"/>
      <c r="E162" s="135" t="str">
        <f aca="false">IF(OR(L139="-",L139= ""),H139,L139)</f>
        <v>Targi</v>
      </c>
      <c r="F162" s="135"/>
      <c r="G162" s="135"/>
      <c r="H162" s="135"/>
      <c r="I162" s="135"/>
      <c r="J162" s="135"/>
      <c r="K162" s="135"/>
      <c r="L162" s="135"/>
      <c r="M162" s="135"/>
      <c r="N162" s="136"/>
      <c r="O162" s="136"/>
      <c r="P162" s="136"/>
      <c r="Q162" s="136"/>
      <c r="R162" s="136"/>
      <c r="S162" s="134"/>
      <c r="T162" s="129"/>
    </row>
    <row r="163" customFormat="false" ht="60" hidden="false" customHeight="true" outlineLevel="0" collapsed="false">
      <c r="B163" s="39"/>
      <c r="C163" s="134"/>
      <c r="D163" s="136"/>
      <c r="E163" s="263" t="s">
        <v>36</v>
      </c>
      <c r="F163" s="264" t="s">
        <v>92</v>
      </c>
      <c r="G163" s="264"/>
      <c r="H163" s="265" t="s">
        <v>52</v>
      </c>
      <c r="I163" s="294" t="s">
        <v>53</v>
      </c>
      <c r="J163" s="295" t="s">
        <v>54</v>
      </c>
      <c r="K163" s="264" t="s">
        <v>55</v>
      </c>
      <c r="L163" s="296" t="s">
        <v>56</v>
      </c>
      <c r="M163" s="294" t="s">
        <v>57</v>
      </c>
      <c r="N163" s="43" t="s">
        <v>58</v>
      </c>
      <c r="O163" s="79" t="s">
        <v>59</v>
      </c>
      <c r="P163" s="136"/>
      <c r="Q163" s="136"/>
      <c r="R163" s="136"/>
      <c r="S163" s="134"/>
      <c r="T163" s="129"/>
    </row>
    <row r="164" customFormat="false" ht="45" hidden="false" customHeight="true" outlineLevel="0" collapsed="false">
      <c r="B164" s="39"/>
      <c r="C164" s="134"/>
      <c r="D164" s="349"/>
      <c r="E164" s="180" t="s">
        <v>22</v>
      </c>
      <c r="F164" s="299" t="s">
        <v>103</v>
      </c>
      <c r="G164" s="299"/>
      <c r="H164" s="182" t="n">
        <v>1</v>
      </c>
      <c r="I164" s="182" t="n">
        <v>33</v>
      </c>
      <c r="J164" s="182" t="s">
        <v>46</v>
      </c>
      <c r="K164" s="183" t="n">
        <f aca="false">IF(I164="",0,(I164/I166)*100)</f>
        <v>100</v>
      </c>
      <c r="L164" s="182" t="n">
        <v>1</v>
      </c>
      <c r="M164" s="300" t="n">
        <v>6</v>
      </c>
      <c r="N164" s="301" t="n">
        <f aca="false">IF(L164=1,1,0)</f>
        <v>1</v>
      </c>
      <c r="O164" s="84" t="n">
        <f aca="false">IF(L164=2,1,0)</f>
        <v>0</v>
      </c>
      <c r="P164" s="350"/>
      <c r="Q164" s="350"/>
      <c r="R164" s="350"/>
      <c r="S164" s="134"/>
      <c r="T164" s="131"/>
    </row>
    <row r="165" customFormat="false" ht="45" hidden="false" customHeight="true" outlineLevel="0" collapsed="false">
      <c r="B165" s="39"/>
      <c r="C165" s="134"/>
      <c r="D165" s="349"/>
      <c r="E165" s="29" t="s">
        <v>12</v>
      </c>
      <c r="F165" s="308" t="s">
        <v>106</v>
      </c>
      <c r="G165" s="308"/>
      <c r="H165" s="186" t="n">
        <v>2</v>
      </c>
      <c r="I165" s="186" t="n">
        <v>23</v>
      </c>
      <c r="J165" s="186" t="s">
        <v>46</v>
      </c>
      <c r="K165" s="116" t="n">
        <f aca="false">IF(I165="",0,(I165/I166)*100)</f>
        <v>69.6969696969697</v>
      </c>
      <c r="L165" s="186" t="n">
        <v>2</v>
      </c>
      <c r="M165" s="309" t="n">
        <v>0</v>
      </c>
      <c r="N165" s="310" t="n">
        <f aca="false">IF(L165=1,1,0)</f>
        <v>0</v>
      </c>
      <c r="O165" s="117" t="n">
        <f aca="false">IF(L165=2,1,0)</f>
        <v>1</v>
      </c>
      <c r="P165" s="350"/>
      <c r="Q165" s="350"/>
      <c r="R165" s="350"/>
      <c r="S165" s="134"/>
      <c r="T165" s="132"/>
    </row>
    <row r="166" customFormat="false" ht="15.75" hidden="true" customHeight="false" outlineLevel="1" collapsed="false">
      <c r="B166" s="39"/>
      <c r="C166" s="134"/>
      <c r="D166" s="349"/>
      <c r="E166" s="349"/>
      <c r="F166" s="350"/>
      <c r="G166" s="350"/>
      <c r="H166" s="345" t="s">
        <v>62</v>
      </c>
      <c r="I166" s="98" t="n">
        <f aca="false">MAX(I164:I165)</f>
        <v>33</v>
      </c>
      <c r="J166" s="350"/>
      <c r="K166" s="353"/>
      <c r="L166" s="350"/>
      <c r="M166" s="333" t="s">
        <v>63</v>
      </c>
      <c r="N166" s="102" t="n">
        <f aca="false">SUM(N164:N165)</f>
        <v>1</v>
      </c>
      <c r="O166" s="103" t="n">
        <f aca="false">SUM(O164:O165)</f>
        <v>1</v>
      </c>
      <c r="P166" s="102" t="n">
        <f aca="false">SUM(P164:P165)</f>
        <v>0</v>
      </c>
      <c r="Q166" s="104" t="n">
        <f aca="false">SUM(Q164:Q165)</f>
        <v>0</v>
      </c>
      <c r="R166" s="354"/>
      <c r="S166" s="134"/>
      <c r="T166" s="132"/>
    </row>
    <row r="167" customFormat="false" ht="15" hidden="false" customHeight="false" outlineLevel="0" collapsed="false">
      <c r="B167" s="39"/>
      <c r="C167" s="134"/>
      <c r="D167" s="137"/>
      <c r="E167" s="137"/>
      <c r="F167" s="134"/>
      <c r="G167" s="134"/>
      <c r="H167" s="134"/>
      <c r="I167" s="134"/>
      <c r="J167" s="134"/>
      <c r="K167" s="134"/>
      <c r="L167" s="134"/>
      <c r="M167" s="134"/>
      <c r="N167" s="134"/>
      <c r="O167" s="134"/>
      <c r="P167" s="134"/>
      <c r="Q167" s="134"/>
      <c r="R167" s="134"/>
      <c r="S167" s="134"/>
      <c r="T167" s="132"/>
    </row>
    <row r="168" customFormat="false" ht="15" hidden="false" customHeight="false" outlineLevel="0" collapsed="false">
      <c r="B168" s="39"/>
      <c r="D168" s="124"/>
      <c r="E168" s="124"/>
      <c r="F168" s="124"/>
      <c r="G168" s="124"/>
      <c r="H168" s="125"/>
      <c r="I168" s="124"/>
      <c r="J168" s="124"/>
      <c r="K168" s="124"/>
      <c r="L168" s="36"/>
      <c r="M168" s="36"/>
      <c r="N168" s="36"/>
      <c r="O168" s="36"/>
      <c r="P168" s="36"/>
      <c r="Q168" s="36"/>
      <c r="R168" s="36"/>
      <c r="T168" s="131"/>
    </row>
    <row r="169" customFormat="false" ht="24" hidden="false" customHeight="false" outlineLevel="0" collapsed="false">
      <c r="B169" s="39"/>
      <c r="C169" s="139"/>
      <c r="D169" s="419"/>
      <c r="E169" s="419"/>
      <c r="F169" s="140" t="s">
        <v>173</v>
      </c>
      <c r="G169" s="140"/>
      <c r="H169" s="140"/>
      <c r="I169" s="140"/>
      <c r="J169" s="140"/>
      <c r="K169" s="140"/>
      <c r="L169" s="140"/>
      <c r="M169" s="419"/>
      <c r="N169" s="141"/>
      <c r="O169" s="141"/>
      <c r="P169" s="141"/>
      <c r="Q169" s="141"/>
      <c r="R169" s="141"/>
      <c r="S169" s="139"/>
      <c r="T169" s="39"/>
    </row>
    <row r="170" customFormat="false" ht="60" hidden="false" customHeight="true" outlineLevel="0" collapsed="false">
      <c r="B170" s="39"/>
      <c r="C170" s="139"/>
      <c r="D170" s="398"/>
      <c r="E170" s="355"/>
      <c r="F170" s="420" t="s">
        <v>36</v>
      </c>
      <c r="G170" s="420"/>
      <c r="H170" s="421" t="s">
        <v>92</v>
      </c>
      <c r="I170" s="356" t="s">
        <v>57</v>
      </c>
      <c r="J170" s="359" t="s">
        <v>65</v>
      </c>
      <c r="K170" s="358" t="s">
        <v>66</v>
      </c>
      <c r="L170" s="357" t="s">
        <v>69</v>
      </c>
      <c r="M170" s="355"/>
      <c r="N170" s="147"/>
      <c r="O170" s="147"/>
      <c r="P170" s="147"/>
      <c r="Q170" s="147"/>
      <c r="R170" s="147"/>
      <c r="S170" s="139"/>
      <c r="T170" s="39"/>
    </row>
    <row r="171" customFormat="false" ht="45" hidden="false" customHeight="true" outlineLevel="0" collapsed="false">
      <c r="B171" s="39"/>
      <c r="C171" s="139"/>
      <c r="D171" s="360"/>
      <c r="E171" s="355"/>
      <c r="F171" s="422" t="s">
        <v>22</v>
      </c>
      <c r="G171" s="422"/>
      <c r="H171" s="566" t="s">
        <v>103</v>
      </c>
      <c r="I171" s="363" t="n">
        <f aca="false">J171*6+K171*0</f>
        <v>18</v>
      </c>
      <c r="J171" s="399" t="n">
        <v>3</v>
      </c>
      <c r="K171" s="363" t="n">
        <v>1</v>
      </c>
      <c r="L171" s="364" t="n">
        <f aca="false">(K143+K150+K157+K164)/4</f>
        <v>98.5751295336788</v>
      </c>
      <c r="M171" s="355"/>
      <c r="N171" s="153"/>
      <c r="O171" s="153"/>
      <c r="P171" s="153"/>
      <c r="Q171" s="153"/>
      <c r="R171" s="153"/>
      <c r="S171" s="139"/>
      <c r="T171" s="39"/>
    </row>
    <row r="172" customFormat="false" ht="45" hidden="false" customHeight="true" outlineLevel="0" collapsed="false">
      <c r="B172" s="39"/>
      <c r="C172" s="139"/>
      <c r="D172" s="168"/>
      <c r="E172" s="355"/>
      <c r="F172" s="424" t="s">
        <v>12</v>
      </c>
      <c r="G172" s="424"/>
      <c r="H172" s="567" t="s">
        <v>106</v>
      </c>
      <c r="I172" s="426" t="n">
        <f aca="false">J172*6+K172*0</f>
        <v>6</v>
      </c>
      <c r="J172" s="403" t="n">
        <v>1</v>
      </c>
      <c r="K172" s="427" t="n">
        <v>3</v>
      </c>
      <c r="L172" s="428" t="n">
        <f aca="false">(K144+K151+K158+K165)/4</f>
        <v>57.764116575592</v>
      </c>
      <c r="M172" s="355"/>
      <c r="N172" s="153"/>
      <c r="O172" s="153"/>
      <c r="P172" s="153"/>
      <c r="Q172" s="153"/>
      <c r="R172" s="153"/>
      <c r="S172" s="139"/>
      <c r="T172" s="39"/>
    </row>
    <row r="173" customFormat="false" ht="15" hidden="false" customHeight="false" outlineLevel="0" collapsed="false">
      <c r="B173" s="39"/>
      <c r="C173" s="139"/>
      <c r="D173" s="168"/>
      <c r="E173" s="168"/>
      <c r="F173" s="153"/>
      <c r="G173" s="153"/>
      <c r="H173" s="153"/>
      <c r="I173" s="153"/>
      <c r="J173" s="153"/>
      <c r="K173" s="153"/>
      <c r="L173" s="153"/>
      <c r="M173" s="153"/>
      <c r="N173" s="153"/>
      <c r="O173" s="153"/>
      <c r="P173" s="153"/>
      <c r="Q173" s="153"/>
      <c r="R173" s="153"/>
      <c r="S173" s="139"/>
      <c r="T173" s="39"/>
    </row>
    <row r="174" customFormat="false" ht="15" hidden="false" customHeight="true" outlineLevel="0" collapsed="false">
      <c r="B174" s="39"/>
      <c r="C174" s="39"/>
      <c r="D174" s="169"/>
      <c r="E174" s="169"/>
      <c r="F174" s="129"/>
      <c r="G174" s="129"/>
      <c r="H174" s="169"/>
      <c r="I174" s="169"/>
      <c r="J174" s="169"/>
      <c r="K174" s="131"/>
      <c r="L174" s="131"/>
      <c r="M174" s="131"/>
      <c r="N174" s="131"/>
      <c r="O174" s="131"/>
      <c r="P174" s="131"/>
      <c r="Q174" s="131"/>
      <c r="R174" s="131"/>
      <c r="S174" s="39"/>
      <c r="T174" s="39"/>
    </row>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I16"/>
    <mergeCell ref="C19:S20"/>
    <mergeCell ref="D22:D23"/>
    <mergeCell ref="E22:E23"/>
    <mergeCell ref="F22:G23"/>
    <mergeCell ref="H22:J22"/>
    <mergeCell ref="L22:R22"/>
    <mergeCell ref="F24:G24"/>
    <mergeCell ref="F25:G25"/>
    <mergeCell ref="F26:G26"/>
    <mergeCell ref="F27:G27"/>
    <mergeCell ref="E29:M29"/>
    <mergeCell ref="F30:G30"/>
    <mergeCell ref="F31:G31"/>
    <mergeCell ref="F32:G32"/>
    <mergeCell ref="F33:G33"/>
    <mergeCell ref="F34:G34"/>
    <mergeCell ref="F35:G35"/>
    <mergeCell ref="F36:G36"/>
    <mergeCell ref="F37:G37"/>
    <mergeCell ref="E38:M38"/>
    <mergeCell ref="F39:G39"/>
    <mergeCell ref="F40:G40"/>
    <mergeCell ref="F41:G41"/>
    <mergeCell ref="F42:G42"/>
    <mergeCell ref="F43:G43"/>
    <mergeCell ref="F44:G44"/>
    <mergeCell ref="E47:M47"/>
    <mergeCell ref="F48:G48"/>
    <mergeCell ref="F49:G49"/>
    <mergeCell ref="F50:G50"/>
    <mergeCell ref="F51:G51"/>
    <mergeCell ref="F52:G52"/>
    <mergeCell ref="F53:G53"/>
    <mergeCell ref="E56:M56"/>
    <mergeCell ref="F57:G57"/>
    <mergeCell ref="F58:G58"/>
    <mergeCell ref="F59:G59"/>
    <mergeCell ref="F60:G60"/>
    <mergeCell ref="F61:G61"/>
    <mergeCell ref="F62:G62"/>
    <mergeCell ref="E65:M65"/>
    <mergeCell ref="F66:G66"/>
    <mergeCell ref="F67:G67"/>
    <mergeCell ref="F68:G68"/>
    <mergeCell ref="F69:G69"/>
    <mergeCell ref="F70:G70"/>
    <mergeCell ref="X70:Y70"/>
    <mergeCell ref="C76:S76"/>
    <mergeCell ref="D78:D79"/>
    <mergeCell ref="E78:E79"/>
    <mergeCell ref="F78:G79"/>
    <mergeCell ref="H78:J78"/>
    <mergeCell ref="L78:R78"/>
    <mergeCell ref="F80:G80"/>
    <mergeCell ref="F81:G81"/>
    <mergeCell ref="F82:G82"/>
    <mergeCell ref="F83:G83"/>
    <mergeCell ref="E85:M85"/>
    <mergeCell ref="F86:G86"/>
    <mergeCell ref="F87:G87"/>
    <mergeCell ref="F88:G88"/>
    <mergeCell ref="F89:G89"/>
    <mergeCell ref="F90:G90"/>
    <mergeCell ref="F91:G91"/>
    <mergeCell ref="E94:M94"/>
    <mergeCell ref="F95:G95"/>
    <mergeCell ref="F96:G96"/>
    <mergeCell ref="F97:G97"/>
    <mergeCell ref="F98:G98"/>
    <mergeCell ref="F99:G99"/>
    <mergeCell ref="F100:G100"/>
    <mergeCell ref="E103:M103"/>
    <mergeCell ref="F104:G104"/>
    <mergeCell ref="F105:G105"/>
    <mergeCell ref="F106:G106"/>
    <mergeCell ref="F107:G107"/>
    <mergeCell ref="F108:G108"/>
    <mergeCell ref="F109:G109"/>
    <mergeCell ref="E112:M112"/>
    <mergeCell ref="F113:G113"/>
    <mergeCell ref="F114:G114"/>
    <mergeCell ref="F115:G115"/>
    <mergeCell ref="F116:G116"/>
    <mergeCell ref="F117:G117"/>
    <mergeCell ref="F118:G118"/>
    <mergeCell ref="E121:M121"/>
    <mergeCell ref="F122:G122"/>
    <mergeCell ref="F123:G123"/>
    <mergeCell ref="F124:G124"/>
    <mergeCell ref="X124:Y124"/>
    <mergeCell ref="F125:G125"/>
    <mergeCell ref="F126:G126"/>
    <mergeCell ref="C132:S132"/>
    <mergeCell ref="D134:D135"/>
    <mergeCell ref="E134:E135"/>
    <mergeCell ref="F134:G135"/>
    <mergeCell ref="H134:J134"/>
    <mergeCell ref="L134:R134"/>
    <mergeCell ref="F136:G136"/>
    <mergeCell ref="F137:G137"/>
    <mergeCell ref="F138:G138"/>
    <mergeCell ref="F139:G139"/>
    <mergeCell ref="E141:M141"/>
    <mergeCell ref="F142:G142"/>
    <mergeCell ref="F143:G143"/>
    <mergeCell ref="F144:G144"/>
    <mergeCell ref="F145:G145"/>
    <mergeCell ref="E148:M148"/>
    <mergeCell ref="F149:G149"/>
    <mergeCell ref="F150:G150"/>
    <mergeCell ref="F151:G151"/>
    <mergeCell ref="F152:G152"/>
    <mergeCell ref="E155:M155"/>
    <mergeCell ref="F156:G156"/>
    <mergeCell ref="F157:G157"/>
    <mergeCell ref="F158:G158"/>
    <mergeCell ref="F159:G159"/>
    <mergeCell ref="E162:M162"/>
    <mergeCell ref="F163:G163"/>
    <mergeCell ref="F164:G164"/>
    <mergeCell ref="F165:G165"/>
    <mergeCell ref="F166:G166"/>
    <mergeCell ref="F169:L169"/>
    <mergeCell ref="F170:G170"/>
    <mergeCell ref="F171:G171"/>
    <mergeCell ref="F172:G172"/>
  </mergeCells>
  <dataValidations count="1">
    <dataValidation allowBlank="true" operator="between" showDropDown="false" showErrorMessage="true" showInputMessage="true" sqref="F4:F12 J8:J11 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3"/>
  <sheetViews>
    <sheetView showFormulas="false" showGridLines="false" showRowColHeaders="true" showZeros="true" rightToLeft="false" tabSelected="false" showOutlineSymbols="true" defaultGridColor="true" view="normal" topLeftCell="A106" colorId="64" zoomScale="100" zoomScaleNormal="100" zoomScalePageLayoutView="100" workbookViewId="0">
      <selection pane="topLeft" activeCell="I88" activeCellId="0" sqref="I88"/>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7"/>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199</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200</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201</v>
      </c>
      <c r="C5" s="81"/>
      <c r="D5" s="213" t="s">
        <v>2</v>
      </c>
      <c r="E5" s="570" t="s">
        <v>202</v>
      </c>
      <c r="F5" s="571" t="s">
        <v>203</v>
      </c>
      <c r="G5" s="572" t="s">
        <v>204</v>
      </c>
      <c r="H5" s="4" t="s">
        <v>205</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434" t="n">
        <v>2</v>
      </c>
      <c r="C7" s="434"/>
      <c r="D7" s="435" t="s">
        <v>7</v>
      </c>
      <c r="E7" s="436" t="s">
        <v>8</v>
      </c>
      <c r="F7" s="573" t="s">
        <v>8</v>
      </c>
      <c r="G7" s="573" t="s">
        <v>8</v>
      </c>
      <c r="H7" s="437" t="s">
        <v>26</v>
      </c>
      <c r="I7" s="36"/>
      <c r="J7" s="16" t="str">
        <f aca="false">D7</f>
        <v>Pauline Schätzle</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26</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27</v>
      </c>
      <c r="E9" s="235" t="s">
        <v>207</v>
      </c>
      <c r="F9" s="574" t="s">
        <v>207</v>
      </c>
      <c r="G9" s="574" t="s">
        <v>208</v>
      </c>
      <c r="H9" s="236" t="s">
        <v>9</v>
      </c>
      <c r="I9" s="36"/>
      <c r="J9" s="247" t="str">
        <f aca="false">D9</f>
        <v>Alex Ulbricht</v>
      </c>
      <c r="K9" s="230"/>
      <c r="L9" s="252" t="n">
        <v>4</v>
      </c>
      <c r="P9" s="36"/>
      <c r="Q9" s="120"/>
      <c r="S9" s="36"/>
      <c r="T9" s="36"/>
      <c r="U9" s="36"/>
      <c r="V9" s="120"/>
      <c r="W9" s="120"/>
    </row>
    <row r="10" customFormat="false" ht="20.1" hidden="false" customHeight="true" outlineLevel="0" collapsed="false">
      <c r="B10" s="434" t="n">
        <v>5</v>
      </c>
      <c r="C10" s="434"/>
      <c r="D10" s="435" t="s">
        <v>31</v>
      </c>
      <c r="E10" s="436" t="s">
        <v>32</v>
      </c>
      <c r="F10" s="573" t="s">
        <v>32</v>
      </c>
      <c r="G10" s="573" t="s">
        <v>208</v>
      </c>
      <c r="H10" s="437" t="s">
        <v>26</v>
      </c>
      <c r="I10" s="544"/>
      <c r="J10" s="9" t="str">
        <f aca="false">D10</f>
        <v>Andreas Micke</v>
      </c>
      <c r="K10" s="230" t="n">
        <v>2</v>
      </c>
      <c r="L10" s="12" t="n">
        <v>1</v>
      </c>
      <c r="P10" s="36"/>
      <c r="Q10" s="120"/>
      <c r="S10" s="36"/>
      <c r="T10" s="36"/>
      <c r="U10" s="36"/>
      <c r="V10" s="120"/>
      <c r="W10" s="120"/>
    </row>
    <row r="11" customFormat="false" ht="20.1" hidden="false" customHeight="true" outlineLevel="0" collapsed="false">
      <c r="B11" s="233" t="n">
        <v>6</v>
      </c>
      <c r="C11" s="233"/>
      <c r="D11" s="234" t="s">
        <v>10</v>
      </c>
      <c r="E11" s="235" t="s">
        <v>11</v>
      </c>
      <c r="F11" s="574" t="s">
        <v>209</v>
      </c>
      <c r="G11" s="574" t="s">
        <v>209</v>
      </c>
      <c r="H11" s="236" t="s">
        <v>9</v>
      </c>
      <c r="I11" s="544"/>
      <c r="J11" s="16" t="str">
        <f aca="false">D11</f>
        <v>Wolfgang Mulser</v>
      </c>
      <c r="K11" s="230"/>
      <c r="L11" s="19" t="n">
        <v>2</v>
      </c>
      <c r="P11" s="36"/>
      <c r="Q11" s="120"/>
      <c r="S11" s="36"/>
      <c r="T11" s="36"/>
      <c r="U11" s="36"/>
      <c r="V11" s="120"/>
      <c r="W11" s="120"/>
    </row>
    <row r="12" customFormat="false" ht="20.1" hidden="false" customHeight="true" outlineLevel="0" collapsed="false">
      <c r="B12" s="233" t="n">
        <v>7</v>
      </c>
      <c r="C12" s="233"/>
      <c r="D12" s="234" t="s">
        <v>96</v>
      </c>
      <c r="E12" s="545" t="s">
        <v>210</v>
      </c>
      <c r="F12" s="574" t="s">
        <v>210</v>
      </c>
      <c r="G12" s="574" t="s">
        <v>210</v>
      </c>
      <c r="H12" s="236" t="s">
        <v>9</v>
      </c>
      <c r="I12" s="544"/>
      <c r="J12" s="16" t="str">
        <f aca="false">D12</f>
        <v>Kai Maibaum</v>
      </c>
      <c r="K12" s="230"/>
      <c r="L12" s="19" t="n">
        <v>3</v>
      </c>
      <c r="P12" s="36"/>
      <c r="Q12" s="120"/>
      <c r="S12" s="36"/>
      <c r="T12" s="36"/>
      <c r="U12" s="36"/>
      <c r="V12" s="120"/>
      <c r="W12" s="120"/>
    </row>
    <row r="13" customFormat="false" ht="20.1" hidden="false" customHeight="true" outlineLevel="0" collapsed="false">
      <c r="B13" s="233" t="n">
        <v>8</v>
      </c>
      <c r="C13" s="233"/>
      <c r="D13" s="234" t="s">
        <v>22</v>
      </c>
      <c r="E13" s="235" t="s">
        <v>23</v>
      </c>
      <c r="F13" s="574" t="s">
        <v>23</v>
      </c>
      <c r="G13" s="574" t="s">
        <v>208</v>
      </c>
      <c r="H13" s="236" t="s">
        <v>9</v>
      </c>
      <c r="I13" s="544"/>
      <c r="J13" s="20" t="str">
        <f aca="false">D13</f>
        <v>Markus Hagenauer</v>
      </c>
      <c r="K13" s="230"/>
      <c r="L13" s="23" t="n">
        <v>4</v>
      </c>
      <c r="P13" s="36"/>
      <c r="Q13" s="120"/>
      <c r="S13" s="36"/>
      <c r="T13" s="36"/>
      <c r="U13" s="36"/>
      <c r="V13" s="120"/>
      <c r="W13" s="120"/>
    </row>
    <row r="14" customFormat="false" ht="20.1" hidden="false" customHeight="true" outlineLevel="0" collapsed="false">
      <c r="B14" s="233" t="n">
        <v>9</v>
      </c>
      <c r="C14" s="233"/>
      <c r="D14" s="234" t="s">
        <v>12</v>
      </c>
      <c r="E14" s="235" t="s">
        <v>13</v>
      </c>
      <c r="F14" s="574" t="s">
        <v>13</v>
      </c>
      <c r="G14" s="574" t="s">
        <v>208</v>
      </c>
      <c r="H14" s="236" t="s">
        <v>9</v>
      </c>
      <c r="I14" s="36"/>
      <c r="J14" s="25" t="str">
        <f aca="false">D14</f>
        <v>Miriam Dirler</v>
      </c>
      <c r="K14" s="230" t="n">
        <v>3</v>
      </c>
      <c r="L14" s="28" t="n">
        <v>1</v>
      </c>
      <c r="P14" s="36"/>
      <c r="Q14" s="120"/>
      <c r="S14" s="36"/>
      <c r="T14" s="36"/>
      <c r="U14" s="36"/>
      <c r="V14" s="120"/>
      <c r="W14" s="120"/>
    </row>
    <row r="15" customFormat="false" ht="20.1" hidden="false" customHeight="true" outlineLevel="0" collapsed="false">
      <c r="B15" s="253" t="n">
        <v>10</v>
      </c>
      <c r="C15" s="253"/>
      <c r="D15" s="254" t="s">
        <v>178</v>
      </c>
      <c r="E15" s="255" t="s">
        <v>211</v>
      </c>
      <c r="F15" s="575" t="s">
        <v>212</v>
      </c>
      <c r="G15" s="575" t="s">
        <v>208</v>
      </c>
      <c r="H15" s="256" t="s">
        <v>9</v>
      </c>
      <c r="I15" s="36"/>
      <c r="J15" s="20" t="str">
        <f aca="false">D15</f>
        <v>Markus Hundshagen</v>
      </c>
      <c r="K15" s="230"/>
      <c r="L15" s="23" t="n">
        <v>2</v>
      </c>
      <c r="P15" s="36"/>
      <c r="Q15" s="120"/>
      <c r="S15" s="36"/>
      <c r="T15" s="36"/>
      <c r="U15" s="36"/>
      <c r="V15" s="120"/>
      <c r="W15" s="120"/>
    </row>
    <row r="16" customFormat="false" ht="20.1" hidden="false" customHeight="true" outlineLevel="0" collapsed="false">
      <c r="J16" s="34" t="s">
        <v>213</v>
      </c>
      <c r="K16" s="34"/>
      <c r="L16" s="548" t="n">
        <v>10</v>
      </c>
      <c r="P16" s="51"/>
      <c r="Q16" s="51"/>
      <c r="S16" s="51"/>
      <c r="T16" s="51"/>
      <c r="U16" s="51"/>
      <c r="V16" s="51"/>
    </row>
    <row r="17" customFormat="false" ht="15.75" hidden="false" customHeight="false" outlineLevel="0" collapsed="false">
      <c r="B17" s="3" t="s">
        <v>214</v>
      </c>
      <c r="C17" s="3"/>
      <c r="D17" s="3"/>
      <c r="E17" s="3"/>
      <c r="F17" s="3"/>
      <c r="G17" s="3"/>
      <c r="M17" s="576"/>
      <c r="N17" s="576"/>
      <c r="O17" s="576"/>
      <c r="P17" s="138"/>
      <c r="Q17" s="51"/>
      <c r="R17" s="51"/>
      <c r="T17" s="51"/>
      <c r="U17" s="51"/>
      <c r="V17" s="51"/>
      <c r="W17" s="51"/>
    </row>
    <row r="18" customFormat="false" ht="30.75" hidden="false" customHeight="true" outlineLevel="0" collapsed="false">
      <c r="B18" s="219" t="s">
        <v>215</v>
      </c>
      <c r="C18" s="219"/>
      <c r="D18" s="577" t="s">
        <v>2</v>
      </c>
      <c r="E18" s="46" t="s">
        <v>216</v>
      </c>
      <c r="F18" s="578" t="s">
        <v>203</v>
      </c>
      <c r="G18" s="579" t="s">
        <v>217</v>
      </c>
      <c r="M18" s="576"/>
      <c r="N18" s="576"/>
      <c r="O18" s="576"/>
      <c r="P18" s="138"/>
      <c r="Q18" s="51"/>
      <c r="R18" s="51"/>
      <c r="T18" s="51"/>
      <c r="U18" s="51"/>
      <c r="V18" s="51"/>
      <c r="W18" s="51"/>
    </row>
    <row r="19" customFormat="false" ht="20.1" hidden="false" customHeight="true" outlineLevel="0" collapsed="false">
      <c r="B19" s="580" t="n">
        <v>1</v>
      </c>
      <c r="C19" s="580"/>
      <c r="D19" s="581" t="s">
        <v>16</v>
      </c>
      <c r="E19" s="582" t="s">
        <v>17</v>
      </c>
      <c r="F19" s="583" t="s">
        <v>17</v>
      </c>
      <c r="G19" s="584" t="s">
        <v>17</v>
      </c>
      <c r="M19" s="576"/>
      <c r="N19" s="576"/>
      <c r="O19" s="576"/>
      <c r="P19" s="138"/>
      <c r="Q19" s="51"/>
      <c r="R19" s="51"/>
      <c r="T19" s="51"/>
      <c r="U19" s="51"/>
      <c r="V19" s="51"/>
      <c r="W19" s="51"/>
    </row>
    <row r="20" customFormat="false" ht="20.1" hidden="false" customHeight="true" outlineLevel="0" collapsed="false">
      <c r="D20" s="33"/>
      <c r="E20" s="33"/>
      <c r="F20" s="33"/>
      <c r="M20" s="576"/>
      <c r="N20" s="576"/>
      <c r="O20" s="576"/>
      <c r="P20" s="138"/>
      <c r="Q20" s="51"/>
      <c r="R20" s="51"/>
      <c r="T20" s="51"/>
      <c r="U20" s="51"/>
      <c r="V20" s="51"/>
      <c r="W20" s="51"/>
    </row>
    <row r="21" customFormat="false" ht="20.1" hidden="false" customHeight="true" outlineLevel="0" collapsed="false">
      <c r="B21" s="39"/>
      <c r="C21" s="39"/>
      <c r="D21" s="40"/>
      <c r="E21" s="40"/>
      <c r="F21" s="40"/>
      <c r="G21" s="40"/>
      <c r="H21" s="39"/>
      <c r="I21" s="39"/>
      <c r="J21" s="39"/>
      <c r="K21" s="39"/>
      <c r="L21" s="39"/>
      <c r="M21" s="39"/>
      <c r="N21" s="39"/>
      <c r="O21" s="39"/>
      <c r="P21" s="39"/>
      <c r="Q21" s="39"/>
      <c r="R21" s="39"/>
      <c r="S21" s="39"/>
      <c r="T21" s="39"/>
      <c r="U21" s="39"/>
    </row>
    <row r="22" customFormat="false" ht="20.1" hidden="false" customHeight="true" outlineLevel="0" collapsed="false">
      <c r="B22" s="39"/>
      <c r="C22" s="442" t="s">
        <v>109</v>
      </c>
      <c r="D22" s="442"/>
      <c r="E22" s="442"/>
      <c r="F22" s="442"/>
      <c r="G22" s="442"/>
      <c r="H22" s="442"/>
      <c r="I22" s="442"/>
      <c r="J22" s="442"/>
      <c r="K22" s="442"/>
      <c r="L22" s="442"/>
      <c r="M22" s="442"/>
      <c r="N22" s="442"/>
      <c r="O22" s="442"/>
      <c r="P22" s="442"/>
      <c r="Q22" s="442"/>
      <c r="R22" s="442"/>
      <c r="S22" s="442"/>
      <c r="T22" s="442"/>
      <c r="U22" s="39"/>
    </row>
    <row r="23" customFormat="false" ht="20.1" hidden="false" customHeight="true" outlineLevel="0" collapsed="false">
      <c r="B23" s="39"/>
      <c r="C23" s="442"/>
      <c r="D23" s="442"/>
      <c r="E23" s="442"/>
      <c r="F23" s="442"/>
      <c r="G23" s="442"/>
      <c r="H23" s="442"/>
      <c r="I23" s="442"/>
      <c r="J23" s="442"/>
      <c r="K23" s="442"/>
      <c r="L23" s="442"/>
      <c r="M23" s="442"/>
      <c r="N23" s="442"/>
      <c r="O23" s="442"/>
      <c r="P23" s="442"/>
      <c r="Q23" s="442"/>
      <c r="R23" s="442"/>
      <c r="S23" s="442"/>
      <c r="T23" s="442"/>
      <c r="U23" s="39"/>
    </row>
    <row r="24" customFormat="false" ht="20.1" hidden="false" customHeight="true" outlineLevel="0" collapsed="false">
      <c r="B24" s="39"/>
      <c r="U24" s="39"/>
    </row>
    <row r="25" customFormat="false" ht="20.1" hidden="false" customHeight="true" outlineLevel="0" collapsed="false">
      <c r="B25" s="39"/>
      <c r="D25" s="263" t="s">
        <v>36</v>
      </c>
      <c r="E25" s="264" t="s">
        <v>218</v>
      </c>
      <c r="F25" s="294" t="s">
        <v>6</v>
      </c>
      <c r="G25" s="264" t="s">
        <v>110</v>
      </c>
      <c r="H25" s="264"/>
      <c r="I25" s="264"/>
      <c r="J25" s="264"/>
      <c r="K25" s="264" t="s">
        <v>71</v>
      </c>
      <c r="L25" s="266" t="s">
        <v>40</v>
      </c>
      <c r="M25" s="266"/>
      <c r="N25" s="266"/>
      <c r="O25" s="266"/>
      <c r="P25" s="266"/>
      <c r="Q25" s="266"/>
      <c r="R25" s="266"/>
      <c r="S25" s="266"/>
      <c r="U25" s="39"/>
    </row>
    <row r="26" customFormat="false" ht="20.1" hidden="false" customHeight="true" outlineLevel="0" collapsed="false">
      <c r="B26" s="39"/>
      <c r="D26" s="263"/>
      <c r="E26" s="264"/>
      <c r="F26" s="264"/>
      <c r="G26" s="267" t="s">
        <v>111</v>
      </c>
      <c r="H26" s="267" t="s">
        <v>41</v>
      </c>
      <c r="I26" s="294" t="s">
        <v>42</v>
      </c>
      <c r="J26" s="294"/>
      <c r="K26" s="267" t="s">
        <v>43</v>
      </c>
      <c r="L26" s="267" t="s">
        <v>111</v>
      </c>
      <c r="M26" s="268" t="s">
        <v>44</v>
      </c>
      <c r="N26" s="294" t="s">
        <v>42</v>
      </c>
      <c r="O26" s="294"/>
      <c r="P26" s="294"/>
      <c r="Q26" s="294"/>
      <c r="R26" s="294"/>
      <c r="S26" s="294"/>
      <c r="U26" s="39"/>
    </row>
    <row r="27" customFormat="false" ht="20.1" hidden="false" customHeight="true" outlineLevel="0" collapsed="false">
      <c r="B27" s="39"/>
      <c r="D27" s="6" t="s">
        <v>14</v>
      </c>
      <c r="E27" s="229" t="s">
        <v>15</v>
      </c>
      <c r="F27" s="12" t="n">
        <v>1</v>
      </c>
      <c r="G27" s="585" t="s">
        <v>114</v>
      </c>
      <c r="H27" s="586" t="s">
        <v>148</v>
      </c>
      <c r="I27" s="587" t="s">
        <v>219</v>
      </c>
      <c r="J27" s="587"/>
      <c r="K27" s="375" t="s">
        <v>50</v>
      </c>
      <c r="L27" s="272" t="s">
        <v>46</v>
      </c>
      <c r="M27" s="276" t="s">
        <v>46</v>
      </c>
      <c r="N27" s="444" t="s">
        <v>46</v>
      </c>
      <c r="O27" s="444"/>
      <c r="P27" s="444"/>
      <c r="Q27" s="444"/>
      <c r="R27" s="444"/>
      <c r="S27" s="444"/>
      <c r="U27" s="39"/>
    </row>
    <row r="28" customFormat="false" ht="80.1" hidden="false" customHeight="true" outlineLevel="0" collapsed="false">
      <c r="B28" s="39"/>
      <c r="D28" s="13" t="s">
        <v>7</v>
      </c>
      <c r="E28" s="237" t="s">
        <v>8</v>
      </c>
      <c r="F28" s="19" t="n">
        <v>2</v>
      </c>
      <c r="G28" s="588" t="s">
        <v>85</v>
      </c>
      <c r="H28" s="589" t="s">
        <v>115</v>
      </c>
      <c r="I28" s="590" t="s">
        <v>220</v>
      </c>
      <c r="J28" s="590"/>
      <c r="K28" s="448" t="s">
        <v>148</v>
      </c>
      <c r="L28" s="278" t="s">
        <v>46</v>
      </c>
      <c r="M28" s="282" t="s">
        <v>46</v>
      </c>
      <c r="N28" s="447" t="s">
        <v>46</v>
      </c>
      <c r="O28" s="447"/>
      <c r="P28" s="447"/>
      <c r="Q28" s="447"/>
      <c r="R28" s="447"/>
      <c r="S28" s="447"/>
      <c r="U28" s="39"/>
    </row>
    <row r="29" customFormat="false" ht="20.1" hidden="false" customHeight="true" outlineLevel="0" collapsed="false">
      <c r="B29" s="39"/>
      <c r="D29" s="13" t="s">
        <v>20</v>
      </c>
      <c r="E29" s="237" t="s">
        <v>21</v>
      </c>
      <c r="F29" s="19" t="n">
        <v>3</v>
      </c>
      <c r="G29" s="591" t="s">
        <v>114</v>
      </c>
      <c r="H29" s="592" t="s">
        <v>221</v>
      </c>
      <c r="I29" s="593" t="s">
        <v>46</v>
      </c>
      <c r="J29" s="593"/>
      <c r="K29" s="378" t="s">
        <v>50</v>
      </c>
      <c r="L29" s="278" t="s">
        <v>46</v>
      </c>
      <c r="M29" s="282" t="s">
        <v>46</v>
      </c>
      <c r="N29" s="449" t="s">
        <v>46</v>
      </c>
      <c r="O29" s="449"/>
      <c r="P29" s="449"/>
      <c r="Q29" s="449"/>
      <c r="R29" s="449"/>
      <c r="S29" s="449"/>
      <c r="U29" s="39"/>
    </row>
    <row r="30" customFormat="false" ht="35.1" hidden="false" customHeight="true" outlineLevel="0" collapsed="false">
      <c r="B30" s="39"/>
      <c r="D30" s="29" t="s">
        <v>27</v>
      </c>
      <c r="E30" s="240" t="s">
        <v>207</v>
      </c>
      <c r="F30" s="23" t="n">
        <v>4</v>
      </c>
      <c r="G30" s="594" t="s">
        <v>85</v>
      </c>
      <c r="H30" s="595" t="s">
        <v>73</v>
      </c>
      <c r="I30" s="596" t="s">
        <v>135</v>
      </c>
      <c r="J30" s="596"/>
      <c r="K30" s="502" t="s">
        <v>115</v>
      </c>
      <c r="L30" s="287" t="s">
        <v>46</v>
      </c>
      <c r="M30" s="291" t="s">
        <v>46</v>
      </c>
      <c r="N30" s="450" t="s">
        <v>46</v>
      </c>
      <c r="O30" s="450"/>
      <c r="P30" s="450"/>
      <c r="Q30" s="450"/>
      <c r="R30" s="450"/>
      <c r="S30" s="450"/>
      <c r="U30" s="39"/>
    </row>
    <row r="31" customFormat="false" ht="20.1" hidden="false" customHeight="true" outlineLevel="0" collapsed="false">
      <c r="B31" s="39"/>
      <c r="D31" s="36"/>
      <c r="E31" s="36"/>
      <c r="U31" s="39"/>
    </row>
    <row r="32" customFormat="false" ht="20.1" hidden="false" customHeight="true" outlineLevel="0" collapsed="false">
      <c r="B32" s="39"/>
      <c r="C32" s="76"/>
      <c r="D32" s="76"/>
      <c r="E32" s="77" t="str">
        <f aca="false">IF(OR(M27="-",M27= ""),H27,M27)</f>
        <v>La Granja</v>
      </c>
      <c r="F32" s="77"/>
      <c r="G32" s="77"/>
      <c r="H32" s="77"/>
      <c r="I32" s="77"/>
      <c r="J32" s="77"/>
      <c r="K32" s="77"/>
      <c r="L32" s="77"/>
      <c r="M32" s="77"/>
      <c r="N32" s="77"/>
      <c r="O32" s="78"/>
      <c r="P32" s="78"/>
      <c r="Q32" s="78"/>
      <c r="R32" s="78"/>
      <c r="S32" s="78"/>
      <c r="T32" s="76"/>
      <c r="U32" s="39"/>
    </row>
    <row r="33" customFormat="false" ht="50.1" hidden="false" customHeight="true" outlineLevel="0" collapsed="false">
      <c r="B33" s="39"/>
      <c r="C33" s="76"/>
      <c r="D33" s="78"/>
      <c r="E33" s="263" t="s">
        <v>36</v>
      </c>
      <c r="F33" s="597" t="s">
        <v>222</v>
      </c>
      <c r="G33" s="294" t="s">
        <v>52</v>
      </c>
      <c r="H33" s="264" t="s">
        <v>223</v>
      </c>
      <c r="I33" s="81" t="s">
        <v>224</v>
      </c>
      <c r="J33" s="264" t="s">
        <v>225</v>
      </c>
      <c r="K33" s="295" t="s">
        <v>54</v>
      </c>
      <c r="L33" s="264" t="s">
        <v>55</v>
      </c>
      <c r="M33" s="296" t="s">
        <v>56</v>
      </c>
      <c r="N33" s="294" t="s">
        <v>57</v>
      </c>
      <c r="O33" s="43" t="s">
        <v>58</v>
      </c>
      <c r="P33" s="79" t="s">
        <v>59</v>
      </c>
      <c r="Q33" s="79" t="s">
        <v>60</v>
      </c>
      <c r="R33" s="79" t="s">
        <v>61</v>
      </c>
      <c r="S33" s="78"/>
      <c r="T33" s="76"/>
      <c r="U33" s="39"/>
    </row>
    <row r="34" customFormat="false" ht="20.1" hidden="false" customHeight="true" outlineLevel="0" collapsed="false">
      <c r="B34" s="39"/>
      <c r="C34" s="76"/>
      <c r="D34" s="297"/>
      <c r="E34" s="6" t="s">
        <v>14</v>
      </c>
      <c r="F34" s="229" t="s">
        <v>15</v>
      </c>
      <c r="G34" s="387" t="n">
        <v>4</v>
      </c>
      <c r="H34" s="553" t="s">
        <v>46</v>
      </c>
      <c r="I34" s="387" t="n">
        <v>0</v>
      </c>
      <c r="J34" s="387" t="n">
        <v>80</v>
      </c>
      <c r="K34" s="387" t="s">
        <v>46</v>
      </c>
      <c r="L34" s="388" t="n">
        <f aca="false">IF(J34="",0,(J34/J38)*100)</f>
        <v>95.2380952380952</v>
      </c>
      <c r="M34" s="387" t="n">
        <v>3</v>
      </c>
      <c r="N34" s="389" t="n">
        <v>1</v>
      </c>
      <c r="O34" s="301" t="n">
        <f aca="false">IF(M34=1,1,0)</f>
        <v>0</v>
      </c>
      <c r="P34" s="85" t="n">
        <f aca="false">IF(M34=2,1,0)</f>
        <v>0</v>
      </c>
      <c r="Q34" s="85" t="n">
        <f aca="false">IF(M34=3,1,0)</f>
        <v>1</v>
      </c>
      <c r="R34" s="84" t="n">
        <f aca="false">IF(M34=4,1,0)</f>
        <v>0</v>
      </c>
      <c r="S34" s="302"/>
      <c r="T34" s="76"/>
      <c r="U34" s="39"/>
    </row>
    <row r="35" customFormat="false" ht="20.1" hidden="false" customHeight="true" outlineLevel="0" collapsed="false">
      <c r="B35" s="39"/>
      <c r="C35" s="76"/>
      <c r="D35" s="297"/>
      <c r="E35" s="13" t="s">
        <v>7</v>
      </c>
      <c r="F35" s="237" t="s">
        <v>8</v>
      </c>
      <c r="G35" s="324" t="n">
        <v>2</v>
      </c>
      <c r="H35" s="324" t="s">
        <v>46</v>
      </c>
      <c r="I35" s="324" t="n">
        <v>0</v>
      </c>
      <c r="J35" s="324" t="n">
        <v>66</v>
      </c>
      <c r="K35" s="324" t="s">
        <v>46</v>
      </c>
      <c r="L35" s="341" t="n">
        <f aca="false">IF(J35="",0,(J35/J38)*100)</f>
        <v>78.5714285714286</v>
      </c>
      <c r="M35" s="324" t="n">
        <v>4</v>
      </c>
      <c r="N35" s="327" t="n">
        <v>0</v>
      </c>
      <c r="O35" s="305" t="n">
        <f aca="false">IF(M35=1,1,0)</f>
        <v>0</v>
      </c>
      <c r="P35" s="88" t="n">
        <f aca="false">IF(M35=2,1,0)</f>
        <v>0</v>
      </c>
      <c r="Q35" s="88" t="n">
        <f aca="false">IF(M35=3,1,0)</f>
        <v>0</v>
      </c>
      <c r="R35" s="87" t="n">
        <f aca="false">IF(M35=4,1,0)</f>
        <v>1</v>
      </c>
      <c r="S35" s="302"/>
      <c r="T35" s="76"/>
      <c r="U35" s="39"/>
    </row>
    <row r="36" customFormat="false" ht="20.1" hidden="false" customHeight="true" outlineLevel="0" collapsed="false">
      <c r="B36" s="39"/>
      <c r="C36" s="76"/>
      <c r="D36" s="297"/>
      <c r="E36" s="110" t="s">
        <v>20</v>
      </c>
      <c r="F36" s="598" t="s">
        <v>206</v>
      </c>
      <c r="G36" s="112" t="n">
        <v>3</v>
      </c>
      <c r="H36" s="112" t="s">
        <v>46</v>
      </c>
      <c r="I36" s="112" t="n">
        <v>0</v>
      </c>
      <c r="J36" s="112" t="n">
        <v>84</v>
      </c>
      <c r="K36" s="112" t="s">
        <v>46</v>
      </c>
      <c r="L36" s="113" t="n">
        <f aca="false">IF(J36="",0,(J36/J38)*100)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306"/>
      <c r="E37" s="29" t="s">
        <v>27</v>
      </c>
      <c r="F37" s="240" t="s">
        <v>207</v>
      </c>
      <c r="G37" s="186" t="n">
        <v>1</v>
      </c>
      <c r="H37" s="186" t="s">
        <v>46</v>
      </c>
      <c r="I37" s="186" t="n">
        <v>0</v>
      </c>
      <c r="J37" s="186" t="n">
        <v>81</v>
      </c>
      <c r="K37" s="186" t="s">
        <v>46</v>
      </c>
      <c r="L37" s="116" t="n">
        <f aca="false">IF(J37="",0,(J37/J38)*100)</f>
        <v>96.4285714285714</v>
      </c>
      <c r="M37" s="186" t="n">
        <v>2</v>
      </c>
      <c r="N37" s="309" t="n">
        <v>3</v>
      </c>
      <c r="O37" s="310" t="n">
        <f aca="false">IF(M37=1,1,0)</f>
        <v>0</v>
      </c>
      <c r="P37" s="95" t="n">
        <f aca="false">IF(M37=2,1,0)</f>
        <v>1</v>
      </c>
      <c r="Q37" s="95" t="n">
        <f aca="false">IF(M37=3,1,0)</f>
        <v>0</v>
      </c>
      <c r="R37" s="117" t="n">
        <f aca="false">IF(M37=4,1,0)</f>
        <v>0</v>
      </c>
      <c r="S37" s="302"/>
      <c r="T37" s="76"/>
      <c r="U37" s="39"/>
    </row>
    <row r="38" customFormat="false" ht="20.1" hidden="true" customHeight="true" outlineLevel="1" collapsed="false">
      <c r="B38" s="39"/>
      <c r="C38" s="76"/>
      <c r="D38" s="311"/>
      <c r="E38" s="311"/>
      <c r="F38" s="302"/>
      <c r="G38" s="302"/>
      <c r="H38" s="76"/>
      <c r="I38" s="97" t="s">
        <v>62</v>
      </c>
      <c r="J38" s="98" t="n">
        <f aca="false">MAX(J34:J37)</f>
        <v>84</v>
      </c>
      <c r="K38" s="314"/>
      <c r="L38" s="313"/>
      <c r="M38" s="76"/>
      <c r="N38" s="333" t="s">
        <v>63</v>
      </c>
      <c r="O38" s="102" t="n">
        <f aca="false">SUM(O34:O37)</f>
        <v>1</v>
      </c>
      <c r="P38" s="103" t="n">
        <f aca="false">SUM(P34:P37)</f>
        <v>1</v>
      </c>
      <c r="Q38" s="102" t="n">
        <f aca="false">SUM(Q34:Q37)</f>
        <v>1</v>
      </c>
      <c r="R38" s="102" t="n">
        <f aca="false">SUM(R34:R37)</f>
        <v>1</v>
      </c>
      <c r="S38" s="316"/>
      <c r="T38" s="76"/>
      <c r="U38" s="39"/>
    </row>
    <row r="39" customFormat="false" ht="20.1" hidden="false" customHeight="true" outlineLevel="0" collapsed="false">
      <c r="B39" s="39"/>
      <c r="C39" s="76"/>
      <c r="D39" s="105"/>
      <c r="E39" s="105"/>
      <c r="F39" s="106"/>
      <c r="G39" s="106"/>
      <c r="H39" s="78"/>
      <c r="I39" s="76"/>
      <c r="J39" s="76"/>
      <c r="K39" s="76"/>
      <c r="L39" s="76"/>
      <c r="M39" s="76"/>
      <c r="N39" s="76"/>
      <c r="O39" s="76"/>
      <c r="P39" s="76"/>
      <c r="Q39" s="76"/>
      <c r="R39" s="76"/>
      <c r="S39" s="76"/>
      <c r="T39" s="76"/>
      <c r="U39" s="39"/>
    </row>
    <row r="40" customFormat="false" ht="20.1" hidden="false" customHeight="true" outlineLevel="0" collapsed="false">
      <c r="B40" s="39"/>
      <c r="U40" s="39"/>
    </row>
    <row r="41" customFormat="false" ht="20.1" hidden="false" customHeight="true" outlineLevel="0" collapsed="false">
      <c r="B41" s="39"/>
      <c r="C41" s="107"/>
      <c r="D41" s="107"/>
      <c r="E41" s="108" t="str">
        <f aca="false">IF(OR(M28="-",M28= ""),H28,M28)</f>
        <v>Orakel von Delphi</v>
      </c>
      <c r="F41" s="108"/>
      <c r="G41" s="108"/>
      <c r="H41" s="108"/>
      <c r="I41" s="108"/>
      <c r="J41" s="108"/>
      <c r="K41" s="108"/>
      <c r="L41" s="108"/>
      <c r="M41" s="108"/>
      <c r="N41" s="108"/>
      <c r="O41" s="109"/>
      <c r="P41" s="109"/>
      <c r="Q41" s="109"/>
      <c r="R41" s="109"/>
      <c r="S41" s="109"/>
      <c r="T41" s="107"/>
      <c r="U41" s="39"/>
    </row>
    <row r="42" customFormat="false" ht="50.1" hidden="false" customHeight="true" outlineLevel="0" collapsed="false">
      <c r="B42" s="39"/>
      <c r="C42" s="107"/>
      <c r="D42" s="109"/>
      <c r="E42" s="263" t="s">
        <v>36</v>
      </c>
      <c r="F42" s="597" t="s">
        <v>222</v>
      </c>
      <c r="G42" s="294" t="s">
        <v>52</v>
      </c>
      <c r="H42" s="264" t="s">
        <v>223</v>
      </c>
      <c r="I42" s="81" t="s">
        <v>224</v>
      </c>
      <c r="J42" s="264" t="s">
        <v>225</v>
      </c>
      <c r="K42" s="295" t="s">
        <v>54</v>
      </c>
      <c r="L42" s="264" t="s">
        <v>55</v>
      </c>
      <c r="M42" s="296" t="s">
        <v>56</v>
      </c>
      <c r="N42" s="294" t="s">
        <v>57</v>
      </c>
      <c r="O42" s="43" t="s">
        <v>58</v>
      </c>
      <c r="P42" s="79" t="s">
        <v>59</v>
      </c>
      <c r="Q42" s="79" t="s">
        <v>60</v>
      </c>
      <c r="R42" s="79" t="s">
        <v>61</v>
      </c>
      <c r="S42" s="109"/>
      <c r="T42" s="107"/>
      <c r="U42" s="39"/>
    </row>
    <row r="43" customFormat="false" ht="80.1" hidden="false" customHeight="true" outlineLevel="0" collapsed="false">
      <c r="B43" s="39"/>
      <c r="C43" s="107"/>
      <c r="D43" s="319"/>
      <c r="E43" s="180" t="s">
        <v>14</v>
      </c>
      <c r="F43" s="521" t="s">
        <v>15</v>
      </c>
      <c r="G43" s="182" t="n">
        <v>4</v>
      </c>
      <c r="H43" s="320" t="s">
        <v>226</v>
      </c>
      <c r="I43" s="182" t="s">
        <v>46</v>
      </c>
      <c r="J43" s="320" t="s">
        <v>227</v>
      </c>
      <c r="K43" s="320" t="s">
        <v>228</v>
      </c>
      <c r="L43" s="183" t="n">
        <v>100</v>
      </c>
      <c r="M43" s="182" t="n">
        <v>1</v>
      </c>
      <c r="N43" s="300" t="n">
        <v>6</v>
      </c>
      <c r="O43" s="301" t="n">
        <f aca="false">IF(M43=1,1,0)</f>
        <v>1</v>
      </c>
      <c r="P43" s="85" t="n">
        <f aca="false">IF(M43=2,1,0)</f>
        <v>0</v>
      </c>
      <c r="Q43" s="85" t="n">
        <f aca="false">IF(M43=3,1,0)</f>
        <v>0</v>
      </c>
      <c r="R43" s="84" t="n">
        <f aca="false">IF(M43=4,1,0)</f>
        <v>0</v>
      </c>
      <c r="S43" s="322"/>
      <c r="T43" s="107"/>
      <c r="U43" s="39"/>
    </row>
    <row r="44" customFormat="false" ht="125.1" hidden="false" customHeight="true" outlineLevel="0" collapsed="false">
      <c r="B44" s="39"/>
      <c r="C44" s="107"/>
      <c r="D44" s="323"/>
      <c r="E44" s="13" t="s">
        <v>7</v>
      </c>
      <c r="F44" s="237" t="s">
        <v>8</v>
      </c>
      <c r="G44" s="324" t="n">
        <v>3</v>
      </c>
      <c r="H44" s="325" t="s">
        <v>229</v>
      </c>
      <c r="I44" s="324" t="s">
        <v>46</v>
      </c>
      <c r="J44" s="328" t="s">
        <v>227</v>
      </c>
      <c r="K44" s="325" t="s">
        <v>230</v>
      </c>
      <c r="L44" s="341" t="n">
        <v>100</v>
      </c>
      <c r="M44" s="324" t="n">
        <v>2</v>
      </c>
      <c r="N44" s="327" t="n">
        <v>3</v>
      </c>
      <c r="O44" s="305" t="n">
        <f aca="false">IF(M44=1,1,0)</f>
        <v>0</v>
      </c>
      <c r="P44" s="88" t="n">
        <f aca="false">IF(M44=2,1,0)</f>
        <v>1</v>
      </c>
      <c r="Q44" s="88" t="n">
        <f aca="false">IF(M44=3,1,0)</f>
        <v>0</v>
      </c>
      <c r="R44" s="87" t="n">
        <f aca="false">IF(M44=4,1,0)</f>
        <v>0</v>
      </c>
      <c r="S44" s="322"/>
      <c r="T44" s="107"/>
      <c r="U44" s="39"/>
    </row>
    <row r="45" customFormat="false" ht="80.1" hidden="false" customHeight="true" outlineLevel="0" collapsed="false">
      <c r="B45" s="39"/>
      <c r="C45" s="107"/>
      <c r="D45" s="319"/>
      <c r="E45" s="13" t="s">
        <v>20</v>
      </c>
      <c r="F45" s="237" t="s">
        <v>21</v>
      </c>
      <c r="G45" s="324" t="n">
        <v>1</v>
      </c>
      <c r="H45" s="325" t="s">
        <v>231</v>
      </c>
      <c r="I45" s="324" t="s">
        <v>46</v>
      </c>
      <c r="J45" s="328" t="s">
        <v>227</v>
      </c>
      <c r="K45" s="325" t="s">
        <v>232</v>
      </c>
      <c r="L45" s="341" t="n">
        <v>100</v>
      </c>
      <c r="M45" s="324" t="n">
        <v>3</v>
      </c>
      <c r="N45" s="327" t="n">
        <v>1</v>
      </c>
      <c r="O45" s="305" t="n">
        <f aca="false">IF(M45=1,1,0)</f>
        <v>0</v>
      </c>
      <c r="P45" s="88" t="n">
        <f aca="false">IF(M45=2,1,0)</f>
        <v>0</v>
      </c>
      <c r="Q45" s="88" t="n">
        <f aca="false">IF(M45=3,1,0)</f>
        <v>1</v>
      </c>
      <c r="R45" s="87" t="n">
        <f aca="false">IF(M45=4,1,0)</f>
        <v>0</v>
      </c>
      <c r="S45" s="322"/>
      <c r="T45" s="107"/>
      <c r="U45" s="39"/>
    </row>
    <row r="46" customFormat="false" ht="155.1" hidden="false" customHeight="true" outlineLevel="0" collapsed="false">
      <c r="B46" s="39"/>
      <c r="C46" s="107"/>
      <c r="D46" s="319"/>
      <c r="E46" s="29" t="s">
        <v>27</v>
      </c>
      <c r="F46" s="240" t="s">
        <v>207</v>
      </c>
      <c r="G46" s="186" t="n">
        <v>2</v>
      </c>
      <c r="H46" s="352" t="s">
        <v>233</v>
      </c>
      <c r="I46" s="186" t="s">
        <v>46</v>
      </c>
      <c r="J46" s="352" t="s">
        <v>123</v>
      </c>
      <c r="K46" s="186" t="s">
        <v>46</v>
      </c>
      <c r="L46" s="116" t="n">
        <f aca="false">(L35+L52+L62)/3</f>
        <v>83.2557816515036</v>
      </c>
      <c r="M46" s="186" t="n">
        <v>4</v>
      </c>
      <c r="N46" s="309" t="n">
        <v>0</v>
      </c>
      <c r="O46" s="310" t="n">
        <f aca="false">IF(M46=1,1,0)</f>
        <v>0</v>
      </c>
      <c r="P46" s="95" t="n">
        <f aca="false">IF(M46=2,1,0)</f>
        <v>0</v>
      </c>
      <c r="Q46" s="95" t="n">
        <f aca="false">IF(M46=3,1,0)</f>
        <v>0</v>
      </c>
      <c r="R46" s="117" t="n">
        <f aca="false">IF(M46=4,1,0)</f>
        <v>1</v>
      </c>
      <c r="S46" s="322"/>
      <c r="T46" s="107"/>
      <c r="U46" s="39"/>
    </row>
    <row r="47" customFormat="false" ht="20.1" hidden="true" customHeight="true" outlineLevel="1" collapsed="false">
      <c r="B47" s="39"/>
      <c r="C47" s="107"/>
      <c r="D47" s="319"/>
      <c r="E47" s="319"/>
      <c r="F47" s="109"/>
      <c r="G47" s="109"/>
      <c r="H47" s="107"/>
      <c r="I47" s="331" t="s">
        <v>62</v>
      </c>
      <c r="J47" s="98" t="n">
        <f aca="false">MAX(J43:J46)</f>
        <v>0</v>
      </c>
      <c r="K47" s="332"/>
      <c r="L47" s="322"/>
      <c r="M47" s="107"/>
      <c r="N47" s="333" t="s">
        <v>63</v>
      </c>
      <c r="O47" s="102" t="n">
        <f aca="false">SUM(O43:O46)</f>
        <v>1</v>
      </c>
      <c r="P47" s="103" t="n">
        <f aca="false">SUM(P43:P46)</f>
        <v>1</v>
      </c>
      <c r="Q47" s="102" t="n">
        <f aca="false">SUM(Q43:Q46)</f>
        <v>1</v>
      </c>
      <c r="R47" s="104" t="n">
        <f aca="false">SUM(R43:R46)</f>
        <v>1</v>
      </c>
      <c r="S47" s="334"/>
      <c r="T47" s="107"/>
      <c r="U47" s="39"/>
    </row>
    <row r="48" customFormat="false" ht="20.1" hidden="false" customHeight="true" outlineLevel="0" collapsed="false">
      <c r="B48" s="39"/>
      <c r="C48" s="107"/>
      <c r="D48" s="123"/>
      <c r="E48" s="123"/>
      <c r="F48" s="107"/>
      <c r="G48" s="107"/>
      <c r="H48" s="107"/>
      <c r="I48" s="107"/>
      <c r="J48" s="107"/>
      <c r="K48" s="107"/>
      <c r="L48" s="107"/>
      <c r="M48" s="107"/>
      <c r="N48" s="107"/>
      <c r="O48" s="107"/>
      <c r="P48" s="107"/>
      <c r="Q48" s="107"/>
      <c r="R48" s="107"/>
      <c r="S48" s="107"/>
      <c r="T48" s="107"/>
      <c r="U48" s="39"/>
    </row>
    <row r="49" customFormat="false" ht="20.1" hidden="false" customHeight="true" outlineLevel="0" collapsed="false">
      <c r="B49" s="39"/>
      <c r="D49" s="124"/>
      <c r="E49" s="124"/>
      <c r="F49" s="124"/>
      <c r="G49" s="124"/>
      <c r="H49" s="125"/>
      <c r="I49" s="124"/>
      <c r="J49" s="124"/>
      <c r="K49" s="36"/>
      <c r="L49" s="36"/>
      <c r="M49" s="36"/>
      <c r="N49" s="36"/>
      <c r="O49" s="36"/>
      <c r="P49" s="36"/>
      <c r="Q49" s="36"/>
      <c r="R49" s="36"/>
      <c r="S49" s="36"/>
      <c r="U49" s="39"/>
    </row>
    <row r="50" customFormat="false" ht="20.1" hidden="false" customHeight="true" outlineLevel="0" collapsed="false">
      <c r="B50" s="39"/>
      <c r="C50" s="126"/>
      <c r="D50" s="126"/>
      <c r="E50" s="127" t="str">
        <f aca="false">IF(OR(M29="-",M29= ""),H29,M29)</f>
        <v>Yokohama</v>
      </c>
      <c r="F50" s="127"/>
      <c r="G50" s="127"/>
      <c r="H50" s="127"/>
      <c r="I50" s="127"/>
      <c r="J50" s="127"/>
      <c r="K50" s="127"/>
      <c r="L50" s="127"/>
      <c r="M50" s="127"/>
      <c r="N50" s="127"/>
      <c r="O50" s="128"/>
      <c r="P50" s="128"/>
      <c r="Q50" s="128"/>
      <c r="R50" s="128"/>
      <c r="S50" s="128"/>
      <c r="T50" s="126"/>
      <c r="U50" s="129"/>
      <c r="V50" s="130"/>
      <c r="W50" s="130"/>
    </row>
    <row r="51" customFormat="false" ht="50.1" hidden="false" customHeight="true" outlineLevel="0" collapsed="false">
      <c r="B51" s="39"/>
      <c r="C51" s="126"/>
      <c r="D51" s="128"/>
      <c r="E51" s="263" t="s">
        <v>36</v>
      </c>
      <c r="F51" s="597" t="s">
        <v>222</v>
      </c>
      <c r="G51" s="294" t="s">
        <v>52</v>
      </c>
      <c r="H51" s="264" t="s">
        <v>223</v>
      </c>
      <c r="I51" s="81" t="s">
        <v>224</v>
      </c>
      <c r="J51" s="264" t="s">
        <v>225</v>
      </c>
      <c r="K51" s="295" t="s">
        <v>54</v>
      </c>
      <c r="L51" s="264" t="s">
        <v>55</v>
      </c>
      <c r="M51" s="296" t="s">
        <v>56</v>
      </c>
      <c r="N51" s="294" t="s">
        <v>57</v>
      </c>
      <c r="O51" s="43" t="s">
        <v>58</v>
      </c>
      <c r="P51" s="79" t="s">
        <v>59</v>
      </c>
      <c r="Q51" s="79" t="s">
        <v>60</v>
      </c>
      <c r="R51" s="82" t="s">
        <v>61</v>
      </c>
      <c r="S51" s="128"/>
      <c r="T51" s="126"/>
      <c r="U51" s="129"/>
      <c r="V51" s="130"/>
      <c r="W51" s="130"/>
    </row>
    <row r="52" customFormat="false" ht="20.1" hidden="false" customHeight="true" outlineLevel="0" collapsed="false">
      <c r="B52" s="39"/>
      <c r="C52" s="126"/>
      <c r="D52" s="336"/>
      <c r="E52" s="6" t="s">
        <v>14</v>
      </c>
      <c r="F52" s="229" t="s">
        <v>15</v>
      </c>
      <c r="G52" s="387" t="n">
        <v>4</v>
      </c>
      <c r="H52" s="553" t="s">
        <v>46</v>
      </c>
      <c r="I52" s="387" t="n">
        <v>0</v>
      </c>
      <c r="J52" s="387" t="n">
        <v>112</v>
      </c>
      <c r="K52" s="387" t="s">
        <v>46</v>
      </c>
      <c r="L52" s="388" t="n">
        <f aca="false">IF(J52="",0,(J52/J56)*100)</f>
        <v>82.3529411764706</v>
      </c>
      <c r="M52" s="387" t="n">
        <v>4</v>
      </c>
      <c r="N52" s="389" t="n">
        <v>0</v>
      </c>
      <c r="O52" s="301" t="n">
        <f aca="false">IF(M52=1,1,0)</f>
        <v>0</v>
      </c>
      <c r="P52" s="85" t="n">
        <f aca="false">IF(M52=2,1,0)</f>
        <v>0</v>
      </c>
      <c r="Q52" s="85" t="n">
        <f aca="false">IF(M52=3,1,0)</f>
        <v>0</v>
      </c>
      <c r="R52" s="84" t="n">
        <f aca="false">IF(M52=4,1,0)</f>
        <v>1</v>
      </c>
      <c r="S52" s="339"/>
      <c r="T52" s="126"/>
      <c r="U52" s="131"/>
      <c r="V52" s="36"/>
      <c r="W52" s="36"/>
    </row>
    <row r="53" customFormat="false" ht="20.1" hidden="false" customHeight="true" outlineLevel="0" collapsed="false">
      <c r="B53" s="39"/>
      <c r="C53" s="126"/>
      <c r="D53" s="340"/>
      <c r="E53" s="13" t="s">
        <v>7</v>
      </c>
      <c r="F53" s="237" t="s">
        <v>8</v>
      </c>
      <c r="G53" s="324" t="n">
        <v>1</v>
      </c>
      <c r="H53" s="324" t="s">
        <v>46</v>
      </c>
      <c r="I53" s="324" t="n">
        <v>0</v>
      </c>
      <c r="J53" s="324" t="n">
        <v>119</v>
      </c>
      <c r="K53" s="324" t="s">
        <v>46</v>
      </c>
      <c r="L53" s="341" t="n">
        <f aca="false">IF(J53="",0,(J53/J56)*100)</f>
        <v>87.5</v>
      </c>
      <c r="M53" s="324" t="n">
        <v>2</v>
      </c>
      <c r="N53" s="327" t="n">
        <v>3</v>
      </c>
      <c r="O53" s="305" t="n">
        <f aca="false">IF(M53=1,1,0)</f>
        <v>0</v>
      </c>
      <c r="P53" s="88" t="n">
        <f aca="false">IF(M53=2,1,0)</f>
        <v>1</v>
      </c>
      <c r="Q53" s="88" t="n">
        <f aca="false">IF(M53=3,1,0)</f>
        <v>0</v>
      </c>
      <c r="R53" s="87" t="n">
        <f aca="false">IF(M53=4,1,0)</f>
        <v>0</v>
      </c>
      <c r="S53" s="339"/>
      <c r="T53" s="126"/>
      <c r="U53" s="132"/>
      <c r="V53" s="36"/>
      <c r="W53" s="36"/>
    </row>
    <row r="54" customFormat="false" ht="20.1" hidden="false" customHeight="true" outlineLevel="0" collapsed="false">
      <c r="B54" s="39"/>
      <c r="C54" s="126"/>
      <c r="D54" s="336"/>
      <c r="E54" s="13" t="s">
        <v>20</v>
      </c>
      <c r="F54" s="237" t="s">
        <v>206</v>
      </c>
      <c r="G54" s="324" t="n">
        <v>2</v>
      </c>
      <c r="H54" s="324" t="s">
        <v>46</v>
      </c>
      <c r="I54" s="324" t="n">
        <v>0</v>
      </c>
      <c r="J54" s="324" t="n">
        <v>117</v>
      </c>
      <c r="K54" s="324" t="s">
        <v>46</v>
      </c>
      <c r="L54" s="341" t="n">
        <f aca="false">IF(J54="",0,(J54/J56)*100)</f>
        <v>86.0294117647059</v>
      </c>
      <c r="M54" s="324" t="n">
        <v>3</v>
      </c>
      <c r="N54" s="327" t="n">
        <v>1</v>
      </c>
      <c r="O54" s="305" t="n">
        <f aca="false">IF(M54=1,1,0)</f>
        <v>0</v>
      </c>
      <c r="P54" s="88" t="n">
        <f aca="false">IF(M54=2,1,0)</f>
        <v>0</v>
      </c>
      <c r="Q54" s="88" t="n">
        <f aca="false">IF(M54=3,1,0)</f>
        <v>1</v>
      </c>
      <c r="R54" s="87" t="n">
        <f aca="false">IF(M54=4,1,0)</f>
        <v>0</v>
      </c>
      <c r="S54" s="339"/>
      <c r="T54" s="126"/>
      <c r="U54" s="132"/>
      <c r="V54" s="36"/>
      <c r="W54" s="36"/>
    </row>
    <row r="55" customFormat="false" ht="20.1" hidden="false" customHeight="true" outlineLevel="0" collapsed="false">
      <c r="B55" s="39"/>
      <c r="C55" s="126"/>
      <c r="D55" s="336"/>
      <c r="E55" s="89" t="s">
        <v>27</v>
      </c>
      <c r="F55" s="599" t="s">
        <v>207</v>
      </c>
      <c r="G55" s="91" t="n">
        <v>3</v>
      </c>
      <c r="H55" s="91" t="s">
        <v>46</v>
      </c>
      <c r="I55" s="91" t="n">
        <v>0</v>
      </c>
      <c r="J55" s="91" t="n">
        <v>136</v>
      </c>
      <c r="K55" s="91" t="s">
        <v>46</v>
      </c>
      <c r="L55" s="92" t="n">
        <f aca="false">IF(J55="",0,(J55/J56)*100)</f>
        <v>100</v>
      </c>
      <c r="M55" s="91" t="n">
        <v>1</v>
      </c>
      <c r="N55" s="394" t="n">
        <v>6</v>
      </c>
      <c r="O55" s="310" t="n">
        <f aca="false">IF(M55=1,1,0)</f>
        <v>1</v>
      </c>
      <c r="P55" s="95" t="n">
        <f aca="false">IF(M55=2,1,0)</f>
        <v>0</v>
      </c>
      <c r="Q55" s="95" t="n">
        <f aca="false">IF(M55=3,1,0)</f>
        <v>0</v>
      </c>
      <c r="R55" s="117" t="n">
        <f aca="false">IF(M55=4,1,0)</f>
        <v>0</v>
      </c>
      <c r="S55" s="339"/>
      <c r="T55" s="126"/>
      <c r="U55" s="132"/>
      <c r="V55" s="36"/>
      <c r="W55" s="36"/>
    </row>
    <row r="56" customFormat="false" ht="20.1" hidden="true" customHeight="true" outlineLevel="1" collapsed="false">
      <c r="B56" s="39"/>
      <c r="C56" s="126"/>
      <c r="D56" s="336"/>
      <c r="E56" s="336"/>
      <c r="F56" s="339"/>
      <c r="G56" s="339"/>
      <c r="H56" s="126"/>
      <c r="I56" s="345" t="s">
        <v>62</v>
      </c>
      <c r="J56" s="98" t="n">
        <f aca="false">MAX(J52:J55)</f>
        <v>136</v>
      </c>
      <c r="K56" s="346"/>
      <c r="L56" s="339"/>
      <c r="M56" s="126"/>
      <c r="N56" s="333" t="s">
        <v>63</v>
      </c>
      <c r="O56" s="102" t="n">
        <f aca="false">SUM(O52:O55)</f>
        <v>1</v>
      </c>
      <c r="P56" s="103" t="n">
        <f aca="false">SUM(P52:P55)</f>
        <v>1</v>
      </c>
      <c r="Q56" s="102" t="n">
        <f aca="false">SUM(Q52:Q55)</f>
        <v>1</v>
      </c>
      <c r="R56" s="104" t="n">
        <f aca="false">SUM(R52:R55)</f>
        <v>1</v>
      </c>
      <c r="S56" s="347"/>
      <c r="T56" s="126"/>
      <c r="U56" s="132"/>
      <c r="V56" s="36"/>
      <c r="W56" s="36"/>
    </row>
    <row r="57" customFormat="false" ht="20.1" hidden="false" customHeight="true" outlineLevel="0" collapsed="false">
      <c r="B57" s="39"/>
      <c r="C57" s="126"/>
      <c r="D57" s="133"/>
      <c r="E57" s="133"/>
      <c r="F57" s="126"/>
      <c r="G57" s="126"/>
      <c r="H57" s="126"/>
      <c r="I57" s="126"/>
      <c r="J57" s="126"/>
      <c r="K57" s="126"/>
      <c r="L57" s="126"/>
      <c r="M57" s="126"/>
      <c r="N57" s="126"/>
      <c r="O57" s="126"/>
      <c r="P57" s="126"/>
      <c r="Q57" s="126"/>
      <c r="R57" s="126"/>
      <c r="S57" s="126"/>
      <c r="T57" s="126"/>
      <c r="U57" s="132"/>
      <c r="V57" s="36"/>
      <c r="W57" s="36"/>
    </row>
    <row r="58" customFormat="false" ht="20.1" hidden="false" customHeight="true" outlineLevel="0" collapsed="false">
      <c r="B58" s="39"/>
      <c r="D58" s="124"/>
      <c r="E58" s="124"/>
      <c r="F58" s="124"/>
      <c r="G58" s="124"/>
      <c r="H58" s="125"/>
      <c r="I58" s="124"/>
      <c r="J58" s="124"/>
      <c r="K58" s="124"/>
      <c r="L58" s="36"/>
      <c r="M58" s="36"/>
      <c r="N58" s="36"/>
      <c r="O58" s="36"/>
      <c r="P58" s="36"/>
      <c r="Q58" s="36"/>
      <c r="R58" s="36"/>
      <c r="S58" s="36"/>
      <c r="U58" s="131"/>
      <c r="V58" s="36"/>
      <c r="W58" s="36"/>
    </row>
    <row r="59" customFormat="false" ht="20.1" hidden="false" customHeight="true" outlineLevel="0" collapsed="false">
      <c r="B59" s="39"/>
      <c r="C59" s="134"/>
      <c r="D59" s="134"/>
      <c r="E59" s="135" t="str">
        <f aca="false">IF(OR(M30="-",M30= ""),H30,M30)</f>
        <v>Die Burgen von 
Burgund</v>
      </c>
      <c r="F59" s="135"/>
      <c r="G59" s="135"/>
      <c r="H59" s="135"/>
      <c r="I59" s="135"/>
      <c r="J59" s="135"/>
      <c r="K59" s="135"/>
      <c r="L59" s="135"/>
      <c r="M59" s="135"/>
      <c r="N59" s="135"/>
      <c r="O59" s="136"/>
      <c r="P59" s="136"/>
      <c r="Q59" s="136"/>
      <c r="R59" s="136"/>
      <c r="S59" s="136"/>
      <c r="T59" s="134"/>
      <c r="U59" s="39"/>
    </row>
    <row r="60" customFormat="false" ht="50.1" hidden="false" customHeight="true" outlineLevel="0" collapsed="false">
      <c r="B60" s="39"/>
      <c r="C60" s="134"/>
      <c r="D60" s="136"/>
      <c r="E60" s="263" t="s">
        <v>36</v>
      </c>
      <c r="F60" s="597" t="s">
        <v>222</v>
      </c>
      <c r="G60" s="294" t="s">
        <v>52</v>
      </c>
      <c r="H60" s="264" t="s">
        <v>223</v>
      </c>
      <c r="I60" s="81" t="s">
        <v>224</v>
      </c>
      <c r="J60" s="264" t="s">
        <v>225</v>
      </c>
      <c r="K60" s="295" t="s">
        <v>54</v>
      </c>
      <c r="L60" s="264" t="s">
        <v>55</v>
      </c>
      <c r="M60" s="296" t="s">
        <v>56</v>
      </c>
      <c r="N60" s="294" t="s">
        <v>57</v>
      </c>
      <c r="O60" s="43" t="s">
        <v>58</v>
      </c>
      <c r="P60" s="79" t="s">
        <v>59</v>
      </c>
      <c r="Q60" s="79" t="s">
        <v>60</v>
      </c>
      <c r="R60" s="82" t="s">
        <v>61</v>
      </c>
      <c r="S60" s="136"/>
      <c r="T60" s="134"/>
      <c r="U60" s="39"/>
    </row>
    <row r="61" customFormat="false" ht="20.1" hidden="false" customHeight="true" outlineLevel="0" collapsed="false">
      <c r="B61" s="39"/>
      <c r="C61" s="134"/>
      <c r="D61" s="349"/>
      <c r="E61" s="6" t="s">
        <v>14</v>
      </c>
      <c r="F61" s="229" t="s">
        <v>15</v>
      </c>
      <c r="G61" s="387" t="n">
        <v>1</v>
      </c>
      <c r="H61" s="553" t="s">
        <v>234</v>
      </c>
      <c r="I61" s="387" t="n">
        <v>0</v>
      </c>
      <c r="J61" s="387" t="n">
        <v>237</v>
      </c>
      <c r="K61" s="387" t="s">
        <v>46</v>
      </c>
      <c r="L61" s="388" t="n">
        <f aca="false">IF(J61="",0,(J61/J65)*100)</f>
        <v>97.9338842975207</v>
      </c>
      <c r="M61" s="387" t="n">
        <v>2</v>
      </c>
      <c r="N61" s="389" t="n">
        <v>3</v>
      </c>
      <c r="O61" s="85" t="n">
        <f aca="false">IF(M61=1,1,0)</f>
        <v>0</v>
      </c>
      <c r="P61" s="85" t="n">
        <f aca="false">IF(M61=2,1,0)</f>
        <v>1</v>
      </c>
      <c r="Q61" s="85" t="n">
        <f aca="false">IF(M61=3,1,0)</f>
        <v>0</v>
      </c>
      <c r="R61" s="84" t="n">
        <f aca="false">IF(M61=4,1,0)</f>
        <v>0</v>
      </c>
      <c r="S61" s="350"/>
      <c r="T61" s="134"/>
      <c r="U61" s="39"/>
    </row>
    <row r="62" customFormat="false" ht="20.1" hidden="false" customHeight="true" outlineLevel="0" collapsed="false">
      <c r="B62" s="39"/>
      <c r="C62" s="134"/>
      <c r="D62" s="349"/>
      <c r="E62" s="13" t="s">
        <v>7</v>
      </c>
      <c r="F62" s="237" t="s">
        <v>8</v>
      </c>
      <c r="G62" s="324" t="n">
        <v>3</v>
      </c>
      <c r="H62" s="324" t="s">
        <v>235</v>
      </c>
      <c r="I62" s="324" t="n">
        <v>0</v>
      </c>
      <c r="J62" s="324" t="n">
        <v>215</v>
      </c>
      <c r="K62" s="324" t="s">
        <v>46</v>
      </c>
      <c r="L62" s="341" t="n">
        <f aca="false">IF(J62="",0,(J62/J65)*100)</f>
        <v>88.8429752066116</v>
      </c>
      <c r="M62" s="324" t="n">
        <v>4</v>
      </c>
      <c r="N62" s="327" t="n">
        <v>0</v>
      </c>
      <c r="O62" s="88" t="n">
        <f aca="false">IF(M62=1,1,0)</f>
        <v>0</v>
      </c>
      <c r="P62" s="88" t="n">
        <f aca="false">IF(M62=2,1,0)</f>
        <v>0</v>
      </c>
      <c r="Q62" s="88" t="n">
        <f aca="false">IF(M62=3,1,0)</f>
        <v>0</v>
      </c>
      <c r="R62" s="87" t="n">
        <f aca="false">IF(M62=4,1,0)</f>
        <v>1</v>
      </c>
      <c r="S62" s="350"/>
      <c r="T62" s="134"/>
      <c r="U62" s="39"/>
    </row>
    <row r="63" customFormat="false" ht="20.1" hidden="false" customHeight="true" outlineLevel="0" collapsed="false">
      <c r="B63" s="39"/>
      <c r="C63" s="134"/>
      <c r="D63" s="349"/>
      <c r="E63" s="13" t="s">
        <v>20</v>
      </c>
      <c r="F63" s="237" t="s">
        <v>21</v>
      </c>
      <c r="G63" s="324" t="n">
        <v>2</v>
      </c>
      <c r="H63" s="324" t="s">
        <v>234</v>
      </c>
      <c r="I63" s="324" t="n">
        <v>0</v>
      </c>
      <c r="J63" s="324" t="n">
        <v>231</v>
      </c>
      <c r="K63" s="324" t="s">
        <v>46</v>
      </c>
      <c r="L63" s="341" t="n">
        <f aca="false">IF(J63="",0,(J63/J65)*100)</f>
        <v>95.4545454545455</v>
      </c>
      <c r="M63" s="324" t="n">
        <v>3</v>
      </c>
      <c r="N63" s="327" t="n">
        <v>1</v>
      </c>
      <c r="O63" s="88" t="n">
        <f aca="false">IF(M63=1,1,0)</f>
        <v>0</v>
      </c>
      <c r="P63" s="88" t="n">
        <f aca="false">IF(M63=2,1,0)</f>
        <v>0</v>
      </c>
      <c r="Q63" s="88" t="n">
        <f aca="false">IF(M63=3,1,0)</f>
        <v>1</v>
      </c>
      <c r="R63" s="87" t="n">
        <f aca="false">IF(M63=4,1,0)</f>
        <v>0</v>
      </c>
      <c r="S63" s="350"/>
      <c r="T63" s="134"/>
      <c r="U63" s="39"/>
    </row>
    <row r="64" customFormat="false" ht="20.1" hidden="false" customHeight="true" outlineLevel="0" collapsed="false">
      <c r="B64" s="39"/>
      <c r="C64" s="134"/>
      <c r="D64" s="351"/>
      <c r="E64" s="89" t="s">
        <v>27</v>
      </c>
      <c r="F64" s="599" t="s">
        <v>207</v>
      </c>
      <c r="G64" s="91" t="n">
        <v>4</v>
      </c>
      <c r="H64" s="91" t="s">
        <v>234</v>
      </c>
      <c r="I64" s="91" t="n">
        <v>0</v>
      </c>
      <c r="J64" s="91" t="n">
        <v>242</v>
      </c>
      <c r="K64" s="91" t="s">
        <v>46</v>
      </c>
      <c r="L64" s="92" t="n">
        <f aca="false">IF(J64="",0,(J64/J65)*100)</f>
        <v>100</v>
      </c>
      <c r="M64" s="91" t="n">
        <v>1</v>
      </c>
      <c r="N64" s="394" t="n">
        <v>6</v>
      </c>
      <c r="O64" s="95" t="n">
        <f aca="false">IF(M64=1,1,0)</f>
        <v>1</v>
      </c>
      <c r="P64" s="95" t="n">
        <f aca="false">IF(M64=2,1,0)</f>
        <v>0</v>
      </c>
      <c r="Q64" s="95" t="n">
        <f aca="false">IF(M64=3,1,0)</f>
        <v>0</v>
      </c>
      <c r="R64" s="117" t="n">
        <f aca="false">IF(M64=4,1,0)</f>
        <v>0</v>
      </c>
      <c r="S64" s="350"/>
      <c r="T64" s="134"/>
      <c r="U64" s="39"/>
    </row>
    <row r="65" customFormat="false" ht="20.1" hidden="true" customHeight="true" outlineLevel="1" collapsed="false">
      <c r="B65" s="39"/>
      <c r="C65" s="134"/>
      <c r="D65" s="349"/>
      <c r="E65" s="349"/>
      <c r="F65" s="350"/>
      <c r="G65" s="350"/>
      <c r="H65" s="134"/>
      <c r="I65" s="331" t="s">
        <v>62</v>
      </c>
      <c r="J65" s="98" t="n">
        <f aca="false">MAX(J61:J64)</f>
        <v>242</v>
      </c>
      <c r="K65" s="353"/>
      <c r="L65" s="350"/>
      <c r="M65" s="134"/>
      <c r="N65" s="333" t="s">
        <v>63</v>
      </c>
      <c r="O65" s="102" t="n">
        <f aca="false">SUM(O61:O64)</f>
        <v>1</v>
      </c>
      <c r="P65" s="103" t="n">
        <f aca="false">SUM(P61:P64)</f>
        <v>1</v>
      </c>
      <c r="Q65" s="102" t="n">
        <f aca="false">SUM(Q61:Q64)</f>
        <v>1</v>
      </c>
      <c r="R65" s="104" t="n">
        <f aca="false">SUM(R61:R64)</f>
        <v>1</v>
      </c>
      <c r="S65" s="354"/>
      <c r="T65" s="134"/>
      <c r="U65" s="39"/>
    </row>
    <row r="66" customFormat="false" ht="20.1" hidden="false" customHeight="true" outlineLevel="0" collapsed="false">
      <c r="B66" s="39"/>
      <c r="C66" s="134"/>
      <c r="D66" s="137"/>
      <c r="E66" s="137"/>
      <c r="F66" s="134"/>
      <c r="G66" s="134"/>
      <c r="H66" s="134"/>
      <c r="I66" s="134"/>
      <c r="J66" s="134"/>
      <c r="K66" s="134"/>
      <c r="L66" s="134"/>
      <c r="M66" s="134"/>
      <c r="N66" s="134"/>
      <c r="O66" s="134"/>
      <c r="P66" s="134"/>
      <c r="Q66" s="134"/>
      <c r="R66" s="134"/>
      <c r="S66" s="134"/>
      <c r="T66" s="134"/>
      <c r="U66" s="39"/>
    </row>
    <row r="67" customFormat="false" ht="20.1" hidden="false" customHeight="true" outlineLevel="0" collapsed="false">
      <c r="B67" s="39"/>
      <c r="D67" s="138"/>
      <c r="E67" s="138"/>
      <c r="F67" s="138"/>
      <c r="G67" s="138"/>
      <c r="H67" s="138"/>
      <c r="I67" s="138"/>
      <c r="J67" s="138"/>
      <c r="K67" s="36"/>
      <c r="L67" s="36"/>
      <c r="M67" s="36"/>
      <c r="N67" s="36"/>
      <c r="O67" s="36"/>
      <c r="P67" s="36"/>
      <c r="Q67" s="36"/>
      <c r="R67" s="36"/>
      <c r="S67" s="36"/>
      <c r="U67" s="39"/>
    </row>
    <row r="68" customFormat="false" ht="30" hidden="false" customHeight="true" outlineLevel="0" collapsed="false">
      <c r="B68" s="39"/>
      <c r="C68" s="139"/>
      <c r="D68" s="140" t="s">
        <v>156</v>
      </c>
      <c r="E68" s="140"/>
      <c r="F68" s="140"/>
      <c r="G68" s="140"/>
      <c r="H68" s="140"/>
      <c r="I68" s="140"/>
      <c r="J68" s="140"/>
      <c r="K68" s="140"/>
      <c r="L68" s="140"/>
      <c r="M68" s="140"/>
      <c r="N68" s="140"/>
      <c r="O68" s="140"/>
      <c r="P68" s="140"/>
      <c r="Q68" s="140"/>
      <c r="R68" s="140"/>
      <c r="S68" s="140"/>
      <c r="T68" s="139"/>
      <c r="U68" s="39"/>
    </row>
    <row r="69" customFormat="false" ht="50.1" hidden="false" customHeight="true" outlineLevel="0" collapsed="false">
      <c r="B69" s="39"/>
      <c r="C69" s="139"/>
      <c r="D69" s="356" t="s">
        <v>36</v>
      </c>
      <c r="E69" s="357" t="s">
        <v>218</v>
      </c>
      <c r="F69" s="358" t="s">
        <v>57</v>
      </c>
      <c r="G69" s="146" t="s">
        <v>236</v>
      </c>
      <c r="H69" s="143" t="s">
        <v>237</v>
      </c>
      <c r="I69" s="143"/>
      <c r="J69" s="488" t="s">
        <v>238</v>
      </c>
      <c r="K69" s="359" t="s">
        <v>65</v>
      </c>
      <c r="L69" s="358" t="s">
        <v>66</v>
      </c>
      <c r="M69" s="359" t="s">
        <v>67</v>
      </c>
      <c r="N69" s="358" t="s">
        <v>68</v>
      </c>
      <c r="O69" s="600"/>
      <c r="P69" s="601"/>
      <c r="Q69" s="601"/>
      <c r="R69" s="601"/>
      <c r="S69" s="357" t="s">
        <v>69</v>
      </c>
      <c r="T69" s="139"/>
      <c r="U69" s="39"/>
    </row>
    <row r="70" customFormat="false" ht="20.1" hidden="false" customHeight="true" outlineLevel="0" collapsed="false">
      <c r="B70" s="39"/>
      <c r="C70" s="139"/>
      <c r="D70" s="602" t="s">
        <v>27</v>
      </c>
      <c r="E70" s="603" t="s">
        <v>207</v>
      </c>
      <c r="F70" s="604" t="n">
        <f aca="false">(K70*6+L70*3+M70*1+N70*0)</f>
        <v>15</v>
      </c>
      <c r="G70" s="604" t="n">
        <v>0</v>
      </c>
      <c r="H70" s="605" t="s">
        <v>46</v>
      </c>
      <c r="I70" s="605"/>
      <c r="J70" s="604" t="n">
        <f aca="false">F70+G70</f>
        <v>15</v>
      </c>
      <c r="K70" s="604" t="n">
        <v>2</v>
      </c>
      <c r="L70" s="604" t="n">
        <v>1</v>
      </c>
      <c r="M70" s="604" t="n">
        <v>0</v>
      </c>
      <c r="N70" s="604" t="n">
        <v>1</v>
      </c>
      <c r="O70" s="606"/>
      <c r="P70" s="606"/>
      <c r="Q70" s="606"/>
      <c r="R70" s="606"/>
      <c r="S70" s="607" t="n">
        <f aca="false">($L$37+$L$46+$L$55+$L$64)/4</f>
        <v>94.9210882700188</v>
      </c>
      <c r="T70" s="139"/>
      <c r="U70" s="39"/>
      <c r="W70" s="608"/>
      <c r="X70" s="608"/>
      <c r="Y70" s="608"/>
      <c r="Z70" s="608"/>
    </row>
    <row r="71" customFormat="false" ht="20.1" hidden="false" customHeight="true" outlineLevel="0" collapsed="false">
      <c r="B71" s="39"/>
      <c r="C71" s="139"/>
      <c r="D71" s="365" t="s">
        <v>14</v>
      </c>
      <c r="E71" s="609" t="s">
        <v>15</v>
      </c>
      <c r="F71" s="158" t="n">
        <f aca="false">(K71*6+L71*3+M71*1+N71*0)</f>
        <v>10</v>
      </c>
      <c r="G71" s="158" t="n">
        <v>0</v>
      </c>
      <c r="H71" s="610" t="s">
        <v>46</v>
      </c>
      <c r="I71" s="610"/>
      <c r="J71" s="158" t="n">
        <f aca="false">F71+G71</f>
        <v>10</v>
      </c>
      <c r="K71" s="158" t="n">
        <v>1</v>
      </c>
      <c r="L71" s="158" t="n">
        <v>1</v>
      </c>
      <c r="M71" s="158" t="n">
        <v>1</v>
      </c>
      <c r="N71" s="158" t="n">
        <v>1</v>
      </c>
      <c r="O71" s="158"/>
      <c r="P71" s="158"/>
      <c r="Q71" s="158"/>
      <c r="R71" s="158"/>
      <c r="S71" s="159" t="n">
        <f aca="false">($L$34+$L$43+$L$52+$L$61)/4</f>
        <v>93.8812301780216</v>
      </c>
      <c r="T71" s="139"/>
      <c r="U71" s="39"/>
      <c r="W71" s="167"/>
      <c r="X71" s="167"/>
      <c r="Y71" s="167"/>
      <c r="Z71" s="167"/>
    </row>
    <row r="72" customFormat="false" ht="20.1" hidden="false" customHeight="true" outlineLevel="0" collapsed="false">
      <c r="B72" s="39"/>
      <c r="C72" s="139"/>
      <c r="D72" s="365" t="s">
        <v>20</v>
      </c>
      <c r="E72" s="609" t="s">
        <v>21</v>
      </c>
      <c r="F72" s="158" t="n">
        <f aca="false">(K72*6+L72*3+M72*1+N72*0)</f>
        <v>9</v>
      </c>
      <c r="G72" s="158" t="n">
        <v>0</v>
      </c>
      <c r="H72" s="610" t="s">
        <v>46</v>
      </c>
      <c r="I72" s="610"/>
      <c r="J72" s="158" t="n">
        <f aca="false">F72+G72</f>
        <v>9</v>
      </c>
      <c r="K72" s="158" t="n">
        <v>1</v>
      </c>
      <c r="L72" s="158" t="n">
        <v>0</v>
      </c>
      <c r="M72" s="158" t="n">
        <v>3</v>
      </c>
      <c r="N72" s="158" t="n">
        <v>0</v>
      </c>
      <c r="O72" s="158"/>
      <c r="P72" s="158"/>
      <c r="Q72" s="158"/>
      <c r="R72" s="158"/>
      <c r="S72" s="159" t="n">
        <f aca="false">($L$36+$L$45+$L$54+$L$63)/4</f>
        <v>95.3709893048128</v>
      </c>
      <c r="T72" s="139"/>
      <c r="U72" s="39"/>
      <c r="W72" s="167"/>
      <c r="X72" s="167"/>
      <c r="Y72" s="167"/>
      <c r="Z72" s="167"/>
    </row>
    <row r="73" customFormat="false" ht="20.1" hidden="false" customHeight="true" outlineLevel="0" collapsed="false">
      <c r="B73" s="39"/>
      <c r="C73" s="139"/>
      <c r="D73" s="368" t="s">
        <v>7</v>
      </c>
      <c r="E73" s="611" t="s">
        <v>8</v>
      </c>
      <c r="F73" s="427" t="n">
        <f aca="false">(K73*6+L73*3+M73*1+N73*0)</f>
        <v>6</v>
      </c>
      <c r="G73" s="427" t="n">
        <v>0</v>
      </c>
      <c r="H73" s="612" t="s">
        <v>46</v>
      </c>
      <c r="I73" s="612"/>
      <c r="J73" s="427" t="n">
        <f aca="false">F73+G73</f>
        <v>6</v>
      </c>
      <c r="K73" s="427" t="n">
        <v>0</v>
      </c>
      <c r="L73" s="427" t="n">
        <v>2</v>
      </c>
      <c r="M73" s="427" t="n">
        <v>0</v>
      </c>
      <c r="N73" s="427" t="n">
        <v>2</v>
      </c>
      <c r="O73" s="212"/>
      <c r="P73" s="212"/>
      <c r="Q73" s="212"/>
      <c r="R73" s="212"/>
      <c r="S73" s="613" t="n">
        <f aca="false">($L$35+$L$44+$L$53+$L$62)/4</f>
        <v>88.72860094451</v>
      </c>
      <c r="T73" s="139"/>
      <c r="U73" s="39"/>
      <c r="W73" s="167"/>
      <c r="X73" s="167"/>
      <c r="Y73" s="167"/>
      <c r="Z73" s="167"/>
      <c r="AB73" s="167"/>
      <c r="AC73" s="167"/>
      <c r="AD73" s="167"/>
      <c r="AE73" s="167"/>
    </row>
    <row r="74" customFormat="false" ht="20.1" hidden="false" customHeight="true" outlineLevel="0" collapsed="false">
      <c r="B74" s="39"/>
      <c r="C74" s="139"/>
      <c r="D74" s="168"/>
      <c r="E74" s="168"/>
      <c r="F74" s="153"/>
      <c r="G74" s="153"/>
      <c r="H74" s="153"/>
      <c r="I74" s="153"/>
      <c r="J74" s="153"/>
      <c r="K74" s="153"/>
      <c r="L74" s="153"/>
      <c r="M74" s="153"/>
      <c r="N74" s="153"/>
      <c r="O74" s="153"/>
      <c r="P74" s="153"/>
      <c r="Q74" s="153"/>
      <c r="R74" s="153"/>
      <c r="S74" s="153"/>
      <c r="T74" s="139"/>
      <c r="U74" s="39"/>
      <c r="W74" s="167"/>
      <c r="X74" s="167"/>
      <c r="Y74" s="167"/>
      <c r="Z74" s="167"/>
    </row>
    <row r="75" customFormat="false" ht="20.1" hidden="false" customHeight="true" outlineLevel="0" collapsed="false">
      <c r="B75" s="39"/>
      <c r="C75" s="139"/>
      <c r="D75" s="168"/>
      <c r="E75" s="168"/>
      <c r="F75" s="153"/>
      <c r="G75" s="153"/>
      <c r="H75" s="153"/>
      <c r="I75" s="153"/>
      <c r="J75" s="153"/>
      <c r="K75" s="360"/>
      <c r="L75" s="614"/>
      <c r="M75" s="360"/>
      <c r="N75" s="614"/>
      <c r="O75" s="153"/>
      <c r="P75" s="153"/>
      <c r="Q75" s="153"/>
      <c r="R75" s="153"/>
      <c r="S75" s="153"/>
      <c r="T75" s="139"/>
      <c r="U75" s="39"/>
      <c r="W75" s="167"/>
      <c r="X75" s="167"/>
      <c r="Y75" s="167"/>
      <c r="Z75" s="167"/>
    </row>
    <row r="76" customFormat="false" ht="20.1" hidden="false" customHeight="true" outlineLevel="0" collapsed="false">
      <c r="B76" s="39"/>
      <c r="C76" s="139"/>
      <c r="D76" s="168"/>
      <c r="E76" s="168"/>
      <c r="F76" s="153"/>
      <c r="G76" s="153"/>
      <c r="H76" s="153"/>
      <c r="I76" s="153"/>
      <c r="J76" s="153"/>
      <c r="K76" s="153"/>
      <c r="L76" s="153"/>
      <c r="M76" s="153"/>
      <c r="N76" s="153"/>
      <c r="O76" s="153"/>
      <c r="P76" s="153"/>
      <c r="Q76" s="153"/>
      <c r="R76" s="153"/>
      <c r="S76" s="153"/>
      <c r="T76" s="139"/>
      <c r="U76" s="39"/>
      <c r="W76" s="167"/>
      <c r="X76" s="167"/>
      <c r="Y76" s="167"/>
      <c r="Z76" s="167"/>
    </row>
    <row r="77" customFormat="false" ht="20.1" hidden="false" customHeight="true" outlineLevel="0" collapsed="false">
      <c r="B77" s="39"/>
      <c r="C77" s="39"/>
      <c r="D77" s="169"/>
      <c r="E77" s="169"/>
      <c r="F77" s="129"/>
      <c r="G77" s="129"/>
      <c r="H77" s="169"/>
      <c r="I77" s="169"/>
      <c r="J77" s="169"/>
      <c r="K77" s="131"/>
      <c r="L77" s="131"/>
      <c r="M77" s="131"/>
      <c r="N77" s="131"/>
      <c r="O77" s="131"/>
      <c r="P77" s="131"/>
      <c r="Q77" s="131"/>
      <c r="R77" s="131"/>
      <c r="S77" s="131"/>
      <c r="T77" s="39"/>
      <c r="U77" s="39"/>
    </row>
    <row r="78" customFormat="false" ht="20.1" hidden="false" customHeight="true" outlineLevel="0" collapsed="false">
      <c r="D78" s="170"/>
      <c r="O78" s="36"/>
      <c r="P78" s="36"/>
      <c r="Q78" s="36"/>
      <c r="R78" s="36"/>
      <c r="S78" s="36"/>
    </row>
    <row r="79" customFormat="false" ht="20.1" hidden="false" customHeight="true" outlineLevel="0" collapsed="false">
      <c r="D79" s="171"/>
      <c r="O79" s="36"/>
      <c r="P79" s="36"/>
      <c r="Q79" s="36"/>
      <c r="R79" s="36"/>
      <c r="S79" s="36"/>
    </row>
    <row r="80" customFormat="false" ht="20.1" hidden="false" customHeight="true" outlineLevel="0" collapsed="false">
      <c r="B80" s="39"/>
      <c r="C80" s="39"/>
      <c r="D80" s="40"/>
      <c r="E80" s="40"/>
      <c r="F80" s="40"/>
      <c r="G80" s="40"/>
      <c r="H80" s="39"/>
      <c r="I80" s="39"/>
      <c r="J80" s="39"/>
      <c r="K80" s="39"/>
      <c r="L80" s="39"/>
      <c r="M80" s="39"/>
      <c r="N80" s="39"/>
      <c r="O80" s="39"/>
      <c r="P80" s="39"/>
      <c r="Q80" s="39"/>
      <c r="R80" s="39"/>
      <c r="S80" s="39"/>
      <c r="T80" s="39"/>
      <c r="U80" s="39"/>
    </row>
    <row r="81" customFormat="false" ht="31.5" hidden="false" customHeight="false" outlineLevel="0" collapsed="false">
      <c r="B81" s="39"/>
      <c r="C81" s="442" t="s">
        <v>125</v>
      </c>
      <c r="D81" s="442"/>
      <c r="E81" s="442"/>
      <c r="F81" s="442"/>
      <c r="G81" s="442"/>
      <c r="H81" s="442"/>
      <c r="I81" s="442"/>
      <c r="J81" s="442"/>
      <c r="K81" s="442"/>
      <c r="L81" s="442"/>
      <c r="M81" s="442"/>
      <c r="N81" s="442"/>
      <c r="O81" s="442"/>
      <c r="P81" s="442"/>
      <c r="Q81" s="442"/>
      <c r="R81" s="442"/>
      <c r="S81" s="442"/>
      <c r="T81" s="442"/>
      <c r="U81" s="39"/>
    </row>
    <row r="82" customFormat="false" ht="15.75" hidden="false" customHeight="false" outlineLevel="0" collapsed="false">
      <c r="B82" s="39"/>
      <c r="D82" s="36"/>
      <c r="E82" s="36"/>
      <c r="U82" s="39"/>
    </row>
    <row r="83" customFormat="false" ht="20.1" hidden="false" customHeight="true" outlineLevel="0" collapsed="false">
      <c r="B83" s="39"/>
      <c r="D83" s="615" t="s">
        <v>36</v>
      </c>
      <c r="E83" s="266" t="s">
        <v>239</v>
      </c>
      <c r="F83" s="294" t="s">
        <v>6</v>
      </c>
      <c r="G83" s="616" t="s">
        <v>110</v>
      </c>
      <c r="H83" s="616"/>
      <c r="I83" s="616"/>
      <c r="J83" s="616"/>
      <c r="K83" s="264" t="s">
        <v>71</v>
      </c>
      <c r="L83" s="266" t="s">
        <v>40</v>
      </c>
      <c r="M83" s="266"/>
      <c r="N83" s="266"/>
      <c r="O83" s="266"/>
      <c r="P83" s="266"/>
      <c r="Q83" s="266"/>
      <c r="R83" s="266"/>
      <c r="S83" s="266"/>
      <c r="U83" s="39"/>
    </row>
    <row r="84" customFormat="false" ht="20.1" hidden="false" customHeight="true" outlineLevel="0" collapsed="false">
      <c r="B84" s="39"/>
      <c r="D84" s="615"/>
      <c r="E84" s="266"/>
      <c r="F84" s="294"/>
      <c r="G84" s="268" t="s">
        <v>111</v>
      </c>
      <c r="H84" s="267" t="s">
        <v>41</v>
      </c>
      <c r="I84" s="294" t="s">
        <v>42</v>
      </c>
      <c r="J84" s="294"/>
      <c r="K84" s="267" t="s">
        <v>43</v>
      </c>
      <c r="L84" s="372" t="s">
        <v>111</v>
      </c>
      <c r="M84" s="270" t="s">
        <v>44</v>
      </c>
      <c r="N84" s="384" t="s">
        <v>42</v>
      </c>
      <c r="O84" s="384"/>
      <c r="P84" s="384"/>
      <c r="Q84" s="384"/>
      <c r="R84" s="384"/>
      <c r="S84" s="384"/>
      <c r="U84" s="39"/>
    </row>
    <row r="85" customFormat="false" ht="20.1" hidden="false" customHeight="true" outlineLevel="0" collapsed="false">
      <c r="B85" s="39"/>
      <c r="D85" s="617" t="s">
        <v>31</v>
      </c>
      <c r="E85" s="243" t="s">
        <v>32</v>
      </c>
      <c r="F85" s="54" t="n">
        <v>1</v>
      </c>
      <c r="G85" s="272" t="s">
        <v>85</v>
      </c>
      <c r="H85" s="586" t="s">
        <v>240</v>
      </c>
      <c r="I85" s="618" t="s">
        <v>46</v>
      </c>
      <c r="J85" s="618"/>
      <c r="K85" s="619" t="s">
        <v>50</v>
      </c>
      <c r="L85" s="272" t="s">
        <v>46</v>
      </c>
      <c r="M85" s="276" t="s">
        <v>46</v>
      </c>
      <c r="N85" s="444" t="s">
        <v>46</v>
      </c>
      <c r="O85" s="444"/>
      <c r="P85" s="444"/>
      <c r="Q85" s="444"/>
      <c r="R85" s="444"/>
      <c r="S85" s="444"/>
      <c r="U85" s="39"/>
    </row>
    <row r="86" customFormat="false" ht="65.1" hidden="false" customHeight="true" outlineLevel="0" collapsed="false">
      <c r="B86" s="39"/>
      <c r="D86" s="13" t="s">
        <v>10</v>
      </c>
      <c r="E86" s="237" t="s">
        <v>11</v>
      </c>
      <c r="F86" s="62" t="n">
        <v>2</v>
      </c>
      <c r="G86" s="278" t="s">
        <v>114</v>
      </c>
      <c r="H86" s="620" t="s">
        <v>241</v>
      </c>
      <c r="I86" s="449" t="s">
        <v>242</v>
      </c>
      <c r="J86" s="449"/>
      <c r="K86" s="621" t="s">
        <v>221</v>
      </c>
      <c r="L86" s="278" t="s">
        <v>46</v>
      </c>
      <c r="M86" s="282" t="s">
        <v>46</v>
      </c>
      <c r="N86" s="447" t="s">
        <v>46</v>
      </c>
      <c r="O86" s="447"/>
      <c r="P86" s="447"/>
      <c r="Q86" s="447"/>
      <c r="R86" s="447"/>
      <c r="S86" s="447"/>
      <c r="U86" s="39"/>
    </row>
    <row r="87" customFormat="false" ht="20.1" hidden="false" customHeight="true" outlineLevel="0" collapsed="false">
      <c r="B87" s="39"/>
      <c r="D87" s="13" t="s">
        <v>96</v>
      </c>
      <c r="E87" s="622" t="s">
        <v>210</v>
      </c>
      <c r="F87" s="62" t="n">
        <v>3</v>
      </c>
      <c r="G87" s="623" t="s">
        <v>114</v>
      </c>
      <c r="H87" s="624" t="s">
        <v>221</v>
      </c>
      <c r="I87" s="449" t="s">
        <v>46</v>
      </c>
      <c r="J87" s="449"/>
      <c r="K87" s="625" t="s">
        <v>50</v>
      </c>
      <c r="L87" s="278" t="s">
        <v>46</v>
      </c>
      <c r="M87" s="282" t="s">
        <v>46</v>
      </c>
      <c r="N87" s="447" t="s">
        <v>46</v>
      </c>
      <c r="O87" s="447"/>
      <c r="P87" s="447"/>
      <c r="Q87" s="447"/>
      <c r="R87" s="447"/>
      <c r="S87" s="447"/>
      <c r="U87" s="39"/>
    </row>
    <row r="88" customFormat="false" ht="65.1" hidden="false" customHeight="true" outlineLevel="0" collapsed="false">
      <c r="B88" s="39"/>
      <c r="D88" s="29" t="s">
        <v>22</v>
      </c>
      <c r="E88" s="240" t="s">
        <v>23</v>
      </c>
      <c r="F88" s="71" t="n">
        <v>4</v>
      </c>
      <c r="G88" s="287" t="s">
        <v>85</v>
      </c>
      <c r="H88" s="595" t="s">
        <v>243</v>
      </c>
      <c r="I88" s="626" t="s">
        <v>244</v>
      </c>
      <c r="J88" s="626"/>
      <c r="K88" s="627" t="s">
        <v>50</v>
      </c>
      <c r="L88" s="287" t="s">
        <v>46</v>
      </c>
      <c r="M88" s="291" t="s">
        <v>46</v>
      </c>
      <c r="N88" s="450" t="s">
        <v>46</v>
      </c>
      <c r="O88" s="450"/>
      <c r="P88" s="450"/>
      <c r="Q88" s="450"/>
      <c r="R88" s="450"/>
      <c r="S88" s="450"/>
      <c r="U88" s="39"/>
    </row>
    <row r="89" customFormat="false" ht="20.1" hidden="false" customHeight="true" outlineLevel="0" collapsed="false">
      <c r="B89" s="39"/>
      <c r="D89" s="36"/>
      <c r="E89" s="36"/>
      <c r="U89" s="39"/>
    </row>
    <row r="90" customFormat="false" ht="20.1" hidden="false" customHeight="true" outlineLevel="0" collapsed="false">
      <c r="B90" s="39"/>
      <c r="C90" s="76"/>
      <c r="D90" s="76"/>
      <c r="E90" s="77" t="str">
        <f aca="false">IF(OR(L85="-",L85= ""),H85,L85)</f>
        <v>Helios</v>
      </c>
      <c r="F90" s="77"/>
      <c r="G90" s="77"/>
      <c r="H90" s="77"/>
      <c r="I90" s="77"/>
      <c r="J90" s="77"/>
      <c r="K90" s="77"/>
      <c r="L90" s="77"/>
      <c r="M90" s="77"/>
      <c r="N90" s="77"/>
      <c r="O90" s="78"/>
      <c r="P90" s="78"/>
      <c r="Q90" s="78"/>
      <c r="R90" s="78"/>
      <c r="S90" s="78"/>
      <c r="T90" s="76"/>
      <c r="U90" s="39"/>
    </row>
    <row r="91" customFormat="false" ht="50.1" hidden="false" customHeight="true" outlineLevel="0" collapsed="false">
      <c r="B91" s="39"/>
      <c r="C91" s="76"/>
      <c r="D91" s="78"/>
      <c r="E91" s="263" t="s">
        <v>36</v>
      </c>
      <c r="F91" s="597" t="s">
        <v>222</v>
      </c>
      <c r="G91" s="294" t="s">
        <v>52</v>
      </c>
      <c r="H91" s="264" t="s">
        <v>223</v>
      </c>
      <c r="I91" s="81" t="s">
        <v>224</v>
      </c>
      <c r="J91" s="264" t="s">
        <v>225</v>
      </c>
      <c r="K91" s="295" t="s">
        <v>54</v>
      </c>
      <c r="L91" s="264" t="s">
        <v>55</v>
      </c>
      <c r="M91" s="296" t="s">
        <v>56</v>
      </c>
      <c r="N91" s="294" t="s">
        <v>57</v>
      </c>
      <c r="O91" s="43" t="s">
        <v>58</v>
      </c>
      <c r="P91" s="79" t="s">
        <v>59</v>
      </c>
      <c r="Q91" s="79" t="s">
        <v>60</v>
      </c>
      <c r="R91" s="82" t="s">
        <v>61</v>
      </c>
      <c r="S91" s="78"/>
      <c r="T91" s="76"/>
      <c r="U91" s="39"/>
    </row>
    <row r="92" customFormat="false" ht="20.1" hidden="false" customHeight="true" outlineLevel="0" collapsed="false">
      <c r="B92" s="39"/>
      <c r="C92" s="76"/>
      <c r="D92" s="306"/>
      <c r="E92" s="180" t="s">
        <v>31</v>
      </c>
      <c r="F92" s="521" t="s">
        <v>32</v>
      </c>
      <c r="G92" s="504" t="s">
        <v>162</v>
      </c>
      <c r="H92" s="182" t="s">
        <v>46</v>
      </c>
      <c r="I92" s="182" t="n">
        <v>0</v>
      </c>
      <c r="J92" s="182" t="n">
        <v>154</v>
      </c>
      <c r="K92" s="182" t="s">
        <v>46</v>
      </c>
      <c r="L92" s="183" t="n">
        <f aca="false">IF(J92="",0,(J92/J96)*100)</f>
        <v>100</v>
      </c>
      <c r="M92" s="182" t="n">
        <v>1</v>
      </c>
      <c r="N92" s="300" t="n">
        <v>6</v>
      </c>
      <c r="O92" s="301" t="n">
        <f aca="false">IF(M92=1,1,0)</f>
        <v>1</v>
      </c>
      <c r="P92" s="85" t="n">
        <f aca="false">IF(M92=2,1,0)</f>
        <v>0</v>
      </c>
      <c r="Q92" s="85" t="n">
        <f aca="false">IF(M92=3,1,0)</f>
        <v>0</v>
      </c>
      <c r="R92" s="84" t="n">
        <f aca="false">IF(M92=4,1,0)</f>
        <v>0</v>
      </c>
      <c r="S92" s="302"/>
      <c r="T92" s="76"/>
      <c r="U92" s="39"/>
    </row>
    <row r="93" customFormat="false" ht="20.1" hidden="false" customHeight="true" outlineLevel="0" collapsed="false">
      <c r="B93" s="39"/>
      <c r="C93" s="76"/>
      <c r="D93" s="297"/>
      <c r="E93" s="13" t="s">
        <v>10</v>
      </c>
      <c r="F93" s="237" t="s">
        <v>11</v>
      </c>
      <c r="G93" s="628" t="s">
        <v>164</v>
      </c>
      <c r="H93" s="324" t="s">
        <v>46</v>
      </c>
      <c r="I93" s="324" t="n">
        <v>0</v>
      </c>
      <c r="J93" s="324" t="n">
        <v>109</v>
      </c>
      <c r="K93" s="325" t="s">
        <v>46</v>
      </c>
      <c r="L93" s="341" t="n">
        <f aca="false">IF(J93="",0,(J93/J96)*100)</f>
        <v>70.7792207792208</v>
      </c>
      <c r="M93" s="324" t="n">
        <v>2</v>
      </c>
      <c r="N93" s="327" t="n">
        <v>3</v>
      </c>
      <c r="O93" s="305" t="n">
        <f aca="false">IF(M93=1,1,0)</f>
        <v>0</v>
      </c>
      <c r="P93" s="88" t="n">
        <f aca="false">IF(M93=2,1,0)</f>
        <v>1</v>
      </c>
      <c r="Q93" s="88" t="n">
        <f aca="false">IF(M93=3,1,0)</f>
        <v>0</v>
      </c>
      <c r="R93" s="87" t="n">
        <f aca="false">IF(M93=4,1,0)</f>
        <v>0</v>
      </c>
      <c r="S93" s="302"/>
      <c r="T93" s="76"/>
      <c r="U93" s="39"/>
    </row>
    <row r="94" customFormat="false" ht="20.1" hidden="false" customHeight="true" outlineLevel="0" collapsed="false">
      <c r="B94" s="39"/>
      <c r="C94" s="76"/>
      <c r="D94" s="297"/>
      <c r="E94" s="13" t="s">
        <v>96</v>
      </c>
      <c r="F94" s="237" t="s">
        <v>210</v>
      </c>
      <c r="G94" s="628" t="s">
        <v>161</v>
      </c>
      <c r="H94" s="324" t="s">
        <v>46</v>
      </c>
      <c r="I94" s="324" t="n">
        <v>0</v>
      </c>
      <c r="J94" s="324" t="n">
        <v>80</v>
      </c>
      <c r="K94" s="324" t="s">
        <v>46</v>
      </c>
      <c r="L94" s="341" t="n">
        <f aca="false">IF(J94="",0,(J94/J96)*100)</f>
        <v>51.9480519480519</v>
      </c>
      <c r="M94" s="324" t="n">
        <v>4</v>
      </c>
      <c r="N94" s="327" t="n">
        <v>0</v>
      </c>
      <c r="O94" s="305" t="n">
        <f aca="false">IF(M94=1,1,0)</f>
        <v>0</v>
      </c>
      <c r="P94" s="88" t="n">
        <f aca="false">IF(M94=2,1,0)</f>
        <v>0</v>
      </c>
      <c r="Q94" s="88" t="n">
        <f aca="false">IF(M94=3,1,0)</f>
        <v>0</v>
      </c>
      <c r="R94" s="87" t="n">
        <f aca="false">IF(M94=4,1,0)</f>
        <v>1</v>
      </c>
      <c r="S94" s="302"/>
      <c r="T94" s="76"/>
      <c r="U94" s="39"/>
    </row>
    <row r="95" customFormat="false" ht="20.1" hidden="false" customHeight="true" outlineLevel="0" collapsed="false">
      <c r="B95" s="39"/>
      <c r="C95" s="76"/>
      <c r="D95" s="297"/>
      <c r="E95" s="29" t="s">
        <v>22</v>
      </c>
      <c r="F95" s="240" t="s">
        <v>23</v>
      </c>
      <c r="G95" s="629" t="s">
        <v>163</v>
      </c>
      <c r="H95" s="186" t="s">
        <v>46</v>
      </c>
      <c r="I95" s="186" t="n">
        <v>0</v>
      </c>
      <c r="J95" s="186" t="n">
        <v>93</v>
      </c>
      <c r="K95" s="352" t="s">
        <v>46</v>
      </c>
      <c r="L95" s="116" t="n">
        <f aca="false">IF(J95="",0,(J95/J96)*100)</f>
        <v>60.3896103896104</v>
      </c>
      <c r="M95" s="186" t="n">
        <v>3</v>
      </c>
      <c r="N95" s="309" t="n">
        <v>1</v>
      </c>
      <c r="O95" s="310" t="n">
        <f aca="false">IF(M95=1,1,0)</f>
        <v>0</v>
      </c>
      <c r="P95" s="95" t="n">
        <f aca="false">IF(M95=2,1,0)</f>
        <v>0</v>
      </c>
      <c r="Q95" s="95" t="n">
        <f aca="false">IF(M95=3,1,0)</f>
        <v>1</v>
      </c>
      <c r="R95" s="117" t="n">
        <f aca="false">IF(M95=4,1,0)</f>
        <v>0</v>
      </c>
      <c r="S95" s="302"/>
      <c r="T95" s="76"/>
      <c r="U95" s="39"/>
    </row>
    <row r="96" customFormat="false" ht="20.1" hidden="true" customHeight="true" outlineLevel="1" collapsed="false">
      <c r="B96" s="39"/>
      <c r="C96" s="76"/>
      <c r="D96" s="306"/>
      <c r="E96" s="306"/>
      <c r="F96" s="302"/>
      <c r="G96" s="302"/>
      <c r="H96" s="76"/>
      <c r="I96" s="345" t="s">
        <v>62</v>
      </c>
      <c r="J96" s="98" t="n">
        <f aca="false">MAX(J92:J95)</f>
        <v>154</v>
      </c>
      <c r="K96" s="396"/>
      <c r="L96" s="316"/>
      <c r="M96" s="76"/>
      <c r="N96" s="333" t="s">
        <v>63</v>
      </c>
      <c r="O96" s="102" t="n">
        <f aca="false">SUM(O92:O95)</f>
        <v>1</v>
      </c>
      <c r="P96" s="103" t="n">
        <f aca="false">SUM(P92:P95)</f>
        <v>1</v>
      </c>
      <c r="Q96" s="102" t="n">
        <f aca="false">SUM(Q92:Q95)</f>
        <v>1</v>
      </c>
      <c r="R96" s="104" t="n">
        <f aca="false">SUM(R92:R95)</f>
        <v>1</v>
      </c>
      <c r="S96" s="316"/>
      <c r="T96" s="76"/>
      <c r="U96" s="39"/>
    </row>
    <row r="97" customFormat="false" ht="20.1" hidden="false" customHeight="true" outlineLevel="0" collapsed="false">
      <c r="B97" s="39"/>
      <c r="C97" s="76"/>
      <c r="D97" s="105"/>
      <c r="E97" s="105"/>
      <c r="F97" s="76"/>
      <c r="G97" s="76"/>
      <c r="H97" s="76"/>
      <c r="I97" s="76"/>
      <c r="J97" s="76"/>
      <c r="K97" s="76"/>
      <c r="L97" s="76"/>
      <c r="M97" s="76"/>
      <c r="N97" s="76"/>
      <c r="O97" s="76"/>
      <c r="P97" s="76"/>
      <c r="Q97" s="76"/>
      <c r="R97" s="76"/>
      <c r="S97" s="76"/>
      <c r="T97" s="76"/>
      <c r="U97" s="39"/>
    </row>
    <row r="98" customFormat="false" ht="20.1" hidden="false" customHeight="true" outlineLevel="0" collapsed="false">
      <c r="B98" s="39"/>
      <c r="U98" s="39"/>
    </row>
    <row r="99" customFormat="false" ht="20.1" hidden="false" customHeight="true" outlineLevel="0" collapsed="false">
      <c r="B99" s="39"/>
      <c r="C99" s="107"/>
      <c r="D99" s="107"/>
      <c r="E99" s="108" t="str">
        <f aca="false">IF(OR(L86="-",L86= ""),H86,L86)</f>
        <v>Teotihuacan: Die Stadt 
der Götter</v>
      </c>
      <c r="F99" s="108"/>
      <c r="G99" s="108"/>
      <c r="H99" s="108"/>
      <c r="I99" s="108"/>
      <c r="J99" s="108"/>
      <c r="K99" s="108"/>
      <c r="L99" s="108"/>
      <c r="M99" s="108"/>
      <c r="N99" s="108"/>
      <c r="O99" s="109"/>
      <c r="P99" s="109"/>
      <c r="Q99" s="109"/>
      <c r="R99" s="109"/>
      <c r="S99" s="109"/>
      <c r="T99" s="107"/>
      <c r="U99" s="39"/>
    </row>
    <row r="100" customFormat="false" ht="50.1" hidden="false" customHeight="true" outlineLevel="0" collapsed="false">
      <c r="B100" s="39"/>
      <c r="C100" s="107"/>
      <c r="D100" s="109"/>
      <c r="E100" s="263" t="s">
        <v>36</v>
      </c>
      <c r="F100" s="597" t="s">
        <v>222</v>
      </c>
      <c r="G100" s="294" t="s">
        <v>52</v>
      </c>
      <c r="H100" s="264" t="s">
        <v>223</v>
      </c>
      <c r="I100" s="81" t="s">
        <v>224</v>
      </c>
      <c r="J100" s="264" t="s">
        <v>225</v>
      </c>
      <c r="K100" s="295" t="s">
        <v>54</v>
      </c>
      <c r="L100" s="264" t="s">
        <v>55</v>
      </c>
      <c r="M100" s="296" t="s">
        <v>56</v>
      </c>
      <c r="N100" s="294" t="s">
        <v>57</v>
      </c>
      <c r="O100" s="43" t="s">
        <v>58</v>
      </c>
      <c r="P100" s="79" t="s">
        <v>59</v>
      </c>
      <c r="Q100" s="79" t="s">
        <v>60</v>
      </c>
      <c r="R100" s="82" t="s">
        <v>61</v>
      </c>
      <c r="S100" s="109"/>
      <c r="T100" s="107"/>
      <c r="U100" s="39"/>
    </row>
    <row r="101" customFormat="false" ht="20.1" hidden="false" customHeight="true" outlineLevel="0" collapsed="false">
      <c r="B101" s="39"/>
      <c r="C101" s="107"/>
      <c r="D101" s="323"/>
      <c r="E101" s="6" t="s">
        <v>31</v>
      </c>
      <c r="F101" s="229" t="s">
        <v>32</v>
      </c>
      <c r="G101" s="386" t="s">
        <v>161</v>
      </c>
      <c r="H101" s="387" t="s">
        <v>46</v>
      </c>
      <c r="I101" s="387" t="n">
        <v>0</v>
      </c>
      <c r="J101" s="387" t="n">
        <v>192</v>
      </c>
      <c r="K101" s="387" t="s">
        <v>46</v>
      </c>
      <c r="L101" s="388" t="n">
        <f aca="false">IF(J101="",0,(J101/J105)*100)</f>
        <v>99.4818652849741</v>
      </c>
      <c r="M101" s="387" t="n">
        <v>2</v>
      </c>
      <c r="N101" s="389" t="n">
        <v>3</v>
      </c>
      <c r="O101" s="301" t="n">
        <f aca="false">IF(M101=1,1,0)</f>
        <v>0</v>
      </c>
      <c r="P101" s="85" t="n">
        <f aca="false">IF(M101=2,1,0)</f>
        <v>1</v>
      </c>
      <c r="Q101" s="85" t="n">
        <f aca="false">IF(M101=3,1,0)</f>
        <v>0</v>
      </c>
      <c r="R101" s="84" t="n">
        <f aca="false">IF(M101=4,1,0)</f>
        <v>0</v>
      </c>
      <c r="S101" s="322"/>
      <c r="T101" s="107"/>
      <c r="U101" s="39"/>
    </row>
    <row r="102" customFormat="false" ht="20.1" hidden="false" customHeight="true" outlineLevel="0" collapsed="false">
      <c r="B102" s="39"/>
      <c r="C102" s="107"/>
      <c r="D102" s="319"/>
      <c r="E102" s="13" t="s">
        <v>10</v>
      </c>
      <c r="F102" s="237" t="s">
        <v>209</v>
      </c>
      <c r="G102" s="628" t="s">
        <v>164</v>
      </c>
      <c r="H102" s="324" t="s">
        <v>46</v>
      </c>
      <c r="I102" s="324" t="n">
        <v>0</v>
      </c>
      <c r="J102" s="324" t="n">
        <v>179</v>
      </c>
      <c r="K102" s="325" t="s">
        <v>46</v>
      </c>
      <c r="L102" s="341" t="n">
        <f aca="false">IF(J102="",0,(J102/J105)*100)</f>
        <v>92.7461139896373</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23"/>
      <c r="E103" s="110" t="s">
        <v>96</v>
      </c>
      <c r="F103" s="598" t="s">
        <v>210</v>
      </c>
      <c r="G103" s="507" t="s">
        <v>162</v>
      </c>
      <c r="H103" s="112" t="s">
        <v>46</v>
      </c>
      <c r="I103" s="112" t="n">
        <v>0</v>
      </c>
      <c r="J103" s="112" t="n">
        <v>193</v>
      </c>
      <c r="K103" s="112" t="s">
        <v>46</v>
      </c>
      <c r="L103" s="113" t="n">
        <f aca="false">IF(J103="",0,(J103/J105)*100)</f>
        <v>100</v>
      </c>
      <c r="M103" s="112" t="n">
        <v>1</v>
      </c>
      <c r="N103" s="344" t="n">
        <v>6</v>
      </c>
      <c r="O103" s="305" t="n">
        <f aca="false">IF(M103=1,1,0)</f>
        <v>1</v>
      </c>
      <c r="P103" s="88" t="n">
        <f aca="false">IF(M103=2,1,0)</f>
        <v>0</v>
      </c>
      <c r="Q103" s="88" t="n">
        <f aca="false">IF(M103=3,1,0)</f>
        <v>0</v>
      </c>
      <c r="R103" s="87" t="n">
        <f aca="false">IF(M103=4,1,0)</f>
        <v>0</v>
      </c>
      <c r="S103" s="322"/>
      <c r="T103" s="107"/>
      <c r="U103" s="39"/>
    </row>
    <row r="104" customFormat="false" ht="20.1" hidden="false" customHeight="true" outlineLevel="0" collapsed="false">
      <c r="B104" s="39"/>
      <c r="C104" s="107"/>
      <c r="D104" s="319"/>
      <c r="E104" s="29" t="s">
        <v>22</v>
      </c>
      <c r="F104" s="240" t="s">
        <v>23</v>
      </c>
      <c r="G104" s="629" t="s">
        <v>163</v>
      </c>
      <c r="H104" s="186" t="s">
        <v>46</v>
      </c>
      <c r="I104" s="186" t="n">
        <v>0</v>
      </c>
      <c r="J104" s="186" t="n">
        <v>140</v>
      </c>
      <c r="K104" s="352" t="s">
        <v>46</v>
      </c>
      <c r="L104" s="116" t="n">
        <f aca="false">IF(J104="",0,(J104/J105)*100)</f>
        <v>72.5388601036269</v>
      </c>
      <c r="M104" s="186" t="n">
        <v>4</v>
      </c>
      <c r="N104" s="309" t="n">
        <v>0</v>
      </c>
      <c r="O104" s="310" t="n">
        <f aca="false">IF(M104=1,1,0)</f>
        <v>0</v>
      </c>
      <c r="P104" s="95" t="n">
        <f aca="false">IF(M104=2,1,0)</f>
        <v>0</v>
      </c>
      <c r="Q104" s="95" t="n">
        <f aca="false">IF(M104=3,1,0)</f>
        <v>0</v>
      </c>
      <c r="R104" s="117" t="n">
        <f aca="false">IF(M104=4,1,0)</f>
        <v>1</v>
      </c>
      <c r="S104" s="322"/>
      <c r="T104" s="107"/>
      <c r="U104" s="39"/>
    </row>
    <row r="105" customFormat="false" ht="20.1" hidden="true" customHeight="true" outlineLevel="1" collapsed="false">
      <c r="B105" s="39"/>
      <c r="C105" s="107"/>
      <c r="D105" s="319"/>
      <c r="E105" s="319"/>
      <c r="F105" s="109"/>
      <c r="G105" s="109"/>
      <c r="H105" s="107"/>
      <c r="I105" s="345" t="s">
        <v>62</v>
      </c>
      <c r="J105" s="98" t="n">
        <f aca="false">MAX(J101:J104)</f>
        <v>193</v>
      </c>
      <c r="K105" s="332"/>
      <c r="L105" s="322"/>
      <c r="M105" s="107"/>
      <c r="N105" s="333" t="s">
        <v>63</v>
      </c>
      <c r="O105" s="102" t="n">
        <f aca="false">SUM(O101:O104)</f>
        <v>1</v>
      </c>
      <c r="P105" s="103" t="n">
        <f aca="false">SUM(P101:P104)</f>
        <v>1</v>
      </c>
      <c r="Q105" s="102" t="n">
        <f aca="false">SUM(Q101:Q104)</f>
        <v>1</v>
      </c>
      <c r="R105" s="104" t="n">
        <f aca="false">SUM(R101:R104)</f>
        <v>1</v>
      </c>
      <c r="S105" s="334"/>
      <c r="T105" s="107"/>
      <c r="U105" s="39"/>
    </row>
    <row r="106" customFormat="false" ht="20.1" hidden="false" customHeight="true" outlineLevel="0" collapsed="false">
      <c r="B106" s="39"/>
      <c r="C106" s="107"/>
      <c r="D106" s="123"/>
      <c r="E106" s="123"/>
      <c r="F106" s="107"/>
      <c r="G106" s="107"/>
      <c r="H106" s="107"/>
      <c r="I106" s="107"/>
      <c r="J106" s="107"/>
      <c r="K106" s="107"/>
      <c r="L106" s="107"/>
      <c r="M106" s="107"/>
      <c r="N106" s="107"/>
      <c r="O106" s="107"/>
      <c r="P106" s="107"/>
      <c r="Q106" s="107"/>
      <c r="R106" s="107"/>
      <c r="S106" s="107"/>
      <c r="T106" s="107"/>
      <c r="U106" s="39"/>
    </row>
    <row r="107" customFormat="false" ht="20.1" hidden="false" customHeight="true" outlineLevel="0" collapsed="false">
      <c r="B107" s="39"/>
      <c r="D107" s="124"/>
      <c r="E107" s="124"/>
      <c r="F107" s="124"/>
      <c r="G107" s="124"/>
      <c r="H107" s="125"/>
      <c r="I107" s="124"/>
      <c r="J107" s="124"/>
      <c r="K107" s="36"/>
      <c r="L107" s="36"/>
      <c r="M107" s="36"/>
      <c r="N107" s="36"/>
      <c r="O107" s="36"/>
      <c r="P107" s="36"/>
      <c r="Q107" s="36"/>
      <c r="R107" s="36"/>
      <c r="S107" s="36"/>
      <c r="U107" s="39"/>
    </row>
    <row r="108" customFormat="false" ht="20.1" hidden="false" customHeight="true" outlineLevel="0" collapsed="false">
      <c r="B108" s="39"/>
      <c r="C108" s="126"/>
      <c r="D108" s="126"/>
      <c r="E108" s="127" t="str">
        <f aca="false">IF(OR(L87="-",L87= ""),H87,L87)</f>
        <v>Yokohama</v>
      </c>
      <c r="F108" s="127"/>
      <c r="G108" s="127"/>
      <c r="H108" s="127"/>
      <c r="I108" s="127"/>
      <c r="J108" s="127"/>
      <c r="K108" s="127"/>
      <c r="L108" s="127"/>
      <c r="M108" s="127"/>
      <c r="N108" s="127"/>
      <c r="O108" s="128"/>
      <c r="P108" s="128"/>
      <c r="Q108" s="128"/>
      <c r="R108" s="128"/>
      <c r="S108" s="128"/>
      <c r="T108" s="126"/>
      <c r="U108" s="129"/>
    </row>
    <row r="109" customFormat="false" ht="50.1" hidden="false" customHeight="true" outlineLevel="0" collapsed="false">
      <c r="B109" s="39"/>
      <c r="C109" s="126"/>
      <c r="D109" s="128"/>
      <c r="E109" s="263" t="s">
        <v>36</v>
      </c>
      <c r="F109" s="597" t="s">
        <v>222</v>
      </c>
      <c r="G109" s="294" t="s">
        <v>52</v>
      </c>
      <c r="H109" s="264" t="s">
        <v>223</v>
      </c>
      <c r="I109" s="81" t="s">
        <v>224</v>
      </c>
      <c r="J109" s="264" t="s">
        <v>225</v>
      </c>
      <c r="K109" s="295" t="s">
        <v>54</v>
      </c>
      <c r="L109" s="264" t="s">
        <v>55</v>
      </c>
      <c r="M109" s="296" t="s">
        <v>56</v>
      </c>
      <c r="N109" s="294" t="s">
        <v>57</v>
      </c>
      <c r="O109" s="43" t="s">
        <v>58</v>
      </c>
      <c r="P109" s="79" t="s">
        <v>59</v>
      </c>
      <c r="Q109" s="79" t="s">
        <v>60</v>
      </c>
      <c r="R109" s="82" t="s">
        <v>61</v>
      </c>
      <c r="S109" s="128"/>
      <c r="T109" s="126"/>
      <c r="U109" s="129"/>
    </row>
    <row r="110" customFormat="false" ht="20.1" hidden="false" customHeight="true" outlineLevel="0" collapsed="false">
      <c r="B110" s="39"/>
      <c r="C110" s="126"/>
      <c r="D110" s="340"/>
      <c r="E110" s="6" t="s">
        <v>31</v>
      </c>
      <c r="F110" s="229" t="s">
        <v>32</v>
      </c>
      <c r="G110" s="386" t="s">
        <v>164</v>
      </c>
      <c r="H110" s="387" t="s">
        <v>46</v>
      </c>
      <c r="I110" s="387" t="n">
        <v>0</v>
      </c>
      <c r="J110" s="387" t="n">
        <v>77</v>
      </c>
      <c r="K110" s="387" t="s">
        <v>46</v>
      </c>
      <c r="L110" s="388" t="n">
        <f aca="false">IF(J110="",0,(J110/J114)*100)</f>
        <v>88.5057471264368</v>
      </c>
      <c r="M110" s="387" t="n">
        <v>3</v>
      </c>
      <c r="N110" s="389" t="n">
        <v>1</v>
      </c>
      <c r="O110" s="301" t="n">
        <f aca="false">IF(M110=1,1,0)</f>
        <v>0</v>
      </c>
      <c r="P110" s="85" t="n">
        <f aca="false">IF(M110=2,1,0)</f>
        <v>0</v>
      </c>
      <c r="Q110" s="85" t="n">
        <f aca="false">IF(M110=3,1,0)</f>
        <v>1</v>
      </c>
      <c r="R110" s="84" t="n">
        <f aca="false">IF(M110=4,1,0)</f>
        <v>0</v>
      </c>
      <c r="S110" s="339"/>
      <c r="T110" s="126"/>
      <c r="U110" s="131"/>
    </row>
    <row r="111" customFormat="false" ht="20.1" hidden="false" customHeight="true" outlineLevel="0" collapsed="false">
      <c r="B111" s="39"/>
      <c r="C111" s="126"/>
      <c r="D111" s="336"/>
      <c r="E111" s="13" t="s">
        <v>10</v>
      </c>
      <c r="F111" s="237" t="s">
        <v>209</v>
      </c>
      <c r="G111" s="628" t="s">
        <v>163</v>
      </c>
      <c r="H111" s="324" t="s">
        <v>46</v>
      </c>
      <c r="I111" s="324" t="n">
        <v>0</v>
      </c>
      <c r="J111" s="324" t="n">
        <v>75</v>
      </c>
      <c r="K111" s="325" t="s">
        <v>46</v>
      </c>
      <c r="L111" s="341" t="n">
        <f aca="false">IF(J111="",0,(J111/J114)*100)</f>
        <v>86.2068965517241</v>
      </c>
      <c r="M111" s="324" t="n">
        <v>4</v>
      </c>
      <c r="N111" s="327" t="n">
        <v>0</v>
      </c>
      <c r="O111" s="305" t="n">
        <f aca="false">IF(M111=1,1,0)</f>
        <v>0</v>
      </c>
      <c r="P111" s="88" t="n">
        <f aca="false">IF(M111=2,1,0)</f>
        <v>0</v>
      </c>
      <c r="Q111" s="88" t="n">
        <f aca="false">IF(M111=3,1,0)</f>
        <v>0</v>
      </c>
      <c r="R111" s="87" t="n">
        <f aca="false">IF(M111=4,1,0)</f>
        <v>1</v>
      </c>
      <c r="S111" s="339"/>
      <c r="T111" s="126"/>
      <c r="U111" s="132"/>
    </row>
    <row r="112" customFormat="false" ht="20.1" hidden="false" customHeight="true" outlineLevel="0" collapsed="false">
      <c r="B112" s="39"/>
      <c r="C112" s="126"/>
      <c r="D112" s="336"/>
      <c r="E112" s="110" t="s">
        <v>96</v>
      </c>
      <c r="F112" s="598" t="s">
        <v>210</v>
      </c>
      <c r="G112" s="507" t="s">
        <v>162</v>
      </c>
      <c r="H112" s="112" t="s">
        <v>46</v>
      </c>
      <c r="I112" s="112" t="n">
        <v>0</v>
      </c>
      <c r="J112" s="112" t="n">
        <v>87</v>
      </c>
      <c r="K112" s="112" t="s">
        <v>46</v>
      </c>
      <c r="L112" s="113" t="n">
        <f aca="false">IF(J112="",0,(J112/J114)*100)</f>
        <v>100</v>
      </c>
      <c r="M112" s="112" t="n">
        <v>1</v>
      </c>
      <c r="N112" s="344" t="n">
        <v>6</v>
      </c>
      <c r="O112" s="305" t="n">
        <f aca="false">IF(M112=1,1,0)</f>
        <v>1</v>
      </c>
      <c r="P112" s="88" t="n">
        <f aca="false">IF(M112=2,1,0)</f>
        <v>0</v>
      </c>
      <c r="Q112" s="88" t="n">
        <f aca="false">IF(M112=3,1,0)</f>
        <v>0</v>
      </c>
      <c r="R112" s="87" t="n">
        <f aca="false">IF(M112=4,1,0)</f>
        <v>0</v>
      </c>
      <c r="S112" s="339"/>
      <c r="T112" s="126"/>
      <c r="U112" s="132"/>
    </row>
    <row r="113" customFormat="false" ht="20.1" hidden="false" customHeight="true" outlineLevel="0" collapsed="false">
      <c r="B113" s="39"/>
      <c r="C113" s="126"/>
      <c r="D113" s="336"/>
      <c r="E113" s="29" t="s">
        <v>22</v>
      </c>
      <c r="F113" s="240" t="s">
        <v>23</v>
      </c>
      <c r="G113" s="629" t="s">
        <v>161</v>
      </c>
      <c r="H113" s="186" t="s">
        <v>46</v>
      </c>
      <c r="I113" s="186" t="n">
        <v>0</v>
      </c>
      <c r="J113" s="186" t="n">
        <v>80</v>
      </c>
      <c r="K113" s="352" t="s">
        <v>46</v>
      </c>
      <c r="L113" s="116" t="n">
        <f aca="false">IF(J113="",0,(J113/J114)*100)</f>
        <v>91.9540229885057</v>
      </c>
      <c r="M113" s="186" t="n">
        <v>2</v>
      </c>
      <c r="N113" s="309" t="n">
        <v>3</v>
      </c>
      <c r="O113" s="310" t="n">
        <f aca="false">IF(M113=1,1,0)</f>
        <v>0</v>
      </c>
      <c r="P113" s="95" t="n">
        <f aca="false">IF(M113=2,1,0)</f>
        <v>1</v>
      </c>
      <c r="Q113" s="95" t="n">
        <f aca="false">IF(M113=3,1,0)</f>
        <v>0</v>
      </c>
      <c r="R113" s="117" t="n">
        <f aca="false">IF(M113=4,1,0)</f>
        <v>0</v>
      </c>
      <c r="S113" s="339"/>
      <c r="T113" s="126"/>
      <c r="U113" s="132"/>
    </row>
    <row r="114" customFormat="false" ht="20.1" hidden="true" customHeight="true" outlineLevel="1" collapsed="false">
      <c r="B114" s="39"/>
      <c r="C114" s="126"/>
      <c r="D114" s="336"/>
      <c r="E114" s="336"/>
      <c r="F114" s="339"/>
      <c r="G114" s="339"/>
      <c r="H114" s="126"/>
      <c r="I114" s="345" t="s">
        <v>62</v>
      </c>
      <c r="J114" s="98" t="n">
        <f aca="false">MAX(J110:J113)</f>
        <v>87</v>
      </c>
      <c r="K114" s="346"/>
      <c r="L114" s="339"/>
      <c r="M114" s="126"/>
      <c r="N114" s="333" t="s">
        <v>63</v>
      </c>
      <c r="O114" s="102" t="n">
        <f aca="false">SUM(O110:O113)</f>
        <v>1</v>
      </c>
      <c r="P114" s="103" t="n">
        <f aca="false">SUM(P110:P113)</f>
        <v>1</v>
      </c>
      <c r="Q114" s="102" t="n">
        <f aca="false">SUM(Q110:Q113)</f>
        <v>1</v>
      </c>
      <c r="R114" s="104" t="n">
        <f aca="false">SUM(R110:R113)</f>
        <v>1</v>
      </c>
      <c r="S114" s="347"/>
      <c r="T114" s="126"/>
      <c r="U114" s="132"/>
    </row>
    <row r="115" customFormat="false" ht="20.1" hidden="false" customHeight="true" outlineLevel="0" collapsed="false">
      <c r="B115" s="39"/>
      <c r="C115" s="126"/>
      <c r="D115" s="133"/>
      <c r="E115" s="133"/>
      <c r="F115" s="126"/>
      <c r="G115" s="126"/>
      <c r="H115" s="126"/>
      <c r="I115" s="126"/>
      <c r="J115" s="126"/>
      <c r="K115" s="126"/>
      <c r="L115" s="126"/>
      <c r="M115" s="126"/>
      <c r="N115" s="126"/>
      <c r="O115" s="126"/>
      <c r="P115" s="126"/>
      <c r="Q115" s="126"/>
      <c r="R115" s="126"/>
      <c r="S115" s="126"/>
      <c r="T115" s="126"/>
      <c r="U115" s="132"/>
    </row>
    <row r="116" customFormat="false" ht="20.1" hidden="false" customHeight="true" outlineLevel="0" collapsed="false">
      <c r="B116" s="39"/>
      <c r="D116" s="124"/>
      <c r="E116" s="124"/>
      <c r="F116" s="124"/>
      <c r="G116" s="124"/>
      <c r="H116" s="125"/>
      <c r="I116" s="124"/>
      <c r="J116" s="124"/>
      <c r="K116" s="124"/>
      <c r="L116" s="36"/>
      <c r="M116" s="36"/>
      <c r="N116" s="36"/>
      <c r="O116" s="36"/>
      <c r="P116" s="36"/>
      <c r="Q116" s="36"/>
      <c r="R116" s="36"/>
      <c r="S116" s="36"/>
      <c r="U116" s="131"/>
    </row>
    <row r="117" customFormat="false" ht="20.1" hidden="false" customHeight="true" outlineLevel="0" collapsed="false">
      <c r="B117" s="39"/>
      <c r="C117" s="134"/>
      <c r="D117" s="134"/>
      <c r="E117" s="135" t="str">
        <f aca="false">IF(OR(L88="-",L88= ""),H88,L88)</f>
        <v>Pandoria</v>
      </c>
      <c r="F117" s="135"/>
      <c r="G117" s="135"/>
      <c r="H117" s="135"/>
      <c r="I117" s="135"/>
      <c r="J117" s="135"/>
      <c r="K117" s="135"/>
      <c r="L117" s="135"/>
      <c r="M117" s="135"/>
      <c r="N117" s="135"/>
      <c r="O117" s="136"/>
      <c r="P117" s="136"/>
      <c r="Q117" s="136"/>
      <c r="R117" s="136"/>
      <c r="S117" s="136"/>
      <c r="T117" s="134"/>
      <c r="U117" s="39"/>
    </row>
    <row r="118" customFormat="false" ht="50.1" hidden="false" customHeight="true" outlineLevel="0" collapsed="false">
      <c r="B118" s="39"/>
      <c r="C118" s="134"/>
      <c r="D118" s="136"/>
      <c r="E118" s="263" t="s">
        <v>36</v>
      </c>
      <c r="F118" s="597" t="s">
        <v>222</v>
      </c>
      <c r="G118" s="294" t="s">
        <v>52</v>
      </c>
      <c r="H118" s="264" t="s">
        <v>223</v>
      </c>
      <c r="I118" s="81" t="s">
        <v>224</v>
      </c>
      <c r="J118" s="264" t="s">
        <v>225</v>
      </c>
      <c r="K118" s="295" t="s">
        <v>54</v>
      </c>
      <c r="L118" s="264" t="s">
        <v>55</v>
      </c>
      <c r="M118" s="296" t="s">
        <v>56</v>
      </c>
      <c r="N118" s="294" t="s">
        <v>57</v>
      </c>
      <c r="O118" s="43" t="s">
        <v>58</v>
      </c>
      <c r="P118" s="79" t="s">
        <v>59</v>
      </c>
      <c r="Q118" s="79" t="s">
        <v>60</v>
      </c>
      <c r="R118" s="82" t="s">
        <v>61</v>
      </c>
      <c r="S118" s="136"/>
      <c r="T118" s="134"/>
      <c r="U118" s="39"/>
    </row>
    <row r="119" customFormat="false" ht="20.1" hidden="false" customHeight="true" outlineLevel="0" collapsed="false">
      <c r="B119" s="39"/>
      <c r="C119" s="134"/>
      <c r="D119" s="349"/>
      <c r="E119" s="6" t="s">
        <v>31</v>
      </c>
      <c r="F119" s="229" t="s">
        <v>32</v>
      </c>
      <c r="G119" s="386" t="s">
        <v>161</v>
      </c>
      <c r="H119" s="387" t="s">
        <v>245</v>
      </c>
      <c r="I119" s="387" t="n">
        <v>0</v>
      </c>
      <c r="J119" s="387" t="n">
        <v>42</v>
      </c>
      <c r="K119" s="387" t="s">
        <v>46</v>
      </c>
      <c r="L119" s="388" t="n">
        <f aca="false">IF(J119="",0,(J119/J123)*100)</f>
        <v>80.7692307692308</v>
      </c>
      <c r="M119" s="387" t="n">
        <v>2</v>
      </c>
      <c r="N119" s="389" t="n">
        <v>3</v>
      </c>
      <c r="O119" s="301" t="n">
        <f aca="false">IF(M119=1,1,0)</f>
        <v>0</v>
      </c>
      <c r="P119" s="85" t="n">
        <f aca="false">IF(M119=2,1,0)</f>
        <v>1</v>
      </c>
      <c r="Q119" s="85" t="n">
        <f aca="false">IF(M119=3,1,0)</f>
        <v>0</v>
      </c>
      <c r="R119" s="84" t="n">
        <f aca="false">IF(M119=4,1,0)</f>
        <v>0</v>
      </c>
      <c r="S119" s="350"/>
      <c r="T119" s="134"/>
      <c r="U119" s="39"/>
    </row>
    <row r="120" customFormat="false" ht="20.1" hidden="false" customHeight="true" outlineLevel="0" collapsed="false">
      <c r="B120" s="39"/>
      <c r="C120" s="134"/>
      <c r="D120" s="349"/>
      <c r="E120" s="13" t="s">
        <v>10</v>
      </c>
      <c r="F120" s="237" t="s">
        <v>11</v>
      </c>
      <c r="G120" s="628" t="s">
        <v>162</v>
      </c>
      <c r="H120" s="324" t="s">
        <v>246</v>
      </c>
      <c r="I120" s="324" t="n">
        <v>0</v>
      </c>
      <c r="J120" s="324" t="n">
        <v>36</v>
      </c>
      <c r="K120" s="325" t="s">
        <v>46</v>
      </c>
      <c r="L120" s="341" t="n">
        <f aca="false">IF(J120="",0,(J120/J123)*100)</f>
        <v>69.2307692307692</v>
      </c>
      <c r="M120" s="324" t="n">
        <v>3</v>
      </c>
      <c r="N120" s="327"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49"/>
      <c r="E121" s="13" t="s">
        <v>96</v>
      </c>
      <c r="F121" s="237" t="s">
        <v>210</v>
      </c>
      <c r="G121" s="628" t="s">
        <v>164</v>
      </c>
      <c r="H121" s="324" t="s">
        <v>247</v>
      </c>
      <c r="I121" s="324" t="n">
        <v>0</v>
      </c>
      <c r="J121" s="324" t="n">
        <v>24</v>
      </c>
      <c r="K121" s="324" t="s">
        <v>46</v>
      </c>
      <c r="L121" s="341" t="n">
        <f aca="false">IF(J121="",0,(J121/J123)*100)</f>
        <v>46.1538461538462</v>
      </c>
      <c r="M121" s="324" t="n">
        <v>4</v>
      </c>
      <c r="N121" s="327" t="n">
        <v>0</v>
      </c>
      <c r="O121" s="305" t="n">
        <f aca="false">IF(M121=1,1,0)</f>
        <v>0</v>
      </c>
      <c r="P121" s="88" t="n">
        <f aca="false">IF(M121=2,1,0)</f>
        <v>0</v>
      </c>
      <c r="Q121" s="88" t="n">
        <f aca="false">IF(M121=3,1,0)</f>
        <v>0</v>
      </c>
      <c r="R121" s="87" t="n">
        <f aca="false">IF(M121=4,1,0)</f>
        <v>1</v>
      </c>
      <c r="S121" s="350"/>
      <c r="T121" s="134"/>
      <c r="U121" s="39"/>
    </row>
    <row r="122" customFormat="false" ht="20.1" hidden="false" customHeight="true" outlineLevel="0" collapsed="false">
      <c r="B122" s="39"/>
      <c r="C122" s="134"/>
      <c r="D122" s="351"/>
      <c r="E122" s="89" t="s">
        <v>22</v>
      </c>
      <c r="F122" s="599" t="s">
        <v>23</v>
      </c>
      <c r="G122" s="392" t="s">
        <v>163</v>
      </c>
      <c r="H122" s="91" t="s">
        <v>248</v>
      </c>
      <c r="I122" s="91" t="n">
        <v>0</v>
      </c>
      <c r="J122" s="91" t="n">
        <v>52</v>
      </c>
      <c r="K122" s="393" t="s">
        <v>46</v>
      </c>
      <c r="L122" s="92" t="n">
        <f aca="false">IF(J122="",0,(J122/J123)*100)</f>
        <v>100</v>
      </c>
      <c r="M122" s="91" t="n">
        <v>1</v>
      </c>
      <c r="N122" s="394" t="n">
        <v>6</v>
      </c>
      <c r="O122" s="310" t="n">
        <f aca="false">IF(M122=1,1,0)</f>
        <v>1</v>
      </c>
      <c r="P122" s="95" t="n">
        <f aca="false">IF(M122=2,1,0)</f>
        <v>0</v>
      </c>
      <c r="Q122" s="95" t="n">
        <f aca="false">IF(M122=3,1,0)</f>
        <v>0</v>
      </c>
      <c r="R122" s="117" t="n">
        <f aca="false">IF(M122=4,1,0)</f>
        <v>0</v>
      </c>
      <c r="S122" s="350"/>
      <c r="T122" s="134"/>
      <c r="U122" s="39"/>
    </row>
    <row r="123" customFormat="false" ht="20.1" hidden="true" customHeight="true" outlineLevel="1" collapsed="false">
      <c r="B123" s="39"/>
      <c r="C123" s="134"/>
      <c r="D123" s="349"/>
      <c r="E123" s="349"/>
      <c r="F123" s="350"/>
      <c r="G123" s="350"/>
      <c r="H123" s="134"/>
      <c r="I123" s="345" t="s">
        <v>62</v>
      </c>
      <c r="J123" s="98" t="n">
        <f aca="false">MAX(J119:J122)</f>
        <v>52</v>
      </c>
      <c r="K123" s="353"/>
      <c r="L123" s="350"/>
      <c r="M123" s="134"/>
      <c r="N123" s="333" t="s">
        <v>63</v>
      </c>
      <c r="O123" s="102" t="n">
        <f aca="false">SUM(O119:O122)</f>
        <v>1</v>
      </c>
      <c r="P123" s="103" t="n">
        <f aca="false">SUM(P119:P122)</f>
        <v>1</v>
      </c>
      <c r="Q123" s="102" t="n">
        <f aca="false">SUM(Q119:Q122)</f>
        <v>1</v>
      </c>
      <c r="R123" s="104" t="n">
        <f aca="false">SUM(R119:R122)</f>
        <v>1</v>
      </c>
      <c r="S123" s="354"/>
      <c r="T123" s="134"/>
      <c r="U123" s="39"/>
    </row>
    <row r="124" customFormat="false" ht="20.1" hidden="false" customHeight="true" outlineLevel="0" collapsed="false">
      <c r="B124" s="39"/>
      <c r="C124" s="134"/>
      <c r="D124" s="137"/>
      <c r="E124" s="137"/>
      <c r="F124" s="134"/>
      <c r="G124" s="134"/>
      <c r="H124" s="134"/>
      <c r="I124" s="134"/>
      <c r="J124" s="134"/>
      <c r="K124" s="134"/>
      <c r="L124" s="134"/>
      <c r="M124" s="134"/>
      <c r="N124" s="134"/>
      <c r="O124" s="134"/>
      <c r="P124" s="134"/>
      <c r="Q124" s="134"/>
      <c r="R124" s="134"/>
      <c r="S124" s="134"/>
      <c r="T124" s="134"/>
      <c r="U124" s="39"/>
    </row>
    <row r="125" customFormat="false" ht="20.1" hidden="false" customHeight="true" outlineLevel="0" collapsed="false">
      <c r="B125" s="39"/>
      <c r="D125" s="138"/>
      <c r="E125" s="138"/>
      <c r="F125" s="138"/>
      <c r="G125" s="138"/>
      <c r="H125" s="138"/>
      <c r="I125" s="138"/>
      <c r="J125" s="138"/>
      <c r="K125" s="36"/>
      <c r="L125" s="36"/>
      <c r="M125" s="36"/>
      <c r="N125" s="36"/>
      <c r="O125" s="36"/>
      <c r="P125" s="36"/>
      <c r="Q125" s="36"/>
      <c r="R125" s="36"/>
      <c r="S125" s="36"/>
      <c r="U125" s="39"/>
    </row>
    <row r="126" customFormat="false" ht="30" hidden="false" customHeight="true" outlineLevel="0" collapsed="false">
      <c r="B126" s="39"/>
      <c r="C126" s="139"/>
      <c r="D126" s="140" t="s">
        <v>165</v>
      </c>
      <c r="E126" s="140"/>
      <c r="F126" s="140"/>
      <c r="G126" s="140"/>
      <c r="H126" s="140"/>
      <c r="I126" s="140"/>
      <c r="J126" s="140"/>
      <c r="K126" s="140"/>
      <c r="L126" s="140"/>
      <c r="M126" s="140"/>
      <c r="N126" s="140"/>
      <c r="O126" s="140"/>
      <c r="P126" s="140"/>
      <c r="Q126" s="140"/>
      <c r="R126" s="140"/>
      <c r="S126" s="140"/>
      <c r="T126" s="139"/>
      <c r="U126" s="39"/>
    </row>
    <row r="127" customFormat="false" ht="50.1" hidden="false" customHeight="true" outlineLevel="0" collapsed="false">
      <c r="B127" s="39"/>
      <c r="C127" s="139"/>
      <c r="D127" s="356" t="s">
        <v>36</v>
      </c>
      <c r="E127" s="357" t="s">
        <v>218</v>
      </c>
      <c r="F127" s="358" t="s">
        <v>57</v>
      </c>
      <c r="G127" s="146" t="s">
        <v>236</v>
      </c>
      <c r="H127" s="143" t="s">
        <v>237</v>
      </c>
      <c r="I127" s="143"/>
      <c r="J127" s="488" t="s">
        <v>238</v>
      </c>
      <c r="K127" s="359" t="s">
        <v>65</v>
      </c>
      <c r="L127" s="358" t="s">
        <v>66</v>
      </c>
      <c r="M127" s="359" t="s">
        <v>67</v>
      </c>
      <c r="N127" s="358" t="s">
        <v>68</v>
      </c>
      <c r="O127" s="600"/>
      <c r="P127" s="601"/>
      <c r="Q127" s="601"/>
      <c r="R127" s="601"/>
      <c r="S127" s="357" t="s">
        <v>69</v>
      </c>
      <c r="T127" s="139"/>
      <c r="U127" s="39"/>
    </row>
    <row r="128" customFormat="false" ht="20.1" hidden="false" customHeight="true" outlineLevel="0" collapsed="false">
      <c r="B128" s="39"/>
      <c r="C128" s="139"/>
      <c r="D128" s="602" t="s">
        <v>31</v>
      </c>
      <c r="E128" s="603" t="s">
        <v>32</v>
      </c>
      <c r="F128" s="630" t="n">
        <f aca="false">K128*6+L128*3+M128*1+N128*0</f>
        <v>13</v>
      </c>
      <c r="G128" s="631" t="n">
        <v>0</v>
      </c>
      <c r="H128" s="632" t="s">
        <v>46</v>
      </c>
      <c r="I128" s="632"/>
      <c r="J128" s="633" t="n">
        <f aca="false">F128+G128</f>
        <v>13</v>
      </c>
      <c r="K128" s="630" t="n">
        <v>1</v>
      </c>
      <c r="L128" s="630" t="n">
        <v>2</v>
      </c>
      <c r="M128" s="630" t="n">
        <v>1</v>
      </c>
      <c r="N128" s="630" t="n">
        <v>0</v>
      </c>
      <c r="O128" s="634"/>
      <c r="P128" s="606"/>
      <c r="Q128" s="606"/>
      <c r="R128" s="606"/>
      <c r="S128" s="635" t="n">
        <f aca="false">($L$92+$L$101+$L$110+$L$119)/4</f>
        <v>92.1892107951604</v>
      </c>
      <c r="T128" s="139"/>
      <c r="U128" s="39"/>
    </row>
    <row r="129" customFormat="false" ht="20.1" hidden="false" customHeight="true" outlineLevel="0" collapsed="false">
      <c r="B129" s="39"/>
      <c r="C129" s="139"/>
      <c r="D129" s="365" t="s">
        <v>96</v>
      </c>
      <c r="E129" s="609" t="s">
        <v>210</v>
      </c>
      <c r="F129" s="400" t="n">
        <f aca="false">K129*6+L129*3+M129*1+N129*0</f>
        <v>12</v>
      </c>
      <c r="G129" s="192" t="n">
        <v>0</v>
      </c>
      <c r="H129" s="156" t="s">
        <v>46</v>
      </c>
      <c r="I129" s="156"/>
      <c r="J129" s="157" t="n">
        <f aca="false">F129+G129</f>
        <v>12</v>
      </c>
      <c r="K129" s="400" t="n">
        <v>2</v>
      </c>
      <c r="L129" s="400" t="n">
        <v>0</v>
      </c>
      <c r="M129" s="400" t="n">
        <v>0</v>
      </c>
      <c r="N129" s="400" t="n">
        <v>2</v>
      </c>
      <c r="O129" s="636"/>
      <c r="P129" s="158"/>
      <c r="Q129" s="158"/>
      <c r="R129" s="158"/>
      <c r="S129" s="367" t="n">
        <f aca="false">($L$94+$L$103+$L$112+$L$121)/4</f>
        <v>74.5254745254745</v>
      </c>
      <c r="T129" s="139"/>
      <c r="U129" s="39"/>
      <c r="W129" s="32"/>
      <c r="X129" s="32"/>
      <c r="Y129" s="120"/>
      <c r="Z129" s="120"/>
      <c r="AA129" s="194"/>
      <c r="AB129" s="194"/>
      <c r="AC129" s="195"/>
      <c r="AD129" s="195"/>
      <c r="AE129" s="195"/>
    </row>
    <row r="130" customFormat="false" ht="20.1" hidden="false" customHeight="true" outlineLevel="0" collapsed="false">
      <c r="B130" s="39"/>
      <c r="C130" s="139"/>
      <c r="D130" s="365" t="s">
        <v>22</v>
      </c>
      <c r="E130" s="609" t="s">
        <v>23</v>
      </c>
      <c r="F130" s="400" t="n">
        <f aca="false">K130*6+L130*3+M130*1+N130*0</f>
        <v>10</v>
      </c>
      <c r="G130" s="192" t="n">
        <v>0</v>
      </c>
      <c r="H130" s="156" t="s">
        <v>46</v>
      </c>
      <c r="I130" s="156"/>
      <c r="J130" s="157" t="n">
        <f aca="false">F130+G130</f>
        <v>10</v>
      </c>
      <c r="K130" s="400" t="n">
        <v>1</v>
      </c>
      <c r="L130" s="400" t="n">
        <v>1</v>
      </c>
      <c r="M130" s="400" t="n">
        <v>1</v>
      </c>
      <c r="N130" s="400" t="n">
        <v>1</v>
      </c>
      <c r="O130" s="636"/>
      <c r="P130" s="158"/>
      <c r="Q130" s="158"/>
      <c r="R130" s="158"/>
      <c r="S130" s="367" t="n">
        <f aca="false">($L$95+$L$104+$L$113+$L$122)/4</f>
        <v>81.2206233704358</v>
      </c>
      <c r="T130" s="139"/>
      <c r="U130" s="39"/>
    </row>
    <row r="131" customFormat="false" ht="20.1" hidden="false" customHeight="true" outlineLevel="0" collapsed="false">
      <c r="B131" s="39"/>
      <c r="C131" s="139"/>
      <c r="D131" s="368" t="s">
        <v>10</v>
      </c>
      <c r="E131" s="611" t="s">
        <v>11</v>
      </c>
      <c r="F131" s="402" t="n">
        <f aca="false">K131*6+L131*3+M131*1+N131*0</f>
        <v>5</v>
      </c>
      <c r="G131" s="370" t="n">
        <v>0</v>
      </c>
      <c r="H131" s="637" t="s">
        <v>46</v>
      </c>
      <c r="I131" s="637"/>
      <c r="J131" s="403" t="n">
        <f aca="false">F131+G131</f>
        <v>5</v>
      </c>
      <c r="K131" s="402" t="n">
        <v>0</v>
      </c>
      <c r="L131" s="402" t="n">
        <v>1</v>
      </c>
      <c r="M131" s="402" t="n">
        <v>2</v>
      </c>
      <c r="N131" s="402" t="n">
        <v>1</v>
      </c>
      <c r="O131" s="638"/>
      <c r="P131" s="212"/>
      <c r="Q131" s="212"/>
      <c r="R131" s="212"/>
      <c r="S131" s="371" t="n">
        <f aca="false">($L$93+$L$102+$L$111+$L$120)/4</f>
        <v>79.7407501378379</v>
      </c>
      <c r="T131" s="139"/>
      <c r="U131" s="39"/>
    </row>
    <row r="132" customFormat="false" ht="20.1" hidden="false" customHeight="true" outlineLevel="0" collapsed="false">
      <c r="B132" s="39"/>
      <c r="C132" s="139"/>
      <c r="D132" s="139"/>
      <c r="E132" s="139"/>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139"/>
      <c r="D133" s="168"/>
      <c r="E133" s="168"/>
      <c r="F133" s="153"/>
      <c r="G133" s="153"/>
      <c r="H133" s="153"/>
      <c r="I133" s="153"/>
      <c r="J133" s="153"/>
      <c r="K133" s="153"/>
      <c r="L133" s="153"/>
      <c r="M133" s="153"/>
      <c r="N133" s="153"/>
      <c r="O133" s="153"/>
      <c r="P133" s="153"/>
      <c r="Q133" s="153"/>
      <c r="R133" s="153"/>
      <c r="S133" s="153"/>
      <c r="T133" s="139"/>
      <c r="U133" s="39"/>
    </row>
    <row r="134" customFormat="false" ht="20.1" hidden="false" customHeight="true" outlineLevel="0" collapsed="false">
      <c r="B134" s="39"/>
      <c r="C134" s="139"/>
      <c r="D134" s="168"/>
      <c r="E134" s="168"/>
      <c r="F134" s="153"/>
      <c r="G134" s="153"/>
      <c r="H134" s="153"/>
      <c r="I134" s="153"/>
      <c r="J134" s="153"/>
      <c r="K134" s="153"/>
      <c r="L134" s="153"/>
      <c r="M134" s="153"/>
      <c r="N134" s="153"/>
      <c r="O134" s="153"/>
      <c r="P134" s="153"/>
      <c r="Q134" s="153"/>
      <c r="R134" s="153"/>
      <c r="S134" s="153"/>
      <c r="T134" s="139"/>
      <c r="U134" s="39"/>
    </row>
    <row r="135" customFormat="false" ht="20.1" hidden="false" customHeight="true" outlineLevel="0" collapsed="false">
      <c r="B135" s="39"/>
      <c r="C135" s="39"/>
      <c r="D135" s="169"/>
      <c r="E135" s="169"/>
      <c r="F135" s="129"/>
      <c r="G135" s="129"/>
      <c r="H135" s="169"/>
      <c r="I135" s="169"/>
      <c r="J135" s="169"/>
      <c r="K135" s="131"/>
      <c r="L135" s="131"/>
      <c r="M135" s="131"/>
      <c r="N135" s="131"/>
      <c r="O135" s="131"/>
      <c r="P135" s="131"/>
      <c r="Q135" s="131"/>
      <c r="R135" s="131"/>
      <c r="S135" s="131"/>
      <c r="T135" s="39"/>
      <c r="U135" s="39"/>
    </row>
    <row r="136" customFormat="false" ht="20.1" hidden="false" customHeight="true" outlineLevel="0" collapsed="false"/>
    <row r="137" customFormat="false" ht="20.1" hidden="false" customHeight="true" outlineLevel="0" collapsed="false"/>
    <row r="138" customFormat="false" ht="20.1" hidden="false" customHeight="true" outlineLevel="0" collapsed="false">
      <c r="B138" s="39"/>
      <c r="C138" s="39"/>
      <c r="D138" s="40"/>
      <c r="E138" s="40"/>
      <c r="F138" s="40"/>
      <c r="G138" s="40"/>
      <c r="H138" s="39"/>
      <c r="I138" s="39"/>
      <c r="J138" s="39"/>
      <c r="K138" s="39"/>
      <c r="L138" s="39"/>
      <c r="M138" s="39"/>
      <c r="N138" s="39"/>
      <c r="O138" s="39"/>
      <c r="P138" s="39"/>
      <c r="Q138" s="39"/>
      <c r="R138" s="39"/>
      <c r="S138" s="39"/>
      <c r="T138" s="39"/>
      <c r="U138" s="39"/>
    </row>
    <row r="139" customFormat="false" ht="31.5" hidden="false" customHeight="false" outlineLevel="0" collapsed="false">
      <c r="B139" s="39"/>
      <c r="C139" s="442" t="s">
        <v>133</v>
      </c>
      <c r="D139" s="442"/>
      <c r="E139" s="442"/>
      <c r="F139" s="442"/>
      <c r="G139" s="442"/>
      <c r="H139" s="442"/>
      <c r="I139" s="442"/>
      <c r="J139" s="442"/>
      <c r="K139" s="442"/>
      <c r="L139" s="442"/>
      <c r="M139" s="442"/>
      <c r="N139" s="442"/>
      <c r="O139" s="442"/>
      <c r="P139" s="442"/>
      <c r="Q139" s="442"/>
      <c r="R139" s="442"/>
      <c r="S139" s="442"/>
      <c r="T139" s="442"/>
      <c r="U139" s="39"/>
    </row>
    <row r="140" customFormat="false" ht="15.75" hidden="false" customHeight="false" outlineLevel="0" collapsed="false">
      <c r="B140" s="39"/>
      <c r="D140" s="36"/>
      <c r="E140" s="36"/>
      <c r="U140" s="39"/>
    </row>
    <row r="141" customFormat="false" ht="20.1" hidden="false" customHeight="true" outlineLevel="0" collapsed="false">
      <c r="B141" s="39"/>
      <c r="D141" s="263" t="s">
        <v>36</v>
      </c>
      <c r="E141" s="264" t="s">
        <v>239</v>
      </c>
      <c r="F141" s="294" t="s">
        <v>6</v>
      </c>
      <c r="G141" s="266" t="s">
        <v>110</v>
      </c>
      <c r="H141" s="266"/>
      <c r="I141" s="266"/>
      <c r="J141" s="266"/>
      <c r="K141" s="264" t="s">
        <v>71</v>
      </c>
      <c r="L141" s="266" t="s">
        <v>40</v>
      </c>
      <c r="M141" s="266"/>
      <c r="N141" s="266"/>
      <c r="O141" s="266"/>
      <c r="P141" s="266"/>
      <c r="Q141" s="266"/>
      <c r="R141" s="266"/>
      <c r="S141" s="266"/>
      <c r="U141" s="39"/>
    </row>
    <row r="142" customFormat="false" ht="20.1" hidden="false" customHeight="true" outlineLevel="0" collapsed="false">
      <c r="B142" s="39"/>
      <c r="D142" s="263"/>
      <c r="E142" s="264"/>
      <c r="F142" s="264"/>
      <c r="G142" s="267" t="s">
        <v>111</v>
      </c>
      <c r="H142" s="267" t="s">
        <v>41</v>
      </c>
      <c r="I142" s="294" t="s">
        <v>42</v>
      </c>
      <c r="J142" s="294"/>
      <c r="K142" s="267" t="s">
        <v>43</v>
      </c>
      <c r="L142" s="372" t="s">
        <v>111</v>
      </c>
      <c r="M142" s="270" t="s">
        <v>44</v>
      </c>
      <c r="N142" s="384" t="s">
        <v>42</v>
      </c>
      <c r="O142" s="384"/>
      <c r="P142" s="384"/>
      <c r="Q142" s="384"/>
      <c r="R142" s="384"/>
      <c r="S142" s="384"/>
      <c r="U142" s="39"/>
    </row>
    <row r="143" customFormat="false" ht="50.1" hidden="false" customHeight="true" outlineLevel="0" collapsed="false">
      <c r="B143" s="39"/>
      <c r="D143" s="639" t="s">
        <v>12</v>
      </c>
      <c r="E143" s="640" t="s">
        <v>13</v>
      </c>
      <c r="F143" s="641" t="n">
        <v>1</v>
      </c>
      <c r="G143" s="642" t="s">
        <v>85</v>
      </c>
      <c r="H143" s="643" t="s">
        <v>196</v>
      </c>
      <c r="I143" s="618" t="s">
        <v>249</v>
      </c>
      <c r="J143" s="618"/>
      <c r="K143" s="406" t="s">
        <v>50</v>
      </c>
      <c r="L143" s="644" t="s">
        <v>46</v>
      </c>
      <c r="M143" s="481" t="s">
        <v>46</v>
      </c>
      <c r="N143" s="645" t="s">
        <v>46</v>
      </c>
      <c r="O143" s="645"/>
      <c r="P143" s="645"/>
      <c r="Q143" s="645"/>
      <c r="R143" s="645"/>
      <c r="S143" s="645"/>
      <c r="U143" s="39"/>
    </row>
    <row r="144" customFormat="false" ht="20.1" hidden="false" customHeight="true" outlineLevel="0" collapsed="false">
      <c r="B144" s="39"/>
      <c r="D144" s="646" t="s">
        <v>178</v>
      </c>
      <c r="E144" s="647" t="s">
        <v>211</v>
      </c>
      <c r="F144" s="648" t="n">
        <v>2</v>
      </c>
      <c r="G144" s="623" t="s">
        <v>114</v>
      </c>
      <c r="H144" s="620" t="s">
        <v>250</v>
      </c>
      <c r="I144" s="449" t="s">
        <v>46</v>
      </c>
      <c r="J144" s="449"/>
      <c r="K144" s="416" t="s">
        <v>50</v>
      </c>
      <c r="L144" s="649" t="s">
        <v>46</v>
      </c>
      <c r="M144" s="390" t="s">
        <v>46</v>
      </c>
      <c r="N144" s="650" t="s">
        <v>46</v>
      </c>
      <c r="O144" s="650"/>
      <c r="P144" s="650"/>
      <c r="Q144" s="650"/>
      <c r="R144" s="650"/>
      <c r="S144" s="650"/>
      <c r="U144" s="39"/>
    </row>
    <row r="145" customFormat="false" ht="20.1" hidden="false" customHeight="true" outlineLevel="0" collapsed="false">
      <c r="B145" s="39"/>
      <c r="D145" s="646" t="s">
        <v>178</v>
      </c>
      <c r="E145" s="647" t="s">
        <v>211</v>
      </c>
      <c r="F145" s="648" t="n">
        <v>3</v>
      </c>
      <c r="G145" s="623" t="s">
        <v>114</v>
      </c>
      <c r="H145" s="624" t="s">
        <v>251</v>
      </c>
      <c r="I145" s="449" t="s">
        <v>46</v>
      </c>
      <c r="J145" s="449"/>
      <c r="K145" s="651" t="s">
        <v>46</v>
      </c>
      <c r="L145" s="652" t="s">
        <v>46</v>
      </c>
      <c r="M145" s="653" t="s">
        <v>46</v>
      </c>
      <c r="N145" s="654" t="s">
        <v>46</v>
      </c>
      <c r="O145" s="654"/>
      <c r="P145" s="654"/>
      <c r="Q145" s="654"/>
      <c r="R145" s="654"/>
      <c r="S145" s="654"/>
      <c r="U145" s="39"/>
    </row>
    <row r="146" customFormat="false" ht="35.1" hidden="false" customHeight="true" outlineLevel="0" collapsed="false">
      <c r="B146" s="39"/>
      <c r="D146" s="655" t="s">
        <v>12</v>
      </c>
      <c r="E146" s="656" t="s">
        <v>13</v>
      </c>
      <c r="F146" s="657" t="n">
        <v>4</v>
      </c>
      <c r="G146" s="658" t="s">
        <v>85</v>
      </c>
      <c r="H146" s="659" t="s">
        <v>252</v>
      </c>
      <c r="I146" s="626" t="s">
        <v>253</v>
      </c>
      <c r="J146" s="626"/>
      <c r="K146" s="660" t="s">
        <v>46</v>
      </c>
      <c r="L146" s="661" t="s">
        <v>46</v>
      </c>
      <c r="M146" s="662" t="s">
        <v>46</v>
      </c>
      <c r="N146" s="663" t="s">
        <v>46</v>
      </c>
      <c r="O146" s="663"/>
      <c r="P146" s="663"/>
      <c r="Q146" s="663"/>
      <c r="R146" s="663"/>
      <c r="S146" s="663"/>
      <c r="U146" s="39"/>
    </row>
    <row r="147" customFormat="false" ht="20.1" hidden="false" customHeight="true" outlineLevel="0" collapsed="false">
      <c r="B147" s="39"/>
      <c r="D147" s="36"/>
      <c r="E147" s="36"/>
      <c r="I147" s="664"/>
      <c r="U147" s="39"/>
    </row>
    <row r="148" customFormat="false" ht="20.1" hidden="false" customHeight="true" outlineLevel="0" collapsed="false">
      <c r="B148" s="39"/>
      <c r="C148" s="76"/>
      <c r="D148" s="76"/>
      <c r="E148" s="77" t="str">
        <f aca="false">IF(OR(L143="-",L143= ""),H143,L143)</f>
        <v>Carcassonne J&amp;S</v>
      </c>
      <c r="F148" s="77"/>
      <c r="G148" s="77"/>
      <c r="H148" s="77"/>
      <c r="I148" s="77"/>
      <c r="J148" s="77"/>
      <c r="K148" s="77"/>
      <c r="L148" s="77"/>
      <c r="M148" s="77"/>
      <c r="N148" s="77"/>
      <c r="O148" s="78"/>
      <c r="P148" s="78"/>
      <c r="Q148" s="78"/>
      <c r="R148" s="78"/>
      <c r="S148" s="78"/>
      <c r="T148" s="76"/>
      <c r="U148" s="39"/>
    </row>
    <row r="149" customFormat="false" ht="50.1" hidden="false" customHeight="true" outlineLevel="0" collapsed="false">
      <c r="B149" s="39"/>
      <c r="C149" s="76"/>
      <c r="D149" s="78"/>
      <c r="E149" s="263" t="s">
        <v>36</v>
      </c>
      <c r="F149" s="597" t="s">
        <v>222</v>
      </c>
      <c r="G149" s="294" t="s">
        <v>52</v>
      </c>
      <c r="H149" s="264" t="s">
        <v>223</v>
      </c>
      <c r="I149" s="81" t="s">
        <v>224</v>
      </c>
      <c r="J149" s="264" t="s">
        <v>225</v>
      </c>
      <c r="K149" s="295" t="s">
        <v>54</v>
      </c>
      <c r="L149" s="264" t="s">
        <v>55</v>
      </c>
      <c r="M149" s="296" t="s">
        <v>56</v>
      </c>
      <c r="N149" s="294" t="s">
        <v>57</v>
      </c>
      <c r="O149" s="43" t="s">
        <v>58</v>
      </c>
      <c r="P149" s="79" t="s">
        <v>59</v>
      </c>
      <c r="Q149" s="78"/>
      <c r="R149" s="78"/>
      <c r="S149" s="78"/>
      <c r="T149" s="76"/>
      <c r="U149" s="39"/>
    </row>
    <row r="150" customFormat="false" ht="20.1" hidden="false" customHeight="true" outlineLevel="0" collapsed="false">
      <c r="B150" s="39"/>
      <c r="C150" s="76"/>
      <c r="D150" s="297"/>
      <c r="E150" s="665" t="s">
        <v>12</v>
      </c>
      <c r="F150" s="666" t="s">
        <v>13</v>
      </c>
      <c r="G150" s="182" t="n">
        <v>1</v>
      </c>
      <c r="H150" s="182" t="s">
        <v>46</v>
      </c>
      <c r="I150" s="182" t="n">
        <v>0</v>
      </c>
      <c r="J150" s="182" t="n">
        <v>174</v>
      </c>
      <c r="K150" s="182" t="s">
        <v>46</v>
      </c>
      <c r="L150" s="183" t="n">
        <f aca="false">IF(J150="",0,(J150/J152)*100)</f>
        <v>100</v>
      </c>
      <c r="M150" s="182" t="n">
        <v>1</v>
      </c>
      <c r="N150" s="300" t="n">
        <v>6</v>
      </c>
      <c r="O150" s="301" t="n">
        <f aca="false">IF(M150=1,1,0)</f>
        <v>1</v>
      </c>
      <c r="P150" s="84" t="n">
        <f aca="false">IF(M150=2,1,0)</f>
        <v>0</v>
      </c>
      <c r="Q150" s="302"/>
      <c r="R150" s="302"/>
      <c r="S150" s="302"/>
      <c r="T150" s="76"/>
      <c r="U150" s="39"/>
    </row>
    <row r="151" customFormat="false" ht="20.1" hidden="false" customHeight="true" outlineLevel="0" collapsed="false">
      <c r="B151" s="39"/>
      <c r="C151" s="76"/>
      <c r="D151" s="297"/>
      <c r="E151" s="655" t="s">
        <v>178</v>
      </c>
      <c r="F151" s="656" t="s">
        <v>211</v>
      </c>
      <c r="G151" s="186" t="n">
        <v>2</v>
      </c>
      <c r="H151" s="186" t="s">
        <v>46</v>
      </c>
      <c r="I151" s="186" t="n">
        <v>0</v>
      </c>
      <c r="J151" s="186" t="n">
        <v>100</v>
      </c>
      <c r="K151" s="186" t="s">
        <v>46</v>
      </c>
      <c r="L151" s="116" t="n">
        <f aca="false">IF(J151="",0,(J151/J152)*100)</f>
        <v>57.4712643678161</v>
      </c>
      <c r="M151" s="186" t="n">
        <v>2</v>
      </c>
      <c r="N151" s="309" t="n">
        <v>0</v>
      </c>
      <c r="O151" s="310" t="n">
        <f aca="false">IF(M151=1,1,0)</f>
        <v>0</v>
      </c>
      <c r="P151" s="117" t="n">
        <f aca="false">IF(M151=2,1,0)</f>
        <v>1</v>
      </c>
      <c r="Q151" s="302"/>
      <c r="R151" s="302"/>
      <c r="S151" s="302"/>
      <c r="T151" s="76"/>
      <c r="U151" s="39"/>
    </row>
    <row r="152" customFormat="false" ht="20.1" hidden="true" customHeight="true" outlineLevel="1" collapsed="false">
      <c r="B152" s="39"/>
      <c r="C152" s="76"/>
      <c r="D152" s="306"/>
      <c r="E152" s="306"/>
      <c r="F152" s="302"/>
      <c r="G152" s="302"/>
      <c r="H152" s="76"/>
      <c r="I152" s="345" t="s">
        <v>62</v>
      </c>
      <c r="J152" s="98" t="n">
        <f aca="false">MAX(J150:J151)</f>
        <v>174</v>
      </c>
      <c r="K152" s="396"/>
      <c r="L152" s="316"/>
      <c r="M152" s="76"/>
      <c r="N152" s="333" t="s">
        <v>63</v>
      </c>
      <c r="O152" s="102" t="n">
        <f aca="false">SUM(O150:O151)</f>
        <v>1</v>
      </c>
      <c r="P152" s="102" t="n">
        <f aca="false">SUM(P150:P151)</f>
        <v>1</v>
      </c>
      <c r="Q152" s="316"/>
      <c r="R152" s="316"/>
      <c r="S152" s="316"/>
      <c r="T152" s="76"/>
      <c r="U152" s="39"/>
    </row>
    <row r="153" customFormat="false" ht="20.1" hidden="false" customHeight="true" outlineLevel="0" collapsed="false">
      <c r="B153" s="39"/>
      <c r="C153" s="76"/>
      <c r="D153" s="105"/>
      <c r="E153" s="105"/>
      <c r="F153" s="76"/>
      <c r="G153" s="76"/>
      <c r="H153" s="76"/>
      <c r="I153" s="76"/>
      <c r="J153" s="76"/>
      <c r="K153" s="76"/>
      <c r="L153" s="76"/>
      <c r="M153" s="76"/>
      <c r="N153" s="76"/>
      <c r="O153" s="76"/>
      <c r="P153" s="76"/>
      <c r="Q153" s="76"/>
      <c r="R153" s="76"/>
      <c r="S153" s="76"/>
      <c r="T153" s="76"/>
      <c r="U153" s="39"/>
    </row>
    <row r="154" customFormat="false" ht="20.1" hidden="false" customHeight="true" outlineLevel="0" collapsed="false">
      <c r="B154" s="39"/>
      <c r="U154" s="39"/>
    </row>
    <row r="155" customFormat="false" ht="20.1" hidden="false" customHeight="true" outlineLevel="0" collapsed="false">
      <c r="B155" s="39"/>
      <c r="C155" s="107"/>
      <c r="D155" s="107"/>
      <c r="E155" s="108" t="str">
        <f aca="false">IF(OR(L144="-",L144= ""),H144,L144)</f>
        <v>Tea Time</v>
      </c>
      <c r="F155" s="108"/>
      <c r="G155" s="108"/>
      <c r="H155" s="108"/>
      <c r="I155" s="108"/>
      <c r="J155" s="108"/>
      <c r="K155" s="108"/>
      <c r="L155" s="108"/>
      <c r="M155" s="108"/>
      <c r="N155" s="108"/>
      <c r="O155" s="109"/>
      <c r="P155" s="109"/>
      <c r="Q155" s="109"/>
      <c r="R155" s="109"/>
      <c r="S155" s="109"/>
      <c r="T155" s="107"/>
      <c r="U155" s="39"/>
    </row>
    <row r="156" customFormat="false" ht="50.1" hidden="false" customHeight="true" outlineLevel="0" collapsed="false">
      <c r="B156" s="39"/>
      <c r="C156" s="107"/>
      <c r="D156" s="109"/>
      <c r="E156" s="263" t="s">
        <v>36</v>
      </c>
      <c r="F156" s="597" t="s">
        <v>222</v>
      </c>
      <c r="G156" s="294" t="s">
        <v>52</v>
      </c>
      <c r="H156" s="264" t="s">
        <v>223</v>
      </c>
      <c r="I156" s="81" t="s">
        <v>224</v>
      </c>
      <c r="J156" s="264" t="s">
        <v>225</v>
      </c>
      <c r="K156" s="295" t="s">
        <v>54</v>
      </c>
      <c r="L156" s="264" t="s">
        <v>55</v>
      </c>
      <c r="M156" s="296" t="s">
        <v>56</v>
      </c>
      <c r="N156" s="294" t="s">
        <v>57</v>
      </c>
      <c r="O156" s="43" t="s">
        <v>58</v>
      </c>
      <c r="P156" s="79" t="s">
        <v>59</v>
      </c>
      <c r="Q156" s="109"/>
      <c r="R156" s="109"/>
      <c r="S156" s="109"/>
      <c r="T156" s="107"/>
      <c r="U156" s="39"/>
    </row>
    <row r="157" customFormat="false" ht="20.1" hidden="false" customHeight="true" outlineLevel="0" collapsed="false">
      <c r="B157" s="39"/>
      <c r="C157" s="107"/>
      <c r="D157" s="319"/>
      <c r="E157" s="665" t="s">
        <v>12</v>
      </c>
      <c r="F157" s="666" t="s">
        <v>13</v>
      </c>
      <c r="G157" s="182" t="n">
        <v>2</v>
      </c>
      <c r="H157" s="182" t="s">
        <v>46</v>
      </c>
      <c r="I157" s="182" t="n">
        <v>30</v>
      </c>
      <c r="J157" s="182" t="n">
        <v>48</v>
      </c>
      <c r="K157" s="182" t="s">
        <v>46</v>
      </c>
      <c r="L157" s="183" t="n">
        <f aca="false">IF(J157="",0,(J157/J159)*100)</f>
        <v>100</v>
      </c>
      <c r="M157" s="182" t="n">
        <v>1</v>
      </c>
      <c r="N157" s="300" t="n">
        <v>6</v>
      </c>
      <c r="O157" s="301" t="n">
        <f aca="false">IF(M157=1,1,0)</f>
        <v>1</v>
      </c>
      <c r="P157" s="84" t="n">
        <f aca="false">IF(M157=2,1,0)</f>
        <v>0</v>
      </c>
      <c r="Q157" s="322"/>
      <c r="R157" s="322"/>
      <c r="S157" s="322"/>
      <c r="T157" s="107"/>
      <c r="U157" s="39"/>
    </row>
    <row r="158" customFormat="false" ht="20.1" hidden="false" customHeight="true" outlineLevel="0" collapsed="false">
      <c r="B158" s="39"/>
      <c r="C158" s="107"/>
      <c r="D158" s="319"/>
      <c r="E158" s="655" t="s">
        <v>178</v>
      </c>
      <c r="F158" s="656" t="s">
        <v>212</v>
      </c>
      <c r="G158" s="186" t="n">
        <v>1</v>
      </c>
      <c r="H158" s="186" t="s">
        <v>46</v>
      </c>
      <c r="I158" s="186" t="n">
        <v>30</v>
      </c>
      <c r="J158" s="186" t="n">
        <v>47</v>
      </c>
      <c r="K158" s="186" t="s">
        <v>46</v>
      </c>
      <c r="L158" s="116" t="n">
        <f aca="false">IF(J158="",0,(J158/J159)*100)</f>
        <v>97.9166666666667</v>
      </c>
      <c r="M158" s="186" t="n">
        <v>2</v>
      </c>
      <c r="N158" s="309" t="n">
        <v>0</v>
      </c>
      <c r="O158" s="310" t="n">
        <f aca="false">IF(M158=1,1,0)</f>
        <v>0</v>
      </c>
      <c r="P158" s="117" t="n">
        <f aca="false">IF(M158=2,1,0)</f>
        <v>1</v>
      </c>
      <c r="Q158" s="322"/>
      <c r="R158" s="322"/>
      <c r="S158" s="322"/>
      <c r="T158" s="107"/>
      <c r="U158" s="39"/>
    </row>
    <row r="159" customFormat="false" ht="20.1" hidden="true" customHeight="true" outlineLevel="1" collapsed="false">
      <c r="B159" s="39"/>
      <c r="C159" s="107"/>
      <c r="D159" s="319"/>
      <c r="E159" s="319"/>
      <c r="F159" s="322"/>
      <c r="G159" s="322"/>
      <c r="H159" s="107"/>
      <c r="I159" s="331" t="s">
        <v>62</v>
      </c>
      <c r="J159" s="98" t="n">
        <f aca="false">MAX(J157:J158)</f>
        <v>48</v>
      </c>
      <c r="K159" s="332"/>
      <c r="L159" s="322"/>
      <c r="M159" s="107"/>
      <c r="N159" s="333" t="s">
        <v>63</v>
      </c>
      <c r="O159" s="102" t="n">
        <f aca="false">SUM(O157:O158)</f>
        <v>1</v>
      </c>
      <c r="P159" s="667" t="n">
        <f aca="false">SUM(P157:P158)</f>
        <v>1</v>
      </c>
      <c r="Q159" s="334"/>
      <c r="R159" s="334"/>
      <c r="S159" s="334"/>
      <c r="T159" s="107"/>
      <c r="U159" s="39"/>
    </row>
    <row r="160" customFormat="false" ht="20.1" hidden="false" customHeight="true" outlineLevel="0" collapsed="false">
      <c r="B160" s="39"/>
      <c r="C160" s="107"/>
      <c r="D160" s="123"/>
      <c r="E160" s="123"/>
      <c r="F160" s="107"/>
      <c r="G160" s="107"/>
      <c r="H160" s="107"/>
      <c r="I160" s="107"/>
      <c r="J160" s="107"/>
      <c r="K160" s="107"/>
      <c r="L160" s="107"/>
      <c r="M160" s="107"/>
      <c r="N160" s="107"/>
      <c r="O160" s="107"/>
      <c r="P160" s="107"/>
      <c r="Q160" s="107"/>
      <c r="R160" s="107"/>
      <c r="S160" s="107"/>
      <c r="T160" s="107"/>
      <c r="U160" s="39"/>
    </row>
    <row r="161" customFormat="false" ht="20.1" hidden="false" customHeight="true" outlineLevel="0" collapsed="false">
      <c r="B161" s="39"/>
      <c r="D161" s="124"/>
      <c r="E161" s="124"/>
      <c r="F161" s="124"/>
      <c r="G161" s="124"/>
      <c r="H161" s="125"/>
      <c r="I161" s="124"/>
      <c r="J161" s="124"/>
      <c r="K161" s="36"/>
      <c r="L161" s="36"/>
      <c r="M161" s="36"/>
      <c r="N161" s="36"/>
      <c r="O161" s="36"/>
      <c r="P161" s="36"/>
      <c r="Q161" s="36"/>
      <c r="R161" s="36"/>
      <c r="S161" s="36"/>
      <c r="U161" s="39"/>
    </row>
    <row r="162" customFormat="false" ht="20.1" hidden="false" customHeight="true" outlineLevel="0" collapsed="false">
      <c r="B162" s="39"/>
      <c r="C162" s="126"/>
      <c r="D162" s="126"/>
      <c r="E162" s="127" t="str">
        <f aca="false">IF(OR(L145="-",L145= ""),H145,L145)</f>
        <v>4 Gewinnt</v>
      </c>
      <c r="F162" s="127"/>
      <c r="G162" s="127"/>
      <c r="H162" s="127"/>
      <c r="I162" s="127"/>
      <c r="J162" s="127"/>
      <c r="K162" s="127"/>
      <c r="L162" s="127"/>
      <c r="M162" s="127"/>
      <c r="N162" s="127"/>
      <c r="O162" s="128"/>
      <c r="P162" s="128"/>
      <c r="Q162" s="128"/>
      <c r="R162" s="128"/>
      <c r="S162" s="128"/>
      <c r="T162" s="126"/>
      <c r="U162" s="129"/>
    </row>
    <row r="163" customFormat="false" ht="50.1" hidden="false" customHeight="true" outlineLevel="0" collapsed="false">
      <c r="B163" s="39"/>
      <c r="C163" s="126"/>
      <c r="D163" s="128"/>
      <c r="E163" s="263" t="s">
        <v>36</v>
      </c>
      <c r="F163" s="597" t="s">
        <v>222</v>
      </c>
      <c r="G163" s="294" t="s">
        <v>52</v>
      </c>
      <c r="H163" s="264" t="s">
        <v>223</v>
      </c>
      <c r="I163" s="81" t="s">
        <v>224</v>
      </c>
      <c r="J163" s="264" t="s">
        <v>225</v>
      </c>
      <c r="K163" s="295" t="s">
        <v>54</v>
      </c>
      <c r="L163" s="264" t="s">
        <v>55</v>
      </c>
      <c r="M163" s="296" t="s">
        <v>56</v>
      </c>
      <c r="N163" s="294" t="s">
        <v>57</v>
      </c>
      <c r="O163" s="43" t="s">
        <v>58</v>
      </c>
      <c r="P163" s="79" t="s">
        <v>59</v>
      </c>
      <c r="Q163" s="128"/>
      <c r="R163" s="128"/>
      <c r="S163" s="128"/>
      <c r="T163" s="126"/>
      <c r="U163" s="129"/>
    </row>
    <row r="164" customFormat="false" ht="20.1" hidden="false" customHeight="true" outlineLevel="0" collapsed="false">
      <c r="B164" s="39"/>
      <c r="C164" s="126"/>
      <c r="D164" s="336"/>
      <c r="E164" s="665" t="s">
        <v>12</v>
      </c>
      <c r="F164" s="666" t="s">
        <v>13</v>
      </c>
      <c r="G164" s="182" t="n">
        <v>2</v>
      </c>
      <c r="H164" s="182" t="s">
        <v>46</v>
      </c>
      <c r="I164" s="182" t="s">
        <v>46</v>
      </c>
      <c r="J164" s="182" t="n">
        <v>1</v>
      </c>
      <c r="K164" s="182" t="s">
        <v>46</v>
      </c>
      <c r="L164" s="183" t="n">
        <f aca="false">IF(J164="",0,(J164/J166)*100)</f>
        <v>100</v>
      </c>
      <c r="M164" s="182" t="n">
        <v>1</v>
      </c>
      <c r="N164" s="300" t="n">
        <v>6</v>
      </c>
      <c r="O164" s="84" t="n">
        <f aca="false">IF(M164=1,1,0)</f>
        <v>1</v>
      </c>
      <c r="P164" s="668" t="n">
        <f aca="false">IF(M164=2,1,0)</f>
        <v>0</v>
      </c>
      <c r="Q164" s="339"/>
      <c r="R164" s="339"/>
      <c r="S164" s="339"/>
      <c r="T164" s="126"/>
      <c r="U164" s="131"/>
    </row>
    <row r="165" customFormat="false" ht="20.1" hidden="false" customHeight="true" outlineLevel="0" collapsed="false">
      <c r="B165" s="39"/>
      <c r="C165" s="126"/>
      <c r="D165" s="336"/>
      <c r="E165" s="655" t="s">
        <v>178</v>
      </c>
      <c r="F165" s="656" t="s">
        <v>212</v>
      </c>
      <c r="G165" s="186" t="n">
        <v>1</v>
      </c>
      <c r="H165" s="186" t="s">
        <v>46</v>
      </c>
      <c r="I165" s="186" t="s">
        <v>46</v>
      </c>
      <c r="J165" s="186" t="n">
        <v>0</v>
      </c>
      <c r="K165" s="186" t="s">
        <v>46</v>
      </c>
      <c r="L165" s="116" t="n">
        <f aca="false">IF(J165="",0,(J165/J166)*100)</f>
        <v>0</v>
      </c>
      <c r="M165" s="186" t="n">
        <v>2</v>
      </c>
      <c r="N165" s="309" t="n">
        <v>0</v>
      </c>
      <c r="O165" s="117" t="n">
        <f aca="false">IF(M165=1,1,0)</f>
        <v>0</v>
      </c>
      <c r="P165" s="669" t="n">
        <f aca="false">IF(M165=2,1,0)</f>
        <v>1</v>
      </c>
      <c r="Q165" s="339"/>
      <c r="R165" s="339"/>
      <c r="S165" s="339"/>
      <c r="T165" s="126"/>
      <c r="U165" s="132"/>
    </row>
    <row r="166" customFormat="false" ht="20.1" hidden="true" customHeight="true" outlineLevel="1" collapsed="false">
      <c r="B166" s="39"/>
      <c r="C166" s="126"/>
      <c r="D166" s="336"/>
      <c r="E166" s="336"/>
      <c r="F166" s="339"/>
      <c r="G166" s="339"/>
      <c r="H166" s="126"/>
      <c r="I166" s="345" t="s">
        <v>62</v>
      </c>
      <c r="J166" s="98" t="n">
        <f aca="false">MAX(J164:J165)</f>
        <v>1</v>
      </c>
      <c r="K166" s="346"/>
      <c r="L166" s="339"/>
      <c r="M166" s="126"/>
      <c r="N166" s="333" t="s">
        <v>63</v>
      </c>
      <c r="O166" s="102" t="n">
        <f aca="false">SUM(O164:O165)</f>
        <v>1</v>
      </c>
      <c r="P166" s="102" t="n">
        <f aca="false">SUM(P164:P165)</f>
        <v>1</v>
      </c>
      <c r="Q166" s="347"/>
      <c r="R166" s="347"/>
      <c r="S166" s="347"/>
      <c r="T166" s="126"/>
      <c r="U166" s="132"/>
    </row>
    <row r="167" customFormat="false" ht="20.1" hidden="false" customHeight="true" outlineLevel="0" collapsed="false">
      <c r="B167" s="39"/>
      <c r="C167" s="126"/>
      <c r="D167" s="133"/>
      <c r="E167" s="133"/>
      <c r="F167" s="126"/>
      <c r="G167" s="126"/>
      <c r="H167" s="126"/>
      <c r="I167" s="126"/>
      <c r="J167" s="126"/>
      <c r="K167" s="126"/>
      <c r="L167" s="126"/>
      <c r="M167" s="126"/>
      <c r="N167" s="126"/>
      <c r="O167" s="126"/>
      <c r="P167" s="126"/>
      <c r="Q167" s="126"/>
      <c r="R167" s="126"/>
      <c r="S167" s="126"/>
      <c r="T167" s="126"/>
      <c r="U167" s="132"/>
    </row>
    <row r="168" customFormat="false" ht="20.1" hidden="false" customHeight="true" outlineLevel="0" collapsed="false">
      <c r="B168" s="39"/>
      <c r="D168" s="124"/>
      <c r="E168" s="124"/>
      <c r="F168" s="124"/>
      <c r="G168" s="124"/>
      <c r="H168" s="125"/>
      <c r="I168" s="124"/>
      <c r="J168" s="124"/>
      <c r="K168" s="124"/>
      <c r="L168" s="36"/>
      <c r="M168" s="36"/>
      <c r="N168" s="36"/>
      <c r="O168" s="36"/>
      <c r="P168" s="36"/>
      <c r="Q168" s="36"/>
      <c r="R168" s="36"/>
      <c r="S168" s="36"/>
      <c r="U168" s="131"/>
    </row>
    <row r="169" customFormat="false" ht="20.1" hidden="false" customHeight="true" outlineLevel="0" collapsed="false">
      <c r="B169" s="39"/>
      <c r="C169" s="134"/>
      <c r="D169" s="134"/>
      <c r="E169" s="135" t="str">
        <f aca="false">IF(OR(L146="-",L146= ""),H146,L146)</f>
        <v>Can't Stop</v>
      </c>
      <c r="F169" s="135"/>
      <c r="G169" s="135"/>
      <c r="H169" s="135"/>
      <c r="I169" s="135"/>
      <c r="J169" s="135"/>
      <c r="K169" s="135"/>
      <c r="L169" s="135"/>
      <c r="M169" s="135"/>
      <c r="N169" s="135"/>
      <c r="O169" s="136"/>
      <c r="P169" s="136"/>
      <c r="Q169" s="136"/>
      <c r="R169" s="136"/>
      <c r="S169" s="136"/>
      <c r="T169" s="134"/>
      <c r="U169" s="129"/>
    </row>
    <row r="170" customFormat="false" ht="50.1" hidden="false" customHeight="true" outlineLevel="0" collapsed="false">
      <c r="B170" s="39"/>
      <c r="C170" s="134"/>
      <c r="D170" s="136"/>
      <c r="E170" s="263" t="s">
        <v>36</v>
      </c>
      <c r="F170" s="597" t="s">
        <v>222</v>
      </c>
      <c r="G170" s="294" t="s">
        <v>52</v>
      </c>
      <c r="H170" s="264" t="s">
        <v>223</v>
      </c>
      <c r="I170" s="81" t="s">
        <v>224</v>
      </c>
      <c r="J170" s="264" t="s">
        <v>225</v>
      </c>
      <c r="K170" s="295" t="s">
        <v>54</v>
      </c>
      <c r="L170" s="264" t="s">
        <v>55</v>
      </c>
      <c r="M170" s="296" t="s">
        <v>56</v>
      </c>
      <c r="N170" s="294" t="s">
        <v>57</v>
      </c>
      <c r="O170" s="43" t="s">
        <v>58</v>
      </c>
      <c r="P170" s="79" t="s">
        <v>59</v>
      </c>
      <c r="Q170" s="136"/>
      <c r="R170" s="136"/>
      <c r="S170" s="136"/>
      <c r="T170" s="134"/>
      <c r="U170" s="129"/>
    </row>
    <row r="171" customFormat="false" ht="20.1" hidden="false" customHeight="true" outlineLevel="0" collapsed="false">
      <c r="B171" s="39"/>
      <c r="C171" s="134"/>
      <c r="D171" s="349"/>
      <c r="E171" s="665" t="s">
        <v>12</v>
      </c>
      <c r="F171" s="666" t="s">
        <v>13</v>
      </c>
      <c r="G171" s="182" t="n">
        <v>1</v>
      </c>
      <c r="H171" s="182" t="s">
        <v>46</v>
      </c>
      <c r="I171" s="182" t="n">
        <v>0</v>
      </c>
      <c r="J171" s="182" t="n">
        <v>3</v>
      </c>
      <c r="K171" s="182" t="s">
        <v>46</v>
      </c>
      <c r="L171" s="183" t="n">
        <f aca="false">IF(J171="",0,(J171/J173)*100)</f>
        <v>100</v>
      </c>
      <c r="M171" s="182" t="n">
        <v>1</v>
      </c>
      <c r="N171" s="300" t="n">
        <v>6</v>
      </c>
      <c r="O171" s="301" t="n">
        <f aca="false">IF(M171=1,1,0)</f>
        <v>1</v>
      </c>
      <c r="P171" s="84" t="n">
        <f aca="false">IF(M171=2,1,0)</f>
        <v>0</v>
      </c>
      <c r="Q171" s="350"/>
      <c r="R171" s="350"/>
      <c r="S171" s="350"/>
      <c r="T171" s="134"/>
      <c r="U171" s="131"/>
    </row>
    <row r="172" customFormat="false" ht="20.1" hidden="false" customHeight="true" outlineLevel="0" collapsed="false">
      <c r="B172" s="39"/>
      <c r="C172" s="134"/>
      <c r="D172" s="349"/>
      <c r="E172" s="655" t="s">
        <v>178</v>
      </c>
      <c r="F172" s="656" t="s">
        <v>211</v>
      </c>
      <c r="G172" s="186" t="n">
        <v>2</v>
      </c>
      <c r="H172" s="186" t="s">
        <v>46</v>
      </c>
      <c r="I172" s="186" t="n">
        <v>0</v>
      </c>
      <c r="J172" s="186" t="n">
        <v>0</v>
      </c>
      <c r="K172" s="186" t="s">
        <v>46</v>
      </c>
      <c r="L172" s="116" t="n">
        <f aca="false">IF(J172="",0,(J172/J173)*100)</f>
        <v>0</v>
      </c>
      <c r="M172" s="186" t="n">
        <v>2</v>
      </c>
      <c r="N172" s="309" t="n">
        <v>0</v>
      </c>
      <c r="O172" s="310" t="n">
        <f aca="false">IF(M172=1,1,0)</f>
        <v>0</v>
      </c>
      <c r="P172" s="117" t="n">
        <f aca="false">IF(M172=2,1,0)</f>
        <v>1</v>
      </c>
      <c r="Q172" s="350"/>
      <c r="R172" s="350"/>
      <c r="S172" s="350"/>
      <c r="T172" s="134"/>
      <c r="U172" s="132"/>
    </row>
    <row r="173" customFormat="false" ht="20.1" hidden="true" customHeight="true" outlineLevel="1" collapsed="false">
      <c r="B173" s="39"/>
      <c r="C173" s="134"/>
      <c r="D173" s="349"/>
      <c r="E173" s="349"/>
      <c r="F173" s="350"/>
      <c r="G173" s="350"/>
      <c r="H173" s="134"/>
      <c r="I173" s="345" t="s">
        <v>62</v>
      </c>
      <c r="J173" s="98" t="n">
        <f aca="false">MAX(J171:J172)</f>
        <v>3</v>
      </c>
      <c r="K173" s="353"/>
      <c r="L173" s="350"/>
      <c r="M173" s="134"/>
      <c r="N173" s="333" t="s">
        <v>63</v>
      </c>
      <c r="O173" s="102" t="n">
        <f aca="false">SUM(O171:O172)</f>
        <v>1</v>
      </c>
      <c r="P173" s="667" t="n">
        <f aca="false">SUM(P171:P172)</f>
        <v>1</v>
      </c>
      <c r="Q173" s="354"/>
      <c r="R173" s="354"/>
      <c r="S173" s="354"/>
      <c r="T173" s="134"/>
      <c r="U173" s="132"/>
    </row>
    <row r="174" customFormat="false" ht="20.1" hidden="false" customHeight="true" outlineLevel="0" collapsed="false">
      <c r="B174" s="39"/>
      <c r="C174" s="134"/>
      <c r="D174" s="137"/>
      <c r="E174" s="137"/>
      <c r="F174" s="134"/>
      <c r="G174" s="134"/>
      <c r="H174" s="134"/>
      <c r="I174" s="134"/>
      <c r="J174" s="134"/>
      <c r="K174" s="134"/>
      <c r="L174" s="134"/>
      <c r="M174" s="134"/>
      <c r="N174" s="134"/>
      <c r="O174" s="134"/>
      <c r="P174" s="134"/>
      <c r="Q174" s="134"/>
      <c r="R174" s="134"/>
      <c r="S174" s="134"/>
      <c r="T174" s="134"/>
      <c r="U174" s="132"/>
    </row>
    <row r="175" customFormat="false" ht="20.1" hidden="false" customHeight="true" outlineLevel="0" collapsed="false">
      <c r="B175" s="39"/>
      <c r="D175" s="124"/>
      <c r="E175" s="124"/>
      <c r="F175" s="124"/>
      <c r="G175" s="124"/>
      <c r="H175" s="125"/>
      <c r="I175" s="124"/>
      <c r="J175" s="124"/>
      <c r="K175" s="124"/>
      <c r="L175" s="36"/>
      <c r="M175" s="36"/>
      <c r="N175" s="36"/>
      <c r="O175" s="36"/>
      <c r="P175" s="36"/>
      <c r="Q175" s="36"/>
      <c r="R175" s="36"/>
      <c r="S175" s="36"/>
      <c r="U175" s="131"/>
    </row>
    <row r="176" customFormat="false" ht="24" hidden="false" customHeight="false" outlineLevel="0" collapsed="false">
      <c r="B176" s="39"/>
      <c r="C176" s="139"/>
      <c r="D176" s="419"/>
      <c r="E176" s="140" t="s">
        <v>173</v>
      </c>
      <c r="F176" s="140"/>
      <c r="G176" s="140"/>
      <c r="H176" s="140"/>
      <c r="I176" s="140"/>
      <c r="J176" s="140"/>
      <c r="K176" s="140"/>
      <c r="L176" s="140"/>
      <c r="M176" s="140"/>
      <c r="N176" s="140"/>
      <c r="O176" s="141"/>
      <c r="P176" s="141"/>
      <c r="Q176" s="141"/>
      <c r="R176" s="141"/>
      <c r="S176" s="141"/>
      <c r="T176" s="139"/>
      <c r="U176" s="39"/>
    </row>
    <row r="177" customFormat="false" ht="50.1" hidden="false" customHeight="true" outlineLevel="0" collapsed="false">
      <c r="B177" s="39"/>
      <c r="C177" s="139"/>
      <c r="D177" s="398"/>
      <c r="E177" s="356" t="s">
        <v>36</v>
      </c>
      <c r="F177" s="357" t="s">
        <v>218</v>
      </c>
      <c r="G177" s="358" t="s">
        <v>57</v>
      </c>
      <c r="H177" s="146" t="s">
        <v>236</v>
      </c>
      <c r="I177" s="143" t="s">
        <v>237</v>
      </c>
      <c r="J177" s="143"/>
      <c r="K177" s="488" t="s">
        <v>238</v>
      </c>
      <c r="L177" s="359" t="s">
        <v>65</v>
      </c>
      <c r="M177" s="358" t="s">
        <v>66</v>
      </c>
      <c r="N177" s="357" t="s">
        <v>69</v>
      </c>
      <c r="O177" s="147"/>
      <c r="P177" s="147"/>
      <c r="Q177" s="147"/>
      <c r="R177" s="147"/>
      <c r="S177" s="147"/>
      <c r="T177" s="139"/>
      <c r="U177" s="39"/>
    </row>
    <row r="178" customFormat="false" ht="20.1" hidden="false" customHeight="true" outlineLevel="0" collapsed="false">
      <c r="B178" s="39"/>
      <c r="C178" s="139"/>
      <c r="D178" s="360"/>
      <c r="E178" s="670" t="s">
        <v>12</v>
      </c>
      <c r="F178" s="671" t="s">
        <v>13</v>
      </c>
      <c r="G178" s="631" t="n">
        <f aca="false">L178*6+M178*0</f>
        <v>24</v>
      </c>
      <c r="H178" s="604" t="n">
        <v>0</v>
      </c>
      <c r="I178" s="632" t="s">
        <v>46</v>
      </c>
      <c r="J178" s="632"/>
      <c r="K178" s="604" t="n">
        <f aca="false">G178+H178</f>
        <v>24</v>
      </c>
      <c r="L178" s="630" t="n">
        <v>4</v>
      </c>
      <c r="M178" s="631" t="n">
        <v>0</v>
      </c>
      <c r="N178" s="635" t="n">
        <f aca="false">($L$150+$L$157+$L$164+$L$171)/4</f>
        <v>100</v>
      </c>
      <c r="O178" s="153"/>
      <c r="P178" s="153"/>
      <c r="Q178" s="153"/>
      <c r="R178" s="153"/>
      <c r="S178" s="153"/>
      <c r="T178" s="139"/>
      <c r="U178" s="39"/>
    </row>
    <row r="179" customFormat="false" ht="20.1" hidden="false" customHeight="true" outlineLevel="0" collapsed="false">
      <c r="B179" s="39"/>
      <c r="C179" s="139"/>
      <c r="D179" s="168"/>
      <c r="E179" s="368" t="s">
        <v>178</v>
      </c>
      <c r="F179" s="611" t="s">
        <v>211</v>
      </c>
      <c r="G179" s="426" t="n">
        <f aca="false">L179*6+M179*0</f>
        <v>0</v>
      </c>
      <c r="H179" s="427" t="n">
        <v>0</v>
      </c>
      <c r="I179" s="637" t="s">
        <v>46</v>
      </c>
      <c r="J179" s="637"/>
      <c r="K179" s="427" t="n">
        <f aca="false">G179+H179</f>
        <v>0</v>
      </c>
      <c r="L179" s="403" t="n">
        <v>0</v>
      </c>
      <c r="M179" s="427" t="n">
        <v>4</v>
      </c>
      <c r="N179" s="428" t="n">
        <f aca="false">($L$151+$L$158+$L$165+$L$172)/4</f>
        <v>38.8469827586207</v>
      </c>
      <c r="O179" s="153"/>
      <c r="P179" s="153"/>
      <c r="Q179" s="153"/>
      <c r="R179" s="153"/>
      <c r="S179" s="153"/>
      <c r="T179" s="139"/>
      <c r="U179" s="39"/>
    </row>
    <row r="180" customFormat="false" ht="20.1" hidden="false" customHeight="true" outlineLevel="0" collapsed="false">
      <c r="B180" s="39"/>
      <c r="C180" s="139"/>
      <c r="D180" s="168"/>
      <c r="E180" s="168"/>
      <c r="F180" s="153"/>
      <c r="G180" s="153"/>
      <c r="H180" s="153"/>
      <c r="I180" s="153"/>
      <c r="J180" s="153"/>
      <c r="K180" s="153"/>
      <c r="L180" s="153"/>
      <c r="M180" s="153"/>
      <c r="N180" s="153"/>
      <c r="O180" s="153"/>
      <c r="P180" s="153"/>
      <c r="Q180" s="153"/>
      <c r="R180" s="153"/>
      <c r="S180" s="153"/>
      <c r="T180" s="139"/>
      <c r="U180" s="39"/>
    </row>
    <row r="181" customFormat="false" ht="20.1" hidden="false" customHeight="true" outlineLevel="0" collapsed="false">
      <c r="B181" s="39"/>
      <c r="C181" s="139"/>
      <c r="D181" s="168"/>
      <c r="E181" s="168"/>
      <c r="F181" s="153"/>
      <c r="G181" s="153"/>
      <c r="H181" s="153"/>
      <c r="I181" s="153"/>
      <c r="J181" s="153"/>
      <c r="K181" s="153"/>
      <c r="L181" s="153"/>
      <c r="M181" s="153"/>
      <c r="N181" s="153"/>
      <c r="O181" s="153"/>
      <c r="P181" s="153"/>
      <c r="Q181" s="153"/>
      <c r="R181" s="153"/>
      <c r="S181" s="153"/>
      <c r="T181" s="139"/>
      <c r="U181" s="39"/>
    </row>
    <row r="182" customFormat="false" ht="20.1" hidden="false" customHeight="true" outlineLevel="0" collapsed="false">
      <c r="B182" s="39"/>
      <c r="C182" s="139"/>
      <c r="D182" s="168"/>
      <c r="E182" s="168"/>
      <c r="F182" s="153"/>
      <c r="G182" s="153"/>
      <c r="H182" s="153"/>
      <c r="I182" s="153"/>
      <c r="J182" s="153"/>
      <c r="K182" s="153"/>
      <c r="L182" s="153"/>
      <c r="M182" s="153"/>
      <c r="N182" s="153"/>
      <c r="O182" s="153"/>
      <c r="P182" s="153"/>
      <c r="Q182" s="153"/>
      <c r="R182" s="153"/>
      <c r="S182" s="153"/>
      <c r="T182" s="139"/>
      <c r="U182" s="39"/>
    </row>
    <row r="183" customFormat="false" ht="20.1" hidden="false" customHeight="true" outlineLevel="0" collapsed="false">
      <c r="B183" s="39"/>
      <c r="C183" s="39"/>
      <c r="D183" s="169"/>
      <c r="E183" s="169"/>
      <c r="F183" s="129"/>
      <c r="G183" s="129"/>
      <c r="H183" s="169"/>
      <c r="I183" s="169"/>
      <c r="J183" s="169"/>
      <c r="K183" s="131"/>
      <c r="L183" s="131"/>
      <c r="M183" s="131"/>
      <c r="N183" s="131"/>
      <c r="O183" s="131"/>
      <c r="P183" s="131"/>
      <c r="Q183" s="131"/>
      <c r="R183" s="131"/>
      <c r="S183" s="131"/>
      <c r="T183" s="39"/>
      <c r="U183" s="39"/>
    </row>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5"/>
    <mergeCell ref="B15:C15"/>
    <mergeCell ref="J16:K16"/>
    <mergeCell ref="B17:G17"/>
    <mergeCell ref="B18:C18"/>
    <mergeCell ref="B19:C19"/>
    <mergeCell ref="C22: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9:T139"/>
    <mergeCell ref="D141:D142"/>
    <mergeCell ref="E141:E142"/>
    <mergeCell ref="F141:F142"/>
    <mergeCell ref="G141:J141"/>
    <mergeCell ref="L141:S141"/>
    <mergeCell ref="I142:J142"/>
    <mergeCell ref="N142:S142"/>
    <mergeCell ref="I143:J143"/>
    <mergeCell ref="N143:S143"/>
    <mergeCell ref="I144:J144"/>
    <mergeCell ref="N144:S144"/>
    <mergeCell ref="I145:J145"/>
    <mergeCell ref="N145:S145"/>
    <mergeCell ref="I146:J146"/>
    <mergeCell ref="N146:S146"/>
    <mergeCell ref="E148:N148"/>
    <mergeCell ref="F152:G152"/>
    <mergeCell ref="E155:N155"/>
    <mergeCell ref="F159:G159"/>
    <mergeCell ref="E162:N162"/>
    <mergeCell ref="F166:G166"/>
    <mergeCell ref="E169:N169"/>
    <mergeCell ref="F173:G173"/>
    <mergeCell ref="E176:N176"/>
    <mergeCell ref="I177:J177"/>
    <mergeCell ref="I178:J178"/>
    <mergeCell ref="I179:J179"/>
  </mergeCells>
  <dataValidations count="1">
    <dataValidation allowBlank="true" operator="between" showDropDown="false" showErrorMessage="true" showInputMessage="true" sqref="H6:H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64"/>
  <sheetViews>
    <sheetView showFormulas="false" showGridLines="false" showRowColHeaders="true" showZeros="true" rightToLeft="false" tabSelected="false" showOutlineSymbols="true" defaultGridColor="true" view="normal" topLeftCell="A78" colorId="64" zoomScale="100" zoomScaleNormal="100" zoomScalePageLayoutView="100" workbookViewId="0">
      <selection pane="topLeft" activeCell="I84" activeCellId="0" sqref="I84"/>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7"/>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254</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255</v>
      </c>
      <c r="C4" s="3"/>
      <c r="D4" s="3"/>
      <c r="E4" s="3"/>
      <c r="F4" s="3"/>
      <c r="G4" s="3"/>
      <c r="H4" s="3"/>
      <c r="J4" s="3" t="s">
        <v>90</v>
      </c>
      <c r="K4" s="3"/>
      <c r="L4" s="3"/>
      <c r="Q4" s="51"/>
      <c r="R4" s="51"/>
      <c r="S4" s="51"/>
      <c r="T4" s="138"/>
      <c r="U4" s="51"/>
      <c r="V4" s="51"/>
      <c r="W4" s="51"/>
      <c r="X4" s="51"/>
    </row>
    <row r="5" customFormat="false" ht="50.1" hidden="false" customHeight="true" outlineLevel="0" collapsed="false">
      <c r="B5" s="81" t="s">
        <v>256</v>
      </c>
      <c r="C5" s="81"/>
      <c r="D5" s="213" t="s">
        <v>2</v>
      </c>
      <c r="E5" s="570" t="s">
        <v>202</v>
      </c>
      <c r="F5" s="571" t="s">
        <v>203</v>
      </c>
      <c r="G5" s="572" t="s">
        <v>204</v>
      </c>
      <c r="H5" s="4" t="s">
        <v>257</v>
      </c>
      <c r="J5" s="5" t="s">
        <v>2</v>
      </c>
      <c r="K5" s="219" t="s">
        <v>94</v>
      </c>
      <c r="L5" s="82" t="s">
        <v>6</v>
      </c>
      <c r="P5" s="36"/>
      <c r="Q5" s="138"/>
      <c r="S5" s="51"/>
      <c r="T5" s="51"/>
      <c r="U5" s="51"/>
      <c r="V5" s="138"/>
      <c r="W5" s="138"/>
    </row>
    <row r="6" customFormat="false" ht="20.1" hidden="false" customHeight="true" outlineLevel="0" collapsed="false">
      <c r="B6" s="672" t="n">
        <v>1</v>
      </c>
      <c r="C6" s="672"/>
      <c r="D6" s="361" t="s">
        <v>27</v>
      </c>
      <c r="E6" s="225" t="s">
        <v>207</v>
      </c>
      <c r="F6" s="673" t="s">
        <v>207</v>
      </c>
      <c r="G6" s="673" t="s">
        <v>208</v>
      </c>
      <c r="H6" s="226" t="s">
        <v>9</v>
      </c>
      <c r="J6" s="9" t="str">
        <f aca="false">D6</f>
        <v>Alex Ulbricht</v>
      </c>
      <c r="K6" s="230" t="n">
        <v>1</v>
      </c>
      <c r="L6" s="12" t="n">
        <v>1</v>
      </c>
      <c r="P6" s="36"/>
      <c r="Q6" s="120"/>
      <c r="S6" s="36"/>
      <c r="T6" s="36"/>
      <c r="U6" s="36"/>
      <c r="V6" s="120"/>
      <c r="W6" s="120"/>
    </row>
    <row r="7" customFormat="false" ht="20.1" hidden="false" customHeight="true" outlineLevel="0" collapsed="false">
      <c r="B7" s="674" t="n">
        <v>2</v>
      </c>
      <c r="C7" s="674"/>
      <c r="D7" s="675" t="s">
        <v>14</v>
      </c>
      <c r="E7" s="235" t="s">
        <v>15</v>
      </c>
      <c r="F7" s="235" t="s">
        <v>15</v>
      </c>
      <c r="G7" s="235" t="s">
        <v>15</v>
      </c>
      <c r="H7" s="236" t="s">
        <v>9</v>
      </c>
      <c r="I7" s="36"/>
      <c r="J7" s="16" t="str">
        <f aca="false">D7</f>
        <v>Devid Fulterer</v>
      </c>
      <c r="K7" s="230"/>
      <c r="L7" s="19" t="n">
        <v>2</v>
      </c>
      <c r="P7" s="36"/>
      <c r="Q7" s="120"/>
      <c r="S7" s="36"/>
      <c r="T7" s="36"/>
      <c r="U7" s="36"/>
      <c r="V7" s="120"/>
      <c r="W7" s="120"/>
    </row>
    <row r="8" customFormat="false" ht="20.1" hidden="false" customHeight="true" outlineLevel="0" collapsed="false">
      <c r="B8" s="674" t="n">
        <v>3</v>
      </c>
      <c r="C8" s="674"/>
      <c r="D8" s="675"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674" t="n">
        <v>4</v>
      </c>
      <c r="C9" s="674"/>
      <c r="D9" s="675" t="s">
        <v>96</v>
      </c>
      <c r="E9" s="545" t="s">
        <v>210</v>
      </c>
      <c r="F9" s="574" t="s">
        <v>210</v>
      </c>
      <c r="G9" s="574" t="s">
        <v>210</v>
      </c>
      <c r="H9" s="236" t="s">
        <v>9</v>
      </c>
      <c r="I9" s="36"/>
      <c r="J9" s="247" t="str">
        <f aca="false">D9</f>
        <v>Kai Maibaum</v>
      </c>
      <c r="K9" s="230"/>
      <c r="L9" s="252" t="n">
        <v>4</v>
      </c>
      <c r="P9" s="36"/>
      <c r="Q9" s="120"/>
      <c r="S9" s="36"/>
      <c r="T9" s="36"/>
      <c r="U9" s="36"/>
      <c r="V9" s="120"/>
      <c r="W9" s="120"/>
    </row>
    <row r="10" customFormat="false" ht="20.1" hidden="false" customHeight="true" outlineLevel="0" collapsed="false">
      <c r="B10" s="674" t="n">
        <v>5</v>
      </c>
      <c r="C10" s="674"/>
      <c r="D10" s="675" t="s">
        <v>22</v>
      </c>
      <c r="E10" s="235" t="s">
        <v>23</v>
      </c>
      <c r="F10" s="574" t="s">
        <v>23</v>
      </c>
      <c r="G10" s="574" t="s">
        <v>208</v>
      </c>
      <c r="H10" s="236" t="s">
        <v>9</v>
      </c>
      <c r="I10" s="544"/>
      <c r="J10" s="9" t="str">
        <f aca="false">D10</f>
        <v>Markus Hagenauer</v>
      </c>
      <c r="K10" s="230" t="n">
        <v>2</v>
      </c>
      <c r="L10" s="12" t="n">
        <v>1</v>
      </c>
      <c r="P10" s="36"/>
      <c r="Q10" s="120"/>
      <c r="S10" s="36"/>
      <c r="T10" s="36"/>
      <c r="U10" s="36"/>
      <c r="V10" s="120"/>
      <c r="W10" s="120"/>
    </row>
    <row r="11" customFormat="false" ht="20.1" hidden="false" customHeight="true" outlineLevel="0" collapsed="false">
      <c r="B11" s="674" t="n">
        <v>6</v>
      </c>
      <c r="C11" s="674"/>
      <c r="D11" s="675" t="s">
        <v>12</v>
      </c>
      <c r="E11" s="235" t="s">
        <v>13</v>
      </c>
      <c r="F11" s="574" t="s">
        <v>13</v>
      </c>
      <c r="G11" s="574" t="s">
        <v>208</v>
      </c>
      <c r="H11" s="236" t="s">
        <v>9</v>
      </c>
      <c r="I11" s="544"/>
      <c r="J11" s="16" t="str">
        <f aca="false">D11</f>
        <v>Miriam Dirler</v>
      </c>
      <c r="K11" s="230"/>
      <c r="L11" s="19" t="n">
        <v>2</v>
      </c>
      <c r="P11" s="36"/>
      <c r="Q11" s="120"/>
      <c r="S11" s="36"/>
      <c r="T11" s="36"/>
      <c r="U11" s="36"/>
      <c r="V11" s="120"/>
      <c r="W11" s="120"/>
    </row>
    <row r="12" customFormat="false" ht="20.1" hidden="false" customHeight="true" outlineLevel="0" collapsed="false">
      <c r="B12" s="674" t="n">
        <v>7</v>
      </c>
      <c r="C12" s="674"/>
      <c r="D12" s="675" t="s">
        <v>10</v>
      </c>
      <c r="E12" s="235" t="s">
        <v>11</v>
      </c>
      <c r="F12" s="574" t="s">
        <v>209</v>
      </c>
      <c r="G12" s="574" t="s">
        <v>209</v>
      </c>
      <c r="H12" s="236" t="s">
        <v>9</v>
      </c>
      <c r="I12" s="544"/>
      <c r="J12" s="20" t="str">
        <f aca="false">D12</f>
        <v>Wolfgang Mulser</v>
      </c>
      <c r="K12" s="230"/>
      <c r="L12" s="23" t="n">
        <v>3</v>
      </c>
      <c r="P12" s="36"/>
      <c r="Q12" s="120"/>
      <c r="S12" s="36"/>
      <c r="T12" s="36"/>
      <c r="U12" s="36"/>
      <c r="V12" s="120"/>
      <c r="W12" s="120"/>
    </row>
    <row r="13" customFormat="false" ht="20.1" hidden="false" customHeight="true" outlineLevel="0" collapsed="false">
      <c r="B13" s="674" t="n">
        <v>8</v>
      </c>
      <c r="C13" s="674"/>
      <c r="D13" s="675" t="s">
        <v>178</v>
      </c>
      <c r="E13" s="235" t="s">
        <v>211</v>
      </c>
      <c r="F13" s="574" t="s">
        <v>212</v>
      </c>
      <c r="G13" s="574" t="s">
        <v>208</v>
      </c>
      <c r="H13" s="236" t="s">
        <v>9</v>
      </c>
      <c r="I13" s="544"/>
      <c r="J13" s="9" t="str">
        <f aca="false">D13</f>
        <v>Markus Hundshagen</v>
      </c>
      <c r="K13" s="230" t="n">
        <v>3</v>
      </c>
      <c r="L13" s="12" t="n">
        <v>1</v>
      </c>
      <c r="P13" s="36"/>
      <c r="Q13" s="120"/>
      <c r="S13" s="36"/>
      <c r="T13" s="36"/>
      <c r="U13" s="36"/>
      <c r="V13" s="120"/>
      <c r="W13" s="120"/>
    </row>
    <row r="14" customFormat="false" ht="20.1" hidden="false" customHeight="true" outlineLevel="0" collapsed="false">
      <c r="B14" s="676" t="n">
        <v>9</v>
      </c>
      <c r="C14" s="676"/>
      <c r="D14" s="677" t="s">
        <v>16</v>
      </c>
      <c r="E14" s="255" t="s">
        <v>17</v>
      </c>
      <c r="F14" s="575" t="s">
        <v>17</v>
      </c>
      <c r="G14" s="575" t="s">
        <v>17</v>
      </c>
      <c r="H14" s="256" t="s">
        <v>9</v>
      </c>
      <c r="I14" s="36"/>
      <c r="J14" s="20" t="str">
        <f aca="false">D14</f>
        <v>Jérôme Schätzle</v>
      </c>
      <c r="K14" s="230"/>
      <c r="L14" s="23" t="n">
        <v>2</v>
      </c>
      <c r="P14" s="36"/>
      <c r="Q14" s="120"/>
      <c r="S14" s="36"/>
      <c r="T14" s="36"/>
      <c r="U14" s="36"/>
      <c r="V14" s="120"/>
      <c r="W14" s="120"/>
    </row>
    <row r="15" customFormat="false" ht="20.1" hidden="false" customHeight="true" outlineLevel="0" collapsed="false">
      <c r="J15" s="678" t="s">
        <v>258</v>
      </c>
      <c r="K15" s="678"/>
      <c r="L15" s="548" t="n">
        <v>9</v>
      </c>
      <c r="P15" s="51"/>
      <c r="Q15" s="51"/>
      <c r="S15" s="51"/>
      <c r="T15" s="51"/>
      <c r="U15" s="51"/>
      <c r="V15" s="51"/>
    </row>
    <row r="16" customFormat="false" ht="15.75" hidden="false" customHeight="false" outlineLevel="0" collapsed="false">
      <c r="B16" s="3" t="s">
        <v>259</v>
      </c>
      <c r="C16" s="3"/>
      <c r="D16" s="3"/>
      <c r="E16" s="3"/>
      <c r="F16" s="3"/>
      <c r="G16" s="3"/>
      <c r="M16" s="576"/>
      <c r="N16" s="576"/>
      <c r="O16" s="576"/>
      <c r="P16" s="138"/>
      <c r="Q16" s="51"/>
      <c r="R16" s="51"/>
      <c r="T16" s="51"/>
      <c r="U16" s="51"/>
      <c r="V16" s="51"/>
      <c r="W16" s="51"/>
    </row>
    <row r="17" customFormat="false" ht="30.75" hidden="false" customHeight="true" outlineLevel="0" collapsed="false">
      <c r="B17" s="81" t="s">
        <v>215</v>
      </c>
      <c r="C17" s="81"/>
      <c r="D17" s="577" t="s">
        <v>2</v>
      </c>
      <c r="E17" s="46" t="s">
        <v>216</v>
      </c>
      <c r="F17" s="578" t="s">
        <v>203</v>
      </c>
      <c r="G17" s="579" t="s">
        <v>217</v>
      </c>
      <c r="M17" s="576"/>
      <c r="N17" s="576"/>
      <c r="O17" s="576"/>
      <c r="P17" s="138"/>
      <c r="Q17" s="51"/>
      <c r="R17" s="51"/>
      <c r="T17" s="51"/>
      <c r="U17" s="51"/>
      <c r="V17" s="51"/>
      <c r="W17" s="51"/>
    </row>
    <row r="18" customFormat="false" ht="20.1" hidden="false" customHeight="true" outlineLevel="0" collapsed="false">
      <c r="B18" s="84" t="n">
        <v>1</v>
      </c>
      <c r="C18" s="84"/>
      <c r="D18" s="679" t="s">
        <v>31</v>
      </c>
      <c r="E18" s="338" t="s">
        <v>32</v>
      </c>
      <c r="F18" s="680" t="s">
        <v>32</v>
      </c>
      <c r="G18" s="681" t="s">
        <v>208</v>
      </c>
      <c r="M18" s="576"/>
      <c r="N18" s="576"/>
      <c r="O18" s="576"/>
      <c r="P18" s="138"/>
      <c r="Q18" s="51"/>
      <c r="R18" s="51"/>
      <c r="T18" s="51"/>
      <c r="U18" s="51"/>
      <c r="V18" s="51"/>
      <c r="W18" s="51"/>
    </row>
    <row r="19" customFormat="false" ht="20.1" hidden="false" customHeight="true" outlineLevel="0" collapsed="false">
      <c r="B19" s="87" t="n">
        <v>2</v>
      </c>
      <c r="C19" s="87"/>
      <c r="D19" s="682" t="s">
        <v>7</v>
      </c>
      <c r="E19" s="304" t="s">
        <v>8</v>
      </c>
      <c r="F19" s="683" t="s">
        <v>8</v>
      </c>
      <c r="G19" s="684" t="s">
        <v>8</v>
      </c>
      <c r="M19" s="576"/>
      <c r="N19" s="576"/>
      <c r="O19" s="576"/>
      <c r="P19" s="138"/>
      <c r="Q19" s="51"/>
      <c r="R19" s="51"/>
      <c r="T19" s="51"/>
      <c r="U19" s="51"/>
      <c r="V19" s="51"/>
      <c r="W19" s="51"/>
    </row>
    <row r="20" customFormat="false" ht="20.1" hidden="false" customHeight="true" outlineLevel="0" collapsed="false">
      <c r="B20" s="117" t="n">
        <v>3</v>
      </c>
      <c r="C20" s="117"/>
      <c r="D20" s="685" t="s">
        <v>260</v>
      </c>
      <c r="E20" s="397" t="s">
        <v>261</v>
      </c>
      <c r="F20" s="686" t="s">
        <v>261</v>
      </c>
      <c r="G20" s="687" t="s">
        <v>208</v>
      </c>
      <c r="M20" s="576"/>
      <c r="N20" s="576"/>
      <c r="O20" s="576"/>
      <c r="P20" s="138"/>
      <c r="Q20" s="51"/>
      <c r="R20" s="51"/>
      <c r="T20" s="51"/>
      <c r="U20" s="51"/>
      <c r="V20" s="51"/>
      <c r="W20" s="51"/>
    </row>
    <row r="21" customFormat="false" ht="20.1" hidden="false" customHeight="true" outlineLevel="0" collapsed="false">
      <c r="M21" s="576"/>
      <c r="N21" s="576"/>
      <c r="O21" s="576"/>
      <c r="P21" s="138"/>
      <c r="Q21" s="51"/>
      <c r="R21" s="51"/>
      <c r="T21" s="51"/>
      <c r="U21" s="51"/>
      <c r="V21" s="51"/>
      <c r="W21" s="51"/>
    </row>
    <row r="22" customFormat="false" ht="20.1" hidden="false" customHeight="true" outlineLevel="0" collapsed="false">
      <c r="B22" s="39"/>
      <c r="C22" s="39"/>
      <c r="D22" s="40"/>
      <c r="E22" s="40"/>
      <c r="F22" s="40"/>
      <c r="G22" s="40"/>
      <c r="H22" s="39"/>
      <c r="I22" s="39"/>
      <c r="J22" s="39"/>
      <c r="K22" s="39"/>
      <c r="L22" s="39"/>
      <c r="M22" s="39"/>
      <c r="N22" s="39"/>
      <c r="O22" s="39"/>
      <c r="P22" s="39"/>
      <c r="Q22" s="39"/>
      <c r="R22" s="39"/>
      <c r="S22" s="39"/>
      <c r="T22" s="39"/>
      <c r="U22" s="39"/>
    </row>
    <row r="23" customFormat="false" ht="20.1" hidden="false" customHeight="true" outlineLevel="0" collapsed="false">
      <c r="B23" s="39"/>
      <c r="C23" s="442" t="s">
        <v>109</v>
      </c>
      <c r="D23" s="442"/>
      <c r="E23" s="442"/>
      <c r="F23" s="442"/>
      <c r="G23" s="442"/>
      <c r="H23" s="442"/>
      <c r="I23" s="442"/>
      <c r="J23" s="442"/>
      <c r="K23" s="442"/>
      <c r="L23" s="442"/>
      <c r="M23" s="442"/>
      <c r="N23" s="442"/>
      <c r="O23" s="442"/>
      <c r="P23" s="442"/>
      <c r="Q23" s="442"/>
      <c r="R23" s="442"/>
      <c r="S23" s="442"/>
      <c r="T23" s="442"/>
      <c r="U23" s="39"/>
    </row>
    <row r="24" customFormat="false" ht="20.1" hidden="false" customHeight="true" outlineLevel="0" collapsed="false">
      <c r="B24" s="39"/>
      <c r="C24" s="442"/>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80.1" hidden="false" customHeight="true" outlineLevel="0" collapsed="false">
      <c r="B28" s="39"/>
      <c r="D28" s="6" t="s">
        <v>27</v>
      </c>
      <c r="E28" s="229" t="s">
        <v>207</v>
      </c>
      <c r="F28" s="12" t="n">
        <v>1</v>
      </c>
      <c r="G28" s="585" t="s">
        <v>114</v>
      </c>
      <c r="H28" s="586" t="s">
        <v>167</v>
      </c>
      <c r="I28" s="587" t="s">
        <v>262</v>
      </c>
      <c r="J28" s="587"/>
      <c r="K28" s="375" t="s">
        <v>50</v>
      </c>
      <c r="L28" s="272" t="s">
        <v>46</v>
      </c>
      <c r="M28" s="276" t="s">
        <v>46</v>
      </c>
      <c r="N28" s="444" t="s">
        <v>46</v>
      </c>
      <c r="O28" s="444"/>
      <c r="P28" s="444"/>
      <c r="Q28" s="444"/>
      <c r="R28" s="444"/>
      <c r="S28" s="444"/>
      <c r="U28" s="39"/>
    </row>
    <row r="29" customFormat="false" ht="95.1" hidden="false" customHeight="true" outlineLevel="0" collapsed="false">
      <c r="B29" s="39"/>
      <c r="D29" s="13" t="s">
        <v>14</v>
      </c>
      <c r="E29" s="237" t="s">
        <v>15</v>
      </c>
      <c r="F29" s="19" t="n">
        <v>2</v>
      </c>
      <c r="G29" s="588" t="s">
        <v>114</v>
      </c>
      <c r="H29" s="589" t="s">
        <v>112</v>
      </c>
      <c r="I29" s="590" t="s">
        <v>263</v>
      </c>
      <c r="J29" s="590"/>
      <c r="K29" s="378" t="s">
        <v>50</v>
      </c>
      <c r="L29" s="278" t="s">
        <v>46</v>
      </c>
      <c r="M29" s="282" t="s">
        <v>46</v>
      </c>
      <c r="N29" s="447" t="s">
        <v>46</v>
      </c>
      <c r="O29" s="447"/>
      <c r="P29" s="447"/>
      <c r="Q29" s="447"/>
      <c r="R29" s="447"/>
      <c r="S29" s="447"/>
      <c r="U29" s="39"/>
    </row>
    <row r="30" customFormat="false" ht="20.1" hidden="false" customHeight="true" outlineLevel="0" collapsed="false">
      <c r="B30" s="39"/>
      <c r="D30" s="13" t="s">
        <v>20</v>
      </c>
      <c r="E30" s="237" t="s">
        <v>21</v>
      </c>
      <c r="F30" s="19" t="n">
        <v>3</v>
      </c>
      <c r="G30" s="591" t="s">
        <v>114</v>
      </c>
      <c r="H30" s="592" t="s">
        <v>264</v>
      </c>
      <c r="I30" s="593" t="s">
        <v>46</v>
      </c>
      <c r="J30" s="593"/>
      <c r="K30" s="556" t="s">
        <v>190</v>
      </c>
      <c r="L30" s="278" t="s">
        <v>46</v>
      </c>
      <c r="M30" s="282" t="s">
        <v>46</v>
      </c>
      <c r="N30" s="449" t="s">
        <v>46</v>
      </c>
      <c r="O30" s="449"/>
      <c r="P30" s="449"/>
      <c r="Q30" s="449"/>
      <c r="R30" s="449"/>
      <c r="S30" s="449"/>
      <c r="U30" s="39"/>
    </row>
    <row r="31" customFormat="false" ht="20.1" hidden="false" customHeight="true" outlineLevel="0" collapsed="false">
      <c r="B31" s="39"/>
      <c r="D31" s="29" t="s">
        <v>96</v>
      </c>
      <c r="E31" s="546" t="s">
        <v>210</v>
      </c>
      <c r="F31" s="23" t="n">
        <v>4</v>
      </c>
      <c r="G31" s="594" t="s">
        <v>114</v>
      </c>
      <c r="H31" s="595" t="s">
        <v>190</v>
      </c>
      <c r="I31" s="596" t="s">
        <v>46</v>
      </c>
      <c r="J31" s="596"/>
      <c r="K31" s="502" t="s">
        <v>112</v>
      </c>
      <c r="L31" s="287" t="s">
        <v>46</v>
      </c>
      <c r="M31" s="291" t="s">
        <v>46</v>
      </c>
      <c r="N31" s="450" t="s">
        <v>46</v>
      </c>
      <c r="O31" s="450"/>
      <c r="P31" s="450"/>
      <c r="Q31" s="450"/>
      <c r="R31" s="450"/>
      <c r="S31" s="450"/>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Puerto Rico</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6" t="s">
        <v>27</v>
      </c>
      <c r="F35" s="229" t="s">
        <v>207</v>
      </c>
      <c r="G35" s="387" t="n">
        <v>1</v>
      </c>
      <c r="H35" s="553" t="s">
        <v>46</v>
      </c>
      <c r="I35" s="387" t="n">
        <v>0</v>
      </c>
      <c r="J35" s="387" t="n">
        <v>43</v>
      </c>
      <c r="K35" s="387" t="s">
        <v>46</v>
      </c>
      <c r="L35" s="388" t="n">
        <f aca="false">IF(J35="",0,(J35/J39)*100)</f>
        <v>72.8813559322034</v>
      </c>
      <c r="M35" s="387" t="n">
        <v>3</v>
      </c>
      <c r="N35" s="389" t="n">
        <v>1</v>
      </c>
      <c r="O35" s="301" t="n">
        <f aca="false">IF(M35=1,1,0)</f>
        <v>0</v>
      </c>
      <c r="P35" s="85" t="n">
        <f aca="false">IF(M35=2,1,0)</f>
        <v>0</v>
      </c>
      <c r="Q35" s="85" t="n">
        <f aca="false">IF(M35=3,1,0)</f>
        <v>1</v>
      </c>
      <c r="R35" s="84" t="n">
        <f aca="false">IF(M35=4,1,0)</f>
        <v>0</v>
      </c>
      <c r="S35" s="302"/>
      <c r="T35" s="76"/>
      <c r="U35" s="39"/>
    </row>
    <row r="36" customFormat="false" ht="20.1" hidden="false" customHeight="true" outlineLevel="0" collapsed="false">
      <c r="B36" s="39"/>
      <c r="C36" s="76"/>
      <c r="D36" s="297"/>
      <c r="E36" s="110" t="s">
        <v>14</v>
      </c>
      <c r="F36" s="598" t="s">
        <v>15</v>
      </c>
      <c r="G36" s="112" t="n">
        <v>2</v>
      </c>
      <c r="H36" s="112" t="s">
        <v>46</v>
      </c>
      <c r="I36" s="112" t="n">
        <v>0</v>
      </c>
      <c r="J36" s="112" t="n">
        <v>59</v>
      </c>
      <c r="K36" s="112" t="s">
        <v>46</v>
      </c>
      <c r="L36" s="113" t="n">
        <f aca="false">IF(J36="",0,(J36/J39)*100)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297"/>
      <c r="E37" s="13" t="s">
        <v>20</v>
      </c>
      <c r="F37" s="237" t="s">
        <v>206</v>
      </c>
      <c r="G37" s="324" t="n">
        <v>3</v>
      </c>
      <c r="H37" s="324" t="s">
        <v>46</v>
      </c>
      <c r="I37" s="324" t="n">
        <v>0</v>
      </c>
      <c r="J37" s="324" t="n">
        <v>51</v>
      </c>
      <c r="K37" s="324" t="s">
        <v>46</v>
      </c>
      <c r="L37" s="341" t="n">
        <f aca="false">IF(J37="",0,(J37/J39)*100)</f>
        <v>86.4406779661017</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29" t="s">
        <v>96</v>
      </c>
      <c r="F38" s="240" t="s">
        <v>210</v>
      </c>
      <c r="G38" s="186" t="n">
        <v>4</v>
      </c>
      <c r="H38" s="186" t="s">
        <v>46</v>
      </c>
      <c r="I38" s="186" t="n">
        <v>0</v>
      </c>
      <c r="J38" s="186" t="n">
        <v>32</v>
      </c>
      <c r="K38" s="186" t="s">
        <v>46</v>
      </c>
      <c r="L38" s="116" t="n">
        <f aca="false">IF(J38="",0,(J38/J39)*100)</f>
        <v>54.2372881355932</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59</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Terra Mystica</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6" t="s">
        <v>27</v>
      </c>
      <c r="F44" s="229" t="s">
        <v>207</v>
      </c>
      <c r="G44" s="387" t="n">
        <v>4</v>
      </c>
      <c r="H44" s="553" t="s">
        <v>265</v>
      </c>
      <c r="I44" s="387" t="n">
        <v>30</v>
      </c>
      <c r="J44" s="387" t="n">
        <v>121</v>
      </c>
      <c r="K44" s="387" t="s">
        <v>46</v>
      </c>
      <c r="L44" s="388" t="n">
        <f aca="false">IF(J44="",0,(J44/J48)*100)</f>
        <v>87.0503597122302</v>
      </c>
      <c r="M44" s="387" t="n">
        <v>2</v>
      </c>
      <c r="N44" s="389" t="n">
        <v>3</v>
      </c>
      <c r="O44" s="301" t="n">
        <f aca="false">IF(M44=1,1,0)</f>
        <v>0</v>
      </c>
      <c r="P44" s="85" t="n">
        <f aca="false">IF(M44=2,1,0)</f>
        <v>1</v>
      </c>
      <c r="Q44" s="85" t="n">
        <f aca="false">IF(M44=3,1,0)</f>
        <v>0</v>
      </c>
      <c r="R44" s="84" t="n">
        <f aca="false">IF(M44=4,1,0)</f>
        <v>0</v>
      </c>
      <c r="S44" s="322"/>
      <c r="T44" s="107"/>
      <c r="U44" s="39"/>
    </row>
    <row r="45" customFormat="false" ht="20.1" hidden="false" customHeight="true" outlineLevel="0" collapsed="false">
      <c r="B45" s="39"/>
      <c r="C45" s="107"/>
      <c r="D45" s="323"/>
      <c r="E45" s="110" t="s">
        <v>14</v>
      </c>
      <c r="F45" s="598" t="s">
        <v>15</v>
      </c>
      <c r="G45" s="112" t="n">
        <v>2</v>
      </c>
      <c r="H45" s="112" t="s">
        <v>266</v>
      </c>
      <c r="I45" s="112" t="n">
        <v>19</v>
      </c>
      <c r="J45" s="112" t="n">
        <v>139</v>
      </c>
      <c r="K45" s="112" t="s">
        <v>46</v>
      </c>
      <c r="L45" s="113" t="n">
        <f aca="false">IF(J45="",0,(J45/J48)*100)</f>
        <v>100</v>
      </c>
      <c r="M45" s="112" t="n">
        <v>1</v>
      </c>
      <c r="N45" s="344" t="n">
        <v>6</v>
      </c>
      <c r="O45" s="305" t="n">
        <f aca="false">IF(M45=1,1,0)</f>
        <v>1</v>
      </c>
      <c r="P45" s="88" t="n">
        <f aca="false">IF(M45=2,1,0)</f>
        <v>0</v>
      </c>
      <c r="Q45" s="88" t="n">
        <f aca="false">IF(M45=3,1,0)</f>
        <v>0</v>
      </c>
      <c r="R45" s="87" t="n">
        <f aca="false">IF(M45=4,1,0)</f>
        <v>0</v>
      </c>
      <c r="S45" s="322"/>
      <c r="T45" s="107"/>
      <c r="U45" s="39"/>
    </row>
    <row r="46" customFormat="false" ht="20.1" hidden="false" customHeight="true" outlineLevel="0" collapsed="false">
      <c r="B46" s="39"/>
      <c r="C46" s="107"/>
      <c r="D46" s="319"/>
      <c r="E46" s="13" t="s">
        <v>20</v>
      </c>
      <c r="F46" s="237" t="s">
        <v>206</v>
      </c>
      <c r="G46" s="324" t="n">
        <v>3</v>
      </c>
      <c r="H46" s="324" t="s">
        <v>267</v>
      </c>
      <c r="I46" s="324" t="n">
        <v>18</v>
      </c>
      <c r="J46" s="324" t="n">
        <v>113</v>
      </c>
      <c r="K46" s="324" t="s">
        <v>46</v>
      </c>
      <c r="L46" s="341" t="n">
        <f aca="false">IF(J46="",0,(J46/J48)*100)</f>
        <v>81.294964028777</v>
      </c>
      <c r="M46" s="324" t="n">
        <v>3</v>
      </c>
      <c r="N46" s="327" t="n">
        <v>1</v>
      </c>
      <c r="O46" s="305" t="n">
        <f aca="false">IF(M46=1,1,0)</f>
        <v>0</v>
      </c>
      <c r="P46" s="88" t="n">
        <f aca="false">IF(M46=2,1,0)</f>
        <v>0</v>
      </c>
      <c r="Q46" s="88" t="n">
        <f aca="false">IF(M46=3,1,0)</f>
        <v>1</v>
      </c>
      <c r="R46" s="87" t="n">
        <f aca="false">IF(M46=4,1,0)</f>
        <v>0</v>
      </c>
      <c r="S46" s="322"/>
      <c r="T46" s="107"/>
      <c r="U46" s="39"/>
    </row>
    <row r="47" customFormat="false" ht="20.1" hidden="false" customHeight="true" outlineLevel="0" collapsed="false">
      <c r="B47" s="39"/>
      <c r="C47" s="107"/>
      <c r="D47" s="319"/>
      <c r="E47" s="29" t="s">
        <v>96</v>
      </c>
      <c r="F47" s="240" t="s">
        <v>210</v>
      </c>
      <c r="G47" s="186" t="n">
        <v>1</v>
      </c>
      <c r="H47" s="186" t="s">
        <v>247</v>
      </c>
      <c r="I47" s="186" t="n">
        <v>21</v>
      </c>
      <c r="J47" s="186" t="n">
        <v>69</v>
      </c>
      <c r="K47" s="186" t="s">
        <v>46</v>
      </c>
      <c r="L47" s="116" t="n">
        <f aca="false">IF(J47="",0,(J47/J48)*100)</f>
        <v>49.6402877697842</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139</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Tzolk'in</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20.1" hidden="false" customHeight="true" outlineLevel="0" collapsed="false">
      <c r="B53" s="39"/>
      <c r="C53" s="126"/>
      <c r="D53" s="336"/>
      <c r="E53" s="6" t="s">
        <v>27</v>
      </c>
      <c r="F53" s="229" t="s">
        <v>207</v>
      </c>
      <c r="G53" s="387" t="n">
        <v>2</v>
      </c>
      <c r="H53" s="553" t="s">
        <v>46</v>
      </c>
      <c r="I53" s="387" t="n">
        <v>0</v>
      </c>
      <c r="J53" s="387" t="n">
        <v>66</v>
      </c>
      <c r="K53" s="387" t="s">
        <v>46</v>
      </c>
      <c r="L53" s="388" t="n">
        <f aca="false">IF(J53="",0,(J53/J57)*100)</f>
        <v>78.5714285714286</v>
      </c>
      <c r="M53" s="387" t="n">
        <v>2</v>
      </c>
      <c r="N53" s="389" t="n">
        <v>3</v>
      </c>
      <c r="O53" s="301" t="n">
        <f aca="false">IF(M53=1,1,0)</f>
        <v>0</v>
      </c>
      <c r="P53" s="85" t="n">
        <f aca="false">IF(M53=2,1,0)</f>
        <v>1</v>
      </c>
      <c r="Q53" s="85" t="n">
        <f aca="false">IF(M53=3,1,0)</f>
        <v>0</v>
      </c>
      <c r="R53" s="84" t="n">
        <f aca="false">IF(M53=4,1,0)</f>
        <v>0</v>
      </c>
      <c r="S53" s="339"/>
      <c r="T53" s="126"/>
      <c r="U53" s="131"/>
      <c r="V53" s="36"/>
      <c r="W53" s="36"/>
    </row>
    <row r="54" customFormat="false" ht="20.1" hidden="false" customHeight="true" outlineLevel="0" collapsed="false">
      <c r="B54" s="39"/>
      <c r="C54" s="126"/>
      <c r="D54" s="340"/>
      <c r="E54" s="110" t="s">
        <v>14</v>
      </c>
      <c r="F54" s="598" t="s">
        <v>15</v>
      </c>
      <c r="G54" s="112" t="n">
        <v>3</v>
      </c>
      <c r="H54" s="112" t="s">
        <v>46</v>
      </c>
      <c r="I54" s="112" t="n">
        <v>0</v>
      </c>
      <c r="J54" s="112" t="n">
        <v>84</v>
      </c>
      <c r="K54" s="112" t="s">
        <v>46</v>
      </c>
      <c r="L54" s="113" t="n">
        <f aca="false">IF(J54="",0,(J54/J57)*100)</f>
        <v>100</v>
      </c>
      <c r="M54" s="112" t="n">
        <v>1</v>
      </c>
      <c r="N54" s="344" t="n">
        <v>6</v>
      </c>
      <c r="O54" s="305" t="n">
        <f aca="false">IF(M54=1,1,0)</f>
        <v>1</v>
      </c>
      <c r="P54" s="88" t="n">
        <f aca="false">IF(M54=2,1,0)</f>
        <v>0</v>
      </c>
      <c r="Q54" s="88" t="n">
        <f aca="false">IF(M54=3,1,0)</f>
        <v>0</v>
      </c>
      <c r="R54" s="87" t="n">
        <f aca="false">IF(M54=4,1,0)</f>
        <v>0</v>
      </c>
      <c r="S54" s="339"/>
      <c r="T54" s="126"/>
      <c r="U54" s="132"/>
      <c r="V54" s="36"/>
      <c r="W54" s="36"/>
    </row>
    <row r="55" customFormat="false" ht="20.1" hidden="false" customHeight="true" outlineLevel="0" collapsed="false">
      <c r="B55" s="39"/>
      <c r="C55" s="126"/>
      <c r="D55" s="336"/>
      <c r="E55" s="13" t="s">
        <v>20</v>
      </c>
      <c r="F55" s="237" t="s">
        <v>206</v>
      </c>
      <c r="G55" s="324" t="n">
        <v>1</v>
      </c>
      <c r="H55" s="324" t="s">
        <v>46</v>
      </c>
      <c r="I55" s="324" t="n">
        <v>0</v>
      </c>
      <c r="J55" s="324" t="n">
        <v>46</v>
      </c>
      <c r="K55" s="324" t="s">
        <v>46</v>
      </c>
      <c r="L55" s="341" t="n">
        <f aca="false">IF(J55="",0,(J55/J57)*100)</f>
        <v>54.7619047619048</v>
      </c>
      <c r="M55" s="324" t="n">
        <v>4</v>
      </c>
      <c r="N55" s="327"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29" t="s">
        <v>96</v>
      </c>
      <c r="F56" s="240" t="s">
        <v>210</v>
      </c>
      <c r="G56" s="186" t="n">
        <v>4</v>
      </c>
      <c r="H56" s="186" t="s">
        <v>46</v>
      </c>
      <c r="I56" s="186" t="n">
        <v>0</v>
      </c>
      <c r="J56" s="186" t="n">
        <v>47</v>
      </c>
      <c r="K56" s="186" t="s">
        <v>46</v>
      </c>
      <c r="L56" s="116" t="n">
        <f aca="false">IF(J56="",0,(J56/J57)*100)</f>
        <v>55.952380952381</v>
      </c>
      <c r="M56" s="186" t="n">
        <v>3</v>
      </c>
      <c r="N56" s="309" t="n">
        <v>1</v>
      </c>
      <c r="O56" s="310" t="n">
        <f aca="false">IF(M56=1,1,0)</f>
        <v>0</v>
      </c>
      <c r="P56" s="95" t="n">
        <f aca="false">IF(M56=2,1,0)</f>
        <v>0</v>
      </c>
      <c r="Q56" s="95" t="n">
        <f aca="false">IF(M56=3,1,0)</f>
        <v>1</v>
      </c>
      <c r="R56" s="117" t="n">
        <f aca="false">IF(M56=4,1,0)</f>
        <v>0</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84</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Roll for the Galaxy</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6" t="s">
        <v>27</v>
      </c>
      <c r="F62" s="229" t="s">
        <v>207</v>
      </c>
      <c r="G62" s="387" t="s">
        <v>46</v>
      </c>
      <c r="H62" s="553" t="s">
        <v>46</v>
      </c>
      <c r="I62" s="387" t="n">
        <v>0</v>
      </c>
      <c r="J62" s="387" t="n">
        <v>21</v>
      </c>
      <c r="K62" s="387" t="s">
        <v>46</v>
      </c>
      <c r="L62" s="388" t="n">
        <f aca="false">IF(J62="",0,(J62/J66)*100)</f>
        <v>87.5</v>
      </c>
      <c r="M62" s="387" t="n">
        <v>2</v>
      </c>
      <c r="N62" s="389" t="n">
        <v>3</v>
      </c>
      <c r="O62" s="301" t="n">
        <f aca="false">IF(M62=1,1,0)</f>
        <v>0</v>
      </c>
      <c r="P62" s="85" t="n">
        <f aca="false">IF(M62=2,1,0)</f>
        <v>1</v>
      </c>
      <c r="Q62" s="85" t="n">
        <f aca="false">IF(M62=3,1,0)</f>
        <v>0</v>
      </c>
      <c r="R62" s="84" t="n">
        <f aca="false">IF(M62=4,1,0)</f>
        <v>0</v>
      </c>
      <c r="S62" s="350"/>
      <c r="T62" s="134"/>
      <c r="U62" s="39"/>
    </row>
    <row r="63" customFormat="false" ht="20.1" hidden="false" customHeight="true" outlineLevel="0" collapsed="false">
      <c r="B63" s="39"/>
      <c r="C63" s="134"/>
      <c r="D63" s="349"/>
      <c r="E63" s="110" t="s">
        <v>14</v>
      </c>
      <c r="F63" s="598" t="s">
        <v>15</v>
      </c>
      <c r="G63" s="112" t="s">
        <v>46</v>
      </c>
      <c r="H63" s="112" t="s">
        <v>46</v>
      </c>
      <c r="I63" s="112" t="n">
        <v>0</v>
      </c>
      <c r="J63" s="112" t="n">
        <v>24</v>
      </c>
      <c r="K63" s="112" t="s">
        <v>46</v>
      </c>
      <c r="L63" s="113" t="n">
        <f aca="false">IF(J63="",0,(J63/J66)*100)</f>
        <v>100</v>
      </c>
      <c r="M63" s="112" t="n">
        <v>1</v>
      </c>
      <c r="N63" s="344" t="n">
        <v>6</v>
      </c>
      <c r="O63" s="305" t="n">
        <f aca="false">IF(M63=1,1,0)</f>
        <v>1</v>
      </c>
      <c r="P63" s="88" t="n">
        <f aca="false">IF(M63=2,1,0)</f>
        <v>0</v>
      </c>
      <c r="Q63" s="88" t="n">
        <f aca="false">IF(M63=3,1,0)</f>
        <v>0</v>
      </c>
      <c r="R63" s="87" t="n">
        <f aca="false">IF(M63=4,1,0)</f>
        <v>0</v>
      </c>
      <c r="S63" s="350"/>
      <c r="T63" s="134"/>
      <c r="U63" s="39"/>
    </row>
    <row r="64" customFormat="false" ht="50.1" hidden="false" customHeight="true" outlineLevel="0" collapsed="false">
      <c r="B64" s="39"/>
      <c r="C64" s="134"/>
      <c r="D64" s="349"/>
      <c r="E64" s="13" t="s">
        <v>20</v>
      </c>
      <c r="F64" s="237" t="s">
        <v>206</v>
      </c>
      <c r="G64" s="324" t="s">
        <v>46</v>
      </c>
      <c r="H64" s="324" t="s">
        <v>46</v>
      </c>
      <c r="I64" s="324" t="n">
        <v>0</v>
      </c>
      <c r="J64" s="324" t="n">
        <v>17</v>
      </c>
      <c r="K64" s="325" t="s">
        <v>268</v>
      </c>
      <c r="L64" s="341" t="n">
        <f aca="false">IF(J64="",0,(J64/J66)*100)</f>
        <v>70.8333333333333</v>
      </c>
      <c r="M64" s="324" t="n">
        <v>3</v>
      </c>
      <c r="N64" s="327" t="n">
        <v>1</v>
      </c>
      <c r="O64" s="305" t="n">
        <f aca="false">IF(M64=1,1,0)</f>
        <v>0</v>
      </c>
      <c r="P64" s="88" t="n">
        <f aca="false">IF(M64=2,1,0)</f>
        <v>0</v>
      </c>
      <c r="Q64" s="88" t="n">
        <f aca="false">IF(M64=3,1,0)</f>
        <v>1</v>
      </c>
      <c r="R64" s="87" t="n">
        <f aca="false">IF(M64=4,1,0)</f>
        <v>0</v>
      </c>
      <c r="S64" s="350"/>
      <c r="T64" s="134"/>
      <c r="U64" s="39"/>
    </row>
    <row r="65" customFormat="false" ht="50.1" hidden="false" customHeight="true" outlineLevel="0" collapsed="false">
      <c r="B65" s="39"/>
      <c r="C65" s="134"/>
      <c r="D65" s="351"/>
      <c r="E65" s="29" t="s">
        <v>96</v>
      </c>
      <c r="F65" s="240" t="s">
        <v>210</v>
      </c>
      <c r="G65" s="186" t="s">
        <v>46</v>
      </c>
      <c r="H65" s="186" t="s">
        <v>46</v>
      </c>
      <c r="I65" s="186" t="n">
        <v>0</v>
      </c>
      <c r="J65" s="186" t="n">
        <v>17</v>
      </c>
      <c r="K65" s="352" t="s">
        <v>269</v>
      </c>
      <c r="L65" s="116" t="n">
        <f aca="false">IF(J65="",0,(J65/J66)*100)</f>
        <v>70.8333333333333</v>
      </c>
      <c r="M65" s="186" t="n">
        <v>4</v>
      </c>
      <c r="N65" s="309" t="n">
        <v>0</v>
      </c>
      <c r="O65" s="310" t="n">
        <f aca="false">IF(M65=1,1,0)</f>
        <v>0</v>
      </c>
      <c r="P65" s="95" t="n">
        <f aca="false">IF(M65=2,1,0)</f>
        <v>0</v>
      </c>
      <c r="Q65" s="95" t="n">
        <f aca="false">IF(M65=3,1,0)</f>
        <v>0</v>
      </c>
      <c r="R65" s="117" t="n">
        <f aca="false">IF(M65=4,1,0)</f>
        <v>1</v>
      </c>
      <c r="S65" s="350"/>
      <c r="T65" s="134"/>
      <c r="U65" s="39"/>
    </row>
    <row r="66" customFormat="false" ht="20.1" hidden="true" customHeight="true" outlineLevel="1" collapsed="false">
      <c r="B66" s="39"/>
      <c r="C66" s="134"/>
      <c r="D66" s="349"/>
      <c r="E66" s="349"/>
      <c r="F66" s="350"/>
      <c r="G66" s="350"/>
      <c r="H66" s="134"/>
      <c r="I66" s="331" t="s">
        <v>62</v>
      </c>
      <c r="J66" s="98" t="n">
        <f aca="false">MAX(J62:J65)</f>
        <v>24</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02" t="s">
        <v>14</v>
      </c>
      <c r="E71" s="603" t="s">
        <v>15</v>
      </c>
      <c r="F71" s="604" t="n">
        <f aca="false">(K71*6+L71*3+M71*1+N71*0)</f>
        <v>24</v>
      </c>
      <c r="G71" s="604" t="n">
        <v>0</v>
      </c>
      <c r="H71" s="605" t="s">
        <v>46</v>
      </c>
      <c r="I71" s="605"/>
      <c r="J71" s="604" t="n">
        <f aca="false">F71+G71</f>
        <v>24</v>
      </c>
      <c r="K71" s="604" t="n">
        <v>4</v>
      </c>
      <c r="L71" s="604" t="n">
        <v>0</v>
      </c>
      <c r="M71" s="604" t="n">
        <v>0</v>
      </c>
      <c r="N71" s="604" t="n">
        <v>0</v>
      </c>
      <c r="O71" s="604"/>
      <c r="P71" s="604"/>
      <c r="Q71" s="604"/>
      <c r="R71" s="604"/>
      <c r="S71" s="607" t="n">
        <f aca="false">(L36+L45+L54+L63)/4</f>
        <v>100</v>
      </c>
      <c r="T71" s="139"/>
      <c r="U71" s="39"/>
      <c r="W71" s="608"/>
      <c r="X71" s="608"/>
      <c r="Y71" s="608"/>
      <c r="Z71" s="608"/>
    </row>
    <row r="72" customFormat="false" ht="20.1" hidden="false" customHeight="true" outlineLevel="0" collapsed="false">
      <c r="B72" s="39"/>
      <c r="C72" s="139"/>
      <c r="D72" s="365" t="s">
        <v>27</v>
      </c>
      <c r="E72" s="609" t="s">
        <v>207</v>
      </c>
      <c r="F72" s="158" t="n">
        <f aca="false">(K72*6+L72*3+M72*1+N72*0)</f>
        <v>10</v>
      </c>
      <c r="G72" s="158" t="n">
        <v>0</v>
      </c>
      <c r="H72" s="610" t="s">
        <v>46</v>
      </c>
      <c r="I72" s="610"/>
      <c r="J72" s="158" t="n">
        <f aca="false">F72+G72</f>
        <v>10</v>
      </c>
      <c r="K72" s="158" t="n">
        <v>0</v>
      </c>
      <c r="L72" s="158" t="n">
        <v>3</v>
      </c>
      <c r="M72" s="158" t="n">
        <v>1</v>
      </c>
      <c r="N72" s="158" t="n">
        <v>0</v>
      </c>
      <c r="O72" s="158"/>
      <c r="P72" s="158"/>
      <c r="Q72" s="158"/>
      <c r="R72" s="158"/>
      <c r="S72" s="159" t="n">
        <f aca="false">(L35+L44+L53+L62)/4</f>
        <v>81.5007860539656</v>
      </c>
      <c r="T72" s="139"/>
      <c r="U72" s="39"/>
      <c r="W72" s="167"/>
      <c r="X72" s="167"/>
      <c r="Y72" s="167"/>
      <c r="Z72" s="167"/>
    </row>
    <row r="73" customFormat="false" ht="20.1" hidden="false" customHeight="true" outlineLevel="0" collapsed="false">
      <c r="B73" s="39"/>
      <c r="C73" s="139"/>
      <c r="D73" s="365" t="s">
        <v>20</v>
      </c>
      <c r="E73" s="609" t="s">
        <v>21</v>
      </c>
      <c r="F73" s="158" t="n">
        <f aca="false">(K73*6+L73*3+M73*1+N73*0)</f>
        <v>5</v>
      </c>
      <c r="G73" s="158" t="n">
        <v>0</v>
      </c>
      <c r="H73" s="610" t="s">
        <v>46</v>
      </c>
      <c r="I73" s="610"/>
      <c r="J73" s="158" t="n">
        <f aca="false">F73+G73</f>
        <v>5</v>
      </c>
      <c r="K73" s="158" t="n">
        <v>0</v>
      </c>
      <c r="L73" s="158" t="n">
        <v>1</v>
      </c>
      <c r="M73" s="158" t="n">
        <v>2</v>
      </c>
      <c r="N73" s="158" t="n">
        <v>1</v>
      </c>
      <c r="O73" s="158"/>
      <c r="P73" s="158"/>
      <c r="Q73" s="158"/>
      <c r="R73" s="158"/>
      <c r="S73" s="159" t="n">
        <f aca="false">(L37+L46+L55+L64)/4</f>
        <v>73.3327200225292</v>
      </c>
      <c r="T73" s="139"/>
      <c r="U73" s="39"/>
      <c r="W73" s="167"/>
      <c r="X73" s="167"/>
      <c r="Y73" s="167"/>
      <c r="Z73" s="167"/>
    </row>
    <row r="74" customFormat="false" ht="20.1" hidden="false" customHeight="true" outlineLevel="0" collapsed="false">
      <c r="B74" s="39"/>
      <c r="C74" s="139"/>
      <c r="D74" s="368" t="s">
        <v>96</v>
      </c>
      <c r="E74" s="611" t="s">
        <v>210</v>
      </c>
      <c r="F74" s="427" t="n">
        <f aca="false">(K74*6+L74*3+M74*1+N74*0)</f>
        <v>1</v>
      </c>
      <c r="G74" s="427" t="n">
        <v>0</v>
      </c>
      <c r="H74" s="612" t="s">
        <v>46</v>
      </c>
      <c r="I74" s="612"/>
      <c r="J74" s="427" t="n">
        <f aca="false">F74+G74</f>
        <v>1</v>
      </c>
      <c r="K74" s="427" t="n">
        <v>0</v>
      </c>
      <c r="L74" s="427" t="n">
        <v>0</v>
      </c>
      <c r="M74" s="427" t="n">
        <v>1</v>
      </c>
      <c r="N74" s="427" t="n">
        <v>3</v>
      </c>
      <c r="O74" s="427"/>
      <c r="P74" s="427"/>
      <c r="Q74" s="427"/>
      <c r="R74" s="427"/>
      <c r="S74" s="613" t="n">
        <f aca="false">(L38+L47+L56+L65)/4</f>
        <v>57.6658225477729</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1.5" hidden="false" customHeight="false" outlineLevel="0" collapsed="false">
      <c r="B80" s="39"/>
      <c r="C80" s="442" t="s">
        <v>270</v>
      </c>
      <c r="D80" s="442"/>
      <c r="E80" s="442"/>
      <c r="F80" s="442"/>
      <c r="G80" s="442"/>
      <c r="H80" s="442"/>
      <c r="I80" s="442"/>
      <c r="J80" s="442"/>
      <c r="K80" s="442"/>
      <c r="L80" s="442"/>
      <c r="M80" s="442"/>
      <c r="N80" s="442"/>
      <c r="O80" s="442"/>
      <c r="P80" s="442"/>
      <c r="Q80" s="442"/>
      <c r="R80" s="442"/>
      <c r="S80" s="442"/>
      <c r="T80" s="442"/>
      <c r="U80" s="39"/>
    </row>
    <row r="81" customFormat="false" ht="15.75" hidden="false" customHeight="fals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80.1" hidden="false" customHeight="true" outlineLevel="0" collapsed="false">
      <c r="B84" s="39"/>
      <c r="D84" s="6" t="s">
        <v>22</v>
      </c>
      <c r="E84" s="229" t="s">
        <v>23</v>
      </c>
      <c r="F84" s="54" t="n">
        <v>1</v>
      </c>
      <c r="G84" s="374" t="s">
        <v>85</v>
      </c>
      <c r="H84" s="586" t="s">
        <v>75</v>
      </c>
      <c r="I84" s="587" t="s">
        <v>271</v>
      </c>
      <c r="J84" s="587"/>
      <c r="K84" s="619" t="s">
        <v>50</v>
      </c>
      <c r="L84" s="272" t="s">
        <v>46</v>
      </c>
      <c r="M84" s="276" t="s">
        <v>46</v>
      </c>
      <c r="N84" s="444" t="s">
        <v>46</v>
      </c>
      <c r="O84" s="444"/>
      <c r="P84" s="444"/>
      <c r="Q84" s="444"/>
      <c r="R84" s="444"/>
      <c r="S84" s="444"/>
      <c r="U84" s="39"/>
    </row>
    <row r="85" customFormat="false" ht="35.1" hidden="false" customHeight="true" outlineLevel="0" collapsed="false">
      <c r="B85" s="39"/>
      <c r="D85" s="13" t="s">
        <v>12</v>
      </c>
      <c r="E85" s="237" t="s">
        <v>13</v>
      </c>
      <c r="F85" s="62" t="n">
        <v>2</v>
      </c>
      <c r="G85" s="446" t="s">
        <v>114</v>
      </c>
      <c r="H85" s="620" t="s">
        <v>272</v>
      </c>
      <c r="I85" s="590" t="s">
        <v>273</v>
      </c>
      <c r="J85" s="590"/>
      <c r="K85" s="625" t="s">
        <v>48</v>
      </c>
      <c r="L85" s="278" t="s">
        <v>46</v>
      </c>
      <c r="M85" s="282" t="s">
        <v>46</v>
      </c>
      <c r="N85" s="447" t="s">
        <v>46</v>
      </c>
      <c r="O85" s="447"/>
      <c r="P85" s="447"/>
      <c r="Q85" s="447"/>
      <c r="R85" s="447"/>
      <c r="S85" s="447"/>
      <c r="U85" s="39"/>
    </row>
    <row r="86" customFormat="false" ht="20.1" hidden="false" customHeight="true" outlineLevel="0" collapsed="false">
      <c r="B86" s="39"/>
      <c r="D86" s="29" t="s">
        <v>10</v>
      </c>
      <c r="E86" s="240" t="s">
        <v>11</v>
      </c>
      <c r="F86" s="71" t="n">
        <v>3</v>
      </c>
      <c r="G86" s="520" t="s">
        <v>85</v>
      </c>
      <c r="H86" s="688" t="s">
        <v>47</v>
      </c>
      <c r="I86" s="689" t="s">
        <v>46</v>
      </c>
      <c r="J86" s="689"/>
      <c r="K86" s="627" t="s">
        <v>50</v>
      </c>
      <c r="L86" s="287" t="s">
        <v>46</v>
      </c>
      <c r="M86" s="291" t="s">
        <v>46</v>
      </c>
      <c r="N86" s="450" t="s">
        <v>46</v>
      </c>
      <c r="O86" s="450"/>
      <c r="P86" s="450"/>
      <c r="Q86" s="450"/>
      <c r="R86" s="450"/>
      <c r="S86" s="450"/>
      <c r="U86" s="39"/>
    </row>
    <row r="87" customFormat="false" ht="20.1" hidden="false" customHeight="true" outlineLevel="0" collapsed="false">
      <c r="B87" s="39"/>
      <c r="D87" s="36"/>
      <c r="E87" s="36"/>
      <c r="U87" s="39"/>
    </row>
    <row r="88" customFormat="false" ht="20.1" hidden="false" customHeight="true" outlineLevel="0" collapsed="false">
      <c r="B88" s="39"/>
      <c r="C88" s="76"/>
      <c r="D88" s="76"/>
      <c r="E88" s="77" t="str">
        <f aca="false">IF(OR(L84="-",L84= ""),H84,L84)</f>
        <v>Automobiles</v>
      </c>
      <c r="F88" s="77"/>
      <c r="G88" s="77"/>
      <c r="H88" s="77"/>
      <c r="I88" s="77"/>
      <c r="J88" s="77"/>
      <c r="K88" s="77"/>
      <c r="L88" s="77"/>
      <c r="M88" s="77"/>
      <c r="N88" s="77"/>
      <c r="O88" s="78"/>
      <c r="P88" s="78"/>
      <c r="Q88" s="78"/>
      <c r="R88" s="78"/>
      <c r="S88" s="78"/>
      <c r="T88" s="76"/>
      <c r="U88" s="39"/>
    </row>
    <row r="89" customFormat="false" ht="50.1" hidden="false" customHeight="true" outlineLevel="0" collapsed="false">
      <c r="B89" s="39"/>
      <c r="C89" s="76"/>
      <c r="D89" s="78"/>
      <c r="E89" s="263" t="s">
        <v>36</v>
      </c>
      <c r="F89" s="597" t="s">
        <v>222</v>
      </c>
      <c r="G89" s="294" t="s">
        <v>52</v>
      </c>
      <c r="H89" s="264" t="s">
        <v>223</v>
      </c>
      <c r="I89" s="81" t="s">
        <v>224</v>
      </c>
      <c r="J89" s="264" t="s">
        <v>225</v>
      </c>
      <c r="K89" s="295" t="s">
        <v>54</v>
      </c>
      <c r="L89" s="264" t="s">
        <v>55</v>
      </c>
      <c r="M89" s="296" t="s">
        <v>56</v>
      </c>
      <c r="N89" s="294" t="s">
        <v>57</v>
      </c>
      <c r="O89" s="43" t="s">
        <v>58</v>
      </c>
      <c r="P89" s="79" t="s">
        <v>59</v>
      </c>
      <c r="Q89" s="79" t="s">
        <v>60</v>
      </c>
      <c r="R89" s="78"/>
      <c r="S89" s="78"/>
      <c r="T89" s="76"/>
      <c r="U89" s="39"/>
    </row>
    <row r="90" customFormat="false" ht="20.1" hidden="false" customHeight="true" outlineLevel="0" collapsed="false">
      <c r="B90" s="39"/>
      <c r="C90" s="76"/>
      <c r="D90" s="306"/>
      <c r="E90" s="180" t="s">
        <v>22</v>
      </c>
      <c r="F90" s="521" t="s">
        <v>23</v>
      </c>
      <c r="G90" s="504" t="s">
        <v>162</v>
      </c>
      <c r="H90" s="182" t="s">
        <v>46</v>
      </c>
      <c r="I90" s="182" t="s">
        <v>46</v>
      </c>
      <c r="J90" s="182" t="s">
        <v>274</v>
      </c>
      <c r="K90" s="182" t="s">
        <v>46</v>
      </c>
      <c r="L90" s="183" t="n">
        <v>100</v>
      </c>
      <c r="M90" s="182" t="n">
        <v>1</v>
      </c>
      <c r="N90" s="300" t="n">
        <v>6</v>
      </c>
      <c r="O90" s="85" t="n">
        <f aca="false">IF(M90=1,1,0)</f>
        <v>1</v>
      </c>
      <c r="P90" s="85" t="n">
        <f aca="false">IF(M90=2,1,0)</f>
        <v>0</v>
      </c>
      <c r="Q90" s="84" t="n">
        <f aca="false">IF(M90=3,1,0)</f>
        <v>0</v>
      </c>
      <c r="R90" s="302"/>
      <c r="S90" s="302"/>
      <c r="T90" s="76"/>
      <c r="U90" s="39"/>
    </row>
    <row r="91" customFormat="false" ht="20.1" hidden="false" customHeight="true" outlineLevel="0" collapsed="false">
      <c r="B91" s="39"/>
      <c r="C91" s="76"/>
      <c r="D91" s="297"/>
      <c r="E91" s="60" t="s">
        <v>12</v>
      </c>
      <c r="F91" s="622" t="s">
        <v>13</v>
      </c>
      <c r="G91" s="390" t="s">
        <v>161</v>
      </c>
      <c r="H91" s="560" t="s">
        <v>46</v>
      </c>
      <c r="I91" s="560" t="s">
        <v>46</v>
      </c>
      <c r="J91" s="560" t="s">
        <v>275</v>
      </c>
      <c r="K91" s="328" t="s">
        <v>46</v>
      </c>
      <c r="L91" s="561" t="n">
        <f aca="false">(L98+L107)/2</f>
        <v>64.594861660079</v>
      </c>
      <c r="M91" s="560" t="n">
        <v>3</v>
      </c>
      <c r="N91" s="562" t="n">
        <v>0</v>
      </c>
      <c r="O91" s="88" t="n">
        <f aca="false">IF(M91=1,1,0)</f>
        <v>0</v>
      </c>
      <c r="P91" s="88" t="n">
        <f aca="false">IF(M91=2,1,0)</f>
        <v>0</v>
      </c>
      <c r="Q91" s="87" t="n">
        <f aca="false">IF(M91=3,1,0)</f>
        <v>1</v>
      </c>
      <c r="R91" s="302"/>
      <c r="S91" s="302"/>
      <c r="T91" s="76"/>
      <c r="U91" s="39"/>
    </row>
    <row r="92" customFormat="false" ht="20.1" hidden="false" customHeight="true" outlineLevel="0" collapsed="false">
      <c r="B92" s="39"/>
      <c r="C92" s="76"/>
      <c r="D92" s="297"/>
      <c r="E92" s="69" t="s">
        <v>10</v>
      </c>
      <c r="F92" s="546" t="s">
        <v>11</v>
      </c>
      <c r="G92" s="505" t="s">
        <v>164</v>
      </c>
      <c r="H92" s="563" t="s">
        <v>46</v>
      </c>
      <c r="I92" s="563" t="s">
        <v>46</v>
      </c>
      <c r="J92" s="563" t="s">
        <v>276</v>
      </c>
      <c r="K92" s="563" t="s">
        <v>46</v>
      </c>
      <c r="L92" s="564" t="n">
        <f aca="false">(L99+L106)/2</f>
        <v>95.0197628458498</v>
      </c>
      <c r="M92" s="563" t="n">
        <v>2</v>
      </c>
      <c r="N92" s="565" t="n">
        <v>3</v>
      </c>
      <c r="O92" s="95" t="n">
        <f aca="false">IF(M92=1,1,0)</f>
        <v>0</v>
      </c>
      <c r="P92" s="95" t="n">
        <f aca="false">IF(M92=2,1,0)</f>
        <v>1</v>
      </c>
      <c r="Q92" s="117" t="n">
        <f aca="false">IF(M92=3,1,0)</f>
        <v>0</v>
      </c>
      <c r="R92" s="302"/>
      <c r="S92" s="302"/>
      <c r="T92" s="76"/>
      <c r="U92" s="39"/>
    </row>
    <row r="93" customFormat="false" ht="20.1" hidden="true" customHeight="true" outlineLevel="1" collapsed="false">
      <c r="B93" s="39"/>
      <c r="C93" s="76"/>
      <c r="D93" s="306"/>
      <c r="E93" s="306"/>
      <c r="F93" s="302"/>
      <c r="G93" s="302"/>
      <c r="H93" s="76"/>
      <c r="I93" s="345" t="s">
        <v>62</v>
      </c>
      <c r="J93" s="98" t="n">
        <f aca="false">MAX(J90:J92)</f>
        <v>0</v>
      </c>
      <c r="K93" s="396"/>
      <c r="L93" s="316"/>
      <c r="M93" s="76"/>
      <c r="N93" s="333" t="s">
        <v>63</v>
      </c>
      <c r="O93" s="102" t="n">
        <f aca="false">SUM(O90:O92)</f>
        <v>1</v>
      </c>
      <c r="P93" s="103" t="n">
        <f aca="false">SUM(P90:P92)</f>
        <v>1</v>
      </c>
      <c r="Q93" s="102" t="n">
        <f aca="false">SUM(Q90:Q92)</f>
        <v>1</v>
      </c>
      <c r="R93" s="316"/>
      <c r="S93" s="316"/>
      <c r="T93" s="76"/>
      <c r="U93" s="39"/>
    </row>
    <row r="94" customFormat="false" ht="20.1" hidden="false" customHeight="true" outlineLevel="0" collapsed="false">
      <c r="B94" s="39"/>
      <c r="C94" s="76"/>
      <c r="D94" s="105"/>
      <c r="E94" s="105"/>
      <c r="F94" s="76"/>
      <c r="G94" s="76"/>
      <c r="H94" s="76"/>
      <c r="I94" s="76"/>
      <c r="J94" s="76"/>
      <c r="K94" s="76"/>
      <c r="L94" s="76"/>
      <c r="M94" s="76"/>
      <c r="N94" s="76"/>
      <c r="O94" s="76"/>
      <c r="P94" s="76"/>
      <c r="Q94" s="76"/>
      <c r="R94" s="76"/>
      <c r="S94" s="76"/>
      <c r="T94" s="76"/>
      <c r="U94" s="39"/>
    </row>
    <row r="95" customFormat="false" ht="20.1" hidden="false" customHeight="true" outlineLevel="0" collapsed="false">
      <c r="B95" s="39"/>
      <c r="U95" s="39"/>
    </row>
    <row r="96" customFormat="false" ht="20.1" hidden="false" customHeight="true" outlineLevel="0" collapsed="false">
      <c r="B96" s="39"/>
      <c r="C96" s="107"/>
      <c r="D96" s="107"/>
      <c r="E96" s="108" t="str">
        <f aca="false">IF(OR(L85="-",L85= ""),H85,L85)</f>
        <v>Colt Express</v>
      </c>
      <c r="F96" s="108"/>
      <c r="G96" s="108"/>
      <c r="H96" s="108"/>
      <c r="I96" s="108"/>
      <c r="J96" s="108"/>
      <c r="K96" s="108"/>
      <c r="L96" s="108"/>
      <c r="M96" s="108"/>
      <c r="N96" s="108"/>
      <c r="O96" s="109"/>
      <c r="P96" s="109"/>
      <c r="Q96" s="109"/>
      <c r="R96" s="109"/>
      <c r="S96" s="109"/>
      <c r="T96" s="107"/>
      <c r="U96" s="39"/>
    </row>
    <row r="97" customFormat="false" ht="50.1" hidden="false" customHeight="true" outlineLevel="0" collapsed="false">
      <c r="B97" s="39"/>
      <c r="C97" s="107"/>
      <c r="D97" s="109"/>
      <c r="E97" s="263" t="s">
        <v>36</v>
      </c>
      <c r="F97" s="597" t="s">
        <v>222</v>
      </c>
      <c r="G97" s="294" t="s">
        <v>52</v>
      </c>
      <c r="H97" s="264" t="s">
        <v>223</v>
      </c>
      <c r="I97" s="81" t="s">
        <v>224</v>
      </c>
      <c r="J97" s="264" t="s">
        <v>225</v>
      </c>
      <c r="K97" s="295" t="s">
        <v>54</v>
      </c>
      <c r="L97" s="264" t="s">
        <v>55</v>
      </c>
      <c r="M97" s="296" t="s">
        <v>56</v>
      </c>
      <c r="N97" s="294" t="s">
        <v>57</v>
      </c>
      <c r="O97" s="43" t="s">
        <v>58</v>
      </c>
      <c r="P97" s="79" t="s">
        <v>59</v>
      </c>
      <c r="Q97" s="79" t="s">
        <v>60</v>
      </c>
      <c r="R97" s="109"/>
      <c r="S97" s="109"/>
      <c r="T97" s="107"/>
      <c r="U97" s="39"/>
    </row>
    <row r="98" customFormat="false" ht="20.1" hidden="false" customHeight="true" outlineLevel="0" collapsed="false">
      <c r="B98" s="39"/>
      <c r="C98" s="107"/>
      <c r="D98" s="323"/>
      <c r="E98" s="52" t="s">
        <v>22</v>
      </c>
      <c r="F98" s="528" t="s">
        <v>23</v>
      </c>
      <c r="G98" s="481" t="s">
        <v>161</v>
      </c>
      <c r="H98" s="557" t="s">
        <v>277</v>
      </c>
      <c r="I98" s="557" t="n">
        <v>0</v>
      </c>
      <c r="J98" s="557" t="n">
        <v>1350</v>
      </c>
      <c r="K98" s="557" t="s">
        <v>46</v>
      </c>
      <c r="L98" s="558" t="n">
        <f aca="false">IF(J98="",0,(J98/J101)*100)</f>
        <v>61.3636363636364</v>
      </c>
      <c r="M98" s="557" t="n">
        <v>3</v>
      </c>
      <c r="N98" s="559" t="n">
        <v>0</v>
      </c>
      <c r="O98" s="85" t="n">
        <f aca="false">IF(M98=1,1,0)</f>
        <v>0</v>
      </c>
      <c r="P98" s="85" t="n">
        <f aca="false">IF(M98=2,1,0)</f>
        <v>0</v>
      </c>
      <c r="Q98" s="84" t="n">
        <f aca="false">IF(M98=3,1,0)</f>
        <v>1</v>
      </c>
      <c r="R98" s="322"/>
      <c r="S98" s="322"/>
      <c r="T98" s="107"/>
      <c r="U98" s="39"/>
    </row>
    <row r="99" customFormat="false" ht="20.1" hidden="false" customHeight="true" outlineLevel="0" collapsed="false">
      <c r="B99" s="39"/>
      <c r="C99" s="107"/>
      <c r="D99" s="319"/>
      <c r="E99" s="60" t="s">
        <v>12</v>
      </c>
      <c r="F99" s="622" t="s">
        <v>13</v>
      </c>
      <c r="G99" s="390" t="s">
        <v>162</v>
      </c>
      <c r="H99" s="560" t="s">
        <v>278</v>
      </c>
      <c r="I99" s="560" t="n">
        <v>0</v>
      </c>
      <c r="J99" s="560" t="n">
        <v>2000</v>
      </c>
      <c r="K99" s="328" t="s">
        <v>46</v>
      </c>
      <c r="L99" s="561" t="n">
        <f aca="false">IF(J99="",0,(J99/J101)*100)</f>
        <v>90.9090909090909</v>
      </c>
      <c r="M99" s="560" t="n">
        <v>2</v>
      </c>
      <c r="N99" s="562" t="n">
        <v>3</v>
      </c>
      <c r="O99" s="88" t="n">
        <f aca="false">IF(M99=1,1,0)</f>
        <v>0</v>
      </c>
      <c r="P99" s="88" t="n">
        <f aca="false">IF(M99=2,1,0)</f>
        <v>1</v>
      </c>
      <c r="Q99" s="87" t="n">
        <f aca="false">IF(M99=3,1,0)</f>
        <v>0</v>
      </c>
      <c r="R99" s="322"/>
      <c r="S99" s="322"/>
      <c r="T99" s="107"/>
      <c r="U99" s="39"/>
    </row>
    <row r="100" customFormat="false" ht="20.1" hidden="false" customHeight="true" outlineLevel="0" collapsed="false">
      <c r="B100" s="39"/>
      <c r="C100" s="107"/>
      <c r="D100" s="323"/>
      <c r="E100" s="89" t="s">
        <v>10</v>
      </c>
      <c r="F100" s="599" t="s">
        <v>11</v>
      </c>
      <c r="G100" s="392" t="s">
        <v>164</v>
      </c>
      <c r="H100" s="91" t="s">
        <v>279</v>
      </c>
      <c r="I100" s="91" t="n">
        <v>0</v>
      </c>
      <c r="J100" s="91" t="n">
        <v>2200</v>
      </c>
      <c r="K100" s="91" t="s">
        <v>46</v>
      </c>
      <c r="L100" s="92" t="n">
        <f aca="false">IF(J100="",0,(J100/J101)*100)</f>
        <v>100</v>
      </c>
      <c r="M100" s="91" t="n">
        <v>1</v>
      </c>
      <c r="N100" s="394" t="n">
        <v>6</v>
      </c>
      <c r="O100" s="95" t="n">
        <f aca="false">IF(M100=1,1,0)</f>
        <v>1</v>
      </c>
      <c r="P100" s="95" t="n">
        <f aca="false">IF(M100=2,1,0)</f>
        <v>0</v>
      </c>
      <c r="Q100" s="117" t="n">
        <f aca="false">IF(M100=3,1,0)</f>
        <v>0</v>
      </c>
      <c r="R100" s="322"/>
      <c r="S100" s="322"/>
      <c r="T100" s="107"/>
      <c r="U100" s="39"/>
    </row>
    <row r="101" customFormat="false" ht="20.1" hidden="true" customHeight="true" outlineLevel="1" collapsed="false">
      <c r="B101" s="39"/>
      <c r="C101" s="107"/>
      <c r="D101" s="319"/>
      <c r="E101" s="319"/>
      <c r="F101" s="109"/>
      <c r="G101" s="109"/>
      <c r="H101" s="107"/>
      <c r="I101" s="345" t="s">
        <v>62</v>
      </c>
      <c r="J101" s="98" t="n">
        <f aca="false">MAX(J98:J100)</f>
        <v>2200</v>
      </c>
      <c r="K101" s="332"/>
      <c r="L101" s="322"/>
      <c r="M101" s="107"/>
      <c r="N101" s="333" t="s">
        <v>63</v>
      </c>
      <c r="O101" s="102" t="n">
        <f aca="false">SUM(O98:O100)</f>
        <v>1</v>
      </c>
      <c r="P101" s="103" t="n">
        <f aca="false">SUM(P98:P100)</f>
        <v>1</v>
      </c>
      <c r="Q101" s="102" t="n">
        <f aca="false">SUM(Q98:Q100)</f>
        <v>1</v>
      </c>
      <c r="R101" s="334"/>
      <c r="S101" s="334"/>
      <c r="T101" s="107"/>
      <c r="U101" s="39"/>
    </row>
    <row r="102" customFormat="false" ht="20.1" hidden="false" customHeight="true" outlineLevel="0" collapsed="false">
      <c r="B102" s="39"/>
      <c r="C102" s="107"/>
      <c r="D102" s="123"/>
      <c r="E102" s="123"/>
      <c r="F102" s="107"/>
      <c r="G102" s="107"/>
      <c r="H102" s="107"/>
      <c r="I102" s="107"/>
      <c r="J102" s="107"/>
      <c r="K102" s="107"/>
      <c r="L102" s="107"/>
      <c r="M102" s="107"/>
      <c r="N102" s="107"/>
      <c r="O102" s="107"/>
      <c r="P102" s="107"/>
      <c r="Q102" s="107"/>
      <c r="R102" s="107"/>
      <c r="S102" s="107"/>
      <c r="T102" s="107"/>
      <c r="U102" s="39"/>
    </row>
    <row r="103" customFormat="false" ht="20.1" hidden="false" customHeight="true" outlineLevel="0" collapsed="false">
      <c r="B103" s="39"/>
      <c r="D103" s="124"/>
      <c r="E103" s="124"/>
      <c r="F103" s="124"/>
      <c r="G103" s="124"/>
      <c r="H103" s="125"/>
      <c r="I103" s="124"/>
      <c r="J103" s="124"/>
      <c r="K103" s="36"/>
      <c r="L103" s="36"/>
      <c r="M103" s="36"/>
      <c r="N103" s="36"/>
      <c r="O103" s="36"/>
      <c r="P103" s="36"/>
      <c r="Q103" s="36"/>
      <c r="R103" s="36"/>
      <c r="S103" s="36"/>
      <c r="U103" s="39"/>
    </row>
    <row r="104" customFormat="false" ht="20.1" hidden="false" customHeight="true" outlineLevel="0" collapsed="false">
      <c r="B104" s="39"/>
      <c r="C104" s="126"/>
      <c r="D104" s="126"/>
      <c r="E104" s="127" t="str">
        <f aca="false">IF(OR(L86="-",L86= ""),H86,L86)</f>
        <v>Hawaii</v>
      </c>
      <c r="F104" s="127"/>
      <c r="G104" s="127"/>
      <c r="H104" s="127"/>
      <c r="I104" s="127"/>
      <c r="J104" s="127"/>
      <c r="K104" s="127"/>
      <c r="L104" s="127"/>
      <c r="M104" s="127"/>
      <c r="N104" s="127"/>
      <c r="O104" s="128"/>
      <c r="P104" s="128"/>
      <c r="Q104" s="128"/>
      <c r="R104" s="128"/>
      <c r="S104" s="128"/>
      <c r="T104" s="126"/>
      <c r="U104" s="129"/>
    </row>
    <row r="105" customFormat="false" ht="50.1" hidden="false" customHeight="true" outlineLevel="0" collapsed="false">
      <c r="B105" s="39"/>
      <c r="C105" s="126"/>
      <c r="D105" s="128"/>
      <c r="E105" s="263" t="s">
        <v>36</v>
      </c>
      <c r="F105" s="597" t="s">
        <v>222</v>
      </c>
      <c r="G105" s="294" t="s">
        <v>52</v>
      </c>
      <c r="H105" s="264" t="s">
        <v>223</v>
      </c>
      <c r="I105" s="81" t="s">
        <v>224</v>
      </c>
      <c r="J105" s="264" t="s">
        <v>225</v>
      </c>
      <c r="K105" s="295" t="s">
        <v>54</v>
      </c>
      <c r="L105" s="264" t="s">
        <v>55</v>
      </c>
      <c r="M105" s="296" t="s">
        <v>56</v>
      </c>
      <c r="N105" s="294" t="s">
        <v>57</v>
      </c>
      <c r="O105" s="43" t="s">
        <v>58</v>
      </c>
      <c r="P105" s="79" t="s">
        <v>59</v>
      </c>
      <c r="Q105" s="79" t="s">
        <v>60</v>
      </c>
      <c r="R105" s="128"/>
      <c r="S105" s="128"/>
      <c r="T105" s="126"/>
      <c r="U105" s="129"/>
    </row>
    <row r="106" customFormat="false" ht="20.1" hidden="false" customHeight="true" outlineLevel="0" collapsed="false">
      <c r="B106" s="39"/>
      <c r="C106" s="126"/>
      <c r="D106" s="340"/>
      <c r="E106" s="52" t="s">
        <v>22</v>
      </c>
      <c r="F106" s="528" t="s">
        <v>23</v>
      </c>
      <c r="G106" s="481" t="s">
        <v>161</v>
      </c>
      <c r="H106" s="557" t="s">
        <v>46</v>
      </c>
      <c r="I106" s="557" t="n">
        <v>0</v>
      </c>
      <c r="J106" s="557" t="n">
        <v>114</v>
      </c>
      <c r="K106" s="557" t="s">
        <v>46</v>
      </c>
      <c r="L106" s="558" t="n">
        <f aca="false">IF(J106="",0,(J106/J109)*100)</f>
        <v>99.1304347826087</v>
      </c>
      <c r="M106" s="557" t="n">
        <v>2</v>
      </c>
      <c r="N106" s="559" t="n">
        <v>3</v>
      </c>
      <c r="O106" s="85" t="n">
        <f aca="false">IF(M106=1,1,0)</f>
        <v>0</v>
      </c>
      <c r="P106" s="85" t="n">
        <f aca="false">IF(M106=2,1,0)</f>
        <v>1</v>
      </c>
      <c r="Q106" s="84" t="n">
        <f aca="false">IF(M106=3,1,0)</f>
        <v>0</v>
      </c>
      <c r="R106" s="339"/>
      <c r="S106" s="339"/>
      <c r="T106" s="126"/>
      <c r="U106" s="131"/>
    </row>
    <row r="107" customFormat="false" ht="20.1" hidden="false" customHeight="true" outlineLevel="0" collapsed="false">
      <c r="B107" s="39"/>
      <c r="C107" s="126"/>
      <c r="D107" s="336"/>
      <c r="E107" s="60" t="s">
        <v>12</v>
      </c>
      <c r="F107" s="622" t="s">
        <v>13</v>
      </c>
      <c r="G107" s="390" t="s">
        <v>162</v>
      </c>
      <c r="H107" s="560" t="s">
        <v>46</v>
      </c>
      <c r="I107" s="560" t="n">
        <v>0</v>
      </c>
      <c r="J107" s="560" t="n">
        <v>78</v>
      </c>
      <c r="K107" s="328" t="s">
        <v>46</v>
      </c>
      <c r="L107" s="561" t="n">
        <f aca="false">IF(J107="",0,(J107/J109)*100)</f>
        <v>67.8260869565217</v>
      </c>
      <c r="M107" s="560" t="n">
        <v>3</v>
      </c>
      <c r="N107" s="562" t="n">
        <v>0</v>
      </c>
      <c r="O107" s="88" t="n">
        <f aca="false">IF(M107=1,1,0)</f>
        <v>0</v>
      </c>
      <c r="P107" s="88" t="n">
        <f aca="false">IF(M107=2,1,0)</f>
        <v>0</v>
      </c>
      <c r="Q107" s="87" t="n">
        <f aca="false">IF(M107=3,1,0)</f>
        <v>1</v>
      </c>
      <c r="R107" s="339"/>
      <c r="S107" s="339"/>
      <c r="T107" s="126"/>
      <c r="U107" s="132"/>
    </row>
    <row r="108" customFormat="false" ht="20.1" hidden="false" customHeight="true" outlineLevel="0" collapsed="false">
      <c r="B108" s="39"/>
      <c r="C108" s="126"/>
      <c r="D108" s="336"/>
      <c r="E108" s="89" t="s">
        <v>10</v>
      </c>
      <c r="F108" s="599" t="s">
        <v>11</v>
      </c>
      <c r="G108" s="392" t="s">
        <v>164</v>
      </c>
      <c r="H108" s="91" t="s">
        <v>46</v>
      </c>
      <c r="I108" s="91" t="n">
        <v>0</v>
      </c>
      <c r="J108" s="91" t="n">
        <v>115</v>
      </c>
      <c r="K108" s="91" t="s">
        <v>46</v>
      </c>
      <c r="L108" s="92" t="n">
        <f aca="false">IF(J108="",0,(J108/J109)*100)</f>
        <v>100</v>
      </c>
      <c r="M108" s="91" t="n">
        <v>1</v>
      </c>
      <c r="N108" s="394" t="n">
        <v>6</v>
      </c>
      <c r="O108" s="95" t="n">
        <f aca="false">IF(M108=1,1,0)</f>
        <v>1</v>
      </c>
      <c r="P108" s="95" t="n">
        <f aca="false">IF(M108=2,1,0)</f>
        <v>0</v>
      </c>
      <c r="Q108" s="117" t="n">
        <f aca="false">IF(M108=3,1,0)</f>
        <v>0</v>
      </c>
      <c r="R108" s="339"/>
      <c r="S108" s="339"/>
      <c r="T108" s="126"/>
      <c r="U108" s="132"/>
    </row>
    <row r="109" customFormat="false" ht="20.1" hidden="true" customHeight="true" outlineLevel="1" collapsed="false">
      <c r="B109" s="39"/>
      <c r="C109" s="126"/>
      <c r="D109" s="336"/>
      <c r="E109" s="336"/>
      <c r="F109" s="339"/>
      <c r="G109" s="339"/>
      <c r="H109" s="126"/>
      <c r="I109" s="345" t="s">
        <v>62</v>
      </c>
      <c r="J109" s="98" t="n">
        <f aca="false">MAX(J106:J108)</f>
        <v>115</v>
      </c>
      <c r="K109" s="346"/>
      <c r="L109" s="339"/>
      <c r="M109" s="126"/>
      <c r="N109" s="333" t="s">
        <v>63</v>
      </c>
      <c r="O109" s="102" t="n">
        <f aca="false">SUM(O106:O108)</f>
        <v>1</v>
      </c>
      <c r="P109" s="103" t="n">
        <f aca="false">SUM(P106:P108)</f>
        <v>1</v>
      </c>
      <c r="Q109" s="102" t="n">
        <f aca="false">SUM(Q106:Q108)</f>
        <v>1</v>
      </c>
      <c r="R109" s="347"/>
      <c r="S109" s="347"/>
      <c r="T109" s="126"/>
      <c r="U109" s="132"/>
    </row>
    <row r="110" customFormat="false" ht="20.1" hidden="false" customHeight="true" outlineLevel="0" collapsed="false">
      <c r="B110" s="39"/>
      <c r="C110" s="126"/>
      <c r="D110" s="133"/>
      <c r="E110" s="133"/>
      <c r="F110" s="126"/>
      <c r="G110" s="126"/>
      <c r="H110" s="126"/>
      <c r="I110" s="126"/>
      <c r="J110" s="126"/>
      <c r="K110" s="126"/>
      <c r="L110" s="126"/>
      <c r="M110" s="126"/>
      <c r="N110" s="126"/>
      <c r="O110" s="126"/>
      <c r="P110" s="126"/>
      <c r="Q110" s="126"/>
      <c r="R110" s="126"/>
      <c r="S110" s="126"/>
      <c r="T110" s="126"/>
      <c r="U110" s="132"/>
    </row>
    <row r="111" customFormat="false" ht="20.1" hidden="false" customHeight="true" outlineLevel="0" collapsed="false">
      <c r="B111" s="39"/>
      <c r="D111" s="124"/>
      <c r="E111" s="124"/>
      <c r="F111" s="124"/>
      <c r="G111" s="124"/>
      <c r="H111" s="125"/>
      <c r="I111" s="124"/>
      <c r="J111" s="124"/>
      <c r="K111" s="124"/>
      <c r="L111" s="36"/>
      <c r="M111" s="36"/>
      <c r="N111" s="36"/>
      <c r="O111" s="36"/>
      <c r="P111" s="36"/>
      <c r="Q111" s="36"/>
      <c r="R111" s="36"/>
      <c r="S111" s="36"/>
      <c r="U111" s="131"/>
    </row>
    <row r="112" customFormat="false" ht="30" hidden="false" customHeight="true" outlineLevel="0" collapsed="false">
      <c r="B112" s="39"/>
      <c r="C112" s="139"/>
      <c r="D112" s="140" t="s">
        <v>165</v>
      </c>
      <c r="E112" s="140"/>
      <c r="F112" s="140"/>
      <c r="G112" s="140"/>
      <c r="H112" s="140"/>
      <c r="I112" s="140"/>
      <c r="J112" s="140"/>
      <c r="K112" s="140"/>
      <c r="L112" s="140"/>
      <c r="M112" s="140"/>
      <c r="N112" s="140"/>
      <c r="O112" s="419"/>
      <c r="P112" s="419"/>
      <c r="Q112" s="419"/>
      <c r="R112" s="419"/>
      <c r="S112" s="419"/>
      <c r="T112" s="139"/>
      <c r="U112" s="39"/>
    </row>
    <row r="113" customFormat="false" ht="50.1" hidden="false" customHeight="true" outlineLevel="0" collapsed="false">
      <c r="B113" s="39"/>
      <c r="C113" s="139"/>
      <c r="D113" s="356" t="s">
        <v>36</v>
      </c>
      <c r="E113" s="357" t="s">
        <v>218</v>
      </c>
      <c r="F113" s="358" t="s">
        <v>57</v>
      </c>
      <c r="G113" s="146" t="s">
        <v>236</v>
      </c>
      <c r="H113" s="143" t="s">
        <v>237</v>
      </c>
      <c r="I113" s="143"/>
      <c r="J113" s="488" t="s">
        <v>238</v>
      </c>
      <c r="K113" s="359" t="s">
        <v>65</v>
      </c>
      <c r="L113" s="358" t="s">
        <v>66</v>
      </c>
      <c r="M113" s="359" t="s">
        <v>67</v>
      </c>
      <c r="N113" s="357" t="s">
        <v>69</v>
      </c>
      <c r="O113" s="690"/>
      <c r="P113" s="147"/>
      <c r="Q113" s="147"/>
      <c r="R113" s="147"/>
      <c r="S113" s="355"/>
      <c r="T113" s="139"/>
      <c r="U113" s="39"/>
    </row>
    <row r="114" customFormat="false" ht="20.1" hidden="false" customHeight="true" outlineLevel="0" collapsed="false">
      <c r="B114" s="39"/>
      <c r="C114" s="139"/>
      <c r="D114" s="602" t="s">
        <v>10</v>
      </c>
      <c r="E114" s="603" t="s">
        <v>11</v>
      </c>
      <c r="F114" s="630" t="n">
        <f aca="false">K114*6+L114*3+M114*0</f>
        <v>15</v>
      </c>
      <c r="G114" s="631" t="n">
        <v>0</v>
      </c>
      <c r="H114" s="631" t="s">
        <v>46</v>
      </c>
      <c r="I114" s="631"/>
      <c r="J114" s="630" t="n">
        <f aca="false">F114+G114</f>
        <v>15</v>
      </c>
      <c r="K114" s="630" t="n">
        <v>2</v>
      </c>
      <c r="L114" s="630" t="n">
        <v>1</v>
      </c>
      <c r="M114" s="630" t="n">
        <v>0</v>
      </c>
      <c r="N114" s="635" t="n">
        <f aca="false">(L92+L100+L108)/3</f>
        <v>98.3399209486166</v>
      </c>
      <c r="O114" s="355"/>
      <c r="P114" s="153"/>
      <c r="Q114" s="153"/>
      <c r="R114" s="153"/>
      <c r="S114" s="355"/>
      <c r="T114" s="139"/>
      <c r="U114" s="39"/>
    </row>
    <row r="115" customFormat="false" ht="20.1" hidden="false" customHeight="true" outlineLevel="0" collapsed="false">
      <c r="B115" s="39"/>
      <c r="C115" s="139"/>
      <c r="D115" s="365" t="s">
        <v>22</v>
      </c>
      <c r="E115" s="609" t="s">
        <v>23</v>
      </c>
      <c r="F115" s="400" t="n">
        <f aca="false">K115*6+L115*3+M115*0</f>
        <v>9</v>
      </c>
      <c r="G115" s="192" t="n">
        <v>0</v>
      </c>
      <c r="H115" s="192" t="s">
        <v>46</v>
      </c>
      <c r="I115" s="192"/>
      <c r="J115" s="400" t="n">
        <f aca="false">F115+G115</f>
        <v>9</v>
      </c>
      <c r="K115" s="400" t="n">
        <v>1</v>
      </c>
      <c r="L115" s="400" t="n">
        <v>1</v>
      </c>
      <c r="M115" s="400" t="n">
        <v>1</v>
      </c>
      <c r="N115" s="367" t="n">
        <f aca="false">(L90+L98+L106)/3</f>
        <v>86.8313570487484</v>
      </c>
      <c r="O115" s="355"/>
      <c r="P115" s="153"/>
      <c r="Q115" s="153"/>
      <c r="R115" s="153"/>
      <c r="S115" s="355"/>
      <c r="T115" s="139"/>
      <c r="U115" s="39"/>
      <c r="W115" s="32"/>
      <c r="X115" s="32"/>
      <c r="Y115" s="120"/>
      <c r="Z115" s="120"/>
      <c r="AA115" s="194"/>
      <c r="AB115" s="194"/>
      <c r="AC115" s="195"/>
      <c r="AD115" s="195"/>
      <c r="AE115" s="195"/>
    </row>
    <row r="116" customFormat="false" ht="20.1" hidden="false" customHeight="true" outlineLevel="0" collapsed="false">
      <c r="B116" s="39"/>
      <c r="C116" s="139"/>
      <c r="D116" s="368" t="s">
        <v>12</v>
      </c>
      <c r="E116" s="611" t="s">
        <v>13</v>
      </c>
      <c r="F116" s="402" t="n">
        <f aca="false">K116*6+L116*3+M116*0</f>
        <v>3</v>
      </c>
      <c r="G116" s="370" t="n">
        <v>0</v>
      </c>
      <c r="H116" s="691" t="s">
        <v>46</v>
      </c>
      <c r="I116" s="691"/>
      <c r="J116" s="402" t="n">
        <f aca="false">F116+G116</f>
        <v>3</v>
      </c>
      <c r="K116" s="402" t="n">
        <v>0</v>
      </c>
      <c r="L116" s="402" t="n">
        <v>1</v>
      </c>
      <c r="M116" s="402" t="n">
        <v>2</v>
      </c>
      <c r="N116" s="371" t="n">
        <f aca="false">(L91+L99+L107)/3</f>
        <v>74.4433465085639</v>
      </c>
      <c r="O116" s="355"/>
      <c r="P116" s="153"/>
      <c r="Q116" s="153"/>
      <c r="R116" s="153"/>
      <c r="S116" s="355"/>
      <c r="T116" s="139"/>
      <c r="U116" s="39"/>
    </row>
    <row r="117" customFormat="false" ht="20.1" hidden="false" customHeight="true" outlineLevel="0" collapsed="false">
      <c r="B117" s="39"/>
      <c r="C117" s="139"/>
      <c r="D117" s="168"/>
      <c r="E117" s="168"/>
      <c r="F117" s="153"/>
      <c r="G117" s="153"/>
      <c r="H117" s="153"/>
      <c r="I117" s="153"/>
      <c r="J117" s="153"/>
      <c r="K117" s="153"/>
      <c r="L117" s="153"/>
      <c r="M117" s="153"/>
      <c r="N117" s="153"/>
      <c r="O117" s="153"/>
      <c r="P117" s="153"/>
      <c r="Q117" s="153"/>
      <c r="R117" s="153"/>
      <c r="S117" s="153"/>
      <c r="T117" s="139"/>
      <c r="U117" s="39"/>
    </row>
    <row r="118" customFormat="false" ht="20.1" hidden="false" customHeight="true" outlineLevel="0" collapsed="false">
      <c r="B118" s="39"/>
      <c r="C118" s="39"/>
      <c r="D118" s="169"/>
      <c r="E118" s="169"/>
      <c r="F118" s="129"/>
      <c r="G118" s="129"/>
      <c r="H118" s="169"/>
      <c r="I118" s="169"/>
      <c r="J118" s="169"/>
      <c r="K118" s="131"/>
      <c r="L118" s="131"/>
      <c r="M118" s="131"/>
      <c r="N118" s="131"/>
      <c r="O118" s="131"/>
      <c r="P118" s="131"/>
      <c r="Q118" s="131"/>
      <c r="R118" s="131"/>
      <c r="S118" s="131"/>
      <c r="T118" s="39"/>
      <c r="U118" s="39"/>
    </row>
    <row r="119" customFormat="false" ht="20.1" hidden="false" customHeight="true" outlineLevel="0" collapsed="false"/>
    <row r="120" customFormat="false" ht="20.1" hidden="false" customHeight="true" outlineLevel="0" collapsed="false"/>
    <row r="121" customFormat="false" ht="20.1" hidden="false" customHeight="true" outlineLevel="0" collapsed="false">
      <c r="B121" s="39"/>
      <c r="C121" s="39"/>
      <c r="D121" s="40"/>
      <c r="E121" s="40"/>
      <c r="F121" s="40"/>
      <c r="G121" s="40"/>
      <c r="H121" s="39"/>
      <c r="I121" s="39"/>
      <c r="J121" s="39"/>
      <c r="K121" s="39"/>
      <c r="L121" s="39"/>
      <c r="M121" s="39"/>
      <c r="N121" s="39"/>
      <c r="O121" s="39"/>
      <c r="P121" s="39"/>
      <c r="Q121" s="39"/>
      <c r="R121" s="39"/>
      <c r="S121" s="39"/>
      <c r="T121" s="39"/>
      <c r="U121" s="39"/>
    </row>
    <row r="122" customFormat="false" ht="31.5" hidden="false" customHeight="false" outlineLevel="0" collapsed="false">
      <c r="B122" s="39"/>
      <c r="C122" s="442" t="s">
        <v>280</v>
      </c>
      <c r="D122" s="442"/>
      <c r="E122" s="442"/>
      <c r="F122" s="442"/>
      <c r="G122" s="442"/>
      <c r="H122" s="442"/>
      <c r="I122" s="442"/>
      <c r="J122" s="442"/>
      <c r="K122" s="442"/>
      <c r="L122" s="442"/>
      <c r="M122" s="442"/>
      <c r="N122" s="442"/>
      <c r="O122" s="442"/>
      <c r="P122" s="442"/>
      <c r="Q122" s="442"/>
      <c r="R122" s="442"/>
      <c r="S122" s="442"/>
      <c r="T122" s="442"/>
      <c r="U122" s="39"/>
    </row>
    <row r="123" customFormat="false" ht="15.75" hidden="false" customHeight="false" outlineLevel="0" collapsed="false">
      <c r="B123" s="39"/>
      <c r="D123" s="36"/>
      <c r="E123" s="36"/>
      <c r="U123" s="39"/>
    </row>
    <row r="124" customFormat="false" ht="20.1" hidden="false" customHeight="true" outlineLevel="0" collapsed="false">
      <c r="B124" s="39"/>
      <c r="D124" s="263" t="s">
        <v>36</v>
      </c>
      <c r="E124" s="264" t="s">
        <v>239</v>
      </c>
      <c r="F124" s="294" t="s">
        <v>6</v>
      </c>
      <c r="G124" s="266" t="s">
        <v>110</v>
      </c>
      <c r="H124" s="266"/>
      <c r="I124" s="266"/>
      <c r="J124" s="266"/>
      <c r="K124" s="264" t="s">
        <v>71</v>
      </c>
      <c r="L124" s="266" t="s">
        <v>40</v>
      </c>
      <c r="M124" s="266"/>
      <c r="N124" s="266"/>
      <c r="O124" s="266"/>
      <c r="P124" s="266"/>
      <c r="Q124" s="266"/>
      <c r="R124" s="266"/>
      <c r="S124" s="266"/>
      <c r="U124" s="39"/>
    </row>
    <row r="125" customFormat="false" ht="20.1" hidden="false" customHeight="true" outlineLevel="0" collapsed="false">
      <c r="B125" s="39"/>
      <c r="D125" s="263"/>
      <c r="E125" s="264"/>
      <c r="F125" s="264"/>
      <c r="G125" s="267" t="s">
        <v>111</v>
      </c>
      <c r="H125" s="267" t="s">
        <v>41</v>
      </c>
      <c r="I125" s="294" t="s">
        <v>42</v>
      </c>
      <c r="J125" s="294"/>
      <c r="K125" s="267" t="s">
        <v>43</v>
      </c>
      <c r="L125" s="372" t="s">
        <v>111</v>
      </c>
      <c r="M125" s="270" t="s">
        <v>44</v>
      </c>
      <c r="N125" s="384" t="s">
        <v>42</v>
      </c>
      <c r="O125" s="384"/>
      <c r="P125" s="384"/>
      <c r="Q125" s="384"/>
      <c r="R125" s="384"/>
      <c r="S125" s="384"/>
      <c r="U125" s="39"/>
    </row>
    <row r="126" customFormat="false" ht="110.1" hidden="false" customHeight="true" outlineLevel="0" collapsed="false">
      <c r="B126" s="39"/>
      <c r="D126" s="6" t="s">
        <v>178</v>
      </c>
      <c r="E126" s="229" t="s">
        <v>211</v>
      </c>
      <c r="F126" s="12" t="n">
        <v>1</v>
      </c>
      <c r="G126" s="692" t="s">
        <v>114</v>
      </c>
      <c r="H126" s="643" t="s">
        <v>112</v>
      </c>
      <c r="I126" s="693" t="s">
        <v>281</v>
      </c>
      <c r="J126" s="693"/>
      <c r="K126" s="694" t="s">
        <v>282</v>
      </c>
      <c r="L126" s="644" t="s">
        <v>46</v>
      </c>
      <c r="M126" s="481" t="s">
        <v>46</v>
      </c>
      <c r="N126" s="645" t="s">
        <v>46</v>
      </c>
      <c r="O126" s="645"/>
      <c r="P126" s="645"/>
      <c r="Q126" s="645"/>
      <c r="R126" s="645"/>
      <c r="S126" s="645"/>
      <c r="U126" s="39"/>
    </row>
    <row r="127" customFormat="false" ht="35.1" hidden="false" customHeight="true" outlineLevel="0" collapsed="false">
      <c r="B127" s="39"/>
      <c r="D127" s="13" t="s">
        <v>16</v>
      </c>
      <c r="E127" s="237" t="s">
        <v>17</v>
      </c>
      <c r="F127" s="19" t="n">
        <v>2</v>
      </c>
      <c r="G127" s="695" t="s">
        <v>114</v>
      </c>
      <c r="H127" s="620" t="s">
        <v>190</v>
      </c>
      <c r="I127" s="590" t="s">
        <v>46</v>
      </c>
      <c r="J127" s="590"/>
      <c r="K127" s="416" t="s">
        <v>50</v>
      </c>
      <c r="L127" s="649" t="s">
        <v>46</v>
      </c>
      <c r="M127" s="696" t="s">
        <v>46</v>
      </c>
      <c r="N127" s="447" t="s">
        <v>46</v>
      </c>
      <c r="O127" s="447"/>
      <c r="P127" s="447"/>
      <c r="Q127" s="447"/>
      <c r="R127" s="447"/>
      <c r="S127" s="447"/>
      <c r="U127" s="39"/>
    </row>
    <row r="128" customFormat="false" ht="125.1" hidden="false" customHeight="true" outlineLevel="0" collapsed="false">
      <c r="B128" s="39"/>
      <c r="D128" s="13" t="s">
        <v>16</v>
      </c>
      <c r="E128" s="237" t="s">
        <v>17</v>
      </c>
      <c r="F128" s="19" t="n">
        <v>3</v>
      </c>
      <c r="G128" s="697" t="s">
        <v>114</v>
      </c>
      <c r="H128" s="624" t="s">
        <v>282</v>
      </c>
      <c r="I128" s="593" t="s">
        <v>283</v>
      </c>
      <c r="J128" s="593"/>
      <c r="K128" s="698" t="s">
        <v>46</v>
      </c>
      <c r="L128" s="699" t="s">
        <v>85</v>
      </c>
      <c r="M128" s="700" t="s">
        <v>73</v>
      </c>
      <c r="N128" s="701" t="s">
        <v>284</v>
      </c>
      <c r="O128" s="701"/>
      <c r="P128" s="701"/>
      <c r="Q128" s="701"/>
      <c r="R128" s="701"/>
      <c r="S128" s="701"/>
      <c r="U128" s="39"/>
    </row>
    <row r="129" customFormat="false" ht="50.1" hidden="false" customHeight="true" outlineLevel="0" collapsed="false">
      <c r="B129" s="39"/>
      <c r="D129" s="29" t="s">
        <v>178</v>
      </c>
      <c r="E129" s="240" t="s">
        <v>211</v>
      </c>
      <c r="F129" s="23" t="n">
        <v>4</v>
      </c>
      <c r="G129" s="702" t="s">
        <v>114</v>
      </c>
      <c r="H129" s="659" t="s">
        <v>285</v>
      </c>
      <c r="I129" s="596" t="s">
        <v>286</v>
      </c>
      <c r="J129" s="596"/>
      <c r="K129" s="703" t="s">
        <v>46</v>
      </c>
      <c r="L129" s="704" t="s">
        <v>46</v>
      </c>
      <c r="M129" s="505" t="s">
        <v>46</v>
      </c>
      <c r="N129" s="705" t="s">
        <v>46</v>
      </c>
      <c r="O129" s="705"/>
      <c r="P129" s="705"/>
      <c r="Q129" s="705"/>
      <c r="R129" s="705"/>
      <c r="S129" s="705"/>
      <c r="U129" s="39"/>
    </row>
    <row r="130" customFormat="false" ht="20.1" hidden="false" customHeight="true" outlineLevel="0" collapsed="false">
      <c r="B130" s="39"/>
      <c r="D130" s="36"/>
      <c r="E130" s="36"/>
      <c r="I130" s="664"/>
      <c r="U130" s="39"/>
    </row>
    <row r="131" customFormat="false" ht="20.1" hidden="false" customHeight="true" outlineLevel="0" collapsed="false">
      <c r="B131" s="39"/>
      <c r="C131" s="76"/>
      <c r="D131" s="76"/>
      <c r="E131" s="77" t="str">
        <f aca="false">IF(OR(L126="-",L126= ""),H126,L126)</f>
        <v>Terra Mystica</v>
      </c>
      <c r="F131" s="77"/>
      <c r="G131" s="77"/>
      <c r="H131" s="77"/>
      <c r="I131" s="77"/>
      <c r="J131" s="77"/>
      <c r="K131" s="77"/>
      <c r="L131" s="77"/>
      <c r="M131" s="77"/>
      <c r="N131" s="77"/>
      <c r="O131" s="78"/>
      <c r="P131" s="78"/>
      <c r="Q131" s="78"/>
      <c r="R131" s="78"/>
      <c r="S131" s="78"/>
      <c r="T131" s="76"/>
      <c r="U131" s="39"/>
    </row>
    <row r="132" customFormat="false" ht="50.1" hidden="false" customHeight="true" outlineLevel="0" collapsed="false">
      <c r="B132" s="39"/>
      <c r="C132" s="76"/>
      <c r="D132" s="78"/>
      <c r="E132" s="263" t="s">
        <v>36</v>
      </c>
      <c r="F132" s="597" t="s">
        <v>222</v>
      </c>
      <c r="G132" s="294" t="s">
        <v>52</v>
      </c>
      <c r="H132" s="264" t="s">
        <v>223</v>
      </c>
      <c r="I132" s="81" t="s">
        <v>224</v>
      </c>
      <c r="J132" s="264" t="s">
        <v>225</v>
      </c>
      <c r="K132" s="295" t="s">
        <v>54</v>
      </c>
      <c r="L132" s="264" t="s">
        <v>55</v>
      </c>
      <c r="M132" s="296" t="s">
        <v>56</v>
      </c>
      <c r="N132" s="294" t="s">
        <v>57</v>
      </c>
      <c r="O132" s="43" t="s">
        <v>58</v>
      </c>
      <c r="P132" s="79" t="s">
        <v>59</v>
      </c>
      <c r="Q132" s="78"/>
      <c r="R132" s="78"/>
      <c r="S132" s="78"/>
      <c r="T132" s="76"/>
      <c r="U132" s="39"/>
    </row>
    <row r="133" customFormat="false" ht="20.1" hidden="false" customHeight="true" outlineLevel="0" collapsed="false">
      <c r="B133" s="39"/>
      <c r="C133" s="76"/>
      <c r="D133" s="297"/>
      <c r="E133" s="6" t="s">
        <v>178</v>
      </c>
      <c r="F133" s="229" t="s">
        <v>211</v>
      </c>
      <c r="G133" s="387" t="n">
        <v>2</v>
      </c>
      <c r="H133" s="387" t="s">
        <v>287</v>
      </c>
      <c r="I133" s="387" t="n">
        <v>20</v>
      </c>
      <c r="J133" s="387" t="n">
        <v>140</v>
      </c>
      <c r="K133" s="387" t="s">
        <v>46</v>
      </c>
      <c r="L133" s="388" t="n">
        <f aca="false">IF(J133="",0,(J133/J135)*100)</f>
        <v>82.3529411764706</v>
      </c>
      <c r="M133" s="387" t="n">
        <v>2</v>
      </c>
      <c r="N133" s="389" t="n">
        <v>0</v>
      </c>
      <c r="O133" s="301" t="n">
        <f aca="false">IF(M133=1,1,0)</f>
        <v>0</v>
      </c>
      <c r="P133" s="84" t="n">
        <f aca="false">IF(M133=2,1,0)</f>
        <v>1</v>
      </c>
      <c r="Q133" s="302"/>
      <c r="R133" s="302"/>
      <c r="S133" s="302"/>
      <c r="T133" s="76"/>
      <c r="U133" s="39"/>
    </row>
    <row r="134" customFormat="false" ht="20.1" hidden="false" customHeight="true" outlineLevel="0" collapsed="false">
      <c r="B134" s="39"/>
      <c r="C134" s="76"/>
      <c r="D134" s="297"/>
      <c r="E134" s="89" t="s">
        <v>16</v>
      </c>
      <c r="F134" s="599" t="s">
        <v>17</v>
      </c>
      <c r="G134" s="91" t="n">
        <v>1</v>
      </c>
      <c r="H134" s="91" t="s">
        <v>266</v>
      </c>
      <c r="I134" s="91" t="n">
        <v>20</v>
      </c>
      <c r="J134" s="91" t="n">
        <v>170</v>
      </c>
      <c r="K134" s="91" t="s">
        <v>46</v>
      </c>
      <c r="L134" s="92" t="n">
        <f aca="false">IF(J134="",0,(J134/J135)*100)</f>
        <v>100</v>
      </c>
      <c r="M134" s="91" t="n">
        <v>1</v>
      </c>
      <c r="N134" s="394" t="n">
        <v>6</v>
      </c>
      <c r="O134" s="310" t="n">
        <f aca="false">IF(M134=1,1,0)</f>
        <v>1</v>
      </c>
      <c r="P134" s="117" t="n">
        <f aca="false">IF(M134=2,1,0)</f>
        <v>0</v>
      </c>
      <c r="Q134" s="302"/>
      <c r="R134" s="302"/>
      <c r="S134" s="302"/>
      <c r="T134" s="76"/>
      <c r="U134" s="39"/>
    </row>
    <row r="135" customFormat="false" ht="20.1" hidden="true" customHeight="true" outlineLevel="1" collapsed="false">
      <c r="B135" s="39"/>
      <c r="C135" s="76"/>
      <c r="D135" s="306"/>
      <c r="E135" s="306"/>
      <c r="F135" s="302"/>
      <c r="G135" s="302"/>
      <c r="H135" s="76"/>
      <c r="I135" s="345" t="s">
        <v>62</v>
      </c>
      <c r="J135" s="98" t="n">
        <f aca="false">MAX(J133:J134)</f>
        <v>170</v>
      </c>
      <c r="K135" s="396"/>
      <c r="L135" s="316"/>
      <c r="M135" s="76"/>
      <c r="N135" s="333" t="s">
        <v>63</v>
      </c>
      <c r="O135" s="102" t="n">
        <f aca="false">SUM(O133:O134)</f>
        <v>1</v>
      </c>
      <c r="P135" s="102" t="n">
        <f aca="false">SUM(P133:P134)</f>
        <v>1</v>
      </c>
      <c r="Q135" s="316"/>
      <c r="R135" s="316"/>
      <c r="S135" s="316"/>
      <c r="T135" s="76"/>
      <c r="U135" s="39"/>
    </row>
    <row r="136" customFormat="false" ht="20.1" hidden="false" customHeight="true" outlineLevel="0" collapsed="false">
      <c r="B136" s="39"/>
      <c r="C136" s="76"/>
      <c r="D136" s="105"/>
      <c r="E136" s="105"/>
      <c r="F136" s="76"/>
      <c r="G136" s="76"/>
      <c r="H136" s="76"/>
      <c r="I136" s="76"/>
      <c r="J136" s="76"/>
      <c r="K136" s="76"/>
      <c r="L136" s="76"/>
      <c r="M136" s="76"/>
      <c r="N136" s="76"/>
      <c r="O136" s="76"/>
      <c r="P136" s="76"/>
      <c r="Q136" s="76"/>
      <c r="R136" s="76"/>
      <c r="S136" s="76"/>
      <c r="T136" s="76"/>
      <c r="U136" s="39"/>
    </row>
    <row r="137" customFormat="false" ht="20.1" hidden="false" customHeight="true" outlineLevel="0" collapsed="false">
      <c r="B137" s="39"/>
      <c r="U137" s="39"/>
    </row>
    <row r="138" customFormat="false" ht="20.1" hidden="false" customHeight="true" outlineLevel="0" collapsed="false">
      <c r="B138" s="39"/>
      <c r="C138" s="107"/>
      <c r="D138" s="107"/>
      <c r="E138" s="108" t="str">
        <f aca="false">IF(OR(L127="-",L127= ""),H127,L127)</f>
        <v>Roll for the Galaxy</v>
      </c>
      <c r="F138" s="108"/>
      <c r="G138" s="108"/>
      <c r="H138" s="108"/>
      <c r="I138" s="108"/>
      <c r="J138" s="108"/>
      <c r="K138" s="108"/>
      <c r="L138" s="108"/>
      <c r="M138" s="108"/>
      <c r="N138" s="108"/>
      <c r="O138" s="109"/>
      <c r="P138" s="109"/>
      <c r="Q138" s="109"/>
      <c r="R138" s="109"/>
      <c r="S138" s="109"/>
      <c r="T138" s="107"/>
      <c r="U138" s="39"/>
    </row>
    <row r="139" customFormat="false" ht="50.1" hidden="false" customHeight="true" outlineLevel="0" collapsed="false">
      <c r="B139" s="39"/>
      <c r="C139" s="107"/>
      <c r="D139" s="109"/>
      <c r="E139" s="263" t="s">
        <v>36</v>
      </c>
      <c r="F139" s="597" t="s">
        <v>222</v>
      </c>
      <c r="G139" s="294" t="s">
        <v>52</v>
      </c>
      <c r="H139" s="264" t="s">
        <v>223</v>
      </c>
      <c r="I139" s="81" t="s">
        <v>224</v>
      </c>
      <c r="J139" s="264" t="s">
        <v>225</v>
      </c>
      <c r="K139" s="295" t="s">
        <v>54</v>
      </c>
      <c r="L139" s="264" t="s">
        <v>55</v>
      </c>
      <c r="M139" s="296" t="s">
        <v>56</v>
      </c>
      <c r="N139" s="294" t="s">
        <v>57</v>
      </c>
      <c r="O139" s="43" t="s">
        <v>58</v>
      </c>
      <c r="P139" s="79" t="s">
        <v>59</v>
      </c>
      <c r="Q139" s="109"/>
      <c r="R139" s="109"/>
      <c r="S139" s="109"/>
      <c r="T139" s="107"/>
      <c r="U139" s="39"/>
    </row>
    <row r="140" customFormat="false" ht="20.1" hidden="false" customHeight="true" outlineLevel="0" collapsed="false">
      <c r="B140" s="39"/>
      <c r="C140" s="107"/>
      <c r="D140" s="319"/>
      <c r="E140" s="6" t="s">
        <v>178</v>
      </c>
      <c r="F140" s="229" t="s">
        <v>211</v>
      </c>
      <c r="G140" s="387" t="s">
        <v>46</v>
      </c>
      <c r="H140" s="387" t="s">
        <v>46</v>
      </c>
      <c r="I140" s="387" t="n">
        <v>0</v>
      </c>
      <c r="J140" s="387" t="n">
        <v>28</v>
      </c>
      <c r="K140" s="387" t="s">
        <v>46</v>
      </c>
      <c r="L140" s="388" t="n">
        <f aca="false">IF(J140="",0,(J140/J142)*100)</f>
        <v>70</v>
      </c>
      <c r="M140" s="387" t="n">
        <v>2</v>
      </c>
      <c r="N140" s="389" t="n">
        <v>0</v>
      </c>
      <c r="O140" s="301" t="n">
        <f aca="false">IF(M140=1,1,0)</f>
        <v>0</v>
      </c>
      <c r="P140" s="84" t="n">
        <f aca="false">IF(M140=2,1,0)</f>
        <v>1</v>
      </c>
      <c r="Q140" s="322"/>
      <c r="R140" s="322"/>
      <c r="S140" s="322"/>
      <c r="T140" s="107"/>
      <c r="U140" s="39"/>
    </row>
    <row r="141" customFormat="false" ht="20.1" hidden="false" customHeight="true" outlineLevel="0" collapsed="false">
      <c r="B141" s="39"/>
      <c r="C141" s="107"/>
      <c r="D141" s="319"/>
      <c r="E141" s="89" t="s">
        <v>16</v>
      </c>
      <c r="F141" s="599" t="s">
        <v>17</v>
      </c>
      <c r="G141" s="91" t="s">
        <v>46</v>
      </c>
      <c r="H141" s="91" t="s">
        <v>46</v>
      </c>
      <c r="I141" s="91" t="n">
        <v>0</v>
      </c>
      <c r="J141" s="91" t="n">
        <v>40</v>
      </c>
      <c r="K141" s="91" t="s">
        <v>46</v>
      </c>
      <c r="L141" s="92" t="n">
        <f aca="false">IF(J141="",0,(J141/J142)*100)</f>
        <v>100</v>
      </c>
      <c r="M141" s="91" t="n">
        <v>1</v>
      </c>
      <c r="N141" s="394" t="n">
        <v>6</v>
      </c>
      <c r="O141" s="310" t="n">
        <f aca="false">IF(M141=1,1,0)</f>
        <v>1</v>
      </c>
      <c r="P141" s="117" t="n">
        <f aca="false">IF(M141=2,1,0)</f>
        <v>0</v>
      </c>
      <c r="Q141" s="322"/>
      <c r="R141" s="322"/>
      <c r="S141" s="322"/>
      <c r="T141" s="107"/>
      <c r="U141" s="39"/>
    </row>
    <row r="142" customFormat="false" ht="20.1" hidden="true" customHeight="true" outlineLevel="1" collapsed="false">
      <c r="B142" s="39"/>
      <c r="C142" s="107"/>
      <c r="D142" s="319"/>
      <c r="E142" s="319"/>
      <c r="F142" s="322"/>
      <c r="G142" s="322"/>
      <c r="H142" s="107"/>
      <c r="I142" s="331" t="s">
        <v>62</v>
      </c>
      <c r="J142" s="98" t="n">
        <f aca="false">MAX(J140:J141)</f>
        <v>40</v>
      </c>
      <c r="K142" s="332"/>
      <c r="L142" s="322"/>
      <c r="M142" s="107"/>
      <c r="N142" s="333" t="s">
        <v>63</v>
      </c>
      <c r="O142" s="102" t="n">
        <f aca="false">SUM(O140:O141)</f>
        <v>1</v>
      </c>
      <c r="P142" s="667" t="n">
        <f aca="false">SUM(P140:P141)</f>
        <v>1</v>
      </c>
      <c r="Q142" s="334"/>
      <c r="R142" s="334"/>
      <c r="S142" s="334"/>
      <c r="T142" s="107"/>
      <c r="U142" s="39"/>
    </row>
    <row r="143" customFormat="false" ht="20.1" hidden="false" customHeight="true" outlineLevel="0" collapsed="false">
      <c r="B143" s="39"/>
      <c r="C143" s="107"/>
      <c r="D143" s="123"/>
      <c r="E143" s="123"/>
      <c r="F143" s="107"/>
      <c r="G143" s="107"/>
      <c r="H143" s="107"/>
      <c r="I143" s="107"/>
      <c r="J143" s="107"/>
      <c r="K143" s="107"/>
      <c r="L143" s="107"/>
      <c r="M143" s="107"/>
      <c r="N143" s="107"/>
      <c r="O143" s="107"/>
      <c r="P143" s="107"/>
      <c r="Q143" s="107"/>
      <c r="R143" s="107"/>
      <c r="S143" s="107"/>
      <c r="T143" s="107"/>
      <c r="U143" s="39"/>
    </row>
    <row r="144" customFormat="false" ht="20.1" hidden="false" customHeight="true" outlineLevel="0" collapsed="false">
      <c r="B144" s="39"/>
      <c r="D144" s="124"/>
      <c r="E144" s="124"/>
      <c r="F144" s="124"/>
      <c r="G144" s="124"/>
      <c r="H144" s="125"/>
      <c r="I144" s="124"/>
      <c r="J144" s="124"/>
      <c r="K144" s="36"/>
      <c r="L144" s="36"/>
      <c r="M144" s="36"/>
      <c r="N144" s="36"/>
      <c r="O144" s="36"/>
      <c r="P144" s="36"/>
      <c r="Q144" s="36"/>
      <c r="R144" s="36"/>
      <c r="S144" s="36"/>
      <c r="U144" s="39"/>
    </row>
    <row r="145" customFormat="false" ht="20.1" hidden="false" customHeight="true" outlineLevel="0" collapsed="false">
      <c r="B145" s="39"/>
      <c r="C145" s="126"/>
      <c r="D145" s="126"/>
      <c r="E145" s="127" t="str">
        <f aca="false">IF(OR(M128="-",M128= ""),H128,M128)</f>
        <v>Die Burgen von 
Burgund</v>
      </c>
      <c r="F145" s="127"/>
      <c r="G145" s="127"/>
      <c r="H145" s="127"/>
      <c r="I145" s="127"/>
      <c r="J145" s="127"/>
      <c r="K145" s="127"/>
      <c r="L145" s="127"/>
      <c r="M145" s="127"/>
      <c r="N145" s="127"/>
      <c r="O145" s="128"/>
      <c r="P145" s="128"/>
      <c r="Q145" s="128"/>
      <c r="R145" s="128"/>
      <c r="S145" s="128"/>
      <c r="T145" s="126"/>
      <c r="U145" s="129"/>
    </row>
    <row r="146" customFormat="false" ht="50.1" hidden="false" customHeight="true" outlineLevel="0" collapsed="false">
      <c r="B146" s="39"/>
      <c r="C146" s="126"/>
      <c r="D146" s="12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128"/>
      <c r="R146" s="128"/>
      <c r="S146" s="128"/>
      <c r="T146" s="126"/>
      <c r="U146" s="129"/>
    </row>
    <row r="147" customFormat="false" ht="20.1" hidden="false" customHeight="true" outlineLevel="0" collapsed="false">
      <c r="B147" s="39"/>
      <c r="C147" s="126"/>
      <c r="D147" s="336"/>
      <c r="E147" s="6" t="s">
        <v>178</v>
      </c>
      <c r="F147" s="229" t="s">
        <v>211</v>
      </c>
      <c r="G147" s="387" t="n">
        <v>1</v>
      </c>
      <c r="H147" s="387" t="s">
        <v>288</v>
      </c>
      <c r="I147" s="387" t="n">
        <v>0</v>
      </c>
      <c r="J147" s="387" t="n">
        <v>153</v>
      </c>
      <c r="K147" s="387" t="s">
        <v>46</v>
      </c>
      <c r="L147" s="388" t="n">
        <f aca="false">IF(J147="",0,(J147/J149)*100)</f>
        <v>92.1686746987952</v>
      </c>
      <c r="M147" s="387" t="n">
        <v>2</v>
      </c>
      <c r="N147" s="389" t="n">
        <v>0</v>
      </c>
      <c r="O147" s="84" t="n">
        <f aca="false">IF(M147=1,1,0)</f>
        <v>0</v>
      </c>
      <c r="P147" s="668" t="n">
        <f aca="false">IF(M147=2,1,0)</f>
        <v>1</v>
      </c>
      <c r="Q147" s="339"/>
      <c r="R147" s="339"/>
      <c r="S147" s="339"/>
      <c r="T147" s="126"/>
      <c r="U147" s="131"/>
    </row>
    <row r="148" customFormat="false" ht="20.1" hidden="false" customHeight="true" outlineLevel="0" collapsed="false">
      <c r="B148" s="39"/>
      <c r="C148" s="126"/>
      <c r="D148" s="336"/>
      <c r="E148" s="89" t="s">
        <v>16</v>
      </c>
      <c r="F148" s="599" t="s">
        <v>17</v>
      </c>
      <c r="G148" s="91" t="n">
        <v>2</v>
      </c>
      <c r="H148" s="91" t="s">
        <v>288</v>
      </c>
      <c r="I148" s="91" t="n">
        <v>0</v>
      </c>
      <c r="J148" s="91" t="n">
        <v>166</v>
      </c>
      <c r="K148" s="91" t="s">
        <v>46</v>
      </c>
      <c r="L148" s="92" t="n">
        <f aca="false">IF(J148="",0,(J148/J149)*100)</f>
        <v>100</v>
      </c>
      <c r="M148" s="91" t="n">
        <v>1</v>
      </c>
      <c r="N148" s="394" t="n">
        <v>6</v>
      </c>
      <c r="O148" s="117" t="n">
        <f aca="false">IF(M148=1,1,0)</f>
        <v>1</v>
      </c>
      <c r="P148" s="669" t="n">
        <f aca="false">IF(M148=2,1,0)</f>
        <v>0</v>
      </c>
      <c r="Q148" s="339"/>
      <c r="R148" s="339"/>
      <c r="S148" s="339"/>
      <c r="T148" s="126"/>
      <c r="U148" s="132"/>
    </row>
    <row r="149" customFormat="false" ht="20.1" hidden="true" customHeight="true" outlineLevel="1" collapsed="false">
      <c r="B149" s="39"/>
      <c r="C149" s="126"/>
      <c r="D149" s="336"/>
      <c r="E149" s="336"/>
      <c r="F149" s="339"/>
      <c r="G149" s="339"/>
      <c r="H149" s="126"/>
      <c r="I149" s="345" t="s">
        <v>62</v>
      </c>
      <c r="J149" s="98" t="n">
        <f aca="false">MAX(J147:J148)</f>
        <v>166</v>
      </c>
      <c r="K149" s="346"/>
      <c r="L149" s="339"/>
      <c r="M149" s="126"/>
      <c r="N149" s="333" t="s">
        <v>63</v>
      </c>
      <c r="O149" s="102" t="n">
        <f aca="false">SUM(O147:O148)</f>
        <v>1</v>
      </c>
      <c r="P149" s="102" t="n">
        <f aca="false">SUM(P147:P148)</f>
        <v>1</v>
      </c>
      <c r="Q149" s="347"/>
      <c r="R149" s="347"/>
      <c r="S149" s="347"/>
      <c r="T149" s="126"/>
      <c r="U149" s="132"/>
    </row>
    <row r="150" customFormat="false" ht="20.1" hidden="false" customHeight="true" outlineLevel="0" collapsed="false">
      <c r="B150" s="39"/>
      <c r="C150" s="126"/>
      <c r="D150" s="133"/>
      <c r="E150" s="133"/>
      <c r="F150" s="126"/>
      <c r="G150" s="126"/>
      <c r="H150" s="126"/>
      <c r="I150" s="126"/>
      <c r="J150" s="126"/>
      <c r="K150" s="126"/>
      <c r="L150" s="126"/>
      <c r="M150" s="126"/>
      <c r="N150" s="126"/>
      <c r="O150" s="126"/>
      <c r="P150" s="126"/>
      <c r="Q150" s="126"/>
      <c r="R150" s="126"/>
      <c r="S150" s="126"/>
      <c r="T150" s="126"/>
      <c r="U150" s="132"/>
    </row>
    <row r="151" customFormat="false" ht="20.1" hidden="false" customHeight="true" outlineLevel="0" collapsed="false">
      <c r="B151" s="39"/>
      <c r="D151" s="124"/>
      <c r="E151" s="124"/>
      <c r="F151" s="124"/>
      <c r="G151" s="124"/>
      <c r="H151" s="125"/>
      <c r="I151" s="124"/>
      <c r="J151" s="124"/>
      <c r="K151" s="124"/>
      <c r="L151" s="36"/>
      <c r="M151" s="36"/>
      <c r="N151" s="36"/>
      <c r="O151" s="36"/>
      <c r="P151" s="36"/>
      <c r="Q151" s="36"/>
      <c r="R151" s="36"/>
      <c r="S151" s="36"/>
      <c r="U151" s="131"/>
    </row>
    <row r="152" customFormat="false" ht="20.1" hidden="false" customHeight="true" outlineLevel="0" collapsed="false">
      <c r="B152" s="39"/>
      <c r="C152" s="134"/>
      <c r="D152" s="134"/>
      <c r="E152" s="135" t="str">
        <f aca="false">IF(OR(L129="-",L129= ""),H129,L129)</f>
        <v>Kingdomino</v>
      </c>
      <c r="F152" s="135"/>
      <c r="G152" s="135"/>
      <c r="H152" s="135"/>
      <c r="I152" s="135"/>
      <c r="J152" s="135"/>
      <c r="K152" s="135"/>
      <c r="L152" s="135"/>
      <c r="M152" s="135"/>
      <c r="N152" s="135"/>
      <c r="O152" s="136"/>
      <c r="P152" s="136"/>
      <c r="Q152" s="136"/>
      <c r="R152" s="136"/>
      <c r="S152" s="136"/>
      <c r="T152" s="134"/>
      <c r="U152" s="129"/>
    </row>
    <row r="153" customFormat="false" ht="50.1" hidden="false" customHeight="true" outlineLevel="0" collapsed="false">
      <c r="B153" s="39"/>
      <c r="C153" s="134"/>
      <c r="D153" s="136"/>
      <c r="E153" s="263" t="s">
        <v>36</v>
      </c>
      <c r="F153" s="597" t="s">
        <v>222</v>
      </c>
      <c r="G153" s="294" t="s">
        <v>52</v>
      </c>
      <c r="H153" s="264" t="s">
        <v>223</v>
      </c>
      <c r="I153" s="81" t="s">
        <v>224</v>
      </c>
      <c r="J153" s="264" t="s">
        <v>225</v>
      </c>
      <c r="K153" s="295" t="s">
        <v>54</v>
      </c>
      <c r="L153" s="264" t="s">
        <v>55</v>
      </c>
      <c r="M153" s="296" t="s">
        <v>56</v>
      </c>
      <c r="N153" s="294" t="s">
        <v>57</v>
      </c>
      <c r="O153" s="43" t="s">
        <v>58</v>
      </c>
      <c r="P153" s="79" t="s">
        <v>59</v>
      </c>
      <c r="Q153" s="136"/>
      <c r="R153" s="136"/>
      <c r="S153" s="136"/>
      <c r="T153" s="134"/>
      <c r="U153" s="129"/>
    </row>
    <row r="154" customFormat="false" ht="20.1" hidden="false" customHeight="true" outlineLevel="0" collapsed="false">
      <c r="B154" s="39"/>
      <c r="C154" s="134"/>
      <c r="D154" s="349"/>
      <c r="E154" s="6" t="s">
        <v>178</v>
      </c>
      <c r="F154" s="229" t="s">
        <v>211</v>
      </c>
      <c r="G154" s="387" t="n">
        <v>1</v>
      </c>
      <c r="H154" s="387" t="s">
        <v>46</v>
      </c>
      <c r="I154" s="387" t="n">
        <v>0</v>
      </c>
      <c r="J154" s="387" t="n">
        <v>105</v>
      </c>
      <c r="K154" s="387" t="s">
        <v>46</v>
      </c>
      <c r="L154" s="388" t="n">
        <f aca="false">IF(J154="",0,(J154/J156)*100)</f>
        <v>66.4556962025316</v>
      </c>
      <c r="M154" s="387" t="n">
        <v>2</v>
      </c>
      <c r="N154" s="389" t="n">
        <v>0</v>
      </c>
      <c r="O154" s="301" t="n">
        <f aca="false">IF(M154=1,1,0)</f>
        <v>0</v>
      </c>
      <c r="P154" s="84" t="n">
        <f aca="false">IF(M154=2,1,0)</f>
        <v>1</v>
      </c>
      <c r="Q154" s="350"/>
      <c r="R154" s="350"/>
      <c r="S154" s="350"/>
      <c r="T154" s="134"/>
      <c r="U154" s="131"/>
    </row>
    <row r="155" customFormat="false" ht="20.1" hidden="false" customHeight="true" outlineLevel="0" collapsed="false">
      <c r="B155" s="39"/>
      <c r="C155" s="134"/>
      <c r="D155" s="349"/>
      <c r="E155" s="89" t="s">
        <v>16</v>
      </c>
      <c r="F155" s="599" t="s">
        <v>17</v>
      </c>
      <c r="G155" s="91" t="n">
        <v>2</v>
      </c>
      <c r="H155" s="91" t="s">
        <v>46</v>
      </c>
      <c r="I155" s="91" t="n">
        <v>0</v>
      </c>
      <c r="J155" s="91" t="n">
        <v>158</v>
      </c>
      <c r="K155" s="91" t="s">
        <v>46</v>
      </c>
      <c r="L155" s="92" t="n">
        <f aca="false">IF(J155="",0,(J155/J156)*100)</f>
        <v>100</v>
      </c>
      <c r="M155" s="91" t="n">
        <v>1</v>
      </c>
      <c r="N155" s="394" t="n">
        <v>6</v>
      </c>
      <c r="O155" s="310" t="n">
        <f aca="false">IF(M155=1,1,0)</f>
        <v>1</v>
      </c>
      <c r="P155" s="117" t="n">
        <f aca="false">IF(M155=2,1,0)</f>
        <v>0</v>
      </c>
      <c r="Q155" s="350"/>
      <c r="R155" s="350"/>
      <c r="S155" s="350"/>
      <c r="T155" s="134"/>
      <c r="U155" s="132"/>
    </row>
    <row r="156" customFormat="false" ht="20.1" hidden="true" customHeight="true" outlineLevel="1" collapsed="false">
      <c r="B156" s="39"/>
      <c r="C156" s="134"/>
      <c r="D156" s="349"/>
      <c r="E156" s="349"/>
      <c r="F156" s="350"/>
      <c r="G156" s="350"/>
      <c r="H156" s="134"/>
      <c r="I156" s="345" t="s">
        <v>62</v>
      </c>
      <c r="J156" s="98" t="n">
        <f aca="false">MAX(J154:J155)</f>
        <v>158</v>
      </c>
      <c r="K156" s="353"/>
      <c r="L156" s="350"/>
      <c r="M156" s="134"/>
      <c r="N156" s="333" t="s">
        <v>63</v>
      </c>
      <c r="O156" s="102" t="n">
        <f aca="false">SUM(O154:O155)</f>
        <v>1</v>
      </c>
      <c r="P156" s="667" t="n">
        <f aca="false">SUM(P154:P155)</f>
        <v>1</v>
      </c>
      <c r="Q156" s="354"/>
      <c r="R156" s="354"/>
      <c r="S156" s="354"/>
      <c r="T156" s="134"/>
      <c r="U156" s="132"/>
    </row>
    <row r="157" customFormat="false" ht="20.1" hidden="false" customHeight="true" outlineLevel="0" collapsed="false">
      <c r="B157" s="39"/>
      <c r="C157" s="134"/>
      <c r="D157" s="137"/>
      <c r="E157" s="137"/>
      <c r="F157" s="134"/>
      <c r="G157" s="134"/>
      <c r="H157" s="134"/>
      <c r="I157" s="134"/>
      <c r="J157" s="134"/>
      <c r="K157" s="134"/>
      <c r="L157" s="134"/>
      <c r="M157" s="134"/>
      <c r="N157" s="134"/>
      <c r="O157" s="134"/>
      <c r="P157" s="134"/>
      <c r="Q157" s="134"/>
      <c r="R157" s="134"/>
      <c r="S157" s="134"/>
      <c r="T157" s="134"/>
      <c r="U157" s="132"/>
    </row>
    <row r="158" customFormat="false" ht="20.1" hidden="false" customHeight="true" outlineLevel="0" collapsed="false">
      <c r="B158" s="39"/>
      <c r="D158" s="124"/>
      <c r="E158" s="124"/>
      <c r="F158" s="124"/>
      <c r="G158" s="124"/>
      <c r="H158" s="125"/>
      <c r="I158" s="124"/>
      <c r="J158" s="124"/>
      <c r="K158" s="124"/>
      <c r="L158" s="36"/>
      <c r="M158" s="36"/>
      <c r="N158" s="36"/>
      <c r="O158" s="36"/>
      <c r="P158" s="36"/>
      <c r="Q158" s="36"/>
      <c r="R158" s="36"/>
      <c r="S158" s="36"/>
      <c r="U158" s="131"/>
    </row>
    <row r="159" customFormat="false" ht="24" hidden="false" customHeight="false" outlineLevel="0" collapsed="false">
      <c r="B159" s="39"/>
      <c r="C159" s="139"/>
      <c r="D159" s="419"/>
      <c r="E159" s="140" t="s">
        <v>173</v>
      </c>
      <c r="F159" s="140"/>
      <c r="G159" s="140"/>
      <c r="H159" s="140"/>
      <c r="I159" s="140"/>
      <c r="J159" s="140"/>
      <c r="K159" s="140"/>
      <c r="L159" s="140"/>
      <c r="M159" s="140"/>
      <c r="N159" s="140"/>
      <c r="O159" s="141"/>
      <c r="P159" s="141"/>
      <c r="Q159" s="141"/>
      <c r="R159" s="141"/>
      <c r="S159" s="141"/>
      <c r="T159" s="139"/>
      <c r="U159" s="39"/>
    </row>
    <row r="160" customFormat="false" ht="50.1" hidden="false" customHeight="true" outlineLevel="0" collapsed="false">
      <c r="B160" s="39"/>
      <c r="C160" s="139"/>
      <c r="D160" s="398"/>
      <c r="E160" s="356" t="s">
        <v>36</v>
      </c>
      <c r="F160" s="357" t="s">
        <v>218</v>
      </c>
      <c r="G160" s="358" t="s">
        <v>57</v>
      </c>
      <c r="H160" s="146" t="s">
        <v>236</v>
      </c>
      <c r="I160" s="143" t="s">
        <v>237</v>
      </c>
      <c r="J160" s="143"/>
      <c r="K160" s="488" t="s">
        <v>238</v>
      </c>
      <c r="L160" s="359" t="s">
        <v>65</v>
      </c>
      <c r="M160" s="358" t="s">
        <v>66</v>
      </c>
      <c r="N160" s="357" t="s">
        <v>69</v>
      </c>
      <c r="O160" s="147"/>
      <c r="P160" s="147"/>
      <c r="Q160" s="147"/>
      <c r="R160" s="147"/>
      <c r="S160" s="147"/>
      <c r="T160" s="139"/>
      <c r="U160" s="39"/>
    </row>
    <row r="161" customFormat="false" ht="20.1" hidden="false" customHeight="true" outlineLevel="0" collapsed="false">
      <c r="B161" s="39"/>
      <c r="C161" s="139"/>
      <c r="D161" s="360"/>
      <c r="E161" s="602" t="s">
        <v>16</v>
      </c>
      <c r="F161" s="603" t="s">
        <v>17</v>
      </c>
      <c r="G161" s="631" t="n">
        <f aca="false">L161*6+M161*0</f>
        <v>24</v>
      </c>
      <c r="H161" s="604" t="n">
        <v>0</v>
      </c>
      <c r="I161" s="632" t="s">
        <v>46</v>
      </c>
      <c r="J161" s="632"/>
      <c r="K161" s="604" t="n">
        <f aca="false">G161+H161</f>
        <v>24</v>
      </c>
      <c r="L161" s="630" t="n">
        <v>4</v>
      </c>
      <c r="M161" s="631" t="n">
        <v>0</v>
      </c>
      <c r="N161" s="635" t="n">
        <f aca="false">(L134+L141+L148+L155)/4</f>
        <v>100</v>
      </c>
      <c r="O161" s="153"/>
      <c r="P161" s="153"/>
      <c r="Q161" s="153"/>
      <c r="R161" s="153"/>
      <c r="S161" s="153"/>
      <c r="T161" s="139"/>
      <c r="U161" s="39"/>
    </row>
    <row r="162" customFormat="false" ht="20.1" hidden="false" customHeight="true" outlineLevel="0" collapsed="false">
      <c r="B162" s="39"/>
      <c r="C162" s="139"/>
      <c r="D162" s="168"/>
      <c r="E162" s="368" t="s">
        <v>178</v>
      </c>
      <c r="F162" s="611" t="s">
        <v>211</v>
      </c>
      <c r="G162" s="426" t="n">
        <f aca="false">L162*6+M162*0</f>
        <v>0</v>
      </c>
      <c r="H162" s="427" t="n">
        <v>0</v>
      </c>
      <c r="I162" s="637" t="s">
        <v>46</v>
      </c>
      <c r="J162" s="637"/>
      <c r="K162" s="427" t="n">
        <f aca="false">G162+H162</f>
        <v>0</v>
      </c>
      <c r="L162" s="403" t="n">
        <v>0</v>
      </c>
      <c r="M162" s="427" t="n">
        <v>4</v>
      </c>
      <c r="N162" s="428" t="n">
        <f aca="false">(L133+L140+L147+L154)/4</f>
        <v>77.7443280194493</v>
      </c>
      <c r="O162" s="153"/>
      <c r="P162" s="153"/>
      <c r="Q162" s="153"/>
      <c r="R162" s="153"/>
      <c r="S162" s="153"/>
      <c r="T162" s="139"/>
      <c r="U162" s="39"/>
    </row>
    <row r="163" customFormat="false" ht="20.1" hidden="false" customHeight="true" outlineLevel="0" collapsed="false">
      <c r="B163" s="39"/>
      <c r="C163" s="139"/>
      <c r="D163" s="168"/>
      <c r="E163" s="168"/>
      <c r="F163" s="153"/>
      <c r="G163" s="153"/>
      <c r="H163" s="153"/>
      <c r="I163" s="153"/>
      <c r="J163" s="153"/>
      <c r="K163" s="153"/>
      <c r="L163" s="153"/>
      <c r="M163" s="153"/>
      <c r="N163" s="153"/>
      <c r="O163" s="153"/>
      <c r="P163" s="153"/>
      <c r="Q163" s="153"/>
      <c r="R163" s="153"/>
      <c r="S163" s="153"/>
      <c r="T163" s="139"/>
      <c r="U163" s="39"/>
    </row>
    <row r="164" customFormat="false" ht="20.1" hidden="false" customHeight="true" outlineLevel="0" collapsed="false">
      <c r="B164" s="39"/>
      <c r="C164" s="39"/>
      <c r="D164" s="169"/>
      <c r="E164" s="169"/>
      <c r="F164" s="129"/>
      <c r="G164" s="129"/>
      <c r="H164" s="169"/>
      <c r="I164" s="169"/>
      <c r="J164" s="169"/>
      <c r="K164" s="131"/>
      <c r="L164" s="131"/>
      <c r="M164" s="131"/>
      <c r="N164" s="131"/>
      <c r="O164" s="131"/>
      <c r="P164" s="131"/>
      <c r="Q164" s="131"/>
      <c r="R164" s="131"/>
      <c r="S164" s="131"/>
      <c r="T164" s="39"/>
      <c r="U164" s="39"/>
    </row>
  </sheetData>
  <mergeCells count="107">
    <mergeCell ref="A1:N2"/>
    <mergeCell ref="B4:H4"/>
    <mergeCell ref="J4:L4"/>
    <mergeCell ref="B5:C5"/>
    <mergeCell ref="B6:C6"/>
    <mergeCell ref="K6:K9"/>
    <mergeCell ref="B7:C7"/>
    <mergeCell ref="B8:C8"/>
    <mergeCell ref="B9:C9"/>
    <mergeCell ref="B10:C10"/>
    <mergeCell ref="K10:K12"/>
    <mergeCell ref="B11:C11"/>
    <mergeCell ref="B12:C12"/>
    <mergeCell ref="B13:C13"/>
    <mergeCell ref="K13:K14"/>
    <mergeCell ref="B14:C14"/>
    <mergeCell ref="J15:K15"/>
    <mergeCell ref="B16:G16"/>
    <mergeCell ref="B17:C17"/>
    <mergeCell ref="B18:C18"/>
    <mergeCell ref="B19:C19"/>
    <mergeCell ref="B20:C20"/>
    <mergeCell ref="C23: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E88:N88"/>
    <mergeCell ref="F93:G93"/>
    <mergeCell ref="E96:N96"/>
    <mergeCell ref="F101:G101"/>
    <mergeCell ref="E104:N104"/>
    <mergeCell ref="F109:G109"/>
    <mergeCell ref="D112:N112"/>
    <mergeCell ref="H113:I113"/>
    <mergeCell ref="H114:I114"/>
    <mergeCell ref="H115:I115"/>
    <mergeCell ref="Y115:Z115"/>
    <mergeCell ref="H116:I116"/>
    <mergeCell ref="C122:T122"/>
    <mergeCell ref="D124:D125"/>
    <mergeCell ref="E124:E125"/>
    <mergeCell ref="F124:F125"/>
    <mergeCell ref="G124:J124"/>
    <mergeCell ref="L124:S124"/>
    <mergeCell ref="I125:J125"/>
    <mergeCell ref="N125:S125"/>
    <mergeCell ref="I126:J126"/>
    <mergeCell ref="N126:S126"/>
    <mergeCell ref="I127:J127"/>
    <mergeCell ref="N127:S127"/>
    <mergeCell ref="I128:J128"/>
    <mergeCell ref="N128:S128"/>
    <mergeCell ref="I129:J129"/>
    <mergeCell ref="N129:S129"/>
    <mergeCell ref="E131:N131"/>
    <mergeCell ref="F135:G135"/>
    <mergeCell ref="E138:N138"/>
    <mergeCell ref="F142:G142"/>
    <mergeCell ref="E145:N145"/>
    <mergeCell ref="F149:G149"/>
    <mergeCell ref="E152:N152"/>
    <mergeCell ref="F156:G156"/>
    <mergeCell ref="E159:N159"/>
    <mergeCell ref="I160:J160"/>
    <mergeCell ref="I161:J161"/>
    <mergeCell ref="I162:J162"/>
  </mergeCells>
  <dataValidations count="1">
    <dataValidation allowBlank="true" operator="between" showDropDown="false" showErrorMessage="true" showInputMessage="true" sqref="H6:H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73" colorId="64" zoomScale="100" zoomScaleNormal="100" zoomScalePageLayoutView="100" workbookViewId="0">
      <selection pane="topLeft" activeCell="I86" activeCellId="0" sqref="I8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7"/>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289</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290</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291</v>
      </c>
      <c r="C5" s="81"/>
      <c r="D5" s="213" t="s">
        <v>2</v>
      </c>
      <c r="E5" s="570" t="s">
        <v>202</v>
      </c>
      <c r="F5" s="571" t="s">
        <v>203</v>
      </c>
      <c r="G5" s="572" t="s">
        <v>204</v>
      </c>
      <c r="H5" s="4" t="s">
        <v>292</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4" t="s">
        <v>207</v>
      </c>
      <c r="G7" s="574"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434" t="n">
        <v>4</v>
      </c>
      <c r="C9" s="434"/>
      <c r="D9" s="435" t="s">
        <v>10</v>
      </c>
      <c r="E9" s="436" t="s">
        <v>11</v>
      </c>
      <c r="F9" s="573" t="s">
        <v>209</v>
      </c>
      <c r="G9" s="573" t="s">
        <v>209</v>
      </c>
      <c r="H9" s="437" t="s">
        <v>26</v>
      </c>
      <c r="I9" s="36"/>
      <c r="J9" s="247" t="str">
        <f aca="false">D9</f>
        <v>Wolfgang Mulser</v>
      </c>
      <c r="K9" s="230"/>
      <c r="L9" s="252" t="n">
        <v>4</v>
      </c>
      <c r="P9" s="36"/>
      <c r="Q9" s="120"/>
      <c r="S9" s="36"/>
      <c r="T9" s="36"/>
      <c r="U9" s="36"/>
      <c r="V9" s="120"/>
      <c r="W9" s="120"/>
    </row>
    <row r="10" customFormat="false" ht="20.1" hidden="false" customHeight="true" outlineLevel="0" collapsed="false">
      <c r="B10" s="233" t="n">
        <v>5</v>
      </c>
      <c r="C10" s="233"/>
      <c r="D10" s="234" t="s">
        <v>96</v>
      </c>
      <c r="E10" s="545" t="s">
        <v>210</v>
      </c>
      <c r="F10" s="574" t="s">
        <v>210</v>
      </c>
      <c r="G10" s="574" t="s">
        <v>210</v>
      </c>
      <c r="H10" s="236" t="s">
        <v>9</v>
      </c>
      <c r="I10" s="544"/>
      <c r="J10" s="9" t="str">
        <f aca="false">D10</f>
        <v>Kai Maibaum</v>
      </c>
      <c r="K10" s="543" t="n">
        <v>2</v>
      </c>
      <c r="L10" s="12" t="n">
        <v>1</v>
      </c>
      <c r="P10" s="36"/>
      <c r="Q10" s="120"/>
      <c r="S10" s="36"/>
      <c r="T10" s="36"/>
      <c r="U10" s="36"/>
      <c r="V10" s="120"/>
      <c r="W10" s="120"/>
    </row>
    <row r="11" customFormat="false" ht="20.1" hidden="false" customHeight="true" outlineLevel="0" collapsed="false">
      <c r="B11" s="233" t="n">
        <v>6</v>
      </c>
      <c r="C11" s="233"/>
      <c r="D11" s="234" t="s">
        <v>22</v>
      </c>
      <c r="E11" s="235" t="s">
        <v>23</v>
      </c>
      <c r="F11" s="574" t="s">
        <v>23</v>
      </c>
      <c r="G11" s="574" t="s">
        <v>208</v>
      </c>
      <c r="H11" s="236" t="s">
        <v>9</v>
      </c>
      <c r="I11" s="544"/>
      <c r="J11" s="16" t="str">
        <f aca="false">D11</f>
        <v>Markus Hagenauer</v>
      </c>
      <c r="K11" s="543"/>
      <c r="L11" s="19" t="n">
        <v>2</v>
      </c>
      <c r="P11" s="36"/>
      <c r="Q11" s="120"/>
      <c r="S11" s="36"/>
      <c r="T11" s="36"/>
      <c r="U11" s="36"/>
      <c r="V11" s="120"/>
      <c r="W11" s="120"/>
    </row>
    <row r="12" customFormat="false" ht="20.1" hidden="false" customHeight="true" outlineLevel="0" collapsed="false">
      <c r="B12" s="233" t="n">
        <v>7</v>
      </c>
      <c r="C12" s="233"/>
      <c r="D12" s="234" t="s">
        <v>16</v>
      </c>
      <c r="E12" s="706" t="s">
        <v>17</v>
      </c>
      <c r="F12" s="707" t="s">
        <v>17</v>
      </c>
      <c r="G12" s="438" t="s">
        <v>17</v>
      </c>
      <c r="H12" s="236" t="s">
        <v>9</v>
      </c>
      <c r="I12" s="544"/>
      <c r="J12" s="16" t="str">
        <f aca="false">D12</f>
        <v>Jérôme Schätzle</v>
      </c>
      <c r="K12" s="543"/>
      <c r="L12" s="19" t="n">
        <v>3</v>
      </c>
      <c r="P12" s="36"/>
      <c r="Q12" s="120"/>
      <c r="S12" s="36"/>
      <c r="T12" s="36"/>
      <c r="U12" s="36"/>
      <c r="V12" s="120"/>
      <c r="W12" s="120"/>
    </row>
    <row r="13" customFormat="false" ht="20.1" hidden="false" customHeight="true" outlineLevel="0" collapsed="false">
      <c r="B13" s="233" t="n">
        <v>8</v>
      </c>
      <c r="C13" s="233"/>
      <c r="D13" s="234" t="s">
        <v>12</v>
      </c>
      <c r="E13" s="235" t="s">
        <v>13</v>
      </c>
      <c r="F13" s="574" t="s">
        <v>13</v>
      </c>
      <c r="G13" s="574" t="s">
        <v>208</v>
      </c>
      <c r="H13" s="236" t="s">
        <v>9</v>
      </c>
      <c r="I13" s="544"/>
      <c r="J13" s="247" t="str">
        <f aca="false">D13</f>
        <v>Miriam Dirler</v>
      </c>
      <c r="K13" s="543"/>
      <c r="L13" s="252" t="n">
        <v>4</v>
      </c>
      <c r="P13" s="36"/>
      <c r="Q13" s="120"/>
      <c r="S13" s="36"/>
      <c r="T13" s="36"/>
      <c r="U13" s="36"/>
      <c r="V13" s="120"/>
      <c r="W13" s="120"/>
    </row>
    <row r="14" customFormat="false" ht="20.1" hidden="false" customHeight="true" outlineLevel="0" collapsed="false">
      <c r="B14" s="233" t="n">
        <v>9</v>
      </c>
      <c r="C14" s="233"/>
      <c r="D14" s="234" t="s">
        <v>178</v>
      </c>
      <c r="E14" s="235" t="s">
        <v>211</v>
      </c>
      <c r="F14" s="574" t="s">
        <v>212</v>
      </c>
      <c r="G14" s="574" t="s">
        <v>208</v>
      </c>
      <c r="H14" s="236" t="s">
        <v>9</v>
      </c>
      <c r="I14" s="36"/>
      <c r="J14" s="9" t="str">
        <f aca="false">D14</f>
        <v>Markus Hundshagen</v>
      </c>
      <c r="K14" s="230" t="n">
        <v>3</v>
      </c>
      <c r="L14" s="12" t="n">
        <v>1</v>
      </c>
      <c r="P14" s="36"/>
      <c r="Q14" s="120"/>
      <c r="S14" s="36"/>
      <c r="T14" s="36"/>
      <c r="U14" s="36"/>
      <c r="V14" s="120"/>
      <c r="W14" s="120"/>
    </row>
    <row r="15" customFormat="false" ht="20.1" hidden="false" customHeight="true" outlineLevel="0" collapsed="false">
      <c r="B15" s="233" t="n">
        <v>10</v>
      </c>
      <c r="C15" s="233"/>
      <c r="D15" s="438" t="s">
        <v>31</v>
      </c>
      <c r="E15" s="706" t="s">
        <v>32</v>
      </c>
      <c r="F15" s="707" t="s">
        <v>32</v>
      </c>
      <c r="G15" s="438" t="s">
        <v>208</v>
      </c>
      <c r="H15" s="236" t="s">
        <v>9</v>
      </c>
      <c r="I15" s="36"/>
      <c r="J15" s="16" t="str">
        <f aca="false">D15</f>
        <v>Andreas Micke</v>
      </c>
      <c r="K15" s="230"/>
      <c r="L15" s="19" t="n">
        <v>2</v>
      </c>
      <c r="P15" s="36"/>
      <c r="Q15" s="120"/>
      <c r="S15" s="36"/>
      <c r="T15" s="36"/>
      <c r="U15" s="36"/>
      <c r="V15" s="120"/>
      <c r="W15" s="120"/>
    </row>
    <row r="16" customFormat="false" ht="20.1" hidden="false" customHeight="true" outlineLevel="0" collapsed="false">
      <c r="B16" s="233" t="n">
        <v>11</v>
      </c>
      <c r="C16" s="233"/>
      <c r="D16" s="438" t="s">
        <v>7</v>
      </c>
      <c r="E16" s="706" t="s">
        <v>8</v>
      </c>
      <c r="F16" s="707" t="s">
        <v>8</v>
      </c>
      <c r="G16" s="438" t="s">
        <v>8</v>
      </c>
      <c r="H16" s="236" t="s">
        <v>9</v>
      </c>
      <c r="I16" s="36"/>
      <c r="J16" s="303" t="s">
        <v>7</v>
      </c>
      <c r="K16" s="230"/>
      <c r="L16" s="19" t="n">
        <v>3</v>
      </c>
      <c r="P16" s="36"/>
      <c r="Q16" s="120"/>
      <c r="S16" s="36"/>
      <c r="T16" s="36"/>
      <c r="U16" s="36"/>
      <c r="V16" s="120"/>
      <c r="W16" s="120"/>
    </row>
    <row r="17" customFormat="false" ht="20.1" hidden="false" customHeight="true" outlineLevel="0" collapsed="false">
      <c r="B17" s="253" t="n">
        <v>12</v>
      </c>
      <c r="C17" s="253"/>
      <c r="D17" s="708" t="s">
        <v>260</v>
      </c>
      <c r="E17" s="709" t="s">
        <v>261</v>
      </c>
      <c r="F17" s="710" t="s">
        <v>261</v>
      </c>
      <c r="G17" s="708" t="s">
        <v>208</v>
      </c>
      <c r="H17" s="256" t="s">
        <v>9</v>
      </c>
      <c r="I17" s="36"/>
      <c r="J17" s="711" t="s">
        <v>260</v>
      </c>
      <c r="K17" s="230"/>
      <c r="L17" s="23" t="n">
        <v>4</v>
      </c>
      <c r="P17" s="36"/>
      <c r="Q17" s="120"/>
      <c r="S17" s="36"/>
      <c r="T17" s="36"/>
      <c r="U17" s="36"/>
      <c r="V17" s="120"/>
      <c r="W17" s="120"/>
    </row>
    <row r="18" customFormat="false" ht="20.1" hidden="false" customHeight="true" outlineLevel="0" collapsed="false">
      <c r="J18" s="678" t="s">
        <v>293</v>
      </c>
      <c r="K18" s="678"/>
      <c r="L18" s="548" t="n">
        <v>12</v>
      </c>
      <c r="P18" s="51"/>
      <c r="Q18" s="51"/>
      <c r="S18" s="51"/>
      <c r="T18" s="51"/>
      <c r="U18" s="51"/>
      <c r="V18" s="51"/>
    </row>
    <row r="19" customFormat="false" ht="15.75" hidden="false" customHeight="false" outlineLevel="0" collapsed="false">
      <c r="B19" s="3" t="s">
        <v>294</v>
      </c>
      <c r="C19" s="3"/>
      <c r="D19" s="3"/>
      <c r="E19" s="3"/>
      <c r="F19" s="3"/>
      <c r="G19" s="3"/>
      <c r="M19" s="576"/>
      <c r="N19" s="576"/>
      <c r="O19" s="576"/>
      <c r="P19" s="138"/>
      <c r="Q19" s="51"/>
      <c r="R19" s="51"/>
      <c r="T19" s="51"/>
      <c r="U19" s="51"/>
      <c r="V19" s="51"/>
      <c r="W19" s="51"/>
    </row>
    <row r="20" customFormat="false" ht="30.75" hidden="false" customHeight="true" outlineLevel="0" collapsed="false">
      <c r="B20" s="219" t="s">
        <v>215</v>
      </c>
      <c r="C20" s="219"/>
      <c r="D20" s="577" t="s">
        <v>2</v>
      </c>
      <c r="E20" s="46" t="s">
        <v>216</v>
      </c>
      <c r="F20" s="578" t="s">
        <v>203</v>
      </c>
      <c r="G20" s="579" t="s">
        <v>217</v>
      </c>
      <c r="M20" s="576"/>
      <c r="N20" s="576"/>
      <c r="O20" s="576"/>
      <c r="P20" s="138"/>
      <c r="Q20" s="51"/>
      <c r="R20" s="51"/>
      <c r="T20" s="51"/>
      <c r="U20" s="51"/>
      <c r="V20" s="51"/>
      <c r="W20" s="51"/>
    </row>
    <row r="21" customFormat="false" ht="20.1" hidden="false" customHeight="true" outlineLevel="0" collapsed="false">
      <c r="B21" s="580" t="n">
        <v>1</v>
      </c>
      <c r="C21" s="580"/>
      <c r="D21" s="581"/>
      <c r="E21" s="582"/>
      <c r="F21" s="583"/>
      <c r="G21" s="584"/>
      <c r="M21" s="576"/>
      <c r="N21" s="576"/>
      <c r="O21" s="576"/>
      <c r="P21" s="138"/>
      <c r="Q21" s="51"/>
      <c r="R21" s="51"/>
      <c r="T21" s="51"/>
      <c r="U21" s="51"/>
      <c r="V21" s="51"/>
      <c r="W21" s="51"/>
    </row>
    <row r="22" customFormat="false" ht="20.1" hidden="false" customHeight="true" outlineLevel="0" collapsed="false">
      <c r="D22" s="33"/>
      <c r="E22" s="33"/>
      <c r="F22" s="33"/>
      <c r="M22" s="576"/>
      <c r="N22" s="576"/>
      <c r="O22" s="576"/>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2" t="s">
        <v>295</v>
      </c>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5" t="s">
        <v>114</v>
      </c>
      <c r="H28" s="586" t="s">
        <v>148</v>
      </c>
      <c r="I28" s="587" t="s">
        <v>219</v>
      </c>
      <c r="J28" s="587"/>
      <c r="K28" s="445" t="s">
        <v>157</v>
      </c>
      <c r="L28" s="272" t="s">
        <v>46</v>
      </c>
      <c r="M28" s="276" t="s">
        <v>46</v>
      </c>
      <c r="N28" s="444" t="s">
        <v>46</v>
      </c>
      <c r="O28" s="444"/>
      <c r="P28" s="444"/>
      <c r="Q28" s="444"/>
      <c r="R28" s="444"/>
      <c r="S28" s="444"/>
      <c r="U28" s="39"/>
    </row>
    <row r="29" customFormat="false" ht="20.1" hidden="false" customHeight="true" outlineLevel="0" collapsed="false">
      <c r="B29" s="39"/>
      <c r="D29" s="13" t="s">
        <v>27</v>
      </c>
      <c r="E29" s="237" t="s">
        <v>207</v>
      </c>
      <c r="F29" s="19" t="n">
        <v>2</v>
      </c>
      <c r="G29" s="588" t="s">
        <v>114</v>
      </c>
      <c r="H29" s="589" t="s">
        <v>221</v>
      </c>
      <c r="I29" s="590" t="s">
        <v>46</v>
      </c>
      <c r="J29" s="590"/>
      <c r="K29" s="556" t="s">
        <v>157</v>
      </c>
      <c r="L29" s="278" t="s">
        <v>46</v>
      </c>
      <c r="M29" s="282" t="s">
        <v>46</v>
      </c>
      <c r="N29" s="447" t="s">
        <v>46</v>
      </c>
      <c r="O29" s="447"/>
      <c r="P29" s="447"/>
      <c r="Q29" s="447"/>
      <c r="R29" s="447"/>
      <c r="S29" s="447"/>
      <c r="U29" s="39"/>
    </row>
    <row r="30" customFormat="false" ht="50.1" hidden="false" customHeight="true" outlineLevel="0" collapsed="false">
      <c r="B30" s="39"/>
      <c r="D30" s="13" t="s">
        <v>20</v>
      </c>
      <c r="E30" s="237" t="s">
        <v>21</v>
      </c>
      <c r="F30" s="19" t="n">
        <v>3</v>
      </c>
      <c r="G30" s="591" t="s">
        <v>114</v>
      </c>
      <c r="H30" s="624" t="s">
        <v>296</v>
      </c>
      <c r="I30" s="593" t="s">
        <v>297</v>
      </c>
      <c r="J30" s="593"/>
      <c r="K30" s="556" t="s">
        <v>157</v>
      </c>
      <c r="L30" s="278" t="s">
        <v>46</v>
      </c>
      <c r="M30" s="282" t="s">
        <v>46</v>
      </c>
      <c r="N30" s="449" t="s">
        <v>46</v>
      </c>
      <c r="O30" s="449"/>
      <c r="P30" s="449"/>
      <c r="Q30" s="449"/>
      <c r="R30" s="449"/>
      <c r="S30" s="449"/>
      <c r="U30" s="39"/>
    </row>
    <row r="31" customFormat="false" ht="80.1" hidden="false" customHeight="true" outlineLevel="0" collapsed="false">
      <c r="B31" s="39"/>
      <c r="D31" s="29" t="s">
        <v>10</v>
      </c>
      <c r="E31" s="240" t="s">
        <v>11</v>
      </c>
      <c r="F31" s="23" t="n">
        <v>4</v>
      </c>
      <c r="G31" s="594" t="s">
        <v>85</v>
      </c>
      <c r="H31" s="595" t="s">
        <v>157</v>
      </c>
      <c r="I31" s="596" t="s">
        <v>298</v>
      </c>
      <c r="J31" s="596"/>
      <c r="K31" s="382" t="s">
        <v>50</v>
      </c>
      <c r="L31" s="417" t="s">
        <v>85</v>
      </c>
      <c r="M31" s="659" t="s">
        <v>299</v>
      </c>
      <c r="N31" s="596" t="s">
        <v>300</v>
      </c>
      <c r="O31" s="596"/>
      <c r="P31" s="596"/>
      <c r="Q31" s="596"/>
      <c r="R31" s="596"/>
      <c r="S31" s="596"/>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La Granja</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6" t="s">
        <v>14</v>
      </c>
      <c r="F35" s="229" t="s">
        <v>15</v>
      </c>
      <c r="G35" s="387" t="n">
        <v>2</v>
      </c>
      <c r="H35" s="553" t="s">
        <v>46</v>
      </c>
      <c r="I35" s="387" t="n">
        <v>1</v>
      </c>
      <c r="J35" s="387" t="n">
        <v>81</v>
      </c>
      <c r="K35" s="387" t="s">
        <v>46</v>
      </c>
      <c r="L35" s="388" t="n">
        <f aca="false">IF(J35="",0,(J35/J39)*100)</f>
        <v>90</v>
      </c>
      <c r="M35" s="387" t="n">
        <v>3</v>
      </c>
      <c r="N35" s="389" t="n">
        <v>1</v>
      </c>
      <c r="O35" s="301" t="n">
        <f aca="false">IF(M35=1,1,0)</f>
        <v>0</v>
      </c>
      <c r="P35" s="85" t="n">
        <f aca="false">IF(M35=2,1,0)</f>
        <v>0</v>
      </c>
      <c r="Q35" s="85" t="n">
        <f aca="false">IF(M35=3,1,0)</f>
        <v>1</v>
      </c>
      <c r="R35" s="84" t="n">
        <f aca="false">IF(M35=4,1,0)</f>
        <v>0</v>
      </c>
      <c r="S35" s="302"/>
      <c r="T35" s="76"/>
      <c r="U35" s="39"/>
    </row>
    <row r="36" customFormat="false" ht="20.1" hidden="false" customHeight="true" outlineLevel="0" collapsed="false">
      <c r="B36" s="39"/>
      <c r="C36" s="76"/>
      <c r="D36" s="297"/>
      <c r="E36" s="110" t="s">
        <v>27</v>
      </c>
      <c r="F36" s="598" t="s">
        <v>207</v>
      </c>
      <c r="G36" s="112" t="n">
        <v>1</v>
      </c>
      <c r="H36" s="112" t="s">
        <v>46</v>
      </c>
      <c r="I36" s="112" t="n">
        <v>1</v>
      </c>
      <c r="J36" s="112" t="n">
        <v>90</v>
      </c>
      <c r="K36" s="112" t="s">
        <v>46</v>
      </c>
      <c r="L36" s="113" t="n">
        <f aca="false">IF(J36="",0,(J36/J39)*100)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297"/>
      <c r="E37" s="13" t="s">
        <v>20</v>
      </c>
      <c r="F37" s="237" t="s">
        <v>21</v>
      </c>
      <c r="G37" s="324" t="n">
        <v>4</v>
      </c>
      <c r="H37" s="324" t="s">
        <v>46</v>
      </c>
      <c r="I37" s="324" t="n">
        <v>1</v>
      </c>
      <c r="J37" s="324" t="n">
        <v>86</v>
      </c>
      <c r="K37" s="324" t="s">
        <v>46</v>
      </c>
      <c r="L37" s="341" t="n">
        <f aca="false">IF(J37="",0,(J37/J39)*100)</f>
        <v>95.5555555555556</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29" t="s">
        <v>10</v>
      </c>
      <c r="F38" s="240" t="s">
        <v>209</v>
      </c>
      <c r="G38" s="186" t="n">
        <v>3</v>
      </c>
      <c r="H38" s="186" t="s">
        <v>46</v>
      </c>
      <c r="I38" s="186" t="n">
        <v>1</v>
      </c>
      <c r="J38" s="186" t="n">
        <v>62</v>
      </c>
      <c r="K38" s="186" t="s">
        <v>46</v>
      </c>
      <c r="L38" s="116" t="n">
        <f aca="false">IF(J38="",0,(J38/J39)*100)</f>
        <v>68.8888888888889</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90</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Yokohama</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180" t="s">
        <v>14</v>
      </c>
      <c r="F44" s="521" t="s">
        <v>15</v>
      </c>
      <c r="G44" s="182" t="n">
        <v>2</v>
      </c>
      <c r="H44" s="320" t="s">
        <v>46</v>
      </c>
      <c r="I44" s="182" t="n">
        <v>0</v>
      </c>
      <c r="J44" s="320" t="n">
        <v>136</v>
      </c>
      <c r="K44" s="320" t="s">
        <v>46</v>
      </c>
      <c r="L44" s="183" t="n">
        <f aca="false">IF(J44="",0,(J44/J48)*100)</f>
        <v>100</v>
      </c>
      <c r="M44" s="182" t="n">
        <v>1</v>
      </c>
      <c r="N44" s="300" t="n">
        <v>6</v>
      </c>
      <c r="O44" s="301" t="n">
        <f aca="false">IF(M44=1,1,0)</f>
        <v>1</v>
      </c>
      <c r="P44" s="85" t="n">
        <f aca="false">IF(M44=2,1,0)</f>
        <v>0</v>
      </c>
      <c r="Q44" s="85" t="n">
        <f aca="false">IF(M44=3,1,0)</f>
        <v>0</v>
      </c>
      <c r="R44" s="84" t="n">
        <f aca="false">IF(M44=4,1,0)</f>
        <v>0</v>
      </c>
      <c r="S44" s="322"/>
      <c r="T44" s="107"/>
      <c r="U44" s="39"/>
    </row>
    <row r="45" customFormat="false" ht="20.1" hidden="false" customHeight="true" outlineLevel="0" collapsed="false">
      <c r="B45" s="39"/>
      <c r="C45" s="107"/>
      <c r="D45" s="323"/>
      <c r="E45" s="13" t="s">
        <v>27</v>
      </c>
      <c r="F45" s="237" t="s">
        <v>207</v>
      </c>
      <c r="G45" s="324" t="n">
        <v>4</v>
      </c>
      <c r="H45" s="325" t="s">
        <v>46</v>
      </c>
      <c r="I45" s="324" t="n">
        <v>0</v>
      </c>
      <c r="J45" s="328" t="n">
        <v>131</v>
      </c>
      <c r="K45" s="325" t="s">
        <v>46</v>
      </c>
      <c r="L45" s="341" t="n">
        <f aca="false">IF(J45="",0,(J45/J48)*100)</f>
        <v>96.3235294117647</v>
      </c>
      <c r="M45" s="324" t="n">
        <v>2</v>
      </c>
      <c r="N45" s="327" t="n">
        <v>3</v>
      </c>
      <c r="O45" s="305" t="n">
        <f aca="false">IF(M45=1,1,0)</f>
        <v>0</v>
      </c>
      <c r="P45" s="88" t="n">
        <f aca="false">IF(M45=2,1,0)</f>
        <v>1</v>
      </c>
      <c r="Q45" s="88" t="n">
        <f aca="false">IF(M45=3,1,0)</f>
        <v>0</v>
      </c>
      <c r="R45" s="87" t="n">
        <f aca="false">IF(M45=4,1,0)</f>
        <v>0</v>
      </c>
      <c r="S45" s="322"/>
      <c r="T45" s="107"/>
      <c r="U45" s="39"/>
    </row>
    <row r="46" customFormat="false" ht="20.1" hidden="false" customHeight="true" outlineLevel="0" collapsed="false">
      <c r="B46" s="39"/>
      <c r="C46" s="107"/>
      <c r="D46" s="319"/>
      <c r="E46" s="13" t="s">
        <v>20</v>
      </c>
      <c r="F46" s="237" t="s">
        <v>21</v>
      </c>
      <c r="G46" s="324" t="n">
        <v>1</v>
      </c>
      <c r="H46" s="325" t="s">
        <v>46</v>
      </c>
      <c r="I46" s="324" t="n">
        <v>0</v>
      </c>
      <c r="J46" s="328" t="n">
        <v>114</v>
      </c>
      <c r="K46" s="325" t="s">
        <v>46</v>
      </c>
      <c r="L46" s="341" t="n">
        <f aca="false">IF(J46="",0,(J46/J48)*100)</f>
        <v>83.8235294117647</v>
      </c>
      <c r="M46" s="324" t="n">
        <v>3</v>
      </c>
      <c r="N46" s="327" t="n">
        <v>1</v>
      </c>
      <c r="O46" s="305" t="n">
        <f aca="false">IF(M46=1,1,0)</f>
        <v>0</v>
      </c>
      <c r="P46" s="88" t="n">
        <f aca="false">IF(M46=2,1,0)</f>
        <v>0</v>
      </c>
      <c r="Q46" s="88" t="n">
        <f aca="false">IF(M46=3,1,0)</f>
        <v>1</v>
      </c>
      <c r="R46" s="87" t="n">
        <f aca="false">IF(M46=4,1,0)</f>
        <v>0</v>
      </c>
      <c r="S46" s="322"/>
      <c r="T46" s="107"/>
      <c r="U46" s="39"/>
    </row>
    <row r="47" customFormat="false" ht="20.1" hidden="false" customHeight="true" outlineLevel="0" collapsed="false">
      <c r="B47" s="39"/>
      <c r="C47" s="107"/>
      <c r="D47" s="319"/>
      <c r="E47" s="29" t="s">
        <v>10</v>
      </c>
      <c r="F47" s="240" t="s">
        <v>209</v>
      </c>
      <c r="G47" s="186" t="n">
        <v>3</v>
      </c>
      <c r="H47" s="352" t="s">
        <v>46</v>
      </c>
      <c r="I47" s="186" t="n">
        <v>0</v>
      </c>
      <c r="J47" s="352" t="n">
        <v>79</v>
      </c>
      <c r="K47" s="186" t="s">
        <v>46</v>
      </c>
      <c r="L47" s="116" t="n">
        <f aca="false">IF(J47="",0,(J47/J48)*100)</f>
        <v>58.0882352941177</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136</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City of the Big 
Shoulders</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35.1" hidden="false" customHeight="true" outlineLevel="0" collapsed="false">
      <c r="B53" s="39"/>
      <c r="C53" s="126"/>
      <c r="D53" s="336"/>
      <c r="E53" s="180" t="s">
        <v>14</v>
      </c>
      <c r="F53" s="521" t="s">
        <v>15</v>
      </c>
      <c r="G53" s="182" t="n">
        <v>1</v>
      </c>
      <c r="H53" s="320" t="s">
        <v>301</v>
      </c>
      <c r="I53" s="182" t="n">
        <v>175</v>
      </c>
      <c r="J53" s="712" t="n">
        <v>5326</v>
      </c>
      <c r="K53" s="182" t="s">
        <v>46</v>
      </c>
      <c r="L53" s="183" t="n">
        <f aca="false">IF(J53="",0,(J53/J57)*100)</f>
        <v>100</v>
      </c>
      <c r="M53" s="182" t="n">
        <v>1</v>
      </c>
      <c r="N53" s="300" t="n">
        <v>6</v>
      </c>
      <c r="O53" s="301" t="n">
        <f aca="false">IF(M53=1,1,0)</f>
        <v>1</v>
      </c>
      <c r="P53" s="85" t="n">
        <f aca="false">IF(M53=2,1,0)</f>
        <v>0</v>
      </c>
      <c r="Q53" s="85" t="n">
        <f aca="false">IF(M53=3,1,0)</f>
        <v>0</v>
      </c>
      <c r="R53" s="84" t="n">
        <f aca="false">IF(M53=4,1,0)</f>
        <v>0</v>
      </c>
      <c r="S53" s="339"/>
      <c r="T53" s="126"/>
      <c r="U53" s="131"/>
      <c r="V53" s="36"/>
      <c r="W53" s="36"/>
    </row>
    <row r="54" customFormat="false" ht="20.1" hidden="false" customHeight="true" outlineLevel="0" collapsed="false">
      <c r="B54" s="39"/>
      <c r="C54" s="126"/>
      <c r="D54" s="340"/>
      <c r="E54" s="13" t="s">
        <v>27</v>
      </c>
      <c r="F54" s="237" t="s">
        <v>207</v>
      </c>
      <c r="G54" s="324" t="n">
        <v>4</v>
      </c>
      <c r="H54" s="324" t="s">
        <v>302</v>
      </c>
      <c r="I54" s="324" t="n">
        <v>175</v>
      </c>
      <c r="J54" s="713" t="n">
        <v>4064</v>
      </c>
      <c r="K54" s="324" t="s">
        <v>46</v>
      </c>
      <c r="L54" s="341" t="n">
        <f aca="false">IF(J54="",0,(J54/J57)*100)</f>
        <v>76.304919263988</v>
      </c>
      <c r="M54" s="324" t="n">
        <v>3</v>
      </c>
      <c r="N54" s="327" t="n">
        <v>1</v>
      </c>
      <c r="O54" s="305" t="n">
        <f aca="false">IF(M54=1,1,0)</f>
        <v>0</v>
      </c>
      <c r="P54" s="88" t="n">
        <f aca="false">IF(M54=2,1,0)</f>
        <v>0</v>
      </c>
      <c r="Q54" s="88" t="n">
        <f aca="false">IF(M54=3,1,0)</f>
        <v>1</v>
      </c>
      <c r="R54" s="87" t="n">
        <f aca="false">IF(M54=4,1,0)</f>
        <v>0</v>
      </c>
      <c r="S54" s="339"/>
      <c r="T54" s="126"/>
      <c r="U54" s="132"/>
      <c r="V54" s="36"/>
      <c r="W54" s="36"/>
    </row>
    <row r="55" customFormat="false" ht="35.1" hidden="false" customHeight="true" outlineLevel="0" collapsed="false">
      <c r="B55" s="39"/>
      <c r="C55" s="126"/>
      <c r="D55" s="336"/>
      <c r="E55" s="13" t="s">
        <v>20</v>
      </c>
      <c r="F55" s="237" t="s">
        <v>21</v>
      </c>
      <c r="G55" s="324" t="n">
        <v>2</v>
      </c>
      <c r="H55" s="325" t="s">
        <v>303</v>
      </c>
      <c r="I55" s="324" t="n">
        <v>175</v>
      </c>
      <c r="J55" s="713" t="n">
        <v>5215</v>
      </c>
      <c r="K55" s="324" t="s">
        <v>46</v>
      </c>
      <c r="L55" s="341" t="n">
        <f aca="false">IF(J55="",0,(J55/J57)*100)</f>
        <v>97.9158843409688</v>
      </c>
      <c r="M55" s="324" t="n">
        <v>2</v>
      </c>
      <c r="N55" s="327" t="n">
        <v>3</v>
      </c>
      <c r="O55" s="305" t="n">
        <f aca="false">IF(M55=1,1,0)</f>
        <v>0</v>
      </c>
      <c r="P55" s="88" t="n">
        <f aca="false">IF(M55=2,1,0)</f>
        <v>1</v>
      </c>
      <c r="Q55" s="88" t="n">
        <f aca="false">IF(M55=3,1,0)</f>
        <v>0</v>
      </c>
      <c r="R55" s="87" t="n">
        <f aca="false">IF(M55=4,1,0)</f>
        <v>0</v>
      </c>
      <c r="S55" s="339"/>
      <c r="T55" s="126"/>
      <c r="U55" s="132"/>
      <c r="V55" s="36"/>
      <c r="W55" s="36"/>
    </row>
    <row r="56" customFormat="false" ht="35.1" hidden="false" customHeight="true" outlineLevel="0" collapsed="false">
      <c r="B56" s="39"/>
      <c r="C56" s="126"/>
      <c r="D56" s="336"/>
      <c r="E56" s="29" t="s">
        <v>10</v>
      </c>
      <c r="F56" s="240" t="s">
        <v>209</v>
      </c>
      <c r="G56" s="186" t="n">
        <v>3</v>
      </c>
      <c r="H56" s="352" t="s">
        <v>304</v>
      </c>
      <c r="I56" s="186" t="n">
        <v>175</v>
      </c>
      <c r="J56" s="714" t="n">
        <v>3647</v>
      </c>
      <c r="K56" s="186" t="s">
        <v>46</v>
      </c>
      <c r="L56" s="116" t="n">
        <f aca="false">IF(J56="",0,(J56/J57)*100)</f>
        <v>68.4754036800601</v>
      </c>
      <c r="M56" s="186" t="n">
        <v>4</v>
      </c>
      <c r="N56" s="309" t="n">
        <v>0</v>
      </c>
      <c r="O56" s="310" t="n">
        <f aca="false">IF(M56=1,1,0)</f>
        <v>0</v>
      </c>
      <c r="P56" s="95" t="n">
        <f aca="false">IF(M56=2,1,0)</f>
        <v>0</v>
      </c>
      <c r="Q56" s="95" t="n">
        <f aca="false">IF(M56=3,1,0)</f>
        <v>0</v>
      </c>
      <c r="R56" s="117" t="n">
        <f aca="false">IF(M56=4,1,0)</f>
        <v>1</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5326</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Rajas of the Ganges</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180" t="s">
        <v>14</v>
      </c>
      <c r="F62" s="521" t="s">
        <v>15</v>
      </c>
      <c r="G62" s="182" t="n">
        <v>3</v>
      </c>
      <c r="H62" s="320" t="s">
        <v>46</v>
      </c>
      <c r="I62" s="182" t="n">
        <v>-58</v>
      </c>
      <c r="J62" s="182" t="n">
        <v>0</v>
      </c>
      <c r="K62" s="182" t="s">
        <v>46</v>
      </c>
      <c r="L62" s="183" t="n">
        <f aca="false">(1-J62/$I$62)*100</f>
        <v>100</v>
      </c>
      <c r="M62" s="182" t="n">
        <v>1</v>
      </c>
      <c r="N62" s="300" t="n">
        <v>6</v>
      </c>
      <c r="O62" s="301" t="n">
        <f aca="false">IF(M62=1,1,0)</f>
        <v>1</v>
      </c>
      <c r="P62" s="85" t="n">
        <f aca="false">IF(M62=2,1,0)</f>
        <v>0</v>
      </c>
      <c r="Q62" s="85" t="n">
        <f aca="false">IF(M62=3,1,0)</f>
        <v>0</v>
      </c>
      <c r="R62" s="84" t="n">
        <f aca="false">IF(M62=4,1,0)</f>
        <v>0</v>
      </c>
      <c r="S62" s="350"/>
      <c r="T62" s="134"/>
      <c r="U62" s="39"/>
    </row>
    <row r="63" customFormat="false" ht="20.1" hidden="false" customHeight="true" outlineLevel="0" collapsed="false">
      <c r="B63" s="39"/>
      <c r="C63" s="134"/>
      <c r="D63" s="349"/>
      <c r="E63" s="13" t="s">
        <v>27</v>
      </c>
      <c r="F63" s="237" t="s">
        <v>207</v>
      </c>
      <c r="G63" s="324" t="n">
        <v>1</v>
      </c>
      <c r="H63" s="324" t="s">
        <v>46</v>
      </c>
      <c r="I63" s="324" t="n">
        <v>-59</v>
      </c>
      <c r="J63" s="324" t="n">
        <v>-22</v>
      </c>
      <c r="K63" s="324" t="s">
        <v>46</v>
      </c>
      <c r="L63" s="341" t="n">
        <f aca="false">(1-J63/$I$62)*100</f>
        <v>62.0689655172414</v>
      </c>
      <c r="M63" s="324" t="n">
        <v>4</v>
      </c>
      <c r="N63" s="327" t="n">
        <v>0</v>
      </c>
      <c r="O63" s="305" t="n">
        <f aca="false">IF(M63=1,1,0)</f>
        <v>0</v>
      </c>
      <c r="P63" s="88" t="n">
        <f aca="false">IF(M63=2,1,0)</f>
        <v>0</v>
      </c>
      <c r="Q63" s="88" t="n">
        <f aca="false">IF(M63=3,1,0)</f>
        <v>0</v>
      </c>
      <c r="R63" s="87" t="n">
        <f aca="false">IF(M63=4,1,0)</f>
        <v>1</v>
      </c>
      <c r="S63" s="350"/>
      <c r="T63" s="134"/>
      <c r="U63" s="39"/>
    </row>
    <row r="64" customFormat="false" ht="20.1" hidden="false" customHeight="true" outlineLevel="0" collapsed="false">
      <c r="B64" s="39"/>
      <c r="C64" s="134"/>
      <c r="D64" s="349"/>
      <c r="E64" s="13" t="s">
        <v>20</v>
      </c>
      <c r="F64" s="237" t="s">
        <v>21</v>
      </c>
      <c r="G64" s="324" t="n">
        <v>4</v>
      </c>
      <c r="H64" s="324" t="s">
        <v>46</v>
      </c>
      <c r="I64" s="324" t="n">
        <v>-58</v>
      </c>
      <c r="J64" s="324" t="n">
        <v>-13</v>
      </c>
      <c r="K64" s="324" t="s">
        <v>46</v>
      </c>
      <c r="L64" s="341" t="n">
        <f aca="false">(1-J64/$I$62)*100</f>
        <v>77.5862068965517</v>
      </c>
      <c r="M64" s="324" t="n">
        <v>3</v>
      </c>
      <c r="N64" s="327" t="n">
        <v>1</v>
      </c>
      <c r="O64" s="305" t="n">
        <f aca="false">IF(M64=1,1,0)</f>
        <v>0</v>
      </c>
      <c r="P64" s="88" t="n">
        <f aca="false">IF(M64=2,1,0)</f>
        <v>0</v>
      </c>
      <c r="Q64" s="88" t="n">
        <f aca="false">IF(M64=3,1,0)</f>
        <v>1</v>
      </c>
      <c r="R64" s="87" t="n">
        <f aca="false">IF(M64=4,1,0)</f>
        <v>0</v>
      </c>
      <c r="S64" s="350"/>
      <c r="T64" s="134"/>
      <c r="U64" s="39"/>
    </row>
    <row r="65" customFormat="false" ht="20.1" hidden="false" customHeight="true" outlineLevel="0" collapsed="false">
      <c r="B65" s="39"/>
      <c r="C65" s="134"/>
      <c r="D65" s="351"/>
      <c r="E65" s="29" t="s">
        <v>10</v>
      </c>
      <c r="F65" s="240" t="s">
        <v>11</v>
      </c>
      <c r="G65" s="186" t="n">
        <v>2</v>
      </c>
      <c r="H65" s="186" t="s">
        <v>46</v>
      </c>
      <c r="I65" s="186" t="n">
        <v>-59</v>
      </c>
      <c r="J65" s="186" t="n">
        <v>-5</v>
      </c>
      <c r="K65" s="186" t="s">
        <v>46</v>
      </c>
      <c r="L65" s="116" t="n">
        <f aca="false">(1-J65/$I$62)*100</f>
        <v>91.3793103448276</v>
      </c>
      <c r="M65" s="186" t="n">
        <v>2</v>
      </c>
      <c r="N65" s="309" t="n">
        <v>3</v>
      </c>
      <c r="O65" s="310" t="n">
        <f aca="false">IF(M65=1,1,0)</f>
        <v>0</v>
      </c>
      <c r="P65" s="95" t="n">
        <f aca="false">IF(M65=2,1,0)</f>
        <v>1</v>
      </c>
      <c r="Q65" s="95" t="n">
        <f aca="false">IF(M65=3,1,0)</f>
        <v>0</v>
      </c>
      <c r="R65" s="117" t="n">
        <f aca="false">IF(M65=4,1,0)</f>
        <v>0</v>
      </c>
      <c r="S65" s="350"/>
      <c r="T65" s="134"/>
      <c r="U65" s="39"/>
    </row>
    <row r="66" customFormat="false" ht="20.1" hidden="true" customHeight="true" outlineLevel="1" collapsed="false">
      <c r="B66" s="39"/>
      <c r="C66" s="134"/>
      <c r="D66" s="349"/>
      <c r="E66" s="349"/>
      <c r="F66" s="350"/>
      <c r="G66" s="350"/>
      <c r="H66" s="134"/>
      <c r="I66" s="331" t="s">
        <v>62</v>
      </c>
      <c r="J66" s="98" t="n">
        <f aca="false">MAX(J62:J65)</f>
        <v>0</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70" t="s">
        <v>14</v>
      </c>
      <c r="E71" s="715" t="s">
        <v>15</v>
      </c>
      <c r="F71" s="716" t="n">
        <f aca="false">(K71*6+L71*3+M71*1+N71*0)</f>
        <v>19</v>
      </c>
      <c r="G71" s="716" t="n">
        <v>0</v>
      </c>
      <c r="H71" s="605" t="s">
        <v>46</v>
      </c>
      <c r="I71" s="605"/>
      <c r="J71" s="716" t="n">
        <f aca="false">F71+G71</f>
        <v>19</v>
      </c>
      <c r="K71" s="716" t="n">
        <v>3</v>
      </c>
      <c r="L71" s="716" t="n">
        <v>0</v>
      </c>
      <c r="M71" s="716" t="n">
        <v>1</v>
      </c>
      <c r="N71" s="716" t="n">
        <v>0</v>
      </c>
      <c r="O71" s="716"/>
      <c r="P71" s="716"/>
      <c r="Q71" s="716"/>
      <c r="R71" s="716"/>
      <c r="S71" s="717" t="n">
        <f aca="false">($L$35+$L$44+$L$53+$L$62)/4</f>
        <v>97.5</v>
      </c>
      <c r="T71" s="139"/>
      <c r="U71" s="39"/>
      <c r="W71" s="608"/>
      <c r="X71" s="608"/>
      <c r="Y71" s="608"/>
      <c r="Z71" s="608"/>
    </row>
    <row r="72" customFormat="false" ht="20.1" hidden="false" customHeight="true" outlineLevel="0" collapsed="false">
      <c r="B72" s="39"/>
      <c r="C72" s="139"/>
      <c r="D72" s="154" t="s">
        <v>27</v>
      </c>
      <c r="E72" s="718" t="s">
        <v>207</v>
      </c>
      <c r="F72" s="209" t="n">
        <f aca="false">(K72*6+L72*3+M72*1+N72*0)</f>
        <v>10</v>
      </c>
      <c r="G72" s="209" t="n">
        <v>0</v>
      </c>
      <c r="H72" s="610" t="s">
        <v>46</v>
      </c>
      <c r="I72" s="610"/>
      <c r="J72" s="209" t="n">
        <f aca="false">F72+G72</f>
        <v>10</v>
      </c>
      <c r="K72" s="209" t="n">
        <v>1</v>
      </c>
      <c r="L72" s="209" t="n">
        <v>1</v>
      </c>
      <c r="M72" s="209" t="n">
        <v>1</v>
      </c>
      <c r="N72" s="209" t="n">
        <v>1</v>
      </c>
      <c r="O72" s="209"/>
      <c r="P72" s="209"/>
      <c r="Q72" s="209"/>
      <c r="R72" s="209"/>
      <c r="S72" s="719" t="n">
        <f aca="false">($L$36+$L$45+$L$54+$L$63)/4</f>
        <v>83.6743535482485</v>
      </c>
      <c r="T72" s="139"/>
      <c r="U72" s="39"/>
      <c r="W72" s="167"/>
      <c r="X72" s="167"/>
      <c r="Y72" s="167"/>
      <c r="Z72" s="167"/>
    </row>
    <row r="73" customFormat="false" ht="20.1" hidden="false" customHeight="true" outlineLevel="0" collapsed="false">
      <c r="B73" s="39"/>
      <c r="C73" s="139"/>
      <c r="D73" s="154" t="s">
        <v>20</v>
      </c>
      <c r="E73" s="718" t="s">
        <v>21</v>
      </c>
      <c r="F73" s="209" t="n">
        <f aca="false">(K73*6+L73*3+M73*1+N73*0)</f>
        <v>8</v>
      </c>
      <c r="G73" s="209" t="n">
        <v>0</v>
      </c>
      <c r="H73" s="610" t="s">
        <v>46</v>
      </c>
      <c r="I73" s="610"/>
      <c r="J73" s="209" t="n">
        <f aca="false">F73+G73</f>
        <v>8</v>
      </c>
      <c r="K73" s="209" t="n">
        <v>0</v>
      </c>
      <c r="L73" s="209" t="n">
        <v>2</v>
      </c>
      <c r="M73" s="209" t="n">
        <v>2</v>
      </c>
      <c r="N73" s="209" t="n">
        <v>0</v>
      </c>
      <c r="O73" s="209"/>
      <c r="P73" s="209"/>
      <c r="Q73" s="209"/>
      <c r="R73" s="209"/>
      <c r="S73" s="719" t="n">
        <f aca="false">($L$37+$L$46+$L$55+$L$64)/4</f>
        <v>88.7202940512102</v>
      </c>
      <c r="T73" s="139"/>
      <c r="U73" s="39"/>
      <c r="W73" s="167"/>
      <c r="X73" s="167"/>
      <c r="Y73" s="167"/>
      <c r="Z73" s="167"/>
    </row>
    <row r="74" customFormat="false" ht="20.1" hidden="false" customHeight="true" outlineLevel="0" collapsed="false">
      <c r="B74" s="39"/>
      <c r="C74" s="139"/>
      <c r="D74" s="401" t="s">
        <v>10</v>
      </c>
      <c r="E74" s="720" t="s">
        <v>11</v>
      </c>
      <c r="F74" s="426" t="n">
        <f aca="false">(K74*6+L74*3+M74*1+N74*0)</f>
        <v>3</v>
      </c>
      <c r="G74" s="426" t="n">
        <v>0</v>
      </c>
      <c r="H74" s="612" t="s">
        <v>46</v>
      </c>
      <c r="I74" s="612"/>
      <c r="J74" s="426" t="n">
        <f aca="false">F74+G74</f>
        <v>3</v>
      </c>
      <c r="K74" s="426" t="n">
        <v>0</v>
      </c>
      <c r="L74" s="426" t="n">
        <v>1</v>
      </c>
      <c r="M74" s="426" t="n">
        <v>0</v>
      </c>
      <c r="N74" s="426" t="n">
        <v>3</v>
      </c>
      <c r="O74" s="426"/>
      <c r="P74" s="426"/>
      <c r="Q74" s="426"/>
      <c r="R74" s="426"/>
      <c r="S74" s="721" t="n">
        <f aca="false">($L$38+$L$47+$L$56+$L$65)/4</f>
        <v>71.7079595519735</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2" t="s">
        <v>305</v>
      </c>
      <c r="D80" s="442"/>
      <c r="E80" s="442"/>
      <c r="F80" s="442"/>
      <c r="G80" s="442"/>
      <c r="H80" s="442"/>
      <c r="I80" s="442"/>
      <c r="J80" s="442"/>
      <c r="K80" s="442"/>
      <c r="L80" s="442"/>
      <c r="M80" s="442"/>
      <c r="N80" s="442"/>
      <c r="O80" s="442"/>
      <c r="P80" s="442"/>
      <c r="Q80" s="442"/>
      <c r="R80" s="442"/>
      <c r="S80" s="442"/>
      <c r="T80" s="442"/>
      <c r="U80" s="39"/>
    </row>
    <row r="81" customFormat="false" ht="20.1" hidden="false" customHeight="tru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65.1" hidden="false" customHeight="true" outlineLevel="0" collapsed="false">
      <c r="B84" s="39"/>
      <c r="D84" s="6" t="s">
        <v>96</v>
      </c>
      <c r="E84" s="528" t="s">
        <v>210</v>
      </c>
      <c r="F84" s="54" t="n">
        <v>1</v>
      </c>
      <c r="G84" s="374" t="s">
        <v>114</v>
      </c>
      <c r="H84" s="643" t="s">
        <v>306</v>
      </c>
      <c r="I84" s="587" t="s">
        <v>242</v>
      </c>
      <c r="J84" s="587"/>
      <c r="K84" s="722" t="s">
        <v>73</v>
      </c>
      <c r="L84" s="272" t="s">
        <v>46</v>
      </c>
      <c r="M84" s="276" t="s">
        <v>46</v>
      </c>
      <c r="N84" s="444" t="s">
        <v>46</v>
      </c>
      <c r="O84" s="444"/>
      <c r="P84" s="444"/>
      <c r="Q84" s="444"/>
      <c r="R84" s="444"/>
      <c r="S84" s="444"/>
      <c r="U84" s="39"/>
    </row>
    <row r="85" customFormat="false" ht="20.1" hidden="false" customHeight="true" outlineLevel="0" collapsed="false">
      <c r="B85" s="39"/>
      <c r="D85" s="13" t="s">
        <v>22</v>
      </c>
      <c r="E85" s="237" t="s">
        <v>23</v>
      </c>
      <c r="F85" s="62" t="n">
        <v>2</v>
      </c>
      <c r="G85" s="446" t="s">
        <v>85</v>
      </c>
      <c r="H85" s="620" t="s">
        <v>307</v>
      </c>
      <c r="I85" s="590" t="s">
        <v>46</v>
      </c>
      <c r="J85" s="590"/>
      <c r="K85" s="723" t="s">
        <v>272</v>
      </c>
      <c r="L85" s="278" t="s">
        <v>46</v>
      </c>
      <c r="M85" s="282" t="s">
        <v>46</v>
      </c>
      <c r="N85" s="447" t="s">
        <v>46</v>
      </c>
      <c r="O85" s="447"/>
      <c r="P85" s="447"/>
      <c r="Q85" s="447"/>
      <c r="R85" s="447"/>
      <c r="S85" s="447"/>
      <c r="U85" s="39"/>
    </row>
    <row r="86" customFormat="false" ht="35.1" hidden="false" customHeight="true" outlineLevel="0" collapsed="false">
      <c r="B86" s="39"/>
      <c r="D86" s="13" t="s">
        <v>16</v>
      </c>
      <c r="E86" s="304" t="s">
        <v>17</v>
      </c>
      <c r="F86" s="62" t="n">
        <v>3</v>
      </c>
      <c r="G86" s="379" t="s">
        <v>85</v>
      </c>
      <c r="H86" s="624" t="s">
        <v>308</v>
      </c>
      <c r="I86" s="593" t="s">
        <v>135</v>
      </c>
      <c r="J86" s="593"/>
      <c r="K86" s="625" t="s">
        <v>50</v>
      </c>
      <c r="L86" s="278" t="s">
        <v>46</v>
      </c>
      <c r="M86" s="282" t="s">
        <v>46</v>
      </c>
      <c r="N86" s="447" t="s">
        <v>46</v>
      </c>
      <c r="O86" s="447"/>
      <c r="P86" s="447"/>
      <c r="Q86" s="447"/>
      <c r="R86" s="447"/>
      <c r="S86" s="447"/>
      <c r="U86" s="39"/>
    </row>
    <row r="87" customFormat="false" ht="35.1" hidden="false" customHeight="true" outlineLevel="0" collapsed="false">
      <c r="B87" s="39"/>
      <c r="D87" s="29" t="s">
        <v>12</v>
      </c>
      <c r="E87" s="240" t="s">
        <v>13</v>
      </c>
      <c r="F87" s="71" t="n">
        <v>4</v>
      </c>
      <c r="G87" s="417" t="s">
        <v>114</v>
      </c>
      <c r="H87" s="595" t="s">
        <v>272</v>
      </c>
      <c r="I87" s="596" t="s">
        <v>273</v>
      </c>
      <c r="J87" s="596"/>
      <c r="K87" s="627" t="s">
        <v>50</v>
      </c>
      <c r="L87" s="287" t="s">
        <v>46</v>
      </c>
      <c r="M87" s="291" t="s">
        <v>46</v>
      </c>
      <c r="N87" s="450" t="s">
        <v>46</v>
      </c>
      <c r="O87" s="450"/>
      <c r="P87" s="450"/>
      <c r="Q87" s="450"/>
      <c r="R87" s="450"/>
      <c r="S87" s="450"/>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Teotihuacan: Die Stadt
 der Götter</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597"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6"/>
      <c r="E91" s="52" t="s">
        <v>96</v>
      </c>
      <c r="F91" s="528" t="s">
        <v>210</v>
      </c>
      <c r="G91" s="557" t="n">
        <v>4</v>
      </c>
      <c r="H91" s="557" t="s">
        <v>46</v>
      </c>
      <c r="I91" s="557" t="n">
        <v>0</v>
      </c>
      <c r="J91" s="557" t="n">
        <v>111</v>
      </c>
      <c r="K91" s="557" t="s">
        <v>46</v>
      </c>
      <c r="L91" s="558" t="n">
        <f aca="false">IF(J91="",0,(J91/J95)*100)</f>
        <v>65.6804733727811</v>
      </c>
      <c r="M91" s="557" t="n">
        <v>3</v>
      </c>
      <c r="N91" s="559" t="n">
        <v>1</v>
      </c>
      <c r="O91" s="301" t="n">
        <f aca="false">IF(M91=1,1,0)</f>
        <v>0</v>
      </c>
      <c r="P91" s="85" t="n">
        <f aca="false">IF(M91=2,1,0)</f>
        <v>0</v>
      </c>
      <c r="Q91" s="85" t="n">
        <f aca="false">IF(M91=3,1,0)</f>
        <v>1</v>
      </c>
      <c r="R91" s="84" t="n">
        <f aca="false">IF(M91=4,1,0)</f>
        <v>0</v>
      </c>
      <c r="S91" s="302"/>
      <c r="T91" s="76"/>
      <c r="U91" s="39"/>
    </row>
    <row r="92" customFormat="false" ht="20.1" hidden="false" customHeight="true" outlineLevel="0" collapsed="false">
      <c r="B92" s="39"/>
      <c r="C92" s="76"/>
      <c r="D92" s="297"/>
      <c r="E92" s="60" t="s">
        <v>22</v>
      </c>
      <c r="F92" s="622" t="s">
        <v>23</v>
      </c>
      <c r="G92" s="560" t="n">
        <v>3</v>
      </c>
      <c r="H92" s="560" t="s">
        <v>46</v>
      </c>
      <c r="I92" s="560" t="n">
        <v>0</v>
      </c>
      <c r="J92" s="560" t="n">
        <v>130</v>
      </c>
      <c r="K92" s="328" t="s">
        <v>46</v>
      </c>
      <c r="L92" s="561" t="n">
        <f aca="false">IF(J92="",0,(J92/J95)*100)</f>
        <v>76.9230769230769</v>
      </c>
      <c r="M92" s="560" t="n">
        <v>2</v>
      </c>
      <c r="N92" s="562" t="n">
        <v>3</v>
      </c>
      <c r="O92" s="305" t="n">
        <f aca="false">IF(M92=1,1,0)</f>
        <v>0</v>
      </c>
      <c r="P92" s="88" t="n">
        <f aca="false">IF(M92=2,1,0)</f>
        <v>1</v>
      </c>
      <c r="Q92" s="88" t="n">
        <f aca="false">IF(M92=3,1,0)</f>
        <v>0</v>
      </c>
      <c r="R92" s="87" t="n">
        <f aca="false">IF(M92=4,1,0)</f>
        <v>0</v>
      </c>
      <c r="S92" s="302"/>
      <c r="T92" s="76"/>
      <c r="U92" s="39"/>
    </row>
    <row r="93" customFormat="false" ht="20.1" hidden="false" customHeight="true" outlineLevel="0" collapsed="false">
      <c r="B93" s="39"/>
      <c r="C93" s="76"/>
      <c r="D93" s="297"/>
      <c r="E93" s="110" t="s">
        <v>16</v>
      </c>
      <c r="F93" s="343" t="s">
        <v>17</v>
      </c>
      <c r="G93" s="112" t="n">
        <v>2</v>
      </c>
      <c r="H93" s="112" t="s">
        <v>46</v>
      </c>
      <c r="I93" s="112" t="n">
        <v>0</v>
      </c>
      <c r="J93" s="112" t="n">
        <v>169</v>
      </c>
      <c r="K93" s="112" t="s">
        <v>46</v>
      </c>
      <c r="L93" s="113" t="n">
        <f aca="false">IF(J93="",0,(J93/J95)*100)</f>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29" t="s">
        <v>12</v>
      </c>
      <c r="F94" s="240" t="s">
        <v>13</v>
      </c>
      <c r="G94" s="186" t="n">
        <v>1</v>
      </c>
      <c r="H94" s="186" t="s">
        <v>46</v>
      </c>
      <c r="I94" s="186" t="n">
        <v>0</v>
      </c>
      <c r="J94" s="186" t="n">
        <v>110</v>
      </c>
      <c r="K94" s="352" t="s">
        <v>46</v>
      </c>
      <c r="L94" s="116" t="n">
        <f aca="false">IF(J94="",0,(J94/J95)*100)</f>
        <v>65.0887573964497</v>
      </c>
      <c r="M94" s="186" t="n">
        <v>4</v>
      </c>
      <c r="N94" s="309" t="n">
        <v>0</v>
      </c>
      <c r="O94" s="310" t="n">
        <f aca="false">IF(M94=1,1,0)</f>
        <v>0</v>
      </c>
      <c r="P94" s="95" t="n">
        <f aca="false">IF(M94=2,1,0)</f>
        <v>0</v>
      </c>
      <c r="Q94" s="95" t="n">
        <f aca="false">IF(M94=3,1,0)</f>
        <v>0</v>
      </c>
      <c r="R94" s="117" t="n">
        <f aca="false">IF(M94=4,1,0)</f>
        <v>1</v>
      </c>
      <c r="S94" s="302"/>
      <c r="T94" s="76"/>
      <c r="U94" s="39"/>
    </row>
    <row r="95" customFormat="false" ht="20.1" hidden="true" customHeight="true" outlineLevel="1" collapsed="false">
      <c r="B95" s="39"/>
      <c r="C95" s="76"/>
      <c r="D95" s="306"/>
      <c r="E95" s="306"/>
      <c r="F95" s="302"/>
      <c r="G95" s="302"/>
      <c r="H95" s="76"/>
      <c r="I95" s="345" t="s">
        <v>62</v>
      </c>
      <c r="J95" s="98" t="n">
        <f aca="false">MAX(J91:J94)</f>
        <v>169</v>
      </c>
      <c r="K95" s="396"/>
      <c r="L95" s="316"/>
      <c r="M95" s="76"/>
      <c r="N95" s="333" t="s">
        <v>63</v>
      </c>
      <c r="O95" s="102" t="n">
        <f aca="false">SUM(O91:O94)</f>
        <v>1</v>
      </c>
      <c r="P95" s="103" t="n">
        <f aca="false">SUM(P91:P94)</f>
        <v>1</v>
      </c>
      <c r="Q95" s="102" t="n">
        <f aca="false">SUM(Q91:Q94)</f>
        <v>1</v>
      </c>
      <c r="R95" s="104" t="n">
        <f aca="false">SUM(R91:R94)</f>
        <v>1</v>
      </c>
      <c r="S95" s="316"/>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Packet Row</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597"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3"/>
      <c r="E100" s="52" t="s">
        <v>96</v>
      </c>
      <c r="F100" s="528" t="s">
        <v>210</v>
      </c>
      <c r="G100" s="557" t="n">
        <v>1</v>
      </c>
      <c r="H100" s="557" t="s">
        <v>46</v>
      </c>
      <c r="I100" s="557" t="n">
        <v>0</v>
      </c>
      <c r="J100" s="557" t="n">
        <v>12</v>
      </c>
      <c r="K100" s="557" t="s">
        <v>46</v>
      </c>
      <c r="L100" s="558" t="n">
        <f aca="false">IF(J100="",0,(J100/J104)*100)</f>
        <v>80</v>
      </c>
      <c r="M100" s="557" t="n">
        <v>4</v>
      </c>
      <c r="N100" s="559" t="n">
        <v>0</v>
      </c>
      <c r="O100" s="301" t="n">
        <f aca="false">IF(M100=1,1,0)</f>
        <v>0</v>
      </c>
      <c r="P100" s="85" t="n">
        <f aca="false">IF(M100=2,1,0)</f>
        <v>0</v>
      </c>
      <c r="Q100" s="85" t="n">
        <f aca="false">IF(M100=3,1,0)</f>
        <v>0</v>
      </c>
      <c r="R100" s="84" t="n">
        <f aca="false">IF(M100=4,1,0)</f>
        <v>1</v>
      </c>
      <c r="S100" s="322"/>
      <c r="T100" s="107"/>
      <c r="U100" s="39"/>
    </row>
    <row r="101" customFormat="false" ht="20.1" hidden="false" customHeight="true" outlineLevel="0" collapsed="false">
      <c r="B101" s="39"/>
      <c r="C101" s="107"/>
      <c r="D101" s="319"/>
      <c r="E101" s="60" t="s">
        <v>22</v>
      </c>
      <c r="F101" s="622" t="s">
        <v>23</v>
      </c>
      <c r="G101" s="560" t="n">
        <v>2</v>
      </c>
      <c r="H101" s="560" t="s">
        <v>46</v>
      </c>
      <c r="I101" s="560" t="n">
        <v>0</v>
      </c>
      <c r="J101" s="560" t="n">
        <v>15</v>
      </c>
      <c r="K101" s="328" t="s">
        <v>309</v>
      </c>
      <c r="L101" s="561" t="n">
        <f aca="false">IF(J101="",0,(J101/J104)*100)</f>
        <v>100</v>
      </c>
      <c r="M101" s="560" t="n">
        <v>2</v>
      </c>
      <c r="N101" s="562" t="n">
        <v>3</v>
      </c>
      <c r="O101" s="305" t="n">
        <f aca="false">IF(M101=1,1,0)</f>
        <v>0</v>
      </c>
      <c r="P101" s="88" t="n">
        <f aca="false">IF(M101=2,1,0)</f>
        <v>1</v>
      </c>
      <c r="Q101" s="88" t="n">
        <f aca="false">IF(M101=3,1,0)</f>
        <v>0</v>
      </c>
      <c r="R101" s="87" t="n">
        <f aca="false">IF(M101=4,1,0)</f>
        <v>0</v>
      </c>
      <c r="S101" s="322"/>
      <c r="T101" s="107"/>
      <c r="U101" s="39"/>
    </row>
    <row r="102" customFormat="false" ht="20.1" hidden="false" customHeight="true" outlineLevel="0" collapsed="false">
      <c r="B102" s="39"/>
      <c r="C102" s="107"/>
      <c r="D102" s="323"/>
      <c r="E102" s="110" t="s">
        <v>16</v>
      </c>
      <c r="F102" s="343" t="s">
        <v>17</v>
      </c>
      <c r="G102" s="112" t="n">
        <v>4</v>
      </c>
      <c r="H102" s="112" t="s">
        <v>46</v>
      </c>
      <c r="I102" s="112" t="n">
        <v>0</v>
      </c>
      <c r="J102" s="112" t="n">
        <v>15</v>
      </c>
      <c r="K102" s="112" t="s">
        <v>310</v>
      </c>
      <c r="L102" s="113" t="n">
        <f aca="false">IF(J102="",0,(J102/J104)*100)</f>
        <v>100</v>
      </c>
      <c r="M102" s="112" t="n">
        <v>1</v>
      </c>
      <c r="N102" s="344" t="n">
        <v>6</v>
      </c>
      <c r="O102" s="305" t="n">
        <f aca="false">IF(M102=1,1,0)</f>
        <v>1</v>
      </c>
      <c r="P102" s="88" t="n">
        <f aca="false">IF(M102=2,1,0)</f>
        <v>0</v>
      </c>
      <c r="Q102" s="88" t="n">
        <f aca="false">IF(M102=3,1,0)</f>
        <v>0</v>
      </c>
      <c r="R102" s="87" t="n">
        <f aca="false">IF(M102=4,1,0)</f>
        <v>0</v>
      </c>
      <c r="S102" s="322"/>
      <c r="T102" s="107"/>
      <c r="U102" s="39"/>
    </row>
    <row r="103" customFormat="false" ht="20.1" hidden="false" customHeight="true" outlineLevel="0" collapsed="false">
      <c r="B103" s="39"/>
      <c r="C103" s="107"/>
      <c r="D103" s="319"/>
      <c r="E103" s="69" t="s">
        <v>12</v>
      </c>
      <c r="F103" s="546" t="s">
        <v>13</v>
      </c>
      <c r="G103" s="563" t="n">
        <v>3</v>
      </c>
      <c r="H103" s="563" t="s">
        <v>46</v>
      </c>
      <c r="I103" s="563" t="n">
        <v>0</v>
      </c>
      <c r="J103" s="563" t="n">
        <v>13</v>
      </c>
      <c r="K103" s="329" t="s">
        <v>46</v>
      </c>
      <c r="L103" s="564" t="n">
        <f aca="false">IF(J103="",0,(J103/J104)*100)</f>
        <v>86.6666666666667</v>
      </c>
      <c r="M103" s="563" t="n">
        <v>3</v>
      </c>
      <c r="N103" s="565" t="n">
        <v>1</v>
      </c>
      <c r="O103" s="310" t="n">
        <f aca="false">IF(M103=1,1,0)</f>
        <v>0</v>
      </c>
      <c r="P103" s="95" t="n">
        <f aca="false">IF(M103=2,1,0)</f>
        <v>0</v>
      </c>
      <c r="Q103" s="95" t="n">
        <f aca="false">IF(M103=3,1,0)</f>
        <v>1</v>
      </c>
      <c r="R103" s="117" t="n">
        <f aca="false">IF(M103=4,1,0)</f>
        <v>0</v>
      </c>
      <c r="S103" s="322"/>
      <c r="T103" s="107"/>
      <c r="U103" s="39"/>
    </row>
    <row r="104" customFormat="false" ht="20.1" hidden="true" customHeight="true" outlineLevel="1" collapsed="false">
      <c r="B104" s="39"/>
      <c r="C104" s="107"/>
      <c r="D104" s="319"/>
      <c r="E104" s="319"/>
      <c r="F104" s="109"/>
      <c r="G104" s="109"/>
      <c r="H104" s="107"/>
      <c r="I104" s="345" t="s">
        <v>62</v>
      </c>
      <c r="J104" s="98" t="n">
        <f aca="false">MAX(J100:J103)</f>
        <v>15</v>
      </c>
      <c r="K104" s="332"/>
      <c r="L104" s="322"/>
      <c r="M104" s="107"/>
      <c r="N104" s="333" t="s">
        <v>63</v>
      </c>
      <c r="O104" s="102" t="n">
        <f aca="false">SUM(O100:O103)</f>
        <v>1</v>
      </c>
      <c r="P104" s="103" t="n">
        <f aca="false">SUM(P100:P103)</f>
        <v>1</v>
      </c>
      <c r="Q104" s="102" t="n">
        <f aca="false">SUM(Q100:Q103)</f>
        <v>1</v>
      </c>
      <c r="R104" s="104" t="n">
        <f aca="false">SUM(R100:R103)</f>
        <v>1</v>
      </c>
      <c r="S104" s="334"/>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Die Burgen von Burgund</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597"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20.1" hidden="false" customHeight="true" outlineLevel="0" collapsed="false">
      <c r="B109" s="39"/>
      <c r="C109" s="126"/>
      <c r="D109" s="340"/>
      <c r="E109" s="52" t="s">
        <v>96</v>
      </c>
      <c r="F109" s="528" t="s">
        <v>210</v>
      </c>
      <c r="G109" s="557" t="n">
        <v>2</v>
      </c>
      <c r="H109" s="557" t="s">
        <v>311</v>
      </c>
      <c r="I109" s="557" t="n">
        <v>0</v>
      </c>
      <c r="J109" s="557" t="n">
        <v>228</v>
      </c>
      <c r="K109" s="557" t="s">
        <v>46</v>
      </c>
      <c r="L109" s="558" t="n">
        <f aca="false">IF(J109="",0,(J109/J113)*100)</f>
        <v>86.6920152091255</v>
      </c>
      <c r="M109" s="557" t="n">
        <v>2</v>
      </c>
      <c r="N109" s="559" t="n">
        <v>3</v>
      </c>
      <c r="O109" s="301" t="n">
        <f aca="false">IF(M109=1,1,0)</f>
        <v>0</v>
      </c>
      <c r="P109" s="85" t="n">
        <f aca="false">IF(M109=2,1,0)</f>
        <v>1</v>
      </c>
      <c r="Q109" s="85" t="n">
        <f aca="false">IF(M109=3,1,0)</f>
        <v>0</v>
      </c>
      <c r="R109" s="84" t="n">
        <f aca="false">IF(M109=4,1,0)</f>
        <v>0</v>
      </c>
      <c r="S109" s="339"/>
      <c r="T109" s="126"/>
      <c r="U109" s="131"/>
    </row>
    <row r="110" customFormat="false" ht="20.1" hidden="false" customHeight="true" outlineLevel="0" collapsed="false">
      <c r="B110" s="39"/>
      <c r="C110" s="126"/>
      <c r="D110" s="336"/>
      <c r="E110" s="60" t="s">
        <v>22</v>
      </c>
      <c r="F110" s="622" t="s">
        <v>23</v>
      </c>
      <c r="G110" s="560" t="n">
        <v>3</v>
      </c>
      <c r="H110" s="560" t="s">
        <v>311</v>
      </c>
      <c r="I110" s="560" t="n">
        <v>0</v>
      </c>
      <c r="J110" s="560" t="n">
        <v>184</v>
      </c>
      <c r="K110" s="328" t="s">
        <v>46</v>
      </c>
      <c r="L110" s="561" t="n">
        <f aca="false">IF(J110="",0,(J110/J113)*100)</f>
        <v>69.9619771863118</v>
      </c>
      <c r="M110" s="560" t="n">
        <v>4</v>
      </c>
      <c r="N110" s="562" t="n">
        <v>0</v>
      </c>
      <c r="O110" s="305" t="n">
        <f aca="false">IF(M110=1,1,0)</f>
        <v>0</v>
      </c>
      <c r="P110" s="88" t="n">
        <f aca="false">IF(M110=2,1,0)</f>
        <v>0</v>
      </c>
      <c r="Q110" s="88" t="n">
        <f aca="false">IF(M110=3,1,0)</f>
        <v>0</v>
      </c>
      <c r="R110" s="87" t="n">
        <f aca="false">IF(M110=4,1,0)</f>
        <v>1</v>
      </c>
      <c r="S110" s="339"/>
      <c r="T110" s="126"/>
      <c r="U110" s="132"/>
    </row>
    <row r="111" customFormat="false" ht="20.1" hidden="false" customHeight="true" outlineLevel="0" collapsed="false">
      <c r="B111" s="39"/>
      <c r="C111" s="126"/>
      <c r="D111" s="336"/>
      <c r="E111" s="110" t="s">
        <v>16</v>
      </c>
      <c r="F111" s="343" t="s">
        <v>17</v>
      </c>
      <c r="G111" s="112" t="n">
        <v>1</v>
      </c>
      <c r="H111" s="112" t="s">
        <v>312</v>
      </c>
      <c r="I111" s="112" t="n">
        <v>0</v>
      </c>
      <c r="J111" s="112" t="n">
        <v>263</v>
      </c>
      <c r="K111" s="112" t="s">
        <v>46</v>
      </c>
      <c r="L111" s="113" t="n">
        <f aca="false">IF(J111="",0,(J111/J113)*100)</f>
        <v>100</v>
      </c>
      <c r="M111" s="112" t="n">
        <v>1</v>
      </c>
      <c r="N111" s="344" t="n">
        <v>6</v>
      </c>
      <c r="O111" s="305" t="n">
        <f aca="false">IF(M111=1,1,0)</f>
        <v>1</v>
      </c>
      <c r="P111" s="88" t="n">
        <f aca="false">IF(M111=2,1,0)</f>
        <v>0</v>
      </c>
      <c r="Q111" s="88" t="n">
        <f aca="false">IF(M111=3,1,0)</f>
        <v>0</v>
      </c>
      <c r="R111" s="87" t="n">
        <f aca="false">IF(M111=4,1,0)</f>
        <v>0</v>
      </c>
      <c r="S111" s="339"/>
      <c r="T111" s="126"/>
      <c r="U111" s="132"/>
    </row>
    <row r="112" customFormat="false" ht="20.1" hidden="false" customHeight="true" outlineLevel="0" collapsed="false">
      <c r="B112" s="39"/>
      <c r="C112" s="126"/>
      <c r="D112" s="336"/>
      <c r="E112" s="69" t="s">
        <v>12</v>
      </c>
      <c r="F112" s="546" t="s">
        <v>13</v>
      </c>
      <c r="G112" s="563" t="n">
        <v>4</v>
      </c>
      <c r="H112" s="563" t="s">
        <v>235</v>
      </c>
      <c r="I112" s="563" t="n">
        <v>0</v>
      </c>
      <c r="J112" s="563" t="n">
        <v>208</v>
      </c>
      <c r="K112" s="329" t="s">
        <v>46</v>
      </c>
      <c r="L112" s="564" t="n">
        <f aca="false">IF(J112="",0,(J112/J113)*100)</f>
        <v>79.0874524714829</v>
      </c>
      <c r="M112" s="563" t="n">
        <v>3</v>
      </c>
      <c r="N112" s="565" t="n">
        <v>1</v>
      </c>
      <c r="O112" s="310" t="n">
        <f aca="false">IF(M112=1,1,0)</f>
        <v>0</v>
      </c>
      <c r="P112" s="95" t="n">
        <f aca="false">IF(M112=2,1,0)</f>
        <v>0</v>
      </c>
      <c r="Q112" s="95" t="n">
        <f aca="false">IF(M112=3,1,0)</f>
        <v>1</v>
      </c>
      <c r="R112" s="117" t="n">
        <f aca="false">IF(M112=4,1,0)</f>
        <v>0</v>
      </c>
      <c r="S112" s="339"/>
      <c r="T112" s="126"/>
      <c r="U112" s="132"/>
    </row>
    <row r="113" customFormat="false" ht="20.1" hidden="true" customHeight="true" outlineLevel="1" collapsed="false">
      <c r="B113" s="39"/>
      <c r="C113" s="126"/>
      <c r="D113" s="336"/>
      <c r="E113" s="336"/>
      <c r="F113" s="339"/>
      <c r="G113" s="339"/>
      <c r="H113" s="126"/>
      <c r="I113" s="345" t="s">
        <v>62</v>
      </c>
      <c r="J113" s="98" t="n">
        <f aca="false">MAX(J109:J112)</f>
        <v>263</v>
      </c>
      <c r="K113" s="346"/>
      <c r="L113" s="339"/>
      <c r="M113" s="126"/>
      <c r="N113" s="333" t="s">
        <v>63</v>
      </c>
      <c r="O113" s="102" t="n">
        <f aca="false">SUM(O109:O112)</f>
        <v>1</v>
      </c>
      <c r="P113" s="103" t="n">
        <f aca="false">SUM(P109:P112)</f>
        <v>1</v>
      </c>
      <c r="Q113" s="102" t="n">
        <f aca="false">SUM(Q109:Q112)</f>
        <v>1</v>
      </c>
      <c r="R113" s="104" t="n">
        <f aca="false">SUM(R109:R112)</f>
        <v>1</v>
      </c>
      <c r="S113" s="347"/>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Colt Express</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597"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49"/>
      <c r="E118" s="52" t="s">
        <v>96</v>
      </c>
      <c r="F118" s="528" t="s">
        <v>210</v>
      </c>
      <c r="G118" s="557" t="n">
        <v>3</v>
      </c>
      <c r="H118" s="557" t="s">
        <v>279</v>
      </c>
      <c r="I118" s="557" t="n">
        <v>0</v>
      </c>
      <c r="J118" s="557" t="n">
        <v>2650</v>
      </c>
      <c r="K118" s="557" t="s">
        <v>46</v>
      </c>
      <c r="L118" s="558" t="n">
        <f aca="false">IF(J118="",0,(J118/J122)*100)</f>
        <v>96.3636363636364</v>
      </c>
      <c r="M118" s="557" t="n">
        <v>2</v>
      </c>
      <c r="N118" s="559" t="n">
        <v>3</v>
      </c>
      <c r="O118" s="301" t="n">
        <f aca="false">IF(M118=1,1,0)</f>
        <v>0</v>
      </c>
      <c r="P118" s="85" t="n">
        <f aca="false">IF(M118=2,1,0)</f>
        <v>1</v>
      </c>
      <c r="Q118" s="85" t="n">
        <f aca="false">IF(M118=3,1,0)</f>
        <v>0</v>
      </c>
      <c r="R118" s="84" t="n">
        <f aca="false">IF(M118=4,1,0)</f>
        <v>0</v>
      </c>
      <c r="S118" s="350"/>
      <c r="T118" s="134"/>
      <c r="U118" s="39"/>
    </row>
    <row r="119" customFormat="false" ht="20.1" hidden="false" customHeight="true" outlineLevel="0" collapsed="false">
      <c r="B119" s="39"/>
      <c r="C119" s="134"/>
      <c r="D119" s="349"/>
      <c r="E119" s="110" t="s">
        <v>22</v>
      </c>
      <c r="F119" s="598" t="s">
        <v>23</v>
      </c>
      <c r="G119" s="112" t="n">
        <v>1</v>
      </c>
      <c r="H119" s="112" t="s">
        <v>313</v>
      </c>
      <c r="I119" s="112" t="n">
        <v>0</v>
      </c>
      <c r="J119" s="112" t="n">
        <v>2750</v>
      </c>
      <c r="K119" s="508" t="s">
        <v>46</v>
      </c>
      <c r="L119" s="113" t="n">
        <f aca="false">IF(J119="",0,(J119/J122)*100)</f>
        <v>100</v>
      </c>
      <c r="M119" s="112" t="n">
        <v>1</v>
      </c>
      <c r="N119" s="344" t="n">
        <v>6</v>
      </c>
      <c r="O119" s="305" t="n">
        <f aca="false">IF(M119=1,1,0)</f>
        <v>1</v>
      </c>
      <c r="P119" s="88" t="n">
        <f aca="false">IF(M119=2,1,0)</f>
        <v>0</v>
      </c>
      <c r="Q119" s="88" t="n">
        <f aca="false">IF(M119=3,1,0)</f>
        <v>0</v>
      </c>
      <c r="R119" s="87" t="n">
        <f aca="false">IF(M119=4,1,0)</f>
        <v>0</v>
      </c>
      <c r="S119" s="350"/>
      <c r="T119" s="134"/>
      <c r="U119" s="39"/>
    </row>
    <row r="120" customFormat="false" ht="20.1" hidden="false" customHeight="true" outlineLevel="0" collapsed="false">
      <c r="B120" s="39"/>
      <c r="C120" s="134"/>
      <c r="D120" s="349"/>
      <c r="E120" s="60" t="s">
        <v>16</v>
      </c>
      <c r="F120" s="304" t="s">
        <v>17</v>
      </c>
      <c r="G120" s="560" t="n">
        <v>2</v>
      </c>
      <c r="H120" s="560" t="s">
        <v>277</v>
      </c>
      <c r="I120" s="560" t="n">
        <v>0</v>
      </c>
      <c r="J120" s="560" t="n">
        <v>1700</v>
      </c>
      <c r="K120" s="560" t="s">
        <v>46</v>
      </c>
      <c r="L120" s="561" t="n">
        <f aca="false">IF(J120="",0,(J120/J122)*100)</f>
        <v>61.8181818181818</v>
      </c>
      <c r="M120" s="560" t="n">
        <v>3</v>
      </c>
      <c r="N120" s="562"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51"/>
      <c r="E121" s="69" t="s">
        <v>12</v>
      </c>
      <c r="F121" s="546" t="s">
        <v>13</v>
      </c>
      <c r="G121" s="563" t="n">
        <v>4</v>
      </c>
      <c r="H121" s="563" t="s">
        <v>314</v>
      </c>
      <c r="I121" s="563" t="n">
        <v>0</v>
      </c>
      <c r="J121" s="563" t="n">
        <v>700</v>
      </c>
      <c r="K121" s="329" t="s">
        <v>46</v>
      </c>
      <c r="L121" s="564" t="n">
        <f aca="false">IF(J121="",0,(J121/J122)*100)</f>
        <v>25.4545454545455</v>
      </c>
      <c r="M121" s="563" t="n">
        <v>4</v>
      </c>
      <c r="N121" s="565" t="n">
        <v>0</v>
      </c>
      <c r="O121" s="310" t="n">
        <f aca="false">IF(M121=1,1,0)</f>
        <v>0</v>
      </c>
      <c r="P121" s="95" t="n">
        <f aca="false">IF(M121=2,1,0)</f>
        <v>0</v>
      </c>
      <c r="Q121" s="95" t="n">
        <f aca="false">IF(M121=3,1,0)</f>
        <v>0</v>
      </c>
      <c r="R121" s="117" t="n">
        <f aca="false">IF(M121=4,1,0)</f>
        <v>1</v>
      </c>
      <c r="S121" s="350"/>
      <c r="T121" s="134"/>
      <c r="U121" s="39"/>
    </row>
    <row r="122" customFormat="false" ht="20.1" hidden="true" customHeight="true" outlineLevel="1" collapsed="false">
      <c r="B122" s="39"/>
      <c r="C122" s="134"/>
      <c r="D122" s="349"/>
      <c r="E122" s="349"/>
      <c r="F122" s="350"/>
      <c r="G122" s="350"/>
      <c r="H122" s="134"/>
      <c r="I122" s="345" t="s">
        <v>62</v>
      </c>
      <c r="J122" s="98" t="n">
        <f aca="false">MAX(J118:J121)</f>
        <v>2750</v>
      </c>
      <c r="K122" s="353"/>
      <c r="L122" s="350"/>
      <c r="M122" s="134"/>
      <c r="N122" s="333" t="s">
        <v>63</v>
      </c>
      <c r="O122" s="102" t="n">
        <f aca="false">SUM(O118:O121)</f>
        <v>1</v>
      </c>
      <c r="P122" s="103" t="n">
        <f aca="false">SUM(P118:P121)</f>
        <v>1</v>
      </c>
      <c r="Q122" s="102" t="n">
        <f aca="false">SUM(Q118:Q121)</f>
        <v>1</v>
      </c>
      <c r="R122" s="104" t="n">
        <f aca="false">SUM(R118:R121)</f>
        <v>1</v>
      </c>
      <c r="S122" s="354"/>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6" t="s">
        <v>36</v>
      </c>
      <c r="E126" s="357" t="s">
        <v>218</v>
      </c>
      <c r="F126" s="358" t="s">
        <v>57</v>
      </c>
      <c r="G126" s="146" t="s">
        <v>236</v>
      </c>
      <c r="H126" s="143" t="s">
        <v>237</v>
      </c>
      <c r="I126" s="143"/>
      <c r="J126" s="488" t="s">
        <v>238</v>
      </c>
      <c r="K126" s="359" t="s">
        <v>65</v>
      </c>
      <c r="L126" s="358" t="s">
        <v>66</v>
      </c>
      <c r="M126" s="359" t="s">
        <v>67</v>
      </c>
      <c r="N126" s="358" t="s">
        <v>68</v>
      </c>
      <c r="O126" s="600"/>
      <c r="P126" s="601"/>
      <c r="Q126" s="601"/>
      <c r="R126" s="601"/>
      <c r="S126" s="357" t="s">
        <v>69</v>
      </c>
      <c r="T126" s="139"/>
      <c r="U126" s="39"/>
    </row>
    <row r="127" customFormat="false" ht="20.1" hidden="false" customHeight="true" outlineLevel="0" collapsed="false">
      <c r="B127" s="39"/>
      <c r="C127" s="139"/>
      <c r="D127" s="602" t="s">
        <v>16</v>
      </c>
      <c r="E127" s="724" t="s">
        <v>17</v>
      </c>
      <c r="F127" s="630" t="n">
        <f aca="false">K127*6+L127*3+M127*1+N127*0</f>
        <v>19</v>
      </c>
      <c r="G127" s="631" t="n">
        <v>0</v>
      </c>
      <c r="H127" s="631" t="s">
        <v>46</v>
      </c>
      <c r="I127" s="631"/>
      <c r="J127" s="630" t="n">
        <f aca="false">F127+G127</f>
        <v>19</v>
      </c>
      <c r="K127" s="630" t="n">
        <v>3</v>
      </c>
      <c r="L127" s="630" t="n">
        <v>0</v>
      </c>
      <c r="M127" s="630" t="n">
        <v>1</v>
      </c>
      <c r="N127" s="630" t="n">
        <v>0</v>
      </c>
      <c r="O127" s="725"/>
      <c r="P127" s="631"/>
      <c r="Q127" s="631"/>
      <c r="R127" s="631"/>
      <c r="S127" s="635" t="n">
        <f aca="false">($L$93+$L$102+$L$111+$L$120)/4</f>
        <v>90.4545454545455</v>
      </c>
      <c r="T127" s="139"/>
      <c r="U127" s="39"/>
    </row>
    <row r="128" customFormat="false" ht="20.1" hidden="false" customHeight="true" outlineLevel="0" collapsed="false">
      <c r="B128" s="39"/>
      <c r="C128" s="139"/>
      <c r="D128" s="365" t="s">
        <v>22</v>
      </c>
      <c r="E128" s="609" t="s">
        <v>23</v>
      </c>
      <c r="F128" s="400" t="n">
        <f aca="false">K128*6+L128*3+M128*1+N128*0</f>
        <v>12</v>
      </c>
      <c r="G128" s="192" t="n">
        <v>0</v>
      </c>
      <c r="H128" s="192" t="s">
        <v>46</v>
      </c>
      <c r="I128" s="192"/>
      <c r="J128" s="400" t="n">
        <f aca="false">F128+G128</f>
        <v>12</v>
      </c>
      <c r="K128" s="400" t="n">
        <v>1</v>
      </c>
      <c r="L128" s="400" t="n">
        <v>2</v>
      </c>
      <c r="M128" s="400" t="n">
        <v>0</v>
      </c>
      <c r="N128" s="400" t="n">
        <v>1</v>
      </c>
      <c r="O128" s="726"/>
      <c r="P128" s="192"/>
      <c r="Q128" s="192"/>
      <c r="R128" s="192"/>
      <c r="S128" s="367" t="n">
        <f aca="false">($L$92+$L$101+$L$110+$L$119)/4</f>
        <v>86.7212635273472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5" t="s">
        <v>96</v>
      </c>
      <c r="E129" s="609" t="s">
        <v>210</v>
      </c>
      <c r="F129" s="400" t="n">
        <f aca="false">K129*6+L129*3+M129*1+N129*0</f>
        <v>7</v>
      </c>
      <c r="G129" s="192" t="n">
        <v>0</v>
      </c>
      <c r="H129" s="192" t="s">
        <v>46</v>
      </c>
      <c r="I129" s="192"/>
      <c r="J129" s="400" t="n">
        <f aca="false">F129+G129</f>
        <v>7</v>
      </c>
      <c r="K129" s="400" t="n">
        <v>0</v>
      </c>
      <c r="L129" s="400" t="n">
        <v>2</v>
      </c>
      <c r="M129" s="400" t="n">
        <v>1</v>
      </c>
      <c r="N129" s="400" t="n">
        <v>1</v>
      </c>
      <c r="O129" s="726"/>
      <c r="P129" s="192"/>
      <c r="Q129" s="192"/>
      <c r="R129" s="192"/>
      <c r="S129" s="367" t="n">
        <f aca="false">($L$91+$L$100+$L$109+$L$118)/4</f>
        <v>82.1840312363857</v>
      </c>
      <c r="T129" s="139"/>
      <c r="U129" s="39"/>
    </row>
    <row r="130" customFormat="false" ht="20.1" hidden="false" customHeight="true" outlineLevel="0" collapsed="false">
      <c r="B130" s="39"/>
      <c r="C130" s="139"/>
      <c r="D130" s="368" t="s">
        <v>12</v>
      </c>
      <c r="E130" s="611" t="s">
        <v>13</v>
      </c>
      <c r="F130" s="402" t="n">
        <f aca="false">K130*6+L130*3+M130*1+N130*0</f>
        <v>2</v>
      </c>
      <c r="G130" s="370" t="n">
        <v>0</v>
      </c>
      <c r="H130" s="691" t="s">
        <v>46</v>
      </c>
      <c r="I130" s="691"/>
      <c r="J130" s="402" t="n">
        <f aca="false">F130+G130</f>
        <v>2</v>
      </c>
      <c r="K130" s="402" t="n">
        <v>0</v>
      </c>
      <c r="L130" s="402" t="n">
        <v>0</v>
      </c>
      <c r="M130" s="402" t="n">
        <v>2</v>
      </c>
      <c r="N130" s="402" t="n">
        <v>2</v>
      </c>
      <c r="O130" s="727"/>
      <c r="P130" s="370"/>
      <c r="Q130" s="370"/>
      <c r="R130" s="370"/>
      <c r="S130" s="371" t="n">
        <f aca="false">($L$94+$L$103+$L$112+$L$121)/4</f>
        <v>64.0743554972862</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2" t="s">
        <v>315</v>
      </c>
      <c r="D136" s="442"/>
      <c r="E136" s="442"/>
      <c r="F136" s="442"/>
      <c r="G136" s="442"/>
      <c r="H136" s="442"/>
      <c r="I136" s="442"/>
      <c r="J136" s="442"/>
      <c r="K136" s="442"/>
      <c r="L136" s="442"/>
      <c r="M136" s="442"/>
      <c r="N136" s="442"/>
      <c r="O136" s="442"/>
      <c r="P136" s="442"/>
      <c r="Q136" s="442"/>
      <c r="R136" s="442"/>
      <c r="S136" s="442"/>
      <c r="T136" s="442"/>
      <c r="U136" s="39"/>
    </row>
    <row r="137" customFormat="false" ht="20.1" hidden="false" customHeight="true" outlineLevel="0" collapsed="false">
      <c r="B137" s="39"/>
      <c r="D137" s="36"/>
      <c r="E137" s="36"/>
      <c r="U137" s="39"/>
    </row>
    <row r="138" customFormat="false" ht="20.1" hidden="false" customHeight="true" outlineLevel="0" collapsed="false">
      <c r="B138" s="39"/>
      <c r="D138" s="615" t="s">
        <v>36</v>
      </c>
      <c r="E138" s="266" t="s">
        <v>239</v>
      </c>
      <c r="F138" s="294" t="s">
        <v>6</v>
      </c>
      <c r="G138" s="616" t="s">
        <v>110</v>
      </c>
      <c r="H138" s="616"/>
      <c r="I138" s="616"/>
      <c r="J138" s="616"/>
      <c r="K138" s="264" t="s">
        <v>71</v>
      </c>
      <c r="L138" s="266" t="s">
        <v>40</v>
      </c>
      <c r="M138" s="266"/>
      <c r="N138" s="266"/>
      <c r="O138" s="266"/>
      <c r="P138" s="266"/>
      <c r="Q138" s="266"/>
      <c r="R138" s="266"/>
      <c r="S138" s="266"/>
      <c r="U138" s="39"/>
    </row>
    <row r="139" customFormat="false" ht="20.1" hidden="false" customHeight="true" outlineLevel="0" collapsed="false">
      <c r="B139" s="39"/>
      <c r="D139" s="615"/>
      <c r="E139" s="266"/>
      <c r="F139" s="294"/>
      <c r="G139" s="268" t="s">
        <v>111</v>
      </c>
      <c r="H139" s="267" t="s">
        <v>41</v>
      </c>
      <c r="I139" s="294" t="s">
        <v>42</v>
      </c>
      <c r="J139" s="294"/>
      <c r="K139" s="267" t="s">
        <v>43</v>
      </c>
      <c r="L139" s="372" t="s">
        <v>111</v>
      </c>
      <c r="M139" s="270" t="s">
        <v>44</v>
      </c>
      <c r="N139" s="384" t="s">
        <v>42</v>
      </c>
      <c r="O139" s="384"/>
      <c r="P139" s="384"/>
      <c r="Q139" s="384"/>
      <c r="R139" s="384"/>
      <c r="S139" s="384"/>
      <c r="U139" s="39"/>
    </row>
    <row r="140" customFormat="false" ht="95.1" hidden="false" customHeight="true" outlineLevel="0" collapsed="false">
      <c r="B140" s="39"/>
      <c r="D140" s="6" t="s">
        <v>178</v>
      </c>
      <c r="E140" s="229" t="s">
        <v>211</v>
      </c>
      <c r="F140" s="12" t="n">
        <v>1</v>
      </c>
      <c r="G140" s="374" t="s">
        <v>114</v>
      </c>
      <c r="H140" s="643" t="s">
        <v>112</v>
      </c>
      <c r="I140" s="587" t="s">
        <v>316</v>
      </c>
      <c r="J140" s="587"/>
      <c r="K140" s="728" t="s">
        <v>317</v>
      </c>
      <c r="L140" s="272" t="s">
        <v>46</v>
      </c>
      <c r="M140" s="276" t="s">
        <v>46</v>
      </c>
      <c r="N140" s="444" t="s">
        <v>46</v>
      </c>
      <c r="O140" s="444"/>
      <c r="P140" s="444"/>
      <c r="Q140" s="444"/>
      <c r="R140" s="444"/>
      <c r="S140" s="444"/>
      <c r="U140" s="39"/>
    </row>
    <row r="141" customFormat="false" ht="125.1" hidden="false" customHeight="true" outlineLevel="0" collapsed="false">
      <c r="B141" s="39"/>
      <c r="D141" s="303" t="s">
        <v>31</v>
      </c>
      <c r="E141" s="304" t="s">
        <v>32</v>
      </c>
      <c r="F141" s="19" t="n">
        <v>2</v>
      </c>
      <c r="G141" s="446" t="s">
        <v>114</v>
      </c>
      <c r="H141" s="620" t="s">
        <v>282</v>
      </c>
      <c r="I141" s="590" t="s">
        <v>318</v>
      </c>
      <c r="J141" s="590"/>
      <c r="K141" s="729" t="s">
        <v>115</v>
      </c>
      <c r="L141" s="278" t="s">
        <v>46</v>
      </c>
      <c r="M141" s="282" t="s">
        <v>46</v>
      </c>
      <c r="N141" s="447" t="s">
        <v>46</v>
      </c>
      <c r="O141" s="447"/>
      <c r="P141" s="447"/>
      <c r="Q141" s="447"/>
      <c r="R141" s="447"/>
      <c r="S141" s="447"/>
      <c r="U141" s="39"/>
    </row>
    <row r="142" customFormat="false" ht="80.1" hidden="false" customHeight="true" outlineLevel="0" collapsed="false">
      <c r="B142" s="39"/>
      <c r="D142" s="303" t="s">
        <v>7</v>
      </c>
      <c r="E142" s="304" t="s">
        <v>8</v>
      </c>
      <c r="F142" s="19" t="n">
        <v>3</v>
      </c>
      <c r="G142" s="379" t="s">
        <v>85</v>
      </c>
      <c r="H142" s="624" t="s">
        <v>115</v>
      </c>
      <c r="I142" s="593" t="s">
        <v>319</v>
      </c>
      <c r="J142" s="593"/>
      <c r="K142" s="730" t="s">
        <v>317</v>
      </c>
      <c r="L142" s="278" t="s">
        <v>46</v>
      </c>
      <c r="M142" s="282" t="s">
        <v>46</v>
      </c>
      <c r="N142" s="447" t="s">
        <v>46</v>
      </c>
      <c r="O142" s="447"/>
      <c r="P142" s="447"/>
      <c r="Q142" s="447"/>
      <c r="R142" s="447"/>
      <c r="S142" s="447"/>
      <c r="U142" s="39"/>
    </row>
    <row r="143" customFormat="false" ht="50.1" hidden="false" customHeight="true" outlineLevel="0" collapsed="false">
      <c r="B143" s="39"/>
      <c r="D143" s="711" t="s">
        <v>260</v>
      </c>
      <c r="E143" s="397" t="s">
        <v>261</v>
      </c>
      <c r="F143" s="23" t="n">
        <v>4</v>
      </c>
      <c r="G143" s="731" t="s">
        <v>114</v>
      </c>
      <c r="H143" s="732" t="s">
        <v>317</v>
      </c>
      <c r="I143" s="733" t="s">
        <v>320</v>
      </c>
      <c r="J143" s="733"/>
      <c r="K143" s="418" t="s">
        <v>50</v>
      </c>
      <c r="L143" s="381" t="s">
        <v>114</v>
      </c>
      <c r="M143" s="595" t="s">
        <v>321</v>
      </c>
      <c r="N143" s="596" t="s">
        <v>322</v>
      </c>
      <c r="O143" s="596"/>
      <c r="P143" s="596"/>
      <c r="Q143" s="596"/>
      <c r="R143" s="596"/>
      <c r="S143" s="596"/>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Terra Mystica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178</v>
      </c>
      <c r="F147" s="521" t="s">
        <v>211</v>
      </c>
      <c r="G147" s="182" t="n">
        <v>2</v>
      </c>
      <c r="H147" s="182" t="s">
        <v>323</v>
      </c>
      <c r="I147" s="182" t="n">
        <v>30</v>
      </c>
      <c r="J147" s="182" t="n">
        <v>134</v>
      </c>
      <c r="K147" s="182" t="s">
        <v>46</v>
      </c>
      <c r="L147" s="183" t="n">
        <f aca="false">IF(J147="",0,(J147/J151)*100)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303" t="s">
        <v>31</v>
      </c>
      <c r="F148" s="304" t="s">
        <v>32</v>
      </c>
      <c r="G148" s="324" t="n">
        <v>1</v>
      </c>
      <c r="H148" s="324" t="s">
        <v>287</v>
      </c>
      <c r="I148" s="324" t="n">
        <v>30</v>
      </c>
      <c r="J148" s="324" t="n">
        <v>113</v>
      </c>
      <c r="K148" s="325" t="s">
        <v>46</v>
      </c>
      <c r="L148" s="341" t="n">
        <f aca="false">IF(J148="",0,(J148/J151)*100)</f>
        <v>84.3283582089552</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303" t="s">
        <v>7</v>
      </c>
      <c r="F149" s="304" t="s">
        <v>8</v>
      </c>
      <c r="G149" s="324" t="n">
        <v>3</v>
      </c>
      <c r="H149" s="324" t="s">
        <v>324</v>
      </c>
      <c r="I149" s="324" t="n">
        <v>30</v>
      </c>
      <c r="J149" s="324" t="n">
        <v>103</v>
      </c>
      <c r="K149" s="324" t="s">
        <v>46</v>
      </c>
      <c r="L149" s="341" t="n">
        <f aca="false">IF(J149="",0,(J149/J151)*100)</f>
        <v>76.865671641791</v>
      </c>
      <c r="M149" s="324" t="n">
        <v>3</v>
      </c>
      <c r="N149" s="327" t="n">
        <v>1</v>
      </c>
      <c r="O149" s="305" t="n">
        <f aca="false">IF(M149=1,1,0)</f>
        <v>0</v>
      </c>
      <c r="P149" s="88" t="n">
        <f aca="false">IF(M149=2,1,0)</f>
        <v>0</v>
      </c>
      <c r="Q149" s="88" t="n">
        <f aca="false">IF(M149=3,1,0)</f>
        <v>1</v>
      </c>
      <c r="R149" s="87" t="n">
        <f aca="false">IF(M149=4,1,0)</f>
        <v>0</v>
      </c>
      <c r="S149" s="302"/>
      <c r="T149" s="76"/>
      <c r="U149" s="39"/>
    </row>
    <row r="150" customFormat="false" ht="20.1" hidden="false" customHeight="true" outlineLevel="0" collapsed="false">
      <c r="B150" s="39"/>
      <c r="C150" s="76"/>
      <c r="D150" s="297"/>
      <c r="E150" s="711" t="s">
        <v>260</v>
      </c>
      <c r="F150" s="397" t="s">
        <v>261</v>
      </c>
      <c r="G150" s="186" t="n">
        <v>4</v>
      </c>
      <c r="H150" s="186" t="s">
        <v>325</v>
      </c>
      <c r="I150" s="186" t="n">
        <v>3</v>
      </c>
      <c r="J150" s="186" t="n">
        <v>77</v>
      </c>
      <c r="K150" s="352" t="s">
        <v>46</v>
      </c>
      <c r="L150" s="116" t="n">
        <f aca="false">IF(J150="",0,(J150/J151)*100)</f>
        <v>57.4626865671642</v>
      </c>
      <c r="M150" s="186" t="n">
        <v>4</v>
      </c>
      <c r="N150" s="309" t="n">
        <v>0</v>
      </c>
      <c r="O150" s="310" t="n">
        <f aca="false">IF(M150=1,1,0)</f>
        <v>0</v>
      </c>
      <c r="P150" s="95" t="n">
        <f aca="false">IF(M150=2,1,0)</f>
        <v>0</v>
      </c>
      <c r="Q150" s="95" t="n">
        <f aca="false">IF(M150=3,1,0)</f>
        <v>0</v>
      </c>
      <c r="R150" s="117" t="n">
        <f aca="false">IF(M150=4,1,0)</f>
        <v>1</v>
      </c>
      <c r="S150" s="302"/>
      <c r="T150" s="76"/>
      <c r="U150" s="39"/>
    </row>
    <row r="151" customFormat="false" ht="20.1" hidden="true" customHeight="true" outlineLevel="1" collapsed="false">
      <c r="B151" s="39"/>
      <c r="C151" s="76"/>
      <c r="D151" s="306"/>
      <c r="E151" s="306"/>
      <c r="F151" s="302"/>
      <c r="G151" s="302"/>
      <c r="H151" s="76"/>
      <c r="I151" s="345" t="s">
        <v>62</v>
      </c>
      <c r="J151" s="98" t="n">
        <f aca="false">MAX(J147:J150)</f>
        <v>134</v>
      </c>
      <c r="K151" s="396"/>
      <c r="L151" s="316"/>
      <c r="M151" s="76"/>
      <c r="N151" s="333" t="s">
        <v>63</v>
      </c>
      <c r="O151" s="102" t="n">
        <f aca="false">SUM(O147:O150)</f>
        <v>1</v>
      </c>
      <c r="P151" s="103" t="n">
        <f aca="false">SUM(P147:P150)</f>
        <v>1</v>
      </c>
      <c r="Q151" s="102" t="n">
        <f aca="false">SUM(Q147:Q150)</f>
        <v>1</v>
      </c>
      <c r="R151" s="104" t="n">
        <f aca="false">SUM(R147:R150)</f>
        <v>1</v>
      </c>
      <c r="S151" s="316"/>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Clans of Caledonia</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597"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3"/>
      <c r="E156" s="6" t="s">
        <v>178</v>
      </c>
      <c r="F156" s="229" t="s">
        <v>211</v>
      </c>
      <c r="G156" s="387" t="n">
        <v>4</v>
      </c>
      <c r="H156" s="387" t="s">
        <v>326</v>
      </c>
      <c r="I156" s="387" t="n">
        <v>0</v>
      </c>
      <c r="J156" s="387" t="n">
        <v>105</v>
      </c>
      <c r="K156" s="387" t="s">
        <v>46</v>
      </c>
      <c r="L156" s="388" t="n">
        <f aca="false">IF(J156="",0,(J156/J160)*100)</f>
        <v>61.7647058823529</v>
      </c>
      <c r="M156" s="387" t="n">
        <v>4</v>
      </c>
      <c r="N156" s="389" t="n">
        <v>0</v>
      </c>
      <c r="O156" s="301" t="n">
        <f aca="false">IF(M156=1,1,0)</f>
        <v>0</v>
      </c>
      <c r="P156" s="85" t="n">
        <f aca="false">IF(M156=2,1,0)</f>
        <v>0</v>
      </c>
      <c r="Q156" s="85" t="n">
        <f aca="false">IF(M156=3,1,0)</f>
        <v>0</v>
      </c>
      <c r="R156" s="84" t="n">
        <f aca="false">IF(M156=4,1,0)</f>
        <v>1</v>
      </c>
      <c r="S156" s="322"/>
      <c r="T156" s="107"/>
      <c r="U156" s="39"/>
    </row>
    <row r="157" customFormat="false" ht="20.1" hidden="false" customHeight="true" outlineLevel="0" collapsed="false">
      <c r="B157" s="39"/>
      <c r="C157" s="107"/>
      <c r="D157" s="319"/>
      <c r="E157" s="342" t="s">
        <v>31</v>
      </c>
      <c r="F157" s="343" t="s">
        <v>32</v>
      </c>
      <c r="G157" s="112" t="n">
        <v>3</v>
      </c>
      <c r="H157" s="112" t="s">
        <v>327</v>
      </c>
      <c r="I157" s="112" t="n">
        <v>0</v>
      </c>
      <c r="J157" s="112" t="n">
        <v>170</v>
      </c>
      <c r="K157" s="508" t="s">
        <v>46</v>
      </c>
      <c r="L157" s="113" t="n">
        <f aca="false">IF(J157="",0,(J157/J160)*100)</f>
        <v>100</v>
      </c>
      <c r="M157" s="112" t="n">
        <v>1</v>
      </c>
      <c r="N157" s="344" t="n">
        <v>6</v>
      </c>
      <c r="O157" s="305" t="n">
        <f aca="false">IF(M157=1,1,0)</f>
        <v>1</v>
      </c>
      <c r="P157" s="88" t="n">
        <f aca="false">IF(M157=2,1,0)</f>
        <v>0</v>
      </c>
      <c r="Q157" s="88" t="n">
        <f aca="false">IF(M157=3,1,0)</f>
        <v>0</v>
      </c>
      <c r="R157" s="87" t="n">
        <f aca="false">IF(M157=4,1,0)</f>
        <v>0</v>
      </c>
      <c r="S157" s="322"/>
      <c r="T157" s="107"/>
      <c r="U157" s="39"/>
    </row>
    <row r="158" customFormat="false" ht="20.1" hidden="false" customHeight="true" outlineLevel="0" collapsed="false">
      <c r="B158" s="39"/>
      <c r="C158" s="107"/>
      <c r="D158" s="323"/>
      <c r="E158" s="303" t="s">
        <v>7</v>
      </c>
      <c r="F158" s="304" t="s">
        <v>8</v>
      </c>
      <c r="G158" s="324" t="n">
        <v>1</v>
      </c>
      <c r="H158" s="324" t="s">
        <v>328</v>
      </c>
      <c r="I158" s="324" t="n">
        <v>0</v>
      </c>
      <c r="J158" s="324" t="n">
        <v>159</v>
      </c>
      <c r="K158" s="324" t="s">
        <v>46</v>
      </c>
      <c r="L158" s="341" t="n">
        <f aca="false">IF(J158="",0,(J158/J160)*100)</f>
        <v>93.5294117647059</v>
      </c>
      <c r="M158" s="324" t="n">
        <v>2</v>
      </c>
      <c r="N158" s="327" t="n">
        <v>3</v>
      </c>
      <c r="O158" s="305" t="n">
        <f aca="false">IF(M158=1,1,0)</f>
        <v>0</v>
      </c>
      <c r="P158" s="88" t="n">
        <f aca="false">IF(M158=2,1,0)</f>
        <v>1</v>
      </c>
      <c r="Q158" s="88" t="n">
        <f aca="false">IF(M158=3,1,0)</f>
        <v>0</v>
      </c>
      <c r="R158" s="87" t="n">
        <f aca="false">IF(M158=4,1,0)</f>
        <v>0</v>
      </c>
      <c r="S158" s="322"/>
      <c r="T158" s="107"/>
      <c r="U158" s="39"/>
    </row>
    <row r="159" customFormat="false" ht="20.1" hidden="false" customHeight="true" outlineLevel="0" collapsed="false">
      <c r="B159" s="39"/>
      <c r="C159" s="107"/>
      <c r="D159" s="319"/>
      <c r="E159" s="711" t="s">
        <v>260</v>
      </c>
      <c r="F159" s="397" t="s">
        <v>261</v>
      </c>
      <c r="G159" s="186" t="n">
        <v>2</v>
      </c>
      <c r="H159" s="186" t="s">
        <v>329</v>
      </c>
      <c r="I159" s="186" t="n">
        <v>0</v>
      </c>
      <c r="J159" s="186" t="n">
        <v>141</v>
      </c>
      <c r="K159" s="352" t="s">
        <v>46</v>
      </c>
      <c r="L159" s="116" t="n">
        <f aca="false">IF(J159="",0,(J159/J160)*100)</f>
        <v>82.9411764705882</v>
      </c>
      <c r="M159" s="186" t="n">
        <v>3</v>
      </c>
      <c r="N159" s="309" t="n">
        <v>1</v>
      </c>
      <c r="O159" s="310" t="n">
        <f aca="false">IF(M159=1,1,0)</f>
        <v>0</v>
      </c>
      <c r="P159" s="95" t="n">
        <f aca="false">IF(M159=2,1,0)</f>
        <v>0</v>
      </c>
      <c r="Q159" s="95" t="n">
        <f aca="false">IF(M159=3,1,0)</f>
        <v>1</v>
      </c>
      <c r="R159" s="117" t="n">
        <f aca="false">IF(M159=4,1,0)</f>
        <v>0</v>
      </c>
      <c r="S159" s="322"/>
      <c r="T159" s="107"/>
      <c r="U159" s="39"/>
    </row>
    <row r="160" customFormat="false" ht="20.1" hidden="true" customHeight="true" outlineLevel="1" collapsed="false">
      <c r="B160" s="39"/>
      <c r="C160" s="107"/>
      <c r="D160" s="319"/>
      <c r="E160" s="319"/>
      <c r="F160" s="109"/>
      <c r="G160" s="109"/>
      <c r="H160" s="107"/>
      <c r="I160" s="345" t="s">
        <v>62</v>
      </c>
      <c r="J160" s="98" t="n">
        <f aca="false">MAX(J156:J159)</f>
        <v>170</v>
      </c>
      <c r="K160" s="332"/>
      <c r="L160" s="322"/>
      <c r="M160" s="107"/>
      <c r="N160" s="333" t="s">
        <v>63</v>
      </c>
      <c r="O160" s="102" t="n">
        <f aca="false">SUM(O156:O159)</f>
        <v>1</v>
      </c>
      <c r="P160" s="103" t="n">
        <f aca="false">SUM(P156:P159)</f>
        <v>1</v>
      </c>
      <c r="Q160" s="102" t="n">
        <f aca="false">SUM(Q156:Q159)</f>
        <v>1</v>
      </c>
      <c r="R160" s="104" t="n">
        <f aca="false">SUM(R156:R159)</f>
        <v>1</v>
      </c>
      <c r="S160" s="334"/>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Orakel von Delphi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597"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80.1" hidden="false" customHeight="true" outlineLevel="0" collapsed="false">
      <c r="B165" s="39"/>
      <c r="C165" s="126"/>
      <c r="D165" s="340"/>
      <c r="E165" s="6" t="s">
        <v>178</v>
      </c>
      <c r="F165" s="229" t="s">
        <v>211</v>
      </c>
      <c r="G165" s="387" t="n">
        <v>1</v>
      </c>
      <c r="H165" s="553" t="s">
        <v>330</v>
      </c>
      <c r="I165" s="387" t="s">
        <v>46</v>
      </c>
      <c r="J165" s="553" t="s">
        <v>331</v>
      </c>
      <c r="K165" s="553" t="s">
        <v>332</v>
      </c>
      <c r="L165" s="388" t="n">
        <f aca="false">(L149+L159+L177)/3</f>
        <v>85.3199785021142</v>
      </c>
      <c r="M165" s="387" t="n">
        <v>4</v>
      </c>
      <c r="N165" s="389" t="n">
        <v>0</v>
      </c>
      <c r="O165" s="301" t="n">
        <f aca="false">IF(M165=1,1,0)</f>
        <v>0</v>
      </c>
      <c r="P165" s="85" t="n">
        <f aca="false">IF(M165=2,1,0)</f>
        <v>0</v>
      </c>
      <c r="Q165" s="85" t="n">
        <f aca="false">IF(M165=3,1,0)</f>
        <v>0</v>
      </c>
      <c r="R165" s="84" t="n">
        <f aca="false">IF(M165=4,1,0)</f>
        <v>1</v>
      </c>
      <c r="S165" s="339"/>
      <c r="T165" s="126"/>
      <c r="U165" s="131"/>
    </row>
    <row r="166" customFormat="false" ht="125.1" hidden="false" customHeight="true" outlineLevel="0" collapsed="false">
      <c r="B166" s="39"/>
      <c r="C166" s="126"/>
      <c r="D166" s="336"/>
      <c r="E166" s="342" t="s">
        <v>31</v>
      </c>
      <c r="F166" s="343" t="s">
        <v>32</v>
      </c>
      <c r="G166" s="112" t="n">
        <v>3</v>
      </c>
      <c r="H166" s="508" t="s">
        <v>333</v>
      </c>
      <c r="I166" s="112" t="s">
        <v>46</v>
      </c>
      <c r="J166" s="508" t="s">
        <v>119</v>
      </c>
      <c r="K166" s="508" t="s">
        <v>334</v>
      </c>
      <c r="L166" s="113" t="n">
        <v>100</v>
      </c>
      <c r="M166" s="112" t="n">
        <v>1</v>
      </c>
      <c r="N166" s="344" t="n">
        <v>6</v>
      </c>
      <c r="O166" s="305" t="n">
        <f aca="false">IF(M166=1,1,0)</f>
        <v>1</v>
      </c>
      <c r="P166" s="88" t="n">
        <f aca="false">IF(M166=2,1,0)</f>
        <v>0</v>
      </c>
      <c r="Q166" s="88" t="n">
        <f aca="false">IF(M166=3,1,0)</f>
        <v>0</v>
      </c>
      <c r="R166" s="87" t="n">
        <f aca="false">IF(M166=4,1,0)</f>
        <v>0</v>
      </c>
      <c r="S166" s="339"/>
      <c r="T166" s="126"/>
      <c r="U166" s="132"/>
    </row>
    <row r="167" customFormat="false" ht="110.1" hidden="false" customHeight="true" outlineLevel="0" collapsed="false">
      <c r="B167" s="39"/>
      <c r="C167" s="126"/>
      <c r="D167" s="336"/>
      <c r="E167" s="303" t="s">
        <v>7</v>
      </c>
      <c r="F167" s="304" t="s">
        <v>8</v>
      </c>
      <c r="G167" s="324" t="n">
        <v>2</v>
      </c>
      <c r="H167" s="325" t="s">
        <v>335</v>
      </c>
      <c r="I167" s="324" t="s">
        <v>46</v>
      </c>
      <c r="J167" s="325" t="s">
        <v>331</v>
      </c>
      <c r="K167" s="325" t="s">
        <v>336</v>
      </c>
      <c r="L167" s="341" t="n">
        <f aca="false">(L149+L159+L177)/3</f>
        <v>85.3199785021142</v>
      </c>
      <c r="M167" s="324" t="n">
        <v>3</v>
      </c>
      <c r="N167" s="327" t="n">
        <v>1</v>
      </c>
      <c r="O167" s="305" t="n">
        <f aca="false">IF(M167=1,1,0)</f>
        <v>0</v>
      </c>
      <c r="P167" s="88" t="n">
        <f aca="false">IF(M167=2,1,0)</f>
        <v>0</v>
      </c>
      <c r="Q167" s="88" t="n">
        <f aca="false">IF(M167=3,1,0)</f>
        <v>1</v>
      </c>
      <c r="R167" s="87" t="n">
        <f aca="false">IF(M167=4,1,0)</f>
        <v>0</v>
      </c>
      <c r="S167" s="339"/>
      <c r="T167" s="126"/>
      <c r="U167" s="132"/>
    </row>
    <row r="168" customFormat="false" ht="65.1" hidden="false" customHeight="true" outlineLevel="0" collapsed="false">
      <c r="B168" s="39"/>
      <c r="C168" s="126"/>
      <c r="D168" s="336"/>
      <c r="E168" s="711" t="s">
        <v>260</v>
      </c>
      <c r="F168" s="397" t="s">
        <v>261</v>
      </c>
      <c r="G168" s="186" t="n">
        <v>4</v>
      </c>
      <c r="H168" s="352" t="s">
        <v>337</v>
      </c>
      <c r="I168" s="186" t="s">
        <v>46</v>
      </c>
      <c r="J168" s="352" t="s">
        <v>119</v>
      </c>
      <c r="K168" s="352" t="s">
        <v>332</v>
      </c>
      <c r="L168" s="116" t="n">
        <v>100</v>
      </c>
      <c r="M168" s="186" t="n">
        <v>2</v>
      </c>
      <c r="N168" s="309" t="n">
        <v>3</v>
      </c>
      <c r="O168" s="310" t="n">
        <f aca="false">IF(M168=1,1,0)</f>
        <v>0</v>
      </c>
      <c r="P168" s="95" t="n">
        <f aca="false">IF(M168=2,1,0)</f>
        <v>1</v>
      </c>
      <c r="Q168" s="95" t="n">
        <f aca="false">IF(M168=3,1,0)</f>
        <v>0</v>
      </c>
      <c r="R168" s="117" t="n">
        <f aca="false">IF(M168=4,1,0)</f>
        <v>0</v>
      </c>
      <c r="S168" s="339"/>
      <c r="T168" s="126"/>
      <c r="U168" s="132"/>
    </row>
    <row r="169" customFormat="false" ht="20.1" hidden="true" customHeight="true" outlineLevel="1" collapsed="false">
      <c r="B169" s="39"/>
      <c r="C169" s="126"/>
      <c r="D169" s="336"/>
      <c r="E169" s="336"/>
      <c r="F169" s="339"/>
      <c r="G169" s="339"/>
      <c r="H169" s="126"/>
      <c r="I169" s="345" t="s">
        <v>62</v>
      </c>
      <c r="J169" s="98" t="n">
        <f aca="false">MAX(J165:J168)</f>
        <v>0</v>
      </c>
      <c r="K169" s="346"/>
      <c r="L169" s="339"/>
      <c r="M169" s="126"/>
      <c r="N169" s="333" t="s">
        <v>63</v>
      </c>
      <c r="O169" s="102" t="n">
        <f aca="false">SUM(O165:O168)</f>
        <v>1</v>
      </c>
      <c r="P169" s="103" t="n">
        <f aca="false">SUM(P165:P168)</f>
        <v>1</v>
      </c>
      <c r="Q169" s="102" t="n">
        <f aca="false">SUM(Q165:Q168)</f>
        <v>1</v>
      </c>
      <c r="R169" s="104" t="n">
        <f aca="false">SUM(R165:R168)</f>
        <v>1</v>
      </c>
      <c r="S169" s="347"/>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City of the Big Shoulders</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597"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35.1" hidden="false" customHeight="true" outlineLevel="0" collapsed="false">
      <c r="B174" s="39"/>
      <c r="C174" s="134"/>
      <c r="D174" s="349"/>
      <c r="E174" s="180" t="s">
        <v>178</v>
      </c>
      <c r="F174" s="521" t="s">
        <v>211</v>
      </c>
      <c r="G174" s="182" t="n">
        <v>4</v>
      </c>
      <c r="H174" s="320" t="s">
        <v>303</v>
      </c>
      <c r="I174" s="182" t="n">
        <v>175</v>
      </c>
      <c r="J174" s="712" t="n">
        <v>5069</v>
      </c>
      <c r="K174" s="182" t="s">
        <v>46</v>
      </c>
      <c r="L174" s="183" t="n">
        <f aca="false">IF(J174="",0,(J174/J178)*100)</f>
        <v>100</v>
      </c>
      <c r="M174" s="182" t="n">
        <v>1</v>
      </c>
      <c r="N174" s="300" t="n">
        <v>6</v>
      </c>
      <c r="O174" s="301" t="n">
        <f aca="false">IF(M174=1,1,0)</f>
        <v>1</v>
      </c>
      <c r="P174" s="85" t="n">
        <f aca="false">IF(M174=2,1,0)</f>
        <v>0</v>
      </c>
      <c r="Q174" s="85" t="n">
        <f aca="false">IF(M174=3,1,0)</f>
        <v>0</v>
      </c>
      <c r="R174" s="84" t="n">
        <f aca="false">IF(M174=4,1,0)</f>
        <v>0</v>
      </c>
      <c r="S174" s="350"/>
      <c r="T174" s="134"/>
      <c r="U174" s="39"/>
    </row>
    <row r="175" customFormat="false" ht="20.1" hidden="false" customHeight="true" outlineLevel="0" collapsed="false">
      <c r="B175" s="39"/>
      <c r="C175" s="134"/>
      <c r="D175" s="349"/>
      <c r="E175" s="303" t="s">
        <v>31</v>
      </c>
      <c r="F175" s="304" t="s">
        <v>32</v>
      </c>
      <c r="G175" s="324" t="n">
        <v>1</v>
      </c>
      <c r="H175" s="324" t="s">
        <v>338</v>
      </c>
      <c r="I175" s="324" t="n">
        <v>175</v>
      </c>
      <c r="J175" s="713" t="n">
        <v>5068</v>
      </c>
      <c r="K175" s="325" t="s">
        <v>46</v>
      </c>
      <c r="L175" s="341" t="n">
        <f aca="false">IF(J175="",0,(J175/J178)*100)</f>
        <v>99.980272243046</v>
      </c>
      <c r="M175" s="324" t="n">
        <v>2</v>
      </c>
      <c r="N175" s="327" t="n">
        <v>3</v>
      </c>
      <c r="O175" s="305" t="n">
        <f aca="false">IF(M175=1,1,0)</f>
        <v>0</v>
      </c>
      <c r="P175" s="88" t="n">
        <f aca="false">IF(M175=2,1,0)</f>
        <v>1</v>
      </c>
      <c r="Q175" s="88" t="n">
        <f aca="false">IF(M175=3,1,0)</f>
        <v>0</v>
      </c>
      <c r="R175" s="87" t="n">
        <f aca="false">IF(M175=4,1,0)</f>
        <v>0</v>
      </c>
      <c r="S175" s="350"/>
      <c r="T175" s="134"/>
      <c r="U175" s="39"/>
    </row>
    <row r="176" customFormat="false" ht="20.1" hidden="false" customHeight="true" outlineLevel="0" collapsed="false">
      <c r="B176" s="39"/>
      <c r="C176" s="134"/>
      <c r="D176" s="349"/>
      <c r="E176" s="303" t="s">
        <v>7</v>
      </c>
      <c r="F176" s="304" t="s">
        <v>8</v>
      </c>
      <c r="G176" s="324" t="n">
        <v>2</v>
      </c>
      <c r="H176" s="324" t="s">
        <v>339</v>
      </c>
      <c r="I176" s="324" t="n">
        <v>175</v>
      </c>
      <c r="J176" s="713" t="n">
        <v>4145</v>
      </c>
      <c r="K176" s="324" t="s">
        <v>46</v>
      </c>
      <c r="L176" s="341" t="n">
        <f aca="false">IF(J176="",0,(J176/J178)*100)</f>
        <v>81.7715525744723</v>
      </c>
      <c r="M176" s="324" t="n">
        <v>4</v>
      </c>
      <c r="N176" s="327" t="n">
        <v>0</v>
      </c>
      <c r="O176" s="305" t="n">
        <f aca="false">IF(M176=1,1,0)</f>
        <v>0</v>
      </c>
      <c r="P176" s="88" t="n">
        <f aca="false">IF(M176=2,1,0)</f>
        <v>0</v>
      </c>
      <c r="Q176" s="88" t="n">
        <f aca="false">IF(M176=3,1,0)</f>
        <v>0</v>
      </c>
      <c r="R176" s="87" t="n">
        <f aca="false">IF(M176=4,1,0)</f>
        <v>1</v>
      </c>
      <c r="S176" s="350"/>
      <c r="T176" s="134"/>
      <c r="U176" s="39"/>
    </row>
    <row r="177" customFormat="false" ht="20.1" hidden="false" customHeight="true" outlineLevel="0" collapsed="false">
      <c r="B177" s="39"/>
      <c r="C177" s="134"/>
      <c r="D177" s="351"/>
      <c r="E177" s="711" t="s">
        <v>260</v>
      </c>
      <c r="F177" s="397" t="s">
        <v>261</v>
      </c>
      <c r="G177" s="186" t="n">
        <v>3</v>
      </c>
      <c r="H177" s="186" t="s">
        <v>302</v>
      </c>
      <c r="I177" s="186" t="n">
        <v>175</v>
      </c>
      <c r="J177" s="714" t="n">
        <v>4874</v>
      </c>
      <c r="K177" s="352" t="s">
        <v>46</v>
      </c>
      <c r="L177" s="116" t="n">
        <f aca="false">IF(J177="",0,(J177/J178)*100)</f>
        <v>96.1530873939633</v>
      </c>
      <c r="M177" s="186" t="n">
        <v>3</v>
      </c>
      <c r="N177" s="309" t="n">
        <v>1</v>
      </c>
      <c r="O177" s="310" t="n">
        <f aca="false">IF(M177=1,1,0)</f>
        <v>0</v>
      </c>
      <c r="P177" s="95" t="n">
        <f aca="false">IF(M177=2,1,0)</f>
        <v>0</v>
      </c>
      <c r="Q177" s="95" t="n">
        <f aca="false">IF(M177=3,1,0)</f>
        <v>1</v>
      </c>
      <c r="R177" s="117" t="n">
        <f aca="false">IF(M177=4,1,0)</f>
        <v>0</v>
      </c>
      <c r="S177" s="350"/>
      <c r="T177" s="134"/>
      <c r="U177" s="39"/>
    </row>
    <row r="178" customFormat="false" ht="20.1" hidden="true" customHeight="true" outlineLevel="1" collapsed="false">
      <c r="B178" s="39"/>
      <c r="C178" s="134"/>
      <c r="D178" s="349"/>
      <c r="E178" s="349"/>
      <c r="F178" s="350"/>
      <c r="G178" s="350"/>
      <c r="H178" s="134"/>
      <c r="I178" s="345" t="s">
        <v>62</v>
      </c>
      <c r="J178" s="98" t="n">
        <f aca="false">MAX(J174:J177)</f>
        <v>5069</v>
      </c>
      <c r="K178" s="353"/>
      <c r="L178" s="350"/>
      <c r="M178" s="134"/>
      <c r="N178" s="333" t="s">
        <v>63</v>
      </c>
      <c r="O178" s="102" t="n">
        <f aca="false">SUM(O174:O177)</f>
        <v>1</v>
      </c>
      <c r="P178" s="103" t="n">
        <f aca="false">SUM(P174:P177)</f>
        <v>1</v>
      </c>
      <c r="Q178" s="102" t="n">
        <f aca="false">SUM(Q174:Q177)</f>
        <v>1</v>
      </c>
      <c r="R178" s="104" t="n">
        <f aca="false">SUM(R174:R177)</f>
        <v>1</v>
      </c>
      <c r="S178" s="354"/>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6" t="s">
        <v>36</v>
      </c>
      <c r="E182" s="357" t="s">
        <v>218</v>
      </c>
      <c r="F182" s="358" t="s">
        <v>57</v>
      </c>
      <c r="G182" s="146" t="s">
        <v>236</v>
      </c>
      <c r="H182" s="143" t="s">
        <v>237</v>
      </c>
      <c r="I182" s="143"/>
      <c r="J182" s="488" t="s">
        <v>238</v>
      </c>
      <c r="K182" s="359" t="s">
        <v>65</v>
      </c>
      <c r="L182" s="358" t="s">
        <v>66</v>
      </c>
      <c r="M182" s="359" t="s">
        <v>67</v>
      </c>
      <c r="N182" s="358" t="s">
        <v>68</v>
      </c>
      <c r="O182" s="600"/>
      <c r="P182" s="601"/>
      <c r="Q182" s="601"/>
      <c r="R182" s="601"/>
      <c r="S182" s="357" t="s">
        <v>69</v>
      </c>
      <c r="T182" s="139"/>
      <c r="U182" s="39"/>
    </row>
    <row r="183" customFormat="false" ht="20.1" hidden="false" customHeight="true" outlineLevel="0" collapsed="false">
      <c r="B183" s="39"/>
      <c r="C183" s="139"/>
      <c r="D183" s="734" t="s">
        <v>31</v>
      </c>
      <c r="E183" s="671" t="s">
        <v>32</v>
      </c>
      <c r="F183" s="630" t="n">
        <f aca="false">K183*6+L183*3+M183*1+N183*0</f>
        <v>18</v>
      </c>
      <c r="G183" s="631" t="n">
        <v>0</v>
      </c>
      <c r="H183" s="631" t="s">
        <v>46</v>
      </c>
      <c r="I183" s="631"/>
      <c r="J183" s="630" t="n">
        <f aca="false">F183+G183</f>
        <v>18</v>
      </c>
      <c r="K183" s="630" t="n">
        <v>2</v>
      </c>
      <c r="L183" s="630" t="n">
        <v>2</v>
      </c>
      <c r="M183" s="630" t="n">
        <v>0</v>
      </c>
      <c r="N183" s="630" t="n">
        <v>0</v>
      </c>
      <c r="O183" s="725"/>
      <c r="P183" s="631"/>
      <c r="Q183" s="631"/>
      <c r="R183" s="631"/>
      <c r="S183" s="635" t="n">
        <f aca="false">(L148+L157+L166+L175)/4</f>
        <v>96.0771576130003</v>
      </c>
      <c r="T183" s="139"/>
      <c r="U183" s="39"/>
    </row>
    <row r="184" customFormat="false" ht="20.1" hidden="false" customHeight="true" outlineLevel="0" collapsed="false">
      <c r="B184" s="39"/>
      <c r="C184" s="139"/>
      <c r="D184" s="365" t="s">
        <v>178</v>
      </c>
      <c r="E184" s="609" t="s">
        <v>211</v>
      </c>
      <c r="F184" s="400" t="n">
        <f aca="false">K184*6+L184*3+M184*1+N184*0</f>
        <v>12</v>
      </c>
      <c r="G184" s="192" t="n">
        <v>0</v>
      </c>
      <c r="H184" s="192" t="s">
        <v>46</v>
      </c>
      <c r="I184" s="192"/>
      <c r="J184" s="400" t="n">
        <f aca="false">F184+G184</f>
        <v>12</v>
      </c>
      <c r="K184" s="400" t="n">
        <v>2</v>
      </c>
      <c r="L184" s="400" t="n">
        <v>0</v>
      </c>
      <c r="M184" s="400" t="n">
        <v>0</v>
      </c>
      <c r="N184" s="400" t="n">
        <v>2</v>
      </c>
      <c r="O184" s="726"/>
      <c r="P184" s="192"/>
      <c r="Q184" s="192"/>
      <c r="R184" s="192"/>
      <c r="S184" s="367" t="n">
        <f aca="false">(L147+L156+L165+L174)/4</f>
        <v>86.7711710961168</v>
      </c>
      <c r="T184" s="139"/>
      <c r="U184" s="39"/>
    </row>
    <row r="185" customFormat="false" ht="20.1" hidden="false" customHeight="true" outlineLevel="0" collapsed="false">
      <c r="B185" s="39"/>
      <c r="C185" s="139"/>
      <c r="D185" s="735" t="s">
        <v>7</v>
      </c>
      <c r="E185" s="512" t="s">
        <v>8</v>
      </c>
      <c r="F185" s="400" t="n">
        <f aca="false">K185*6+L185*3+M185*1+N185*0</f>
        <v>5</v>
      </c>
      <c r="G185" s="192" t="n">
        <v>0</v>
      </c>
      <c r="H185" s="192" t="s">
        <v>46</v>
      </c>
      <c r="I185" s="192"/>
      <c r="J185" s="400" t="n">
        <f aca="false">F185+G185</f>
        <v>5</v>
      </c>
      <c r="K185" s="400" t="n">
        <v>0</v>
      </c>
      <c r="L185" s="400" t="n">
        <v>1</v>
      </c>
      <c r="M185" s="400" t="n">
        <v>2</v>
      </c>
      <c r="N185" s="400" t="n">
        <v>1</v>
      </c>
      <c r="O185" s="726"/>
      <c r="P185" s="192"/>
      <c r="Q185" s="192"/>
      <c r="R185" s="192"/>
      <c r="S185" s="367" t="n">
        <f aca="false">(L149+L158+L167+L176)/4</f>
        <v>84.3716536207709</v>
      </c>
      <c r="T185" s="139"/>
      <c r="U185" s="39"/>
    </row>
    <row r="186" customFormat="false" ht="20.1" hidden="false" customHeight="true" outlineLevel="0" collapsed="false">
      <c r="B186" s="39"/>
      <c r="C186" s="139"/>
      <c r="D186" s="736" t="s">
        <v>260</v>
      </c>
      <c r="E186" s="516" t="s">
        <v>261</v>
      </c>
      <c r="F186" s="402" t="n">
        <f aca="false">K186*6+L186*3+M186*1+N186*0</f>
        <v>5</v>
      </c>
      <c r="G186" s="370" t="n">
        <v>0</v>
      </c>
      <c r="H186" s="691" t="s">
        <v>46</v>
      </c>
      <c r="I186" s="691"/>
      <c r="J186" s="402" t="n">
        <f aca="false">F186+G186</f>
        <v>5</v>
      </c>
      <c r="K186" s="402" t="n">
        <v>0</v>
      </c>
      <c r="L186" s="402" t="n">
        <v>1</v>
      </c>
      <c r="M186" s="402" t="n">
        <v>2</v>
      </c>
      <c r="N186" s="402" t="n">
        <v>1</v>
      </c>
      <c r="O186" s="727"/>
      <c r="P186" s="370"/>
      <c r="Q186" s="370"/>
      <c r="R186" s="370"/>
      <c r="S186" s="371" t="n">
        <f aca="false">(L150+L159+L168+L177)/4</f>
        <v>84.1392376079289</v>
      </c>
      <c r="T186" s="139"/>
      <c r="U186" s="39"/>
    </row>
    <row r="187" customFormat="false" ht="20.1" hidden="false" customHeight="true" outlineLevel="0" collapsed="false">
      <c r="B187" s="39"/>
      <c r="C187" s="139"/>
      <c r="D187" s="139"/>
      <c r="E187" s="139"/>
      <c r="F187" s="153"/>
      <c r="G187" s="153"/>
      <c r="H187" s="153"/>
      <c r="I187" s="153"/>
      <c r="J187" s="153"/>
      <c r="K187" s="153"/>
      <c r="L187" s="153"/>
      <c r="M187" s="153"/>
      <c r="N187" s="153"/>
      <c r="O187" s="153"/>
      <c r="P187" s="153"/>
      <c r="Q187" s="153"/>
      <c r="R187" s="153"/>
      <c r="S187" s="153"/>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5"/>
  <sheetViews>
    <sheetView showFormulas="false" showGridLines="false" showRowColHeaders="true" showZeros="true" rightToLeft="false" tabSelected="false" showOutlineSymbols="true" defaultGridColor="true" view="normal" topLeftCell="A21" colorId="64" zoomScale="100" zoomScaleNormal="100" zoomScalePageLayoutView="100" workbookViewId="0">
      <selection pane="topLeft" activeCell="J156" activeCellId="0" sqref="J15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7"/>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340</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341</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342</v>
      </c>
      <c r="C5" s="81"/>
      <c r="D5" s="213" t="s">
        <v>2</v>
      </c>
      <c r="E5" s="570" t="s">
        <v>202</v>
      </c>
      <c r="F5" s="571" t="s">
        <v>203</v>
      </c>
      <c r="G5" s="572" t="s">
        <v>204</v>
      </c>
      <c r="H5" s="4" t="s">
        <v>343</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4" t="s">
        <v>207</v>
      </c>
      <c r="G7" s="574"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16</v>
      </c>
      <c r="E9" s="706" t="s">
        <v>17</v>
      </c>
      <c r="F9" s="707" t="s">
        <v>17</v>
      </c>
      <c r="G9" s="438" t="s">
        <v>17</v>
      </c>
      <c r="H9" s="236" t="s">
        <v>9</v>
      </c>
      <c r="I9" s="36"/>
      <c r="J9" s="247" t="str">
        <f aca="false">D9</f>
        <v>Jérôme Schätzle</v>
      </c>
      <c r="K9" s="230"/>
      <c r="L9" s="252" t="n">
        <v>4</v>
      </c>
      <c r="P9" s="36"/>
      <c r="Q9" s="120"/>
      <c r="S9" s="36"/>
      <c r="T9" s="36"/>
      <c r="U9" s="36"/>
      <c r="V9" s="120"/>
      <c r="W9" s="120"/>
    </row>
    <row r="10" customFormat="false" ht="20.1" hidden="false" customHeight="true" outlineLevel="0" collapsed="false">
      <c r="B10" s="233" t="n">
        <v>5</v>
      </c>
      <c r="C10" s="233"/>
      <c r="D10" s="234" t="s">
        <v>22</v>
      </c>
      <c r="E10" s="235" t="s">
        <v>23</v>
      </c>
      <c r="F10" s="574" t="s">
        <v>23</v>
      </c>
      <c r="G10" s="574" t="s">
        <v>23</v>
      </c>
      <c r="H10" s="236" t="s">
        <v>9</v>
      </c>
      <c r="I10" s="544"/>
      <c r="J10" s="9" t="str">
        <f aca="false">D10</f>
        <v>Markus Hagenauer</v>
      </c>
      <c r="K10" s="543" t="n">
        <v>2</v>
      </c>
      <c r="L10" s="12" t="n">
        <v>1</v>
      </c>
      <c r="P10" s="36"/>
      <c r="Q10" s="120"/>
      <c r="S10" s="36"/>
      <c r="T10" s="36"/>
      <c r="U10" s="36"/>
      <c r="V10" s="120"/>
      <c r="W10" s="120"/>
    </row>
    <row r="11" customFormat="false" ht="20.1" hidden="false" customHeight="true" outlineLevel="0" collapsed="false">
      <c r="B11" s="233" t="n">
        <v>6</v>
      </c>
      <c r="C11" s="233"/>
      <c r="D11" s="234" t="s">
        <v>96</v>
      </c>
      <c r="E11" s="545" t="s">
        <v>210</v>
      </c>
      <c r="F11" s="574" t="s">
        <v>210</v>
      </c>
      <c r="G11" s="574" t="s">
        <v>210</v>
      </c>
      <c r="H11" s="236" t="s">
        <v>9</v>
      </c>
      <c r="I11" s="544"/>
      <c r="J11" s="16" t="str">
        <f aca="false">D11</f>
        <v>Kai Maibaum</v>
      </c>
      <c r="K11" s="543"/>
      <c r="L11" s="19" t="n">
        <v>2</v>
      </c>
      <c r="P11" s="36"/>
      <c r="Q11" s="120"/>
      <c r="S11" s="36"/>
      <c r="T11" s="36"/>
      <c r="U11" s="36"/>
      <c r="V11" s="120"/>
      <c r="W11" s="120"/>
    </row>
    <row r="12" customFormat="false" ht="20.1" hidden="false" customHeight="true" outlineLevel="0" collapsed="false">
      <c r="B12" s="233" t="n">
        <v>7</v>
      </c>
      <c r="C12" s="233"/>
      <c r="D12" s="438" t="s">
        <v>31</v>
      </c>
      <c r="E12" s="706" t="s">
        <v>32</v>
      </c>
      <c r="F12" s="707" t="s">
        <v>32</v>
      </c>
      <c r="G12" s="438" t="s">
        <v>32</v>
      </c>
      <c r="H12" s="236" t="s">
        <v>9</v>
      </c>
      <c r="I12" s="544"/>
      <c r="J12" s="16" t="str">
        <f aca="false">D12</f>
        <v>Andreas Micke</v>
      </c>
      <c r="K12" s="543"/>
      <c r="L12" s="19" t="n">
        <v>3</v>
      </c>
      <c r="P12" s="36"/>
      <c r="Q12" s="120"/>
      <c r="S12" s="36"/>
      <c r="T12" s="36"/>
      <c r="U12" s="36"/>
      <c r="V12" s="120"/>
      <c r="W12" s="120"/>
    </row>
    <row r="13" customFormat="false" ht="20.1" hidden="false" customHeight="true" outlineLevel="0" collapsed="false">
      <c r="B13" s="434" t="n">
        <v>8</v>
      </c>
      <c r="C13" s="434"/>
      <c r="D13" s="435" t="s">
        <v>178</v>
      </c>
      <c r="E13" s="436" t="s">
        <v>211</v>
      </c>
      <c r="F13" s="573" t="s">
        <v>212</v>
      </c>
      <c r="G13" s="573" t="s">
        <v>212</v>
      </c>
      <c r="H13" s="437" t="s">
        <v>26</v>
      </c>
      <c r="I13" s="544"/>
      <c r="J13" s="247" t="str">
        <f aca="false">D13</f>
        <v>Markus Hundshagen</v>
      </c>
      <c r="K13" s="543"/>
      <c r="L13" s="252" t="n">
        <v>4</v>
      </c>
      <c r="P13" s="36"/>
      <c r="Q13" s="120"/>
      <c r="S13" s="36"/>
      <c r="T13" s="36"/>
      <c r="U13" s="36"/>
      <c r="V13" s="120"/>
      <c r="W13" s="120"/>
    </row>
    <row r="14" customFormat="false" ht="20.1" hidden="false" customHeight="true" outlineLevel="0" collapsed="false">
      <c r="B14" s="434" t="n">
        <v>9</v>
      </c>
      <c r="C14" s="434"/>
      <c r="D14" s="435" t="s">
        <v>12</v>
      </c>
      <c r="E14" s="436" t="s">
        <v>13</v>
      </c>
      <c r="F14" s="573" t="s">
        <v>13</v>
      </c>
      <c r="G14" s="573" t="s">
        <v>208</v>
      </c>
      <c r="H14" s="437" t="s">
        <v>26</v>
      </c>
      <c r="I14" s="36"/>
      <c r="J14" s="9" t="str">
        <f aca="false">D14</f>
        <v>Miriam Dirler</v>
      </c>
      <c r="K14" s="230" t="n">
        <v>3</v>
      </c>
      <c r="L14" s="12" t="n">
        <v>1</v>
      </c>
      <c r="P14" s="36"/>
      <c r="Q14" s="120"/>
      <c r="S14" s="36"/>
      <c r="T14" s="36"/>
      <c r="U14" s="36"/>
      <c r="V14" s="120"/>
      <c r="W14" s="120"/>
    </row>
    <row r="15" customFormat="false" ht="20.1" hidden="false" customHeight="true" outlineLevel="0" collapsed="false">
      <c r="B15" s="233" t="n">
        <v>10</v>
      </c>
      <c r="C15" s="233"/>
      <c r="D15" s="438" t="s">
        <v>7</v>
      </c>
      <c r="E15" s="706" t="s">
        <v>8</v>
      </c>
      <c r="F15" s="707" t="s">
        <v>8</v>
      </c>
      <c r="G15" s="438" t="s">
        <v>8</v>
      </c>
      <c r="H15" s="236" t="s">
        <v>9</v>
      </c>
      <c r="I15" s="36"/>
      <c r="J15" s="16" t="str">
        <f aca="false">D15</f>
        <v>Pauline Schätzle</v>
      </c>
      <c r="K15" s="230"/>
      <c r="L15" s="19" t="n">
        <v>2</v>
      </c>
      <c r="P15" s="36"/>
      <c r="Q15" s="120"/>
      <c r="S15" s="36"/>
      <c r="T15" s="36"/>
      <c r="U15" s="36"/>
      <c r="V15" s="120"/>
      <c r="W15" s="120"/>
    </row>
    <row r="16" customFormat="false" ht="20.1" hidden="false" customHeight="true" outlineLevel="0" collapsed="false">
      <c r="B16" s="253" t="n">
        <v>11</v>
      </c>
      <c r="C16" s="253"/>
      <c r="D16" s="708" t="s">
        <v>260</v>
      </c>
      <c r="E16" s="709" t="s">
        <v>261</v>
      </c>
      <c r="F16" s="710" t="s">
        <v>261</v>
      </c>
      <c r="G16" s="708" t="s">
        <v>208</v>
      </c>
      <c r="H16" s="256" t="s">
        <v>9</v>
      </c>
      <c r="I16" s="36"/>
      <c r="J16" s="711" t="str">
        <f aca="false">D16</f>
        <v>Daniel Zimmerman</v>
      </c>
      <c r="K16" s="230"/>
      <c r="L16" s="23" t="n">
        <v>3</v>
      </c>
      <c r="P16" s="36"/>
      <c r="Q16" s="120"/>
      <c r="S16" s="36"/>
      <c r="T16" s="36"/>
      <c r="U16" s="36"/>
      <c r="V16" s="120"/>
      <c r="W16" s="120"/>
    </row>
    <row r="17" customFormat="false" ht="20.1" hidden="false" customHeight="true" outlineLevel="0" collapsed="false">
      <c r="J17" s="678" t="s">
        <v>344</v>
      </c>
      <c r="K17" s="678"/>
      <c r="L17" s="548" t="n">
        <v>11</v>
      </c>
      <c r="P17" s="51"/>
      <c r="Q17" s="51"/>
      <c r="S17" s="51"/>
      <c r="T17" s="51"/>
      <c r="U17" s="51"/>
      <c r="V17" s="51"/>
    </row>
    <row r="18" customFormat="false" ht="15.75" hidden="false" customHeight="false" outlineLevel="0" collapsed="false">
      <c r="B18" s="3" t="s">
        <v>345</v>
      </c>
      <c r="C18" s="3"/>
      <c r="D18" s="3"/>
      <c r="E18" s="3"/>
      <c r="F18" s="3"/>
      <c r="G18" s="3"/>
      <c r="M18" s="576"/>
      <c r="N18" s="576"/>
      <c r="O18" s="576"/>
      <c r="P18" s="138"/>
      <c r="Q18" s="51"/>
      <c r="R18" s="51"/>
      <c r="T18" s="51"/>
      <c r="U18" s="51"/>
      <c r="V18" s="51"/>
      <c r="W18" s="51"/>
    </row>
    <row r="19" customFormat="false" ht="30.75" hidden="false" customHeight="true" outlineLevel="0" collapsed="false">
      <c r="B19" s="81" t="s">
        <v>215</v>
      </c>
      <c r="C19" s="81"/>
      <c r="D19" s="577" t="s">
        <v>2</v>
      </c>
      <c r="E19" s="46" t="s">
        <v>216</v>
      </c>
      <c r="F19" s="578" t="s">
        <v>203</v>
      </c>
      <c r="G19" s="579" t="s">
        <v>217</v>
      </c>
      <c r="M19" s="576"/>
      <c r="N19" s="576"/>
      <c r="O19" s="576"/>
      <c r="P19" s="138"/>
      <c r="Q19" s="51"/>
      <c r="R19" s="51"/>
      <c r="T19" s="51"/>
      <c r="U19" s="51"/>
      <c r="V19" s="51"/>
      <c r="W19" s="51"/>
    </row>
    <row r="20" customFormat="false" ht="20.1" hidden="false" customHeight="true" outlineLevel="0" collapsed="false">
      <c r="B20" s="737" t="n">
        <v>1</v>
      </c>
      <c r="C20" s="737"/>
      <c r="D20" s="7" t="s">
        <v>346</v>
      </c>
      <c r="E20" s="338" t="s">
        <v>347</v>
      </c>
      <c r="F20" s="680" t="s">
        <v>348</v>
      </c>
      <c r="G20" s="681" t="s">
        <v>208</v>
      </c>
      <c r="M20" s="576"/>
      <c r="N20" s="576"/>
      <c r="O20" s="576"/>
      <c r="P20" s="138"/>
      <c r="Q20" s="51"/>
      <c r="R20" s="51"/>
      <c r="T20" s="51"/>
      <c r="U20" s="51"/>
      <c r="V20" s="51"/>
      <c r="W20" s="51"/>
    </row>
    <row r="21" customFormat="false" ht="20.1" hidden="false" customHeight="true" outlineLevel="0" collapsed="false">
      <c r="B21" s="738" t="n">
        <v>2</v>
      </c>
      <c r="C21" s="738"/>
      <c r="D21" s="14" t="s">
        <v>10</v>
      </c>
      <c r="E21" s="304" t="s">
        <v>11</v>
      </c>
      <c r="F21" s="683" t="s">
        <v>209</v>
      </c>
      <c r="G21" s="684" t="s">
        <v>209</v>
      </c>
      <c r="M21" s="576"/>
      <c r="N21" s="576"/>
      <c r="O21" s="576"/>
      <c r="P21" s="138"/>
      <c r="Q21" s="51"/>
      <c r="R21" s="51"/>
      <c r="T21" s="51"/>
      <c r="U21" s="51"/>
      <c r="V21" s="51"/>
      <c r="W21" s="51"/>
    </row>
    <row r="22" customFormat="false" ht="20.1" hidden="false" customHeight="true" outlineLevel="0" collapsed="false">
      <c r="B22" s="739" t="n">
        <v>3</v>
      </c>
      <c r="C22" s="739"/>
      <c r="D22" s="30" t="s">
        <v>349</v>
      </c>
      <c r="E22" s="397" t="s">
        <v>350</v>
      </c>
      <c r="F22" s="686" t="s">
        <v>350</v>
      </c>
      <c r="G22" s="687" t="s">
        <v>208</v>
      </c>
      <c r="M22" s="576"/>
      <c r="N22" s="576"/>
      <c r="O22" s="576"/>
      <c r="P22" s="138"/>
      <c r="Q22" s="51"/>
      <c r="R22" s="51"/>
      <c r="T22" s="51"/>
      <c r="U22" s="51"/>
      <c r="V22" s="51"/>
      <c r="W22" s="51"/>
    </row>
    <row r="23" customFormat="false" ht="20.1" hidden="false" customHeight="true" outlineLevel="0" collapsed="false">
      <c r="D23" s="33"/>
      <c r="E23" s="33"/>
      <c r="F23" s="33"/>
      <c r="M23" s="576"/>
      <c r="N23" s="576"/>
      <c r="O23" s="576"/>
      <c r="P23" s="138"/>
      <c r="Q23" s="51"/>
      <c r="R23" s="51"/>
      <c r="T23" s="51"/>
      <c r="U23" s="51"/>
      <c r="V23" s="51"/>
      <c r="W23" s="51"/>
    </row>
    <row r="24" customFormat="false" ht="20.1" hidden="false" customHeight="true" outlineLevel="0" collapsed="false">
      <c r="B24" s="39"/>
      <c r="C24" s="39"/>
      <c r="D24" s="40"/>
      <c r="E24" s="40"/>
      <c r="F24" s="40"/>
      <c r="G24" s="40"/>
      <c r="H24" s="39"/>
      <c r="I24" s="39"/>
      <c r="J24" s="39"/>
      <c r="K24" s="39"/>
      <c r="L24" s="39"/>
      <c r="M24" s="39"/>
      <c r="N24" s="39"/>
      <c r="O24" s="39"/>
      <c r="P24" s="39"/>
      <c r="Q24" s="39"/>
      <c r="R24" s="39"/>
      <c r="S24" s="39"/>
      <c r="T24" s="39"/>
      <c r="U24" s="39"/>
    </row>
    <row r="25" customFormat="false" ht="30" hidden="false" customHeight="true" outlineLevel="0" collapsed="false">
      <c r="B25" s="39"/>
      <c r="C25" s="442" t="s">
        <v>295</v>
      </c>
      <c r="D25" s="442"/>
      <c r="E25" s="442"/>
      <c r="F25" s="442"/>
      <c r="G25" s="442"/>
      <c r="H25" s="442"/>
      <c r="I25" s="442"/>
      <c r="J25" s="442"/>
      <c r="K25" s="442"/>
      <c r="L25" s="442"/>
      <c r="M25" s="442"/>
      <c r="N25" s="442"/>
      <c r="O25" s="442"/>
      <c r="P25" s="442"/>
      <c r="Q25" s="442"/>
      <c r="R25" s="442"/>
      <c r="S25" s="442"/>
      <c r="T25" s="442"/>
      <c r="U25" s="39"/>
    </row>
    <row r="26" customFormat="false" ht="20.1" hidden="false" customHeight="true" outlineLevel="0" collapsed="false">
      <c r="B26" s="39"/>
      <c r="U26" s="39"/>
    </row>
    <row r="27" customFormat="false" ht="20.1" hidden="false" customHeight="true" outlineLevel="0" collapsed="false">
      <c r="B27" s="39"/>
      <c r="D27" s="263" t="s">
        <v>36</v>
      </c>
      <c r="E27" s="264" t="s">
        <v>218</v>
      </c>
      <c r="F27" s="294" t="s">
        <v>6</v>
      </c>
      <c r="G27" s="264" t="s">
        <v>110</v>
      </c>
      <c r="H27" s="264"/>
      <c r="I27" s="264"/>
      <c r="J27" s="264"/>
      <c r="K27" s="264" t="s">
        <v>71</v>
      </c>
      <c r="L27" s="266" t="s">
        <v>40</v>
      </c>
      <c r="M27" s="266"/>
      <c r="N27" s="266"/>
      <c r="O27" s="266"/>
      <c r="P27" s="266"/>
      <c r="Q27" s="266"/>
      <c r="R27" s="266"/>
      <c r="S27" s="266"/>
      <c r="U27" s="39"/>
    </row>
    <row r="28" customFormat="false" ht="20.1" hidden="false" customHeight="true" outlineLevel="0" collapsed="false">
      <c r="B28" s="39"/>
      <c r="D28" s="263"/>
      <c r="E28" s="264"/>
      <c r="F28" s="264"/>
      <c r="G28" s="740" t="s">
        <v>111</v>
      </c>
      <c r="H28" s="740" t="s">
        <v>41</v>
      </c>
      <c r="I28" s="384" t="s">
        <v>42</v>
      </c>
      <c r="J28" s="384"/>
      <c r="K28" s="267" t="s">
        <v>43</v>
      </c>
      <c r="L28" s="267" t="s">
        <v>111</v>
      </c>
      <c r="M28" s="268" t="s">
        <v>44</v>
      </c>
      <c r="N28" s="294" t="s">
        <v>42</v>
      </c>
      <c r="O28" s="294"/>
      <c r="P28" s="294"/>
      <c r="Q28" s="294"/>
      <c r="R28" s="294"/>
      <c r="S28" s="294"/>
      <c r="U28" s="39"/>
    </row>
    <row r="29" customFormat="false" ht="50.1" hidden="false" customHeight="true" outlineLevel="0" collapsed="false">
      <c r="B29" s="39"/>
      <c r="D29" s="6" t="s">
        <v>14</v>
      </c>
      <c r="E29" s="229" t="s">
        <v>15</v>
      </c>
      <c r="F29" s="12" t="n">
        <v>1</v>
      </c>
      <c r="G29" s="55" t="s">
        <v>152</v>
      </c>
      <c r="H29" s="673" t="s">
        <v>150</v>
      </c>
      <c r="I29" s="741" t="s">
        <v>351</v>
      </c>
      <c r="J29" s="741"/>
      <c r="K29" s="406" t="s">
        <v>50</v>
      </c>
      <c r="L29" s="585" t="s">
        <v>114</v>
      </c>
      <c r="M29" s="643" t="s">
        <v>352</v>
      </c>
      <c r="N29" s="587" t="s">
        <v>353</v>
      </c>
      <c r="O29" s="587"/>
      <c r="P29" s="587"/>
      <c r="Q29" s="587"/>
      <c r="R29" s="587"/>
      <c r="S29" s="587"/>
      <c r="U29" s="39"/>
    </row>
    <row r="30" customFormat="false" ht="35.1" hidden="false" customHeight="true" outlineLevel="0" collapsed="false">
      <c r="B30" s="39"/>
      <c r="D30" s="13" t="s">
        <v>27</v>
      </c>
      <c r="E30" s="237" t="s">
        <v>207</v>
      </c>
      <c r="F30" s="19" t="n">
        <v>2</v>
      </c>
      <c r="G30" s="742" t="s">
        <v>85</v>
      </c>
      <c r="H30" s="743" t="s">
        <v>73</v>
      </c>
      <c r="I30" s="744" t="s">
        <v>354</v>
      </c>
      <c r="J30" s="744"/>
      <c r="K30" s="411" t="s">
        <v>50</v>
      </c>
      <c r="L30" s="745" t="s">
        <v>46</v>
      </c>
      <c r="M30" s="282" t="s">
        <v>46</v>
      </c>
      <c r="N30" s="447" t="s">
        <v>46</v>
      </c>
      <c r="O30" s="447"/>
      <c r="P30" s="447"/>
      <c r="Q30" s="447"/>
      <c r="R30" s="447"/>
      <c r="S30" s="447"/>
      <c r="U30" s="39"/>
    </row>
    <row r="31" customFormat="false" ht="20.1" hidden="false" customHeight="true" outlineLevel="0" collapsed="false">
      <c r="B31" s="39"/>
      <c r="D31" s="13" t="s">
        <v>20</v>
      </c>
      <c r="E31" s="237" t="s">
        <v>21</v>
      </c>
      <c r="F31" s="19" t="n">
        <v>3</v>
      </c>
      <c r="G31" s="746" t="s">
        <v>114</v>
      </c>
      <c r="H31" s="624" t="s">
        <v>355</v>
      </c>
      <c r="I31" s="747" t="s">
        <v>46</v>
      </c>
      <c r="J31" s="747"/>
      <c r="K31" s="748" t="s">
        <v>150</v>
      </c>
      <c r="L31" s="745" t="s">
        <v>46</v>
      </c>
      <c r="M31" s="282" t="s">
        <v>46</v>
      </c>
      <c r="N31" s="449" t="s">
        <v>46</v>
      </c>
      <c r="O31" s="449"/>
      <c r="P31" s="449"/>
      <c r="Q31" s="449"/>
      <c r="R31" s="449"/>
      <c r="S31" s="449"/>
      <c r="U31" s="39"/>
    </row>
    <row r="32" customFormat="false" ht="65.1" hidden="false" customHeight="true" outlineLevel="0" collapsed="false">
      <c r="B32" s="39"/>
      <c r="D32" s="29" t="s">
        <v>16</v>
      </c>
      <c r="E32" s="240" t="s">
        <v>17</v>
      </c>
      <c r="F32" s="23" t="n">
        <v>4</v>
      </c>
      <c r="G32" s="749" t="s">
        <v>85</v>
      </c>
      <c r="H32" s="595" t="s">
        <v>356</v>
      </c>
      <c r="I32" s="750" t="s">
        <v>357</v>
      </c>
      <c r="J32" s="750"/>
      <c r="K32" s="751" t="s">
        <v>150</v>
      </c>
      <c r="L32" s="752" t="s">
        <v>46</v>
      </c>
      <c r="M32" s="291" t="s">
        <v>46</v>
      </c>
      <c r="N32" s="626" t="s">
        <v>46</v>
      </c>
      <c r="O32" s="626"/>
      <c r="P32" s="626"/>
      <c r="Q32" s="626"/>
      <c r="R32" s="626"/>
      <c r="S32" s="626"/>
      <c r="U32" s="39"/>
    </row>
    <row r="33" customFormat="false" ht="20.1" hidden="false" customHeight="true" outlineLevel="0" collapsed="false">
      <c r="B33" s="39"/>
      <c r="D33" s="36"/>
      <c r="E33" s="36"/>
      <c r="U33" s="39"/>
    </row>
    <row r="34" customFormat="false" ht="20.1" hidden="false" customHeight="true" outlineLevel="0" collapsed="false">
      <c r="B34" s="39"/>
      <c r="C34" s="76"/>
      <c r="D34" s="76"/>
      <c r="E34" s="77" t="str">
        <f aca="false">IF(OR(M29="-",M29= ""),H29,M29)</f>
        <v>Marco Polo II: Im Auftrag des Khan</v>
      </c>
      <c r="F34" s="77"/>
      <c r="G34" s="77"/>
      <c r="H34" s="77"/>
      <c r="I34" s="77"/>
      <c r="J34" s="77"/>
      <c r="K34" s="77"/>
      <c r="L34" s="77"/>
      <c r="M34" s="77"/>
      <c r="N34" s="77"/>
      <c r="O34" s="78"/>
      <c r="P34" s="78"/>
      <c r="Q34" s="78"/>
      <c r="R34" s="78"/>
      <c r="S34" s="78"/>
      <c r="T34" s="76"/>
      <c r="U34" s="39"/>
    </row>
    <row r="35" customFormat="false" ht="50.1" hidden="false" customHeight="true" outlineLevel="0" collapsed="false">
      <c r="B35" s="39"/>
      <c r="C35" s="76"/>
      <c r="D35" s="78"/>
      <c r="E35" s="263" t="s">
        <v>36</v>
      </c>
      <c r="F35" s="597" t="s">
        <v>222</v>
      </c>
      <c r="G35" s="294" t="s">
        <v>52</v>
      </c>
      <c r="H35" s="264" t="s">
        <v>223</v>
      </c>
      <c r="I35" s="81" t="s">
        <v>224</v>
      </c>
      <c r="J35" s="264" t="s">
        <v>225</v>
      </c>
      <c r="K35" s="295" t="s">
        <v>54</v>
      </c>
      <c r="L35" s="264" t="s">
        <v>55</v>
      </c>
      <c r="M35" s="296" t="s">
        <v>56</v>
      </c>
      <c r="N35" s="294" t="s">
        <v>57</v>
      </c>
      <c r="O35" s="43" t="s">
        <v>58</v>
      </c>
      <c r="P35" s="79" t="s">
        <v>59</v>
      </c>
      <c r="Q35" s="79" t="s">
        <v>60</v>
      </c>
      <c r="R35" s="79" t="s">
        <v>61</v>
      </c>
      <c r="S35" s="78"/>
      <c r="T35" s="76"/>
      <c r="U35" s="39"/>
    </row>
    <row r="36" customFormat="false" ht="20.1" hidden="false" customHeight="true" outlineLevel="0" collapsed="false">
      <c r="B36" s="39"/>
      <c r="C36" s="76"/>
      <c r="D36" s="297"/>
      <c r="E36" s="180" t="s">
        <v>14</v>
      </c>
      <c r="F36" s="521" t="s">
        <v>15</v>
      </c>
      <c r="G36" s="182" t="n">
        <v>3</v>
      </c>
      <c r="H36" s="320" t="s">
        <v>358</v>
      </c>
      <c r="I36" s="182" t="n">
        <v>0</v>
      </c>
      <c r="J36" s="182" t="n">
        <v>135</v>
      </c>
      <c r="K36" s="182" t="s">
        <v>46</v>
      </c>
      <c r="L36" s="183" t="n">
        <f aca="false">IF(J36="",0,(J36/J40)*100)</f>
        <v>100</v>
      </c>
      <c r="M36" s="182" t="n">
        <v>1</v>
      </c>
      <c r="N36" s="300" t="n">
        <v>6</v>
      </c>
      <c r="O36" s="301" t="n">
        <f aca="false">IF(M36=1,1,0)</f>
        <v>1</v>
      </c>
      <c r="P36" s="85" t="n">
        <f aca="false">IF(M36=2,1,0)</f>
        <v>0</v>
      </c>
      <c r="Q36" s="85" t="n">
        <f aca="false">IF(M36=3,1,0)</f>
        <v>0</v>
      </c>
      <c r="R36" s="84" t="n">
        <f aca="false">IF(M36=4,1,0)</f>
        <v>0</v>
      </c>
      <c r="S36" s="302"/>
      <c r="T36" s="76"/>
      <c r="U36" s="39"/>
    </row>
    <row r="37" customFormat="false" ht="20.1" hidden="false" customHeight="true" outlineLevel="0" collapsed="false">
      <c r="B37" s="39"/>
      <c r="C37" s="76"/>
      <c r="D37" s="297"/>
      <c r="E37" s="60" t="s">
        <v>27</v>
      </c>
      <c r="F37" s="622" t="s">
        <v>207</v>
      </c>
      <c r="G37" s="560" t="n">
        <v>1</v>
      </c>
      <c r="H37" s="560" t="s">
        <v>359</v>
      </c>
      <c r="I37" s="560" t="n">
        <v>0</v>
      </c>
      <c r="J37" s="560" t="n">
        <v>127</v>
      </c>
      <c r="K37" s="560" t="s">
        <v>46</v>
      </c>
      <c r="L37" s="561" t="n">
        <f aca="false">IF(J37="",0,(J37/J40)*100)</f>
        <v>94.0740740740741</v>
      </c>
      <c r="M37" s="560" t="n">
        <v>2</v>
      </c>
      <c r="N37" s="562" t="n">
        <v>3</v>
      </c>
      <c r="O37" s="305" t="n">
        <f aca="false">IF(M37=1,1,0)</f>
        <v>0</v>
      </c>
      <c r="P37" s="88" t="n">
        <f aca="false">IF(M37=2,1,0)</f>
        <v>1</v>
      </c>
      <c r="Q37" s="88" t="n">
        <f aca="false">IF(M37=3,1,0)</f>
        <v>0</v>
      </c>
      <c r="R37" s="87" t="n">
        <f aca="false">IF(M37=4,1,0)</f>
        <v>0</v>
      </c>
      <c r="S37" s="302"/>
      <c r="T37" s="76"/>
      <c r="U37" s="39"/>
    </row>
    <row r="38" customFormat="false" ht="35.1" hidden="false" customHeight="true" outlineLevel="0" collapsed="false">
      <c r="B38" s="39"/>
      <c r="C38" s="76"/>
      <c r="D38" s="297"/>
      <c r="E38" s="60" t="s">
        <v>20</v>
      </c>
      <c r="F38" s="622" t="s">
        <v>206</v>
      </c>
      <c r="G38" s="560" t="n">
        <v>4</v>
      </c>
      <c r="H38" s="328" t="s">
        <v>360</v>
      </c>
      <c r="I38" s="560" t="n">
        <v>0</v>
      </c>
      <c r="J38" s="560" t="n">
        <v>94</v>
      </c>
      <c r="K38" s="560" t="s">
        <v>46</v>
      </c>
      <c r="L38" s="561" t="n">
        <f aca="false">IF(J38="",0,(J38/J40)*100)</f>
        <v>69.6296296296296</v>
      </c>
      <c r="M38" s="560" t="n">
        <v>4</v>
      </c>
      <c r="N38" s="562" t="n">
        <v>0</v>
      </c>
      <c r="O38" s="305" t="n">
        <f aca="false">IF(M38=1,1,0)</f>
        <v>0</v>
      </c>
      <c r="P38" s="88" t="n">
        <f aca="false">IF(M38=2,1,0)</f>
        <v>0</v>
      </c>
      <c r="Q38" s="88" t="n">
        <f aca="false">IF(M38=3,1,0)</f>
        <v>0</v>
      </c>
      <c r="R38" s="87" t="n">
        <f aca="false">IF(M38=4,1,0)</f>
        <v>1</v>
      </c>
      <c r="S38" s="302"/>
      <c r="T38" s="76"/>
      <c r="U38" s="39"/>
    </row>
    <row r="39" customFormat="false" ht="20.1" hidden="false" customHeight="true" outlineLevel="0" collapsed="false">
      <c r="B39" s="39"/>
      <c r="C39" s="76"/>
      <c r="D39" s="306"/>
      <c r="E39" s="69" t="s">
        <v>16</v>
      </c>
      <c r="F39" s="546" t="s">
        <v>17</v>
      </c>
      <c r="G39" s="563" t="n">
        <v>2</v>
      </c>
      <c r="H39" s="563" t="s">
        <v>361</v>
      </c>
      <c r="I39" s="563" t="n">
        <v>0</v>
      </c>
      <c r="J39" s="563" t="n">
        <v>116</v>
      </c>
      <c r="K39" s="563" t="s">
        <v>46</v>
      </c>
      <c r="L39" s="564" t="n">
        <f aca="false">IF(J39="",0,(J39/J40)*100)</f>
        <v>85.9259259259259</v>
      </c>
      <c r="M39" s="563" t="n">
        <v>3</v>
      </c>
      <c r="N39" s="565" t="n">
        <v>1</v>
      </c>
      <c r="O39" s="310" t="n">
        <f aca="false">IF(M39=1,1,0)</f>
        <v>0</v>
      </c>
      <c r="P39" s="95" t="n">
        <f aca="false">IF(M39=2,1,0)</f>
        <v>0</v>
      </c>
      <c r="Q39" s="95" t="n">
        <f aca="false">IF(M39=3,1,0)</f>
        <v>1</v>
      </c>
      <c r="R39" s="117" t="n">
        <f aca="false">IF(M39=4,1,0)</f>
        <v>0</v>
      </c>
      <c r="S39" s="302"/>
      <c r="T39" s="76"/>
      <c r="U39" s="39"/>
    </row>
    <row r="40" customFormat="false" ht="20.1" hidden="true" customHeight="true" outlineLevel="1" collapsed="false">
      <c r="B40" s="39"/>
      <c r="C40" s="76"/>
      <c r="D40" s="311"/>
      <c r="E40" s="311"/>
      <c r="F40" s="302"/>
      <c r="G40" s="302"/>
      <c r="H40" s="76"/>
      <c r="I40" s="97" t="s">
        <v>62</v>
      </c>
      <c r="J40" s="98" t="n">
        <f aca="false">MAX(J36:J39)</f>
        <v>135</v>
      </c>
      <c r="K40" s="314"/>
      <c r="L40" s="313"/>
      <c r="M40" s="76"/>
      <c r="N40" s="333" t="s">
        <v>63</v>
      </c>
      <c r="O40" s="102" t="n">
        <f aca="false">SUM(O36:O39)</f>
        <v>1</v>
      </c>
      <c r="P40" s="103" t="n">
        <f aca="false">SUM(P36:P39)</f>
        <v>1</v>
      </c>
      <c r="Q40" s="102" t="n">
        <f aca="false">SUM(Q36:Q39)</f>
        <v>1</v>
      </c>
      <c r="R40" s="102" t="n">
        <f aca="false">SUM(R36:R39)</f>
        <v>1</v>
      </c>
      <c r="S40" s="316"/>
      <c r="T40" s="76"/>
      <c r="U40" s="39"/>
    </row>
    <row r="41" customFormat="false" ht="20.1" hidden="false" customHeight="true" outlineLevel="0" collapsed="false">
      <c r="B41" s="39"/>
      <c r="C41" s="76"/>
      <c r="D41" s="105"/>
      <c r="E41" s="105"/>
      <c r="F41" s="106"/>
      <c r="G41" s="106"/>
      <c r="H41" s="78"/>
      <c r="I41" s="76"/>
      <c r="J41" s="76"/>
      <c r="K41" s="76"/>
      <c r="L41" s="76"/>
      <c r="M41" s="76"/>
      <c r="N41" s="76"/>
      <c r="O41" s="76"/>
      <c r="P41" s="76"/>
      <c r="Q41" s="76"/>
      <c r="R41" s="76"/>
      <c r="S41" s="76"/>
      <c r="T41" s="76"/>
      <c r="U41" s="39"/>
    </row>
    <row r="42" customFormat="false" ht="20.1" hidden="false" customHeight="true" outlineLevel="0" collapsed="false">
      <c r="B42" s="39"/>
      <c r="U42" s="39"/>
    </row>
    <row r="43" customFormat="false" ht="20.1" hidden="false" customHeight="true" outlineLevel="0" collapsed="false">
      <c r="B43" s="39"/>
      <c r="C43" s="107"/>
      <c r="D43" s="107"/>
      <c r="E43" s="108" t="str">
        <f aca="false">IF(OR(M30="-",M30= ""),H30,M30)</f>
        <v>Die Burgen von 
Burgund</v>
      </c>
      <c r="F43" s="108"/>
      <c r="G43" s="108"/>
      <c r="H43" s="108"/>
      <c r="I43" s="108"/>
      <c r="J43" s="108"/>
      <c r="K43" s="108"/>
      <c r="L43" s="108"/>
      <c r="M43" s="108"/>
      <c r="N43" s="108"/>
      <c r="O43" s="109"/>
      <c r="P43" s="109"/>
      <c r="Q43" s="109"/>
      <c r="R43" s="109"/>
      <c r="S43" s="109"/>
      <c r="T43" s="107"/>
      <c r="U43" s="39"/>
    </row>
    <row r="44" customFormat="false" ht="50.1" hidden="false" customHeight="true" outlineLevel="0" collapsed="false">
      <c r="B44" s="39"/>
      <c r="C44" s="107"/>
      <c r="D44" s="109"/>
      <c r="E44" s="263" t="s">
        <v>36</v>
      </c>
      <c r="F44" s="597" t="s">
        <v>222</v>
      </c>
      <c r="G44" s="294" t="s">
        <v>52</v>
      </c>
      <c r="H44" s="264" t="s">
        <v>223</v>
      </c>
      <c r="I44" s="81" t="s">
        <v>224</v>
      </c>
      <c r="J44" s="264" t="s">
        <v>225</v>
      </c>
      <c r="K44" s="295" t="s">
        <v>54</v>
      </c>
      <c r="L44" s="264" t="s">
        <v>55</v>
      </c>
      <c r="M44" s="296" t="s">
        <v>56</v>
      </c>
      <c r="N44" s="294" t="s">
        <v>57</v>
      </c>
      <c r="O44" s="43" t="s">
        <v>58</v>
      </c>
      <c r="P44" s="79" t="s">
        <v>59</v>
      </c>
      <c r="Q44" s="79" t="s">
        <v>60</v>
      </c>
      <c r="R44" s="79" t="s">
        <v>61</v>
      </c>
      <c r="S44" s="109"/>
      <c r="T44" s="107"/>
      <c r="U44" s="39"/>
    </row>
    <row r="45" customFormat="false" ht="20.1" hidden="false" customHeight="true" outlineLevel="0" collapsed="false">
      <c r="B45" s="39"/>
      <c r="C45" s="107"/>
      <c r="D45" s="319"/>
      <c r="E45" s="52" t="s">
        <v>14</v>
      </c>
      <c r="F45" s="528" t="s">
        <v>15</v>
      </c>
      <c r="G45" s="557" t="n">
        <v>3</v>
      </c>
      <c r="H45" s="753" t="s">
        <v>311</v>
      </c>
      <c r="I45" s="557" t="n">
        <v>0</v>
      </c>
      <c r="J45" s="753" t="n">
        <v>222</v>
      </c>
      <c r="K45" s="753" t="s">
        <v>46</v>
      </c>
      <c r="L45" s="558" t="n">
        <f aca="false">IF(J45="",0,(J45/J49)*100)</f>
        <v>99.1071428571429</v>
      </c>
      <c r="M45" s="557" t="n">
        <v>2</v>
      </c>
      <c r="N45" s="559" t="n">
        <v>3</v>
      </c>
      <c r="O45" s="301" t="n">
        <f aca="false">IF(M45=1,1,0)</f>
        <v>0</v>
      </c>
      <c r="P45" s="85" t="n">
        <f aca="false">IF(M45=2,1,0)</f>
        <v>1</v>
      </c>
      <c r="Q45" s="85" t="n">
        <f aca="false">IF(M45=3,1,0)</f>
        <v>0</v>
      </c>
      <c r="R45" s="84" t="n">
        <f aca="false">IF(M45=4,1,0)</f>
        <v>0</v>
      </c>
      <c r="S45" s="322"/>
      <c r="T45" s="107"/>
      <c r="U45" s="39"/>
    </row>
    <row r="46" customFormat="false" ht="20.1" hidden="false" customHeight="true" outlineLevel="0" collapsed="false">
      <c r="B46" s="39"/>
      <c r="C46" s="107"/>
      <c r="D46" s="323"/>
      <c r="E46" s="60" t="s">
        <v>27</v>
      </c>
      <c r="F46" s="622" t="s">
        <v>207</v>
      </c>
      <c r="G46" s="560" t="n">
        <v>1</v>
      </c>
      <c r="H46" s="328" t="s">
        <v>311</v>
      </c>
      <c r="I46" s="560" t="n">
        <v>0</v>
      </c>
      <c r="J46" s="328" t="n">
        <v>197</v>
      </c>
      <c r="K46" s="328" t="s">
        <v>46</v>
      </c>
      <c r="L46" s="561" t="n">
        <f aca="false">IF(J46="",0,(J46/J49)*100)</f>
        <v>87.9464285714286</v>
      </c>
      <c r="M46" s="560" t="n">
        <v>4</v>
      </c>
      <c r="N46" s="562" t="n">
        <v>0</v>
      </c>
      <c r="O46" s="305" t="n">
        <f aca="false">IF(M46=1,1,0)</f>
        <v>0</v>
      </c>
      <c r="P46" s="88" t="n">
        <f aca="false">IF(M46=2,1,0)</f>
        <v>0</v>
      </c>
      <c r="Q46" s="88" t="n">
        <f aca="false">IF(M46=3,1,0)</f>
        <v>0</v>
      </c>
      <c r="R46" s="87" t="n">
        <f aca="false">IF(M46=4,1,0)</f>
        <v>1</v>
      </c>
      <c r="S46" s="322"/>
      <c r="T46" s="107"/>
      <c r="U46" s="39"/>
    </row>
    <row r="47" customFormat="false" ht="20.1" hidden="false" customHeight="true" outlineLevel="0" collapsed="false">
      <c r="B47" s="39"/>
      <c r="C47" s="107"/>
      <c r="D47" s="319"/>
      <c r="E47" s="60" t="s">
        <v>20</v>
      </c>
      <c r="F47" s="622" t="s">
        <v>21</v>
      </c>
      <c r="G47" s="560" t="n">
        <v>4</v>
      </c>
      <c r="H47" s="328" t="s">
        <v>311</v>
      </c>
      <c r="I47" s="560" t="n">
        <v>0</v>
      </c>
      <c r="J47" s="328" t="n">
        <v>219</v>
      </c>
      <c r="K47" s="328" t="s">
        <v>46</v>
      </c>
      <c r="L47" s="561" t="n">
        <f aca="false">IF(J47="",0,(J47/J49)*100)</f>
        <v>97.7678571428571</v>
      </c>
      <c r="M47" s="560" t="n">
        <v>3</v>
      </c>
      <c r="N47" s="562" t="n">
        <v>1</v>
      </c>
      <c r="O47" s="305" t="n">
        <f aca="false">IF(M47=1,1,0)</f>
        <v>0</v>
      </c>
      <c r="P47" s="88" t="n">
        <f aca="false">IF(M47=2,1,0)</f>
        <v>0</v>
      </c>
      <c r="Q47" s="88" t="n">
        <f aca="false">IF(M47=3,1,0)</f>
        <v>1</v>
      </c>
      <c r="R47" s="87" t="n">
        <f aca="false">IF(M47=4,1,0)</f>
        <v>0</v>
      </c>
      <c r="S47" s="322"/>
      <c r="T47" s="107"/>
      <c r="U47" s="39"/>
    </row>
    <row r="48" customFormat="false" ht="20.1" hidden="false" customHeight="true" outlineLevel="0" collapsed="false">
      <c r="B48" s="39"/>
      <c r="C48" s="107"/>
      <c r="D48" s="319"/>
      <c r="E48" s="89" t="s">
        <v>16</v>
      </c>
      <c r="F48" s="599" t="s">
        <v>17</v>
      </c>
      <c r="G48" s="91" t="n">
        <v>2</v>
      </c>
      <c r="H48" s="393" t="s">
        <v>311</v>
      </c>
      <c r="I48" s="91" t="n">
        <v>0</v>
      </c>
      <c r="J48" s="393" t="n">
        <v>224</v>
      </c>
      <c r="K48" s="91" t="s">
        <v>46</v>
      </c>
      <c r="L48" s="92" t="n">
        <f aca="false">IF(J48="",0,(J48/J49)*100)</f>
        <v>100</v>
      </c>
      <c r="M48" s="91" t="n">
        <v>1</v>
      </c>
      <c r="N48" s="394" t="n">
        <v>6</v>
      </c>
      <c r="O48" s="310" t="n">
        <f aca="false">IF(M48=1,1,0)</f>
        <v>1</v>
      </c>
      <c r="P48" s="95" t="n">
        <f aca="false">IF(M48=2,1,0)</f>
        <v>0</v>
      </c>
      <c r="Q48" s="95" t="n">
        <f aca="false">IF(M48=3,1,0)</f>
        <v>0</v>
      </c>
      <c r="R48" s="117" t="n">
        <f aca="false">IF(M48=4,1,0)</f>
        <v>0</v>
      </c>
      <c r="S48" s="322"/>
      <c r="T48" s="107"/>
      <c r="U48" s="39"/>
    </row>
    <row r="49" customFormat="false" ht="20.1" hidden="true" customHeight="true" outlineLevel="1" collapsed="false">
      <c r="B49" s="39"/>
      <c r="C49" s="107"/>
      <c r="D49" s="319"/>
      <c r="E49" s="319"/>
      <c r="F49" s="109"/>
      <c r="G49" s="109"/>
      <c r="H49" s="107"/>
      <c r="I49" s="331" t="s">
        <v>62</v>
      </c>
      <c r="J49" s="98" t="n">
        <f aca="false">MAX(J45:J48)</f>
        <v>224</v>
      </c>
      <c r="K49" s="332"/>
      <c r="L49" s="322"/>
      <c r="M49" s="107"/>
      <c r="N49" s="333" t="s">
        <v>63</v>
      </c>
      <c r="O49" s="102" t="n">
        <f aca="false">SUM(O45:O48)</f>
        <v>1</v>
      </c>
      <c r="P49" s="103" t="n">
        <f aca="false">SUM(P45:P48)</f>
        <v>1</v>
      </c>
      <c r="Q49" s="102" t="n">
        <f aca="false">SUM(Q45:Q48)</f>
        <v>1</v>
      </c>
      <c r="R49" s="104" t="n">
        <f aca="false">SUM(R45:R48)</f>
        <v>1</v>
      </c>
      <c r="S49" s="334"/>
      <c r="T49" s="107"/>
      <c r="U49" s="39"/>
    </row>
    <row r="50" customFormat="false" ht="20.1" hidden="false" customHeight="true" outlineLevel="0" collapsed="false">
      <c r="B50" s="39"/>
      <c r="C50" s="107"/>
      <c r="D50" s="123"/>
      <c r="E50" s="123"/>
      <c r="F50" s="107"/>
      <c r="G50" s="107"/>
      <c r="H50" s="107"/>
      <c r="I50" s="107"/>
      <c r="J50" s="107"/>
      <c r="K50" s="107"/>
      <c r="L50" s="107"/>
      <c r="M50" s="107"/>
      <c r="N50" s="107"/>
      <c r="O50" s="107"/>
      <c r="P50" s="107"/>
      <c r="Q50" s="107"/>
      <c r="R50" s="107"/>
      <c r="S50" s="107"/>
      <c r="T50" s="107"/>
      <c r="U50" s="39"/>
    </row>
    <row r="51" customFormat="false" ht="20.1" hidden="false" customHeight="true" outlineLevel="0" collapsed="false">
      <c r="B51" s="39"/>
      <c r="D51" s="124"/>
      <c r="E51" s="124"/>
      <c r="F51" s="124"/>
      <c r="G51" s="124"/>
      <c r="H51" s="125"/>
      <c r="I51" s="124"/>
      <c r="J51" s="124"/>
      <c r="K51" s="36"/>
      <c r="L51" s="36"/>
      <c r="M51" s="36"/>
      <c r="N51" s="36"/>
      <c r="O51" s="36"/>
      <c r="P51" s="36"/>
      <c r="Q51" s="36"/>
      <c r="R51" s="36"/>
      <c r="S51" s="36"/>
      <c r="U51" s="39"/>
    </row>
    <row r="52" customFormat="false" ht="20.1" hidden="false" customHeight="true" outlineLevel="0" collapsed="false">
      <c r="B52" s="39"/>
      <c r="C52" s="126"/>
      <c r="D52" s="126"/>
      <c r="E52" s="127" t="str">
        <f aca="false">IF(OR(M31="-",M31= ""),H31,M31)</f>
        <v>Russian Railroads</v>
      </c>
      <c r="F52" s="127"/>
      <c r="G52" s="127"/>
      <c r="H52" s="127"/>
      <c r="I52" s="127"/>
      <c r="J52" s="127"/>
      <c r="K52" s="127"/>
      <c r="L52" s="127"/>
      <c r="M52" s="127"/>
      <c r="N52" s="127"/>
      <c r="O52" s="128"/>
      <c r="P52" s="128"/>
      <c r="Q52" s="128"/>
      <c r="R52" s="128"/>
      <c r="S52" s="128"/>
      <c r="T52" s="126"/>
      <c r="U52" s="129"/>
      <c r="V52" s="130"/>
      <c r="W52" s="130"/>
    </row>
    <row r="53" customFormat="false" ht="50.1" hidden="false" customHeight="true" outlineLevel="0" collapsed="false">
      <c r="B53" s="39"/>
      <c r="C53" s="126"/>
      <c r="D53" s="128"/>
      <c r="E53" s="263" t="s">
        <v>36</v>
      </c>
      <c r="F53" s="597" t="s">
        <v>222</v>
      </c>
      <c r="G53" s="294" t="s">
        <v>52</v>
      </c>
      <c r="H53" s="264" t="s">
        <v>223</v>
      </c>
      <c r="I53" s="81" t="s">
        <v>224</v>
      </c>
      <c r="J53" s="264" t="s">
        <v>225</v>
      </c>
      <c r="K53" s="295" t="s">
        <v>54</v>
      </c>
      <c r="L53" s="264" t="s">
        <v>55</v>
      </c>
      <c r="M53" s="296" t="s">
        <v>56</v>
      </c>
      <c r="N53" s="294" t="s">
        <v>57</v>
      </c>
      <c r="O53" s="43" t="s">
        <v>58</v>
      </c>
      <c r="P53" s="79" t="s">
        <v>59</v>
      </c>
      <c r="Q53" s="79" t="s">
        <v>60</v>
      </c>
      <c r="R53" s="82" t="s">
        <v>61</v>
      </c>
      <c r="S53" s="128"/>
      <c r="T53" s="126"/>
      <c r="U53" s="129"/>
      <c r="V53" s="130"/>
      <c r="W53" s="130"/>
    </row>
    <row r="54" customFormat="false" ht="20.1" hidden="false" customHeight="true" outlineLevel="0" collapsed="false">
      <c r="B54" s="39"/>
      <c r="C54" s="126"/>
      <c r="D54" s="336"/>
      <c r="E54" s="180" t="s">
        <v>14</v>
      </c>
      <c r="F54" s="521" t="s">
        <v>15</v>
      </c>
      <c r="G54" s="182" t="n">
        <v>1</v>
      </c>
      <c r="H54" s="320" t="s">
        <v>46</v>
      </c>
      <c r="I54" s="182" t="n">
        <v>0</v>
      </c>
      <c r="J54" s="712" t="n">
        <v>418</v>
      </c>
      <c r="K54" s="182" t="s">
        <v>46</v>
      </c>
      <c r="L54" s="183" t="n">
        <f aca="false">IF(J54="",0,(J54/J58)*100)</f>
        <v>100</v>
      </c>
      <c r="M54" s="182" t="n">
        <v>1</v>
      </c>
      <c r="N54" s="300" t="n">
        <v>6</v>
      </c>
      <c r="O54" s="301" t="n">
        <f aca="false">IF(M54=1,1,0)</f>
        <v>1</v>
      </c>
      <c r="P54" s="85" t="n">
        <f aca="false">IF(M54=2,1,0)</f>
        <v>0</v>
      </c>
      <c r="Q54" s="85" t="n">
        <f aca="false">IF(M54=3,1,0)</f>
        <v>0</v>
      </c>
      <c r="R54" s="84" t="n">
        <f aca="false">IF(M54=4,1,0)</f>
        <v>0</v>
      </c>
      <c r="S54" s="339"/>
      <c r="T54" s="126"/>
      <c r="U54" s="131"/>
      <c r="V54" s="36"/>
      <c r="W54" s="36"/>
    </row>
    <row r="55" customFormat="false" ht="20.1" hidden="false" customHeight="true" outlineLevel="0" collapsed="false">
      <c r="B55" s="39"/>
      <c r="C55" s="126"/>
      <c r="D55" s="340"/>
      <c r="E55" s="60" t="s">
        <v>27</v>
      </c>
      <c r="F55" s="622" t="s">
        <v>207</v>
      </c>
      <c r="G55" s="560" t="n">
        <v>4</v>
      </c>
      <c r="H55" s="560" t="s">
        <v>46</v>
      </c>
      <c r="I55" s="560" t="n">
        <v>0</v>
      </c>
      <c r="J55" s="754" t="n">
        <v>376</v>
      </c>
      <c r="K55" s="560" t="s">
        <v>46</v>
      </c>
      <c r="L55" s="561" t="n">
        <f aca="false">IF(J55="",0,(J55/J58)*100)</f>
        <v>89.9521531100478</v>
      </c>
      <c r="M55" s="560" t="n">
        <v>4</v>
      </c>
      <c r="N55" s="562"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60" t="s">
        <v>20</v>
      </c>
      <c r="F56" s="622" t="s">
        <v>206</v>
      </c>
      <c r="G56" s="560" t="n">
        <v>2</v>
      </c>
      <c r="H56" s="328" t="s">
        <v>46</v>
      </c>
      <c r="I56" s="560" t="n">
        <v>0</v>
      </c>
      <c r="J56" s="754" t="n">
        <v>396</v>
      </c>
      <c r="K56" s="560" t="s">
        <v>46</v>
      </c>
      <c r="L56" s="561" t="n">
        <f aca="false">IF(J56="",0,(J56/J58)*100)</f>
        <v>94.7368421052632</v>
      </c>
      <c r="M56" s="560" t="n">
        <v>3</v>
      </c>
      <c r="N56" s="562" t="n">
        <v>1</v>
      </c>
      <c r="O56" s="305" t="n">
        <f aca="false">IF(M56=1,1,0)</f>
        <v>0</v>
      </c>
      <c r="P56" s="88" t="n">
        <f aca="false">IF(M56=2,1,0)</f>
        <v>0</v>
      </c>
      <c r="Q56" s="88" t="n">
        <f aca="false">IF(M56=3,1,0)</f>
        <v>1</v>
      </c>
      <c r="R56" s="87" t="n">
        <f aca="false">IF(M56=4,1,0)</f>
        <v>0</v>
      </c>
      <c r="S56" s="339"/>
      <c r="T56" s="126"/>
      <c r="U56" s="132"/>
      <c r="V56" s="36"/>
      <c r="W56" s="36"/>
    </row>
    <row r="57" customFormat="false" ht="20.1" hidden="false" customHeight="true" outlineLevel="0" collapsed="false">
      <c r="B57" s="39"/>
      <c r="C57" s="126"/>
      <c r="D57" s="336"/>
      <c r="E57" s="69" t="s">
        <v>16</v>
      </c>
      <c r="F57" s="546" t="s">
        <v>17</v>
      </c>
      <c r="G57" s="563" t="n">
        <v>3</v>
      </c>
      <c r="H57" s="329" t="s">
        <v>46</v>
      </c>
      <c r="I57" s="563" t="n">
        <v>0</v>
      </c>
      <c r="J57" s="755" t="n">
        <v>406</v>
      </c>
      <c r="K57" s="563" t="s">
        <v>46</v>
      </c>
      <c r="L57" s="564" t="n">
        <f aca="false">IF(J57="",0,(J57/J58)*100)</f>
        <v>97.1291866028708</v>
      </c>
      <c r="M57" s="563" t="n">
        <v>2</v>
      </c>
      <c r="N57" s="565" t="n">
        <v>3</v>
      </c>
      <c r="O57" s="310" t="n">
        <f aca="false">IF(M57=1,1,0)</f>
        <v>0</v>
      </c>
      <c r="P57" s="95" t="n">
        <f aca="false">IF(M57=2,1,0)</f>
        <v>1</v>
      </c>
      <c r="Q57" s="95" t="n">
        <f aca="false">IF(M57=3,1,0)</f>
        <v>0</v>
      </c>
      <c r="R57" s="117" t="n">
        <f aca="false">IF(M57=4,1,0)</f>
        <v>0</v>
      </c>
      <c r="S57" s="339"/>
      <c r="T57" s="126"/>
      <c r="U57" s="132"/>
      <c r="V57" s="36"/>
      <c r="W57" s="36"/>
    </row>
    <row r="58" customFormat="false" ht="20.1" hidden="true" customHeight="true" outlineLevel="1" collapsed="false">
      <c r="B58" s="39"/>
      <c r="C58" s="126"/>
      <c r="D58" s="336"/>
      <c r="E58" s="336"/>
      <c r="F58" s="339"/>
      <c r="G58" s="339"/>
      <c r="H58" s="126"/>
      <c r="I58" s="345" t="s">
        <v>62</v>
      </c>
      <c r="J58" s="98" t="n">
        <f aca="false">MAX(J54:J57)</f>
        <v>418</v>
      </c>
      <c r="K58" s="346"/>
      <c r="L58" s="339"/>
      <c r="M58" s="126"/>
      <c r="N58" s="333" t="s">
        <v>63</v>
      </c>
      <c r="O58" s="102" t="n">
        <f aca="false">SUM(O54:O57)</f>
        <v>1</v>
      </c>
      <c r="P58" s="103" t="n">
        <f aca="false">SUM(P54:P57)</f>
        <v>1</v>
      </c>
      <c r="Q58" s="102" t="n">
        <f aca="false">SUM(Q54:Q57)</f>
        <v>1</v>
      </c>
      <c r="R58" s="104" t="n">
        <f aca="false">SUM(R54:R57)</f>
        <v>1</v>
      </c>
      <c r="S58" s="347"/>
      <c r="T58" s="126"/>
      <c r="U58" s="132"/>
      <c r="V58" s="36"/>
      <c r="W58" s="36"/>
    </row>
    <row r="59" customFormat="false" ht="20.1" hidden="false" customHeight="true" outlineLevel="0" collapsed="false">
      <c r="B59" s="39"/>
      <c r="C59" s="126"/>
      <c r="D59" s="133"/>
      <c r="E59" s="133"/>
      <c r="F59" s="126"/>
      <c r="G59" s="126"/>
      <c r="H59" s="126"/>
      <c r="I59" s="126"/>
      <c r="J59" s="126"/>
      <c r="K59" s="126"/>
      <c r="L59" s="126"/>
      <c r="M59" s="126"/>
      <c r="N59" s="126"/>
      <c r="O59" s="126"/>
      <c r="P59" s="126"/>
      <c r="Q59" s="126"/>
      <c r="R59" s="126"/>
      <c r="S59" s="126"/>
      <c r="T59" s="126"/>
      <c r="U59" s="132"/>
      <c r="V59" s="36"/>
      <c r="W59" s="36"/>
    </row>
    <row r="60" customFormat="false" ht="20.1" hidden="false" customHeight="true" outlineLevel="0" collapsed="false">
      <c r="B60" s="39"/>
      <c r="D60" s="124"/>
      <c r="E60" s="124"/>
      <c r="F60" s="124"/>
      <c r="G60" s="124"/>
      <c r="H60" s="125"/>
      <c r="I60" s="124"/>
      <c r="J60" s="124"/>
      <c r="K60" s="124"/>
      <c r="L60" s="36"/>
      <c r="M60" s="36"/>
      <c r="N60" s="36"/>
      <c r="O60" s="36"/>
      <c r="P60" s="36"/>
      <c r="Q60" s="36"/>
      <c r="R60" s="36"/>
      <c r="S60" s="36"/>
      <c r="U60" s="131"/>
      <c r="V60" s="36"/>
      <c r="W60" s="36"/>
    </row>
    <row r="61" customFormat="false" ht="20.1" hidden="false" customHeight="true" outlineLevel="0" collapsed="false">
      <c r="B61" s="39"/>
      <c r="C61" s="134"/>
      <c r="D61" s="134"/>
      <c r="E61" s="135" t="str">
        <f aca="false">IF(OR(M32="-",M32= ""),H32,M32)</f>
        <v>Thunderstone</v>
      </c>
      <c r="F61" s="135"/>
      <c r="G61" s="135"/>
      <c r="H61" s="135"/>
      <c r="I61" s="135"/>
      <c r="J61" s="135"/>
      <c r="K61" s="135"/>
      <c r="L61" s="135"/>
      <c r="M61" s="135"/>
      <c r="N61" s="135"/>
      <c r="O61" s="136"/>
      <c r="P61" s="136"/>
      <c r="Q61" s="136"/>
      <c r="R61" s="136"/>
      <c r="S61" s="136"/>
      <c r="T61" s="134"/>
      <c r="U61" s="39"/>
    </row>
    <row r="62" customFormat="false" ht="50.1" hidden="false" customHeight="true" outlineLevel="0" collapsed="false">
      <c r="B62" s="39"/>
      <c r="C62" s="134"/>
      <c r="D62" s="136"/>
      <c r="E62" s="263" t="s">
        <v>36</v>
      </c>
      <c r="F62" s="597" t="s">
        <v>222</v>
      </c>
      <c r="G62" s="294" t="s">
        <v>52</v>
      </c>
      <c r="H62" s="264" t="s">
        <v>223</v>
      </c>
      <c r="I62" s="81" t="s">
        <v>224</v>
      </c>
      <c r="J62" s="264" t="s">
        <v>225</v>
      </c>
      <c r="K62" s="295" t="s">
        <v>54</v>
      </c>
      <c r="L62" s="264" t="s">
        <v>55</v>
      </c>
      <c r="M62" s="296" t="s">
        <v>56</v>
      </c>
      <c r="N62" s="294" t="s">
        <v>57</v>
      </c>
      <c r="O62" s="43" t="s">
        <v>58</v>
      </c>
      <c r="P62" s="79" t="s">
        <v>59</v>
      </c>
      <c r="Q62" s="79" t="s">
        <v>60</v>
      </c>
      <c r="R62" s="82" t="s">
        <v>61</v>
      </c>
      <c r="S62" s="136"/>
      <c r="T62" s="134"/>
      <c r="U62" s="39"/>
    </row>
    <row r="63" customFormat="false" ht="20.1" hidden="false" customHeight="true" outlineLevel="0" collapsed="false">
      <c r="B63" s="39"/>
      <c r="C63" s="134"/>
      <c r="D63" s="349"/>
      <c r="E63" s="180" t="s">
        <v>14</v>
      </c>
      <c r="F63" s="521" t="s">
        <v>15</v>
      </c>
      <c r="G63" s="182" t="n">
        <v>2</v>
      </c>
      <c r="H63" s="320" t="s">
        <v>46</v>
      </c>
      <c r="I63" s="182" t="n">
        <v>0</v>
      </c>
      <c r="J63" s="182" t="n">
        <v>30</v>
      </c>
      <c r="K63" s="182" t="s">
        <v>46</v>
      </c>
      <c r="L63" s="183" t="n">
        <f aca="false">IF(J63="",0,(J63/J67)*100)</f>
        <v>100</v>
      </c>
      <c r="M63" s="182" t="n">
        <v>1</v>
      </c>
      <c r="N63" s="300" t="n">
        <v>6</v>
      </c>
      <c r="O63" s="301" t="n">
        <f aca="false">IF(M63=1,1,0)</f>
        <v>1</v>
      </c>
      <c r="P63" s="85" t="n">
        <f aca="false">IF(M63=2,1,0)</f>
        <v>0</v>
      </c>
      <c r="Q63" s="85" t="n">
        <f aca="false">IF(M63=3,1,0)</f>
        <v>0</v>
      </c>
      <c r="R63" s="84" t="n">
        <f aca="false">IF(M63=4,1,0)</f>
        <v>0</v>
      </c>
      <c r="S63" s="350"/>
      <c r="T63" s="134"/>
      <c r="U63" s="39"/>
    </row>
    <row r="64" customFormat="false" ht="20.1" hidden="false" customHeight="true" outlineLevel="0" collapsed="false">
      <c r="B64" s="39"/>
      <c r="C64" s="134"/>
      <c r="D64" s="349"/>
      <c r="E64" s="60" t="s">
        <v>27</v>
      </c>
      <c r="F64" s="622" t="s">
        <v>207</v>
      </c>
      <c r="G64" s="560" t="n">
        <v>4</v>
      </c>
      <c r="H64" s="560" t="s">
        <v>46</v>
      </c>
      <c r="I64" s="560" t="n">
        <v>0</v>
      </c>
      <c r="J64" s="560" t="n">
        <v>28</v>
      </c>
      <c r="K64" s="560" t="s">
        <v>46</v>
      </c>
      <c r="L64" s="561" t="n">
        <f aca="false">IF(J64="",0,(J64/J67)*100)</f>
        <v>93.3333333333333</v>
      </c>
      <c r="M64" s="560" t="n">
        <v>2</v>
      </c>
      <c r="N64" s="562" t="n">
        <v>3</v>
      </c>
      <c r="O64" s="305" t="n">
        <f aca="false">IF(M64=1,1,0)</f>
        <v>0</v>
      </c>
      <c r="P64" s="88" t="n">
        <f aca="false">IF(M64=2,1,0)</f>
        <v>1</v>
      </c>
      <c r="Q64" s="88" t="n">
        <f aca="false">IF(M64=3,1,0)</f>
        <v>0</v>
      </c>
      <c r="R64" s="87" t="n">
        <f aca="false">IF(M64=4,1,0)</f>
        <v>0</v>
      </c>
      <c r="S64" s="350"/>
      <c r="T64" s="134"/>
      <c r="U64" s="39"/>
    </row>
    <row r="65" customFormat="false" ht="20.1" hidden="false" customHeight="true" outlineLevel="0" collapsed="false">
      <c r="B65" s="39"/>
      <c r="C65" s="134"/>
      <c r="D65" s="349"/>
      <c r="E65" s="60" t="s">
        <v>20</v>
      </c>
      <c r="F65" s="622" t="s">
        <v>21</v>
      </c>
      <c r="G65" s="560" t="n">
        <v>3</v>
      </c>
      <c r="H65" s="560" t="s">
        <v>46</v>
      </c>
      <c r="I65" s="560" t="n">
        <v>0</v>
      </c>
      <c r="J65" s="560" t="n">
        <v>26</v>
      </c>
      <c r="K65" s="560" t="s">
        <v>46</v>
      </c>
      <c r="L65" s="561" t="n">
        <f aca="false">IF(J65="",0,(J65/J67)*100)</f>
        <v>86.6666666666667</v>
      </c>
      <c r="M65" s="560" t="n">
        <v>3</v>
      </c>
      <c r="N65" s="562" t="n">
        <v>1</v>
      </c>
      <c r="O65" s="305" t="n">
        <f aca="false">IF(M65=1,1,0)</f>
        <v>0</v>
      </c>
      <c r="P65" s="88" t="n">
        <f aca="false">IF(M65=2,1,0)</f>
        <v>0</v>
      </c>
      <c r="Q65" s="88" t="n">
        <f aca="false">IF(M65=3,1,0)</f>
        <v>1</v>
      </c>
      <c r="R65" s="87" t="n">
        <f aca="false">IF(M65=4,1,0)</f>
        <v>0</v>
      </c>
      <c r="S65" s="350"/>
      <c r="T65" s="134"/>
      <c r="U65" s="39"/>
    </row>
    <row r="66" customFormat="false" ht="20.1" hidden="false" customHeight="true" outlineLevel="0" collapsed="false">
      <c r="B66" s="39"/>
      <c r="C66" s="134"/>
      <c r="D66" s="351"/>
      <c r="E66" s="69" t="s">
        <v>16</v>
      </c>
      <c r="F66" s="546" t="s">
        <v>17</v>
      </c>
      <c r="G66" s="563" t="n">
        <v>1</v>
      </c>
      <c r="H66" s="563" t="s">
        <v>46</v>
      </c>
      <c r="I66" s="563" t="n">
        <v>0</v>
      </c>
      <c r="J66" s="563" t="n">
        <v>24</v>
      </c>
      <c r="K66" s="563" t="s">
        <v>46</v>
      </c>
      <c r="L66" s="564" t="n">
        <f aca="false">IF(J66="",0,(J66/J67)*100)</f>
        <v>80</v>
      </c>
      <c r="M66" s="563" t="n">
        <v>4</v>
      </c>
      <c r="N66" s="565" t="n">
        <v>0</v>
      </c>
      <c r="O66" s="310" t="n">
        <f aca="false">IF(M66=1,1,0)</f>
        <v>0</v>
      </c>
      <c r="P66" s="95" t="n">
        <f aca="false">IF(M66=2,1,0)</f>
        <v>0</v>
      </c>
      <c r="Q66" s="95" t="n">
        <f aca="false">IF(M66=3,1,0)</f>
        <v>0</v>
      </c>
      <c r="R66" s="117" t="n">
        <f aca="false">IF(M66=4,1,0)</f>
        <v>1</v>
      </c>
      <c r="S66" s="350"/>
      <c r="T66" s="134"/>
      <c r="U66" s="39"/>
    </row>
    <row r="67" customFormat="false" ht="20.1" hidden="true" customHeight="true" outlineLevel="1" collapsed="false">
      <c r="B67" s="39"/>
      <c r="C67" s="134"/>
      <c r="D67" s="349"/>
      <c r="E67" s="349"/>
      <c r="F67" s="350"/>
      <c r="G67" s="350"/>
      <c r="H67" s="134"/>
      <c r="I67" s="331" t="s">
        <v>62</v>
      </c>
      <c r="J67" s="98" t="n">
        <f aca="false">MAX(J63:J66)</f>
        <v>30</v>
      </c>
      <c r="K67" s="353"/>
      <c r="L67" s="350"/>
      <c r="M67" s="134"/>
      <c r="N67" s="333" t="s">
        <v>63</v>
      </c>
      <c r="O67" s="102" t="n">
        <f aca="false">SUM(O63:O66)</f>
        <v>1</v>
      </c>
      <c r="P67" s="103" t="n">
        <f aca="false">SUM(P63:P66)</f>
        <v>1</v>
      </c>
      <c r="Q67" s="102" t="n">
        <f aca="false">SUM(Q63:Q66)</f>
        <v>1</v>
      </c>
      <c r="R67" s="104" t="n">
        <f aca="false">SUM(R63:R66)</f>
        <v>1</v>
      </c>
      <c r="S67" s="354"/>
      <c r="T67" s="134"/>
      <c r="U67" s="39"/>
    </row>
    <row r="68" customFormat="false" ht="20.1" hidden="false" customHeight="true" outlineLevel="0" collapsed="false">
      <c r="B68" s="39"/>
      <c r="C68" s="134"/>
      <c r="D68" s="137"/>
      <c r="E68" s="137"/>
      <c r="F68" s="134"/>
      <c r="G68" s="134"/>
      <c r="H68" s="134"/>
      <c r="I68" s="134"/>
      <c r="J68" s="134"/>
      <c r="K68" s="134"/>
      <c r="L68" s="134"/>
      <c r="M68" s="134"/>
      <c r="N68" s="134"/>
      <c r="O68" s="134"/>
      <c r="P68" s="134"/>
      <c r="Q68" s="134"/>
      <c r="R68" s="134"/>
      <c r="S68" s="134"/>
      <c r="T68" s="134"/>
      <c r="U68" s="39"/>
    </row>
    <row r="69" customFormat="false" ht="20.1" hidden="false" customHeight="true" outlineLevel="0" collapsed="false">
      <c r="B69" s="39"/>
      <c r="D69" s="138"/>
      <c r="E69" s="138"/>
      <c r="F69" s="138"/>
      <c r="G69" s="138"/>
      <c r="H69" s="138"/>
      <c r="I69" s="138"/>
      <c r="J69" s="138"/>
      <c r="K69" s="36"/>
      <c r="L69" s="36"/>
      <c r="M69" s="36"/>
      <c r="N69" s="36"/>
      <c r="O69" s="36"/>
      <c r="P69" s="36"/>
      <c r="Q69" s="36"/>
      <c r="R69" s="36"/>
      <c r="S69" s="36"/>
      <c r="U69" s="39"/>
    </row>
    <row r="70" customFormat="false" ht="30" hidden="false" customHeight="true" outlineLevel="0" collapsed="false">
      <c r="B70" s="39"/>
      <c r="C70" s="139"/>
      <c r="D70" s="140" t="s">
        <v>156</v>
      </c>
      <c r="E70" s="140"/>
      <c r="F70" s="140"/>
      <c r="G70" s="140"/>
      <c r="H70" s="140"/>
      <c r="I70" s="140"/>
      <c r="J70" s="140"/>
      <c r="K70" s="140"/>
      <c r="L70" s="140"/>
      <c r="M70" s="140"/>
      <c r="N70" s="140"/>
      <c r="O70" s="140"/>
      <c r="P70" s="140"/>
      <c r="Q70" s="140"/>
      <c r="R70" s="140"/>
      <c r="S70" s="140"/>
      <c r="T70" s="139"/>
      <c r="U70" s="39"/>
    </row>
    <row r="71" customFormat="false" ht="50.1" hidden="false" customHeight="true" outlineLevel="0" collapsed="false">
      <c r="B71" s="39"/>
      <c r="C71" s="139"/>
      <c r="D71" s="356" t="s">
        <v>36</v>
      </c>
      <c r="E71" s="357" t="s">
        <v>218</v>
      </c>
      <c r="F71" s="358" t="s">
        <v>57</v>
      </c>
      <c r="G71" s="146" t="s">
        <v>236</v>
      </c>
      <c r="H71" s="143" t="s">
        <v>237</v>
      </c>
      <c r="I71" s="143"/>
      <c r="J71" s="488" t="s">
        <v>238</v>
      </c>
      <c r="K71" s="359" t="s">
        <v>65</v>
      </c>
      <c r="L71" s="358" t="s">
        <v>66</v>
      </c>
      <c r="M71" s="359" t="s">
        <v>67</v>
      </c>
      <c r="N71" s="358" t="s">
        <v>68</v>
      </c>
      <c r="O71" s="600"/>
      <c r="P71" s="601"/>
      <c r="Q71" s="601"/>
      <c r="R71" s="601"/>
      <c r="S71" s="357" t="s">
        <v>69</v>
      </c>
      <c r="T71" s="139"/>
      <c r="U71" s="39"/>
    </row>
    <row r="72" customFormat="false" ht="20.1" hidden="false" customHeight="true" outlineLevel="0" collapsed="false">
      <c r="B72" s="39"/>
      <c r="C72" s="139"/>
      <c r="D72" s="670" t="s">
        <v>14</v>
      </c>
      <c r="E72" s="715" t="s">
        <v>15</v>
      </c>
      <c r="F72" s="716" t="n">
        <f aca="false">(K72*6+L72*3+M72*1+N72*0)</f>
        <v>21</v>
      </c>
      <c r="G72" s="716" t="n">
        <v>0</v>
      </c>
      <c r="H72" s="605" t="s">
        <v>46</v>
      </c>
      <c r="I72" s="605"/>
      <c r="J72" s="716" t="n">
        <f aca="false">F72+G72</f>
        <v>21</v>
      </c>
      <c r="K72" s="716" t="n">
        <v>3</v>
      </c>
      <c r="L72" s="716" t="n">
        <v>1</v>
      </c>
      <c r="M72" s="716" t="n">
        <v>0</v>
      </c>
      <c r="N72" s="716" t="n">
        <v>0</v>
      </c>
      <c r="O72" s="716"/>
      <c r="P72" s="716"/>
      <c r="Q72" s="716"/>
      <c r="R72" s="716"/>
      <c r="S72" s="717" t="n">
        <f aca="false">(L36+L45+L54+L63)/4</f>
        <v>99.7767857142857</v>
      </c>
      <c r="T72" s="139"/>
      <c r="U72" s="39"/>
      <c r="W72" s="608"/>
      <c r="X72" s="608"/>
      <c r="Y72" s="608"/>
      <c r="Z72" s="608"/>
    </row>
    <row r="73" customFormat="false" ht="20.1" hidden="false" customHeight="true" outlineLevel="0" collapsed="false">
      <c r="B73" s="39"/>
      <c r="C73" s="139"/>
      <c r="D73" s="154" t="s">
        <v>16</v>
      </c>
      <c r="E73" s="718" t="s">
        <v>17</v>
      </c>
      <c r="F73" s="209" t="n">
        <f aca="false">(K73*6+L73*3+M73*1+N73*0)</f>
        <v>10</v>
      </c>
      <c r="G73" s="209" t="n">
        <v>0</v>
      </c>
      <c r="H73" s="610" t="s">
        <v>46</v>
      </c>
      <c r="I73" s="610"/>
      <c r="J73" s="209" t="n">
        <f aca="false">F73+G73</f>
        <v>10</v>
      </c>
      <c r="K73" s="209" t="n">
        <v>1</v>
      </c>
      <c r="L73" s="209" t="n">
        <v>1</v>
      </c>
      <c r="M73" s="209" t="n">
        <v>1</v>
      </c>
      <c r="N73" s="209" t="n">
        <v>1</v>
      </c>
      <c r="O73" s="209"/>
      <c r="P73" s="209"/>
      <c r="Q73" s="209"/>
      <c r="R73" s="209"/>
      <c r="S73" s="719" t="n">
        <f aca="false">(L39+L48+L57+L66)/4</f>
        <v>90.7637781321992</v>
      </c>
      <c r="T73" s="139"/>
      <c r="U73" s="39"/>
      <c r="W73" s="167"/>
      <c r="X73" s="167"/>
      <c r="Y73" s="167"/>
      <c r="Z73" s="167"/>
    </row>
    <row r="74" customFormat="false" ht="20.1" hidden="false" customHeight="true" outlineLevel="0" collapsed="false">
      <c r="B74" s="39"/>
      <c r="C74" s="139"/>
      <c r="D74" s="154" t="s">
        <v>27</v>
      </c>
      <c r="E74" s="718" t="s">
        <v>207</v>
      </c>
      <c r="F74" s="209" t="n">
        <f aca="false">(K74*6+L74*3+M74*1+N74*0)</f>
        <v>6</v>
      </c>
      <c r="G74" s="209" t="n">
        <v>0</v>
      </c>
      <c r="H74" s="610" t="s">
        <v>46</v>
      </c>
      <c r="I74" s="610"/>
      <c r="J74" s="209" t="n">
        <f aca="false">F74+G74</f>
        <v>6</v>
      </c>
      <c r="K74" s="209" t="n">
        <v>0</v>
      </c>
      <c r="L74" s="209" t="n">
        <v>2</v>
      </c>
      <c r="M74" s="209" t="n">
        <v>0</v>
      </c>
      <c r="N74" s="209" t="n">
        <v>2</v>
      </c>
      <c r="O74" s="209"/>
      <c r="P74" s="209"/>
      <c r="Q74" s="209"/>
      <c r="R74" s="209"/>
      <c r="S74" s="719" t="n">
        <f aca="false">(L37+L46+L55+L64)/4</f>
        <v>91.326497272221</v>
      </c>
      <c r="T74" s="139"/>
      <c r="U74" s="39"/>
      <c r="W74" s="167"/>
      <c r="X74" s="167"/>
      <c r="Y74" s="167"/>
      <c r="Z74" s="167"/>
    </row>
    <row r="75" customFormat="false" ht="20.1" hidden="false" customHeight="true" outlineLevel="0" collapsed="false">
      <c r="B75" s="39"/>
      <c r="C75" s="139"/>
      <c r="D75" s="401" t="s">
        <v>20</v>
      </c>
      <c r="E75" s="720" t="s">
        <v>21</v>
      </c>
      <c r="F75" s="426" t="n">
        <f aca="false">(K75*6+L75*3+M75*1+N75*0)</f>
        <v>3</v>
      </c>
      <c r="G75" s="426" t="n">
        <v>0</v>
      </c>
      <c r="H75" s="612" t="s">
        <v>46</v>
      </c>
      <c r="I75" s="612"/>
      <c r="J75" s="426" t="n">
        <f aca="false">F75+G75</f>
        <v>3</v>
      </c>
      <c r="K75" s="426" t="n">
        <v>0</v>
      </c>
      <c r="L75" s="426" t="n">
        <v>0</v>
      </c>
      <c r="M75" s="426" t="n">
        <v>3</v>
      </c>
      <c r="N75" s="426" t="n">
        <v>1</v>
      </c>
      <c r="O75" s="426"/>
      <c r="P75" s="426"/>
      <c r="Q75" s="426"/>
      <c r="R75" s="426"/>
      <c r="S75" s="721" t="n">
        <f aca="false">(L38+L47+L56+L65)/4</f>
        <v>87.2002488861041</v>
      </c>
      <c r="T75" s="139"/>
      <c r="U75" s="39"/>
      <c r="W75" s="167"/>
      <c r="X75" s="167"/>
      <c r="Y75" s="167"/>
      <c r="Z75" s="167"/>
      <c r="AB75" s="167"/>
      <c r="AC75" s="167"/>
      <c r="AD75" s="167"/>
      <c r="AE75" s="167"/>
    </row>
    <row r="76" customFormat="false" ht="20.1" hidden="false" customHeight="true" outlineLevel="0" collapsed="false">
      <c r="B76" s="39"/>
      <c r="C76" s="139"/>
      <c r="D76" s="168"/>
      <c r="E76" s="168"/>
      <c r="F76" s="153"/>
      <c r="G76" s="153"/>
      <c r="H76" s="153"/>
      <c r="I76" s="153"/>
      <c r="J76" s="153"/>
      <c r="K76" s="153"/>
      <c r="L76" s="153"/>
      <c r="M76" s="153"/>
      <c r="N76" s="153"/>
      <c r="O76" s="153"/>
      <c r="P76" s="153"/>
      <c r="Q76" s="153"/>
      <c r="R76" s="153"/>
      <c r="S76" s="153"/>
      <c r="T76" s="139"/>
      <c r="U76" s="39"/>
      <c r="W76" s="167"/>
      <c r="X76" s="167"/>
      <c r="Y76" s="167"/>
      <c r="Z76" s="167"/>
    </row>
    <row r="77" customFormat="false" ht="20.1" hidden="false" customHeight="true" outlineLevel="0" collapsed="false">
      <c r="B77" s="39"/>
      <c r="C77" s="39"/>
      <c r="D77" s="169"/>
      <c r="E77" s="169"/>
      <c r="F77" s="129"/>
      <c r="G77" s="129"/>
      <c r="H77" s="169"/>
      <c r="I77" s="169"/>
      <c r="J77" s="169"/>
      <c r="K77" s="131"/>
      <c r="L77" s="131"/>
      <c r="M77" s="131"/>
      <c r="N77" s="131"/>
      <c r="O77" s="131"/>
      <c r="P77" s="131"/>
      <c r="Q77" s="131"/>
      <c r="R77" s="131"/>
      <c r="S77" s="131"/>
      <c r="T77" s="39"/>
      <c r="U77" s="39"/>
    </row>
    <row r="78" customFormat="false" ht="20.1" hidden="false" customHeight="true" outlineLevel="0" collapsed="false">
      <c r="D78" s="170"/>
      <c r="O78" s="36"/>
      <c r="P78" s="36"/>
      <c r="Q78" s="36"/>
      <c r="R78" s="36"/>
      <c r="S78" s="36"/>
    </row>
    <row r="79" customFormat="false" ht="20.1" hidden="false" customHeight="true" outlineLevel="0" collapsed="false">
      <c r="D79" s="171"/>
      <c r="O79" s="36"/>
      <c r="P79" s="36"/>
      <c r="Q79" s="36"/>
      <c r="R79" s="36"/>
      <c r="S79" s="36"/>
    </row>
    <row r="80" customFormat="false" ht="20.1" hidden="false" customHeight="true" outlineLevel="0" collapsed="false">
      <c r="B80" s="39"/>
      <c r="C80" s="39"/>
      <c r="D80" s="40"/>
      <c r="E80" s="40"/>
      <c r="F80" s="40"/>
      <c r="G80" s="40"/>
      <c r="H80" s="39"/>
      <c r="I80" s="39"/>
      <c r="J80" s="39"/>
      <c r="K80" s="39"/>
      <c r="L80" s="39"/>
      <c r="M80" s="39"/>
      <c r="N80" s="39"/>
      <c r="O80" s="39"/>
      <c r="P80" s="39"/>
      <c r="Q80" s="39"/>
      <c r="R80" s="39"/>
      <c r="S80" s="39"/>
      <c r="T80" s="39"/>
      <c r="U80" s="39"/>
    </row>
    <row r="81" customFormat="false" ht="30" hidden="false" customHeight="true" outlineLevel="0" collapsed="false">
      <c r="B81" s="39"/>
      <c r="C81" s="442" t="s">
        <v>305</v>
      </c>
      <c r="D81" s="442"/>
      <c r="E81" s="442"/>
      <c r="F81" s="442"/>
      <c r="G81" s="442"/>
      <c r="H81" s="442"/>
      <c r="I81" s="442"/>
      <c r="J81" s="442"/>
      <c r="K81" s="442"/>
      <c r="L81" s="442"/>
      <c r="M81" s="442"/>
      <c r="N81" s="442"/>
      <c r="O81" s="442"/>
      <c r="P81" s="442"/>
      <c r="Q81" s="442"/>
      <c r="R81" s="442"/>
      <c r="S81" s="442"/>
      <c r="T81" s="442"/>
      <c r="U81" s="39"/>
    </row>
    <row r="82" customFormat="false" ht="20.1" hidden="false" customHeight="true" outlineLevel="0" collapsed="false">
      <c r="B82" s="39"/>
      <c r="D82" s="36"/>
      <c r="E82" s="36"/>
      <c r="U82" s="39"/>
    </row>
    <row r="83" customFormat="false" ht="20.1" hidden="false" customHeight="true" outlineLevel="0" collapsed="false">
      <c r="B83" s="39"/>
      <c r="D83" s="615" t="s">
        <v>36</v>
      </c>
      <c r="E83" s="266" t="s">
        <v>239</v>
      </c>
      <c r="F83" s="294" t="s">
        <v>6</v>
      </c>
      <c r="G83" s="616" t="s">
        <v>110</v>
      </c>
      <c r="H83" s="616"/>
      <c r="I83" s="616"/>
      <c r="J83" s="616"/>
      <c r="K83" s="264" t="s">
        <v>71</v>
      </c>
      <c r="L83" s="266" t="s">
        <v>40</v>
      </c>
      <c r="M83" s="266"/>
      <c r="N83" s="266"/>
      <c r="O83" s="266"/>
      <c r="P83" s="266"/>
      <c r="Q83" s="266"/>
      <c r="R83" s="266"/>
      <c r="S83" s="266"/>
      <c r="U83" s="39"/>
    </row>
    <row r="84" customFormat="false" ht="20.1" hidden="false" customHeight="true" outlineLevel="0" collapsed="false">
      <c r="B84" s="39"/>
      <c r="D84" s="615"/>
      <c r="E84" s="266"/>
      <c r="F84" s="294"/>
      <c r="G84" s="268" t="s">
        <v>111</v>
      </c>
      <c r="H84" s="267" t="s">
        <v>41</v>
      </c>
      <c r="I84" s="294" t="s">
        <v>42</v>
      </c>
      <c r="J84" s="294"/>
      <c r="K84" s="267" t="s">
        <v>43</v>
      </c>
      <c r="L84" s="372" t="s">
        <v>111</v>
      </c>
      <c r="M84" s="270" t="s">
        <v>44</v>
      </c>
      <c r="N84" s="384" t="s">
        <v>42</v>
      </c>
      <c r="O84" s="384"/>
      <c r="P84" s="384"/>
      <c r="Q84" s="384"/>
      <c r="R84" s="384"/>
      <c r="S84" s="384"/>
      <c r="U84" s="39"/>
    </row>
    <row r="85" customFormat="false" ht="80.1" hidden="false" customHeight="true" outlineLevel="0" collapsed="false">
      <c r="B85" s="39"/>
      <c r="D85" s="6" t="s">
        <v>22</v>
      </c>
      <c r="E85" s="229" t="s">
        <v>23</v>
      </c>
      <c r="F85" s="12" t="n">
        <v>1</v>
      </c>
      <c r="G85" s="374" t="s">
        <v>85</v>
      </c>
      <c r="H85" s="643" t="s">
        <v>75</v>
      </c>
      <c r="I85" s="587" t="s">
        <v>271</v>
      </c>
      <c r="J85" s="587"/>
      <c r="K85" s="756" t="s">
        <v>50</v>
      </c>
      <c r="L85" s="272" t="s">
        <v>46</v>
      </c>
      <c r="M85" s="276" t="s">
        <v>46</v>
      </c>
      <c r="N85" s="444" t="s">
        <v>46</v>
      </c>
      <c r="O85" s="444"/>
      <c r="P85" s="444"/>
      <c r="Q85" s="444"/>
      <c r="R85" s="444"/>
      <c r="S85" s="444"/>
      <c r="U85" s="39"/>
    </row>
    <row r="86" customFormat="false" ht="35.1" hidden="false" customHeight="true" outlineLevel="0" collapsed="false">
      <c r="B86" s="39"/>
      <c r="D86" s="13" t="s">
        <v>96</v>
      </c>
      <c r="E86" s="622" t="s">
        <v>210</v>
      </c>
      <c r="F86" s="19" t="n">
        <v>2</v>
      </c>
      <c r="G86" s="446" t="s">
        <v>152</v>
      </c>
      <c r="H86" s="620" t="s">
        <v>150</v>
      </c>
      <c r="I86" s="590" t="s">
        <v>351</v>
      </c>
      <c r="J86" s="590"/>
      <c r="K86" s="625" t="s">
        <v>50</v>
      </c>
      <c r="L86" s="278" t="s">
        <v>46</v>
      </c>
      <c r="M86" s="282" t="s">
        <v>46</v>
      </c>
      <c r="N86" s="447" t="s">
        <v>46</v>
      </c>
      <c r="O86" s="447"/>
      <c r="P86" s="447"/>
      <c r="Q86" s="447"/>
      <c r="R86" s="447"/>
      <c r="S86" s="447"/>
      <c r="U86" s="39"/>
    </row>
    <row r="87" customFormat="false" ht="125.1" hidden="false" customHeight="true" outlineLevel="0" collapsed="false">
      <c r="B87" s="39"/>
      <c r="D87" s="303" t="s">
        <v>31</v>
      </c>
      <c r="E87" s="304" t="s">
        <v>32</v>
      </c>
      <c r="F87" s="19" t="n">
        <v>3</v>
      </c>
      <c r="G87" s="379" t="s">
        <v>114</v>
      </c>
      <c r="H87" s="624" t="s">
        <v>282</v>
      </c>
      <c r="I87" s="593" t="s">
        <v>318</v>
      </c>
      <c r="J87" s="593"/>
      <c r="K87" s="757" t="s">
        <v>150</v>
      </c>
      <c r="L87" s="278" t="s">
        <v>46</v>
      </c>
      <c r="M87" s="282" t="s">
        <v>46</v>
      </c>
      <c r="N87" s="447" t="s">
        <v>46</v>
      </c>
      <c r="O87" s="447"/>
      <c r="P87" s="447"/>
      <c r="Q87" s="447"/>
      <c r="R87" s="447"/>
      <c r="S87" s="447"/>
      <c r="U87" s="39"/>
    </row>
    <row r="88" customFormat="false" ht="35.1" hidden="false" customHeight="true" outlineLevel="0" collapsed="false">
      <c r="B88" s="39"/>
      <c r="D88" s="29" t="s">
        <v>178</v>
      </c>
      <c r="E88" s="240" t="s">
        <v>211</v>
      </c>
      <c r="F88" s="23" t="n">
        <v>4</v>
      </c>
      <c r="G88" s="417" t="s">
        <v>114</v>
      </c>
      <c r="H88" s="595" t="s">
        <v>362</v>
      </c>
      <c r="I88" s="596" t="s">
        <v>363</v>
      </c>
      <c r="J88" s="596"/>
      <c r="K88" s="627" t="s">
        <v>50</v>
      </c>
      <c r="L88" s="287" t="s">
        <v>46</v>
      </c>
      <c r="M88" s="291" t="s">
        <v>46</v>
      </c>
      <c r="N88" s="450" t="s">
        <v>46</v>
      </c>
      <c r="O88" s="450"/>
      <c r="P88" s="450"/>
      <c r="Q88" s="450"/>
      <c r="R88" s="450"/>
      <c r="S88" s="450"/>
      <c r="U88" s="39"/>
    </row>
    <row r="89" customFormat="false" ht="20.1" hidden="false" customHeight="true" outlineLevel="0" collapsed="false">
      <c r="B89" s="39"/>
      <c r="D89" s="36"/>
      <c r="E89" s="36"/>
      <c r="U89" s="39"/>
    </row>
    <row r="90" customFormat="false" ht="20.1" hidden="false" customHeight="true" outlineLevel="0" collapsed="false">
      <c r="B90" s="39"/>
      <c r="C90" s="76"/>
      <c r="D90" s="76"/>
      <c r="E90" s="77" t="str">
        <f aca="false">IF(OR(L85="-",L85= ""),H85,L85)</f>
        <v>Automobiles</v>
      </c>
      <c r="F90" s="77"/>
      <c r="G90" s="77"/>
      <c r="H90" s="77"/>
      <c r="I90" s="77"/>
      <c r="J90" s="77"/>
      <c r="K90" s="77"/>
      <c r="L90" s="77"/>
      <c r="M90" s="77"/>
      <c r="N90" s="77"/>
      <c r="O90" s="78"/>
      <c r="P90" s="78"/>
      <c r="Q90" s="78"/>
      <c r="R90" s="78"/>
      <c r="S90" s="78"/>
      <c r="T90" s="76"/>
      <c r="U90" s="39"/>
    </row>
    <row r="91" customFormat="false" ht="50.1" hidden="false" customHeight="true" outlineLevel="0" collapsed="false">
      <c r="B91" s="39"/>
      <c r="C91" s="76"/>
      <c r="D91" s="78"/>
      <c r="E91" s="263" t="s">
        <v>36</v>
      </c>
      <c r="F91" s="597" t="s">
        <v>222</v>
      </c>
      <c r="G91" s="294" t="s">
        <v>52</v>
      </c>
      <c r="H91" s="264" t="s">
        <v>223</v>
      </c>
      <c r="I91" s="81" t="s">
        <v>224</v>
      </c>
      <c r="J91" s="264" t="s">
        <v>225</v>
      </c>
      <c r="K91" s="295" t="s">
        <v>54</v>
      </c>
      <c r="L91" s="264" t="s">
        <v>55</v>
      </c>
      <c r="M91" s="296" t="s">
        <v>56</v>
      </c>
      <c r="N91" s="294" t="s">
        <v>57</v>
      </c>
      <c r="O91" s="43" t="s">
        <v>58</v>
      </c>
      <c r="P91" s="79" t="s">
        <v>59</v>
      </c>
      <c r="Q91" s="79" t="s">
        <v>60</v>
      </c>
      <c r="R91" s="82" t="s">
        <v>61</v>
      </c>
      <c r="S91" s="78"/>
      <c r="T91" s="76"/>
      <c r="U91" s="39"/>
    </row>
    <row r="92" customFormat="false" ht="20.1" hidden="false" customHeight="true" outlineLevel="0" collapsed="false">
      <c r="B92" s="39"/>
      <c r="C92" s="76"/>
      <c r="D92" s="306"/>
      <c r="E92" s="6" t="s">
        <v>22</v>
      </c>
      <c r="F92" s="229" t="s">
        <v>23</v>
      </c>
      <c r="G92" s="387" t="n">
        <v>1</v>
      </c>
      <c r="H92" s="387" t="s">
        <v>46</v>
      </c>
      <c r="I92" s="387" t="s">
        <v>46</v>
      </c>
      <c r="J92" s="387" t="s">
        <v>276</v>
      </c>
      <c r="K92" s="387" t="s">
        <v>46</v>
      </c>
      <c r="L92" s="388" t="n">
        <f aca="false">(L104+L113+L122)/3</f>
        <v>71.6154007114459</v>
      </c>
      <c r="M92" s="387" t="n">
        <v>2</v>
      </c>
      <c r="N92" s="389" t="n">
        <v>3</v>
      </c>
      <c r="O92" s="301" t="n">
        <f aca="false">IF(M92=1,1,0)</f>
        <v>0</v>
      </c>
      <c r="P92" s="85" t="n">
        <f aca="false">IF(M92=2,1,0)</f>
        <v>1</v>
      </c>
      <c r="Q92" s="85" t="n">
        <f aca="false">IF(M92=3,1,0)</f>
        <v>0</v>
      </c>
      <c r="R92" s="84" t="n">
        <f aca="false">IF(M92=4,1,0)</f>
        <v>0</v>
      </c>
      <c r="S92" s="302"/>
      <c r="T92" s="76"/>
      <c r="U92" s="39"/>
    </row>
    <row r="93" customFormat="false" ht="20.1" hidden="false" customHeight="true" outlineLevel="0" collapsed="false">
      <c r="B93" s="39"/>
      <c r="C93" s="76"/>
      <c r="D93" s="297"/>
      <c r="E93" s="110" t="s">
        <v>96</v>
      </c>
      <c r="F93" s="598" t="s">
        <v>210</v>
      </c>
      <c r="G93" s="112" t="n">
        <v>4</v>
      </c>
      <c r="H93" s="112" t="s">
        <v>46</v>
      </c>
      <c r="I93" s="112" t="s">
        <v>46</v>
      </c>
      <c r="J93" s="112" t="s">
        <v>274</v>
      </c>
      <c r="K93" s="508" t="s">
        <v>46</v>
      </c>
      <c r="L93" s="113" t="n">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758" t="s">
        <v>31</v>
      </c>
      <c r="F94" s="552" t="s">
        <v>32</v>
      </c>
      <c r="G94" s="324" t="n">
        <v>2</v>
      </c>
      <c r="H94" s="324" t="s">
        <v>46</v>
      </c>
      <c r="I94" s="324" t="s">
        <v>46</v>
      </c>
      <c r="J94" s="324" t="s">
        <v>364</v>
      </c>
      <c r="K94" s="324" t="s">
        <v>46</v>
      </c>
      <c r="L94" s="341" t="n">
        <f aca="false">(L101+L111+L122)/3</f>
        <v>51.9460138104206</v>
      </c>
      <c r="M94" s="324" t="n">
        <v>4</v>
      </c>
      <c r="N94" s="327" t="n">
        <v>0</v>
      </c>
      <c r="O94" s="305" t="n">
        <f aca="false">IF(M94=1,1,0)</f>
        <v>0</v>
      </c>
      <c r="P94" s="88" t="n">
        <f aca="false">IF(M94=2,1,0)</f>
        <v>0</v>
      </c>
      <c r="Q94" s="88" t="n">
        <f aca="false">IF(M94=3,1,0)</f>
        <v>0</v>
      </c>
      <c r="R94" s="87" t="n">
        <f aca="false">IF(M94=4,1,0)</f>
        <v>1</v>
      </c>
      <c r="S94" s="302"/>
      <c r="T94" s="76"/>
      <c r="U94" s="39"/>
    </row>
    <row r="95" customFormat="false" ht="20.1" hidden="false" customHeight="true" outlineLevel="0" collapsed="false">
      <c r="B95" s="39"/>
      <c r="C95" s="76"/>
      <c r="D95" s="297"/>
      <c r="E95" s="29" t="s">
        <v>178</v>
      </c>
      <c r="F95" s="240" t="s">
        <v>211</v>
      </c>
      <c r="G95" s="186" t="n">
        <v>3</v>
      </c>
      <c r="H95" s="186" t="s">
        <v>46</v>
      </c>
      <c r="I95" s="186" t="s">
        <v>46</v>
      </c>
      <c r="J95" s="186" t="s">
        <v>275</v>
      </c>
      <c r="K95" s="352" t="s">
        <v>46</v>
      </c>
      <c r="L95" s="116" t="n">
        <f aca="false">(L102+L110+L119)/3</f>
        <v>68.3755318406919</v>
      </c>
      <c r="M95" s="186" t="n">
        <v>3</v>
      </c>
      <c r="N95" s="309" t="n">
        <v>1</v>
      </c>
      <c r="O95" s="310" t="n">
        <f aca="false">IF(M95=1,1,0)</f>
        <v>0</v>
      </c>
      <c r="P95" s="95" t="n">
        <f aca="false">IF(M95=2,1,0)</f>
        <v>0</v>
      </c>
      <c r="Q95" s="95" t="n">
        <f aca="false">IF(M95=3,1,0)</f>
        <v>1</v>
      </c>
      <c r="R95" s="117" t="n">
        <f aca="false">IF(M95=4,1,0)</f>
        <v>0</v>
      </c>
      <c r="S95" s="302"/>
      <c r="T95" s="76"/>
      <c r="U95" s="39"/>
    </row>
    <row r="96" customFormat="false" ht="20.1" hidden="true" customHeight="true" outlineLevel="1" collapsed="false">
      <c r="B96" s="39"/>
      <c r="C96" s="76"/>
      <c r="D96" s="306"/>
      <c r="E96" s="306"/>
      <c r="F96" s="302"/>
      <c r="G96" s="302"/>
      <c r="H96" s="76"/>
      <c r="I96" s="345" t="s">
        <v>62</v>
      </c>
      <c r="J96" s="98" t="n">
        <f aca="false">MAX(J92:J95)</f>
        <v>0</v>
      </c>
      <c r="K96" s="396"/>
      <c r="L96" s="316"/>
      <c r="M96" s="76"/>
      <c r="N96" s="333" t="s">
        <v>63</v>
      </c>
      <c r="O96" s="102" t="n">
        <f aca="false">SUM(O92:O95)</f>
        <v>1</v>
      </c>
      <c r="P96" s="103" t="n">
        <f aca="false">SUM(P92:P95)</f>
        <v>1</v>
      </c>
      <c r="Q96" s="102" t="n">
        <f aca="false">SUM(Q92:Q95)</f>
        <v>1</v>
      </c>
      <c r="R96" s="104" t="n">
        <f aca="false">SUM(R92:R95)</f>
        <v>1</v>
      </c>
      <c r="S96" s="316"/>
      <c r="T96" s="76"/>
      <c r="U96" s="39"/>
    </row>
    <row r="97" customFormat="false" ht="20.1" hidden="false" customHeight="true" outlineLevel="0" collapsed="false">
      <c r="B97" s="39"/>
      <c r="C97" s="76"/>
      <c r="D97" s="105"/>
      <c r="E97" s="105"/>
      <c r="F97" s="76"/>
      <c r="G97" s="76"/>
      <c r="H97" s="76"/>
      <c r="I97" s="76"/>
      <c r="J97" s="76"/>
      <c r="K97" s="76"/>
      <c r="L97" s="76"/>
      <c r="M97" s="76"/>
      <c r="N97" s="76"/>
      <c r="O97" s="76"/>
      <c r="P97" s="76"/>
      <c r="Q97" s="76"/>
      <c r="R97" s="76"/>
      <c r="S97" s="76"/>
      <c r="T97" s="76"/>
      <c r="U97" s="39"/>
    </row>
    <row r="98" customFormat="false" ht="20.1" hidden="false" customHeight="true" outlineLevel="0" collapsed="false">
      <c r="B98" s="39"/>
      <c r="U98" s="39"/>
    </row>
    <row r="99" customFormat="false" ht="20.1" hidden="false" customHeight="true" outlineLevel="0" collapsed="false">
      <c r="B99" s="39"/>
      <c r="C99" s="107"/>
      <c r="D99" s="107"/>
      <c r="E99" s="108" t="str">
        <f aca="false">IF(OR(L86="-",L86= ""),H86,L86)</f>
        <v>Agricola</v>
      </c>
      <c r="F99" s="108"/>
      <c r="G99" s="108"/>
      <c r="H99" s="108"/>
      <c r="I99" s="108"/>
      <c r="J99" s="108"/>
      <c r="K99" s="108"/>
      <c r="L99" s="108"/>
      <c r="M99" s="108"/>
      <c r="N99" s="108"/>
      <c r="O99" s="109"/>
      <c r="P99" s="109"/>
      <c r="Q99" s="109"/>
      <c r="R99" s="109"/>
      <c r="S99" s="109"/>
      <c r="T99" s="107"/>
      <c r="U99" s="39"/>
    </row>
    <row r="100" customFormat="false" ht="50.1" hidden="false" customHeight="true" outlineLevel="0" collapsed="false">
      <c r="B100" s="39"/>
      <c r="C100" s="107"/>
      <c r="D100" s="109"/>
      <c r="E100" s="263" t="s">
        <v>36</v>
      </c>
      <c r="F100" s="597" t="s">
        <v>222</v>
      </c>
      <c r="G100" s="294" t="s">
        <v>52</v>
      </c>
      <c r="H100" s="264" t="s">
        <v>223</v>
      </c>
      <c r="I100" s="81" t="s">
        <v>224</v>
      </c>
      <c r="J100" s="264" t="s">
        <v>225</v>
      </c>
      <c r="K100" s="295" t="s">
        <v>54</v>
      </c>
      <c r="L100" s="264" t="s">
        <v>55</v>
      </c>
      <c r="M100" s="296" t="s">
        <v>56</v>
      </c>
      <c r="N100" s="294" t="s">
        <v>57</v>
      </c>
      <c r="O100" s="43" t="s">
        <v>58</v>
      </c>
      <c r="P100" s="79" t="s">
        <v>59</v>
      </c>
      <c r="Q100" s="79" t="s">
        <v>60</v>
      </c>
      <c r="R100" s="82" t="s">
        <v>61</v>
      </c>
      <c r="S100" s="109"/>
      <c r="T100" s="107"/>
      <c r="U100" s="39"/>
    </row>
    <row r="101" customFormat="false" ht="20.1" hidden="false" customHeight="true" outlineLevel="0" collapsed="false">
      <c r="B101" s="39"/>
      <c r="C101" s="107"/>
      <c r="D101" s="323"/>
      <c r="E101" s="6" t="s">
        <v>22</v>
      </c>
      <c r="F101" s="229" t="s">
        <v>23</v>
      </c>
      <c r="G101" s="387" t="n">
        <v>1</v>
      </c>
      <c r="H101" s="387" t="s">
        <v>46</v>
      </c>
      <c r="I101" s="387" t="n">
        <v>-20</v>
      </c>
      <c r="J101" s="387" t="n">
        <v>27</v>
      </c>
      <c r="K101" s="387" t="s">
        <v>46</v>
      </c>
      <c r="L101" s="388" t="n">
        <f aca="false">IF(J101="",0,(J101/J105)*100)</f>
        <v>50</v>
      </c>
      <c r="M101" s="387" t="n">
        <v>4</v>
      </c>
      <c r="N101" s="389" t="n">
        <v>0</v>
      </c>
      <c r="O101" s="301" t="n">
        <f aca="false">IF(M101=1,1,0)</f>
        <v>0</v>
      </c>
      <c r="P101" s="85" t="n">
        <f aca="false">IF(M101=2,1,0)</f>
        <v>0</v>
      </c>
      <c r="Q101" s="85" t="n">
        <f aca="false">IF(M101=3,1,0)</f>
        <v>0</v>
      </c>
      <c r="R101" s="84" t="n">
        <f aca="false">IF(M101=4,1,0)</f>
        <v>1</v>
      </c>
      <c r="S101" s="322"/>
      <c r="T101" s="107"/>
      <c r="U101" s="39"/>
    </row>
    <row r="102" customFormat="false" ht="20.1" hidden="false" customHeight="true" outlineLevel="0" collapsed="false">
      <c r="B102" s="39"/>
      <c r="C102" s="107"/>
      <c r="D102" s="319"/>
      <c r="E102" s="13" t="s">
        <v>96</v>
      </c>
      <c r="F102" s="237" t="s">
        <v>210</v>
      </c>
      <c r="G102" s="324" t="n">
        <v>4</v>
      </c>
      <c r="H102" s="324" t="s">
        <v>46</v>
      </c>
      <c r="I102" s="324" t="n">
        <v>-20</v>
      </c>
      <c r="J102" s="324" t="n">
        <v>28</v>
      </c>
      <c r="K102" s="325" t="s">
        <v>46</v>
      </c>
      <c r="L102" s="341" t="n">
        <f aca="false">IF(J102="",0,(J102/J105)*100)</f>
        <v>51.8518518518519</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23"/>
      <c r="E103" s="342" t="s">
        <v>31</v>
      </c>
      <c r="F103" s="343" t="s">
        <v>32</v>
      </c>
      <c r="G103" s="112" t="n">
        <v>3</v>
      </c>
      <c r="H103" s="112" t="s">
        <v>46</v>
      </c>
      <c r="I103" s="112" t="n">
        <v>-20</v>
      </c>
      <c r="J103" s="112" t="n">
        <v>54</v>
      </c>
      <c r="K103" s="112" t="s">
        <v>46</v>
      </c>
      <c r="L103" s="113" t="n">
        <f aca="false">IF(J103="",0,(J103/J105)*100)</f>
        <v>100</v>
      </c>
      <c r="M103" s="112" t="n">
        <v>1</v>
      </c>
      <c r="N103" s="344" t="n">
        <v>6</v>
      </c>
      <c r="O103" s="305" t="n">
        <f aca="false">IF(M103=1,1,0)</f>
        <v>1</v>
      </c>
      <c r="P103" s="88" t="n">
        <f aca="false">IF(M103=2,1,0)</f>
        <v>0</v>
      </c>
      <c r="Q103" s="88" t="n">
        <f aca="false">IF(M103=3,1,0)</f>
        <v>0</v>
      </c>
      <c r="R103" s="87" t="n">
        <f aca="false">IF(M103=4,1,0)</f>
        <v>0</v>
      </c>
      <c r="S103" s="322"/>
      <c r="T103" s="107"/>
      <c r="U103" s="39"/>
    </row>
    <row r="104" customFormat="false" ht="20.1" hidden="false" customHeight="true" outlineLevel="0" collapsed="false">
      <c r="B104" s="39"/>
      <c r="C104" s="107"/>
      <c r="D104" s="319"/>
      <c r="E104" s="29" t="s">
        <v>178</v>
      </c>
      <c r="F104" s="240" t="s">
        <v>212</v>
      </c>
      <c r="G104" s="186" t="n">
        <v>2</v>
      </c>
      <c r="H104" s="186" t="s">
        <v>46</v>
      </c>
      <c r="I104" s="186" t="n">
        <v>-20</v>
      </c>
      <c r="J104" s="186" t="n">
        <v>43</v>
      </c>
      <c r="K104" s="352" t="s">
        <v>46</v>
      </c>
      <c r="L104" s="116" t="n">
        <f aca="false">IF(J104="",0,(J104/J105)*100)</f>
        <v>79.6296296296296</v>
      </c>
      <c r="M104" s="186" t="n">
        <v>2</v>
      </c>
      <c r="N104" s="309" t="n">
        <v>3</v>
      </c>
      <c r="O104" s="310" t="n">
        <f aca="false">IF(M104=1,1,0)</f>
        <v>0</v>
      </c>
      <c r="P104" s="95" t="n">
        <f aca="false">IF(M104=2,1,0)</f>
        <v>1</v>
      </c>
      <c r="Q104" s="95" t="n">
        <f aca="false">IF(M104=3,1,0)</f>
        <v>0</v>
      </c>
      <c r="R104" s="117" t="n">
        <f aca="false">IF(M104=4,1,0)</f>
        <v>0</v>
      </c>
      <c r="S104" s="322"/>
      <c r="T104" s="107"/>
      <c r="U104" s="39"/>
    </row>
    <row r="105" customFormat="false" ht="20.1" hidden="true" customHeight="true" outlineLevel="1" collapsed="false">
      <c r="B105" s="39"/>
      <c r="C105" s="107"/>
      <c r="D105" s="319"/>
      <c r="E105" s="319"/>
      <c r="F105" s="109"/>
      <c r="G105" s="109"/>
      <c r="H105" s="107"/>
      <c r="I105" s="345" t="s">
        <v>62</v>
      </c>
      <c r="J105" s="98" t="n">
        <f aca="false">MAX(J101:J104)</f>
        <v>54</v>
      </c>
      <c r="K105" s="332"/>
      <c r="L105" s="322"/>
      <c r="M105" s="107"/>
      <c r="N105" s="333" t="s">
        <v>63</v>
      </c>
      <c r="O105" s="102" t="n">
        <f aca="false">SUM(O101:O104)</f>
        <v>1</v>
      </c>
      <c r="P105" s="103" t="n">
        <f aca="false">SUM(P101:P104)</f>
        <v>1</v>
      </c>
      <c r="Q105" s="102" t="n">
        <f aca="false">SUM(Q101:Q104)</f>
        <v>1</v>
      </c>
      <c r="R105" s="104" t="n">
        <f aca="false">SUM(R101:R104)</f>
        <v>1</v>
      </c>
      <c r="S105" s="334"/>
      <c r="T105" s="107"/>
      <c r="U105" s="39"/>
    </row>
    <row r="106" customFormat="false" ht="20.1" hidden="false" customHeight="true" outlineLevel="0" collapsed="false">
      <c r="B106" s="39"/>
      <c r="C106" s="107"/>
      <c r="D106" s="123"/>
      <c r="E106" s="123"/>
      <c r="F106" s="107"/>
      <c r="G106" s="107"/>
      <c r="H106" s="107"/>
      <c r="I106" s="107"/>
      <c r="J106" s="107"/>
      <c r="K106" s="107"/>
      <c r="L106" s="107"/>
      <c r="M106" s="107"/>
      <c r="N106" s="107"/>
      <c r="O106" s="107"/>
      <c r="P106" s="107"/>
      <c r="Q106" s="107"/>
      <c r="R106" s="107"/>
      <c r="S106" s="107"/>
      <c r="T106" s="107"/>
      <c r="U106" s="39"/>
    </row>
    <row r="107" customFormat="false" ht="20.1" hidden="false" customHeight="true" outlineLevel="0" collapsed="false">
      <c r="B107" s="39"/>
      <c r="D107" s="124"/>
      <c r="E107" s="124"/>
      <c r="F107" s="124"/>
      <c r="G107" s="124"/>
      <c r="H107" s="125"/>
      <c r="I107" s="124"/>
      <c r="J107" s="124"/>
      <c r="K107" s="36"/>
      <c r="L107" s="36"/>
      <c r="M107" s="36"/>
      <c r="N107" s="36"/>
      <c r="O107" s="36"/>
      <c r="P107" s="36"/>
      <c r="Q107" s="36"/>
      <c r="R107" s="36"/>
      <c r="S107" s="36"/>
      <c r="U107" s="39"/>
    </row>
    <row r="108" customFormat="false" ht="20.1" hidden="false" customHeight="true" outlineLevel="0" collapsed="false">
      <c r="B108" s="39"/>
      <c r="C108" s="126"/>
      <c r="D108" s="126"/>
      <c r="E108" s="127" t="str">
        <f aca="false">IF(OR(L87="-",L87= ""),H87,L87)</f>
        <v>Clans of Caledonia</v>
      </c>
      <c r="F108" s="127"/>
      <c r="G108" s="127"/>
      <c r="H108" s="127"/>
      <c r="I108" s="127"/>
      <c r="J108" s="127"/>
      <c r="K108" s="127"/>
      <c r="L108" s="127"/>
      <c r="M108" s="127"/>
      <c r="N108" s="127"/>
      <c r="O108" s="128"/>
      <c r="P108" s="128"/>
      <c r="Q108" s="128"/>
      <c r="R108" s="128"/>
      <c r="S108" s="128"/>
      <c r="T108" s="126"/>
      <c r="U108" s="129"/>
    </row>
    <row r="109" customFormat="false" ht="50.1" hidden="false" customHeight="true" outlineLevel="0" collapsed="false">
      <c r="B109" s="39"/>
      <c r="C109" s="126"/>
      <c r="D109" s="128"/>
      <c r="E109" s="263" t="s">
        <v>36</v>
      </c>
      <c r="F109" s="597" t="s">
        <v>222</v>
      </c>
      <c r="G109" s="294" t="s">
        <v>52</v>
      </c>
      <c r="H109" s="264" t="s">
        <v>223</v>
      </c>
      <c r="I109" s="81" t="s">
        <v>224</v>
      </c>
      <c r="J109" s="264" t="s">
        <v>225</v>
      </c>
      <c r="K109" s="295" t="s">
        <v>54</v>
      </c>
      <c r="L109" s="264" t="s">
        <v>55</v>
      </c>
      <c r="M109" s="296" t="s">
        <v>56</v>
      </c>
      <c r="N109" s="294" t="s">
        <v>57</v>
      </c>
      <c r="O109" s="43" t="s">
        <v>58</v>
      </c>
      <c r="P109" s="79" t="s">
        <v>59</v>
      </c>
      <c r="Q109" s="79" t="s">
        <v>60</v>
      </c>
      <c r="R109" s="82" t="s">
        <v>61</v>
      </c>
      <c r="S109" s="128"/>
      <c r="T109" s="126"/>
      <c r="U109" s="129"/>
    </row>
    <row r="110" customFormat="false" ht="20.1" hidden="false" customHeight="true" outlineLevel="0" collapsed="false">
      <c r="B110" s="39"/>
      <c r="C110" s="126"/>
      <c r="D110" s="340"/>
      <c r="E110" s="6" t="s">
        <v>22</v>
      </c>
      <c r="F110" s="229" t="s">
        <v>23</v>
      </c>
      <c r="G110" s="387" t="n">
        <v>1</v>
      </c>
      <c r="H110" s="387" t="s">
        <v>326</v>
      </c>
      <c r="I110" s="387" t="n">
        <v>0</v>
      </c>
      <c r="J110" s="387" t="n">
        <v>138</v>
      </c>
      <c r="K110" s="387" t="s">
        <v>46</v>
      </c>
      <c r="L110" s="388" t="n">
        <f aca="false">IF(J110="",0,(J110/J114)*100)</f>
        <v>77.9661016949153</v>
      </c>
      <c r="M110" s="387" t="n">
        <v>3</v>
      </c>
      <c r="N110" s="389" t="n">
        <v>1</v>
      </c>
      <c r="O110" s="301" t="n">
        <f aca="false">IF(M110=1,1,0)</f>
        <v>0</v>
      </c>
      <c r="P110" s="85" t="n">
        <f aca="false">IF(M110=2,1,0)</f>
        <v>0</v>
      </c>
      <c r="Q110" s="85" t="n">
        <f aca="false">IF(M110=3,1,0)</f>
        <v>1</v>
      </c>
      <c r="R110" s="84" t="n">
        <f aca="false">IF(M110=4,1,0)</f>
        <v>0</v>
      </c>
      <c r="S110" s="339"/>
      <c r="T110" s="126"/>
      <c r="U110" s="131"/>
    </row>
    <row r="111" customFormat="false" ht="20.1" hidden="false" customHeight="true" outlineLevel="0" collapsed="false">
      <c r="B111" s="39"/>
      <c r="C111" s="126"/>
      <c r="D111" s="336"/>
      <c r="E111" s="13" t="s">
        <v>96</v>
      </c>
      <c r="F111" s="237" t="s">
        <v>210</v>
      </c>
      <c r="G111" s="324" t="n">
        <v>4</v>
      </c>
      <c r="H111" s="324" t="s">
        <v>365</v>
      </c>
      <c r="I111" s="324" t="n">
        <v>0</v>
      </c>
      <c r="J111" s="324" t="n">
        <v>89</v>
      </c>
      <c r="K111" s="325" t="s">
        <v>46</v>
      </c>
      <c r="L111" s="341" t="n">
        <f aca="false">IF(J111="",0,(J111/J114)*100)</f>
        <v>50.2824858757062</v>
      </c>
      <c r="M111" s="324" t="n">
        <v>4</v>
      </c>
      <c r="N111" s="327" t="n">
        <v>0</v>
      </c>
      <c r="O111" s="305" t="n">
        <f aca="false">IF(M111=1,1,0)</f>
        <v>0</v>
      </c>
      <c r="P111" s="88" t="n">
        <f aca="false">IF(M111=2,1,0)</f>
        <v>0</v>
      </c>
      <c r="Q111" s="88" t="n">
        <f aca="false">IF(M111=3,1,0)</f>
        <v>0</v>
      </c>
      <c r="R111" s="87" t="n">
        <f aca="false">IF(M111=4,1,0)</f>
        <v>1</v>
      </c>
      <c r="S111" s="339"/>
      <c r="T111" s="126"/>
      <c r="U111" s="132"/>
    </row>
    <row r="112" customFormat="false" ht="20.1" hidden="false" customHeight="true" outlineLevel="0" collapsed="false">
      <c r="B112" s="39"/>
      <c r="C112" s="126"/>
      <c r="D112" s="336"/>
      <c r="E112" s="342" t="s">
        <v>31</v>
      </c>
      <c r="F112" s="343" t="s">
        <v>32</v>
      </c>
      <c r="G112" s="112" t="n">
        <v>2</v>
      </c>
      <c r="H112" s="112" t="s">
        <v>328</v>
      </c>
      <c r="I112" s="112" t="n">
        <v>0</v>
      </c>
      <c r="J112" s="112" t="n">
        <v>177</v>
      </c>
      <c r="K112" s="112" t="s">
        <v>46</v>
      </c>
      <c r="L112" s="113" t="n">
        <f aca="false">IF(J112="",0,(J112/J114)*100)</f>
        <v>100</v>
      </c>
      <c r="M112" s="112" t="n">
        <v>1</v>
      </c>
      <c r="N112" s="344" t="n">
        <v>6</v>
      </c>
      <c r="O112" s="305" t="n">
        <f aca="false">IF(M112=1,1,0)</f>
        <v>1</v>
      </c>
      <c r="P112" s="88" t="n">
        <f aca="false">IF(M112=2,1,0)</f>
        <v>0</v>
      </c>
      <c r="Q112" s="88" t="n">
        <f aca="false">IF(M112=3,1,0)</f>
        <v>0</v>
      </c>
      <c r="R112" s="87" t="n">
        <f aca="false">IF(M112=4,1,0)</f>
        <v>0</v>
      </c>
      <c r="S112" s="339"/>
      <c r="T112" s="126"/>
      <c r="U112" s="132"/>
    </row>
    <row r="113" customFormat="false" ht="20.1" hidden="false" customHeight="true" outlineLevel="0" collapsed="false">
      <c r="B113" s="39"/>
      <c r="C113" s="126"/>
      <c r="D113" s="336"/>
      <c r="E113" s="29" t="s">
        <v>178</v>
      </c>
      <c r="F113" s="240" t="s">
        <v>212</v>
      </c>
      <c r="G113" s="186" t="n">
        <v>3</v>
      </c>
      <c r="H113" s="186" t="s">
        <v>329</v>
      </c>
      <c r="I113" s="186" t="n">
        <v>0</v>
      </c>
      <c r="J113" s="186" t="n">
        <v>141</v>
      </c>
      <c r="K113" s="352" t="s">
        <v>46</v>
      </c>
      <c r="L113" s="116" t="n">
        <f aca="false">IF(J113="",0,(J113/J114)*100)</f>
        <v>79.6610169491525</v>
      </c>
      <c r="M113" s="186" t="n">
        <v>2</v>
      </c>
      <c r="N113" s="309" t="n">
        <v>3</v>
      </c>
      <c r="O113" s="310" t="n">
        <f aca="false">IF(M113=1,1,0)</f>
        <v>0</v>
      </c>
      <c r="P113" s="95" t="n">
        <f aca="false">IF(M113=2,1,0)</f>
        <v>1</v>
      </c>
      <c r="Q113" s="95" t="n">
        <f aca="false">IF(M113=3,1,0)</f>
        <v>0</v>
      </c>
      <c r="R113" s="117" t="n">
        <f aca="false">IF(M113=4,1,0)</f>
        <v>0</v>
      </c>
      <c r="S113" s="339"/>
      <c r="T113" s="126"/>
      <c r="U113" s="132"/>
    </row>
    <row r="114" customFormat="false" ht="20.1" hidden="true" customHeight="true" outlineLevel="1" collapsed="false">
      <c r="B114" s="39"/>
      <c r="C114" s="126"/>
      <c r="D114" s="336"/>
      <c r="E114" s="336"/>
      <c r="F114" s="339"/>
      <c r="G114" s="339"/>
      <c r="H114" s="126"/>
      <c r="I114" s="345" t="s">
        <v>62</v>
      </c>
      <c r="J114" s="98" t="n">
        <f aca="false">MAX(J110:J113)</f>
        <v>177</v>
      </c>
      <c r="K114" s="346"/>
      <c r="L114" s="339"/>
      <c r="M114" s="126"/>
      <c r="N114" s="333" t="s">
        <v>63</v>
      </c>
      <c r="O114" s="102" t="n">
        <f aca="false">SUM(O110:O113)</f>
        <v>1</v>
      </c>
      <c r="P114" s="103" t="n">
        <f aca="false">SUM(P110:P113)</f>
        <v>1</v>
      </c>
      <c r="Q114" s="102" t="n">
        <f aca="false">SUM(Q110:Q113)</f>
        <v>1</v>
      </c>
      <c r="R114" s="104" t="n">
        <f aca="false">SUM(R110:R113)</f>
        <v>1</v>
      </c>
      <c r="S114" s="347"/>
      <c r="T114" s="126"/>
      <c r="U114" s="132"/>
    </row>
    <row r="115" customFormat="false" ht="20.1" hidden="false" customHeight="true" outlineLevel="0" collapsed="false">
      <c r="B115" s="39"/>
      <c r="C115" s="126"/>
      <c r="D115" s="133"/>
      <c r="E115" s="133"/>
      <c r="F115" s="126"/>
      <c r="G115" s="126"/>
      <c r="H115" s="126"/>
      <c r="I115" s="126"/>
      <c r="J115" s="126"/>
      <c r="K115" s="126"/>
      <c r="L115" s="126"/>
      <c r="M115" s="126"/>
      <c r="N115" s="126"/>
      <c r="O115" s="126"/>
      <c r="P115" s="126"/>
      <c r="Q115" s="126"/>
      <c r="R115" s="126"/>
      <c r="S115" s="126"/>
      <c r="T115" s="126"/>
      <c r="U115" s="132"/>
    </row>
    <row r="116" customFormat="false" ht="20.1" hidden="false" customHeight="true" outlineLevel="0" collapsed="false">
      <c r="B116" s="39"/>
      <c r="D116" s="124"/>
      <c r="E116" s="124"/>
      <c r="F116" s="124"/>
      <c r="G116" s="124"/>
      <c r="H116" s="125"/>
      <c r="I116" s="124"/>
      <c r="J116" s="124"/>
      <c r="K116" s="124"/>
      <c r="L116" s="36"/>
      <c r="M116" s="36"/>
      <c r="N116" s="36"/>
      <c r="O116" s="36"/>
      <c r="P116" s="36"/>
      <c r="Q116" s="36"/>
      <c r="R116" s="36"/>
      <c r="S116" s="36"/>
      <c r="U116" s="131"/>
    </row>
    <row r="117" customFormat="false" ht="20.1" hidden="false" customHeight="true" outlineLevel="0" collapsed="false">
      <c r="B117" s="39"/>
      <c r="C117" s="134"/>
      <c r="D117" s="134"/>
      <c r="E117" s="135" t="str">
        <f aca="false">IF(OR(L88="-",L88= ""),H88,L88)</f>
        <v>Auf den Spuren von Marco Polo</v>
      </c>
      <c r="F117" s="135"/>
      <c r="G117" s="135"/>
      <c r="H117" s="135"/>
      <c r="I117" s="135"/>
      <c r="J117" s="135"/>
      <c r="K117" s="135"/>
      <c r="L117" s="135"/>
      <c r="M117" s="135"/>
      <c r="N117" s="135"/>
      <c r="O117" s="136"/>
      <c r="P117" s="136"/>
      <c r="Q117" s="136"/>
      <c r="R117" s="136"/>
      <c r="S117" s="136"/>
      <c r="T117" s="134"/>
      <c r="U117" s="39"/>
    </row>
    <row r="118" customFormat="false" ht="50.1" hidden="false" customHeight="true" outlineLevel="0" collapsed="false">
      <c r="B118" s="39"/>
      <c r="C118" s="134"/>
      <c r="D118" s="136"/>
      <c r="E118" s="263" t="s">
        <v>36</v>
      </c>
      <c r="F118" s="597" t="s">
        <v>222</v>
      </c>
      <c r="G118" s="294" t="s">
        <v>52</v>
      </c>
      <c r="H118" s="264" t="s">
        <v>223</v>
      </c>
      <c r="I118" s="81" t="s">
        <v>224</v>
      </c>
      <c r="J118" s="264" t="s">
        <v>225</v>
      </c>
      <c r="K118" s="295" t="s">
        <v>54</v>
      </c>
      <c r="L118" s="264" t="s">
        <v>55</v>
      </c>
      <c r="M118" s="296" t="s">
        <v>56</v>
      </c>
      <c r="N118" s="294" t="s">
        <v>57</v>
      </c>
      <c r="O118" s="43" t="s">
        <v>58</v>
      </c>
      <c r="P118" s="79" t="s">
        <v>59</v>
      </c>
      <c r="Q118" s="79" t="s">
        <v>60</v>
      </c>
      <c r="R118" s="82" t="s">
        <v>61</v>
      </c>
      <c r="S118" s="136"/>
      <c r="T118" s="134"/>
      <c r="U118" s="39"/>
    </row>
    <row r="119" customFormat="false" ht="20.1" hidden="false" customHeight="true" outlineLevel="0" collapsed="false">
      <c r="B119" s="39"/>
      <c r="C119" s="134"/>
      <c r="D119" s="349"/>
      <c r="E119" s="6" t="s">
        <v>22</v>
      </c>
      <c r="F119" s="229" t="s">
        <v>23</v>
      </c>
      <c r="G119" s="387" t="n">
        <v>2</v>
      </c>
      <c r="H119" s="387" t="s">
        <v>366</v>
      </c>
      <c r="I119" s="387" t="n">
        <v>0</v>
      </c>
      <c r="J119" s="387" t="n">
        <v>61</v>
      </c>
      <c r="K119" s="387" t="s">
        <v>46</v>
      </c>
      <c r="L119" s="388" t="n">
        <f aca="false">IF(J119="",0,(J119/J123)*100)</f>
        <v>75.3086419753087</v>
      </c>
      <c r="M119" s="387" t="n">
        <v>3</v>
      </c>
      <c r="N119" s="389" t="n">
        <v>1</v>
      </c>
      <c r="O119" s="301" t="n">
        <f aca="false">IF(M119=1,1,0)</f>
        <v>0</v>
      </c>
      <c r="P119" s="85" t="n">
        <f aca="false">IF(M119=2,1,0)</f>
        <v>0</v>
      </c>
      <c r="Q119" s="85" t="n">
        <f aca="false">IF(M119=3,1,0)</f>
        <v>1</v>
      </c>
      <c r="R119" s="84" t="n">
        <f aca="false">IF(M119=4,1,0)</f>
        <v>0</v>
      </c>
      <c r="S119" s="350"/>
      <c r="T119" s="134"/>
      <c r="U119" s="39"/>
    </row>
    <row r="120" customFormat="false" ht="20.1" hidden="false" customHeight="true" outlineLevel="0" collapsed="false">
      <c r="B120" s="39"/>
      <c r="C120" s="134"/>
      <c r="D120" s="349"/>
      <c r="E120" s="13" t="s">
        <v>96</v>
      </c>
      <c r="F120" s="237" t="s">
        <v>210</v>
      </c>
      <c r="G120" s="324" t="n">
        <v>4</v>
      </c>
      <c r="H120" s="324" t="s">
        <v>367</v>
      </c>
      <c r="I120" s="324" t="n">
        <v>0</v>
      </c>
      <c r="J120" s="324" t="n">
        <v>66</v>
      </c>
      <c r="K120" s="325" t="s">
        <v>46</v>
      </c>
      <c r="L120" s="341" t="n">
        <f aca="false">IF(J120="",0,(J120/J123)*100)</f>
        <v>81.4814814814815</v>
      </c>
      <c r="M120" s="324" t="n">
        <v>2</v>
      </c>
      <c r="N120" s="327" t="n">
        <v>3</v>
      </c>
      <c r="O120" s="305" t="n">
        <f aca="false">IF(M120=1,1,0)</f>
        <v>0</v>
      </c>
      <c r="P120" s="88" t="n">
        <f aca="false">IF(M120=2,1,0)</f>
        <v>1</v>
      </c>
      <c r="Q120" s="88" t="n">
        <f aca="false">IF(M120=3,1,0)</f>
        <v>0</v>
      </c>
      <c r="R120" s="87" t="n">
        <f aca="false">IF(M120=4,1,0)</f>
        <v>0</v>
      </c>
      <c r="S120" s="350"/>
      <c r="T120" s="134"/>
      <c r="U120" s="39"/>
    </row>
    <row r="121" customFormat="false" ht="20.1" hidden="false" customHeight="true" outlineLevel="0" collapsed="false">
      <c r="B121" s="39"/>
      <c r="C121" s="134"/>
      <c r="D121" s="349"/>
      <c r="E121" s="342" t="s">
        <v>31</v>
      </c>
      <c r="F121" s="343" t="s">
        <v>32</v>
      </c>
      <c r="G121" s="112" t="n">
        <v>3</v>
      </c>
      <c r="H121" s="112" t="s">
        <v>368</v>
      </c>
      <c r="I121" s="112" t="n">
        <v>0</v>
      </c>
      <c r="J121" s="112" t="n">
        <v>81</v>
      </c>
      <c r="K121" s="112" t="s">
        <v>46</v>
      </c>
      <c r="L121" s="113" t="n">
        <f aca="false">IF(J121="",0,(J121/J123)*100)</f>
        <v>100</v>
      </c>
      <c r="M121" s="112" t="n">
        <v>1</v>
      </c>
      <c r="N121" s="344" t="n">
        <v>6</v>
      </c>
      <c r="O121" s="305" t="n">
        <f aca="false">IF(M121=1,1,0)</f>
        <v>1</v>
      </c>
      <c r="P121" s="88" t="n">
        <f aca="false">IF(M121=2,1,0)</f>
        <v>0</v>
      </c>
      <c r="Q121" s="88" t="n">
        <f aca="false">IF(M121=3,1,0)</f>
        <v>0</v>
      </c>
      <c r="R121" s="87" t="n">
        <f aca="false">IF(M121=4,1,0)</f>
        <v>0</v>
      </c>
      <c r="S121" s="350"/>
      <c r="T121" s="134"/>
      <c r="U121" s="39"/>
    </row>
    <row r="122" customFormat="false" ht="20.1" hidden="false" customHeight="true" outlineLevel="0" collapsed="false">
      <c r="B122" s="39"/>
      <c r="C122" s="134"/>
      <c r="D122" s="351"/>
      <c r="E122" s="29" t="s">
        <v>178</v>
      </c>
      <c r="F122" s="240" t="s">
        <v>212</v>
      </c>
      <c r="G122" s="186" t="n">
        <v>1</v>
      </c>
      <c r="H122" s="186" t="s">
        <v>369</v>
      </c>
      <c r="I122" s="186" t="n">
        <v>0</v>
      </c>
      <c r="J122" s="186" t="n">
        <v>45</v>
      </c>
      <c r="K122" s="352" t="s">
        <v>46</v>
      </c>
      <c r="L122" s="116" t="n">
        <f aca="false">IF(J122="",0,(J122/J123)*100)</f>
        <v>55.5555555555556</v>
      </c>
      <c r="M122" s="186" t="n">
        <v>4</v>
      </c>
      <c r="N122" s="309" t="n">
        <v>0</v>
      </c>
      <c r="O122" s="310" t="n">
        <f aca="false">IF(M122=1,1,0)</f>
        <v>0</v>
      </c>
      <c r="P122" s="95" t="n">
        <f aca="false">IF(M122=2,1,0)</f>
        <v>0</v>
      </c>
      <c r="Q122" s="95" t="n">
        <f aca="false">IF(M122=3,1,0)</f>
        <v>0</v>
      </c>
      <c r="R122" s="117" t="n">
        <f aca="false">IF(M122=4,1,0)</f>
        <v>1</v>
      </c>
      <c r="S122" s="350"/>
      <c r="T122" s="134"/>
      <c r="U122" s="39"/>
    </row>
    <row r="123" customFormat="false" ht="20.1" hidden="true" customHeight="true" outlineLevel="1" collapsed="false">
      <c r="B123" s="39"/>
      <c r="C123" s="134"/>
      <c r="D123" s="349"/>
      <c r="E123" s="349"/>
      <c r="F123" s="350"/>
      <c r="G123" s="350"/>
      <c r="H123" s="134"/>
      <c r="I123" s="345" t="s">
        <v>62</v>
      </c>
      <c r="J123" s="98" t="n">
        <f aca="false">MAX(J119:J122)</f>
        <v>81</v>
      </c>
      <c r="K123" s="353"/>
      <c r="L123" s="350"/>
      <c r="M123" s="134"/>
      <c r="N123" s="333" t="s">
        <v>63</v>
      </c>
      <c r="O123" s="102" t="n">
        <f aca="false">SUM(O119:O122)</f>
        <v>1</v>
      </c>
      <c r="P123" s="103" t="n">
        <f aca="false">SUM(P119:P122)</f>
        <v>1</v>
      </c>
      <c r="Q123" s="102" t="n">
        <f aca="false">SUM(Q119:Q122)</f>
        <v>1</v>
      </c>
      <c r="R123" s="104" t="n">
        <f aca="false">SUM(R119:R122)</f>
        <v>1</v>
      </c>
      <c r="S123" s="354"/>
      <c r="T123" s="134"/>
      <c r="U123" s="39"/>
    </row>
    <row r="124" customFormat="false" ht="20.1" hidden="false" customHeight="true" outlineLevel="0" collapsed="false">
      <c r="B124" s="39"/>
      <c r="C124" s="134"/>
      <c r="D124" s="137"/>
      <c r="E124" s="137"/>
      <c r="F124" s="134"/>
      <c r="G124" s="134"/>
      <c r="H124" s="134"/>
      <c r="I124" s="134"/>
      <c r="J124" s="134"/>
      <c r="K124" s="134"/>
      <c r="L124" s="134"/>
      <c r="M124" s="134"/>
      <c r="N124" s="134"/>
      <c r="O124" s="134"/>
      <c r="P124" s="134"/>
      <c r="Q124" s="134"/>
      <c r="R124" s="134"/>
      <c r="S124" s="134"/>
      <c r="T124" s="134"/>
      <c r="U124" s="39"/>
    </row>
    <row r="125" customFormat="false" ht="20.1" hidden="false" customHeight="true" outlineLevel="0" collapsed="false">
      <c r="B125" s="39"/>
      <c r="D125" s="138"/>
      <c r="E125" s="138"/>
      <c r="F125" s="138"/>
      <c r="G125" s="138"/>
      <c r="H125" s="138"/>
      <c r="I125" s="138"/>
      <c r="J125" s="138"/>
      <c r="K125" s="36"/>
      <c r="L125" s="36"/>
      <c r="M125" s="36"/>
      <c r="N125" s="36"/>
      <c r="O125" s="36"/>
      <c r="P125" s="36"/>
      <c r="Q125" s="36"/>
      <c r="R125" s="36"/>
      <c r="S125" s="36"/>
      <c r="U125" s="39"/>
    </row>
    <row r="126" customFormat="false" ht="30" hidden="false" customHeight="true" outlineLevel="0" collapsed="false">
      <c r="B126" s="39"/>
      <c r="C126" s="139"/>
      <c r="D126" s="140" t="s">
        <v>165</v>
      </c>
      <c r="E126" s="140"/>
      <c r="F126" s="140"/>
      <c r="G126" s="140"/>
      <c r="H126" s="140"/>
      <c r="I126" s="140"/>
      <c r="J126" s="140"/>
      <c r="K126" s="140"/>
      <c r="L126" s="140"/>
      <c r="M126" s="140"/>
      <c r="N126" s="140"/>
      <c r="O126" s="140"/>
      <c r="P126" s="140"/>
      <c r="Q126" s="140"/>
      <c r="R126" s="140"/>
      <c r="S126" s="140"/>
      <c r="T126" s="139"/>
      <c r="U126" s="39"/>
    </row>
    <row r="127" customFormat="false" ht="50.1" hidden="false" customHeight="true" outlineLevel="0" collapsed="false">
      <c r="B127" s="39"/>
      <c r="C127" s="139"/>
      <c r="D127" s="356" t="s">
        <v>36</v>
      </c>
      <c r="E127" s="357" t="s">
        <v>218</v>
      </c>
      <c r="F127" s="358" t="s">
        <v>57</v>
      </c>
      <c r="G127" s="146" t="s">
        <v>236</v>
      </c>
      <c r="H127" s="143" t="s">
        <v>237</v>
      </c>
      <c r="I127" s="143"/>
      <c r="J127" s="488" t="s">
        <v>238</v>
      </c>
      <c r="K127" s="359" t="s">
        <v>65</v>
      </c>
      <c r="L127" s="358" t="s">
        <v>66</v>
      </c>
      <c r="M127" s="359" t="s">
        <v>67</v>
      </c>
      <c r="N127" s="358" t="s">
        <v>68</v>
      </c>
      <c r="O127" s="600"/>
      <c r="P127" s="601"/>
      <c r="Q127" s="601"/>
      <c r="R127" s="601"/>
      <c r="S127" s="357" t="s">
        <v>69</v>
      </c>
      <c r="T127" s="139"/>
      <c r="U127" s="39"/>
    </row>
    <row r="128" customFormat="false" ht="20.1" hidden="false" customHeight="true" outlineLevel="0" collapsed="false">
      <c r="B128" s="39"/>
      <c r="C128" s="139"/>
      <c r="D128" s="759" t="s">
        <v>31</v>
      </c>
      <c r="E128" s="724" t="s">
        <v>32</v>
      </c>
      <c r="F128" s="630" t="n">
        <f aca="false">K128*6+L128*3+M128*1+N128*0</f>
        <v>18</v>
      </c>
      <c r="G128" s="631" t="n">
        <v>0</v>
      </c>
      <c r="H128" s="631" t="s">
        <v>46</v>
      </c>
      <c r="I128" s="631"/>
      <c r="J128" s="630" t="n">
        <f aca="false">F128+G128</f>
        <v>18</v>
      </c>
      <c r="K128" s="630" t="n">
        <v>3</v>
      </c>
      <c r="L128" s="630" t="n">
        <v>0</v>
      </c>
      <c r="M128" s="630" t="n">
        <v>0</v>
      </c>
      <c r="N128" s="630" t="n">
        <v>1</v>
      </c>
      <c r="O128" s="725"/>
      <c r="P128" s="631"/>
      <c r="Q128" s="631"/>
      <c r="R128" s="631"/>
      <c r="S128" s="635" t="n">
        <f aca="false">($L$94+$L$103+$L$112+$L$121)/4</f>
        <v>87.9865034526052</v>
      </c>
      <c r="T128" s="139"/>
      <c r="U128" s="39"/>
    </row>
    <row r="129" customFormat="false" ht="20.1" hidden="false" customHeight="true" outlineLevel="0" collapsed="false">
      <c r="B129" s="39"/>
      <c r="C129" s="139"/>
      <c r="D129" s="365" t="s">
        <v>96</v>
      </c>
      <c r="E129" s="609" t="s">
        <v>210</v>
      </c>
      <c r="F129" s="400" t="n">
        <f aca="false">K129*6+L129*3+M129*1+N129*0</f>
        <v>10</v>
      </c>
      <c r="G129" s="192" t="n">
        <v>0</v>
      </c>
      <c r="H129" s="192" t="s">
        <v>46</v>
      </c>
      <c r="I129" s="192"/>
      <c r="J129" s="400" t="n">
        <f aca="false">F129+G129</f>
        <v>10</v>
      </c>
      <c r="K129" s="400" t="n">
        <v>1</v>
      </c>
      <c r="L129" s="400" t="n">
        <v>1</v>
      </c>
      <c r="M129" s="400" t="n">
        <v>1</v>
      </c>
      <c r="N129" s="400" t="n">
        <v>1</v>
      </c>
      <c r="O129" s="726"/>
      <c r="P129" s="192"/>
      <c r="Q129" s="192"/>
      <c r="R129" s="192"/>
      <c r="S129" s="367" t="n">
        <f aca="false">($L$93+$L$102+$L$111+$L$120)/4</f>
        <v>70.9039548022599</v>
      </c>
      <c r="T129" s="139"/>
      <c r="U129" s="39"/>
      <c r="W129" s="32"/>
      <c r="X129" s="32"/>
      <c r="Y129" s="120"/>
      <c r="Z129" s="120"/>
      <c r="AA129" s="194"/>
      <c r="AB129" s="194"/>
      <c r="AC129" s="195"/>
      <c r="AD129" s="195"/>
      <c r="AE129" s="195"/>
    </row>
    <row r="130" customFormat="false" ht="20.1" hidden="false" customHeight="true" outlineLevel="0" collapsed="false">
      <c r="B130" s="39"/>
      <c r="C130" s="139"/>
      <c r="D130" s="365" t="s">
        <v>178</v>
      </c>
      <c r="E130" s="609" t="s">
        <v>211</v>
      </c>
      <c r="F130" s="400" t="n">
        <f aca="false">K130*6+L130*3+M130*1+N130*0</f>
        <v>7</v>
      </c>
      <c r="G130" s="192" t="n">
        <v>0</v>
      </c>
      <c r="H130" s="192" t="s">
        <v>46</v>
      </c>
      <c r="I130" s="192"/>
      <c r="J130" s="400" t="n">
        <f aca="false">F130+G130</f>
        <v>7</v>
      </c>
      <c r="K130" s="400" t="n">
        <v>0</v>
      </c>
      <c r="L130" s="400" t="n">
        <v>2</v>
      </c>
      <c r="M130" s="400" t="n">
        <v>1</v>
      </c>
      <c r="N130" s="400" t="n">
        <v>1</v>
      </c>
      <c r="O130" s="726"/>
      <c r="P130" s="192"/>
      <c r="Q130" s="192"/>
      <c r="R130" s="192"/>
      <c r="S130" s="367" t="n">
        <f aca="false">($L$95+$L$104+$L$113+$L$122)/4</f>
        <v>70.8054334937574</v>
      </c>
      <c r="T130" s="139"/>
      <c r="U130" s="39"/>
    </row>
    <row r="131" customFormat="false" ht="20.1" hidden="false" customHeight="true" outlineLevel="0" collapsed="false">
      <c r="B131" s="39"/>
      <c r="C131" s="139"/>
      <c r="D131" s="368" t="s">
        <v>22</v>
      </c>
      <c r="E131" s="611" t="s">
        <v>23</v>
      </c>
      <c r="F131" s="402" t="n">
        <f aca="false">K131*6+L131*3+M131*1+N131*0</f>
        <v>5</v>
      </c>
      <c r="G131" s="370" t="n">
        <v>0</v>
      </c>
      <c r="H131" s="691" t="s">
        <v>46</v>
      </c>
      <c r="I131" s="691"/>
      <c r="J131" s="402" t="n">
        <f aca="false">F131+G131</f>
        <v>5</v>
      </c>
      <c r="K131" s="402" t="n">
        <v>0</v>
      </c>
      <c r="L131" s="402" t="n">
        <v>1</v>
      </c>
      <c r="M131" s="402" t="n">
        <v>2</v>
      </c>
      <c r="N131" s="402" t="n">
        <v>1</v>
      </c>
      <c r="O131" s="727"/>
      <c r="P131" s="370"/>
      <c r="Q131" s="370"/>
      <c r="R131" s="370"/>
      <c r="S131" s="371" t="n">
        <f aca="false">($L$92+$L$101+$L$110+$L$119)/4</f>
        <v>68.7225360954175</v>
      </c>
      <c r="T131" s="139"/>
      <c r="U131" s="39"/>
    </row>
    <row r="132" customFormat="false" ht="20.1" hidden="false" customHeight="true" outlineLevel="0" collapsed="false">
      <c r="B132" s="39"/>
      <c r="C132" s="139"/>
      <c r="D132" s="139"/>
      <c r="E132" s="139"/>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39"/>
      <c r="D133" s="169"/>
      <c r="E133" s="169"/>
      <c r="F133" s="129"/>
      <c r="G133" s="129"/>
      <c r="H133" s="169"/>
      <c r="I133" s="169"/>
      <c r="J133" s="169"/>
      <c r="K133" s="131"/>
      <c r="L133" s="131"/>
      <c r="M133" s="131"/>
      <c r="N133" s="131"/>
      <c r="O133" s="131"/>
      <c r="P133" s="131"/>
      <c r="Q133" s="131"/>
      <c r="R133" s="131"/>
      <c r="S133" s="131"/>
      <c r="T133" s="39"/>
      <c r="U133" s="39"/>
    </row>
    <row r="134" customFormat="false" ht="20.1" hidden="false" customHeight="true" outlineLevel="0" collapsed="false"/>
    <row r="135" customFormat="false" ht="20.1" hidden="false" customHeight="true" outlineLevel="0" collapsed="false"/>
    <row r="136" customFormat="false" ht="20.1" hidden="false" customHeight="true" outlineLevel="0" collapsed="false">
      <c r="B136" s="39"/>
      <c r="C136" s="39"/>
      <c r="D136" s="40"/>
      <c r="E136" s="40"/>
      <c r="F136" s="40"/>
      <c r="G136" s="40"/>
      <c r="H136" s="39"/>
      <c r="I136" s="39"/>
      <c r="J136" s="39"/>
      <c r="K136" s="39"/>
      <c r="L136" s="39"/>
      <c r="M136" s="39"/>
      <c r="N136" s="39"/>
      <c r="O136" s="39"/>
      <c r="P136" s="39"/>
      <c r="Q136" s="39"/>
      <c r="R136" s="39"/>
      <c r="S136" s="39"/>
      <c r="T136" s="39"/>
      <c r="U136" s="39"/>
    </row>
    <row r="137" customFormat="false" ht="30" hidden="false" customHeight="true" outlineLevel="0" collapsed="false">
      <c r="B137" s="39"/>
      <c r="C137" s="442" t="s">
        <v>370</v>
      </c>
      <c r="D137" s="442"/>
      <c r="E137" s="442"/>
      <c r="F137" s="442"/>
      <c r="G137" s="442"/>
      <c r="H137" s="442"/>
      <c r="I137" s="442"/>
      <c r="J137" s="442"/>
      <c r="K137" s="442"/>
      <c r="L137" s="442"/>
      <c r="M137" s="442"/>
      <c r="N137" s="442"/>
      <c r="O137" s="442"/>
      <c r="P137" s="442"/>
      <c r="Q137" s="442"/>
      <c r="R137" s="442"/>
      <c r="S137" s="442"/>
      <c r="T137" s="442"/>
      <c r="U137" s="39"/>
    </row>
    <row r="138" customFormat="false" ht="20.1" hidden="false" customHeight="true" outlineLevel="0" collapsed="false">
      <c r="B138" s="39"/>
      <c r="D138" s="36"/>
      <c r="E138" s="36"/>
      <c r="U138" s="39"/>
    </row>
    <row r="139" customFormat="false" ht="20.1" hidden="false" customHeight="true" outlineLevel="0" collapsed="false">
      <c r="B139" s="39"/>
      <c r="D139" s="615" t="s">
        <v>36</v>
      </c>
      <c r="E139" s="266" t="s">
        <v>239</v>
      </c>
      <c r="F139" s="294" t="s">
        <v>6</v>
      </c>
      <c r="G139" s="616" t="s">
        <v>110</v>
      </c>
      <c r="H139" s="616"/>
      <c r="I139" s="616"/>
      <c r="J139" s="616"/>
      <c r="K139" s="264" t="s">
        <v>71</v>
      </c>
      <c r="L139" s="266" t="s">
        <v>40</v>
      </c>
      <c r="M139" s="266"/>
      <c r="N139" s="266"/>
      <c r="O139" s="266"/>
      <c r="P139" s="266"/>
      <c r="Q139" s="266"/>
      <c r="R139" s="266"/>
      <c r="S139" s="266"/>
      <c r="U139" s="39"/>
    </row>
    <row r="140" customFormat="false" ht="20.1" hidden="false" customHeight="true" outlineLevel="0" collapsed="false">
      <c r="B140" s="39"/>
      <c r="D140" s="615"/>
      <c r="E140" s="266"/>
      <c r="F140" s="294"/>
      <c r="G140" s="268" t="s">
        <v>111</v>
      </c>
      <c r="H140" s="267" t="s">
        <v>41</v>
      </c>
      <c r="I140" s="294" t="s">
        <v>42</v>
      </c>
      <c r="J140" s="294"/>
      <c r="K140" s="267" t="s">
        <v>43</v>
      </c>
      <c r="L140" s="372" t="s">
        <v>111</v>
      </c>
      <c r="M140" s="270" t="s">
        <v>44</v>
      </c>
      <c r="N140" s="384" t="s">
        <v>42</v>
      </c>
      <c r="O140" s="384"/>
      <c r="P140" s="384"/>
      <c r="Q140" s="384"/>
      <c r="R140" s="384"/>
      <c r="S140" s="384"/>
      <c r="U140" s="39"/>
    </row>
    <row r="141" customFormat="false" ht="20.1" hidden="false" customHeight="true" outlineLevel="0" collapsed="false">
      <c r="B141" s="39"/>
      <c r="D141" s="6" t="s">
        <v>12</v>
      </c>
      <c r="E141" s="229" t="s">
        <v>13</v>
      </c>
      <c r="F141" s="12" t="n">
        <v>1</v>
      </c>
      <c r="G141" s="374" t="s">
        <v>85</v>
      </c>
      <c r="H141" s="643" t="s">
        <v>134</v>
      </c>
      <c r="I141" s="587" t="s">
        <v>46</v>
      </c>
      <c r="J141" s="587"/>
      <c r="K141" s="760" t="s">
        <v>50</v>
      </c>
      <c r="L141" s="272" t="s">
        <v>46</v>
      </c>
      <c r="M141" s="276" t="s">
        <v>46</v>
      </c>
      <c r="N141" s="444" t="s">
        <v>46</v>
      </c>
      <c r="O141" s="444"/>
      <c r="P141" s="444"/>
      <c r="Q141" s="444"/>
      <c r="R141" s="444"/>
      <c r="S141" s="444"/>
      <c r="U141" s="39"/>
    </row>
    <row r="142" customFormat="false" ht="80.1" hidden="false" customHeight="true" outlineLevel="0" collapsed="false">
      <c r="B142" s="39"/>
      <c r="D142" s="303" t="s">
        <v>7</v>
      </c>
      <c r="E142" s="304" t="s">
        <v>8</v>
      </c>
      <c r="F142" s="19" t="n">
        <v>2</v>
      </c>
      <c r="G142" s="446" t="s">
        <v>85</v>
      </c>
      <c r="H142" s="620" t="s">
        <v>115</v>
      </c>
      <c r="I142" s="590" t="s">
        <v>220</v>
      </c>
      <c r="J142" s="590"/>
      <c r="K142" s="688" t="s">
        <v>371</v>
      </c>
      <c r="L142" s="278" t="s">
        <v>46</v>
      </c>
      <c r="M142" s="282" t="s">
        <v>46</v>
      </c>
      <c r="N142" s="447" t="s">
        <v>46</v>
      </c>
      <c r="O142" s="447"/>
      <c r="P142" s="447"/>
      <c r="Q142" s="447"/>
      <c r="R142" s="447"/>
      <c r="S142" s="447"/>
      <c r="U142" s="39"/>
    </row>
    <row r="143" customFormat="false" ht="50.1" hidden="false" customHeight="true" outlineLevel="0" collapsed="false">
      <c r="B143" s="39"/>
      <c r="D143" s="711" t="s">
        <v>260</v>
      </c>
      <c r="E143" s="397" t="s">
        <v>261</v>
      </c>
      <c r="F143" s="23" t="n">
        <v>3</v>
      </c>
      <c r="G143" s="520" t="s">
        <v>114</v>
      </c>
      <c r="H143" s="688" t="s">
        <v>371</v>
      </c>
      <c r="I143" s="689" t="s">
        <v>320</v>
      </c>
      <c r="J143" s="689"/>
      <c r="K143" s="761" t="s">
        <v>50</v>
      </c>
      <c r="L143" s="287" t="s">
        <v>46</v>
      </c>
      <c r="M143" s="291" t="s">
        <v>46</v>
      </c>
      <c r="N143" s="450" t="s">
        <v>46</v>
      </c>
      <c r="O143" s="450"/>
      <c r="P143" s="450"/>
      <c r="Q143" s="450"/>
      <c r="R143" s="450"/>
      <c r="S143" s="450"/>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IF(OR(L141="-",L141= ""),H141,L141)</f>
        <v>Stone Age</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12</v>
      </c>
      <c r="F147" s="521" t="s">
        <v>13</v>
      </c>
      <c r="G147" s="182" t="n">
        <v>2</v>
      </c>
      <c r="H147" s="182" t="s">
        <v>46</v>
      </c>
      <c r="I147" s="182" t="n">
        <v>0</v>
      </c>
      <c r="J147" s="182" t="n">
        <v>185</v>
      </c>
      <c r="K147" s="182" t="s">
        <v>46</v>
      </c>
      <c r="L147" s="183" t="n">
        <f aca="false">IF(J147="",0,(J147/J150)*100)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303" t="s">
        <v>7</v>
      </c>
      <c r="F148" s="304" t="s">
        <v>8</v>
      </c>
      <c r="G148" s="324" t="n">
        <v>3</v>
      </c>
      <c r="H148" s="324" t="s">
        <v>46</v>
      </c>
      <c r="I148" s="324" t="n">
        <v>0</v>
      </c>
      <c r="J148" s="324" t="n">
        <v>169</v>
      </c>
      <c r="K148" s="325" t="s">
        <v>46</v>
      </c>
      <c r="L148" s="341" t="n">
        <f aca="false">IF(J148="",0,(J148/J150)*100)</f>
        <v>91.3513513513514</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711" t="s">
        <v>260</v>
      </c>
      <c r="F149" s="397" t="s">
        <v>261</v>
      </c>
      <c r="G149" s="186" t="n">
        <v>1</v>
      </c>
      <c r="H149" s="186" t="s">
        <v>46</v>
      </c>
      <c r="I149" s="186" t="n">
        <v>0</v>
      </c>
      <c r="J149" s="186" t="n">
        <v>144</v>
      </c>
      <c r="K149" s="352" t="s">
        <v>46</v>
      </c>
      <c r="L149" s="116" t="n">
        <f aca="false">IF(J149="",0,(J149/J150)*100)</f>
        <v>77.8378378378378</v>
      </c>
      <c r="M149" s="186" t="n">
        <v>3</v>
      </c>
      <c r="N149" s="309" t="n">
        <v>0</v>
      </c>
      <c r="O149" s="310" t="n">
        <f aca="false">IF(M149=1,1,0)</f>
        <v>0</v>
      </c>
      <c r="P149" s="95" t="n">
        <f aca="false">IF(M149=2,1,0)</f>
        <v>0</v>
      </c>
      <c r="Q149" s="95" t="n">
        <f aca="false">IF(M149=3,1,0)</f>
        <v>1</v>
      </c>
      <c r="R149" s="117" t="n">
        <f aca="false">IF(M149=4,1,0)</f>
        <v>0</v>
      </c>
      <c r="S149" s="302"/>
      <c r="T149" s="76"/>
      <c r="U149" s="39"/>
    </row>
    <row r="150" customFormat="false" ht="20.1" hidden="true" customHeight="true" outlineLevel="1" collapsed="false">
      <c r="B150" s="39"/>
      <c r="C150" s="76"/>
      <c r="D150" s="306"/>
      <c r="E150" s="306"/>
      <c r="F150" s="302"/>
      <c r="G150" s="302"/>
      <c r="H150" s="76"/>
      <c r="I150" s="345" t="s">
        <v>62</v>
      </c>
      <c r="J150" s="98" t="n">
        <f aca="false">MAX(J147:J149)</f>
        <v>185</v>
      </c>
      <c r="K150" s="396"/>
      <c r="L150" s="316"/>
      <c r="M150" s="76"/>
      <c r="N150" s="333" t="s">
        <v>63</v>
      </c>
      <c r="O150" s="102" t="n">
        <f aca="false">SUM(O147:O149)</f>
        <v>1</v>
      </c>
      <c r="P150" s="103" t="n">
        <f aca="false">SUM(P147:P149)</f>
        <v>1</v>
      </c>
      <c r="Q150" s="102" t="n">
        <f aca="false">SUM(Q147:Q149)</f>
        <v>1</v>
      </c>
      <c r="R150" s="104" t="n">
        <f aca="false">SUM(R147:R149)</f>
        <v>0</v>
      </c>
      <c r="S150" s="316"/>
      <c r="T150" s="76"/>
      <c r="U150" s="39"/>
    </row>
    <row r="151" customFormat="false" ht="20.1" hidden="false" customHeight="true" outlineLevel="0" collapsed="false">
      <c r="B151" s="39"/>
      <c r="C151" s="76"/>
      <c r="D151" s="105"/>
      <c r="E151" s="105"/>
      <c r="F151" s="76"/>
      <c r="G151" s="76"/>
      <c r="H151" s="76"/>
      <c r="I151" s="76"/>
      <c r="J151" s="76"/>
      <c r="K151" s="76"/>
      <c r="L151" s="76"/>
      <c r="M151" s="76"/>
      <c r="N151" s="76"/>
      <c r="O151" s="76"/>
      <c r="P151" s="76"/>
      <c r="Q151" s="76"/>
      <c r="R151" s="76"/>
      <c r="S151" s="76"/>
      <c r="T151" s="76"/>
      <c r="U151" s="39"/>
    </row>
    <row r="152" customFormat="false" ht="20.1" hidden="false" customHeight="true" outlineLevel="0" collapsed="false">
      <c r="B152" s="39"/>
      <c r="U152" s="39"/>
    </row>
    <row r="153" customFormat="false" ht="20.1" hidden="false" customHeight="true" outlineLevel="0" collapsed="false">
      <c r="B153" s="39"/>
      <c r="C153" s="107"/>
      <c r="D153" s="107"/>
      <c r="E153" s="108" t="str">
        <f aca="false">IF(OR(L142="-",L142= ""),H142,L142)</f>
        <v>Orakel von Delphi</v>
      </c>
      <c r="F153" s="108"/>
      <c r="G153" s="108"/>
      <c r="H153" s="108"/>
      <c r="I153" s="108"/>
      <c r="J153" s="108"/>
      <c r="K153" s="108"/>
      <c r="L153" s="108"/>
      <c r="M153" s="108"/>
      <c r="N153" s="108"/>
      <c r="O153" s="109"/>
      <c r="P153" s="109"/>
      <c r="Q153" s="109"/>
      <c r="R153" s="109"/>
      <c r="S153" s="109"/>
      <c r="T153" s="107"/>
      <c r="U153" s="39"/>
    </row>
    <row r="154" customFormat="false" ht="50.1" hidden="false" customHeight="true" outlineLevel="0" collapsed="false">
      <c r="B154" s="39"/>
      <c r="C154" s="107"/>
      <c r="D154" s="109"/>
      <c r="E154" s="263" t="s">
        <v>36</v>
      </c>
      <c r="F154" s="597" t="s">
        <v>222</v>
      </c>
      <c r="G154" s="294" t="s">
        <v>52</v>
      </c>
      <c r="H154" s="264" t="s">
        <v>223</v>
      </c>
      <c r="I154" s="81" t="s">
        <v>224</v>
      </c>
      <c r="J154" s="264" t="s">
        <v>225</v>
      </c>
      <c r="K154" s="295" t="s">
        <v>54</v>
      </c>
      <c r="L154" s="264" t="s">
        <v>55</v>
      </c>
      <c r="M154" s="296" t="s">
        <v>56</v>
      </c>
      <c r="N154" s="294" t="s">
        <v>57</v>
      </c>
      <c r="O154" s="43" t="s">
        <v>58</v>
      </c>
      <c r="P154" s="79" t="s">
        <v>59</v>
      </c>
      <c r="Q154" s="79" t="s">
        <v>60</v>
      </c>
      <c r="R154" s="82" t="s">
        <v>61</v>
      </c>
      <c r="S154" s="109"/>
      <c r="T154" s="107"/>
      <c r="U154" s="39"/>
    </row>
    <row r="155" customFormat="false" ht="155.1" hidden="false" customHeight="true" outlineLevel="0" collapsed="false">
      <c r="B155" s="39"/>
      <c r="C155" s="107"/>
      <c r="D155" s="323"/>
      <c r="E155" s="6" t="s">
        <v>12</v>
      </c>
      <c r="F155" s="229" t="s">
        <v>13</v>
      </c>
      <c r="G155" s="387" t="n">
        <v>3</v>
      </c>
      <c r="H155" s="553" t="s">
        <v>233</v>
      </c>
      <c r="I155" s="387" t="s">
        <v>46</v>
      </c>
      <c r="J155" s="753" t="s">
        <v>121</v>
      </c>
      <c r="K155" s="387" t="s">
        <v>46</v>
      </c>
      <c r="L155" s="388" t="n">
        <f aca="false">(L149+L163)/2</f>
        <v>47.9906488767248</v>
      </c>
      <c r="M155" s="387" t="n">
        <v>3</v>
      </c>
      <c r="N155" s="389" t="n">
        <v>0</v>
      </c>
      <c r="O155" s="301" t="n">
        <f aca="false">IF(M155=1,1,0)</f>
        <v>0</v>
      </c>
      <c r="P155" s="85" t="n">
        <f aca="false">IF(M155=2,1,0)</f>
        <v>0</v>
      </c>
      <c r="Q155" s="85" t="n">
        <f aca="false">IF(M155=3,1,0)</f>
        <v>1</v>
      </c>
      <c r="R155" s="84" t="n">
        <f aca="false">IF(M155=4,1,0)</f>
        <v>0</v>
      </c>
      <c r="S155" s="322"/>
      <c r="T155" s="107"/>
      <c r="U155" s="39"/>
    </row>
    <row r="156" customFormat="false" ht="185.1" hidden="false" customHeight="true" outlineLevel="0" collapsed="false">
      <c r="B156" s="39"/>
      <c r="C156" s="107"/>
      <c r="D156" s="319"/>
      <c r="E156" s="342" t="s">
        <v>7</v>
      </c>
      <c r="F156" s="343" t="s">
        <v>8</v>
      </c>
      <c r="G156" s="112" t="n">
        <v>2</v>
      </c>
      <c r="H156" s="508" t="s">
        <v>372</v>
      </c>
      <c r="I156" s="112" t="s">
        <v>46</v>
      </c>
      <c r="J156" s="508" t="s">
        <v>227</v>
      </c>
      <c r="K156" s="508" t="s">
        <v>46</v>
      </c>
      <c r="L156" s="113" t="n">
        <v>100</v>
      </c>
      <c r="M156" s="112" t="n">
        <v>1</v>
      </c>
      <c r="N156" s="344" t="n">
        <v>6</v>
      </c>
      <c r="O156" s="305" t="n">
        <f aca="false">IF(M156=1,1,0)</f>
        <v>1</v>
      </c>
      <c r="P156" s="88" t="n">
        <f aca="false">IF(M156=2,1,0)</f>
        <v>0</v>
      </c>
      <c r="Q156" s="88" t="n">
        <f aca="false">IF(M156=3,1,0)</f>
        <v>0</v>
      </c>
      <c r="R156" s="87" t="n">
        <f aca="false">IF(M156=4,1,0)</f>
        <v>0</v>
      </c>
      <c r="S156" s="322"/>
      <c r="T156" s="107"/>
      <c r="U156" s="39"/>
    </row>
    <row r="157" customFormat="false" ht="80.1" hidden="false" customHeight="true" outlineLevel="0" collapsed="false">
      <c r="B157" s="39"/>
      <c r="C157" s="107"/>
      <c r="D157" s="319"/>
      <c r="E157" s="711" t="s">
        <v>260</v>
      </c>
      <c r="F157" s="397" t="s">
        <v>261</v>
      </c>
      <c r="G157" s="186" t="n">
        <v>1</v>
      </c>
      <c r="H157" s="352" t="s">
        <v>373</v>
      </c>
      <c r="I157" s="186" t="s">
        <v>46</v>
      </c>
      <c r="J157" s="352" t="s">
        <v>374</v>
      </c>
      <c r="K157" s="352" t="s">
        <v>46</v>
      </c>
      <c r="L157" s="116" t="n">
        <f aca="false">(L148+L164)/2</f>
        <v>70.5701904436082</v>
      </c>
      <c r="M157" s="186" t="n">
        <v>2</v>
      </c>
      <c r="N157" s="309" t="n">
        <v>3</v>
      </c>
      <c r="O157" s="310" t="n">
        <f aca="false">IF(M157=1,1,0)</f>
        <v>0</v>
      </c>
      <c r="P157" s="95" t="n">
        <f aca="false">IF(M157=2,1,0)</f>
        <v>1</v>
      </c>
      <c r="Q157" s="95" t="n">
        <f aca="false">IF(M157=3,1,0)</f>
        <v>0</v>
      </c>
      <c r="R157" s="117" t="n">
        <f aca="false">IF(M157=4,1,0)</f>
        <v>0</v>
      </c>
      <c r="S157" s="322"/>
      <c r="T157" s="107"/>
      <c r="U157" s="39"/>
    </row>
    <row r="158" customFormat="false" ht="20.1" hidden="true" customHeight="true" outlineLevel="1" collapsed="false">
      <c r="B158" s="39"/>
      <c r="C158" s="107"/>
      <c r="D158" s="319"/>
      <c r="E158" s="319"/>
      <c r="F158" s="109"/>
      <c r="G158" s="109"/>
      <c r="H158" s="107"/>
      <c r="I158" s="345" t="s">
        <v>62</v>
      </c>
      <c r="J158" s="98" t="n">
        <f aca="false">MAX(J156:J157)</f>
        <v>0</v>
      </c>
      <c r="K158" s="332"/>
      <c r="L158" s="322"/>
      <c r="M158" s="107"/>
      <c r="N158" s="333" t="s">
        <v>63</v>
      </c>
      <c r="O158" s="102" t="n">
        <f aca="false">SUM(O155:O157)</f>
        <v>1</v>
      </c>
      <c r="P158" s="103" t="n">
        <f aca="false">SUM(P155:P157)</f>
        <v>1</v>
      </c>
      <c r="Q158" s="102" t="n">
        <f aca="false">SUM(Q155:Q157)</f>
        <v>1</v>
      </c>
      <c r="R158" s="104" t="n">
        <f aca="false">SUM(R155:R157)</f>
        <v>0</v>
      </c>
      <c r="S158" s="334"/>
      <c r="T158" s="107"/>
      <c r="U158" s="39"/>
    </row>
    <row r="159" customFormat="false" ht="20.1" hidden="false" customHeight="true" outlineLevel="0" collapsed="false">
      <c r="B159" s="39"/>
      <c r="C159" s="107"/>
      <c r="D159" s="123"/>
      <c r="E159" s="123"/>
      <c r="F159" s="107"/>
      <c r="G159" s="107"/>
      <c r="H159" s="107"/>
      <c r="I159" s="107"/>
      <c r="J159" s="107"/>
      <c r="K159" s="107"/>
      <c r="L159" s="107"/>
      <c r="M159" s="107"/>
      <c r="N159" s="107"/>
      <c r="O159" s="107"/>
      <c r="P159" s="107"/>
      <c r="Q159" s="107"/>
      <c r="R159" s="107"/>
      <c r="S159" s="107"/>
      <c r="T159" s="107"/>
      <c r="U159" s="39"/>
    </row>
    <row r="160" customFormat="false" ht="20.1" hidden="false" customHeight="true" outlineLevel="0" collapsed="false">
      <c r="B160" s="39"/>
      <c r="D160" s="124"/>
      <c r="E160" s="124"/>
      <c r="F160" s="124"/>
      <c r="G160" s="124"/>
      <c r="H160" s="125"/>
      <c r="I160" s="124"/>
      <c r="J160" s="124"/>
      <c r="K160" s="36"/>
      <c r="L160" s="36"/>
      <c r="M160" s="36"/>
      <c r="N160" s="36"/>
      <c r="O160" s="36"/>
      <c r="P160" s="36"/>
      <c r="Q160" s="36"/>
      <c r="R160" s="36"/>
      <c r="S160" s="36"/>
      <c r="U160" s="39"/>
    </row>
    <row r="161" customFormat="false" ht="20.1" hidden="false" customHeight="true" outlineLevel="0" collapsed="false">
      <c r="B161" s="39"/>
      <c r="C161" s="126"/>
      <c r="D161" s="126"/>
      <c r="E161" s="127" t="str">
        <f aca="false">IF(OR(L143="-",L143= ""),H143,L143)</f>
        <v>Through the Ages: A new Story of Civilization</v>
      </c>
      <c r="F161" s="127"/>
      <c r="G161" s="127"/>
      <c r="H161" s="127"/>
      <c r="I161" s="127"/>
      <c r="J161" s="127"/>
      <c r="K161" s="127"/>
      <c r="L161" s="127"/>
      <c r="M161" s="127"/>
      <c r="N161" s="127"/>
      <c r="O161" s="128"/>
      <c r="P161" s="128"/>
      <c r="Q161" s="128"/>
      <c r="R161" s="128"/>
      <c r="S161" s="128"/>
      <c r="T161" s="126"/>
      <c r="U161" s="129"/>
    </row>
    <row r="162" customFormat="false" ht="50.1" hidden="false" customHeight="true" outlineLevel="0" collapsed="false">
      <c r="B162" s="39"/>
      <c r="C162" s="126"/>
      <c r="D162" s="128"/>
      <c r="E162" s="263" t="s">
        <v>36</v>
      </c>
      <c r="F162" s="597" t="s">
        <v>222</v>
      </c>
      <c r="G162" s="294" t="s">
        <v>52</v>
      </c>
      <c r="H162" s="264" t="s">
        <v>223</v>
      </c>
      <c r="I162" s="81" t="s">
        <v>224</v>
      </c>
      <c r="J162" s="264" t="s">
        <v>225</v>
      </c>
      <c r="K162" s="295" t="s">
        <v>54</v>
      </c>
      <c r="L162" s="264" t="s">
        <v>55</v>
      </c>
      <c r="M162" s="296" t="s">
        <v>56</v>
      </c>
      <c r="N162" s="294" t="s">
        <v>57</v>
      </c>
      <c r="O162" s="43" t="s">
        <v>58</v>
      </c>
      <c r="P162" s="79" t="s">
        <v>59</v>
      </c>
      <c r="Q162" s="79" t="s">
        <v>60</v>
      </c>
      <c r="R162" s="82" t="s">
        <v>61</v>
      </c>
      <c r="S162" s="128"/>
      <c r="T162" s="126"/>
      <c r="U162" s="129"/>
    </row>
    <row r="163" customFormat="false" ht="20.1" hidden="false" customHeight="true" outlineLevel="0" collapsed="false">
      <c r="B163" s="39"/>
      <c r="C163" s="126"/>
      <c r="D163" s="340"/>
      <c r="E163" s="6" t="s">
        <v>12</v>
      </c>
      <c r="F163" s="229" t="s">
        <v>13</v>
      </c>
      <c r="G163" s="387" t="n">
        <v>3</v>
      </c>
      <c r="H163" s="553" t="s">
        <v>46</v>
      </c>
      <c r="I163" s="387" t="n">
        <v>0</v>
      </c>
      <c r="J163" s="553" t="n">
        <v>43</v>
      </c>
      <c r="K163" s="553" t="s">
        <v>46</v>
      </c>
      <c r="L163" s="388" t="n">
        <f aca="false">IF(J163="",0,(J163/J166)*100)</f>
        <v>18.1434599156118</v>
      </c>
      <c r="M163" s="387" t="n">
        <v>3</v>
      </c>
      <c r="N163" s="389" t="n">
        <v>0</v>
      </c>
      <c r="O163" s="301" t="n">
        <f aca="false">IF(M163=1,1,0)</f>
        <v>0</v>
      </c>
      <c r="P163" s="85" t="n">
        <f aca="false">IF(M163=2,1,0)</f>
        <v>0</v>
      </c>
      <c r="Q163" s="85" t="n">
        <f aca="false">IF(M163=3,1,0)</f>
        <v>1</v>
      </c>
      <c r="R163" s="84" t="n">
        <f aca="false">IF(M163=4,1,0)</f>
        <v>0</v>
      </c>
      <c r="S163" s="339"/>
      <c r="T163" s="126"/>
      <c r="U163" s="131"/>
    </row>
    <row r="164" customFormat="false" ht="20.1" hidden="false" customHeight="true" outlineLevel="0" collapsed="false">
      <c r="B164" s="39"/>
      <c r="C164" s="126"/>
      <c r="D164" s="336"/>
      <c r="E164" s="303" t="s">
        <v>7</v>
      </c>
      <c r="F164" s="304" t="s">
        <v>8</v>
      </c>
      <c r="G164" s="324" t="n">
        <v>1</v>
      </c>
      <c r="H164" s="325" t="s">
        <v>46</v>
      </c>
      <c r="I164" s="324" t="n">
        <v>0</v>
      </c>
      <c r="J164" s="325" t="n">
        <v>118</v>
      </c>
      <c r="K164" s="325" t="s">
        <v>46</v>
      </c>
      <c r="L164" s="341" t="n">
        <f aca="false">IF(J164="",0,(J164/J166)*100)</f>
        <v>49.789029535865</v>
      </c>
      <c r="M164" s="324" t="n">
        <v>2</v>
      </c>
      <c r="N164" s="327" t="n">
        <v>3</v>
      </c>
      <c r="O164" s="305" t="n">
        <f aca="false">IF(M164=1,1,0)</f>
        <v>0</v>
      </c>
      <c r="P164" s="88" t="n">
        <f aca="false">IF(M164=2,1,0)</f>
        <v>1</v>
      </c>
      <c r="Q164" s="88" t="n">
        <f aca="false">IF(M164=3,1,0)</f>
        <v>0</v>
      </c>
      <c r="R164" s="87" t="n">
        <f aca="false">IF(M164=4,1,0)</f>
        <v>0</v>
      </c>
      <c r="S164" s="339"/>
      <c r="T164" s="126"/>
      <c r="U164" s="132"/>
    </row>
    <row r="165" customFormat="false" ht="20.1" hidden="false" customHeight="true" outlineLevel="0" collapsed="false">
      <c r="B165" s="39"/>
      <c r="C165" s="126"/>
      <c r="D165" s="336"/>
      <c r="E165" s="762" t="s">
        <v>260</v>
      </c>
      <c r="F165" s="391" t="s">
        <v>261</v>
      </c>
      <c r="G165" s="91" t="n">
        <v>2</v>
      </c>
      <c r="H165" s="393" t="s">
        <v>46</v>
      </c>
      <c r="I165" s="91" t="n">
        <v>0</v>
      </c>
      <c r="J165" s="393" t="n">
        <v>237</v>
      </c>
      <c r="K165" s="393" t="s">
        <v>46</v>
      </c>
      <c r="L165" s="92" t="n">
        <f aca="false">IF(J165="",0,(J165/J166)*100)</f>
        <v>100</v>
      </c>
      <c r="M165" s="91" t="n">
        <v>1</v>
      </c>
      <c r="N165" s="394" t="n">
        <v>6</v>
      </c>
      <c r="O165" s="310" t="n">
        <f aca="false">IF(M165=1,1,0)</f>
        <v>1</v>
      </c>
      <c r="P165" s="95" t="n">
        <f aca="false">IF(M165=2,1,0)</f>
        <v>0</v>
      </c>
      <c r="Q165" s="95" t="n">
        <f aca="false">IF(M165=3,1,0)</f>
        <v>0</v>
      </c>
      <c r="R165" s="117" t="n">
        <f aca="false">IF(M165=4,1,0)</f>
        <v>0</v>
      </c>
      <c r="S165" s="339"/>
      <c r="T165" s="126"/>
      <c r="U165" s="132"/>
    </row>
    <row r="166" customFormat="false" ht="20.1" hidden="true" customHeight="true" outlineLevel="1" collapsed="false">
      <c r="B166" s="39"/>
      <c r="C166" s="126"/>
      <c r="D166" s="336"/>
      <c r="E166" s="336"/>
      <c r="F166" s="339"/>
      <c r="G166" s="339"/>
      <c r="H166" s="126"/>
      <c r="I166" s="345" t="s">
        <v>62</v>
      </c>
      <c r="J166" s="98" t="n">
        <f aca="false">MAX(J163:J165)</f>
        <v>237</v>
      </c>
      <c r="K166" s="346"/>
      <c r="L166" s="339"/>
      <c r="M166" s="126"/>
      <c r="N166" s="333" t="s">
        <v>63</v>
      </c>
      <c r="O166" s="102" t="n">
        <f aca="false">SUM(O163:O165)</f>
        <v>1</v>
      </c>
      <c r="P166" s="103" t="n">
        <f aca="false">SUM(P163:P165)</f>
        <v>1</v>
      </c>
      <c r="Q166" s="102" t="n">
        <f aca="false">SUM(Q163:Q165)</f>
        <v>1</v>
      </c>
      <c r="R166" s="104" t="n">
        <f aca="false">SUM(R163:R165)</f>
        <v>0</v>
      </c>
      <c r="S166" s="347"/>
      <c r="T166" s="126"/>
      <c r="U166" s="132"/>
    </row>
    <row r="167" customFormat="false" ht="20.1" hidden="false" customHeight="true" outlineLevel="0" collapsed="false">
      <c r="B167" s="39"/>
      <c r="C167" s="126"/>
      <c r="D167" s="133"/>
      <c r="E167" s="133"/>
      <c r="F167" s="126"/>
      <c r="G167" s="126"/>
      <c r="H167" s="126"/>
      <c r="I167" s="126"/>
      <c r="J167" s="126"/>
      <c r="K167" s="126"/>
      <c r="L167" s="126"/>
      <c r="M167" s="126"/>
      <c r="N167" s="126"/>
      <c r="O167" s="126"/>
      <c r="P167" s="126"/>
      <c r="Q167" s="126"/>
      <c r="R167" s="126"/>
      <c r="S167" s="126"/>
      <c r="T167" s="126"/>
      <c r="U167" s="132"/>
    </row>
    <row r="168" customFormat="false" ht="20.1" hidden="false" customHeight="true" outlineLevel="0" collapsed="false">
      <c r="B168" s="39"/>
      <c r="D168" s="138"/>
      <c r="E168" s="138"/>
      <c r="F168" s="138"/>
      <c r="G168" s="138"/>
      <c r="H168" s="138"/>
      <c r="I168" s="138"/>
      <c r="J168" s="138"/>
      <c r="K168" s="36"/>
      <c r="L168" s="36"/>
      <c r="M168" s="36"/>
      <c r="N168" s="36"/>
      <c r="O168" s="36"/>
      <c r="P168" s="36"/>
      <c r="Q168" s="36"/>
      <c r="R168" s="36"/>
      <c r="S168" s="36"/>
      <c r="U168" s="39"/>
    </row>
    <row r="169" customFormat="false" ht="30" hidden="false" customHeight="true" outlineLevel="0" collapsed="false">
      <c r="B169" s="39"/>
      <c r="C169" s="139"/>
      <c r="D169" s="140" t="s">
        <v>173</v>
      </c>
      <c r="E169" s="140"/>
      <c r="F169" s="140"/>
      <c r="G169" s="140"/>
      <c r="H169" s="140"/>
      <c r="I169" s="140"/>
      <c r="J169" s="140"/>
      <c r="K169" s="140"/>
      <c r="L169" s="140"/>
      <c r="M169" s="140"/>
      <c r="N169" s="140"/>
      <c r="O169" s="419"/>
      <c r="P169" s="419"/>
      <c r="Q169" s="419"/>
      <c r="R169" s="419"/>
      <c r="S169" s="419"/>
      <c r="T169" s="139"/>
      <c r="U169" s="39"/>
    </row>
    <row r="170" customFormat="false" ht="50.1" hidden="false" customHeight="true" outlineLevel="0" collapsed="false">
      <c r="B170" s="39"/>
      <c r="C170" s="139"/>
      <c r="D170" s="356" t="s">
        <v>36</v>
      </c>
      <c r="E170" s="357" t="s">
        <v>218</v>
      </c>
      <c r="F170" s="358" t="s">
        <v>57</v>
      </c>
      <c r="G170" s="146" t="s">
        <v>236</v>
      </c>
      <c r="H170" s="143" t="s">
        <v>237</v>
      </c>
      <c r="I170" s="143"/>
      <c r="J170" s="488" t="s">
        <v>238</v>
      </c>
      <c r="K170" s="359" t="s">
        <v>65</v>
      </c>
      <c r="L170" s="358" t="s">
        <v>66</v>
      </c>
      <c r="M170" s="359" t="s">
        <v>67</v>
      </c>
      <c r="N170" s="357" t="s">
        <v>69</v>
      </c>
      <c r="O170" s="690"/>
      <c r="P170" s="147"/>
      <c r="Q170" s="147"/>
      <c r="R170" s="147"/>
      <c r="S170" s="355"/>
      <c r="T170" s="139"/>
      <c r="U170" s="39"/>
    </row>
    <row r="171" customFormat="false" ht="20.1" hidden="false" customHeight="true" outlineLevel="0" collapsed="false">
      <c r="B171" s="39"/>
      <c r="C171" s="139"/>
      <c r="D171" s="734" t="s">
        <v>7</v>
      </c>
      <c r="E171" s="671" t="s">
        <v>8</v>
      </c>
      <c r="F171" s="630" t="n">
        <f aca="false">K171*6+L171*3+M171*0</f>
        <v>12</v>
      </c>
      <c r="G171" s="631" t="n">
        <v>0</v>
      </c>
      <c r="H171" s="631" t="s">
        <v>46</v>
      </c>
      <c r="I171" s="631"/>
      <c r="J171" s="630" t="n">
        <f aca="false">F171+G171</f>
        <v>12</v>
      </c>
      <c r="K171" s="630" t="n">
        <v>1</v>
      </c>
      <c r="L171" s="630" t="n">
        <v>2</v>
      </c>
      <c r="M171" s="630" t="n">
        <v>0</v>
      </c>
      <c r="N171" s="635" t="n">
        <f aca="false">(L148+L156+L164)/3</f>
        <v>80.3801269624054</v>
      </c>
      <c r="O171" s="360"/>
      <c r="P171" s="763"/>
      <c r="Q171" s="763"/>
      <c r="R171" s="763"/>
      <c r="S171" s="355"/>
      <c r="T171" s="139"/>
      <c r="U171" s="39"/>
    </row>
    <row r="172" customFormat="false" ht="20.1" hidden="false" customHeight="true" outlineLevel="0" collapsed="false">
      <c r="B172" s="39"/>
      <c r="C172" s="139"/>
      <c r="D172" s="735" t="s">
        <v>260</v>
      </c>
      <c r="E172" s="512" t="s">
        <v>261</v>
      </c>
      <c r="F172" s="400" t="n">
        <f aca="false">K172*6+L172*3+M172*0</f>
        <v>9</v>
      </c>
      <c r="G172" s="192" t="n">
        <v>0</v>
      </c>
      <c r="H172" s="192" t="s">
        <v>46</v>
      </c>
      <c r="I172" s="192"/>
      <c r="J172" s="400" t="n">
        <f aca="false">F172+G172</f>
        <v>9</v>
      </c>
      <c r="K172" s="400" t="n">
        <v>1</v>
      </c>
      <c r="L172" s="400" t="n">
        <v>1</v>
      </c>
      <c r="M172" s="400" t="n">
        <v>1</v>
      </c>
      <c r="N172" s="367" t="n">
        <f aca="false">(L149+L157+L165)/3</f>
        <v>82.8026760938153</v>
      </c>
      <c r="O172" s="360"/>
      <c r="P172" s="763"/>
      <c r="Q172" s="763"/>
      <c r="R172" s="763"/>
      <c r="S172" s="355"/>
      <c r="T172" s="139"/>
      <c r="U172" s="39"/>
    </row>
    <row r="173" customFormat="false" ht="20.1" hidden="false" customHeight="true" outlineLevel="0" collapsed="false">
      <c r="B173" s="39"/>
      <c r="C173" s="139"/>
      <c r="D173" s="368" t="s">
        <v>12</v>
      </c>
      <c r="E173" s="611" t="s">
        <v>13</v>
      </c>
      <c r="F173" s="402" t="n">
        <f aca="false">K173*6+L173*3+M173*0</f>
        <v>6</v>
      </c>
      <c r="G173" s="370" t="n">
        <v>0</v>
      </c>
      <c r="H173" s="691" t="s">
        <v>46</v>
      </c>
      <c r="I173" s="691"/>
      <c r="J173" s="402" t="n">
        <f aca="false">F173+G173</f>
        <v>6</v>
      </c>
      <c r="K173" s="402" t="n">
        <v>1</v>
      </c>
      <c r="L173" s="402" t="n">
        <v>0</v>
      </c>
      <c r="M173" s="402" t="n">
        <v>2</v>
      </c>
      <c r="N173" s="371" t="n">
        <f aca="false">(L147+L155+L163)/3</f>
        <v>55.3780362641122</v>
      </c>
      <c r="O173" s="360"/>
      <c r="P173" s="763"/>
      <c r="Q173" s="763"/>
      <c r="R173" s="763"/>
      <c r="S173" s="355"/>
      <c r="T173" s="139"/>
      <c r="U173" s="39"/>
    </row>
    <row r="174" customFormat="false" ht="20.1" hidden="false" customHeight="true" outlineLevel="0" collapsed="false">
      <c r="B174" s="39"/>
      <c r="C174" s="139"/>
      <c r="D174" s="139"/>
      <c r="E174" s="139"/>
      <c r="F174" s="153"/>
      <c r="G174" s="153"/>
      <c r="H174" s="153"/>
      <c r="I174" s="153"/>
      <c r="J174" s="153"/>
      <c r="K174" s="153"/>
      <c r="L174" s="153"/>
      <c r="M174" s="153"/>
      <c r="N174" s="153"/>
      <c r="O174" s="153"/>
      <c r="P174" s="153"/>
      <c r="Q174" s="153"/>
      <c r="R174" s="153"/>
      <c r="S174" s="153"/>
      <c r="T174" s="139"/>
      <c r="U174" s="39"/>
    </row>
    <row r="175" customFormat="false" ht="20.1" hidden="false" customHeight="true" outlineLevel="0" collapsed="false">
      <c r="B175" s="39"/>
      <c r="C175" s="39"/>
      <c r="D175" s="169"/>
      <c r="E175" s="169"/>
      <c r="F175" s="129"/>
      <c r="G175" s="129"/>
      <c r="H175" s="169"/>
      <c r="I175" s="169"/>
      <c r="J175" s="169"/>
      <c r="K175" s="131"/>
      <c r="L175" s="131"/>
      <c r="M175" s="131"/>
      <c r="N175" s="131"/>
      <c r="O175" s="131"/>
      <c r="P175" s="131"/>
      <c r="Q175" s="131"/>
      <c r="R175" s="131"/>
      <c r="S175" s="131"/>
      <c r="T175" s="39"/>
      <c r="U175" s="39"/>
    </row>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6"/>
    <mergeCell ref="B15:C15"/>
    <mergeCell ref="B16:C16"/>
    <mergeCell ref="J17:K17"/>
    <mergeCell ref="B18:G18"/>
    <mergeCell ref="B19:C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s>
  <dataValidations count="1">
    <dataValidation allowBlank="true" operator="between" showDropDown="false" showErrorMessage="true" showInputMessage="true" sqref="H6:H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4" activeCellId="0" sqref="C24"/>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7"/>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375</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376</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377</v>
      </c>
      <c r="C5" s="81"/>
      <c r="D5" s="213" t="s">
        <v>2</v>
      </c>
      <c r="E5" s="570" t="s">
        <v>202</v>
      </c>
      <c r="F5" s="571" t="s">
        <v>203</v>
      </c>
      <c r="G5" s="572" t="s">
        <v>204</v>
      </c>
      <c r="H5" s="571" t="s">
        <v>378</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16</v>
      </c>
      <c r="E7" s="706" t="s">
        <v>17</v>
      </c>
      <c r="F7" s="707" t="s">
        <v>17</v>
      </c>
      <c r="G7" s="438" t="s">
        <v>17</v>
      </c>
      <c r="H7" s="236" t="s">
        <v>9</v>
      </c>
      <c r="I7" s="36"/>
      <c r="J7" s="16" t="str">
        <f aca="false">D7</f>
        <v>Jérôme Schätzle</v>
      </c>
      <c r="K7" s="230"/>
      <c r="L7" s="19" t="n">
        <v>2</v>
      </c>
      <c r="P7" s="36"/>
      <c r="Q7" s="120"/>
      <c r="S7" s="36"/>
      <c r="T7" s="36"/>
      <c r="U7" s="36"/>
      <c r="V7" s="120"/>
      <c r="W7" s="120"/>
    </row>
    <row r="8" customFormat="false" ht="20.1" hidden="false" customHeight="true" outlineLevel="0" collapsed="false">
      <c r="B8" s="233" t="n">
        <v>3</v>
      </c>
      <c r="C8" s="233"/>
      <c r="D8" s="234" t="s">
        <v>27</v>
      </c>
      <c r="E8" s="235" t="s">
        <v>207</v>
      </c>
      <c r="F8" s="574" t="s">
        <v>207</v>
      </c>
      <c r="G8" s="574" t="s">
        <v>208</v>
      </c>
      <c r="H8" s="236" t="s">
        <v>9</v>
      </c>
      <c r="I8" s="36"/>
      <c r="J8" s="16" t="str">
        <f aca="false">D8</f>
        <v>Alex Ulbricht</v>
      </c>
      <c r="K8" s="230"/>
      <c r="L8" s="19" t="n">
        <v>3</v>
      </c>
      <c r="P8" s="36"/>
      <c r="Q8" s="120"/>
      <c r="S8" s="36"/>
      <c r="T8" s="36"/>
      <c r="U8" s="36"/>
      <c r="V8" s="120"/>
      <c r="W8" s="120"/>
    </row>
    <row r="9" customFormat="false" ht="20.1" hidden="false" customHeight="true" outlineLevel="0" collapsed="false">
      <c r="B9" s="233" t="n">
        <v>4</v>
      </c>
      <c r="C9" s="233"/>
      <c r="D9" s="438" t="s">
        <v>31</v>
      </c>
      <c r="E9" s="706" t="s">
        <v>32</v>
      </c>
      <c r="F9" s="707" t="s">
        <v>32</v>
      </c>
      <c r="G9" s="438" t="s">
        <v>208</v>
      </c>
      <c r="H9" s="236" t="s">
        <v>9</v>
      </c>
      <c r="I9" s="36"/>
      <c r="J9" s="247" t="str">
        <f aca="false">D9</f>
        <v>Andreas Micke</v>
      </c>
      <c r="K9" s="230"/>
      <c r="L9" s="252" t="n">
        <v>4</v>
      </c>
      <c r="P9" s="36"/>
      <c r="Q9" s="120"/>
      <c r="S9" s="36"/>
      <c r="T9" s="36"/>
      <c r="U9" s="36"/>
      <c r="V9" s="120"/>
      <c r="W9" s="120"/>
    </row>
    <row r="10" customFormat="false" ht="20.1" hidden="false" customHeight="true" outlineLevel="0" collapsed="false">
      <c r="B10" s="233" t="n">
        <v>5</v>
      </c>
      <c r="C10" s="233"/>
      <c r="D10" s="234" t="s">
        <v>20</v>
      </c>
      <c r="E10" s="235" t="s">
        <v>21</v>
      </c>
      <c r="F10" s="574" t="s">
        <v>206</v>
      </c>
      <c r="G10" s="574" t="s">
        <v>21</v>
      </c>
      <c r="H10" s="236" t="s">
        <v>9</v>
      </c>
      <c r="I10" s="544"/>
      <c r="J10" s="9" t="str">
        <f aca="false">D10</f>
        <v>Judith Maibaum</v>
      </c>
      <c r="K10" s="543" t="n">
        <v>2</v>
      </c>
      <c r="L10" s="12" t="n">
        <v>1</v>
      </c>
      <c r="P10" s="36"/>
      <c r="Q10" s="120"/>
      <c r="S10" s="36"/>
      <c r="T10" s="36"/>
      <c r="U10" s="36"/>
      <c r="V10" s="120"/>
      <c r="W10" s="120"/>
    </row>
    <row r="11" customFormat="false" ht="20.1" hidden="false" customHeight="true" outlineLevel="0" collapsed="false">
      <c r="B11" s="233" t="n">
        <v>6</v>
      </c>
      <c r="C11" s="233"/>
      <c r="D11" s="234" t="s">
        <v>96</v>
      </c>
      <c r="E11" s="545" t="s">
        <v>210</v>
      </c>
      <c r="F11" s="574" t="s">
        <v>210</v>
      </c>
      <c r="G11" s="574" t="s">
        <v>210</v>
      </c>
      <c r="H11" s="236" t="s">
        <v>9</v>
      </c>
      <c r="I11" s="544"/>
      <c r="J11" s="16" t="str">
        <f aca="false">D11</f>
        <v>Kai Maibaum</v>
      </c>
      <c r="K11" s="543"/>
      <c r="L11" s="19" t="n">
        <v>2</v>
      </c>
      <c r="P11" s="36"/>
      <c r="Q11" s="120"/>
      <c r="S11" s="36"/>
      <c r="T11" s="36"/>
      <c r="U11" s="36"/>
      <c r="V11" s="120"/>
      <c r="W11" s="120"/>
    </row>
    <row r="12" customFormat="false" ht="20.1" hidden="false" customHeight="true" outlineLevel="0" collapsed="false">
      <c r="B12" s="233" t="n">
        <v>7</v>
      </c>
      <c r="C12" s="233"/>
      <c r="D12" s="438" t="s">
        <v>7</v>
      </c>
      <c r="E12" s="706" t="s">
        <v>8</v>
      </c>
      <c r="F12" s="707" t="s">
        <v>8</v>
      </c>
      <c r="G12" s="438" t="s">
        <v>8</v>
      </c>
      <c r="H12" s="236" t="s">
        <v>9</v>
      </c>
      <c r="I12" s="544"/>
      <c r="J12" s="16" t="str">
        <f aca="false">D12</f>
        <v>Pauline Schätzle</v>
      </c>
      <c r="K12" s="543"/>
      <c r="L12" s="19" t="n">
        <v>3</v>
      </c>
      <c r="P12" s="36"/>
      <c r="Q12" s="120"/>
      <c r="S12" s="36"/>
      <c r="T12" s="36"/>
      <c r="U12" s="36"/>
      <c r="V12" s="120"/>
      <c r="W12" s="120"/>
    </row>
    <row r="13" customFormat="false" ht="20.1" hidden="false" customHeight="true" outlineLevel="0" collapsed="false">
      <c r="B13" s="233" t="n">
        <v>8</v>
      </c>
      <c r="C13" s="233"/>
      <c r="D13" s="438" t="s">
        <v>260</v>
      </c>
      <c r="E13" s="706" t="s">
        <v>261</v>
      </c>
      <c r="F13" s="707" t="s">
        <v>261</v>
      </c>
      <c r="G13" s="438" t="s">
        <v>208</v>
      </c>
      <c r="H13" s="236" t="s">
        <v>9</v>
      </c>
      <c r="I13" s="544"/>
      <c r="J13" s="247" t="str">
        <f aca="false">D13</f>
        <v>Daniel Zimmerman</v>
      </c>
      <c r="K13" s="543"/>
      <c r="L13" s="252" t="n">
        <v>4</v>
      </c>
      <c r="P13" s="36"/>
      <c r="Q13" s="120"/>
      <c r="S13" s="36"/>
      <c r="T13" s="36"/>
      <c r="U13" s="36"/>
      <c r="V13" s="120"/>
      <c r="W13" s="120"/>
    </row>
    <row r="14" customFormat="false" ht="20.1" hidden="false" customHeight="true" outlineLevel="0" collapsed="false">
      <c r="B14" s="233" t="n">
        <v>9</v>
      </c>
      <c r="C14" s="233"/>
      <c r="D14" s="234" t="s">
        <v>22</v>
      </c>
      <c r="E14" s="235" t="s">
        <v>23</v>
      </c>
      <c r="F14" s="574" t="s">
        <v>23</v>
      </c>
      <c r="G14" s="574" t="s">
        <v>208</v>
      </c>
      <c r="H14" s="236" t="s">
        <v>9</v>
      </c>
      <c r="I14" s="36"/>
      <c r="J14" s="9" t="str">
        <f aca="false">D14</f>
        <v>Markus Hagenauer</v>
      </c>
      <c r="K14" s="230" t="n">
        <v>3</v>
      </c>
      <c r="L14" s="12" t="n">
        <v>1</v>
      </c>
      <c r="P14" s="36"/>
      <c r="Q14" s="120"/>
      <c r="S14" s="36"/>
      <c r="T14" s="36"/>
      <c r="U14" s="36"/>
      <c r="V14" s="120"/>
      <c r="W14" s="120"/>
    </row>
    <row r="15" customFormat="false" ht="20.1" hidden="false" customHeight="true" outlineLevel="0" collapsed="false">
      <c r="B15" s="233" t="n">
        <v>10</v>
      </c>
      <c r="C15" s="233"/>
      <c r="D15" s="234" t="s">
        <v>346</v>
      </c>
      <c r="E15" s="706" t="s">
        <v>347</v>
      </c>
      <c r="F15" s="707" t="s">
        <v>348</v>
      </c>
      <c r="G15" s="438" t="s">
        <v>208</v>
      </c>
      <c r="H15" s="236" t="s">
        <v>9</v>
      </c>
      <c r="I15" s="36"/>
      <c r="J15" s="16" t="str">
        <f aca="false">D15</f>
        <v>Lisa Schätzle</v>
      </c>
      <c r="K15" s="230"/>
      <c r="L15" s="19" t="n">
        <v>2</v>
      </c>
      <c r="P15" s="36"/>
      <c r="Q15" s="120"/>
      <c r="S15" s="36"/>
      <c r="T15" s="36"/>
      <c r="U15" s="36"/>
      <c r="V15" s="120"/>
      <c r="W15" s="120"/>
    </row>
    <row r="16" customFormat="false" ht="20.1" hidden="false" customHeight="true" outlineLevel="0" collapsed="false">
      <c r="B16" s="233" t="n">
        <v>11</v>
      </c>
      <c r="C16" s="233"/>
      <c r="D16" s="234" t="s">
        <v>10</v>
      </c>
      <c r="E16" s="706" t="s">
        <v>11</v>
      </c>
      <c r="F16" s="707" t="s">
        <v>209</v>
      </c>
      <c r="G16" s="438" t="s">
        <v>209</v>
      </c>
      <c r="H16" s="236" t="s">
        <v>9</v>
      </c>
      <c r="I16" s="36"/>
      <c r="J16" s="303" t="s">
        <v>7</v>
      </c>
      <c r="K16" s="230"/>
      <c r="L16" s="19" t="n">
        <v>3</v>
      </c>
      <c r="P16" s="36"/>
      <c r="Q16" s="120"/>
      <c r="S16" s="36"/>
      <c r="T16" s="36"/>
      <c r="U16" s="36"/>
      <c r="V16" s="120"/>
      <c r="W16" s="120"/>
    </row>
    <row r="17" customFormat="false" ht="20.1" hidden="false" customHeight="true" outlineLevel="0" collapsed="false">
      <c r="B17" s="253" t="n">
        <v>12</v>
      </c>
      <c r="C17" s="253"/>
      <c r="D17" s="254" t="s">
        <v>349</v>
      </c>
      <c r="E17" s="709" t="s">
        <v>350</v>
      </c>
      <c r="F17" s="710" t="s">
        <v>350</v>
      </c>
      <c r="G17" s="708" t="s">
        <v>208</v>
      </c>
      <c r="H17" s="256" t="s">
        <v>9</v>
      </c>
      <c r="I17" s="36"/>
      <c r="J17" s="711" t="s">
        <v>260</v>
      </c>
      <c r="K17" s="230"/>
      <c r="L17" s="23" t="n">
        <v>4</v>
      </c>
      <c r="P17" s="36"/>
      <c r="Q17" s="120"/>
      <c r="S17" s="36"/>
      <c r="T17" s="36"/>
      <c r="U17" s="36"/>
      <c r="V17" s="120"/>
      <c r="W17" s="120"/>
    </row>
    <row r="18" customFormat="false" ht="20.1" hidden="false" customHeight="true" outlineLevel="0" collapsed="false">
      <c r="J18" s="678" t="s">
        <v>379</v>
      </c>
      <c r="K18" s="678"/>
      <c r="L18" s="548" t="n">
        <v>12</v>
      </c>
      <c r="P18" s="51"/>
      <c r="Q18" s="51"/>
      <c r="S18" s="51"/>
      <c r="T18" s="51"/>
      <c r="U18" s="51"/>
      <c r="V18" s="51"/>
    </row>
    <row r="19" customFormat="false" ht="15.75" hidden="false" customHeight="false" outlineLevel="0" collapsed="false">
      <c r="B19" s="3" t="s">
        <v>294</v>
      </c>
      <c r="C19" s="3"/>
      <c r="D19" s="3"/>
      <c r="E19" s="3"/>
      <c r="F19" s="3"/>
      <c r="G19" s="3"/>
      <c r="M19" s="576"/>
      <c r="N19" s="576"/>
      <c r="O19" s="576"/>
      <c r="P19" s="138"/>
      <c r="Q19" s="51"/>
      <c r="R19" s="51"/>
      <c r="T19" s="51"/>
      <c r="U19" s="51"/>
      <c r="V19" s="51"/>
      <c r="W19" s="51"/>
    </row>
    <row r="20" customFormat="false" ht="30.75" hidden="false" customHeight="true" outlineLevel="0" collapsed="false">
      <c r="B20" s="219" t="s">
        <v>215</v>
      </c>
      <c r="C20" s="219"/>
      <c r="D20" s="577" t="s">
        <v>2</v>
      </c>
      <c r="E20" s="46" t="s">
        <v>216</v>
      </c>
      <c r="F20" s="578" t="s">
        <v>203</v>
      </c>
      <c r="G20" s="579" t="s">
        <v>217</v>
      </c>
      <c r="M20" s="576"/>
      <c r="N20" s="576"/>
      <c r="O20" s="576"/>
      <c r="P20" s="138"/>
      <c r="Q20" s="51"/>
      <c r="R20" s="51"/>
      <c r="T20" s="51"/>
      <c r="U20" s="51"/>
      <c r="V20" s="51"/>
      <c r="W20" s="51"/>
    </row>
    <row r="21" customFormat="false" ht="20.1" hidden="false" customHeight="true" outlineLevel="0" collapsed="false">
      <c r="B21" s="580" t="n">
        <v>1</v>
      </c>
      <c r="C21" s="580"/>
      <c r="D21" s="581"/>
      <c r="E21" s="582"/>
      <c r="F21" s="583"/>
      <c r="G21" s="584"/>
      <c r="M21" s="576"/>
      <c r="N21" s="576"/>
      <c r="O21" s="576"/>
      <c r="P21" s="138"/>
      <c r="Q21" s="51"/>
      <c r="R21" s="51"/>
      <c r="T21" s="51"/>
      <c r="U21" s="51"/>
      <c r="V21" s="51"/>
      <c r="W21" s="51"/>
    </row>
    <row r="22" customFormat="false" ht="20.1" hidden="false" customHeight="true" outlineLevel="0" collapsed="false">
      <c r="D22" s="33"/>
      <c r="E22" s="33"/>
      <c r="F22" s="33"/>
      <c r="M22" s="576"/>
      <c r="N22" s="576"/>
      <c r="O22" s="576"/>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2" t="s">
        <v>295</v>
      </c>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5" t="s">
        <v>114</v>
      </c>
      <c r="H28" s="586" t="s">
        <v>380</v>
      </c>
      <c r="I28" s="587" t="s">
        <v>381</v>
      </c>
      <c r="J28" s="587"/>
      <c r="K28" s="375" t="s">
        <v>50</v>
      </c>
      <c r="L28" s="272" t="s">
        <v>46</v>
      </c>
      <c r="M28" s="276" t="s">
        <v>46</v>
      </c>
      <c r="N28" s="444" t="s">
        <v>46</v>
      </c>
      <c r="O28" s="444"/>
      <c r="P28" s="444"/>
      <c r="Q28" s="444"/>
      <c r="R28" s="444"/>
      <c r="S28" s="444"/>
      <c r="U28" s="39"/>
    </row>
    <row r="29" customFormat="false" ht="65.1" hidden="false" customHeight="true" outlineLevel="0" collapsed="false">
      <c r="B29" s="39"/>
      <c r="D29" s="13" t="s">
        <v>16</v>
      </c>
      <c r="E29" s="304" t="s">
        <v>17</v>
      </c>
      <c r="F29" s="19" t="n">
        <v>2</v>
      </c>
      <c r="G29" s="588" t="s">
        <v>85</v>
      </c>
      <c r="H29" s="589" t="s">
        <v>356</v>
      </c>
      <c r="I29" s="590" t="s">
        <v>357</v>
      </c>
      <c r="J29" s="590"/>
      <c r="K29" s="378" t="s">
        <v>50</v>
      </c>
      <c r="L29" s="278" t="s">
        <v>46</v>
      </c>
      <c r="M29" s="282" t="s">
        <v>46</v>
      </c>
      <c r="N29" s="447" t="s">
        <v>46</v>
      </c>
      <c r="O29" s="447"/>
      <c r="P29" s="447"/>
      <c r="Q29" s="447"/>
      <c r="R29" s="447"/>
      <c r="S29" s="447"/>
      <c r="U29" s="39"/>
    </row>
    <row r="30" customFormat="false" ht="20.1" hidden="false" customHeight="true" outlineLevel="0" collapsed="false">
      <c r="B30" s="39"/>
      <c r="D30" s="13" t="s">
        <v>27</v>
      </c>
      <c r="E30" s="237" t="s">
        <v>207</v>
      </c>
      <c r="F30" s="19" t="n">
        <v>3</v>
      </c>
      <c r="G30" s="591" t="s">
        <v>114</v>
      </c>
      <c r="H30" s="624" t="s">
        <v>190</v>
      </c>
      <c r="I30" s="593" t="s">
        <v>46</v>
      </c>
      <c r="J30" s="593"/>
      <c r="K30" s="378" t="s">
        <v>50</v>
      </c>
      <c r="L30" s="278" t="s">
        <v>46</v>
      </c>
      <c r="M30" s="282" t="s">
        <v>46</v>
      </c>
      <c r="N30" s="449" t="s">
        <v>46</v>
      </c>
      <c r="O30" s="449"/>
      <c r="P30" s="449"/>
      <c r="Q30" s="449"/>
      <c r="R30" s="449"/>
      <c r="S30" s="449"/>
      <c r="U30" s="39"/>
    </row>
    <row r="31" customFormat="false" ht="125.1" hidden="false" customHeight="true" outlineLevel="0" collapsed="false">
      <c r="B31" s="39"/>
      <c r="D31" s="711" t="s">
        <v>31</v>
      </c>
      <c r="E31" s="397" t="s">
        <v>32</v>
      </c>
      <c r="F31" s="23" t="n">
        <v>4</v>
      </c>
      <c r="G31" s="594" t="s">
        <v>114</v>
      </c>
      <c r="H31" s="595" t="s">
        <v>282</v>
      </c>
      <c r="I31" s="733" t="s">
        <v>318</v>
      </c>
      <c r="J31" s="733"/>
      <c r="K31" s="382" t="s">
        <v>50</v>
      </c>
      <c r="L31" s="287" t="s">
        <v>46</v>
      </c>
      <c r="M31" s="291" t="s">
        <v>46</v>
      </c>
      <c r="N31" s="626" t="s">
        <v>46</v>
      </c>
      <c r="O31" s="626"/>
      <c r="P31" s="626"/>
      <c r="Q31" s="626"/>
      <c r="R31" s="626"/>
      <c r="S31" s="626"/>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The King's Guild</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180" t="s">
        <v>14</v>
      </c>
      <c r="F35" s="521" t="s">
        <v>15</v>
      </c>
      <c r="G35" s="182" t="n">
        <v>3</v>
      </c>
      <c r="H35" s="320" t="s">
        <v>382</v>
      </c>
      <c r="I35" s="182" t="n">
        <v>0</v>
      </c>
      <c r="J35" s="182" t="n">
        <v>69</v>
      </c>
      <c r="K35" s="182" t="s">
        <v>46</v>
      </c>
      <c r="L35" s="183" t="n">
        <f aca="false">IF(J35="",0,(J35/J39)*100)</f>
        <v>100</v>
      </c>
      <c r="M35" s="182" t="n">
        <v>1</v>
      </c>
      <c r="N35" s="300" t="n">
        <v>6</v>
      </c>
      <c r="O35" s="301" t="n">
        <f aca="false">IF(M35=1,1,0)</f>
        <v>1</v>
      </c>
      <c r="P35" s="85" t="n">
        <f aca="false">IF(M35=2,1,0)</f>
        <v>0</v>
      </c>
      <c r="Q35" s="85" t="n">
        <f aca="false">IF(M35=3,1,0)</f>
        <v>0</v>
      </c>
      <c r="R35" s="84" t="n">
        <f aca="false">IF(M35=4,1,0)</f>
        <v>0</v>
      </c>
      <c r="S35" s="302"/>
      <c r="T35" s="76"/>
      <c r="U35" s="39"/>
    </row>
    <row r="36" customFormat="false" ht="20.1" hidden="false" customHeight="true" outlineLevel="0" collapsed="false">
      <c r="B36" s="39"/>
      <c r="C36" s="76"/>
      <c r="D36" s="297"/>
      <c r="E36" s="13" t="s">
        <v>16</v>
      </c>
      <c r="F36" s="552" t="s">
        <v>17</v>
      </c>
      <c r="G36" s="324" t="n">
        <v>2</v>
      </c>
      <c r="H36" s="324" t="s">
        <v>383</v>
      </c>
      <c r="I36" s="324" t="n">
        <v>0</v>
      </c>
      <c r="J36" s="324" t="n">
        <v>57</v>
      </c>
      <c r="K36" s="324" t="s">
        <v>46</v>
      </c>
      <c r="L36" s="341" t="n">
        <f aca="false">IF(J36="",0,(J36/J39)*100)</f>
        <v>82.6086956521739</v>
      </c>
      <c r="M36" s="324" t="n">
        <v>3</v>
      </c>
      <c r="N36" s="327" t="n">
        <v>1</v>
      </c>
      <c r="O36" s="305" t="n">
        <f aca="false">IF(M36=1,1,0)</f>
        <v>0</v>
      </c>
      <c r="P36" s="88" t="n">
        <f aca="false">IF(M36=2,1,0)</f>
        <v>0</v>
      </c>
      <c r="Q36" s="88" t="n">
        <f aca="false">IF(M36=3,1,0)</f>
        <v>1</v>
      </c>
      <c r="R36" s="87" t="n">
        <f aca="false">IF(M36=4,1,0)</f>
        <v>0</v>
      </c>
      <c r="S36" s="302"/>
      <c r="T36" s="76"/>
      <c r="U36" s="39"/>
    </row>
    <row r="37" customFormat="false" ht="20.1" hidden="false" customHeight="true" outlineLevel="0" collapsed="false">
      <c r="B37" s="39"/>
      <c r="C37" s="76"/>
      <c r="D37" s="297"/>
      <c r="E37" s="13" t="s">
        <v>27</v>
      </c>
      <c r="F37" s="237" t="s">
        <v>207</v>
      </c>
      <c r="G37" s="324" t="n">
        <v>4</v>
      </c>
      <c r="H37" s="324" t="s">
        <v>384</v>
      </c>
      <c r="I37" s="324" t="n">
        <v>0</v>
      </c>
      <c r="J37" s="324" t="n">
        <v>66</v>
      </c>
      <c r="K37" s="324" t="s">
        <v>46</v>
      </c>
      <c r="L37" s="341" t="n">
        <f aca="false">IF(J37="",0,(J37/J39)*100)</f>
        <v>95.6521739130435</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307" t="s">
        <v>31</v>
      </c>
      <c r="F38" s="308" t="s">
        <v>32</v>
      </c>
      <c r="G38" s="186" t="n">
        <v>1</v>
      </c>
      <c r="H38" s="186" t="s">
        <v>385</v>
      </c>
      <c r="I38" s="186" t="n">
        <v>1</v>
      </c>
      <c r="J38" s="186" t="n">
        <v>38</v>
      </c>
      <c r="K38" s="186" t="s">
        <v>46</v>
      </c>
      <c r="L38" s="116" t="n">
        <f aca="false">IF(J38="",0,(J38/J39)*100)</f>
        <v>55.072463768116</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69</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Thunderstone</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180" t="s">
        <v>14</v>
      </c>
      <c r="F44" s="521" t="s">
        <v>15</v>
      </c>
      <c r="G44" s="182" t="n">
        <v>1</v>
      </c>
      <c r="H44" s="320" t="s">
        <v>46</v>
      </c>
      <c r="I44" s="182" t="n">
        <v>0</v>
      </c>
      <c r="J44" s="320" t="n">
        <v>44</v>
      </c>
      <c r="K44" s="320" t="s">
        <v>46</v>
      </c>
      <c r="L44" s="183" t="n">
        <f aca="false">IF(J44="",0,(J44/J48)*100)</f>
        <v>100</v>
      </c>
      <c r="M44" s="182" t="n">
        <v>1</v>
      </c>
      <c r="N44" s="300" t="n">
        <v>6</v>
      </c>
      <c r="O44" s="301" t="n">
        <f aca="false">IF(M44=1,1,0)</f>
        <v>1</v>
      </c>
      <c r="P44" s="85" t="n">
        <f aca="false">IF(M44=2,1,0)</f>
        <v>0</v>
      </c>
      <c r="Q44" s="85" t="n">
        <f aca="false">IF(M44=3,1,0)</f>
        <v>0</v>
      </c>
      <c r="R44" s="84" t="n">
        <f aca="false">IF(M44=4,1,0)</f>
        <v>0</v>
      </c>
      <c r="S44" s="322"/>
      <c r="T44" s="107"/>
      <c r="U44" s="39"/>
    </row>
    <row r="45" customFormat="false" ht="20.1" hidden="false" customHeight="true" outlineLevel="0" collapsed="false">
      <c r="B45" s="39"/>
      <c r="C45" s="107"/>
      <c r="D45" s="323"/>
      <c r="E45" s="13" t="s">
        <v>16</v>
      </c>
      <c r="F45" s="552" t="s">
        <v>17</v>
      </c>
      <c r="G45" s="324" t="n">
        <v>2</v>
      </c>
      <c r="H45" s="325" t="s">
        <v>46</v>
      </c>
      <c r="I45" s="324" t="n">
        <v>0</v>
      </c>
      <c r="J45" s="325" t="n">
        <v>12</v>
      </c>
      <c r="K45" s="325" t="s">
        <v>46</v>
      </c>
      <c r="L45" s="341" t="n">
        <f aca="false">IF(J45="",0,(J45/J48)*100)</f>
        <v>27.2727272727273</v>
      </c>
      <c r="M45" s="324" t="n">
        <v>3</v>
      </c>
      <c r="N45" s="327" t="n">
        <v>1</v>
      </c>
      <c r="O45" s="305" t="n">
        <f aca="false">IF(M45=1,1,0)</f>
        <v>0</v>
      </c>
      <c r="P45" s="88" t="n">
        <f aca="false">IF(M45=2,1,0)</f>
        <v>0</v>
      </c>
      <c r="Q45" s="88" t="n">
        <f aca="false">IF(M45=3,1,0)</f>
        <v>1</v>
      </c>
      <c r="R45" s="87" t="n">
        <f aca="false">IF(M45=4,1,0)</f>
        <v>0</v>
      </c>
      <c r="S45" s="322"/>
      <c r="T45" s="107"/>
      <c r="U45" s="39"/>
    </row>
    <row r="46" customFormat="false" ht="20.1" hidden="false" customHeight="true" outlineLevel="0" collapsed="false">
      <c r="B46" s="39"/>
      <c r="C46" s="107"/>
      <c r="D46" s="319"/>
      <c r="E46" s="13" t="s">
        <v>27</v>
      </c>
      <c r="F46" s="237" t="s">
        <v>207</v>
      </c>
      <c r="G46" s="324" t="n">
        <v>4</v>
      </c>
      <c r="H46" s="325" t="s">
        <v>46</v>
      </c>
      <c r="I46" s="324" t="n">
        <v>0</v>
      </c>
      <c r="J46" s="325" t="n">
        <v>23</v>
      </c>
      <c r="K46" s="325" t="s">
        <v>46</v>
      </c>
      <c r="L46" s="341" t="n">
        <f aca="false">IF(J46="",0,(J46/J48)*100)</f>
        <v>52.2727272727273</v>
      </c>
      <c r="M46" s="324" t="n">
        <v>2</v>
      </c>
      <c r="N46" s="327" t="n">
        <v>3</v>
      </c>
      <c r="O46" s="305" t="n">
        <f aca="false">IF(M46=1,1,0)</f>
        <v>0</v>
      </c>
      <c r="P46" s="88" t="n">
        <f aca="false">IF(M46=2,1,0)</f>
        <v>1</v>
      </c>
      <c r="Q46" s="88" t="n">
        <f aca="false">IF(M46=3,1,0)</f>
        <v>0</v>
      </c>
      <c r="R46" s="87" t="n">
        <f aca="false">IF(M46=4,1,0)</f>
        <v>0</v>
      </c>
      <c r="S46" s="322"/>
      <c r="T46" s="107"/>
      <c r="U46" s="39"/>
    </row>
    <row r="47" customFormat="false" ht="20.1" hidden="false" customHeight="true" outlineLevel="0" collapsed="false">
      <c r="B47" s="39"/>
      <c r="C47" s="107"/>
      <c r="D47" s="319"/>
      <c r="E47" s="307" t="s">
        <v>31</v>
      </c>
      <c r="F47" s="308" t="s">
        <v>32</v>
      </c>
      <c r="G47" s="186" t="n">
        <v>3</v>
      </c>
      <c r="H47" s="352" t="s">
        <v>46</v>
      </c>
      <c r="I47" s="186" t="n">
        <v>0</v>
      </c>
      <c r="J47" s="352" t="n">
        <v>7</v>
      </c>
      <c r="K47" s="186" t="s">
        <v>46</v>
      </c>
      <c r="L47" s="116" t="n">
        <f aca="false">IF(J47="",0,(J47/J48)*100)</f>
        <v>15.9090909090909</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44</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Roll for the Galaxy</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20.1" hidden="false" customHeight="true" outlineLevel="0" collapsed="false">
      <c r="B53" s="39"/>
      <c r="C53" s="126"/>
      <c r="D53" s="336"/>
      <c r="E53" s="6" t="s">
        <v>14</v>
      </c>
      <c r="F53" s="229" t="s">
        <v>15</v>
      </c>
      <c r="G53" s="387" t="s">
        <v>46</v>
      </c>
      <c r="H53" s="553" t="s">
        <v>386</v>
      </c>
      <c r="I53" s="387" t="n">
        <v>7</v>
      </c>
      <c r="J53" s="764" t="n">
        <v>17</v>
      </c>
      <c r="K53" s="387" t="s">
        <v>46</v>
      </c>
      <c r="L53" s="388" t="n">
        <f aca="false">IF(J53="",0,(J53/J57)*100)</f>
        <v>89.4736842105263</v>
      </c>
      <c r="M53" s="387" t="n">
        <v>3</v>
      </c>
      <c r="N53" s="389" t="n">
        <v>1</v>
      </c>
      <c r="O53" s="301" t="n">
        <f aca="false">IF(M53=1,1,0)</f>
        <v>0</v>
      </c>
      <c r="P53" s="85" t="n">
        <f aca="false">IF(M53=2,1,0)</f>
        <v>0</v>
      </c>
      <c r="Q53" s="85" t="n">
        <f aca="false">IF(M53=3,1,0)</f>
        <v>1</v>
      </c>
      <c r="R53" s="84" t="n">
        <f aca="false">IF(M53=4,1,0)</f>
        <v>0</v>
      </c>
      <c r="S53" s="339"/>
      <c r="T53" s="126"/>
      <c r="U53" s="131"/>
      <c r="V53" s="36"/>
      <c r="W53" s="36"/>
    </row>
    <row r="54" customFormat="false" ht="20.1" hidden="false" customHeight="true" outlineLevel="0" collapsed="false">
      <c r="B54" s="39"/>
      <c r="C54" s="126"/>
      <c r="D54" s="340"/>
      <c r="E54" s="13" t="s">
        <v>16</v>
      </c>
      <c r="F54" s="552" t="s">
        <v>17</v>
      </c>
      <c r="G54" s="324" t="s">
        <v>46</v>
      </c>
      <c r="H54" s="324" t="s">
        <v>387</v>
      </c>
      <c r="I54" s="324" t="n">
        <v>5</v>
      </c>
      <c r="J54" s="713" t="n">
        <v>18</v>
      </c>
      <c r="K54" s="324" t="s">
        <v>46</v>
      </c>
      <c r="L54" s="341" t="n">
        <f aca="false">IF(J54="",0,(J54/J57)*100)</f>
        <v>94.7368421052632</v>
      </c>
      <c r="M54" s="324" t="n">
        <v>2</v>
      </c>
      <c r="N54" s="327" t="n">
        <v>3</v>
      </c>
      <c r="O54" s="305" t="n">
        <f aca="false">IF(M54=1,1,0)</f>
        <v>0</v>
      </c>
      <c r="P54" s="88" t="n">
        <f aca="false">IF(M54=2,1,0)</f>
        <v>1</v>
      </c>
      <c r="Q54" s="88" t="n">
        <f aca="false">IF(M54=3,1,0)</f>
        <v>0</v>
      </c>
      <c r="R54" s="87" t="n">
        <f aca="false">IF(M54=4,1,0)</f>
        <v>0</v>
      </c>
      <c r="S54" s="339"/>
      <c r="T54" s="126"/>
      <c r="U54" s="132"/>
      <c r="V54" s="36"/>
      <c r="W54" s="36"/>
    </row>
    <row r="55" customFormat="false" ht="35.1" hidden="false" customHeight="true" outlineLevel="0" collapsed="false">
      <c r="B55" s="39"/>
      <c r="C55" s="126"/>
      <c r="D55" s="336"/>
      <c r="E55" s="13" t="s">
        <v>27</v>
      </c>
      <c r="F55" s="237" t="s">
        <v>207</v>
      </c>
      <c r="G55" s="324" t="s">
        <v>46</v>
      </c>
      <c r="H55" s="325" t="s">
        <v>388</v>
      </c>
      <c r="I55" s="324" t="n">
        <v>4</v>
      </c>
      <c r="J55" s="713" t="n">
        <v>16</v>
      </c>
      <c r="K55" s="324" t="s">
        <v>46</v>
      </c>
      <c r="L55" s="341" t="n">
        <f aca="false">IF(J55="",0,(J55/J57)*100)</f>
        <v>84.2105263157895</v>
      </c>
      <c r="M55" s="324" t="n">
        <v>4</v>
      </c>
      <c r="N55" s="327"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762" t="s">
        <v>31</v>
      </c>
      <c r="F56" s="391" t="s">
        <v>32</v>
      </c>
      <c r="G56" s="91" t="s">
        <v>46</v>
      </c>
      <c r="H56" s="393" t="s">
        <v>389</v>
      </c>
      <c r="I56" s="91" t="n">
        <v>4</v>
      </c>
      <c r="J56" s="765" t="n">
        <v>19</v>
      </c>
      <c r="K56" s="91" t="s">
        <v>46</v>
      </c>
      <c r="L56" s="92" t="n">
        <f aca="false">IF(J56="",0,(J56/J57)*100)</f>
        <v>100</v>
      </c>
      <c r="M56" s="91" t="n">
        <v>1</v>
      </c>
      <c r="N56" s="394" t="n">
        <v>6</v>
      </c>
      <c r="O56" s="310" t="n">
        <f aca="false">IF(M56=1,1,0)</f>
        <v>1</v>
      </c>
      <c r="P56" s="95" t="n">
        <f aca="false">IF(M56=2,1,0)</f>
        <v>0</v>
      </c>
      <c r="Q56" s="95" t="n">
        <f aca="false">IF(M56=3,1,0)</f>
        <v>0</v>
      </c>
      <c r="R56" s="117" t="n">
        <f aca="false">IF(M56=4,1,0)</f>
        <v>0</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19</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Clans of Caledonia</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6" t="s">
        <v>14</v>
      </c>
      <c r="F62" s="229" t="s">
        <v>15</v>
      </c>
      <c r="G62" s="387" t="n">
        <v>2</v>
      </c>
      <c r="H62" s="553" t="s">
        <v>329</v>
      </c>
      <c r="I62" s="387" t="n">
        <v>0</v>
      </c>
      <c r="J62" s="387" t="n">
        <v>140</v>
      </c>
      <c r="K62" s="387" t="s">
        <v>46</v>
      </c>
      <c r="L62" s="388" t="n">
        <f aca="false">IF(J62="",0,(J62/J66)*100)</f>
        <v>85.3658536585366</v>
      </c>
      <c r="M62" s="387" t="n">
        <v>3</v>
      </c>
      <c r="N62" s="389" t="n">
        <v>1</v>
      </c>
      <c r="O62" s="301" t="n">
        <f aca="false">IF(M62=1,1,0)</f>
        <v>0</v>
      </c>
      <c r="P62" s="85" t="n">
        <f aca="false">IF(M62=2,1,0)</f>
        <v>0</v>
      </c>
      <c r="Q62" s="85" t="n">
        <f aca="false">IF(M62=3,1,0)</f>
        <v>1</v>
      </c>
      <c r="R62" s="84" t="n">
        <f aca="false">IF(M62=4,1,0)</f>
        <v>0</v>
      </c>
      <c r="S62" s="350"/>
      <c r="T62" s="134"/>
      <c r="U62" s="39"/>
    </row>
    <row r="63" customFormat="false" ht="20.1" hidden="false" customHeight="true" outlineLevel="0" collapsed="false">
      <c r="B63" s="39"/>
      <c r="C63" s="134"/>
      <c r="D63" s="349"/>
      <c r="E63" s="13" t="s">
        <v>16</v>
      </c>
      <c r="F63" s="552" t="s">
        <v>17</v>
      </c>
      <c r="G63" s="324" t="n">
        <v>4</v>
      </c>
      <c r="H63" s="324" t="s">
        <v>328</v>
      </c>
      <c r="I63" s="324" t="n">
        <v>0</v>
      </c>
      <c r="J63" s="324" t="n">
        <v>161</v>
      </c>
      <c r="K63" s="324" t="s">
        <v>46</v>
      </c>
      <c r="L63" s="341" t="n">
        <f aca="false">IF(J63="",0,(J63/J66)*100)</f>
        <v>98.1707317073171</v>
      </c>
      <c r="M63" s="324" t="n">
        <v>2</v>
      </c>
      <c r="N63" s="327" t="n">
        <v>3</v>
      </c>
      <c r="O63" s="305" t="n">
        <f aca="false">IF(M63=1,1,0)</f>
        <v>0</v>
      </c>
      <c r="P63" s="88" t="n">
        <f aca="false">IF(M63=2,1,0)</f>
        <v>1</v>
      </c>
      <c r="Q63" s="88" t="n">
        <f aca="false">IF(M63=3,1,0)</f>
        <v>0</v>
      </c>
      <c r="R63" s="87" t="n">
        <f aca="false">IF(M63=4,1,0)</f>
        <v>0</v>
      </c>
      <c r="S63" s="350"/>
      <c r="T63" s="134"/>
      <c r="U63" s="39"/>
    </row>
    <row r="64" customFormat="false" ht="20.1" hidden="false" customHeight="true" outlineLevel="0" collapsed="false">
      <c r="B64" s="39"/>
      <c r="C64" s="134"/>
      <c r="D64" s="349"/>
      <c r="E64" s="13" t="s">
        <v>27</v>
      </c>
      <c r="F64" s="237" t="s">
        <v>207</v>
      </c>
      <c r="G64" s="324" t="n">
        <v>3</v>
      </c>
      <c r="H64" s="324" t="s">
        <v>390</v>
      </c>
      <c r="I64" s="324" t="n">
        <v>0</v>
      </c>
      <c r="J64" s="324" t="n">
        <v>127</v>
      </c>
      <c r="K64" s="324" t="s">
        <v>46</v>
      </c>
      <c r="L64" s="341" t="n">
        <f aca="false">IF(J64="",0,(J64/J66)*100)</f>
        <v>77.4390243902439</v>
      </c>
      <c r="M64" s="324" t="n">
        <v>4</v>
      </c>
      <c r="N64" s="327" t="n">
        <v>0</v>
      </c>
      <c r="O64" s="305" t="n">
        <f aca="false">IF(M64=1,1,0)</f>
        <v>0</v>
      </c>
      <c r="P64" s="88" t="n">
        <f aca="false">IF(M64=2,1,0)</f>
        <v>0</v>
      </c>
      <c r="Q64" s="88" t="n">
        <f aca="false">IF(M64=3,1,0)</f>
        <v>0</v>
      </c>
      <c r="R64" s="87" t="n">
        <f aca="false">IF(M64=4,1,0)</f>
        <v>1</v>
      </c>
      <c r="S64" s="350"/>
      <c r="T64" s="134"/>
      <c r="U64" s="39"/>
    </row>
    <row r="65" customFormat="false" ht="20.1" hidden="false" customHeight="true" outlineLevel="0" collapsed="false">
      <c r="B65" s="39"/>
      <c r="C65" s="134"/>
      <c r="D65" s="351"/>
      <c r="E65" s="762" t="s">
        <v>31</v>
      </c>
      <c r="F65" s="391" t="s">
        <v>32</v>
      </c>
      <c r="G65" s="91" t="n">
        <v>1</v>
      </c>
      <c r="H65" s="91" t="s">
        <v>326</v>
      </c>
      <c r="I65" s="91" t="n">
        <v>0</v>
      </c>
      <c r="J65" s="91" t="n">
        <v>164</v>
      </c>
      <c r="K65" s="91" t="s">
        <v>46</v>
      </c>
      <c r="L65" s="92" t="n">
        <f aca="false">IF(J65="",0,(J65/J66)*100)</f>
        <v>100</v>
      </c>
      <c r="M65" s="91" t="n">
        <v>1</v>
      </c>
      <c r="N65" s="394" t="n">
        <v>6</v>
      </c>
      <c r="O65" s="310" t="n">
        <f aca="false">IF(M65=1,1,0)</f>
        <v>1</v>
      </c>
      <c r="P65" s="95" t="n">
        <f aca="false">IF(M65=2,1,0)</f>
        <v>0</v>
      </c>
      <c r="Q65" s="95" t="n">
        <f aca="false">IF(M65=3,1,0)</f>
        <v>0</v>
      </c>
      <c r="R65" s="117" t="n">
        <f aca="false">IF(M65=4,1,0)</f>
        <v>0</v>
      </c>
      <c r="S65" s="350"/>
      <c r="T65" s="134"/>
      <c r="U65" s="39"/>
    </row>
    <row r="66" customFormat="false" ht="20.1" hidden="true" customHeight="true" outlineLevel="1" collapsed="false">
      <c r="B66" s="39"/>
      <c r="C66" s="134"/>
      <c r="D66" s="349"/>
      <c r="E66" s="349"/>
      <c r="F66" s="350"/>
      <c r="G66" s="350"/>
      <c r="H66" s="134"/>
      <c r="I66" s="331" t="s">
        <v>62</v>
      </c>
      <c r="J66" s="98" t="n">
        <f aca="false">MAX(J62:J65)</f>
        <v>164</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02" t="s">
        <v>14</v>
      </c>
      <c r="E71" s="603" t="s">
        <v>15</v>
      </c>
      <c r="F71" s="716" t="n">
        <f aca="false">(K71*6+L71*3+M71*1+N71*0)</f>
        <v>14</v>
      </c>
      <c r="G71" s="716" t="n">
        <v>0</v>
      </c>
      <c r="H71" s="605" t="s">
        <v>46</v>
      </c>
      <c r="I71" s="605"/>
      <c r="J71" s="716" t="n">
        <f aca="false">F71+G71</f>
        <v>14</v>
      </c>
      <c r="K71" s="716" t="n">
        <v>2</v>
      </c>
      <c r="L71" s="716" t="n">
        <v>0</v>
      </c>
      <c r="M71" s="716" t="n">
        <v>2</v>
      </c>
      <c r="N71" s="716" t="n">
        <v>0</v>
      </c>
      <c r="O71" s="716"/>
      <c r="P71" s="716"/>
      <c r="Q71" s="716"/>
      <c r="R71" s="716"/>
      <c r="S71" s="717" t="n">
        <f aca="false">($L$35+$L$44+$L$53+$L$62)/4</f>
        <v>93.7098844672657</v>
      </c>
      <c r="T71" s="139"/>
      <c r="U71" s="39"/>
      <c r="W71" s="608"/>
      <c r="X71" s="608"/>
      <c r="Y71" s="608"/>
      <c r="Z71" s="608"/>
    </row>
    <row r="72" customFormat="false" ht="20.1" hidden="false" customHeight="true" outlineLevel="0" collapsed="false">
      <c r="B72" s="39"/>
      <c r="C72" s="139"/>
      <c r="D72" s="735" t="s">
        <v>31</v>
      </c>
      <c r="E72" s="512" t="s">
        <v>32</v>
      </c>
      <c r="F72" s="209" t="n">
        <f aca="false">(K72*6+L72*3+M72*1+N72*0)</f>
        <v>12</v>
      </c>
      <c r="G72" s="209" t="n">
        <v>0</v>
      </c>
      <c r="H72" s="610" t="s">
        <v>46</v>
      </c>
      <c r="I72" s="610"/>
      <c r="J72" s="209" t="n">
        <f aca="false">F72+G72</f>
        <v>12</v>
      </c>
      <c r="K72" s="209" t="n">
        <v>2</v>
      </c>
      <c r="L72" s="209" t="n">
        <v>0</v>
      </c>
      <c r="M72" s="209" t="n">
        <v>0</v>
      </c>
      <c r="N72" s="209" t="n">
        <v>2</v>
      </c>
      <c r="O72" s="209"/>
      <c r="P72" s="209"/>
      <c r="Q72" s="209"/>
      <c r="R72" s="209"/>
      <c r="S72" s="719" t="n">
        <f aca="false">($L$38+$L$47+$L$56+$L$65)/4</f>
        <v>67.7453886693017</v>
      </c>
      <c r="T72" s="139"/>
      <c r="U72" s="39"/>
      <c r="W72" s="167"/>
      <c r="X72" s="167"/>
      <c r="Y72" s="167"/>
      <c r="Z72" s="167"/>
    </row>
    <row r="73" customFormat="false" ht="20.1" hidden="false" customHeight="true" outlineLevel="0" collapsed="false">
      <c r="B73" s="39"/>
      <c r="C73" s="139"/>
      <c r="D73" s="365" t="s">
        <v>16</v>
      </c>
      <c r="E73" s="766" t="s">
        <v>17</v>
      </c>
      <c r="F73" s="209" t="n">
        <f aca="false">(K73*6+L73*3+M73*1+N73*0)</f>
        <v>8</v>
      </c>
      <c r="G73" s="209" t="n">
        <v>0</v>
      </c>
      <c r="H73" s="610" t="s">
        <v>46</v>
      </c>
      <c r="I73" s="610"/>
      <c r="J73" s="209" t="n">
        <f aca="false">F73+G73</f>
        <v>8</v>
      </c>
      <c r="K73" s="209" t="n">
        <v>0</v>
      </c>
      <c r="L73" s="209" t="n">
        <v>2</v>
      </c>
      <c r="M73" s="209" t="n">
        <v>2</v>
      </c>
      <c r="N73" s="209" t="n">
        <v>0</v>
      </c>
      <c r="O73" s="209"/>
      <c r="P73" s="209"/>
      <c r="Q73" s="209"/>
      <c r="R73" s="209"/>
      <c r="S73" s="719" t="n">
        <f aca="false">($L$36+$L$45+$L$54+$L$63)/4</f>
        <v>75.6972491843704</v>
      </c>
      <c r="T73" s="139"/>
      <c r="U73" s="39"/>
      <c r="W73" s="167"/>
      <c r="X73" s="167"/>
      <c r="Y73" s="167"/>
      <c r="Z73" s="167"/>
    </row>
    <row r="74" customFormat="false" ht="20.1" hidden="false" customHeight="true" outlineLevel="0" collapsed="false">
      <c r="B74" s="39"/>
      <c r="C74" s="139"/>
      <c r="D74" s="368" t="s">
        <v>27</v>
      </c>
      <c r="E74" s="611" t="s">
        <v>207</v>
      </c>
      <c r="F74" s="426" t="n">
        <f aca="false">(K74*6+L74*3+M74*1+N74*0)</f>
        <v>6</v>
      </c>
      <c r="G74" s="426" t="n">
        <v>0</v>
      </c>
      <c r="H74" s="612" t="s">
        <v>46</v>
      </c>
      <c r="I74" s="612"/>
      <c r="J74" s="426" t="n">
        <f aca="false">F74+G74</f>
        <v>6</v>
      </c>
      <c r="K74" s="426" t="n">
        <v>0</v>
      </c>
      <c r="L74" s="426" t="n">
        <v>2</v>
      </c>
      <c r="M74" s="426" t="n">
        <v>0</v>
      </c>
      <c r="N74" s="426" t="n">
        <v>2</v>
      </c>
      <c r="O74" s="426"/>
      <c r="P74" s="426"/>
      <c r="Q74" s="426"/>
      <c r="R74" s="426"/>
      <c r="S74" s="721" t="n">
        <f aca="false">($L$37+$L$46+$L$55+$L$64)/4</f>
        <v>77.393612972951</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2" t="s">
        <v>305</v>
      </c>
      <c r="D80" s="442"/>
      <c r="E80" s="442"/>
      <c r="F80" s="442"/>
      <c r="G80" s="442"/>
      <c r="H80" s="442"/>
      <c r="I80" s="442"/>
      <c r="J80" s="442"/>
      <c r="K80" s="442"/>
      <c r="L80" s="442"/>
      <c r="M80" s="442"/>
      <c r="N80" s="442"/>
      <c r="O80" s="442"/>
      <c r="P80" s="442"/>
      <c r="Q80" s="442"/>
      <c r="R80" s="442"/>
      <c r="S80" s="442"/>
      <c r="T80" s="442"/>
      <c r="U80" s="39"/>
    </row>
    <row r="81" customFormat="false" ht="20.1" hidden="false" customHeight="tru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50.1" hidden="false" customHeight="true" outlineLevel="0" collapsed="false">
      <c r="B84" s="39"/>
      <c r="D84" s="6" t="s">
        <v>20</v>
      </c>
      <c r="E84" s="229" t="s">
        <v>21</v>
      </c>
      <c r="F84" s="54" t="n">
        <v>1</v>
      </c>
      <c r="G84" s="374" t="s">
        <v>85</v>
      </c>
      <c r="H84" s="643" t="s">
        <v>51</v>
      </c>
      <c r="I84" s="587" t="s">
        <v>391</v>
      </c>
      <c r="J84" s="587"/>
      <c r="K84" s="595" t="s">
        <v>371</v>
      </c>
      <c r="L84" s="272" t="s">
        <v>46</v>
      </c>
      <c r="M84" s="276" t="s">
        <v>46</v>
      </c>
      <c r="N84" s="444" t="s">
        <v>46</v>
      </c>
      <c r="O84" s="444"/>
      <c r="P84" s="444"/>
      <c r="Q84" s="444"/>
      <c r="R84" s="444"/>
      <c r="S84" s="444"/>
      <c r="U84" s="39"/>
    </row>
    <row r="85" customFormat="false" ht="245.1" hidden="false" customHeight="true" outlineLevel="0" collapsed="false">
      <c r="B85" s="39"/>
      <c r="D85" s="13" t="s">
        <v>96</v>
      </c>
      <c r="E85" s="622" t="s">
        <v>210</v>
      </c>
      <c r="F85" s="62" t="n">
        <v>2</v>
      </c>
      <c r="G85" s="446" t="s">
        <v>85</v>
      </c>
      <c r="H85" s="620" t="s">
        <v>169</v>
      </c>
      <c r="I85" s="767" t="s">
        <v>392</v>
      </c>
      <c r="J85" s="767"/>
      <c r="K85" s="625" t="s">
        <v>50</v>
      </c>
      <c r="L85" s="278" t="s">
        <v>46</v>
      </c>
      <c r="M85" s="282" t="s">
        <v>46</v>
      </c>
      <c r="N85" s="447" t="s">
        <v>46</v>
      </c>
      <c r="O85" s="447"/>
      <c r="P85" s="447"/>
      <c r="Q85" s="447"/>
      <c r="R85" s="447"/>
      <c r="S85" s="447"/>
      <c r="U85" s="39"/>
    </row>
    <row r="86" customFormat="false" ht="80.1" hidden="false" customHeight="true" outlineLevel="0" collapsed="false">
      <c r="B86" s="39"/>
      <c r="D86" s="303" t="s">
        <v>7</v>
      </c>
      <c r="E86" s="304" t="s">
        <v>8</v>
      </c>
      <c r="F86" s="62" t="n">
        <v>3</v>
      </c>
      <c r="G86" s="550" t="s">
        <v>85</v>
      </c>
      <c r="H86" s="624" t="s">
        <v>115</v>
      </c>
      <c r="I86" s="593" t="s">
        <v>220</v>
      </c>
      <c r="J86" s="593"/>
      <c r="K86" s="625" t="s">
        <v>50</v>
      </c>
      <c r="L86" s="278" t="s">
        <v>46</v>
      </c>
      <c r="M86" s="282" t="s">
        <v>46</v>
      </c>
      <c r="N86" s="447" t="s">
        <v>46</v>
      </c>
      <c r="O86" s="447"/>
      <c r="P86" s="447"/>
      <c r="Q86" s="447"/>
      <c r="R86" s="447"/>
      <c r="S86" s="447"/>
      <c r="U86" s="39"/>
    </row>
    <row r="87" customFormat="false" ht="50.1" hidden="false" customHeight="true" outlineLevel="0" collapsed="false">
      <c r="B87" s="39"/>
      <c r="D87" s="711" t="s">
        <v>260</v>
      </c>
      <c r="E87" s="397" t="s">
        <v>261</v>
      </c>
      <c r="F87" s="71" t="n">
        <v>4</v>
      </c>
      <c r="G87" s="381" t="s">
        <v>114</v>
      </c>
      <c r="H87" s="595" t="s">
        <v>371</v>
      </c>
      <c r="I87" s="596" t="s">
        <v>320</v>
      </c>
      <c r="J87" s="596"/>
      <c r="K87" s="627" t="s">
        <v>50</v>
      </c>
      <c r="L87" s="287" t="s">
        <v>46</v>
      </c>
      <c r="M87" s="291" t="s">
        <v>46</v>
      </c>
      <c r="N87" s="450" t="s">
        <v>46</v>
      </c>
      <c r="O87" s="450"/>
      <c r="P87" s="450"/>
      <c r="Q87" s="450"/>
      <c r="R87" s="450"/>
      <c r="S87" s="450"/>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Marco Polo</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597"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6"/>
      <c r="E91" s="6" t="s">
        <v>20</v>
      </c>
      <c r="F91" s="229" t="s">
        <v>21</v>
      </c>
      <c r="G91" s="387" t="n">
        <v>1</v>
      </c>
      <c r="H91" s="387" t="s">
        <v>393</v>
      </c>
      <c r="I91" s="387" t="n">
        <v>0</v>
      </c>
      <c r="J91" s="387" t="n">
        <v>68</v>
      </c>
      <c r="K91" s="387" t="s">
        <v>46</v>
      </c>
      <c r="L91" s="388" t="n">
        <f aca="false">IF(J91="",0,(J91/J95)*100)</f>
        <v>88.3116883116883</v>
      </c>
      <c r="M91" s="387" t="n">
        <v>2</v>
      </c>
      <c r="N91" s="389" t="n">
        <v>3</v>
      </c>
      <c r="O91" s="301" t="n">
        <f aca="false">IF(M91=1,1,0)</f>
        <v>0</v>
      </c>
      <c r="P91" s="85" t="n">
        <f aca="false">IF(M91=2,1,0)</f>
        <v>1</v>
      </c>
      <c r="Q91" s="85" t="n">
        <f aca="false">IF(M91=3,1,0)</f>
        <v>0</v>
      </c>
      <c r="R91" s="84" t="n">
        <f aca="false">IF(M91=4,1,0)</f>
        <v>0</v>
      </c>
      <c r="S91" s="302"/>
      <c r="T91" s="76"/>
      <c r="U91" s="39"/>
    </row>
    <row r="92" customFormat="false" ht="20.1" hidden="false" customHeight="true" outlineLevel="0" collapsed="false">
      <c r="B92" s="39"/>
      <c r="C92" s="76"/>
      <c r="D92" s="297"/>
      <c r="E92" s="13" t="s">
        <v>96</v>
      </c>
      <c r="F92" s="237" t="s">
        <v>210</v>
      </c>
      <c r="G92" s="324" t="n">
        <v>3</v>
      </c>
      <c r="H92" s="324" t="s">
        <v>368</v>
      </c>
      <c r="I92" s="324" t="n">
        <v>0</v>
      </c>
      <c r="J92" s="324" t="n">
        <v>61</v>
      </c>
      <c r="K92" s="325" t="s">
        <v>46</v>
      </c>
      <c r="L92" s="341" t="n">
        <f aca="false">IF(J92="",0,(J92/J95)*100)</f>
        <v>79.2207792207792</v>
      </c>
      <c r="M92" s="324" t="n">
        <v>4</v>
      </c>
      <c r="N92" s="327" t="n">
        <v>0</v>
      </c>
      <c r="O92" s="305" t="n">
        <f aca="false">IF(M92=1,1,0)</f>
        <v>0</v>
      </c>
      <c r="P92" s="88" t="n">
        <f aca="false">IF(M92=2,1,0)</f>
        <v>0</v>
      </c>
      <c r="Q92" s="88" t="n">
        <f aca="false">IF(M92=3,1,0)</f>
        <v>0</v>
      </c>
      <c r="R92" s="87" t="n">
        <f aca="false">IF(M92=4,1,0)</f>
        <v>1</v>
      </c>
      <c r="S92" s="302"/>
      <c r="T92" s="76"/>
      <c r="U92" s="39"/>
    </row>
    <row r="93" customFormat="false" ht="20.1" hidden="false" customHeight="true" outlineLevel="0" collapsed="false">
      <c r="B93" s="39"/>
      <c r="C93" s="76"/>
      <c r="D93" s="297"/>
      <c r="E93" s="342" t="s">
        <v>7</v>
      </c>
      <c r="F93" s="343" t="s">
        <v>8</v>
      </c>
      <c r="G93" s="112" t="n">
        <v>4</v>
      </c>
      <c r="H93" s="112" t="s">
        <v>394</v>
      </c>
      <c r="I93" s="112" t="n">
        <v>0</v>
      </c>
      <c r="J93" s="112" t="n">
        <v>77</v>
      </c>
      <c r="K93" s="112" t="s">
        <v>46</v>
      </c>
      <c r="L93" s="113" t="n">
        <f aca="false">IF(J93="",0,(J93/J95)*100)</f>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307" t="s">
        <v>260</v>
      </c>
      <c r="F94" s="308" t="s">
        <v>261</v>
      </c>
      <c r="G94" s="186" t="n">
        <v>2</v>
      </c>
      <c r="H94" s="186" t="s">
        <v>369</v>
      </c>
      <c r="I94" s="186" t="n">
        <v>0</v>
      </c>
      <c r="J94" s="186" t="n">
        <v>65</v>
      </c>
      <c r="K94" s="352" t="s">
        <v>46</v>
      </c>
      <c r="L94" s="116" t="n">
        <f aca="false">IF(J94="",0,(J94/J95)*100)</f>
        <v>84.4155844155844</v>
      </c>
      <c r="M94" s="186" t="n">
        <v>3</v>
      </c>
      <c r="N94" s="309" t="n">
        <v>1</v>
      </c>
      <c r="O94" s="310" t="n">
        <f aca="false">IF(M94=1,1,0)</f>
        <v>0</v>
      </c>
      <c r="P94" s="95" t="n">
        <f aca="false">IF(M94=2,1,0)</f>
        <v>0</v>
      </c>
      <c r="Q94" s="95" t="n">
        <f aca="false">IF(M94=3,1,0)</f>
        <v>1</v>
      </c>
      <c r="R94" s="117" t="n">
        <f aca="false">IF(M94=4,1,0)</f>
        <v>0</v>
      </c>
      <c r="S94" s="302"/>
      <c r="T94" s="76"/>
      <c r="U94" s="39"/>
    </row>
    <row r="95" customFormat="false" ht="20.1" hidden="true" customHeight="true" outlineLevel="1" collapsed="false">
      <c r="B95" s="39"/>
      <c r="C95" s="76"/>
      <c r="D95" s="306"/>
      <c r="E95" s="306"/>
      <c r="F95" s="302"/>
      <c r="G95" s="302"/>
      <c r="H95" s="76"/>
      <c r="I95" s="345" t="s">
        <v>62</v>
      </c>
      <c r="J95" s="98" t="n">
        <f aca="false">MAX(J91:J94)</f>
        <v>77</v>
      </c>
      <c r="K95" s="396"/>
      <c r="L95" s="316"/>
      <c r="M95" s="76"/>
      <c r="N95" s="333" t="s">
        <v>63</v>
      </c>
      <c r="O95" s="102" t="n">
        <f aca="false">SUM(O91:O94)</f>
        <v>1</v>
      </c>
      <c r="P95" s="103" t="n">
        <f aca="false">SUM(P91:P94)</f>
        <v>1</v>
      </c>
      <c r="Q95" s="102" t="n">
        <f aca="false">SUM(Q91:Q94)</f>
        <v>1</v>
      </c>
      <c r="R95" s="104" t="n">
        <f aca="false">SUM(R91:R94)</f>
        <v>1</v>
      </c>
      <c r="S95" s="316"/>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Imhotep</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597"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3"/>
      <c r="E100" s="6" t="s">
        <v>20</v>
      </c>
      <c r="F100" s="229" t="s">
        <v>21</v>
      </c>
      <c r="G100" s="387" t="n">
        <v>3</v>
      </c>
      <c r="H100" s="387" t="s">
        <v>46</v>
      </c>
      <c r="I100" s="387" t="n">
        <v>0</v>
      </c>
      <c r="J100" s="387" t="n">
        <v>22</v>
      </c>
      <c r="K100" s="387" t="s">
        <v>46</v>
      </c>
      <c r="L100" s="388" t="n">
        <f aca="false">IF(J100="",0,(J100/J104)*100)</f>
        <v>53.6585365853659</v>
      </c>
      <c r="M100" s="387" t="n">
        <v>4</v>
      </c>
      <c r="N100" s="389" t="n">
        <v>0</v>
      </c>
      <c r="O100" s="301" t="n">
        <f aca="false">IF(M100=1,1,0)</f>
        <v>0</v>
      </c>
      <c r="P100" s="85" t="n">
        <f aca="false">IF(M100=2,1,0)</f>
        <v>0</v>
      </c>
      <c r="Q100" s="85" t="n">
        <f aca="false">IF(M100=3,1,0)</f>
        <v>0</v>
      </c>
      <c r="R100" s="84" t="n">
        <f aca="false">IF(M100=4,1,0)</f>
        <v>1</v>
      </c>
      <c r="S100" s="322"/>
      <c r="T100" s="107"/>
      <c r="U100" s="39"/>
    </row>
    <row r="101" customFormat="false" ht="20.1" hidden="false" customHeight="true" outlineLevel="0" collapsed="false">
      <c r="B101" s="39"/>
      <c r="C101" s="107"/>
      <c r="D101" s="319"/>
      <c r="E101" s="13" t="s">
        <v>96</v>
      </c>
      <c r="F101" s="237" t="s">
        <v>210</v>
      </c>
      <c r="G101" s="324" t="n">
        <v>1</v>
      </c>
      <c r="H101" s="324" t="s">
        <v>46</v>
      </c>
      <c r="I101" s="324" t="n">
        <v>0</v>
      </c>
      <c r="J101" s="324" t="n">
        <v>39</v>
      </c>
      <c r="K101" s="325" t="s">
        <v>46</v>
      </c>
      <c r="L101" s="341" t="n">
        <f aca="false">IF(J101="",0,(J101/J104)*100)</f>
        <v>95.1219512195122</v>
      </c>
      <c r="M101" s="324" t="n">
        <v>2</v>
      </c>
      <c r="N101" s="327" t="n">
        <v>3</v>
      </c>
      <c r="O101" s="305" t="n">
        <f aca="false">IF(M101=1,1,0)</f>
        <v>0</v>
      </c>
      <c r="P101" s="88" t="n">
        <f aca="false">IF(M101=2,1,0)</f>
        <v>1</v>
      </c>
      <c r="Q101" s="88" t="n">
        <f aca="false">IF(M101=3,1,0)</f>
        <v>0</v>
      </c>
      <c r="R101" s="87" t="n">
        <f aca="false">IF(M101=4,1,0)</f>
        <v>0</v>
      </c>
      <c r="S101" s="322"/>
      <c r="T101" s="107"/>
      <c r="U101" s="39"/>
    </row>
    <row r="102" customFormat="false" ht="20.1" hidden="false" customHeight="true" outlineLevel="0" collapsed="false">
      <c r="B102" s="39"/>
      <c r="C102" s="107"/>
      <c r="D102" s="323"/>
      <c r="E102" s="758" t="s">
        <v>7</v>
      </c>
      <c r="F102" s="552" t="s">
        <v>8</v>
      </c>
      <c r="G102" s="324" t="n">
        <v>2</v>
      </c>
      <c r="H102" s="324" t="s">
        <v>46</v>
      </c>
      <c r="I102" s="324" t="n">
        <v>0</v>
      </c>
      <c r="J102" s="324" t="n">
        <v>28</v>
      </c>
      <c r="K102" s="324" t="s">
        <v>46</v>
      </c>
      <c r="L102" s="341" t="n">
        <f aca="false">IF(J102="",0,(J102/J104)*100)</f>
        <v>68.2926829268293</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19"/>
      <c r="E103" s="762" t="s">
        <v>260</v>
      </c>
      <c r="F103" s="391" t="s">
        <v>261</v>
      </c>
      <c r="G103" s="91" t="n">
        <v>4</v>
      </c>
      <c r="H103" s="91" t="s">
        <v>46</v>
      </c>
      <c r="I103" s="91" t="n">
        <v>0</v>
      </c>
      <c r="J103" s="91" t="n">
        <v>41</v>
      </c>
      <c r="K103" s="393" t="s">
        <v>46</v>
      </c>
      <c r="L103" s="92" t="n">
        <f aca="false">IF(J103="",0,(J103/J104)*100)</f>
        <v>100</v>
      </c>
      <c r="M103" s="91" t="n">
        <v>1</v>
      </c>
      <c r="N103" s="394" t="n">
        <v>6</v>
      </c>
      <c r="O103" s="310" t="n">
        <f aca="false">IF(M103=1,1,0)</f>
        <v>1</v>
      </c>
      <c r="P103" s="95" t="n">
        <f aca="false">IF(M103=2,1,0)</f>
        <v>0</v>
      </c>
      <c r="Q103" s="95" t="n">
        <f aca="false">IF(M103=3,1,0)</f>
        <v>0</v>
      </c>
      <c r="R103" s="117" t="n">
        <f aca="false">IF(M103=4,1,0)</f>
        <v>0</v>
      </c>
      <c r="S103" s="322"/>
      <c r="T103" s="107"/>
      <c r="U103" s="39"/>
    </row>
    <row r="104" customFormat="false" ht="20.1" hidden="true" customHeight="true" outlineLevel="1" collapsed="false">
      <c r="B104" s="39"/>
      <c r="C104" s="107"/>
      <c r="D104" s="319"/>
      <c r="E104" s="319"/>
      <c r="F104" s="109"/>
      <c r="G104" s="109"/>
      <c r="H104" s="107"/>
      <c r="I104" s="345" t="s">
        <v>62</v>
      </c>
      <c r="J104" s="98" t="n">
        <f aca="false">MAX(J100:J103)</f>
        <v>41</v>
      </c>
      <c r="K104" s="332"/>
      <c r="L104" s="322"/>
      <c r="M104" s="107"/>
      <c r="N104" s="333" t="s">
        <v>63</v>
      </c>
      <c r="O104" s="102" t="n">
        <f aca="false">SUM(O100:O103)</f>
        <v>1</v>
      </c>
      <c r="P104" s="103" t="n">
        <f aca="false">SUM(P100:P103)</f>
        <v>1</v>
      </c>
      <c r="Q104" s="102" t="n">
        <f aca="false">SUM(Q100:Q103)</f>
        <v>1</v>
      </c>
      <c r="R104" s="104" t="n">
        <f aca="false">SUM(R100:R103)</f>
        <v>1</v>
      </c>
      <c r="S104" s="334"/>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Orakel von Delphi</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597"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125.1" hidden="false" customHeight="true" outlineLevel="0" collapsed="false">
      <c r="B109" s="39"/>
      <c r="C109" s="126"/>
      <c r="D109" s="340"/>
      <c r="E109" s="6" t="s">
        <v>20</v>
      </c>
      <c r="F109" s="229" t="s">
        <v>21</v>
      </c>
      <c r="G109" s="387" t="n">
        <v>3</v>
      </c>
      <c r="H109" s="553" t="s">
        <v>395</v>
      </c>
      <c r="I109" s="387" t="s">
        <v>46</v>
      </c>
      <c r="J109" s="553" t="s">
        <v>396</v>
      </c>
      <c r="K109" s="387" t="s">
        <v>46</v>
      </c>
      <c r="L109" s="388" t="n">
        <f aca="false">(L92+L100+L119)/3</f>
        <v>64.8357409276298</v>
      </c>
      <c r="M109" s="387" t="n">
        <v>4</v>
      </c>
      <c r="N109" s="389" t="n">
        <v>0</v>
      </c>
      <c r="O109" s="301" t="n">
        <f aca="false">IF(M109=1,1,0)</f>
        <v>0</v>
      </c>
      <c r="P109" s="85" t="n">
        <f aca="false">IF(M109=2,1,0)</f>
        <v>0</v>
      </c>
      <c r="Q109" s="85" t="n">
        <f aca="false">IF(M109=3,1,0)</f>
        <v>0</v>
      </c>
      <c r="R109" s="84" t="n">
        <f aca="false">IF(M109=4,1,0)</f>
        <v>1</v>
      </c>
      <c r="S109" s="339"/>
      <c r="T109" s="126"/>
      <c r="U109" s="131"/>
    </row>
    <row r="110" customFormat="false" ht="170.1" hidden="false" customHeight="true" outlineLevel="0" collapsed="false">
      <c r="B110" s="39"/>
      <c r="C110" s="126"/>
      <c r="D110" s="336"/>
      <c r="E110" s="13" t="s">
        <v>96</v>
      </c>
      <c r="F110" s="237" t="s">
        <v>210</v>
      </c>
      <c r="G110" s="324" t="n">
        <v>1</v>
      </c>
      <c r="H110" s="325" t="s">
        <v>397</v>
      </c>
      <c r="I110" s="324" t="s">
        <v>46</v>
      </c>
      <c r="J110" s="325" t="s">
        <v>398</v>
      </c>
      <c r="K110" s="325" t="s">
        <v>46</v>
      </c>
      <c r="L110" s="341" t="n">
        <f aca="false">(L94+L102+L120)/3</f>
        <v>74.5461666335177</v>
      </c>
      <c r="M110" s="324" t="n">
        <v>3</v>
      </c>
      <c r="N110" s="327" t="n">
        <v>1</v>
      </c>
      <c r="O110" s="305" t="n">
        <f aca="false">IF(M110=1,1,0)</f>
        <v>0</v>
      </c>
      <c r="P110" s="88" t="n">
        <f aca="false">IF(M110=2,1,0)</f>
        <v>0</v>
      </c>
      <c r="Q110" s="88" t="n">
        <f aca="false">IF(M110=3,1,0)</f>
        <v>1</v>
      </c>
      <c r="R110" s="87" t="n">
        <f aca="false">IF(M110=4,1,0)</f>
        <v>0</v>
      </c>
      <c r="S110" s="339"/>
      <c r="T110" s="126"/>
      <c r="U110" s="132"/>
    </row>
    <row r="111" customFormat="false" ht="80.1" hidden="false" customHeight="true" outlineLevel="0" collapsed="false">
      <c r="B111" s="39"/>
      <c r="C111" s="126"/>
      <c r="D111" s="336"/>
      <c r="E111" s="342" t="s">
        <v>7</v>
      </c>
      <c r="F111" s="343" t="s">
        <v>8</v>
      </c>
      <c r="G111" s="112" t="n">
        <v>2</v>
      </c>
      <c r="H111" s="508" t="s">
        <v>399</v>
      </c>
      <c r="I111" s="112" t="s">
        <v>46</v>
      </c>
      <c r="J111" s="508" t="s">
        <v>227</v>
      </c>
      <c r="K111" s="112" t="s">
        <v>46</v>
      </c>
      <c r="L111" s="113" t="n">
        <v>100</v>
      </c>
      <c r="M111" s="112" t="n">
        <v>1</v>
      </c>
      <c r="N111" s="344" t="n">
        <v>6</v>
      </c>
      <c r="O111" s="305" t="n">
        <f aca="false">IF(M111=1,1,0)</f>
        <v>1</v>
      </c>
      <c r="P111" s="88" t="n">
        <f aca="false">IF(M111=2,1,0)</f>
        <v>0</v>
      </c>
      <c r="Q111" s="88" t="n">
        <f aca="false">IF(M111=3,1,0)</f>
        <v>0</v>
      </c>
      <c r="R111" s="87" t="n">
        <f aca="false">IF(M111=4,1,0)</f>
        <v>0</v>
      </c>
      <c r="S111" s="339"/>
      <c r="T111" s="126"/>
      <c r="U111" s="132"/>
    </row>
    <row r="112" customFormat="false" ht="110.1" hidden="false" customHeight="true" outlineLevel="0" collapsed="false">
      <c r="B112" s="39"/>
      <c r="C112" s="126"/>
      <c r="D112" s="336"/>
      <c r="E112" s="307" t="s">
        <v>260</v>
      </c>
      <c r="F112" s="308" t="s">
        <v>261</v>
      </c>
      <c r="G112" s="186" t="n">
        <v>4</v>
      </c>
      <c r="H112" s="352" t="s">
        <v>335</v>
      </c>
      <c r="I112" s="186" t="s">
        <v>46</v>
      </c>
      <c r="J112" s="352" t="s">
        <v>400</v>
      </c>
      <c r="K112" s="352" t="s">
        <v>46</v>
      </c>
      <c r="L112" s="116" t="n">
        <f aca="false">(L91+L101+L118)/3</f>
        <v>86.4675439264208</v>
      </c>
      <c r="M112" s="186" t="n">
        <v>2</v>
      </c>
      <c r="N112" s="309" t="n">
        <v>3</v>
      </c>
      <c r="O112" s="310" t="n">
        <f aca="false">IF(M112=1,1,0)</f>
        <v>0</v>
      </c>
      <c r="P112" s="95" t="n">
        <f aca="false">IF(M112=2,1,0)</f>
        <v>1</v>
      </c>
      <c r="Q112" s="95" t="n">
        <f aca="false">IF(M112=3,1,0)</f>
        <v>0</v>
      </c>
      <c r="R112" s="117" t="n">
        <f aca="false">IF(M112=4,1,0)</f>
        <v>0</v>
      </c>
      <c r="S112" s="339"/>
      <c r="T112" s="126"/>
      <c r="U112" s="132"/>
    </row>
    <row r="113" customFormat="false" ht="20.1" hidden="true" customHeight="true" outlineLevel="1" collapsed="false">
      <c r="B113" s="39"/>
      <c r="C113" s="126"/>
      <c r="D113" s="336"/>
      <c r="E113" s="336"/>
      <c r="F113" s="339"/>
      <c r="G113" s="339"/>
      <c r="H113" s="126"/>
      <c r="I113" s="345" t="s">
        <v>62</v>
      </c>
      <c r="J113" s="98" t="n">
        <f aca="false">MAX(J109:J112)</f>
        <v>0</v>
      </c>
      <c r="K113" s="346"/>
      <c r="L113" s="339"/>
      <c r="M113" s="126"/>
      <c r="N113" s="333" t="s">
        <v>63</v>
      </c>
      <c r="O113" s="102" t="n">
        <f aca="false">SUM(O109:O112)</f>
        <v>1</v>
      </c>
      <c r="P113" s="103" t="n">
        <f aca="false">SUM(P109:P112)</f>
        <v>1</v>
      </c>
      <c r="Q113" s="102" t="n">
        <f aca="false">SUM(Q109:Q112)</f>
        <v>1</v>
      </c>
      <c r="R113" s="104" t="n">
        <f aca="false">SUM(R109:R112)</f>
        <v>1</v>
      </c>
      <c r="S113" s="347"/>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Through the Ages: A new Story of Civilization</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597"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49"/>
      <c r="E118" s="6" t="s">
        <v>20</v>
      </c>
      <c r="F118" s="229" t="s">
        <v>206</v>
      </c>
      <c r="G118" s="387" t="n">
        <v>2</v>
      </c>
      <c r="H118" s="387" t="s">
        <v>46</v>
      </c>
      <c r="I118" s="387" t="n">
        <v>0</v>
      </c>
      <c r="J118" s="387" t="n">
        <v>196</v>
      </c>
      <c r="K118" s="387" t="s">
        <v>46</v>
      </c>
      <c r="L118" s="388" t="n">
        <f aca="false">IF(J118="",0,(J118/J122)*100)</f>
        <v>75.968992248062</v>
      </c>
      <c r="M118" s="387" t="n">
        <v>2</v>
      </c>
      <c r="N118" s="389" t="n">
        <v>3</v>
      </c>
      <c r="O118" s="301" t="n">
        <f aca="false">IF(M118=1,1,0)</f>
        <v>0</v>
      </c>
      <c r="P118" s="85" t="n">
        <f aca="false">IF(M118=2,1,0)</f>
        <v>1</v>
      </c>
      <c r="Q118" s="85" t="n">
        <f aca="false">IF(M118=3,1,0)</f>
        <v>0</v>
      </c>
      <c r="R118" s="84" t="n">
        <f aca="false">IF(M118=4,1,0)</f>
        <v>0</v>
      </c>
      <c r="S118" s="350"/>
      <c r="T118" s="134"/>
      <c r="U118" s="39"/>
    </row>
    <row r="119" customFormat="false" ht="20.1" hidden="false" customHeight="true" outlineLevel="0" collapsed="false">
      <c r="B119" s="39"/>
      <c r="C119" s="134"/>
      <c r="D119" s="349"/>
      <c r="E119" s="13" t="s">
        <v>96</v>
      </c>
      <c r="F119" s="237" t="s">
        <v>210</v>
      </c>
      <c r="G119" s="324" t="n">
        <v>1</v>
      </c>
      <c r="H119" s="324" t="s">
        <v>46</v>
      </c>
      <c r="I119" s="324" t="n">
        <v>0</v>
      </c>
      <c r="J119" s="324" t="n">
        <v>159</v>
      </c>
      <c r="K119" s="325" t="s">
        <v>46</v>
      </c>
      <c r="L119" s="341" t="n">
        <f aca="false">IF(J119="",0,(J119/J122)*100)</f>
        <v>61.6279069767442</v>
      </c>
      <c r="M119" s="324" t="n">
        <v>4</v>
      </c>
      <c r="N119" s="327" t="n">
        <v>0</v>
      </c>
      <c r="O119" s="305" t="n">
        <f aca="false">IF(M119=1,1,0)</f>
        <v>0</v>
      </c>
      <c r="P119" s="88" t="n">
        <f aca="false">IF(M119=2,1,0)</f>
        <v>0</v>
      </c>
      <c r="Q119" s="88" t="n">
        <f aca="false">IF(M119=3,1,0)</f>
        <v>0</v>
      </c>
      <c r="R119" s="87" t="n">
        <f aca="false">IF(M119=4,1,0)</f>
        <v>1</v>
      </c>
      <c r="S119" s="350"/>
      <c r="T119" s="134"/>
      <c r="U119" s="39"/>
    </row>
    <row r="120" customFormat="false" ht="20.1" hidden="false" customHeight="true" outlineLevel="0" collapsed="false">
      <c r="B120" s="39"/>
      <c r="C120" s="134"/>
      <c r="D120" s="349"/>
      <c r="E120" s="758" t="s">
        <v>7</v>
      </c>
      <c r="F120" s="552" t="s">
        <v>8</v>
      </c>
      <c r="G120" s="324" t="n">
        <v>3</v>
      </c>
      <c r="H120" s="324" t="s">
        <v>46</v>
      </c>
      <c r="I120" s="324" t="n">
        <v>0</v>
      </c>
      <c r="J120" s="324" t="n">
        <v>183</v>
      </c>
      <c r="K120" s="324" t="s">
        <v>46</v>
      </c>
      <c r="L120" s="341" t="n">
        <f aca="false">IF(J120="",0,(J120/J122)*100)</f>
        <v>70.9302325581395</v>
      </c>
      <c r="M120" s="324" t="n">
        <v>3</v>
      </c>
      <c r="N120" s="327"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51"/>
      <c r="E121" s="762" t="s">
        <v>260</v>
      </c>
      <c r="F121" s="391" t="s">
        <v>261</v>
      </c>
      <c r="G121" s="91" t="n">
        <v>4</v>
      </c>
      <c r="H121" s="91" t="s">
        <v>46</v>
      </c>
      <c r="I121" s="91" t="n">
        <v>0</v>
      </c>
      <c r="J121" s="91" t="n">
        <v>258</v>
      </c>
      <c r="K121" s="393" t="s">
        <v>46</v>
      </c>
      <c r="L121" s="92" t="n">
        <f aca="false">IF(J121="",0,(J121/J122)*100)</f>
        <v>100</v>
      </c>
      <c r="M121" s="91" t="n">
        <v>1</v>
      </c>
      <c r="N121" s="394" t="n">
        <v>6</v>
      </c>
      <c r="O121" s="310" t="n">
        <f aca="false">IF(M121=1,1,0)</f>
        <v>1</v>
      </c>
      <c r="P121" s="95" t="n">
        <f aca="false">IF(M121=2,1,0)</f>
        <v>0</v>
      </c>
      <c r="Q121" s="95" t="n">
        <f aca="false">IF(M121=3,1,0)</f>
        <v>0</v>
      </c>
      <c r="R121" s="117" t="n">
        <f aca="false">IF(M121=4,1,0)</f>
        <v>0</v>
      </c>
      <c r="S121" s="350"/>
      <c r="T121" s="134"/>
      <c r="U121" s="39"/>
    </row>
    <row r="122" customFormat="false" ht="20.1" hidden="true" customHeight="true" outlineLevel="1" collapsed="false">
      <c r="B122" s="39"/>
      <c r="C122" s="134"/>
      <c r="D122" s="349"/>
      <c r="E122" s="349"/>
      <c r="F122" s="350"/>
      <c r="G122" s="350"/>
      <c r="H122" s="134"/>
      <c r="I122" s="345" t="s">
        <v>62</v>
      </c>
      <c r="J122" s="98" t="n">
        <f aca="false">MAX(J118:J121)</f>
        <v>258</v>
      </c>
      <c r="K122" s="353"/>
      <c r="L122" s="350"/>
      <c r="M122" s="134"/>
      <c r="N122" s="333" t="s">
        <v>63</v>
      </c>
      <c r="O122" s="102" t="n">
        <f aca="false">SUM(O118:O121)</f>
        <v>1</v>
      </c>
      <c r="P122" s="103" t="n">
        <f aca="false">SUM(P118:P121)</f>
        <v>1</v>
      </c>
      <c r="Q122" s="102" t="n">
        <f aca="false">SUM(Q118:Q121)</f>
        <v>1</v>
      </c>
      <c r="R122" s="104" t="n">
        <f aca="false">SUM(R118:R121)</f>
        <v>1</v>
      </c>
      <c r="S122" s="354"/>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6" t="s">
        <v>36</v>
      </c>
      <c r="E126" s="357" t="s">
        <v>218</v>
      </c>
      <c r="F126" s="358" t="s">
        <v>57</v>
      </c>
      <c r="G126" s="146" t="s">
        <v>236</v>
      </c>
      <c r="H126" s="143" t="s">
        <v>237</v>
      </c>
      <c r="I126" s="143"/>
      <c r="J126" s="488" t="s">
        <v>238</v>
      </c>
      <c r="K126" s="359" t="s">
        <v>65</v>
      </c>
      <c r="L126" s="358" t="s">
        <v>66</v>
      </c>
      <c r="M126" s="359" t="s">
        <v>67</v>
      </c>
      <c r="N126" s="358" t="s">
        <v>68</v>
      </c>
      <c r="O126" s="600"/>
      <c r="P126" s="601"/>
      <c r="Q126" s="601"/>
      <c r="R126" s="601"/>
      <c r="S126" s="357" t="s">
        <v>69</v>
      </c>
      <c r="T126" s="139"/>
      <c r="U126" s="39"/>
    </row>
    <row r="127" customFormat="false" ht="20.1" hidden="false" customHeight="true" outlineLevel="0" collapsed="false">
      <c r="B127" s="39"/>
      <c r="C127" s="139"/>
      <c r="D127" s="734" t="s">
        <v>260</v>
      </c>
      <c r="E127" s="671" t="s">
        <v>261</v>
      </c>
      <c r="F127" s="630" t="n">
        <f aca="false">K127*6+L127*3+M127*1+N127*0</f>
        <v>16</v>
      </c>
      <c r="G127" s="631" t="n">
        <v>0</v>
      </c>
      <c r="H127" s="631" t="s">
        <v>46</v>
      </c>
      <c r="I127" s="631"/>
      <c r="J127" s="630" t="n">
        <f aca="false">F127+G127</f>
        <v>16</v>
      </c>
      <c r="K127" s="630" t="n">
        <v>2</v>
      </c>
      <c r="L127" s="630" t="n">
        <v>1</v>
      </c>
      <c r="M127" s="630" t="n">
        <v>1</v>
      </c>
      <c r="N127" s="630" t="n">
        <v>0</v>
      </c>
      <c r="O127" s="725"/>
      <c r="P127" s="631"/>
      <c r="Q127" s="631"/>
      <c r="R127" s="631"/>
      <c r="S127" s="635" t="n">
        <f aca="false">($L$94+$L$103+$L$112+$L$121)/4</f>
        <v>92.7207820855013</v>
      </c>
      <c r="T127" s="139"/>
      <c r="U127" s="39"/>
    </row>
    <row r="128" customFormat="false" ht="20.1" hidden="false" customHeight="true" outlineLevel="0" collapsed="false">
      <c r="B128" s="39"/>
      <c r="C128" s="139"/>
      <c r="D128" s="735" t="s">
        <v>7</v>
      </c>
      <c r="E128" s="512" t="s">
        <v>8</v>
      </c>
      <c r="F128" s="400" t="n">
        <f aca="false">K128*6+L128*3+M128*1+N128*0</f>
        <v>14</v>
      </c>
      <c r="G128" s="192" t="n">
        <v>0</v>
      </c>
      <c r="H128" s="192" t="s">
        <v>46</v>
      </c>
      <c r="I128" s="192"/>
      <c r="J128" s="400" t="n">
        <f aca="false">F128+G128</f>
        <v>14</v>
      </c>
      <c r="K128" s="400" t="n">
        <v>2</v>
      </c>
      <c r="L128" s="400" t="n">
        <v>0</v>
      </c>
      <c r="M128" s="400" t="n">
        <v>2</v>
      </c>
      <c r="N128" s="400" t="n">
        <v>0</v>
      </c>
      <c r="O128" s="726"/>
      <c r="P128" s="192"/>
      <c r="Q128" s="192"/>
      <c r="R128" s="192"/>
      <c r="S128" s="367" t="n">
        <f aca="false">($L$93+$L$102+$L$111+$L$120)/4</f>
        <v>84.8057288712422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5" t="s">
        <v>20</v>
      </c>
      <c r="E129" s="609" t="s">
        <v>21</v>
      </c>
      <c r="F129" s="400" t="n">
        <f aca="false">K129*6+L129*3+M129*1+N129*0</f>
        <v>6</v>
      </c>
      <c r="G129" s="192" t="n">
        <v>0</v>
      </c>
      <c r="H129" s="192" t="s">
        <v>46</v>
      </c>
      <c r="I129" s="192"/>
      <c r="J129" s="400" t="n">
        <f aca="false">F129+G129</f>
        <v>6</v>
      </c>
      <c r="K129" s="400" t="n">
        <v>0</v>
      </c>
      <c r="L129" s="400" t="n">
        <v>2</v>
      </c>
      <c r="M129" s="400" t="n">
        <v>0</v>
      </c>
      <c r="N129" s="400" t="n">
        <v>2</v>
      </c>
      <c r="O129" s="726"/>
      <c r="P129" s="192"/>
      <c r="Q129" s="192"/>
      <c r="R129" s="192"/>
      <c r="S129" s="367" t="n">
        <f aca="false">($L$91+$L$100+$L$109+$L$118)/4</f>
        <v>70.6937395181865</v>
      </c>
      <c r="T129" s="139"/>
      <c r="U129" s="39"/>
    </row>
    <row r="130" customFormat="false" ht="20.1" hidden="false" customHeight="true" outlineLevel="0" collapsed="false">
      <c r="B130" s="39"/>
      <c r="C130" s="139"/>
      <c r="D130" s="368" t="s">
        <v>96</v>
      </c>
      <c r="E130" s="720" t="s">
        <v>210</v>
      </c>
      <c r="F130" s="402" t="n">
        <f aca="false">K130*6+L130*3+M130*1+N130*0</f>
        <v>4</v>
      </c>
      <c r="G130" s="370" t="n">
        <v>0</v>
      </c>
      <c r="H130" s="691" t="s">
        <v>46</v>
      </c>
      <c r="I130" s="691"/>
      <c r="J130" s="402" t="n">
        <f aca="false">F130+G130</f>
        <v>4</v>
      </c>
      <c r="K130" s="402" t="n">
        <v>0</v>
      </c>
      <c r="L130" s="402" t="n">
        <v>1</v>
      </c>
      <c r="M130" s="402" t="n">
        <v>1</v>
      </c>
      <c r="N130" s="402" t="n">
        <v>2</v>
      </c>
      <c r="O130" s="727"/>
      <c r="P130" s="370"/>
      <c r="Q130" s="370"/>
      <c r="R130" s="370"/>
      <c r="S130" s="371" t="n">
        <f aca="false">($L$92+$L$101+$L$110+$L$119)/4</f>
        <v>77.6292010126383</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2" t="s">
        <v>315</v>
      </c>
      <c r="D136" s="442"/>
      <c r="E136" s="442"/>
      <c r="F136" s="442"/>
      <c r="G136" s="442"/>
      <c r="H136" s="442"/>
      <c r="I136" s="442"/>
      <c r="J136" s="442"/>
      <c r="K136" s="442"/>
      <c r="L136" s="442"/>
      <c r="M136" s="442"/>
      <c r="N136" s="442"/>
      <c r="O136" s="442"/>
      <c r="P136" s="442"/>
      <c r="Q136" s="442"/>
      <c r="R136" s="442"/>
      <c r="S136" s="442"/>
      <c r="T136" s="442"/>
      <c r="U136" s="39"/>
    </row>
    <row r="137" customFormat="false" ht="20.1" hidden="false" customHeight="true" outlineLevel="0" collapsed="false">
      <c r="B137" s="39"/>
      <c r="D137" s="36"/>
      <c r="E137" s="36"/>
      <c r="U137" s="39"/>
    </row>
    <row r="138" customFormat="false" ht="20.1" hidden="false" customHeight="true" outlineLevel="0" collapsed="false">
      <c r="B138" s="39"/>
      <c r="D138" s="615" t="s">
        <v>36</v>
      </c>
      <c r="E138" s="266" t="s">
        <v>239</v>
      </c>
      <c r="F138" s="294" t="s">
        <v>6</v>
      </c>
      <c r="G138" s="616" t="s">
        <v>110</v>
      </c>
      <c r="H138" s="616"/>
      <c r="I138" s="616"/>
      <c r="J138" s="616"/>
      <c r="K138" s="264" t="s">
        <v>71</v>
      </c>
      <c r="L138" s="266" t="s">
        <v>40</v>
      </c>
      <c r="M138" s="266"/>
      <c r="N138" s="266"/>
      <c r="O138" s="266"/>
      <c r="P138" s="266"/>
      <c r="Q138" s="266"/>
      <c r="R138" s="266"/>
      <c r="S138" s="266"/>
      <c r="U138" s="39"/>
    </row>
    <row r="139" customFormat="false" ht="20.1" hidden="false" customHeight="true" outlineLevel="0" collapsed="false">
      <c r="B139" s="39"/>
      <c r="D139" s="615"/>
      <c r="E139" s="266"/>
      <c r="F139" s="294"/>
      <c r="G139" s="268" t="s">
        <v>111</v>
      </c>
      <c r="H139" s="267" t="s">
        <v>41</v>
      </c>
      <c r="I139" s="294" t="s">
        <v>42</v>
      </c>
      <c r="J139" s="294"/>
      <c r="K139" s="267" t="s">
        <v>43</v>
      </c>
      <c r="L139" s="372" t="s">
        <v>111</v>
      </c>
      <c r="M139" s="270" t="s">
        <v>44</v>
      </c>
      <c r="N139" s="384" t="s">
        <v>42</v>
      </c>
      <c r="O139" s="384"/>
      <c r="P139" s="384"/>
      <c r="Q139" s="384"/>
      <c r="R139" s="384"/>
      <c r="S139" s="384"/>
      <c r="U139" s="39"/>
    </row>
    <row r="140" customFormat="false" ht="65.1" hidden="false" customHeight="true" outlineLevel="0" collapsed="false">
      <c r="B140" s="39"/>
      <c r="D140" s="6" t="s">
        <v>22</v>
      </c>
      <c r="E140" s="229" t="s">
        <v>23</v>
      </c>
      <c r="F140" s="54" t="n">
        <v>1</v>
      </c>
      <c r="G140" s="374" t="s">
        <v>85</v>
      </c>
      <c r="H140" s="643" t="s">
        <v>243</v>
      </c>
      <c r="I140" s="587" t="s">
        <v>244</v>
      </c>
      <c r="J140" s="587"/>
      <c r="K140" s="756" t="s">
        <v>50</v>
      </c>
      <c r="L140" s="272" t="s">
        <v>46</v>
      </c>
      <c r="M140" s="276" t="s">
        <v>46</v>
      </c>
      <c r="N140" s="444" t="s">
        <v>46</v>
      </c>
      <c r="O140" s="444"/>
      <c r="P140" s="444"/>
      <c r="Q140" s="444"/>
      <c r="R140" s="444"/>
      <c r="S140" s="444"/>
      <c r="U140" s="39"/>
    </row>
    <row r="141" customFormat="false" ht="35.1" hidden="false" customHeight="true" outlineLevel="0" collapsed="false">
      <c r="B141" s="39"/>
      <c r="D141" s="13" t="s">
        <v>346</v>
      </c>
      <c r="E141" s="304" t="s">
        <v>347</v>
      </c>
      <c r="F141" s="62" t="n">
        <v>2</v>
      </c>
      <c r="G141" s="446" t="s">
        <v>85</v>
      </c>
      <c r="H141" s="620" t="s">
        <v>308</v>
      </c>
      <c r="I141" s="590" t="s">
        <v>401</v>
      </c>
      <c r="J141" s="590"/>
      <c r="K141" s="768" t="s">
        <v>50</v>
      </c>
      <c r="L141" s="278" t="s">
        <v>46</v>
      </c>
      <c r="M141" s="282" t="s">
        <v>46</v>
      </c>
      <c r="N141" s="447" t="s">
        <v>46</v>
      </c>
      <c r="O141" s="447"/>
      <c r="P141" s="447"/>
      <c r="Q141" s="447"/>
      <c r="R141" s="447"/>
      <c r="S141" s="447"/>
      <c r="U141" s="39"/>
    </row>
    <row r="142" customFormat="false" ht="20.1" hidden="false" customHeight="true" outlineLevel="0" collapsed="false">
      <c r="B142" s="39"/>
      <c r="D142" s="13" t="s">
        <v>10</v>
      </c>
      <c r="E142" s="304" t="s">
        <v>11</v>
      </c>
      <c r="F142" s="62" t="n">
        <v>3</v>
      </c>
      <c r="G142" s="379" t="s">
        <v>85</v>
      </c>
      <c r="H142" s="624" t="s">
        <v>47</v>
      </c>
      <c r="I142" s="593" t="s">
        <v>46</v>
      </c>
      <c r="J142" s="593"/>
      <c r="K142" s="768" t="s">
        <v>50</v>
      </c>
      <c r="L142" s="278" t="s">
        <v>46</v>
      </c>
      <c r="M142" s="282" t="s">
        <v>46</v>
      </c>
      <c r="N142" s="447" t="s">
        <v>46</v>
      </c>
      <c r="O142" s="447"/>
      <c r="P142" s="447"/>
      <c r="Q142" s="447"/>
      <c r="R142" s="447"/>
      <c r="S142" s="447"/>
      <c r="U142" s="39"/>
    </row>
    <row r="143" customFormat="false" ht="20.1" hidden="false" customHeight="true" outlineLevel="0" collapsed="false">
      <c r="B143" s="39"/>
      <c r="D143" s="29" t="s">
        <v>349</v>
      </c>
      <c r="E143" s="397" t="s">
        <v>350</v>
      </c>
      <c r="F143" s="71" t="n">
        <v>4</v>
      </c>
      <c r="G143" s="381" t="s">
        <v>114</v>
      </c>
      <c r="H143" s="595" t="s">
        <v>264</v>
      </c>
      <c r="I143" s="596" t="s">
        <v>46</v>
      </c>
      <c r="J143" s="596"/>
      <c r="K143" s="627" t="s">
        <v>50</v>
      </c>
      <c r="L143" s="658" t="s">
        <v>46</v>
      </c>
      <c r="M143" s="380" t="s">
        <v>46</v>
      </c>
      <c r="N143" s="626" t="s">
        <v>46</v>
      </c>
      <c r="O143" s="626"/>
      <c r="P143" s="626"/>
      <c r="Q143" s="626"/>
      <c r="R143" s="626"/>
      <c r="S143" s="626"/>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Pandoria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22</v>
      </c>
      <c r="F147" s="521" t="s">
        <v>23</v>
      </c>
      <c r="G147" s="182" t="n">
        <v>1</v>
      </c>
      <c r="H147" s="182" t="s">
        <v>246</v>
      </c>
      <c r="I147" s="182" t="n">
        <v>0</v>
      </c>
      <c r="J147" s="182" t="n">
        <v>68</v>
      </c>
      <c r="K147" s="182" t="s">
        <v>46</v>
      </c>
      <c r="L147" s="183" t="n">
        <f aca="false">IF(J147="",0,(J147/J151)*100)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13" t="s">
        <v>346</v>
      </c>
      <c r="F148" s="552" t="s">
        <v>347</v>
      </c>
      <c r="G148" s="324" t="n">
        <v>4</v>
      </c>
      <c r="H148" s="324" t="s">
        <v>248</v>
      </c>
      <c r="I148" s="324" t="n">
        <v>0</v>
      </c>
      <c r="J148" s="324" t="n">
        <v>50</v>
      </c>
      <c r="K148" s="325" t="s">
        <v>46</v>
      </c>
      <c r="L148" s="341" t="n">
        <f aca="false">IF(J148="",0,(J148/J151)*100)</f>
        <v>73.5294117647059</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13" t="s">
        <v>10</v>
      </c>
      <c r="F149" s="552" t="s">
        <v>11</v>
      </c>
      <c r="G149" s="324" t="n">
        <v>2</v>
      </c>
      <c r="H149" s="324" t="s">
        <v>245</v>
      </c>
      <c r="I149" s="324" t="n">
        <v>0</v>
      </c>
      <c r="J149" s="324" t="n">
        <v>39</v>
      </c>
      <c r="K149" s="324" t="s">
        <v>46</v>
      </c>
      <c r="L149" s="341" t="n">
        <f aca="false">IF(J149="",0,(J149/J151)*100)</f>
        <v>57.3529411764706</v>
      </c>
      <c r="M149" s="324" t="n">
        <v>4</v>
      </c>
      <c r="N149" s="327" t="n">
        <v>0</v>
      </c>
      <c r="O149" s="305" t="n">
        <f aca="false">IF(M149=1,1,0)</f>
        <v>0</v>
      </c>
      <c r="P149" s="88" t="n">
        <f aca="false">IF(M149=2,1,0)</f>
        <v>0</v>
      </c>
      <c r="Q149" s="88" t="n">
        <f aca="false">IF(M149=3,1,0)</f>
        <v>0</v>
      </c>
      <c r="R149" s="87" t="n">
        <f aca="false">IF(M149=4,1,0)</f>
        <v>1</v>
      </c>
      <c r="S149" s="302"/>
      <c r="T149" s="76"/>
      <c r="U149" s="39"/>
    </row>
    <row r="150" customFormat="false" ht="20.1" hidden="false" customHeight="true" outlineLevel="0" collapsed="false">
      <c r="B150" s="39"/>
      <c r="C150" s="76"/>
      <c r="D150" s="297"/>
      <c r="E150" s="29" t="s">
        <v>349</v>
      </c>
      <c r="F150" s="308" t="s">
        <v>350</v>
      </c>
      <c r="G150" s="186" t="n">
        <v>3</v>
      </c>
      <c r="H150" s="186" t="s">
        <v>247</v>
      </c>
      <c r="I150" s="186" t="n">
        <v>0</v>
      </c>
      <c r="J150" s="186" t="n">
        <v>44</v>
      </c>
      <c r="K150" s="352" t="s">
        <v>46</v>
      </c>
      <c r="L150" s="116" t="n">
        <f aca="false">IF(J150="",0,(J150/J151)*100)</f>
        <v>64.7058823529412</v>
      </c>
      <c r="M150" s="186" t="n">
        <v>3</v>
      </c>
      <c r="N150" s="309" t="n">
        <v>1</v>
      </c>
      <c r="O150" s="310" t="n">
        <f aca="false">IF(M150=1,1,0)</f>
        <v>0</v>
      </c>
      <c r="P150" s="95" t="n">
        <f aca="false">IF(M150=2,1,0)</f>
        <v>0</v>
      </c>
      <c r="Q150" s="95" t="n">
        <f aca="false">IF(M150=3,1,0)</f>
        <v>1</v>
      </c>
      <c r="R150" s="117" t="n">
        <f aca="false">IF(M150=4,1,0)</f>
        <v>0</v>
      </c>
      <c r="S150" s="302"/>
      <c r="T150" s="76"/>
      <c r="U150" s="39"/>
    </row>
    <row r="151" customFormat="false" ht="20.1" hidden="true" customHeight="true" outlineLevel="1" collapsed="false">
      <c r="B151" s="39"/>
      <c r="C151" s="76"/>
      <c r="D151" s="306"/>
      <c r="E151" s="306"/>
      <c r="F151" s="302"/>
      <c r="G151" s="302"/>
      <c r="H151" s="76"/>
      <c r="I151" s="345" t="s">
        <v>62</v>
      </c>
      <c r="J151" s="98" t="n">
        <f aca="false">MAX(J147:J150)</f>
        <v>68</v>
      </c>
      <c r="K151" s="396"/>
      <c r="L151" s="316"/>
      <c r="M151" s="76"/>
      <c r="N151" s="333" t="s">
        <v>63</v>
      </c>
      <c r="O151" s="102" t="n">
        <f aca="false">SUM(O147:O150)</f>
        <v>1</v>
      </c>
      <c r="P151" s="103" t="n">
        <f aca="false">SUM(P147:P150)</f>
        <v>1</v>
      </c>
      <c r="Q151" s="102" t="n">
        <f aca="false">SUM(Q147:Q150)</f>
        <v>1</v>
      </c>
      <c r="R151" s="104" t="n">
        <f aca="false">SUM(R147:R150)</f>
        <v>1</v>
      </c>
      <c r="S151" s="316"/>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Die Burgen von Burgund</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597"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3"/>
      <c r="E156" s="6" t="s">
        <v>22</v>
      </c>
      <c r="F156" s="229" t="s">
        <v>23</v>
      </c>
      <c r="G156" s="387" t="n">
        <v>1</v>
      </c>
      <c r="H156" s="387" t="s">
        <v>402</v>
      </c>
      <c r="I156" s="387" t="n">
        <v>0</v>
      </c>
      <c r="J156" s="387" t="n">
        <v>189</v>
      </c>
      <c r="K156" s="387" t="s">
        <v>46</v>
      </c>
      <c r="L156" s="388" t="n">
        <f aca="false">IF(J156="",0,(J156/J160)*100)</f>
        <v>76.8292682926829</v>
      </c>
      <c r="M156" s="387" t="n">
        <v>3</v>
      </c>
      <c r="N156" s="389" t="n">
        <v>1</v>
      </c>
      <c r="O156" s="301" t="n">
        <f aca="false">IF(M156=1,1,0)</f>
        <v>0</v>
      </c>
      <c r="P156" s="85" t="n">
        <f aca="false">IF(M156=2,1,0)</f>
        <v>0</v>
      </c>
      <c r="Q156" s="85" t="n">
        <f aca="false">IF(M156=3,1,0)</f>
        <v>1</v>
      </c>
      <c r="R156" s="84" t="n">
        <f aca="false">IF(M156=4,1,0)</f>
        <v>0</v>
      </c>
      <c r="S156" s="322"/>
      <c r="T156" s="107"/>
      <c r="U156" s="39"/>
    </row>
    <row r="157" customFormat="false" ht="20.1" hidden="false" customHeight="true" outlineLevel="0" collapsed="false">
      <c r="B157" s="39"/>
      <c r="C157" s="107"/>
      <c r="D157" s="319"/>
      <c r="E157" s="13" t="s">
        <v>346</v>
      </c>
      <c r="F157" s="552" t="s">
        <v>347</v>
      </c>
      <c r="G157" s="324" t="n">
        <v>3</v>
      </c>
      <c r="H157" s="324" t="s">
        <v>234</v>
      </c>
      <c r="I157" s="324" t="n">
        <v>0</v>
      </c>
      <c r="J157" s="324" t="n">
        <v>192</v>
      </c>
      <c r="K157" s="325" t="s">
        <v>46</v>
      </c>
      <c r="L157" s="341" t="n">
        <f aca="false">IF(J157="",0,(J157/J160)*100)</f>
        <v>78.0487804878049</v>
      </c>
      <c r="M157" s="324" t="n">
        <v>2</v>
      </c>
      <c r="N157" s="327" t="n">
        <v>3</v>
      </c>
      <c r="O157" s="305" t="n">
        <f aca="false">IF(M157=1,1,0)</f>
        <v>0</v>
      </c>
      <c r="P157" s="88" t="n">
        <f aca="false">IF(M157=2,1,0)</f>
        <v>1</v>
      </c>
      <c r="Q157" s="88" t="n">
        <f aca="false">IF(M157=3,1,0)</f>
        <v>0</v>
      </c>
      <c r="R157" s="87" t="n">
        <f aca="false">IF(M157=4,1,0)</f>
        <v>0</v>
      </c>
      <c r="S157" s="322"/>
      <c r="T157" s="107"/>
      <c r="U157" s="39"/>
    </row>
    <row r="158" customFormat="false" ht="20.1" hidden="false" customHeight="true" outlineLevel="0" collapsed="false">
      <c r="B158" s="39"/>
      <c r="C158" s="107"/>
      <c r="D158" s="323"/>
      <c r="E158" s="110" t="s">
        <v>10</v>
      </c>
      <c r="F158" s="343" t="s">
        <v>11</v>
      </c>
      <c r="G158" s="112" t="n">
        <v>3</v>
      </c>
      <c r="H158" s="112" t="s">
        <v>311</v>
      </c>
      <c r="I158" s="112" t="n">
        <v>0</v>
      </c>
      <c r="J158" s="112" t="n">
        <v>246</v>
      </c>
      <c r="K158" s="112" t="s">
        <v>46</v>
      </c>
      <c r="L158" s="113" t="n">
        <f aca="false">IF(J158="",0,(J158/J160)*100)</f>
        <v>100</v>
      </c>
      <c r="M158" s="112" t="n">
        <v>1</v>
      </c>
      <c r="N158" s="344" t="n">
        <v>6</v>
      </c>
      <c r="O158" s="305" t="n">
        <f aca="false">IF(M158=1,1,0)</f>
        <v>1</v>
      </c>
      <c r="P158" s="88" t="n">
        <f aca="false">IF(M158=2,1,0)</f>
        <v>0</v>
      </c>
      <c r="Q158" s="88" t="n">
        <f aca="false">IF(M158=3,1,0)</f>
        <v>0</v>
      </c>
      <c r="R158" s="87" t="n">
        <f aca="false">IF(M158=4,1,0)</f>
        <v>0</v>
      </c>
      <c r="S158" s="322"/>
      <c r="T158" s="107"/>
      <c r="U158" s="39"/>
    </row>
    <row r="159" customFormat="false" ht="20.1" hidden="false" customHeight="true" outlineLevel="0" collapsed="false">
      <c r="B159" s="39"/>
      <c r="C159" s="107"/>
      <c r="D159" s="319"/>
      <c r="E159" s="29" t="s">
        <v>349</v>
      </c>
      <c r="F159" s="308" t="s">
        <v>350</v>
      </c>
      <c r="G159" s="186" t="n">
        <v>4</v>
      </c>
      <c r="H159" s="186" t="s">
        <v>311</v>
      </c>
      <c r="I159" s="186" t="n">
        <v>0</v>
      </c>
      <c r="J159" s="186" t="n">
        <v>177</v>
      </c>
      <c r="K159" s="352" t="s">
        <v>46</v>
      </c>
      <c r="L159" s="116" t="n">
        <f aca="false">IF(J159="",0,(J159/J160)*100)</f>
        <v>71.9512195121951</v>
      </c>
      <c r="M159" s="186" t="n">
        <v>4</v>
      </c>
      <c r="N159" s="309" t="n">
        <v>1</v>
      </c>
      <c r="O159" s="310" t="n">
        <f aca="false">IF(M159=1,1,0)</f>
        <v>0</v>
      </c>
      <c r="P159" s="95" t="n">
        <f aca="false">IF(M159=2,1,0)</f>
        <v>0</v>
      </c>
      <c r="Q159" s="95" t="n">
        <f aca="false">IF(M159=3,1,0)</f>
        <v>0</v>
      </c>
      <c r="R159" s="117" t="n">
        <f aca="false">IF(M159=4,1,0)</f>
        <v>1</v>
      </c>
      <c r="S159" s="322"/>
      <c r="T159" s="107"/>
      <c r="U159" s="39"/>
    </row>
    <row r="160" customFormat="false" ht="20.1" hidden="true" customHeight="true" outlineLevel="1" collapsed="false">
      <c r="B160" s="39"/>
      <c r="C160" s="107"/>
      <c r="D160" s="319"/>
      <c r="E160" s="319"/>
      <c r="F160" s="109"/>
      <c r="G160" s="109"/>
      <c r="H160" s="107"/>
      <c r="I160" s="345" t="s">
        <v>62</v>
      </c>
      <c r="J160" s="98" t="n">
        <f aca="false">MAX(J156:J159)</f>
        <v>246</v>
      </c>
      <c r="K160" s="332"/>
      <c r="L160" s="322"/>
      <c r="M160" s="107"/>
      <c r="N160" s="333" t="s">
        <v>63</v>
      </c>
      <c r="O160" s="102" t="n">
        <f aca="false">SUM(O156:O159)</f>
        <v>1</v>
      </c>
      <c r="P160" s="103" t="n">
        <f aca="false">SUM(P156:P159)</f>
        <v>1</v>
      </c>
      <c r="Q160" s="102" t="n">
        <f aca="false">SUM(Q156:Q159)</f>
        <v>1</v>
      </c>
      <c r="R160" s="104" t="n">
        <f aca="false">SUM(R156:R159)</f>
        <v>1</v>
      </c>
      <c r="S160" s="334"/>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Hawaii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597"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20.1" hidden="false" customHeight="true" outlineLevel="0" collapsed="false">
      <c r="B165" s="39"/>
      <c r="C165" s="126"/>
      <c r="D165" s="340"/>
      <c r="E165" s="6" t="s">
        <v>22</v>
      </c>
      <c r="F165" s="229" t="s">
        <v>23</v>
      </c>
      <c r="G165" s="387" t="n">
        <v>2</v>
      </c>
      <c r="H165" s="553" t="s">
        <v>46</v>
      </c>
      <c r="I165" s="387" t="n">
        <v>0</v>
      </c>
      <c r="J165" s="553" t="n">
        <v>94</v>
      </c>
      <c r="K165" s="553" t="s">
        <v>46</v>
      </c>
      <c r="L165" s="388" t="n">
        <f aca="false">IF(J165="",0,(J165/J169)*100)</f>
        <v>96.9072164948454</v>
      </c>
      <c r="M165" s="387" t="n">
        <v>2</v>
      </c>
      <c r="N165" s="389" t="n">
        <v>3</v>
      </c>
      <c r="O165" s="301" t="n">
        <f aca="false">IF(M165=1,1,0)</f>
        <v>0</v>
      </c>
      <c r="P165" s="85" t="n">
        <f aca="false">IF(M165=2,1,0)</f>
        <v>1</v>
      </c>
      <c r="Q165" s="85" t="n">
        <f aca="false">IF(M165=3,1,0)</f>
        <v>0</v>
      </c>
      <c r="R165" s="84" t="n">
        <f aca="false">IF(M165=4,1,0)</f>
        <v>0</v>
      </c>
      <c r="S165" s="339"/>
      <c r="T165" s="126"/>
      <c r="U165" s="131"/>
    </row>
    <row r="166" customFormat="false" ht="20.1" hidden="false" customHeight="true" outlineLevel="0" collapsed="false">
      <c r="B166" s="39"/>
      <c r="C166" s="126"/>
      <c r="D166" s="336"/>
      <c r="E166" s="110" t="s">
        <v>346</v>
      </c>
      <c r="F166" s="343" t="s">
        <v>347</v>
      </c>
      <c r="G166" s="112" t="n">
        <v>3</v>
      </c>
      <c r="H166" s="508" t="s">
        <v>46</v>
      </c>
      <c r="I166" s="112" t="n">
        <v>0</v>
      </c>
      <c r="J166" s="508" t="n">
        <v>97</v>
      </c>
      <c r="K166" s="508" t="s">
        <v>46</v>
      </c>
      <c r="L166" s="113" t="n">
        <f aca="false">IF(J166="",0,(J166/J169)*100)</f>
        <v>100</v>
      </c>
      <c r="M166" s="112" t="n">
        <v>1</v>
      </c>
      <c r="N166" s="344" t="n">
        <v>6</v>
      </c>
      <c r="O166" s="305" t="n">
        <f aca="false">IF(M166=1,1,0)</f>
        <v>1</v>
      </c>
      <c r="P166" s="88" t="n">
        <f aca="false">IF(M166=2,1,0)</f>
        <v>0</v>
      </c>
      <c r="Q166" s="88" t="n">
        <f aca="false">IF(M166=3,1,0)</f>
        <v>0</v>
      </c>
      <c r="R166" s="87" t="n">
        <f aca="false">IF(M166=4,1,0)</f>
        <v>0</v>
      </c>
      <c r="S166" s="339"/>
      <c r="T166" s="126"/>
      <c r="U166" s="132"/>
    </row>
    <row r="167" customFormat="false" ht="20.1" hidden="false" customHeight="true" outlineLevel="0" collapsed="false">
      <c r="B167" s="39"/>
      <c r="C167" s="126"/>
      <c r="D167" s="336"/>
      <c r="E167" s="13" t="s">
        <v>10</v>
      </c>
      <c r="F167" s="552" t="s">
        <v>11</v>
      </c>
      <c r="G167" s="324" t="n">
        <v>1</v>
      </c>
      <c r="H167" s="325" t="s">
        <v>46</v>
      </c>
      <c r="I167" s="324" t="n">
        <v>0</v>
      </c>
      <c r="J167" s="325" t="n">
        <v>87</v>
      </c>
      <c r="K167" s="325" t="s">
        <v>46</v>
      </c>
      <c r="L167" s="341" t="n">
        <f aca="false">IF(J167="",0,(J167/J169)*100)</f>
        <v>89.6907216494845</v>
      </c>
      <c r="M167" s="324" t="n">
        <v>4</v>
      </c>
      <c r="N167" s="327" t="n">
        <v>0</v>
      </c>
      <c r="O167" s="305" t="n">
        <f aca="false">IF(M167=1,1,0)</f>
        <v>0</v>
      </c>
      <c r="P167" s="88" t="n">
        <f aca="false">IF(M167=2,1,0)</f>
        <v>0</v>
      </c>
      <c r="Q167" s="88" t="n">
        <f aca="false">IF(M167=3,1,0)</f>
        <v>0</v>
      </c>
      <c r="R167" s="87" t="n">
        <f aca="false">IF(M167=4,1,0)</f>
        <v>1</v>
      </c>
      <c r="S167" s="339"/>
      <c r="T167" s="126"/>
      <c r="U167" s="132"/>
    </row>
    <row r="168" customFormat="false" ht="20.1" hidden="false" customHeight="true" outlineLevel="0" collapsed="false">
      <c r="B168" s="39"/>
      <c r="C168" s="126"/>
      <c r="D168" s="336"/>
      <c r="E168" s="29" t="s">
        <v>349</v>
      </c>
      <c r="F168" s="308" t="s">
        <v>350</v>
      </c>
      <c r="G168" s="186" t="n">
        <v>4</v>
      </c>
      <c r="H168" s="352" t="s">
        <v>46</v>
      </c>
      <c r="I168" s="186" t="n">
        <v>0</v>
      </c>
      <c r="J168" s="352" t="n">
        <v>89</v>
      </c>
      <c r="K168" s="352" t="s">
        <v>46</v>
      </c>
      <c r="L168" s="116" t="n">
        <f aca="false">IF(J168="",0,(J168/J169)*100)</f>
        <v>91.7525773195876</v>
      </c>
      <c r="M168" s="186" t="n">
        <v>3</v>
      </c>
      <c r="N168" s="309" t="n">
        <v>1</v>
      </c>
      <c r="O168" s="310" t="n">
        <f aca="false">IF(M168=1,1,0)</f>
        <v>0</v>
      </c>
      <c r="P168" s="95" t="n">
        <f aca="false">IF(M168=2,1,0)</f>
        <v>0</v>
      </c>
      <c r="Q168" s="95" t="n">
        <f aca="false">IF(M168=3,1,0)</f>
        <v>1</v>
      </c>
      <c r="R168" s="117" t="n">
        <f aca="false">IF(M168=4,1,0)</f>
        <v>0</v>
      </c>
      <c r="S168" s="339"/>
      <c r="T168" s="126"/>
      <c r="U168" s="132"/>
    </row>
    <row r="169" customFormat="false" ht="20.1" hidden="true" customHeight="true" outlineLevel="1" collapsed="false">
      <c r="B169" s="39"/>
      <c r="C169" s="126"/>
      <c r="D169" s="336"/>
      <c r="E169" s="336"/>
      <c r="F169" s="339"/>
      <c r="G169" s="339"/>
      <c r="H169" s="126"/>
      <c r="I169" s="345" t="s">
        <v>62</v>
      </c>
      <c r="J169" s="98" t="n">
        <f aca="false">MAX(J165:J168)</f>
        <v>97</v>
      </c>
      <c r="K169" s="346"/>
      <c r="L169" s="339"/>
      <c r="M169" s="126"/>
      <c r="N169" s="333" t="s">
        <v>63</v>
      </c>
      <c r="O169" s="102" t="n">
        <f aca="false">SUM(O165:O168)</f>
        <v>1</v>
      </c>
      <c r="P169" s="103" t="n">
        <f aca="false">SUM(P165:P168)</f>
        <v>1</v>
      </c>
      <c r="Q169" s="102" t="n">
        <f aca="false">SUM(Q165:Q168)</f>
        <v>1</v>
      </c>
      <c r="R169" s="104" t="n">
        <f aca="false">SUM(R165:R168)</f>
        <v>1</v>
      </c>
      <c r="S169" s="347"/>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Tzolk'in</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597"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80.1" hidden="false" customHeight="true" outlineLevel="0" collapsed="false">
      <c r="B174" s="39"/>
      <c r="C174" s="134"/>
      <c r="D174" s="349"/>
      <c r="E174" s="6" t="s">
        <v>22</v>
      </c>
      <c r="F174" s="229" t="s">
        <v>23</v>
      </c>
      <c r="G174" s="387" t="n">
        <v>3</v>
      </c>
      <c r="H174" s="553" t="s">
        <v>46</v>
      </c>
      <c r="I174" s="387" t="n">
        <v>0</v>
      </c>
      <c r="J174" s="764" t="n">
        <v>53</v>
      </c>
      <c r="K174" s="553" t="s">
        <v>403</v>
      </c>
      <c r="L174" s="388" t="n">
        <f aca="false">IF(J174="",0,(J174/J178)*100)</f>
        <v>73.6111111111111</v>
      </c>
      <c r="M174" s="387" t="n">
        <v>3</v>
      </c>
      <c r="N174" s="389" t="n">
        <v>1</v>
      </c>
      <c r="O174" s="301" t="n">
        <f aca="false">IF(M174=1,1,0)</f>
        <v>0</v>
      </c>
      <c r="P174" s="85" t="n">
        <f aca="false">IF(M174=2,1,0)</f>
        <v>0</v>
      </c>
      <c r="Q174" s="85" t="n">
        <f aca="false">IF(M174=3,1,0)</f>
        <v>1</v>
      </c>
      <c r="R174" s="84" t="n">
        <f aca="false">IF(M174=4,1,0)</f>
        <v>0</v>
      </c>
      <c r="S174" s="350"/>
      <c r="T174" s="134"/>
      <c r="U174" s="39"/>
    </row>
    <row r="175" customFormat="false" ht="80.1" hidden="false" customHeight="true" outlineLevel="0" collapsed="false">
      <c r="B175" s="39"/>
      <c r="C175" s="134"/>
      <c r="D175" s="349"/>
      <c r="E175" s="13" t="s">
        <v>346</v>
      </c>
      <c r="F175" s="552" t="s">
        <v>348</v>
      </c>
      <c r="G175" s="324" t="n">
        <v>1</v>
      </c>
      <c r="H175" s="324" t="s">
        <v>46</v>
      </c>
      <c r="I175" s="324" t="n">
        <v>0</v>
      </c>
      <c r="J175" s="713" t="n">
        <v>53</v>
      </c>
      <c r="K175" s="325" t="s">
        <v>404</v>
      </c>
      <c r="L175" s="341" t="n">
        <f aca="false">IF(J175="",0,(J175/J178)*100)</f>
        <v>73.6111111111111</v>
      </c>
      <c r="M175" s="324" t="n">
        <v>2</v>
      </c>
      <c r="N175" s="327" t="n">
        <v>3</v>
      </c>
      <c r="O175" s="305" t="n">
        <f aca="false">IF(M175=1,1,0)</f>
        <v>0</v>
      </c>
      <c r="P175" s="88" t="n">
        <f aca="false">IF(M175=2,1,0)</f>
        <v>1</v>
      </c>
      <c r="Q175" s="88" t="n">
        <f aca="false">IF(M175=3,1,0)</f>
        <v>0</v>
      </c>
      <c r="R175" s="87" t="n">
        <f aca="false">IF(M175=4,1,0)</f>
        <v>0</v>
      </c>
      <c r="S175" s="350"/>
      <c r="T175" s="134"/>
      <c r="U175" s="39"/>
    </row>
    <row r="176" customFormat="false" ht="20.1" hidden="false" customHeight="true" outlineLevel="0" collapsed="false">
      <c r="B176" s="39"/>
      <c r="C176" s="134"/>
      <c r="D176" s="349"/>
      <c r="E176" s="110" t="s">
        <v>10</v>
      </c>
      <c r="F176" s="343" t="s">
        <v>209</v>
      </c>
      <c r="G176" s="112" t="n">
        <v>2</v>
      </c>
      <c r="H176" s="112" t="s">
        <v>46</v>
      </c>
      <c r="I176" s="112" t="n">
        <v>0</v>
      </c>
      <c r="J176" s="769" t="n">
        <v>72</v>
      </c>
      <c r="K176" s="112" t="s">
        <v>46</v>
      </c>
      <c r="L176" s="113" t="n">
        <f aca="false">IF(J176="",0,(J176/J178)*100)</f>
        <v>100</v>
      </c>
      <c r="M176" s="112" t="n">
        <v>1</v>
      </c>
      <c r="N176" s="344" t="n">
        <v>6</v>
      </c>
      <c r="O176" s="305" t="n">
        <f aca="false">IF(M176=1,1,0)</f>
        <v>1</v>
      </c>
      <c r="P176" s="88" t="n">
        <f aca="false">IF(M176=2,1,0)</f>
        <v>0</v>
      </c>
      <c r="Q176" s="88" t="n">
        <f aca="false">IF(M176=3,1,0)</f>
        <v>0</v>
      </c>
      <c r="R176" s="87" t="n">
        <f aca="false">IF(M176=4,1,0)</f>
        <v>0</v>
      </c>
      <c r="S176" s="350"/>
      <c r="T176" s="134"/>
      <c r="U176" s="39"/>
    </row>
    <row r="177" customFormat="false" ht="20.1" hidden="false" customHeight="true" outlineLevel="0" collapsed="false">
      <c r="B177" s="39"/>
      <c r="C177" s="134"/>
      <c r="D177" s="351"/>
      <c r="E177" s="29" t="s">
        <v>349</v>
      </c>
      <c r="F177" s="308" t="s">
        <v>350</v>
      </c>
      <c r="G177" s="186" t="n">
        <v>4</v>
      </c>
      <c r="H177" s="186" t="s">
        <v>46</v>
      </c>
      <c r="I177" s="186" t="n">
        <v>0</v>
      </c>
      <c r="J177" s="714" t="n">
        <v>23</v>
      </c>
      <c r="K177" s="352" t="s">
        <v>46</v>
      </c>
      <c r="L177" s="116" t="n">
        <f aca="false">IF(J177="",0,(J177/J178)*100)</f>
        <v>31.9444444444444</v>
      </c>
      <c r="M177" s="186" t="n">
        <v>4</v>
      </c>
      <c r="N177" s="309" t="n">
        <v>0</v>
      </c>
      <c r="O177" s="310" t="n">
        <f aca="false">IF(M177=1,1,0)</f>
        <v>0</v>
      </c>
      <c r="P177" s="95" t="n">
        <f aca="false">IF(M177=2,1,0)</f>
        <v>0</v>
      </c>
      <c r="Q177" s="95" t="n">
        <f aca="false">IF(M177=3,1,0)</f>
        <v>0</v>
      </c>
      <c r="R177" s="117" t="n">
        <f aca="false">IF(M177=4,1,0)</f>
        <v>1</v>
      </c>
      <c r="S177" s="350"/>
      <c r="T177" s="134"/>
      <c r="U177" s="39"/>
    </row>
    <row r="178" customFormat="false" ht="20.1" hidden="true" customHeight="true" outlineLevel="1" collapsed="false">
      <c r="B178" s="39"/>
      <c r="C178" s="134"/>
      <c r="D178" s="349"/>
      <c r="E178" s="349"/>
      <c r="F178" s="350"/>
      <c r="G178" s="350"/>
      <c r="H178" s="134"/>
      <c r="I178" s="345" t="s">
        <v>62</v>
      </c>
      <c r="J178" s="98" t="n">
        <f aca="false">MAX(J174:J177)</f>
        <v>72</v>
      </c>
      <c r="K178" s="353"/>
      <c r="L178" s="350"/>
      <c r="M178" s="134"/>
      <c r="N178" s="333" t="s">
        <v>63</v>
      </c>
      <c r="O178" s="102" t="n">
        <f aca="false">SUM(O174:O177)</f>
        <v>1</v>
      </c>
      <c r="P178" s="103" t="n">
        <f aca="false">SUM(P174:P177)</f>
        <v>1</v>
      </c>
      <c r="Q178" s="102" t="n">
        <f aca="false">SUM(Q174:Q177)</f>
        <v>1</v>
      </c>
      <c r="R178" s="104" t="n">
        <f aca="false">SUM(R174:R177)</f>
        <v>1</v>
      </c>
      <c r="S178" s="354"/>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6" t="s">
        <v>36</v>
      </c>
      <c r="E182" s="357" t="s">
        <v>218</v>
      </c>
      <c r="F182" s="358" t="s">
        <v>57</v>
      </c>
      <c r="G182" s="146" t="s">
        <v>236</v>
      </c>
      <c r="H182" s="143" t="s">
        <v>237</v>
      </c>
      <c r="I182" s="143"/>
      <c r="J182" s="488" t="s">
        <v>238</v>
      </c>
      <c r="K182" s="359" t="s">
        <v>65</v>
      </c>
      <c r="L182" s="358" t="s">
        <v>66</v>
      </c>
      <c r="M182" s="359" t="s">
        <v>67</v>
      </c>
      <c r="N182" s="358" t="s">
        <v>68</v>
      </c>
      <c r="O182" s="600"/>
      <c r="P182" s="601"/>
      <c r="Q182" s="601"/>
      <c r="R182" s="601"/>
      <c r="S182" s="357" t="s">
        <v>69</v>
      </c>
      <c r="T182" s="139"/>
      <c r="U182" s="39"/>
    </row>
    <row r="183" customFormat="false" ht="20.1" hidden="false" customHeight="true" outlineLevel="0" collapsed="false">
      <c r="B183" s="39"/>
      <c r="C183" s="139"/>
      <c r="D183" s="602" t="s">
        <v>346</v>
      </c>
      <c r="E183" s="724" t="s">
        <v>348</v>
      </c>
      <c r="F183" s="630" t="n">
        <f aca="false">K183*6+L183*3+M183*1+N183*0</f>
        <v>15</v>
      </c>
      <c r="G183" s="631" t="n">
        <v>0</v>
      </c>
      <c r="H183" s="631" t="s">
        <v>46</v>
      </c>
      <c r="I183" s="631"/>
      <c r="J183" s="630" t="n">
        <f aca="false">F183+G183</f>
        <v>15</v>
      </c>
      <c r="K183" s="630" t="n">
        <v>1</v>
      </c>
      <c r="L183" s="630" t="n">
        <v>3</v>
      </c>
      <c r="M183" s="630" t="n">
        <v>0</v>
      </c>
      <c r="N183" s="630" t="n">
        <v>0</v>
      </c>
      <c r="O183" s="725"/>
      <c r="P183" s="631"/>
      <c r="Q183" s="631"/>
      <c r="R183" s="631"/>
      <c r="S183" s="635" t="n">
        <f aca="false">(L148+L157+L166+L175)/4</f>
        <v>81.2973258409055</v>
      </c>
      <c r="T183" s="139"/>
      <c r="U183" s="39"/>
    </row>
    <row r="184" customFormat="false" ht="20.1" hidden="false" customHeight="true" outlineLevel="0" collapsed="false">
      <c r="B184" s="39"/>
      <c r="C184" s="139"/>
      <c r="D184" s="365" t="s">
        <v>10</v>
      </c>
      <c r="E184" s="766" t="s">
        <v>11</v>
      </c>
      <c r="F184" s="400" t="n">
        <f aca="false">K184*6+L184*3+M184*1+N184*0</f>
        <v>12</v>
      </c>
      <c r="G184" s="192" t="n">
        <v>0</v>
      </c>
      <c r="H184" s="192" t="s">
        <v>46</v>
      </c>
      <c r="I184" s="192"/>
      <c r="J184" s="400" t="n">
        <f aca="false">F184+G184</f>
        <v>12</v>
      </c>
      <c r="K184" s="400" t="n">
        <v>2</v>
      </c>
      <c r="L184" s="400" t="n">
        <v>0</v>
      </c>
      <c r="M184" s="400" t="n">
        <v>0</v>
      </c>
      <c r="N184" s="400" t="n">
        <v>2</v>
      </c>
      <c r="O184" s="726"/>
      <c r="P184" s="192"/>
      <c r="Q184" s="192"/>
      <c r="R184" s="192"/>
      <c r="S184" s="367" t="n">
        <f aca="false">(L149+L158+L167+L176)/4</f>
        <v>86.7609157064888</v>
      </c>
      <c r="T184" s="139"/>
      <c r="U184" s="39"/>
    </row>
    <row r="185" customFormat="false" ht="20.1" hidden="false" customHeight="true" outlineLevel="0" collapsed="false">
      <c r="B185" s="39"/>
      <c r="C185" s="139"/>
      <c r="D185" s="365" t="s">
        <v>22</v>
      </c>
      <c r="E185" s="609" t="s">
        <v>23</v>
      </c>
      <c r="F185" s="400" t="n">
        <f aca="false">K185*6+L185*3+M185*1+N185*0</f>
        <v>11</v>
      </c>
      <c r="G185" s="192" t="n">
        <v>0</v>
      </c>
      <c r="H185" s="192" t="s">
        <v>46</v>
      </c>
      <c r="I185" s="192"/>
      <c r="J185" s="400" t="n">
        <f aca="false">F185+G185</f>
        <v>11</v>
      </c>
      <c r="K185" s="400" t="n">
        <v>1</v>
      </c>
      <c r="L185" s="400" t="n">
        <v>1</v>
      </c>
      <c r="M185" s="400" t="n">
        <v>2</v>
      </c>
      <c r="N185" s="400" t="n">
        <v>0</v>
      </c>
      <c r="O185" s="726"/>
      <c r="P185" s="192"/>
      <c r="Q185" s="192"/>
      <c r="R185" s="192"/>
      <c r="S185" s="367" t="n">
        <f aca="false">(L147+L156+L165+L174)/4</f>
        <v>86.8368989746599</v>
      </c>
      <c r="T185" s="139"/>
      <c r="U185" s="39"/>
    </row>
    <row r="186" customFormat="false" ht="20.1" hidden="false" customHeight="true" outlineLevel="0" collapsed="false">
      <c r="B186" s="39"/>
      <c r="C186" s="139"/>
      <c r="D186" s="368" t="s">
        <v>349</v>
      </c>
      <c r="E186" s="770" t="s">
        <v>350</v>
      </c>
      <c r="F186" s="402" t="n">
        <f aca="false">K186*6+L186*3+M186*1+N186*0</f>
        <v>2</v>
      </c>
      <c r="G186" s="370" t="n">
        <v>0</v>
      </c>
      <c r="H186" s="691" t="s">
        <v>46</v>
      </c>
      <c r="I186" s="691"/>
      <c r="J186" s="402" t="n">
        <f aca="false">F186+G186</f>
        <v>2</v>
      </c>
      <c r="K186" s="402" t="n">
        <v>0</v>
      </c>
      <c r="L186" s="402" t="n">
        <v>0</v>
      </c>
      <c r="M186" s="402" t="n">
        <v>2</v>
      </c>
      <c r="N186" s="402" t="n">
        <v>2</v>
      </c>
      <c r="O186" s="727"/>
      <c r="P186" s="370"/>
      <c r="Q186" s="370"/>
      <c r="R186" s="370"/>
      <c r="S186" s="371" t="n">
        <f aca="false">(L150+L159+L168+L177)/4</f>
        <v>65.0885309072921</v>
      </c>
      <c r="T186" s="139"/>
      <c r="U186" s="39"/>
    </row>
    <row r="187" customFormat="false" ht="20.1" hidden="false" customHeight="true" outlineLevel="0" collapsed="false">
      <c r="B187" s="39"/>
      <c r="C187" s="139"/>
      <c r="D187" s="139"/>
      <c r="E187" s="139"/>
      <c r="F187" s="139"/>
      <c r="G187" s="139"/>
      <c r="H187" s="139"/>
      <c r="I187" s="139"/>
      <c r="J187" s="139"/>
      <c r="K187" s="139"/>
      <c r="L187" s="139"/>
      <c r="M187" s="139"/>
      <c r="N187" s="139"/>
      <c r="O187" s="139"/>
      <c r="P187" s="139"/>
      <c r="Q187" s="139"/>
      <c r="R187" s="139"/>
      <c r="S187" s="139"/>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41"/>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Q14" activeCellId="0" sqref="Q14"/>
    </sheetView>
  </sheetViews>
  <sheetFormatPr defaultColWidth="10.70703125" defaultRowHeight="20.1" zeroHeight="false" outlineLevelRow="0" outlineLevelCol="0"/>
  <cols>
    <col collapsed="false" customWidth="true" hidden="false" outlineLevel="0" max="1" min="1" style="0" width="6.71"/>
    <col collapsed="false" customWidth="true" hidden="false" outlineLevel="0" max="2" min="2" style="771" width="7.57"/>
    <col collapsed="false" customWidth="true" hidden="false" outlineLevel="0" max="3" min="3" style="0" width="19"/>
    <col collapsed="false" customWidth="true" hidden="false" outlineLevel="0" max="5" min="4" style="0" width="15.71"/>
    <col collapsed="false" customWidth="true" hidden="false" outlineLevel="0" max="6" min="6" style="0" width="19.99"/>
    <col collapsed="false" customWidth="true" hidden="false" outlineLevel="0" max="7" min="7" style="0" width="19.42"/>
    <col collapsed="false" customWidth="true" hidden="false" outlineLevel="0" max="18" min="8" style="0" width="13.7"/>
    <col collapsed="false" customWidth="true" hidden="false" outlineLevel="0" max="19" min="19" style="0" width="6.71"/>
  </cols>
  <sheetData>
    <row r="1" customFormat="false" ht="20.1" hidden="false" customHeight="true" outlineLevel="0" collapsed="false">
      <c r="A1" s="772" t="s">
        <v>405</v>
      </c>
      <c r="B1" s="772"/>
      <c r="C1" s="772"/>
      <c r="D1" s="772"/>
      <c r="E1" s="772"/>
      <c r="F1" s="772"/>
      <c r="G1" s="772"/>
      <c r="H1" s="772"/>
      <c r="I1" s="772"/>
      <c r="J1" s="772"/>
      <c r="K1" s="772"/>
      <c r="L1" s="772"/>
      <c r="M1" s="772"/>
      <c r="N1" s="772"/>
      <c r="O1" s="772"/>
      <c r="P1" s="772"/>
      <c r="Q1" s="772"/>
      <c r="R1" s="772"/>
      <c r="S1" s="772"/>
      <c r="T1" s="773"/>
      <c r="U1" s="773"/>
      <c r="V1" s="773"/>
      <c r="W1" s="773"/>
      <c r="X1" s="773"/>
      <c r="Y1" s="773"/>
      <c r="Z1" s="773"/>
      <c r="AA1" s="773"/>
    </row>
    <row r="2" customFormat="false" ht="20.1" hidden="false" customHeight="true" outlineLevel="0" collapsed="false">
      <c r="A2" s="772"/>
      <c r="B2" s="772"/>
      <c r="C2" s="772"/>
      <c r="D2" s="772"/>
      <c r="E2" s="772"/>
      <c r="F2" s="772"/>
      <c r="G2" s="772"/>
      <c r="H2" s="772"/>
      <c r="I2" s="772"/>
      <c r="J2" s="772"/>
      <c r="K2" s="772"/>
      <c r="L2" s="772"/>
      <c r="M2" s="772"/>
      <c r="N2" s="772"/>
      <c r="O2" s="772"/>
      <c r="P2" s="772"/>
      <c r="Q2" s="772"/>
      <c r="R2" s="772"/>
      <c r="S2" s="772"/>
      <c r="T2" s="773"/>
      <c r="U2" s="773"/>
      <c r="V2" s="773"/>
      <c r="W2" s="773"/>
      <c r="X2" s="773"/>
      <c r="Y2" s="773"/>
      <c r="Z2" s="773"/>
      <c r="AA2" s="773"/>
    </row>
    <row r="3" s="776" customFormat="true" ht="35.1" hidden="false" customHeight="true" outlineLevel="0" collapsed="false">
      <c r="A3" s="774" t="s">
        <v>406</v>
      </c>
      <c r="B3" s="774"/>
      <c r="C3" s="774"/>
      <c r="D3" s="774"/>
      <c r="E3" s="774"/>
      <c r="F3" s="774"/>
      <c r="G3" s="774"/>
      <c r="H3" s="774"/>
      <c r="I3" s="774"/>
      <c r="J3" s="774"/>
      <c r="K3" s="774"/>
      <c r="L3" s="774"/>
      <c r="M3" s="774"/>
      <c r="N3" s="774"/>
      <c r="O3" s="774"/>
      <c r="P3" s="774"/>
      <c r="Q3" s="774"/>
      <c r="R3" s="774"/>
      <c r="S3" s="774"/>
      <c r="T3" s="775"/>
      <c r="U3" s="775"/>
      <c r="V3" s="775"/>
      <c r="W3" s="775"/>
      <c r="X3" s="775"/>
      <c r="Y3" s="775"/>
      <c r="Z3" s="775"/>
      <c r="AA3" s="775"/>
    </row>
    <row r="4" customFormat="false" ht="20.1" hidden="false" customHeight="true" outlineLevel="0" collapsed="false">
      <c r="A4" s="773"/>
      <c r="B4" s="777"/>
      <c r="C4" s="773"/>
      <c r="D4" s="773"/>
      <c r="E4" s="773"/>
      <c r="F4" s="773"/>
      <c r="G4" s="773"/>
      <c r="H4" s="773"/>
      <c r="I4" s="773"/>
      <c r="J4" s="773"/>
      <c r="K4" s="773"/>
      <c r="L4" s="773"/>
      <c r="M4" s="773"/>
      <c r="N4" s="773"/>
      <c r="O4" s="773"/>
      <c r="P4" s="773"/>
      <c r="Q4" s="773"/>
      <c r="R4" s="773"/>
      <c r="S4" s="773"/>
      <c r="T4" s="773"/>
      <c r="U4" s="773"/>
      <c r="V4" s="773"/>
      <c r="W4" s="773"/>
      <c r="X4" s="773"/>
      <c r="Y4" s="773"/>
      <c r="Z4" s="773"/>
      <c r="AA4" s="773"/>
    </row>
    <row r="5" s="262" customFormat="true" ht="20.1" hidden="false" customHeight="true" outlineLevel="0" collapsed="false">
      <c r="A5" s="778"/>
      <c r="B5" s="79" t="s">
        <v>407</v>
      </c>
      <c r="C5" s="779" t="s">
        <v>2</v>
      </c>
      <c r="D5" s="780" t="s">
        <v>408</v>
      </c>
      <c r="E5" s="780" t="s">
        <v>409</v>
      </c>
      <c r="F5" s="781" t="s">
        <v>410</v>
      </c>
      <c r="G5" s="782" t="s">
        <v>411</v>
      </c>
      <c r="H5" s="780" t="s">
        <v>412</v>
      </c>
      <c r="I5" s="780" t="s">
        <v>413</v>
      </c>
      <c r="J5" s="781" t="s">
        <v>414</v>
      </c>
      <c r="K5" s="782" t="s">
        <v>415</v>
      </c>
      <c r="L5" s="780" t="s">
        <v>416</v>
      </c>
      <c r="M5" s="780" t="s">
        <v>417</v>
      </c>
      <c r="N5" s="781" t="s">
        <v>418</v>
      </c>
      <c r="O5" s="782" t="s">
        <v>419</v>
      </c>
      <c r="P5" s="780" t="s">
        <v>420</v>
      </c>
      <c r="Q5" s="780" t="s">
        <v>421</v>
      </c>
      <c r="R5" s="781" t="s">
        <v>422</v>
      </c>
      <c r="S5" s="778"/>
      <c r="T5" s="778"/>
      <c r="U5" s="778"/>
      <c r="V5" s="778"/>
      <c r="W5" s="778"/>
      <c r="X5" s="778"/>
      <c r="Y5" s="778"/>
      <c r="Z5" s="778"/>
      <c r="AA5" s="778"/>
    </row>
    <row r="6" s="433" customFormat="true" ht="35.1" hidden="false" customHeight="true" outlineLevel="0" collapsed="false">
      <c r="A6" s="783"/>
      <c r="B6" s="784" t="n">
        <v>1</v>
      </c>
      <c r="C6" s="785" t="s">
        <v>14</v>
      </c>
      <c r="D6" s="786" t="s">
        <v>15</v>
      </c>
      <c r="E6" s="786" t="s">
        <v>15</v>
      </c>
      <c r="F6" s="787" t="s">
        <v>15</v>
      </c>
      <c r="G6" s="788" t="s">
        <v>423</v>
      </c>
      <c r="H6" s="789" t="s">
        <v>424</v>
      </c>
      <c r="I6" s="786" t="s">
        <v>46</v>
      </c>
      <c r="J6" s="787" t="s">
        <v>46</v>
      </c>
      <c r="K6" s="790" t="s">
        <v>46</v>
      </c>
      <c r="L6" s="786" t="s">
        <v>46</v>
      </c>
      <c r="M6" s="786" t="s">
        <v>46</v>
      </c>
      <c r="N6" s="787" t="s">
        <v>46</v>
      </c>
      <c r="O6" s="790" t="s">
        <v>46</v>
      </c>
      <c r="P6" s="786" t="s">
        <v>46</v>
      </c>
      <c r="Q6" s="786" t="s">
        <v>46</v>
      </c>
      <c r="R6" s="787" t="s">
        <v>46</v>
      </c>
      <c r="S6" s="783"/>
      <c r="T6" s="783"/>
      <c r="U6" s="783"/>
      <c r="V6" s="783"/>
      <c r="W6" s="783"/>
      <c r="X6" s="783"/>
      <c r="Y6" s="783"/>
      <c r="Z6" s="783"/>
      <c r="AA6" s="783"/>
    </row>
    <row r="7" s="433" customFormat="true" ht="35.1" hidden="false" customHeight="true" outlineLevel="0" collapsed="false">
      <c r="A7" s="783"/>
      <c r="B7" s="791" t="n">
        <v>2</v>
      </c>
      <c r="C7" s="792" t="s">
        <v>27</v>
      </c>
      <c r="D7" s="793" t="s">
        <v>207</v>
      </c>
      <c r="E7" s="793" t="s">
        <v>207</v>
      </c>
      <c r="F7" s="794" t="s">
        <v>208</v>
      </c>
      <c r="G7" s="795" t="s">
        <v>425</v>
      </c>
      <c r="H7" s="796" t="s">
        <v>426</v>
      </c>
      <c r="I7" s="796" t="s">
        <v>427</v>
      </c>
      <c r="J7" s="797" t="s">
        <v>428</v>
      </c>
      <c r="K7" s="795" t="s">
        <v>429</v>
      </c>
      <c r="L7" s="793" t="s">
        <v>46</v>
      </c>
      <c r="M7" s="793" t="s">
        <v>46</v>
      </c>
      <c r="N7" s="797" t="s">
        <v>430</v>
      </c>
      <c r="O7" s="795" t="s">
        <v>431</v>
      </c>
      <c r="P7" s="793" t="s">
        <v>46</v>
      </c>
      <c r="Q7" s="793" t="s">
        <v>46</v>
      </c>
      <c r="R7" s="794" t="s">
        <v>46</v>
      </c>
      <c r="S7" s="783"/>
      <c r="T7" s="783"/>
      <c r="U7" s="783"/>
      <c r="V7" s="783"/>
      <c r="W7" s="783"/>
      <c r="X7" s="783"/>
      <c r="Y7" s="783"/>
      <c r="Z7" s="783"/>
      <c r="AA7" s="783"/>
    </row>
    <row r="8" s="433" customFormat="true" ht="35.1" hidden="false" customHeight="true" outlineLevel="0" collapsed="false">
      <c r="A8" s="783"/>
      <c r="B8" s="798" t="n">
        <v>3</v>
      </c>
      <c r="C8" s="799" t="s">
        <v>7</v>
      </c>
      <c r="D8" s="800" t="s">
        <v>8</v>
      </c>
      <c r="E8" s="800" t="s">
        <v>8</v>
      </c>
      <c r="F8" s="801" t="s">
        <v>8</v>
      </c>
      <c r="G8" s="802" t="s">
        <v>431</v>
      </c>
      <c r="H8" s="803" t="s">
        <v>429</v>
      </c>
      <c r="I8" s="800" t="s">
        <v>46</v>
      </c>
      <c r="J8" s="804" t="s">
        <v>425</v>
      </c>
      <c r="K8" s="802" t="s">
        <v>430</v>
      </c>
      <c r="L8" s="803" t="s">
        <v>428</v>
      </c>
      <c r="M8" s="800" t="s">
        <v>46</v>
      </c>
      <c r="N8" s="801" t="s">
        <v>46</v>
      </c>
      <c r="O8" s="802" t="s">
        <v>427</v>
      </c>
      <c r="P8" s="800" t="s">
        <v>46</v>
      </c>
      <c r="Q8" s="803" t="s">
        <v>432</v>
      </c>
      <c r="R8" s="801" t="s">
        <v>46</v>
      </c>
      <c r="S8" s="783"/>
      <c r="T8" s="783"/>
      <c r="U8" s="783"/>
      <c r="V8" s="783"/>
      <c r="W8" s="783"/>
      <c r="X8" s="783"/>
      <c r="Y8" s="783"/>
      <c r="Z8" s="783"/>
      <c r="AA8" s="783"/>
    </row>
    <row r="9" s="433" customFormat="true" ht="35.1" hidden="false" customHeight="true" outlineLevel="0" collapsed="false">
      <c r="A9" s="783"/>
      <c r="B9" s="805" t="n">
        <v>4</v>
      </c>
      <c r="C9" s="806" t="s">
        <v>16</v>
      </c>
      <c r="D9" s="18" t="s">
        <v>17</v>
      </c>
      <c r="E9" s="18" t="s">
        <v>17</v>
      </c>
      <c r="F9" s="19" t="s">
        <v>17</v>
      </c>
      <c r="G9" s="305" t="s">
        <v>46</v>
      </c>
      <c r="H9" s="328" t="s">
        <v>427</v>
      </c>
      <c r="I9" s="328" t="s">
        <v>433</v>
      </c>
      <c r="J9" s="807" t="s">
        <v>431</v>
      </c>
      <c r="K9" s="808" t="s">
        <v>432</v>
      </c>
      <c r="L9" s="18" t="s">
        <v>46</v>
      </c>
      <c r="M9" s="328" t="s">
        <v>429</v>
      </c>
      <c r="N9" s="19" t="s">
        <v>46</v>
      </c>
      <c r="O9" s="808" t="s">
        <v>434</v>
      </c>
      <c r="P9" s="18" t="s">
        <v>46</v>
      </c>
      <c r="Q9" s="18" t="s">
        <v>46</v>
      </c>
      <c r="R9" s="19" t="s">
        <v>46</v>
      </c>
      <c r="S9" s="783"/>
      <c r="T9" s="783"/>
      <c r="U9" s="783"/>
      <c r="V9" s="783"/>
      <c r="W9" s="783"/>
      <c r="X9" s="783"/>
      <c r="Y9" s="783"/>
      <c r="Z9" s="783"/>
      <c r="AA9" s="783"/>
    </row>
    <row r="10" s="433" customFormat="true" ht="35.1" hidden="false" customHeight="true" outlineLevel="0" collapsed="false">
      <c r="A10" s="783"/>
      <c r="B10" s="805" t="n">
        <v>5</v>
      </c>
      <c r="C10" s="806" t="s">
        <v>29</v>
      </c>
      <c r="D10" s="18" t="s">
        <v>30</v>
      </c>
      <c r="E10" s="18" t="s">
        <v>30</v>
      </c>
      <c r="F10" s="19" t="s">
        <v>30</v>
      </c>
      <c r="G10" s="305" t="s">
        <v>46</v>
      </c>
      <c r="H10" s="328" t="s">
        <v>430</v>
      </c>
      <c r="I10" s="328" t="s">
        <v>431</v>
      </c>
      <c r="J10" s="19" t="s">
        <v>46</v>
      </c>
      <c r="K10" s="305" t="s">
        <v>46</v>
      </c>
      <c r="L10" s="18" t="s">
        <v>46</v>
      </c>
      <c r="M10" s="18" t="s">
        <v>46</v>
      </c>
      <c r="N10" s="19" t="s">
        <v>46</v>
      </c>
      <c r="O10" s="305" t="s">
        <v>46</v>
      </c>
      <c r="P10" s="18" t="s">
        <v>46</v>
      </c>
      <c r="Q10" s="18" t="s">
        <v>46</v>
      </c>
      <c r="R10" s="19" t="s">
        <v>46</v>
      </c>
      <c r="S10" s="783"/>
      <c r="T10" s="783"/>
      <c r="U10" s="783"/>
      <c r="V10" s="783"/>
      <c r="W10" s="783"/>
      <c r="X10" s="783"/>
      <c r="Y10" s="783"/>
      <c r="Z10" s="783"/>
      <c r="AA10" s="783"/>
    </row>
    <row r="11" s="433" customFormat="true" ht="35.1" hidden="false" customHeight="true" outlineLevel="0" collapsed="false">
      <c r="A11" s="783"/>
      <c r="B11" s="805" t="n">
        <v>6</v>
      </c>
      <c r="C11" s="806" t="s">
        <v>31</v>
      </c>
      <c r="D11" s="18" t="s">
        <v>32</v>
      </c>
      <c r="E11" s="18" t="s">
        <v>32</v>
      </c>
      <c r="F11" s="19" t="s">
        <v>208</v>
      </c>
      <c r="G11" s="305" t="s">
        <v>46</v>
      </c>
      <c r="H11" s="328" t="s">
        <v>428</v>
      </c>
      <c r="I11" s="18" t="s">
        <v>46</v>
      </c>
      <c r="J11" s="807" t="s">
        <v>429</v>
      </c>
      <c r="K11" s="808" t="s">
        <v>435</v>
      </c>
      <c r="L11" s="328" t="s">
        <v>431</v>
      </c>
      <c r="M11" s="18" t="s">
        <v>46</v>
      </c>
      <c r="N11" s="19" t="s">
        <v>46</v>
      </c>
      <c r="O11" s="808" t="s">
        <v>436</v>
      </c>
      <c r="P11" s="18" t="s">
        <v>46</v>
      </c>
      <c r="Q11" s="18" t="s">
        <v>46</v>
      </c>
      <c r="R11" s="19" t="s">
        <v>46</v>
      </c>
      <c r="S11" s="783"/>
      <c r="T11" s="783"/>
      <c r="U11" s="783"/>
      <c r="V11" s="783"/>
      <c r="W11" s="783"/>
      <c r="X11" s="783"/>
      <c r="Y11" s="783"/>
      <c r="Z11" s="783"/>
      <c r="AA11" s="783"/>
    </row>
    <row r="12" s="433" customFormat="true" ht="35.1" hidden="false" customHeight="true" outlineLevel="0" collapsed="false">
      <c r="A12" s="783"/>
      <c r="B12" s="805" t="n">
        <v>7</v>
      </c>
      <c r="C12" s="806" t="s">
        <v>20</v>
      </c>
      <c r="D12" s="18" t="s">
        <v>21</v>
      </c>
      <c r="E12" s="18" t="s">
        <v>206</v>
      </c>
      <c r="F12" s="19" t="s">
        <v>21</v>
      </c>
      <c r="G12" s="305" t="s">
        <v>46</v>
      </c>
      <c r="H12" s="18" t="s">
        <v>46</v>
      </c>
      <c r="I12" s="328" t="s">
        <v>437</v>
      </c>
      <c r="J12" s="807" t="s">
        <v>427</v>
      </c>
      <c r="K12" s="808" t="s">
        <v>431</v>
      </c>
      <c r="L12" s="328" t="s">
        <v>430</v>
      </c>
      <c r="M12" s="328" t="s">
        <v>428</v>
      </c>
      <c r="N12" s="19" t="s">
        <v>46</v>
      </c>
      <c r="O12" s="305" t="s">
        <v>46</v>
      </c>
      <c r="P12" s="18" t="s">
        <v>46</v>
      </c>
      <c r="Q12" s="18" t="s">
        <v>46</v>
      </c>
      <c r="R12" s="19" t="s">
        <v>46</v>
      </c>
      <c r="S12" s="783"/>
      <c r="T12" s="783"/>
      <c r="U12" s="783"/>
      <c r="V12" s="783"/>
      <c r="W12" s="783"/>
      <c r="X12" s="783"/>
      <c r="Y12" s="783"/>
      <c r="Z12" s="783"/>
      <c r="AA12" s="783"/>
    </row>
    <row r="13" s="433" customFormat="true" ht="35.1" hidden="false" customHeight="true" outlineLevel="0" collapsed="false">
      <c r="A13" s="783"/>
      <c r="B13" s="805" t="n">
        <v>8</v>
      </c>
      <c r="C13" s="806" t="s">
        <v>10</v>
      </c>
      <c r="D13" s="18" t="s">
        <v>11</v>
      </c>
      <c r="E13" s="18" t="s">
        <v>209</v>
      </c>
      <c r="F13" s="19" t="s">
        <v>209</v>
      </c>
      <c r="G13" s="305" t="s">
        <v>46</v>
      </c>
      <c r="H13" s="18" t="s">
        <v>46</v>
      </c>
      <c r="I13" s="18" t="s">
        <v>46</v>
      </c>
      <c r="J13" s="807" t="s">
        <v>436</v>
      </c>
      <c r="K13" s="808" t="s">
        <v>434</v>
      </c>
      <c r="L13" s="328" t="s">
        <v>429</v>
      </c>
      <c r="M13" s="328" t="s">
        <v>431</v>
      </c>
      <c r="N13" s="807" t="s">
        <v>425</v>
      </c>
      <c r="O13" s="305" t="s">
        <v>46</v>
      </c>
      <c r="P13" s="328" t="s">
        <v>428</v>
      </c>
      <c r="Q13" s="328" t="s">
        <v>46</v>
      </c>
      <c r="R13" s="19" t="s">
        <v>46</v>
      </c>
      <c r="S13" s="783"/>
      <c r="T13" s="783"/>
      <c r="U13" s="783"/>
      <c r="V13" s="783"/>
      <c r="W13" s="783"/>
      <c r="X13" s="783"/>
      <c r="Y13" s="783"/>
      <c r="Z13" s="783"/>
      <c r="AA13" s="783"/>
    </row>
    <row r="14" s="433" customFormat="true" ht="35.1" hidden="false" customHeight="true" outlineLevel="0" collapsed="false">
      <c r="A14" s="783"/>
      <c r="B14" s="805" t="n">
        <v>9</v>
      </c>
      <c r="C14" s="806" t="s">
        <v>96</v>
      </c>
      <c r="D14" s="18" t="s">
        <v>210</v>
      </c>
      <c r="E14" s="18" t="s">
        <v>210</v>
      </c>
      <c r="F14" s="19" t="s">
        <v>208</v>
      </c>
      <c r="G14" s="305" t="s">
        <v>46</v>
      </c>
      <c r="H14" s="18" t="s">
        <v>46</v>
      </c>
      <c r="I14" s="18" t="s">
        <v>46</v>
      </c>
      <c r="J14" s="807" t="s">
        <v>434</v>
      </c>
      <c r="K14" s="305" t="s">
        <v>46</v>
      </c>
      <c r="L14" s="328" t="s">
        <v>435</v>
      </c>
      <c r="M14" s="328" t="s">
        <v>432</v>
      </c>
      <c r="N14" s="807" t="s">
        <v>438</v>
      </c>
      <c r="O14" s="305" t="s">
        <v>46</v>
      </c>
      <c r="P14" s="328" t="s">
        <v>431</v>
      </c>
      <c r="Q14" s="18" t="s">
        <v>46</v>
      </c>
      <c r="R14" s="19" t="s">
        <v>46</v>
      </c>
      <c r="S14" s="783"/>
      <c r="T14" s="783"/>
      <c r="U14" s="783"/>
      <c r="V14" s="783"/>
      <c r="W14" s="783"/>
      <c r="X14" s="783"/>
      <c r="Y14" s="783"/>
      <c r="Z14" s="783"/>
      <c r="AA14" s="783"/>
    </row>
    <row r="15" s="433" customFormat="true" ht="35.1" hidden="false" customHeight="true" outlineLevel="0" collapsed="false">
      <c r="A15" s="783"/>
      <c r="B15" s="805" t="n">
        <v>10</v>
      </c>
      <c r="C15" s="806" t="s">
        <v>439</v>
      </c>
      <c r="D15" s="18" t="s">
        <v>261</v>
      </c>
      <c r="E15" s="18" t="s">
        <v>261</v>
      </c>
      <c r="F15" s="19" t="s">
        <v>208</v>
      </c>
      <c r="G15" s="305" t="s">
        <v>46</v>
      </c>
      <c r="H15" s="18" t="s">
        <v>46</v>
      </c>
      <c r="I15" s="18" t="s">
        <v>46</v>
      </c>
      <c r="J15" s="19" t="s">
        <v>46</v>
      </c>
      <c r="K15" s="808" t="s">
        <v>428</v>
      </c>
      <c r="L15" s="18" t="s">
        <v>46</v>
      </c>
      <c r="M15" s="18" t="s">
        <v>46</v>
      </c>
      <c r="N15" s="19" t="s">
        <v>46</v>
      </c>
      <c r="O15" s="305" t="s">
        <v>46</v>
      </c>
      <c r="P15" s="328" t="s">
        <v>427</v>
      </c>
      <c r="Q15" s="18" t="s">
        <v>46</v>
      </c>
      <c r="R15" s="807" t="s">
        <v>432</v>
      </c>
      <c r="S15" s="783"/>
      <c r="T15" s="783"/>
      <c r="U15" s="783"/>
      <c r="V15" s="783"/>
      <c r="W15" s="783"/>
      <c r="X15" s="783"/>
      <c r="Y15" s="783"/>
      <c r="Z15" s="783"/>
      <c r="AA15" s="783"/>
    </row>
    <row r="16" s="433" customFormat="true" ht="35.1" hidden="false" customHeight="true" outlineLevel="0" collapsed="false">
      <c r="A16" s="783"/>
      <c r="B16" s="805" t="n">
        <v>11</v>
      </c>
      <c r="C16" s="806" t="s">
        <v>22</v>
      </c>
      <c r="D16" s="18" t="s">
        <v>23</v>
      </c>
      <c r="E16" s="18" t="s">
        <v>23</v>
      </c>
      <c r="F16" s="19" t="s">
        <v>208</v>
      </c>
      <c r="G16" s="305" t="s">
        <v>46</v>
      </c>
      <c r="H16" s="18" t="s">
        <v>46</v>
      </c>
      <c r="I16" s="18" t="s">
        <v>46</v>
      </c>
      <c r="J16" s="19" t="s">
        <v>46</v>
      </c>
      <c r="K16" s="305" t="s">
        <v>46</v>
      </c>
      <c r="L16" s="328" t="s">
        <v>426</v>
      </c>
      <c r="M16" s="328" t="s">
        <v>440</v>
      </c>
      <c r="N16" s="807" t="s">
        <v>441</v>
      </c>
      <c r="O16" s="808" t="s">
        <v>429</v>
      </c>
      <c r="P16" s="328" t="s">
        <v>46</v>
      </c>
      <c r="Q16" s="328" t="s">
        <v>428</v>
      </c>
      <c r="R16" s="19" t="s">
        <v>46</v>
      </c>
      <c r="S16" s="783"/>
      <c r="T16" s="783"/>
      <c r="U16" s="783"/>
      <c r="V16" s="783"/>
      <c r="W16" s="783"/>
      <c r="X16" s="783"/>
      <c r="Y16" s="783"/>
      <c r="Z16" s="783"/>
      <c r="AA16" s="783"/>
    </row>
    <row r="17" s="433" customFormat="true" ht="35.1" hidden="false" customHeight="true" outlineLevel="0" collapsed="false">
      <c r="A17" s="783"/>
      <c r="B17" s="805" t="n">
        <v>12</v>
      </c>
      <c r="C17" s="806" t="s">
        <v>12</v>
      </c>
      <c r="D17" s="18" t="s">
        <v>13</v>
      </c>
      <c r="E17" s="18" t="s">
        <v>13</v>
      </c>
      <c r="F17" s="19" t="s">
        <v>208</v>
      </c>
      <c r="G17" s="305" t="s">
        <v>46</v>
      </c>
      <c r="H17" s="18" t="s">
        <v>46</v>
      </c>
      <c r="I17" s="18" t="s">
        <v>46</v>
      </c>
      <c r="J17" s="19" t="s">
        <v>46</v>
      </c>
      <c r="K17" s="305" t="s">
        <v>46</v>
      </c>
      <c r="L17" s="18" t="s">
        <v>46</v>
      </c>
      <c r="M17" s="328" t="s">
        <v>434</v>
      </c>
      <c r="N17" s="807" t="s">
        <v>432</v>
      </c>
      <c r="O17" s="808" t="s">
        <v>425</v>
      </c>
      <c r="P17" s="328" t="s">
        <v>442</v>
      </c>
      <c r="Q17" s="328" t="s">
        <v>441</v>
      </c>
      <c r="R17" s="19" t="s">
        <v>46</v>
      </c>
      <c r="S17" s="783"/>
      <c r="T17" s="783"/>
      <c r="U17" s="783"/>
      <c r="V17" s="783"/>
      <c r="W17" s="783"/>
      <c r="X17" s="783"/>
      <c r="Y17" s="783"/>
      <c r="Z17" s="783"/>
      <c r="AA17" s="783"/>
    </row>
    <row r="18" s="433" customFormat="true" ht="35.1" hidden="false" customHeight="true" outlineLevel="0" collapsed="false">
      <c r="A18" s="783"/>
      <c r="B18" s="805" t="n">
        <v>13</v>
      </c>
      <c r="C18" s="806" t="s">
        <v>178</v>
      </c>
      <c r="D18" s="18" t="s">
        <v>211</v>
      </c>
      <c r="E18" s="18" t="s">
        <v>212</v>
      </c>
      <c r="F18" s="19" t="s">
        <v>208</v>
      </c>
      <c r="G18" s="305" t="s">
        <v>46</v>
      </c>
      <c r="H18" s="18" t="s">
        <v>46</v>
      </c>
      <c r="I18" s="18" t="s">
        <v>46</v>
      </c>
      <c r="J18" s="19" t="s">
        <v>46</v>
      </c>
      <c r="K18" s="305" t="s">
        <v>46</v>
      </c>
      <c r="L18" s="18" t="s">
        <v>46</v>
      </c>
      <c r="M18" s="328" t="s">
        <v>427</v>
      </c>
      <c r="N18" s="19" t="s">
        <v>46</v>
      </c>
      <c r="O18" s="305" t="s">
        <v>46</v>
      </c>
      <c r="P18" s="328" t="s">
        <v>443</v>
      </c>
      <c r="Q18" s="18" t="s">
        <v>46</v>
      </c>
      <c r="R18" s="19" t="s">
        <v>46</v>
      </c>
      <c r="S18" s="783"/>
      <c r="T18" s="783"/>
      <c r="U18" s="783"/>
      <c r="V18" s="783"/>
      <c r="W18" s="783"/>
      <c r="X18" s="783"/>
      <c r="Y18" s="783"/>
      <c r="Z18" s="783"/>
      <c r="AA18" s="783"/>
    </row>
    <row r="19" s="433" customFormat="true" ht="35.1" hidden="false" customHeight="true" outlineLevel="0" collapsed="false">
      <c r="A19" s="783"/>
      <c r="B19" s="805" t="n">
        <v>14</v>
      </c>
      <c r="C19" s="806" t="s">
        <v>346</v>
      </c>
      <c r="D19" s="18" t="s">
        <v>347</v>
      </c>
      <c r="E19" s="18" t="s">
        <v>348</v>
      </c>
      <c r="F19" s="19" t="s">
        <v>208</v>
      </c>
      <c r="G19" s="305" t="s">
        <v>46</v>
      </c>
      <c r="H19" s="18" t="s">
        <v>46</v>
      </c>
      <c r="I19" s="18" t="s">
        <v>46</v>
      </c>
      <c r="J19" s="19" t="s">
        <v>46</v>
      </c>
      <c r="K19" s="808" t="s">
        <v>46</v>
      </c>
      <c r="L19" s="18" t="s">
        <v>46</v>
      </c>
      <c r="M19" s="18" t="s">
        <v>46</v>
      </c>
      <c r="N19" s="19" t="s">
        <v>46</v>
      </c>
      <c r="O19" s="808" t="s">
        <v>428</v>
      </c>
      <c r="P19" s="328" t="s">
        <v>46</v>
      </c>
      <c r="Q19" s="18" t="s">
        <v>46</v>
      </c>
      <c r="R19" s="807" t="s">
        <v>46</v>
      </c>
      <c r="S19" s="783"/>
      <c r="T19" s="783"/>
      <c r="U19" s="783"/>
      <c r="V19" s="783"/>
      <c r="W19" s="783"/>
      <c r="X19" s="783"/>
      <c r="Y19" s="783"/>
      <c r="Z19" s="783"/>
      <c r="AA19" s="783"/>
    </row>
    <row r="20" s="433" customFormat="true" ht="35.1" hidden="false" customHeight="true" outlineLevel="0" collapsed="false">
      <c r="A20" s="783"/>
      <c r="B20" s="809" t="n">
        <v>15</v>
      </c>
      <c r="C20" s="810" t="s">
        <v>349</v>
      </c>
      <c r="D20" s="22" t="s">
        <v>350</v>
      </c>
      <c r="E20" s="22" t="s">
        <v>350</v>
      </c>
      <c r="F20" s="23" t="s">
        <v>208</v>
      </c>
      <c r="G20" s="310" t="s">
        <v>46</v>
      </c>
      <c r="H20" s="22" t="s">
        <v>46</v>
      </c>
      <c r="I20" s="22" t="s">
        <v>46</v>
      </c>
      <c r="J20" s="23" t="s">
        <v>46</v>
      </c>
      <c r="K20" s="811" t="s">
        <v>46</v>
      </c>
      <c r="L20" s="22" t="s">
        <v>46</v>
      </c>
      <c r="M20" s="22" t="s">
        <v>46</v>
      </c>
      <c r="N20" s="23" t="s">
        <v>46</v>
      </c>
      <c r="O20" s="310" t="s">
        <v>46</v>
      </c>
      <c r="P20" s="329" t="s">
        <v>46</v>
      </c>
      <c r="Q20" s="22" t="s">
        <v>46</v>
      </c>
      <c r="R20" s="812" t="s">
        <v>428</v>
      </c>
      <c r="S20" s="783"/>
      <c r="T20" s="783"/>
      <c r="U20" s="783"/>
      <c r="V20" s="783"/>
      <c r="W20" s="783"/>
      <c r="X20" s="783"/>
      <c r="Y20" s="783"/>
      <c r="Z20" s="783"/>
      <c r="AA20" s="783"/>
    </row>
    <row r="21" s="433" customFormat="true" ht="35.1" hidden="false" customHeight="true" outlineLevel="0" collapsed="false">
      <c r="A21" s="783"/>
      <c r="B21" s="783"/>
      <c r="C21" s="783"/>
      <c r="D21" s="783"/>
      <c r="E21" s="783"/>
      <c r="F21" s="783"/>
      <c r="G21" s="783"/>
      <c r="H21" s="783"/>
      <c r="I21" s="783"/>
      <c r="J21" s="783"/>
      <c r="K21" s="783"/>
      <c r="L21" s="783"/>
      <c r="M21" s="783"/>
      <c r="N21" s="783"/>
      <c r="O21" s="783"/>
      <c r="P21" s="783"/>
      <c r="Q21" s="783"/>
      <c r="R21" s="783"/>
      <c r="S21" s="783"/>
      <c r="T21" s="783"/>
      <c r="U21" s="783"/>
      <c r="V21" s="783"/>
      <c r="W21" s="783"/>
      <c r="X21" s="783"/>
      <c r="Y21" s="783"/>
      <c r="Z21" s="783"/>
      <c r="AA21" s="783"/>
    </row>
    <row r="22" s="433" customFormat="true" ht="35.1" hidden="false" customHeight="true" outlineLevel="0" collapsed="false">
      <c r="A22" s="783"/>
      <c r="B22" s="783"/>
      <c r="C22" s="783"/>
      <c r="D22" s="783"/>
      <c r="E22" s="783"/>
      <c r="F22" s="783"/>
      <c r="G22" s="783"/>
      <c r="H22" s="783"/>
      <c r="I22" s="783"/>
      <c r="J22" s="783"/>
      <c r="K22" s="783"/>
      <c r="L22" s="783"/>
      <c r="M22" s="783"/>
      <c r="N22" s="783"/>
      <c r="O22" s="783"/>
      <c r="P22" s="783"/>
      <c r="Q22" s="783"/>
      <c r="R22" s="783"/>
      <c r="S22" s="783"/>
      <c r="T22" s="783"/>
      <c r="U22" s="783"/>
      <c r="V22" s="783"/>
      <c r="W22" s="783"/>
      <c r="X22" s="783"/>
      <c r="Y22" s="783"/>
      <c r="Z22" s="783"/>
      <c r="AA22" s="783"/>
    </row>
    <row r="23" customFormat="false" ht="20.1" hidden="false" customHeight="true" outlineLevel="0" collapsed="false">
      <c r="A23" s="773"/>
      <c r="B23" s="777"/>
      <c r="C23" s="773"/>
      <c r="D23" s="773"/>
      <c r="E23" s="773"/>
      <c r="F23" s="773"/>
      <c r="G23" s="773"/>
      <c r="H23" s="773"/>
      <c r="I23" s="773"/>
      <c r="J23" s="773"/>
      <c r="K23" s="773"/>
      <c r="L23" s="773"/>
      <c r="M23" s="773"/>
      <c r="N23" s="773"/>
      <c r="O23" s="773"/>
      <c r="P23" s="773"/>
      <c r="Q23" s="773"/>
      <c r="R23" s="773"/>
      <c r="S23" s="773"/>
      <c r="T23" s="773"/>
      <c r="U23" s="773"/>
      <c r="V23" s="773"/>
      <c r="W23" s="773"/>
      <c r="X23" s="773"/>
      <c r="Y23" s="773"/>
      <c r="Z23" s="773"/>
      <c r="AA23" s="773"/>
    </row>
    <row r="24" customFormat="false" ht="20.1" hidden="false" customHeight="true" outlineLevel="0" collapsed="false">
      <c r="A24" s="773"/>
      <c r="B24" s="777"/>
      <c r="C24" s="773"/>
      <c r="D24" s="773"/>
      <c r="E24" s="773"/>
      <c r="F24" s="773"/>
      <c r="G24" s="773"/>
      <c r="H24" s="773"/>
      <c r="I24" s="773"/>
      <c r="J24" s="773"/>
      <c r="K24" s="773"/>
      <c r="L24" s="773"/>
      <c r="M24" s="773"/>
      <c r="N24" s="773"/>
      <c r="O24" s="773"/>
      <c r="P24" s="773"/>
      <c r="Q24" s="773"/>
      <c r="R24" s="773"/>
      <c r="S24" s="773"/>
      <c r="T24" s="773"/>
      <c r="U24" s="773"/>
      <c r="V24" s="773"/>
      <c r="W24" s="773"/>
      <c r="X24" s="773"/>
      <c r="Y24" s="773"/>
      <c r="Z24" s="773"/>
      <c r="AA24" s="773"/>
    </row>
    <row r="25" customFormat="false" ht="20.1" hidden="false" customHeight="true" outlineLevel="0" collapsed="false">
      <c r="A25" s="773"/>
      <c r="B25" s="777"/>
      <c r="C25" s="773"/>
      <c r="D25" s="773"/>
      <c r="E25" s="773"/>
      <c r="F25" s="773"/>
      <c r="G25" s="773"/>
      <c r="H25" s="773"/>
      <c r="I25" s="773"/>
      <c r="J25" s="773"/>
      <c r="K25" s="773"/>
      <c r="L25" s="773"/>
      <c r="M25" s="773"/>
      <c r="N25" s="773"/>
      <c r="O25" s="773"/>
      <c r="P25" s="773"/>
      <c r="Q25" s="773"/>
      <c r="R25" s="773"/>
      <c r="S25" s="773"/>
      <c r="T25" s="773"/>
      <c r="U25" s="773"/>
      <c r="V25" s="773"/>
      <c r="W25" s="773"/>
      <c r="X25" s="773"/>
      <c r="Y25" s="773"/>
      <c r="Z25" s="773"/>
      <c r="AA25" s="773"/>
    </row>
    <row r="26" customFormat="false" ht="20.1" hidden="false" customHeight="true" outlineLevel="0" collapsed="false">
      <c r="A26" s="773"/>
      <c r="B26" s="777"/>
      <c r="C26" s="773"/>
      <c r="D26" s="773"/>
      <c r="E26" s="773"/>
      <c r="F26" s="773"/>
      <c r="G26" s="773"/>
      <c r="H26" s="773"/>
      <c r="I26" s="773"/>
      <c r="J26" s="773"/>
      <c r="K26" s="773"/>
      <c r="L26" s="773"/>
      <c r="M26" s="773"/>
      <c r="N26" s="773"/>
      <c r="O26" s="773"/>
      <c r="P26" s="773"/>
      <c r="Q26" s="773"/>
      <c r="R26" s="773"/>
      <c r="S26" s="773"/>
      <c r="T26" s="773"/>
      <c r="U26" s="773"/>
      <c r="V26" s="773"/>
      <c r="W26" s="773"/>
      <c r="X26" s="773"/>
      <c r="Y26" s="773"/>
      <c r="Z26" s="773"/>
      <c r="AA26" s="773"/>
    </row>
    <row r="27" customFormat="false" ht="20.1" hidden="false" customHeight="true" outlineLevel="0" collapsed="false">
      <c r="A27" s="773"/>
      <c r="B27" s="777"/>
      <c r="C27" s="773"/>
      <c r="D27" s="773"/>
      <c r="E27" s="773"/>
      <c r="F27" s="773"/>
      <c r="G27" s="773"/>
      <c r="H27" s="773"/>
      <c r="I27" s="773"/>
      <c r="J27" s="773"/>
      <c r="K27" s="773"/>
      <c r="L27" s="773"/>
      <c r="M27" s="773"/>
      <c r="N27" s="773"/>
      <c r="O27" s="773"/>
      <c r="P27" s="773"/>
      <c r="Q27" s="773"/>
      <c r="R27" s="773"/>
      <c r="S27" s="773"/>
      <c r="T27" s="773"/>
      <c r="U27" s="773"/>
      <c r="V27" s="773"/>
      <c r="W27" s="773"/>
      <c r="X27" s="773"/>
      <c r="Y27" s="773"/>
      <c r="Z27" s="773"/>
      <c r="AA27" s="773"/>
    </row>
    <row r="28" customFormat="false" ht="20.1" hidden="false" customHeight="true" outlineLevel="0" collapsed="false">
      <c r="A28" s="773"/>
      <c r="B28" s="777"/>
      <c r="C28" s="773"/>
      <c r="D28" s="773"/>
      <c r="E28" s="773"/>
      <c r="F28" s="773"/>
      <c r="G28" s="773"/>
      <c r="H28" s="773"/>
      <c r="I28" s="773"/>
      <c r="J28" s="773"/>
      <c r="K28" s="773"/>
      <c r="L28" s="773"/>
      <c r="M28" s="773"/>
      <c r="N28" s="773"/>
      <c r="O28" s="773"/>
      <c r="P28" s="773"/>
      <c r="Q28" s="773"/>
      <c r="R28" s="773"/>
      <c r="S28" s="773"/>
      <c r="T28" s="773"/>
      <c r="U28" s="773"/>
      <c r="V28" s="773"/>
      <c r="W28" s="773"/>
      <c r="X28" s="773"/>
      <c r="Y28" s="773"/>
      <c r="Z28" s="773"/>
      <c r="AA28" s="773"/>
    </row>
    <row r="29" customFormat="false" ht="20.1" hidden="false" customHeight="true" outlineLevel="0" collapsed="false">
      <c r="A29" s="773"/>
      <c r="B29" s="777"/>
      <c r="C29" s="773"/>
      <c r="D29" s="773"/>
      <c r="E29" s="773"/>
      <c r="F29" s="773"/>
      <c r="G29" s="773"/>
      <c r="H29" s="773"/>
      <c r="I29" s="773"/>
      <c r="J29" s="773"/>
      <c r="K29" s="773"/>
      <c r="L29" s="773"/>
      <c r="M29" s="773"/>
      <c r="N29" s="773"/>
      <c r="O29" s="773"/>
      <c r="P29" s="773"/>
      <c r="Q29" s="773"/>
      <c r="R29" s="773"/>
      <c r="S29" s="773"/>
      <c r="T29" s="773"/>
      <c r="U29" s="773"/>
      <c r="V29" s="773"/>
      <c r="W29" s="773"/>
      <c r="X29" s="773"/>
      <c r="Y29" s="773"/>
      <c r="Z29" s="773"/>
      <c r="AA29" s="773"/>
    </row>
    <row r="30" customFormat="false" ht="20.1" hidden="false" customHeight="true" outlineLevel="0" collapsed="false">
      <c r="A30" s="773"/>
      <c r="B30" s="777"/>
      <c r="C30" s="773"/>
      <c r="D30" s="773"/>
      <c r="E30" s="773"/>
      <c r="F30" s="773"/>
      <c r="G30" s="773"/>
      <c r="H30" s="773"/>
      <c r="I30" s="773"/>
      <c r="J30" s="773"/>
      <c r="K30" s="773"/>
      <c r="L30" s="773"/>
      <c r="M30" s="773"/>
      <c r="N30" s="773"/>
      <c r="O30" s="773"/>
      <c r="P30" s="773"/>
      <c r="Q30" s="773"/>
      <c r="R30" s="773"/>
      <c r="S30" s="773"/>
      <c r="T30" s="773"/>
      <c r="U30" s="773"/>
      <c r="V30" s="773"/>
      <c r="W30" s="773"/>
      <c r="X30" s="773"/>
      <c r="Y30" s="773"/>
      <c r="Z30" s="773"/>
      <c r="AA30" s="773"/>
    </row>
    <row r="31" customFormat="false" ht="20.1" hidden="false" customHeight="true" outlineLevel="0" collapsed="false">
      <c r="A31" s="773"/>
      <c r="B31" s="777"/>
      <c r="C31" s="773"/>
      <c r="D31" s="773"/>
      <c r="E31" s="773"/>
      <c r="F31" s="773"/>
      <c r="G31" s="773"/>
      <c r="H31" s="773"/>
      <c r="I31" s="773"/>
      <c r="J31" s="773"/>
      <c r="K31" s="773"/>
      <c r="L31" s="773"/>
      <c r="M31" s="773"/>
      <c r="N31" s="773"/>
      <c r="O31" s="773"/>
      <c r="P31" s="773"/>
      <c r="Q31" s="773"/>
      <c r="R31" s="773"/>
      <c r="S31" s="773"/>
      <c r="T31" s="773"/>
      <c r="U31" s="773"/>
      <c r="V31" s="773"/>
      <c r="W31" s="773"/>
      <c r="X31" s="773"/>
      <c r="Y31" s="773"/>
      <c r="Z31" s="773"/>
      <c r="AA31" s="773"/>
    </row>
    <row r="32" customFormat="false" ht="20.1" hidden="false" customHeight="true" outlineLevel="0" collapsed="false">
      <c r="A32" s="773"/>
      <c r="B32" s="777"/>
      <c r="C32" s="773"/>
      <c r="D32" s="773"/>
      <c r="E32" s="773"/>
      <c r="F32" s="773"/>
      <c r="G32" s="773"/>
      <c r="H32" s="773"/>
      <c r="I32" s="773"/>
      <c r="J32" s="773"/>
      <c r="K32" s="773"/>
      <c r="L32" s="773"/>
      <c r="M32" s="773"/>
      <c r="N32" s="773"/>
      <c r="O32" s="773"/>
      <c r="P32" s="773"/>
      <c r="Q32" s="773"/>
      <c r="R32" s="773"/>
      <c r="S32" s="773"/>
      <c r="T32" s="773"/>
      <c r="U32" s="773"/>
      <c r="V32" s="773"/>
      <c r="W32" s="773"/>
      <c r="X32" s="773"/>
      <c r="Y32" s="773"/>
      <c r="Z32" s="773"/>
      <c r="AA32" s="773"/>
    </row>
    <row r="33" customFormat="false" ht="20.1" hidden="false" customHeight="true" outlineLevel="0" collapsed="false">
      <c r="A33" s="773"/>
      <c r="B33" s="777"/>
      <c r="C33" s="773"/>
      <c r="D33" s="773"/>
      <c r="E33" s="773"/>
      <c r="F33" s="773"/>
      <c r="G33" s="773"/>
      <c r="H33" s="773"/>
      <c r="I33" s="773"/>
      <c r="J33" s="773"/>
      <c r="K33" s="773"/>
      <c r="L33" s="773"/>
      <c r="M33" s="773"/>
      <c r="N33" s="773"/>
      <c r="O33" s="773"/>
      <c r="P33" s="773"/>
      <c r="Q33" s="773"/>
      <c r="R33" s="773"/>
      <c r="S33" s="773"/>
      <c r="T33" s="773"/>
      <c r="U33" s="773"/>
      <c r="V33" s="773"/>
      <c r="W33" s="773"/>
      <c r="X33" s="773"/>
      <c r="Y33" s="773"/>
      <c r="Z33" s="773"/>
      <c r="AA33" s="773"/>
    </row>
    <row r="34" customFormat="false" ht="20.1" hidden="false" customHeight="true" outlineLevel="0" collapsed="false">
      <c r="A34" s="773"/>
      <c r="B34" s="777"/>
      <c r="C34" s="773"/>
      <c r="D34" s="773"/>
      <c r="E34" s="773"/>
      <c r="F34" s="773"/>
      <c r="G34" s="773"/>
      <c r="H34" s="773"/>
      <c r="I34" s="773"/>
      <c r="J34" s="773"/>
      <c r="K34" s="773"/>
      <c r="L34" s="773"/>
      <c r="M34" s="773"/>
      <c r="N34" s="773"/>
      <c r="O34" s="773"/>
      <c r="P34" s="773"/>
      <c r="Q34" s="773"/>
      <c r="R34" s="773"/>
      <c r="S34" s="773"/>
      <c r="T34" s="773"/>
      <c r="U34" s="773"/>
      <c r="V34" s="773"/>
      <c r="W34" s="773"/>
      <c r="X34" s="773"/>
      <c r="Y34" s="773"/>
      <c r="Z34" s="773"/>
      <c r="AA34" s="773"/>
    </row>
    <row r="35" customFormat="false" ht="20.1" hidden="false" customHeight="true" outlineLevel="0" collapsed="false">
      <c r="A35" s="773"/>
      <c r="B35" s="777"/>
      <c r="C35" s="773"/>
      <c r="D35" s="773"/>
      <c r="E35" s="773"/>
      <c r="F35" s="773"/>
      <c r="G35" s="773"/>
      <c r="H35" s="773"/>
      <c r="I35" s="773"/>
      <c r="J35" s="773"/>
      <c r="K35" s="773"/>
      <c r="L35" s="773"/>
      <c r="M35" s="773"/>
      <c r="N35" s="773"/>
      <c r="O35" s="773"/>
      <c r="P35" s="773"/>
      <c r="Q35" s="773"/>
      <c r="R35" s="773"/>
      <c r="S35" s="773"/>
      <c r="T35" s="773"/>
      <c r="U35" s="773"/>
      <c r="V35" s="773"/>
      <c r="W35" s="773"/>
      <c r="X35" s="773"/>
      <c r="Y35" s="773"/>
      <c r="Z35" s="773"/>
      <c r="AA35" s="773"/>
    </row>
    <row r="36" customFormat="false" ht="20.1" hidden="false" customHeight="true" outlineLevel="0" collapsed="false">
      <c r="A36" s="773"/>
      <c r="B36" s="777"/>
      <c r="C36" s="773"/>
      <c r="D36" s="773"/>
      <c r="E36" s="773"/>
      <c r="F36" s="773"/>
      <c r="G36" s="773"/>
      <c r="H36" s="773"/>
      <c r="I36" s="773"/>
      <c r="J36" s="773"/>
      <c r="K36" s="773"/>
      <c r="L36" s="773"/>
      <c r="M36" s="773"/>
      <c r="N36" s="773"/>
      <c r="O36" s="773"/>
      <c r="P36" s="773"/>
      <c r="Q36" s="773"/>
      <c r="R36" s="773"/>
      <c r="S36" s="773"/>
      <c r="T36" s="773"/>
      <c r="U36" s="773"/>
      <c r="V36" s="773"/>
      <c r="W36" s="773"/>
      <c r="X36" s="773"/>
      <c r="Y36" s="773"/>
      <c r="Z36" s="773"/>
      <c r="AA36" s="773"/>
    </row>
    <row r="37" customFormat="false" ht="20.1" hidden="false" customHeight="true" outlineLevel="0" collapsed="false">
      <c r="A37" s="773"/>
      <c r="B37" s="777"/>
      <c r="C37" s="773"/>
      <c r="D37" s="773"/>
      <c r="E37" s="773"/>
      <c r="F37" s="773"/>
      <c r="G37" s="773"/>
      <c r="H37" s="773"/>
      <c r="I37" s="773"/>
      <c r="J37" s="773"/>
      <c r="K37" s="773"/>
      <c r="L37" s="773"/>
      <c r="M37" s="773"/>
      <c r="N37" s="773"/>
      <c r="O37" s="773"/>
      <c r="P37" s="773"/>
      <c r="Q37" s="773"/>
      <c r="R37" s="773"/>
      <c r="S37" s="773"/>
      <c r="T37" s="773"/>
      <c r="U37" s="773"/>
      <c r="V37" s="773"/>
      <c r="W37" s="773"/>
      <c r="X37" s="773"/>
      <c r="Y37" s="773"/>
      <c r="Z37" s="773"/>
      <c r="AA37" s="773"/>
    </row>
    <row r="38" customFormat="false" ht="20.1" hidden="false" customHeight="true" outlineLevel="0" collapsed="false">
      <c r="A38" s="773"/>
      <c r="B38" s="777"/>
      <c r="C38" s="773"/>
      <c r="D38" s="773"/>
      <c r="E38" s="773"/>
      <c r="F38" s="773"/>
      <c r="G38" s="773"/>
      <c r="H38" s="773"/>
      <c r="I38" s="773"/>
      <c r="J38" s="773"/>
      <c r="K38" s="773"/>
      <c r="L38" s="773"/>
      <c r="M38" s="773"/>
      <c r="N38" s="773"/>
      <c r="O38" s="773"/>
      <c r="P38" s="773"/>
      <c r="Q38" s="773"/>
      <c r="R38" s="773"/>
      <c r="S38" s="773"/>
      <c r="T38" s="773"/>
      <c r="U38" s="773"/>
      <c r="V38" s="773"/>
      <c r="W38" s="773"/>
      <c r="X38" s="773"/>
      <c r="Y38" s="773"/>
      <c r="Z38" s="773"/>
      <c r="AA38" s="773"/>
    </row>
    <row r="39" customFormat="false" ht="20.1" hidden="false" customHeight="true" outlineLevel="0" collapsed="false">
      <c r="A39" s="773"/>
      <c r="B39" s="777"/>
      <c r="C39" s="773"/>
      <c r="D39" s="773"/>
      <c r="E39" s="773"/>
      <c r="F39" s="773"/>
      <c r="G39" s="773"/>
      <c r="H39" s="773"/>
      <c r="I39" s="773"/>
      <c r="J39" s="773"/>
      <c r="K39" s="773"/>
      <c r="L39" s="773"/>
      <c r="M39" s="773"/>
      <c r="N39" s="773"/>
      <c r="O39" s="773"/>
      <c r="P39" s="773"/>
      <c r="Q39" s="773"/>
      <c r="R39" s="773"/>
      <c r="S39" s="773"/>
      <c r="T39" s="773"/>
      <c r="U39" s="773"/>
      <c r="V39" s="773"/>
      <c r="W39" s="773"/>
      <c r="X39" s="773"/>
      <c r="Y39" s="773"/>
      <c r="Z39" s="773"/>
      <c r="AA39" s="773"/>
    </row>
    <row r="40" customFormat="false" ht="20.1" hidden="false" customHeight="true" outlineLevel="0" collapsed="false">
      <c r="A40" s="773"/>
      <c r="B40" s="777"/>
      <c r="C40" s="773"/>
      <c r="D40" s="773"/>
      <c r="E40" s="773"/>
      <c r="F40" s="773"/>
      <c r="G40" s="773"/>
      <c r="H40" s="773"/>
      <c r="I40" s="773"/>
      <c r="J40" s="773"/>
      <c r="K40" s="773"/>
      <c r="L40" s="773"/>
      <c r="M40" s="773"/>
      <c r="N40" s="773"/>
      <c r="O40" s="773"/>
      <c r="P40" s="773"/>
      <c r="Q40" s="773"/>
      <c r="R40" s="773"/>
      <c r="S40" s="773"/>
      <c r="T40" s="773"/>
      <c r="U40" s="773"/>
      <c r="V40" s="773"/>
      <c r="W40" s="773"/>
      <c r="X40" s="773"/>
      <c r="Y40" s="773"/>
      <c r="Z40" s="773"/>
      <c r="AA40" s="773"/>
    </row>
    <row r="41" customFormat="false" ht="20.1" hidden="false" customHeight="true" outlineLevel="0" collapsed="false">
      <c r="A41" s="773"/>
      <c r="B41" s="777"/>
      <c r="C41" s="773"/>
      <c r="D41" s="773"/>
      <c r="E41" s="773"/>
      <c r="F41" s="773"/>
      <c r="G41" s="773"/>
      <c r="H41" s="773"/>
      <c r="I41" s="773"/>
      <c r="J41" s="773"/>
      <c r="K41" s="773"/>
      <c r="L41" s="773"/>
      <c r="M41" s="773"/>
      <c r="N41" s="773"/>
      <c r="O41" s="773"/>
      <c r="P41" s="773"/>
      <c r="Q41" s="773"/>
      <c r="R41" s="773"/>
      <c r="S41" s="773"/>
      <c r="T41" s="773"/>
      <c r="U41" s="773"/>
      <c r="V41" s="773"/>
      <c r="W41" s="773"/>
      <c r="X41" s="773"/>
      <c r="Y41" s="773"/>
      <c r="Z41" s="773"/>
      <c r="AA41" s="773"/>
    </row>
  </sheetData>
  <mergeCells count="2">
    <mergeCell ref="A1:S2"/>
    <mergeCell ref="A3:S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42</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2022-11-05T13:54:37Z</dcterms:modified>
  <cp:revision>16</cp:revision>
  <dc:subject/>
  <dc:title/>
</cp:coreProperties>
</file>

<file path=docProps/custom.xml><?xml version="1.0" encoding="utf-8"?>
<Properties xmlns="http://schemas.openxmlformats.org/officeDocument/2006/custom-properties" xmlns:vt="http://schemas.openxmlformats.org/officeDocument/2006/docPropsVTypes"/>
</file>