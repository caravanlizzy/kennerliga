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vbaProject.bin" ContentType="application/vnd.ms-office.vbaProject"/>
  <Override PartName="/xl/styles.xml" ContentType="application/vnd.openxmlformats-officedocument.spreadsheetml.styles+xml"/>
  <Override PartName="/xl/worksheets/sheet9.xml" ContentType="application/vnd.openxmlformats-officedocument.spreadsheetml.worksheet+xml"/>
  <Override PartName="/xl/worksheets/sheet8.xml" ContentType="application/vnd.openxmlformats-officedocument.spreadsheetml.worksheet+xml"/>
  <Override PartName="/xl/worksheets/sheet15.xml" ContentType="application/vnd.openxmlformats-officedocument.spreadsheetml.worksheet+xml"/>
  <Override PartName="/xl/worksheets/sheet6.xml" ContentType="application/vnd.openxmlformats-officedocument.spreadsheetml.worksheet+xml"/>
  <Override PartName="/xl/worksheets/sheet14.xml" ContentType="application/vnd.openxmlformats-officedocument.spreadsheetml.worksheet+xml"/>
  <Override PartName="/xl/worksheets/sheet5.xml" ContentType="application/vnd.openxmlformats-officedocument.spreadsheetml.worksheet+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11.xml" ContentType="application/vnd.openxmlformats-officedocument.spreadsheetml.worksheet+xml"/>
  <Override PartName="/xl/worksheets/sheet3.xml" ContentType="application/vnd.openxmlformats-officedocument.spreadsheetml.worksheet+xml"/>
  <Override PartName="/xl/worksheets/sheet12.xml" ContentType="application/vnd.openxmlformats-officedocument.spreadsheetml.worksheet+xml"/>
  <Override PartName="/xl/worksheets/sheet4.xml" ContentType="application/vnd.openxmlformats-officedocument.spreadsheetml.worksheet+xml"/>
  <Override PartName="/xl/worksheets/sheet13.xml" ContentType="application/vnd.openxmlformats-officedocument.spreadsheetml.worksheet+xml"/>
  <Override PartName="/xl/worksheets/sheet7.xml" ContentType="application/vnd.openxmlformats-officedocument.spreadsheetml.worksheet+xml"/>
  <Override PartName="/xl/_rels/workbook.xml.rels" ContentType="application/vnd.openxmlformats-package.relationship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11"/>
  </bookViews>
  <sheets>
    <sheet name="2022_S1" sheetId="1" state="visible" r:id="rId3"/>
    <sheet name="2022_S2" sheetId="2" state="visible" r:id="rId4"/>
    <sheet name="2022_S3" sheetId="3" state="visible" r:id="rId5"/>
    <sheet name="2022_S4" sheetId="4" state="visible" r:id="rId6"/>
    <sheet name="2022_S5" sheetId="5" state="visible" r:id="rId7"/>
    <sheet name="2022_S6" sheetId="6" state="visible" r:id="rId8"/>
    <sheet name="2022_S7" sheetId="7" state="visible" r:id="rId9"/>
    <sheet name="2022_S8" sheetId="8" state="visible" r:id="rId10"/>
    <sheet name="2022_S9" sheetId="9" state="visible" r:id="rId11"/>
    <sheet name="2022_S10" sheetId="10" state="visible" r:id="rId12"/>
    <sheet name="2022_S11" sheetId="11" state="visible" r:id="rId13"/>
    <sheet name="2022_S12" sheetId="12" state="visible" r:id="rId14"/>
    <sheet name="2022_GESAMTWERTUNG" sheetId="13" state="visible" r:id="rId15"/>
    <sheet name="Gewählte Spiele" sheetId="14" state="visible" r:id="rId16"/>
    <sheet name="Definitionen" sheetId="15" state="visible" r:id="rId17"/>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<sst xmlns="http://schemas.openxmlformats.org/spreadsheetml/2006/main" count="8928" uniqueCount="683">
  <si>
    <t xml:space="preserve">2022 Season 1</t>
  </si>
  <si>
    <t xml:space="preserve">Angemeldete Spieler für 2022_S1</t>
  </si>
  <si>
    <t xml:space="preserve">Erstellung der Ligen</t>
  </si>
  <si>
    <t xml:space="preserve">Rang
aus
21_S12</t>
  </si>
  <si>
    <t xml:space="preserve">Name</t>
  </si>
  <si>
    <t xml:space="preserve">Nikname 
Boardgamearena</t>
  </si>
  <si>
    <t xml:space="preserve">Nikname 
Yukata</t>
  </si>
  <si>
    <t xml:space="preserve">Nikname 
Boiteajeux</t>
  </si>
  <si>
    <t xml:space="preserve">Nikname 
boardgamers.space</t>
  </si>
  <si>
    <t xml:space="preserve">Anmeldung für 
2022_S2</t>
  </si>
  <si>
    <t xml:space="preserve">Liga</t>
  </si>
  <si>
    <t xml:space="preserve">Reihenfolge</t>
  </si>
  <si>
    <t xml:space="preserve">Jonas Röhrig</t>
  </si>
  <si>
    <t xml:space="preserve">chefkoch07</t>
  </si>
  <si>
    <t xml:space="preserve">Ja</t>
  </si>
  <si>
    <t xml:space="preserve">Devid Fulterer</t>
  </si>
  <si>
    <t xml:space="preserve">Ginooo</t>
  </si>
  <si>
    <t xml:space="preserve">Judith Fulterer</t>
  </si>
  <si>
    <t xml:space="preserve">MissM1</t>
  </si>
  <si>
    <t xml:space="preserve">MissM</t>
  </si>
  <si>
    <t xml:space="preserve">Andreas Micke</t>
  </si>
  <si>
    <t xml:space="preserve">Palladium2000</t>
  </si>
  <si>
    <t xml:space="preserve">Jérôme Schätzle</t>
  </si>
  <si>
    <t xml:space="preserve">eumel247</t>
  </si>
  <si>
    <t xml:space="preserve">Lisa Schätzle</t>
  </si>
  <si>
    <t xml:space="preserve">Lise-lotte</t>
  </si>
  <si>
    <t xml:space="preserve">Eumeline</t>
  </si>
  <si>
    <t xml:space="preserve">Pauline Schätzle</t>
  </si>
  <si>
    <t xml:space="preserve">Bienchen_2000</t>
  </si>
  <si>
    <t xml:space="preserve">Kai Maibaum</t>
  </si>
  <si>
    <t xml:space="preserve">MobMob3</t>
  </si>
  <si>
    <t xml:space="preserve">Daniel Zimmermann</t>
  </si>
  <si>
    <t xml:space="preserve">Zimbaland</t>
  </si>
  <si>
    <t xml:space="preserve">Marc Lambrecht</t>
  </si>
  <si>
    <t xml:space="preserve">haligh</t>
  </si>
  <si>
    <t xml:space="preserve">*</t>
  </si>
  <si>
    <t xml:space="preserve">Nein</t>
  </si>
  <si>
    <t xml:space="preserve">Bea Kittner</t>
  </si>
  <si>
    <t xml:space="preserve">isiundossi</t>
  </si>
  <si>
    <t xml:space="preserve">Markus Hagenauer</t>
  </si>
  <si>
    <t xml:space="preserve">Markus1711</t>
  </si>
  <si>
    <t xml:space="preserve">Franziska Büchner</t>
  </si>
  <si>
    <t xml:space="preserve">Frannnyy</t>
  </si>
  <si>
    <t xml:space="preserve">Fabian Spaniol</t>
  </si>
  <si>
    <t xml:space="preserve">fanabi</t>
  </si>
  <si>
    <t xml:space="preserve">Florian Spiß</t>
  </si>
  <si>
    <t xml:space="preserve">Flo101</t>
  </si>
  <si>
    <t xml:space="preserve">Alex Ulbricht</t>
  </si>
  <si>
    <t xml:space="preserve">autographus</t>
  </si>
  <si>
    <t xml:space="preserve">Gesamtanzahl Spieler 2022_S1:</t>
  </si>
  <si>
    <t xml:space="preserve">Neuanmeldungen für 2022_S2</t>
  </si>
  <si>
    <t xml:space="preserve">Nr.</t>
  </si>
  <si>
    <t xml:space="preserve">Liga 1:</t>
  </si>
  <si>
    <t xml:space="preserve">Spieler</t>
  </si>
  <si>
    <t xml:space="preserve">Nikname auf Boardgamearena</t>
  </si>
  <si>
    <t xml:space="preserve">1. Durchgang: </t>
  </si>
  <si>
    <t xml:space="preserve">2. Durchgang:</t>
  </si>
  <si>
    <t xml:space="preserve">3. Durchgang (falls Spiele gebannt wurden):</t>
  </si>
  <si>
    <t xml:space="preserve">Plattform</t>
  </si>
  <si>
    <t xml:space="preserve">ausgewähltes Spiel</t>
  </si>
  <si>
    <t xml:space="preserve">Optionen</t>
  </si>
  <si>
    <t xml:space="preserve">gebanntes Spiel</t>
  </si>
  <si>
    <t xml:space="preserve">neugewähltes Spiel</t>
  </si>
  <si>
    <t xml:space="preserve">Boardgamearena</t>
  </si>
  <si>
    <t xml:space="preserve">Dungeon Petz</t>
  </si>
  <si>
    <t xml:space="preserve">- Doppelsymbolkarten: Doppelsymbolkarten
- Mehr Vorausschau: Mehr Vorausschau</t>
  </si>
  <si>
    <t xml:space="preserve">Vanuatu</t>
  </si>
  <si>
    <t xml:space="preserve">-</t>
  </si>
  <si>
    <t xml:space="preserve">Terra Mystica</t>
  </si>
  <si>
    <t xml:space="preserve">- Spielbrett: Fjorde
- Völkertableau: Völker werden in Auktion ausgewählt
- Zugreihenfolge: Variable Zugreihenfolge
- Mini-Erweiterung: An
- Landschaften Erweiterung: An
- Feuer und Eis - Endwertungskärtchen: An
- Feuer und Eis - Völker: An</t>
  </si>
  <si>
    <t xml:space="preserve">Boiteajeux</t>
  </si>
  <si>
    <t xml:space="preserve">- Variante: Klassisch</t>
  </si>
  <si>
    <t xml:space="preserve">Nippon</t>
  </si>
  <si>
    <t xml:space="preserve">- Keiretsu-Erweiterung: Aus</t>
  </si>
  <si>
    <t xml:space="preserve">Res Arcana</t>
  </si>
  <si>
    <t xml:space="preserve">- Spielregeln: Normales Spiel mit Draft
- Erweiterung 1 Lux &amp; Tenebrae: Deaktiviert</t>
  </si>
  <si>
    <t xml:space="preserve">Nickname auf der Platform wo das Spiel gespielt wird</t>
  </si>
  <si>
    <t xml:space="preserve">Startposition</t>
  </si>
  <si>
    <t xml:space="preserve">Charakter/Volk
(bei asynchronen Spielen)</t>
  </si>
  <si>
    <t xml:space="preserve">Punkte
(beim Start vom Spiel)</t>
  </si>
  <si>
    <t xml:space="preserve">Punkte 
(am Ende vom Spiel)</t>
  </si>
  <si>
    <t xml:space="preserve">Tiebreaker (nur bei Gleichstand benötigt)</t>
  </si>
  <si>
    <t xml:space="preserve">Prozentuale
 Gewinnbeteiligung</t>
  </si>
  <si>
    <t xml:space="preserve">Platzierung</t>
  </si>
  <si>
    <t xml:space="preserve">Ligapunkte</t>
  </si>
  <si>
    <t xml:space="preserve">1. Platz</t>
  </si>
  <si>
    <t xml:space="preserve">2. Platz</t>
  </si>
  <si>
    <t xml:space="preserve">3. Platz</t>
  </si>
  <si>
    <t xml:space="preserve">4. Platz</t>
  </si>
  <si>
    <t xml:space="preserve">Punkte Gewinner:</t>
  </si>
  <si>
    <t xml:space="preserve">Summe Platzierungen:</t>
  </si>
  <si>
    <t xml:space="preserve">Hexen</t>
  </si>
  <si>
    <t xml:space="preserve">Gestaltenwandler</t>
  </si>
  <si>
    <t xml:space="preserve">Kultisten</t>
  </si>
  <si>
    <t xml:space="preserve">Frostfeen</t>
  </si>
  <si>
    <t xml:space="preserve">Duellant</t>
  </si>
  <si>
    <t xml:space="preserve">Heiler</t>
  </si>
  <si>
    <t xml:space="preserve">Duellist</t>
  </si>
  <si>
    <t xml:space="preserve">Hexe</t>
  </si>
  <si>
    <t xml:space="preserve">Gesamtstand L1</t>
  </si>
  <si>
    <t xml:space="preserve">Strafpunkte (z.B. wegen nichteinhalten einer Frist)</t>
  </si>
  <si>
    <t xml:space="preserve">Grund für Strafpunkt(e)</t>
  </si>
  <si>
    <t xml:space="preserve">Gesamt-Ligapunkte
(Ligapunkte abzüglich Strafpunkte)</t>
  </si>
  <si>
    <t xml:space="preserve">1. Plätze</t>
  </si>
  <si>
    <t xml:space="preserve">2. Plätze</t>
  </si>
  <si>
    <t xml:space="preserve">3. Plätze</t>
  </si>
  <si>
    <t xml:space="preserve">4. Plätze</t>
  </si>
  <si>
    <t xml:space="preserve">Durchschnittliche
prozentuale 
Gewinnbeteiligung</t>
  </si>
  <si>
    <t xml:space="preserve">Liga 2:</t>
  </si>
  <si>
    <t xml:space="preserve">Die Burgen von Burgund</t>
  </si>
  <si>
    <t xml:space="preserve">- Spielaufbau (Spieler-Tableaus): Zufälliges Tableau ohne Tableau 8
- Ausgabe: Erste Ausgabe
- Nur bestätigte Züge sehen: Ja</t>
  </si>
  <si>
    <t xml:space="preserve">gepasst</t>
  </si>
  <si>
    <t xml:space="preserve">Marco Polo II: Im Auftrag des Khan</t>
  </si>
  <si>
    <t xml:space="preserve">- Variante Schwarze Würfel: Nein
- Die Karawanen-Erweiterung: Ja
- Alle Charaktere aufnehmen: Nein</t>
  </si>
  <si>
    <t xml:space="preserve">Yucata</t>
  </si>
  <si>
    <t xml:space="preserve">Orakel von Delphi</t>
  </si>
  <si>
    <t xml:space="preserve">- Karte: Für Fortgeschrittene (mehr Variation und Untiefen)
- Schiffsplättchen Verteilung: Auswählen
- Spieldauer: Normal (12 Zeusplättchen)
- Weiterspielen: Ja</t>
  </si>
  <si>
    <t xml:space="preserve">Rajas of the Ganges</t>
  </si>
  <si>
    <t xml:space="preserve">- Variante "gemischte Runde": Deaktiviert
- Variante "Navaratnas-Variante": Deaktiviert
- Variante "Ganga Modul": Deaktiviert
- Variante "Mango-Dorf": Deaktiviert</t>
  </si>
  <si>
    <t xml:space="preserve">Tableau 7</t>
  </si>
  <si>
    <t xml:space="preserve">Tableau 10</t>
  </si>
  <si>
    <t xml:space="preserve">Tableau 9</t>
  </si>
  <si>
    <t xml:space="preserve">Filippo Vitello</t>
  </si>
  <si>
    <t xml:space="preserve">Vidal Badoer</t>
  </si>
  <si>
    <t xml:space="preserve">Abha Basu</t>
  </si>
  <si>
    <t xml:space="preserve">Möngke Khan</t>
  </si>
  <si>
    <t xml:space="preserve">Schiffsplättchen 1</t>
  </si>
  <si>
    <t xml:space="preserve">Zu Zeus zurückgekehrt nach 0 zusätzlichen Runden</t>
  </si>
  <si>
    <t xml:space="preserve">Schiffsplättchen 2</t>
  </si>
  <si>
    <t xml:space="preserve">Zu Zeus zurückgekehrt nach 1 zusätzlichen Runde</t>
  </si>
  <si>
    <t xml:space="preserve">2 Orakelkarten und 
8 Gunstplättchen übrig</t>
  </si>
  <si>
    <t xml:space="preserve">Schiffsplättchen 5</t>
  </si>
  <si>
    <t xml:space="preserve">2 Orakelkarten und 
2 Gunstplättchen übrig</t>
  </si>
  <si>
    <t xml:space="preserve">Schiffsplättchen 7</t>
  </si>
  <si>
    <t xml:space="preserve">11 erledigte Zeusaufgaben</t>
  </si>
  <si>
    <t xml:space="preserve">Gesamtstand L2</t>
  </si>
  <si>
    <t xml:space="preserve">Liga 3:</t>
  </si>
  <si>
    <t xml:space="preserve">Nikname: 
Yukata</t>
  </si>
  <si>
    <t xml:space="preserve">Carnegie</t>
  </si>
  <si>
    <t xml:space="preserve">- Abteilungen: Abteilungen aus Grundspiel und Erweiterung
- Warten Option: Aus
- Geheime Spende: Aus</t>
  </si>
  <si>
    <t xml:space="preserve">Sushi Go!</t>
  </si>
  <si>
    <t xml:space="preserve">- Sojasoße: An
- In beide Richtungen weitergeben: An
- Variante für 2 Spieler: Aus</t>
  </si>
  <si>
    <t xml:space="preserve">- Spielaufbau (Spieler-Tableau): zufälliges Tableau ohne Tableau 8
- Ausgabe: Ausgabe von 2019
- Nur bestätigte Züge sehen: Ja</t>
  </si>
  <si>
    <t xml:space="preserve">Lewis &amp; Clark</t>
  </si>
  <si>
    <t xml:space="preserve">1 Pudding Karte</t>
  </si>
  <si>
    <t xml:space="preserve">4 Pudding Karten</t>
  </si>
  <si>
    <t xml:space="preserve">Tableau 1</t>
  </si>
  <si>
    <t xml:space="preserve">Tableau 6</t>
  </si>
  <si>
    <t xml:space="preserve">Tableau 2</t>
  </si>
  <si>
    <t xml:space="preserve">Gesamtstand L3</t>
  </si>
  <si>
    <t xml:space="preserve">Nikname auf Yucata</t>
  </si>
  <si>
    <t xml:space="preserve">Liga 4:</t>
  </si>
  <si>
    <t xml:space="preserve">- Spielvariante: Fortgeschrittene Regeln</t>
  </si>
  <si>
    <t xml:space="preserve">- Spielbrett: Grundspiel
- Völkertableau: Völker werden in Spielerreihenfolge ausgewählt
- Startsiegpunkte: Nach Völkern angepasst
- Zugreihenfolge: variable Zugreihenfolge
- Mini-Erweiterungen: Aus
- Landschaften-Erweiterung: Aus
- Feuer und Eis - Endwertungskärtchen: Aus
- Feuer und Eis - Völker: Aus</t>
  </si>
  <si>
    <t xml:space="preserve">Auf den Spuren von Marco Polo</t>
  </si>
  <si>
    <t xml:space="preserve">- Expertenvariante: Ja</t>
  </si>
  <si>
    <t xml:space="preserve">Stone Age</t>
  </si>
  <si>
    <t xml:space="preserve">- Harter Winter: An
- Wilde Tiere: An
- Iglus: An
- Die neuen Hütten: An
- Mammutherde: An
- Die Erweiterung: Aus</t>
  </si>
  <si>
    <t xml:space="preserve">Tableau 5</t>
  </si>
  <si>
    <t xml:space="preserve">Düsterlinge</t>
  </si>
  <si>
    <t xml:space="preserve">Nixen</t>
  </si>
  <si>
    <t xml:space="preserve">Nomaden</t>
  </si>
  <si>
    <t xml:space="preserve">Mercator ex Tabriz</t>
  </si>
  <si>
    <t xml:space="preserve">Matteo Polo</t>
  </si>
  <si>
    <t xml:space="preserve">Raschid ad-Din Sinan</t>
  </si>
  <si>
    <t xml:space="preserve">Niccolo &amp; Marco Polo</t>
  </si>
  <si>
    <t xml:space="preserve">Gesamtstand L4</t>
  </si>
  <si>
    <t xml:space="preserve">2022 Season 2</t>
  </si>
  <si>
    <t xml:space="preserve">Angemeldete Spieler für 2022_S2</t>
  </si>
  <si>
    <t xml:space="preserve">Rang
aus
S1</t>
  </si>
  <si>
    <t xml:space="preserve">Anmeldung für 
2022_S3</t>
  </si>
  <si>
    <t xml:space="preserve">Gesamtanzahl Spieler 2022_S2:</t>
  </si>
  <si>
    <t xml:space="preserve">Neuanmeldungen für 2022_S3</t>
  </si>
  <si>
    <t xml:space="preserve">Agricola</t>
  </si>
  <si>
    <t xml:space="preserve">- Kompetitives Level: Kompetitiv</t>
  </si>
  <si>
    <t xml:space="preserve">- Zusätzliche Aktionsfelder: Deaktiviert (Standard)</t>
  </si>
  <si>
    <t xml:space="preserve">- C&amp;D Karten: Eingeschlossen</t>
  </si>
  <si>
    <t xml:space="preserve">- Draftmodus: Drafte 7 aus 10 Karten, Ausbildungen mit kleinen Anschaffungen</t>
  </si>
  <si>
    <t xml:space="preserve">Ein Fest für Odin</t>
  </si>
  <si>
    <t xml:space="preserve">- Spieldauer: Langes Spiel</t>
  </si>
  <si>
    <t xml:space="preserve">Carcassonne</t>
  </si>
  <si>
    <t xml:space="preserve">- Ausbildung: B</t>
  </si>
  <si>
    <t xml:space="preserve">- Mini Erweiterung 1: Nein</t>
  </si>
  <si>
    <t xml:space="preserve">- Der Fluss: Nein</t>
  </si>
  <si>
    <t xml:space="preserve">- Wirtshäuser &amp; Kathedralen (1. Erweiterung): Ja</t>
  </si>
  <si>
    <t xml:space="preserve">- Händler &amp; Baumeister (2. Erweiterung): Ja</t>
  </si>
  <si>
    <t xml:space="preserve">- Prinzessin &amp; Drache (3. Erweiterung): Nein</t>
  </si>
  <si>
    <t xml:space="preserve">- Strategische Variante (3 Plättchen in der Hand): Ja</t>
  </si>
  <si>
    <t xml:space="preserve">- Wiesenwertung: Jede Wiese ist drei Punkte wert pro angrenzender, abgeschlossener Stadt (internationale Regel)</t>
  </si>
  <si>
    <t xml:space="preserve">- Wertung einer Stadt aus nur 2 Stadtplättchen ergibt: 4 Punkte (Internationale Regeln)</t>
  </si>
  <si>
    <t xml:space="preserve">- Variante "gemischte Runde": Deaktiviert</t>
  </si>
  <si>
    <t xml:space="preserve">- Variante "Navaratnas-Variante": Deaktiviert</t>
  </si>
  <si>
    <t xml:space="preserve">- Variante "Ganga Modul": Deaktiviert</t>
  </si>
  <si>
    <t xml:space="preserve">- Variante "Mango-Dorf": Deaktiviert</t>
  </si>
  <si>
    <t xml:space="preserve">- Spielregeln: Normales Spiel mit Draft</t>
  </si>
  <si>
    <t xml:space="preserve">Die Burgen von 
Burgund</t>
  </si>
  <si>
    <t xml:space="preserve">- Erweiterung 1: Lux &amp; Tenebrae: Deaktiviert</t>
  </si>
  <si>
    <t xml:space="preserve">- Spielaufbau (Spieler-Tableaus): Zufälliges Spielertableau ohne Spielertableau 8</t>
  </si>
  <si>
    <t xml:space="preserve">- Ausgabe: Erste Ausgabe</t>
  </si>
  <si>
    <t xml:space="preserve">- Nur bestätigte Züge sehen: Ja</t>
  </si>
  <si>
    <t xml:space="preserve">La Granja</t>
  </si>
  <si>
    <t xml:space="preserve">- Hofphasenschritte: Gleichzeitig</t>
  </si>
  <si>
    <t xml:space="preserve">Seher</t>
  </si>
  <si>
    <t xml:space="preserve">Kunsthandwerker</t>
  </si>
  <si>
    <t xml:space="preserve">Tableau 4</t>
  </si>
  <si>
    <t xml:space="preserve">Liga 3 (3-Spieler-Liga):</t>
  </si>
  <si>
    <t xml:space="preserve">Yokohama</t>
  </si>
  <si>
    <t xml:space="preserve">Vergessen die Liste der Spiele, welche in 
L3 gespielt werden, in die Kennerligagruppe zu posten</t>
  </si>
  <si>
    <t xml:space="preserve">Liga 4 (2-Spieler-Liga):</t>
  </si>
  <si>
    <t xml:space="preserve">Patchwork</t>
  </si>
  <si>
    <t xml:space="preserve">- Edition: Polnische Folklore</t>
  </si>
  <si>
    <t xml:space="preserve">- Spielaufbau (Spieler-Tableaus): Klassischer Spielaufbau (Wähle aus zwei Spielertableaus eines aus)</t>
  </si>
  <si>
    <t xml:space="preserve">- Ausgabe: Ausgabe von 2019</t>
  </si>
  <si>
    <t xml:space="preserve">Azul</t>
  </si>
  <si>
    <t xml:space="preserve">- Variantenoption: Deaktiviert</t>
  </si>
  <si>
    <t xml:space="preserve">- Rückgängig/Bestätigen erlaubt: Aktiviert</t>
  </si>
  <si>
    <t xml:space="preserve">- Schnellwertung: Deaktiviert</t>
  </si>
  <si>
    <t xml:space="preserve">Dice Hospital</t>
  </si>
  <si>
    <t xml:space="preserve">- Spielaufbau: Dice Hospital</t>
  </si>
  <si>
    <t xml:space="preserve">- Schwieriger Modus: Deaktiviert</t>
  </si>
  <si>
    <t xml:space="preserve">Tableau 8</t>
  </si>
  <si>
    <t xml:space="preserve">Norman Shumway</t>
  </si>
  <si>
    <t xml:space="preserve">Rita Levi-Montalcini</t>
  </si>
  <si>
    <t xml:space="preserve">2022 Season 3</t>
  </si>
  <si>
    <t xml:space="preserve">Angemeldete Spieler für 2022_S3</t>
  </si>
  <si>
    <t xml:space="preserve">Rang
aus
S2</t>
  </si>
  <si>
    <t xml:space="preserve">Anmeldung für 
2022_S4</t>
  </si>
  <si>
    <t xml:space="preserve">Gesamtanzahl Spieler 2022_S3:</t>
  </si>
  <si>
    <t xml:space="preserve">Neuanmeldungen für 2022_S4</t>
  </si>
  <si>
    <t xml:space="preserve">Boardgamers.space</t>
  </si>
  <si>
    <t xml:space="preserve">Gaia Project</t>
  </si>
  <si>
    <t xml:space="preserve">- Expansions "Frontiers": Deaktiviert</t>
  </si>
  <si>
    <t xml:space="preserve">- Option "Unlisted": Aktiviert</t>
  </si>
  <si>
    <t xml:space="preserve">- Option "Join this game": Aktiviert</t>
  </si>
  <si>
    <t xml:space="preserve">- Option "Last player rotates sectors": Aktiviert</t>
  </si>
  <si>
    <t xml:space="preserve">- Option "Random factions": Aktiviert</t>
  </si>
  <si>
    <t xml:space="preserve">- Option "Host sets up the entire board (including rotation): Deaktiviert</t>
  </si>
  <si>
    <t xml:space="preserve">- Player order: Random player order</t>
  </si>
  <si>
    <t xml:space="preserve">- Map layout: Standard</t>
  </si>
  <si>
    <t xml:space="preserve">- Auction mode: Choose factions, then bid</t>
  </si>
  <si>
    <t xml:space="preserve">- Factions variants: Balanced</t>
  </si>
  <si>
    <t xml:space="preserve">- Karte: für Fortgeschrittene (mehr Variation und Untiefen)</t>
  </si>
  <si>
    <t xml:space="preserve">- Schiffsplättchen Verteilung: Auswählen </t>
  </si>
  <si>
    <t xml:space="preserve">- Spieldauer: Normal (12 Zeusplättchen) </t>
  </si>
  <si>
    <t xml:space="preserve">- Weiterspielen: Ja</t>
  </si>
  <si>
    <t xml:space="preserve">-Doppelsymbolkarten: Doppelsymbolkarten</t>
  </si>
  <si>
    <t xml:space="preserve">Orakel von Delph</t>
  </si>
  <si>
    <t xml:space="preserve">Dungeon Lords</t>
  </si>
  <si>
    <t xml:space="preserve">- Variante: Base game</t>
  </si>
  <si>
    <t xml:space="preserve">-Mehr Vorschau: Mehr Vorschau</t>
  </si>
  <si>
    <t xml:space="preserve">- Random donjon setup: Deaktiviert</t>
  </si>
  <si>
    <t xml:space="preserve">- Spielregeln: normales Spiel mit Draft</t>
  </si>
  <si>
    <t xml:space="preserve">- Erweiterung 1 Lux &amp; Tenebrae: Deaktiviert</t>
  </si>
  <si>
    <t xml:space="preserve">Firaks</t>
  </si>
  <si>
    <t xml:space="preserve">Lantids</t>
  </si>
  <si>
    <t xml:space="preserve">Xenos</t>
  </si>
  <si>
    <t xml:space="preserve">Itars</t>
  </si>
  <si>
    <t xml:space="preserve">Schiffsplättchen 4</t>
  </si>
  <si>
    <t xml:space="preserve">Schiffsplättchen 8</t>
  </si>
  <si>
    <t xml:space="preserve">Schiffsplättchen 6</t>
  </si>
  <si>
    <t xml:space="preserve">Zu Zeus zurückgekehrt nach 2 zusätzlichen Runden</t>
  </si>
  <si>
    <t xml:space="preserve">Nekromant</t>
  </si>
  <si>
    <t xml:space="preserve">Verwandlerin</t>
  </si>
  <si>
    <t xml:space="preserve">Alchemist</t>
  </si>
  <si>
    <t xml:space="preserve">Teotihuacan: Die Stadt der Götter</t>
  </si>
  <si>
    <t xml:space="preserve">- Aufbau erstes Spiel: Aus</t>
  </si>
  <si>
    <t xml:space="preserve">- Eklipse Option: normal</t>
  </si>
  <si>
    <t xml:space="preserve">- Startplättchen: normal</t>
  </si>
  <si>
    <t xml:space="preserve">- Pyramidenaufbau: normal</t>
  </si>
  <si>
    <t xml:space="preserve">- Variante Schwarze Würfel: Nein</t>
  </si>
  <si>
    <t xml:space="preserve">- Die Karawanen-Erweiterung: Ja</t>
  </si>
  <si>
    <t xml:space="preserve">- Alle Charaktere aufnehmen: Nein</t>
  </si>
  <si>
    <t xml:space="preserve">8 Kamele</t>
  </si>
  <si>
    <t xml:space="preserve">Donata Badoer</t>
  </si>
  <si>
    <t xml:space="preserve">De Wu</t>
  </si>
  <si>
    <t xml:space="preserve">3 Kamele</t>
  </si>
  <si>
    <t xml:space="preserve">3 Silbermünzen übrig</t>
  </si>
  <si>
    <t xml:space="preserve">Parks</t>
  </si>
  <si>
    <t xml:space="preserve">- Spielaufbau: Wähle eine Vorsatzkarte zum Start</t>
  </si>
  <si>
    <t xml:space="preserve">- Erweiterungsset: Grundspiel</t>
  </si>
  <si>
    <t xml:space="preserve">- Wildliebe Variante: Deaktiviert</t>
  </si>
  <si>
    <t xml:space="preserve">Tapestry</t>
  </si>
  <si>
    <t xml:space="preserve">- Anpassungen der Zivilisationen: mit Anpassungen</t>
  </si>
  <si>
    <t xml:space="preserve">1 Orakelkarte übrig</t>
  </si>
  <si>
    <t xml:space="preserve">3 Orakelkarten übrig</t>
  </si>
  <si>
    <t xml:space="preserve">0 Orakelkarten übrig</t>
  </si>
  <si>
    <t xml:space="preserve">8 besuchte Parks</t>
  </si>
  <si>
    <t xml:space="preserve">7 besuchte Parks</t>
  </si>
  <si>
    <t xml:space="preserve">Feiernde</t>
  </si>
  <si>
    <t xml:space="preserve">Militanten</t>
  </si>
  <si>
    <t xml:space="preserve">Anführer</t>
  </si>
  <si>
    <t xml:space="preserve">Historiker</t>
  </si>
  <si>
    <t xml:space="preserve">- Edition: Halloween</t>
  </si>
  <si>
    <t xml:space="preserve">- Expertenvariante: Nein</t>
  </si>
  <si>
    <t xml:space="preserve">Louis Pasteur</t>
  </si>
  <si>
    <t xml:space="preserve">2022 Season 4</t>
  </si>
  <si>
    <t xml:space="preserve">Angemeldete Spieler für 2022_S4</t>
  </si>
  <si>
    <t xml:space="preserve">Rang
aus
S3</t>
  </si>
  <si>
    <t xml:space="preserve">Anmeldung für 
2022_S5</t>
  </si>
  <si>
    <t xml:space="preserve">Gesamtanzahl Spieler 2022_S4:</t>
  </si>
  <si>
    <t xml:space="preserve">Neuanmeldungen für 2022_S5</t>
  </si>
  <si>
    <t xml:space="preserve">Madeira</t>
  </si>
  <si>
    <t xml:space="preserve">Can't Stop</t>
  </si>
  <si>
    <t xml:space="preserve">Clans of Caledonia</t>
  </si>
  <si>
    <t xml:space="preserve">- Plättchen aus der Kickstarter-Kampagne verwenden: An</t>
  </si>
  <si>
    <t xml:space="preserve">- Ohne Clan: Aus</t>
  </si>
  <si>
    <t xml:space="preserve">- Statische Importgüter (jeweils 4 SP): Aus</t>
  </si>
  <si>
    <t xml:space="preserve">- Ohne Hafenplättchen: Aus</t>
  </si>
  <si>
    <t xml:space="preserve">- Ohne Wertungsplättchen: Aus</t>
  </si>
  <si>
    <t xml:space="preserve">- Clan-Auktion (Empfohlen nur für erfahrene Clan-Chiefs!): Alternative Auktion: Spielerreihenfolge hängt vom gewählten Clan ab</t>
  </si>
  <si>
    <t xml:space="preserve">Tzolk'in</t>
  </si>
  <si>
    <t xml:space="preserve">- Uxmal-Begrenzung der Maismenge: Keine Begrenzung</t>
  </si>
  <si>
    <t xml:space="preserve">Clan Fergusson</t>
  </si>
  <si>
    <t xml:space="preserve">Clan Buchanan</t>
  </si>
  <si>
    <t xml:space="preserve">Clan Stewart</t>
  </si>
  <si>
    <t xml:space="preserve">Clan MacDonald</t>
  </si>
  <si>
    <t xml:space="preserve">- Spielbrett: Grundspiel</t>
  </si>
  <si>
    <t xml:space="preserve">- Völkertableau: Völker werden in Auktion ausgewählt</t>
  </si>
  <si>
    <t xml:space="preserve">- Zugreihenfolge: Variable Zugreihenfolge</t>
  </si>
  <si>
    <t xml:space="preserve">- Mini-Erweiterung: Aus</t>
  </si>
  <si>
    <t xml:space="preserve">- Landschaften Erweiterung: Aus</t>
  </si>
  <si>
    <t xml:space="preserve">- Feuer und Eis - Endwertungskärtchen: Aus</t>
  </si>
  <si>
    <t xml:space="preserve">- Feuer und Eis - Völker: Aus</t>
  </si>
  <si>
    <t xml:space="preserve">- Fan-Völker: Aus</t>
  </si>
  <si>
    <t xml:space="preserve"> Zu Zeus zurückgekehrt nach 1 zusätzlichen Runde</t>
  </si>
  <si>
    <t xml:space="preserve">10 erledigte Zeusaufgaben</t>
  </si>
  <si>
    <t xml:space="preserve"> Zu Zeus zurückgekehrt nach 0 zusätzlichen Runden</t>
  </si>
  <si>
    <t xml:space="preserve">4 Orakelkarten übrig</t>
  </si>
  <si>
    <t xml:space="preserve">10 besuchte Parks</t>
  </si>
  <si>
    <t xml:space="preserve">9 besuchte Parks</t>
  </si>
  <si>
    <t xml:space="preserve">Zwerge</t>
  </si>
  <si>
    <t xml:space="preserve">The Ruhr: A Story of Coal Trade</t>
  </si>
  <si>
    <t xml:space="preserve">- Völkertableau: Völker werden in Spielerreihenfolge ausgewählt</t>
  </si>
  <si>
    <t xml:space="preserve">- Start-Siegpunkte: Nach Völkern angepasst</t>
  </si>
  <si>
    <t xml:space="preserve">7 Wonders</t>
  </si>
  <si>
    <t xml:space="preserve">- Spielversion: Neue Edition</t>
  </si>
  <si>
    <t xml:space="preserve">- Weltwundertableau: Wähle einen Weltwunderplan</t>
  </si>
  <si>
    <t xml:space="preserve">Cizah - Nacht</t>
  </si>
  <si>
    <t xml:space="preserve">Alexandria - Tag</t>
  </si>
  <si>
    <t xml:space="preserve">Babylon - Nacht</t>
  </si>
  <si>
    <t xml:space="preserve">2022 Season 5</t>
  </si>
  <si>
    <t xml:space="preserve">Angemeldete Spieler für 2022_S5</t>
  </si>
  <si>
    <t xml:space="preserve">Rang
aus
S4</t>
  </si>
  <si>
    <t xml:space="preserve">Anmeldung für 
2022_S6</t>
  </si>
  <si>
    <t xml:space="preserve">Gesamtanzahl Spieler 2022_S5:</t>
  </si>
  <si>
    <t xml:space="preserve">Neuanmeldungen für 2022_S6</t>
  </si>
  <si>
    <t xml:space="preserve">- Spieldauer: Kurzes Spiel</t>
  </si>
  <si>
    <t xml:space="preserve">Marco Polo II: Im 
Auftrag des Khan</t>
  </si>
  <si>
    <t xml:space="preserve">- Ausbildung: A und B</t>
  </si>
  <si>
    <t xml:space="preserve">- Mini Erweiterung 1: Ja</t>
  </si>
  <si>
    <t xml:space="preserve">Viticulture</t>
  </si>
  <si>
    <t xml:space="preserve">- Freundliche Variante: aus</t>
  </si>
  <si>
    <t xml:space="preserve">- Mama &amp; Papa-Auswahl: an</t>
  </si>
  <si>
    <t xml:space="preserve">- Alle Charaktere verwenden: Nein</t>
  </si>
  <si>
    <t xml:space="preserve">- Gobelin: Staatsehe: Entfernen</t>
  </si>
  <si>
    <t xml:space="preserve">- Gobelin: Renaissance: Entfernen</t>
  </si>
  <si>
    <t xml:space="preserve">- Einkommen: Original</t>
  </si>
  <si>
    <t xml:space="preserve">Mama Margot und Papa Gary</t>
  </si>
  <si>
    <t xml:space="preserve">Mama Teruyo und Papa Steven</t>
  </si>
  <si>
    <t xml:space="preserve">Mama Emily und Papa Morten</t>
  </si>
  <si>
    <t xml:space="preserve">3 Lira</t>
  </si>
  <si>
    <t xml:space="preserve">Mama Naja und Papa Stephan</t>
  </si>
  <si>
    <t xml:space="preserve">4 Lira</t>
  </si>
  <si>
    <t xml:space="preserve">Gantulga Od</t>
  </si>
  <si>
    <t xml:space="preserve">Architekten</t>
  </si>
  <si>
    <t xml:space="preserve">Erfinder</t>
  </si>
  <si>
    <t xml:space="preserve">Ultimate Railroads</t>
  </si>
  <si>
    <t xml:space="preserve">- Railroads: Russian</t>
  </si>
  <si>
    <t xml:space="preserve">- Industrie: Russisch (Eine private Strecke)</t>
  </si>
  <si>
    <t xml:space="preserve">Century</t>
  </si>
  <si>
    <t xml:space="preserve">- Edition: Gewürzstraße</t>
  </si>
  <si>
    <t xml:space="preserve">- Schwieriger Modus: Eröffnungskrise + Landesweite Epidemie + Resistenter Supererreger</t>
  </si>
  <si>
    <t xml:space="preserve">Halikarnassos - Spielplanseite B</t>
  </si>
  <si>
    <t xml:space="preserve">Alexandrien -  Spielplanseite B</t>
  </si>
  <si>
    <t xml:space="preserve">Rhodos - Spielplanseite B</t>
  </si>
  <si>
    <t xml:space="preserve">Ephesus - Spielplanseite B</t>
  </si>
  <si>
    <t xml:space="preserve">Alexander Fleming</t>
  </si>
  <si>
    <t xml:space="preserve">Robert G. Edwards</t>
  </si>
  <si>
    <t xml:space="preserve">2022 Season 6</t>
  </si>
  <si>
    <t xml:space="preserve">Angemeldete Spieler für 2022_S6</t>
  </si>
  <si>
    <t xml:space="preserve">Rang
aus
S5</t>
  </si>
  <si>
    <t xml:space="preserve">Anmeldung für 
2022_S7</t>
  </si>
  <si>
    <t xml:space="preserve">Gesamtanzahl Spieler 2022_S6:</t>
  </si>
  <si>
    <t xml:space="preserve">Neuanmeldungen für 2022_S7</t>
  </si>
  <si>
    <t xml:space="preserve">Pauline Micke</t>
  </si>
  <si>
    <t xml:space="preserve">- Doppelsymbolkarten: Doppelsymbolkarten</t>
  </si>
  <si>
    <t xml:space="preserve">- Mehr Vorausschau: Mehr Vorausschau</t>
  </si>
  <si>
    <t xml:space="preserve">Boardgamearna</t>
  </si>
  <si>
    <t xml:space="preserve">- Keiretsu-Erweiterung: An</t>
  </si>
  <si>
    <t xml:space="preserve">Great Western Trail</t>
  </si>
  <si>
    <t xml:space="preserve">- Ausgabe: 1. Auflage (2016)</t>
  </si>
  <si>
    <t xml:space="preserve">- Spielaufbau: Standard-Spiel</t>
  </si>
  <si>
    <t xml:space="preserve">- Rails to the North - Erweiterung: An</t>
  </si>
  <si>
    <t xml:space="preserve">- Gebot für die Zugreihenfolge: Aus</t>
  </si>
  <si>
    <t xml:space="preserve">- Livewertung: An</t>
  </si>
  <si>
    <t xml:space="preserve">Hearts</t>
  </si>
  <si>
    <t xml:space="preserve">- Spieldauer: normales Spiel (100 Punkte)</t>
  </si>
  <si>
    <t xml:space="preserve">Splendor</t>
  </si>
  <si>
    <t xml:space="preserve">- Spielmodus: Standard</t>
  </si>
  <si>
    <t xml:space="preserve">- Abteilungen: Nur das Basisspiel</t>
  </si>
  <si>
    <t xml:space="preserve">K2</t>
  </si>
  <si>
    <t xml:space="preserve">- Spielbrett-Seite: Winter</t>
  </si>
  <si>
    <t xml:space="preserve">- Warten Option: Aus</t>
  </si>
  <si>
    <t xml:space="preserve">- Geheime Spende: Aus</t>
  </si>
  <si>
    <t xml:space="preserve">Olympia - Nacht</t>
  </si>
  <si>
    <t xml:space="preserve">Babylon - Tag</t>
  </si>
  <si>
    <t xml:space="preserve">Ephesos - Nacht</t>
  </si>
  <si>
    <t xml:space="preserve">Liga 3 (2-Spieler-Liga):</t>
  </si>
  <si>
    <t xml:space="preserve">7 Wonders Architects</t>
  </si>
  <si>
    <t xml:space="preserve">Targi</t>
  </si>
  <si>
    <t xml:space="preserve">Tisch</t>
  </si>
  <si>
    <t xml:space="preserve">Fäkalini</t>
  </si>
  <si>
    <t xml:space="preserve">- Kompetitives Level: Normal</t>
  </si>
  <si>
    <t xml:space="preserve">- C&amp;D Karten: Ausgeschlossen</t>
  </si>
  <si>
    <t xml:space="preserve">- Neues Kartenset: Ausgeschlossen</t>
  </si>
  <si>
    <t xml:space="preserve">- Draftmodus: Drafte 7 aus 10 Karten, Ausbildungen mit Kleinen Anschaffungen</t>
  </si>
  <si>
    <t xml:space="preserve">- Live-Wertung: Aktiviert</t>
  </si>
  <si>
    <t xml:space="preserve">Gizeh</t>
  </si>
  <si>
    <t xml:space="preserve">Rhodos</t>
  </si>
  <si>
    <t xml:space="preserve">2022 Season 7</t>
  </si>
  <si>
    <t xml:space="preserve">Angemeldete Spieler für 2022_S7</t>
  </si>
  <si>
    <t xml:space="preserve">Rang
aus
S6</t>
  </si>
  <si>
    <t xml:space="preserve">Anmeldung für 
2022_S8</t>
  </si>
  <si>
    <t xml:space="preserve">Gesamtanzahl Spieler 2022_S7:</t>
  </si>
  <si>
    <t xml:space="preserve">Neuanmeldungen für 2022_S8</t>
  </si>
  <si>
    <t xml:space="preserve">Through the Ages: Eine neue Geschichte der Zivilisation</t>
  </si>
  <si>
    <t xml:space="preserve">- Mehr Vorausschau: Maximale Vorausschau</t>
  </si>
  <si>
    <t xml:space="preserve">- Spielversion: Expertenspiel</t>
  </si>
  <si>
    <t xml:space="preserve">- Friedliche Variante: Ein</t>
  </si>
  <si>
    <t xml:space="preserve">- Startplättchen: Draft</t>
  </si>
  <si>
    <t xml:space="preserve">Catan - Das Spiel</t>
  </si>
  <si>
    <t xml:space="preserve">- Anordnung der Landfelder: Variabler Aufbau</t>
  </si>
  <si>
    <t xml:space="preserve">- Auslage der Häfen: Standardaufbau</t>
  </si>
  <si>
    <t xml:space="preserve">- Kombinierte Handels-/Bauphase: Aktiviert</t>
  </si>
  <si>
    <t xml:space="preserve">- Karte: Für Fortgeschrittene (mehr Variation und Untiefen) </t>
  </si>
  <si>
    <t xml:space="preserve">- Schiffsplättchen Verteilung: Auswählen</t>
  </si>
  <si>
    <t xml:space="preserve">- Spieldauer: Normal (12 Zeusplättchen)</t>
  </si>
  <si>
    <t xml:space="preserve">Schiffsplättchen 3</t>
  </si>
  <si>
    <t xml:space="preserve">6 Orakelkarten übrig</t>
  </si>
  <si>
    <t xml:space="preserve">Hive</t>
  </si>
  <si>
    <t xml:space="preserve">- Marienkäfer: Aus</t>
  </si>
  <si>
    <t xml:space="preserve">Boardgamearnea</t>
  </si>
  <si>
    <t xml:space="preserve">- Moskito: Aus</t>
  </si>
  <si>
    <t xml:space="preserve">- Kellerassel: Aus</t>
  </si>
  <si>
    <t xml:space="preserve">- Eröffnung: Standard</t>
  </si>
  <si>
    <t xml:space="preserve">Raja of the Ganges</t>
  </si>
  <si>
    <t xml:space="preserve">- Karte: Für Fortgeschrittene (mehr Variation und Untiefen)</t>
  </si>
  <si>
    <t xml:space="preserve">Alexandria</t>
  </si>
  <si>
    <t xml:space="preserve">Clan Robertson</t>
  </si>
  <si>
    <t xml:space="preserve">2022 Season 8</t>
  </si>
  <si>
    <t xml:space="preserve">Angemeldete Spieler für 2022_S8</t>
  </si>
  <si>
    <t xml:space="preserve">Rang
aus
S7</t>
  </si>
  <si>
    <t xml:space="preserve">Anmeldung für 
2022_S9</t>
  </si>
  <si>
    <t xml:space="preserve">Gesamtanzahl Spieler 2022_S8:</t>
  </si>
  <si>
    <t xml:space="preserve">Neuanmeldungen für 2022_S9</t>
  </si>
  <si>
    <t xml:space="preserve">Roll for the Galaxy</t>
  </si>
  <si>
    <t xml:space="preserve">Welcome To...</t>
  </si>
  <si>
    <t xml:space="preserve">Welcome To…</t>
  </si>
  <si>
    <t xml:space="preserve">- Fortgeschrittene Variante: Ja</t>
  </si>
  <si>
    <t xml:space="preserve">- Expertenregeln: Nein</t>
  </si>
  <si>
    <t xml:space="preserve">- Brett/Erweiterung: Normale Variante</t>
  </si>
  <si>
    <t xml:space="preserve">Dingo's Dreams</t>
  </si>
  <si>
    <t xml:space="preserve">- Spiellänge: Tiefschlaf: höchste Punktezahl nach 3 Träumen</t>
  </si>
  <si>
    <t xml:space="preserve">- Spielgeschwindigkeit: Normal: 3 oder 4 Gefahren</t>
  </si>
  <si>
    <t xml:space="preserve">- Traumgefährten: An</t>
  </si>
  <si>
    <t xml:space="preserve">- Gebräuchliche BGA Traumkarten: Aus</t>
  </si>
  <si>
    <t xml:space="preserve">1, Vergessene Erdkolonie</t>
  </si>
  <si>
    <t xml:space="preserve">9, Sterbende Welt</t>
  </si>
  <si>
    <t xml:space="preserve">4, Deffekte Alien 
Fabrik</t>
  </si>
  <si>
    <t xml:space="preserve">7, Alte Erde</t>
  </si>
  <si>
    <t xml:space="preserve">Grand Austria Hotel</t>
  </si>
  <si>
    <t xml:space="preserve">- Start-Personalkarten : Profivariante</t>
  </si>
  <si>
    <t xml:space="preserve">- Hotels: einfacher</t>
  </si>
  <si>
    <t xml:space="preserve">- Variante "ohne Küchenhilfe": Aktiviert</t>
  </si>
  <si>
    <t xml:space="preserve">- Variante "Kostenlose Kunden austauschen": Deaktiviert</t>
  </si>
  <si>
    <t xml:space="preserve">Gaja Project</t>
  </si>
  <si>
    <t xml:space="preserve">- Spielaufbau: Variable Karte</t>
  </si>
  <si>
    <t xml:space="preserve">- Kartengröße: Normal</t>
  </si>
  <si>
    <t xml:space="preserve">- Völkerauswahl: Völker auswählen</t>
  </si>
  <si>
    <t xml:space="preserve">- Gesperrte Völker: Deaktiviert</t>
  </si>
  <si>
    <t xml:space="preserve">Mad Androids</t>
  </si>
  <si>
    <t xml:space="preserve">Der Schwarm</t>
  </si>
  <si>
    <t xml:space="preserve">Gleen</t>
  </si>
  <si>
    <t xml:space="preserve">Terraner</t>
  </si>
  <si>
    <t xml:space="preserve">3, Epsilon Eridani</t>
  </si>
  <si>
    <t xml:space="preserve">6, Deffekte Alien 
Fabrik</t>
  </si>
  <si>
    <t xml:space="preserve">7, Vergessene 
Erdkolonie</t>
  </si>
  <si>
    <t xml:space="preserve">Anzahl Würfel im 
Becher + Galaktische Credits: 3</t>
  </si>
  <si>
    <t xml:space="preserve">1, Alpha Centauri</t>
  </si>
  <si>
    <t xml:space="preserve">Anzahl Würfel im Becher + Galaktische Credits: 9</t>
  </si>
  <si>
    <t xml:space="preserve">Santorini</t>
  </si>
  <si>
    <t xml:space="preserve">- Erweiterung Goldenes Vlies: Nein</t>
  </si>
  <si>
    <t xml:space="preserve">- Einfache Götter: Ja</t>
  </si>
  <si>
    <t xml:space="preserve">- Heldenkräfte: Nein</t>
  </si>
  <si>
    <t xml:space="preserve">- Fortgeschrittene Götter: Ja</t>
  </si>
  <si>
    <t xml:space="preserve">- Aufbau: Begrenzte Auswahl</t>
  </si>
  <si>
    <t xml:space="preserve">Wasserkraft</t>
  </si>
  <si>
    <t xml:space="preserve">- Aufbau: Standard</t>
  </si>
  <si>
    <t xml:space="preserve">Harpies</t>
  </si>
  <si>
    <t xml:space="preserve">Artemis</t>
  </si>
  <si>
    <t xml:space="preserve">Frankreich - 
Anton Krylov</t>
  </si>
  <si>
    <t xml:space="preserve">Deutschland - 
Viktor Fiesler</t>
  </si>
  <si>
    <t xml:space="preserve">2022 Season 9</t>
  </si>
  <si>
    <t xml:space="preserve">Angemeldete Spieler für 2022_S9</t>
  </si>
  <si>
    <t xml:space="preserve">Rang
aus
S8</t>
  </si>
  <si>
    <t xml:space="preserve">Anmeldung für 
2022_S10</t>
  </si>
  <si>
    <t xml:space="preserve">Gesamtanzahl Spieler 2022_S9:</t>
  </si>
  <si>
    <t xml:space="preserve">Neuanmeldungen für 2022_S10</t>
  </si>
  <si>
    <t xml:space="preserve">- Neues Kartenset: Eingeschlossen</t>
  </si>
  <si>
    <t xml:space="preserve">7 verbleibende Rohstoffe</t>
  </si>
  <si>
    <t xml:space="preserve">2 verbleibende Rohstoffe</t>
  </si>
  <si>
    <t xml:space="preserve">2 Orakelkarten und 13 Gunstplättchen übrig</t>
  </si>
  <si>
    <t xml:space="preserve">3 Orakelkarten und 8 Gunstplättchen übrig</t>
  </si>
  <si>
    <t xml:space="preserve">2 Orakelkarten und 6 Gunstplättchen übrig</t>
  </si>
  <si>
    <t xml:space="preserve">3 Orakelkarten und 2 Gunstplättchen übrig</t>
  </si>
  <si>
    <t xml:space="preserve">Liga 2 (3-Spieler-Liga):</t>
  </si>
  <si>
    <t xml:space="preserve">Living Forest</t>
  </si>
  <si>
    <t xml:space="preserve">- Spielmodus: Mitbewerber</t>
  </si>
  <si>
    <t xml:space="preserve">17 Speisen, Getränke und Kronen</t>
  </si>
  <si>
    <t xml:space="preserve">6 Speisen, Getränke und Kronen</t>
  </si>
  <si>
    <t xml:space="preserve">Frankreich - 	Jill McDowell</t>
  </si>
  <si>
    <t xml:space="preserve">Italien - Solomon P. Jordan</t>
  </si>
  <si>
    <t xml:space="preserve">Deutschland - Anton Krylov</t>
  </si>
  <si>
    <t xml:space="preserve">Gesamtwerte aller drei Siegbedingungen: 16</t>
  </si>
  <si>
    <t xml:space="preserve">Gesamtwerte aller drei Siegbedingungen: 20</t>
  </si>
  <si>
    <t xml:space="preserve">2022 Season 10</t>
  </si>
  <si>
    <t xml:space="preserve">Angemeldete Spieler für 2022_S10</t>
  </si>
  <si>
    <t xml:space="preserve">Rang
aus
S9</t>
  </si>
  <si>
    <t xml:space="preserve">Anmeldung für 
2022_S11</t>
  </si>
  <si>
    <t xml:space="preserve">Gesamtanzahl Spieler 2022_S10:</t>
  </si>
  <si>
    <t xml:space="preserve">Neuanmeldungen für 2022_S11</t>
  </si>
  <si>
    <t xml:space="preserve">Eine wundervolle Welt</t>
  </si>
  <si>
    <t xml:space="preserve">- Spielaufbau: Unterschiedliche Startimperien</t>
  </si>
  <si>
    <t xml:space="preserve">Noram-Staaten</t>
  </si>
  <si>
    <t xml:space="preserve">Asiatische Föderation</t>
  </si>
  <si>
    <t xml:space="preserve">Republik Europa</t>
  </si>
  <si>
    <t xml:space="preserve">Panafrikanische Union</t>
  </si>
  <si>
    <t xml:space="preserve">- Schwierigkeit: Normales Spiel</t>
  </si>
  <si>
    <t xml:space="preserve">Underwater Cities</t>
  </si>
  <si>
    <t xml:space="preserve">- Option: Spielerbogen für erfahrene Spieler</t>
  </si>
  <si>
    <t xml:space="preserve">- Option "Regierungsaufträge": Aktiviert</t>
  </si>
  <si>
    <t xml:space="preserve">Flügelschlag</t>
  </si>
  <si>
    <t xml:space="preserve">- Zieltafel: Grün</t>
  </si>
  <si>
    <t xml:space="preserve">The Ruhr: A Story of 
Coal Trade</t>
  </si>
  <si>
    <t xml:space="preserve">- Sprachabhängige Bonuskarten: Eingeschlossen</t>
  </si>
  <si>
    <t xml:space="preserve">- Mächtige Vogelkarten: Eingeschlossen</t>
  </si>
  <si>
    <t xml:space="preserve">Helios</t>
  </si>
  <si>
    <t xml:space="preserve">Spielerbogen 8</t>
  </si>
  <si>
    <t xml:space="preserve">Spielerbogen 7</t>
  </si>
  <si>
    <t xml:space="preserve">Spielerbogen 5</t>
  </si>
  <si>
    <t xml:space="preserve">Spielerbogen 6</t>
  </si>
  <si>
    <t xml:space="preserve">0 unbenutzte 
Futtermarker</t>
  </si>
  <si>
    <t xml:space="preserve">4 unbenutzte Futtermarker</t>
  </si>
  <si>
    <t xml:space="preserve">Rita Levi - Montalcini</t>
  </si>
  <si>
    <t xml:space="preserve">2022 Season 11</t>
  </si>
  <si>
    <t xml:space="preserve">Angemeldete Spieler für 2022_S11</t>
  </si>
  <si>
    <t xml:space="preserve">Rang
aus
S10</t>
  </si>
  <si>
    <t xml:space="preserve">Anmeldung für 
2022_S12</t>
  </si>
  <si>
    <t xml:space="preserve">Gesamtanzahl Spieler 2022_S11:</t>
  </si>
  <si>
    <t xml:space="preserve">Neuanmeldungen für 2022_S12</t>
  </si>
  <si>
    <t xml:space="preserve">Alexander Bürgel</t>
  </si>
  <si>
    <t xml:space="preserve">Sunnyalex</t>
  </si>
  <si>
    <t xml:space="preserve">Charlotte Schöpges</t>
  </si>
  <si>
    <t xml:space="preserve">Travelingkite</t>
  </si>
  <si>
    <t xml:space="preserve">- Spielaufbau: Symmetrische Startimperien</t>
  </si>
  <si>
    <t xml:space="preserve">- Hotels: schwieriger</t>
  </si>
  <si>
    <t xml:space="preserve">- Variante "Kostenlose Kunden austauschen": Aktiviert</t>
  </si>
  <si>
    <t xml:space="preserve">Welcome to…</t>
  </si>
  <si>
    <t xml:space="preserve">- Zusätzliche Aktionsfelder: Aktiviert (Variante)</t>
  </si>
  <si>
    <t xml:space="preserve">Anzahl verbleibender 
Baustoffe: 0</t>
  </si>
  <si>
    <t xml:space="preserve">Anzahl verbleibender 
Baustoffe: 3</t>
  </si>
  <si>
    <t xml:space="preserve">Gertrude Elion</t>
  </si>
  <si>
    <t xml:space="preserve">CATAN - Das Spiel</t>
  </si>
  <si>
    <t xml:space="preserve">- Landfeld-Auslage: Variabler Aufbau</t>
  </si>
  <si>
    <t xml:space="preserve">- Livewertung: Aus</t>
  </si>
  <si>
    <t xml:space="preserve">- Mächtige Vogelkarten: Entfernen</t>
  </si>
  <si>
    <t xml:space="preserve">- Schwieriger Modus: Eröffnungskrise +
Landesweite Epidemie + Resistenter Supererreger</t>
  </si>
  <si>
    <t xml:space="preserve">Mary Eliza Mahony</t>
  </si>
  <si>
    <t xml:space="preserve">2022 Season 12</t>
  </si>
  <si>
    <t xml:space="preserve">Angemeldete Spieler für 2022_S12</t>
  </si>
  <si>
    <t xml:space="preserve">Rang
aus
S11</t>
  </si>
  <si>
    <t xml:space="preserve">Anmeldung für 
2023_S1</t>
  </si>
  <si>
    <t xml:space="preserve">Gesamtanzahl Spieler 2022_S12:</t>
  </si>
  <si>
    <t xml:space="preserve">Neuanmeldungen für 2023_S1</t>
  </si>
  <si>
    <t xml:space="preserve">- Spielbrett: Zufällig</t>
  </si>
  <si>
    <t xml:space="preserve">- Völkertableau: Völker werden in einer Auktion ausgewählt</t>
  </si>
  <si>
    <t xml:space="preserve">- Mini-Erweiterung: An</t>
  </si>
  <si>
    <t xml:space="preserve">- Sonderlandschaften Erweiterung: An</t>
  </si>
  <si>
    <t xml:space="preserve">- Feuer und Eis - Endwertungsplättchen: An</t>
  </si>
  <si>
    <t xml:space="preserve">- Feuer und Eis - Völker: An</t>
  </si>
  <si>
    <t xml:space="preserve">Die verlorenen Ruinen 
von Arnak</t>
  </si>
  <si>
    <t xml:space="preserve">- Seite des Spielbretts: Der Vogeltempel 
(Standard)</t>
  </si>
  <si>
    <t xml:space="preserve">Schwarmlinge</t>
  </si>
  <si>
    <t xml:space="preserve">Giganten</t>
  </si>
  <si>
    <t xml:space="preserve">Im Jahr des Drachen</t>
  </si>
  <si>
    <t xml:space="preserve">- Preis des großen Privilegs: Neuauflage: 7</t>
  </si>
  <si>
    <t xml:space="preserve">- Große Mauer Erweiterung: Keine</t>
  </si>
  <si>
    <t xml:space="preserve">- Superevents Erweiterung: Keine</t>
  </si>
  <si>
    <t xml:space="preserve">- Darstellung offene Hände: Keine offenen Hände</t>
  </si>
  <si>
    <t xml:space="preserve">f</t>
  </si>
  <si>
    <t xml:space="preserve">Übriggebliebenes Geld: 1</t>
  </si>
  <si>
    <t xml:space="preserve">Clan Cunningham</t>
  </si>
  <si>
    <t xml:space="preserve">Übriggebliebenes Geld: 4</t>
  </si>
  <si>
    <t xml:space="preserve">Torres</t>
  </si>
  <si>
    <t xml:space="preserve">- Option: Standard (Leere Hand)</t>
  </si>
  <si>
    <t xml:space="preserve">Zug um Zug</t>
  </si>
  <si>
    <t xml:space="preserve">- Zugreihenfolge: Zugreihenfolge wird nach der Auswahl der Zielkarten entschieden</t>
  </si>
  <si>
    <t xml:space="preserve">1 Orakelkarte</t>
  </si>
  <si>
    <t xml:space="preserve">2 Orakelkarten</t>
  </si>
  <si>
    <t xml:space="preserve">GESAMTWERTUNG 2022</t>
  </si>
  <si>
    <t xml:space="preserve">Stand nach 12 von 12 Seasons</t>
  </si>
  <si>
    <t xml:space="preserve">Rang</t>
  </si>
  <si>
    <t xml:space="preserve">Nickname 
BGA</t>
  </si>
  <si>
    <t xml:space="preserve">Nickname 
Yucata</t>
  </si>
  <si>
    <t xml:space="preserve">Nickname 
Boiteajeux</t>
  </si>
  <si>
    <t xml:space="preserve">Sieger(in) L1</t>
  </si>
  <si>
    <t xml:space="preserve">Zweite(r) L1</t>
  </si>
  <si>
    <t xml:space="preserve">Dritte(r) L1</t>
  </si>
  <si>
    <t xml:space="preserve">Vierte(r) L1</t>
  </si>
  <si>
    <t xml:space="preserve">Sieger(in) L2</t>
  </si>
  <si>
    <t xml:space="preserve">Zweite(r) L2</t>
  </si>
  <si>
    <t xml:space="preserve">Dritte(r) L2</t>
  </si>
  <si>
    <t xml:space="preserve">Vierte(r) L2</t>
  </si>
  <si>
    <t xml:space="preserve">Sieger(in) L3</t>
  </si>
  <si>
    <t xml:space="preserve">Zweite(r) L3</t>
  </si>
  <si>
    <t xml:space="preserve">Dritte(r) L3</t>
  </si>
  <si>
    <t xml:space="preserve">Vierte(r) L3</t>
  </si>
  <si>
    <t xml:space="preserve">Sieger(in) L4</t>
  </si>
  <si>
    <t xml:space="preserve">Zweite(r) L4</t>
  </si>
  <si>
    <t xml:space="preserve">Dritte(r) L4</t>
  </si>
  <si>
    <t xml:space="preserve">Vierte(r) L4</t>
  </si>
  <si>
    <t xml:space="preserve">4
(S4, S6, S7, S10)</t>
  </si>
  <si>
    <t xml:space="preserve">5
(S1, S3, S5, S9, S11)</t>
  </si>
  <si>
    <t xml:space="preserve">3
(S2, S8, S12)</t>
  </si>
  <si>
    <t xml:space="preserve">4
(S1, S2, S8, S11)</t>
  </si>
  <si>
    <t xml:space="preserve">2
(S10, S12)</t>
  </si>
  <si>
    <t xml:space="preserve">5
(S4, S5, S6, S7, S9)</t>
  </si>
  <si>
    <t xml:space="preserve">1
(S3)</t>
  </si>
  <si>
    <t xml:space="preserve">1
(S5)</t>
  </si>
  <si>
    <t xml:space="preserve">2
(S4, S8)</t>
  </si>
  <si>
    <t xml:space="preserve">1
(S1)</t>
  </si>
  <si>
    <t xml:space="preserve">2
(S2, S6)</t>
  </si>
  <si>
    <t xml:space="preserve">3
(S3, S7, S12)</t>
  </si>
  <si>
    <t xml:space="preserve">1
(S11)</t>
  </si>
  <si>
    <t xml:space="preserve">1
(S2)</t>
  </si>
  <si>
    <t xml:space="preserve">2
(S1, S7)</t>
  </si>
  <si>
    <t xml:space="preserve">1
(S10)</t>
  </si>
  <si>
    <t xml:space="preserve">1
(S6)</t>
  </si>
  <si>
    <t xml:space="preserve">Disq.</t>
  </si>
  <si>
    <t xml:space="preserve">1
(S9)</t>
  </si>
  <si>
    <t xml:space="preserve">2
(S10, S11)</t>
  </si>
  <si>
    <t xml:space="preserve">1
(S12)</t>
  </si>
  <si>
    <t xml:space="preserve">2
(S1, S2)</t>
  </si>
  <si>
    <t xml:space="preserve">1
(S7)</t>
  </si>
  <si>
    <t xml:space="preserve">2
(S5, S9)</t>
  </si>
  <si>
    <t xml:space="preserve">3
(S4, S8, S11)</t>
  </si>
  <si>
    <t xml:space="preserve">3
(S6, S7, S10)</t>
  </si>
  <si>
    <t xml:space="preserve">2
(S6, S7)</t>
  </si>
  <si>
    <t xml:space="preserve">1
(S8)</t>
  </si>
  <si>
    <t xml:space="preserve">3
(S1, S4, S11)</t>
  </si>
  <si>
    <t xml:space="preserve">3
(S2, S10, S12)</t>
  </si>
  <si>
    <t xml:space="preserve">2
(S7, S8)</t>
  </si>
  <si>
    <t xml:space="preserve">2
(S7, S10)</t>
  </si>
  <si>
    <t xml:space="preserve">2
(S6, S9)</t>
  </si>
  <si>
    <t xml:space="preserve">2
(S5, S12)</t>
  </si>
  <si>
    <t xml:space="preserve">2
(S2, S3)</t>
  </si>
  <si>
    <t xml:space="preserve">2
(S5, S6)</t>
  </si>
  <si>
    <t xml:space="preserve">3
(S1, S7, S10)</t>
  </si>
  <si>
    <t xml:space="preserve">2
(S9, S10)</t>
  </si>
  <si>
    <t xml:space="preserve">2
(S2, S11)</t>
  </si>
  <si>
    <t xml:space="preserve">2
(S1, S4)</t>
  </si>
  <si>
    <t xml:space="preserve">3
(S5, S6, S12)</t>
  </si>
  <si>
    <t xml:space="preserve">1
(S4)</t>
  </si>
  <si>
    <t xml:space="preserve">Gewählte Spiele</t>
  </si>
  <si>
    <t xml:space="preserve">Anzahl</t>
  </si>
  <si>
    <t xml:space="preserve">Schiebe zu Beginn des Spiels deinen Schild um 2 Schritte nach rechts.</t>
  </si>
  <si>
    <t xml:space="preserve">Deine Götter starten alle in der Reihe, die der Spieleranzahl entspricht. Nach Ausführen ihrer Sonderaktion setzt du sie wieder auf die Reihe, die der Spieleranzahl entspricht, anstatt auf die unterste Reihe.</t>
  </si>
  <si>
    <t xml:space="preserve">Die Reichweite deines Schiffes ist um 2 Felder höher.</t>
  </si>
  <si>
    <t xml:space="preserve">Jedes Mal, wenn du mindestens 1 Gunstplättchen erhälst, nimmst du 1 Gunstplättchen zusätzlich. Das gilt auch schon bei der Augabe der Gunstplättchen bei Spielbeginn.</t>
  </si>
  <si>
    <t xml:space="preserve">Lege zu Beginn des Spiels 1 Zeusplättchen ab, ohne die Belohnung zu nehmen. Du hast also nur 11 Aufgaben zu erfüllen anstatt 12.</t>
  </si>
  <si>
    <t xml:space="preserve">Das Umfärben eines Orakelwürfels kostet dich 1 Gunstplättchen weniger als üblich.</t>
  </si>
  <si>
    <t xml:space="preserve">Nimm zu Beginn des Spiels 1 Ausrüstungskarte aus der Auslage und nimm 1 Orakelkarte vom Nachziehstapel.</t>
  </si>
  <si>
    <t xml:space="preserve">Du darfst deine Orakelwürfel auch gegen den Uhrzeigersinn umfärben. Außerdem hast du 2 zusätzliche Lagerplätze.</t>
  </si>
</sst>
</file>

<file path=xl/styles.xml><?xml version="1.0" encoding="utf-8"?>
<styleSheet xmlns="http://schemas.openxmlformats.org/spreadsheetml/2006/main">
  <numFmts count="7">
    <numFmt numFmtId="164" formatCode="General"/>
    <numFmt numFmtId="165" formatCode="General"/>
    <numFmt numFmtId="166" formatCode="@"/>
    <numFmt numFmtId="167" formatCode="0.000"/>
    <numFmt numFmtId="168" formatCode="0.00"/>
    <numFmt numFmtId="169" formatCode="0"/>
    <numFmt numFmtId="170" formatCode="0.0"/>
  </numFmts>
  <fonts count="17">
    <font>
      <sz val="11"/>
      <color rgb="FF000000"/>
      <name val="Calibri"/>
      <family val="2"/>
      <charset val="1"/>
    </font>
    <font>
      <sz val="10"/>
      <name val="Arial"/>
      <family val="0"/>
    </font>
    <font>
      <sz val="10"/>
      <name val="Arial"/>
      <family val="0"/>
    </font>
    <font>
      <sz val="10"/>
      <name val="Arial"/>
      <family val="0"/>
    </font>
    <font>
      <sz val="26"/>
      <color rgb="FF000000"/>
      <name val="Calibri"/>
      <family val="2"/>
      <charset val="1"/>
    </font>
    <font>
      <b val="true"/>
      <sz val="11"/>
      <color rgb="FF000000"/>
      <name val="Calibri"/>
      <family val="2"/>
      <charset val="1"/>
    </font>
    <font>
      <sz val="11"/>
      <name val="Calibri"/>
      <family val="2"/>
      <charset val="1"/>
    </font>
    <font>
      <b val="true"/>
      <sz val="24"/>
      <color rgb="FF000000"/>
      <name val="Calibri"/>
      <family val="2"/>
      <charset val="1"/>
    </font>
    <font>
      <sz val="11"/>
      <color rgb="FFFF0000"/>
      <name val="Calibri"/>
      <family val="2"/>
      <charset val="1"/>
    </font>
    <font>
      <b val="true"/>
      <sz val="11"/>
      <name val="Calibri"/>
      <family val="2"/>
      <charset val="1"/>
    </font>
    <font>
      <b val="true"/>
      <sz val="18"/>
      <color rgb="FF000000"/>
      <name val="Calibri"/>
      <family val="2"/>
      <charset val="1"/>
    </font>
    <font>
      <sz val="36"/>
      <color rgb="FF000000"/>
      <name val="Calibri"/>
      <family val="2"/>
      <charset val="1"/>
    </font>
    <font>
      <b val="true"/>
      <sz val="16"/>
      <name val="Calibri"/>
      <family val="2"/>
      <charset val="1"/>
    </font>
    <font>
      <sz val="16"/>
      <name val="Calibri"/>
      <family val="2"/>
      <charset val="1"/>
    </font>
    <font>
      <b val="true"/>
      <sz val="11"/>
      <color rgb="FFFF0000"/>
      <name val="Calibri"/>
      <family val="2"/>
      <charset val="1"/>
    </font>
    <font>
      <b val="true"/>
      <strike val="true"/>
      <sz val="11"/>
      <color rgb="FFFF0000"/>
      <name val="Calibri"/>
      <family val="2"/>
      <charset val="1"/>
    </font>
    <font>
      <strike val="true"/>
      <sz val="11"/>
      <color rgb="FFFF0000"/>
      <name val="Calibri"/>
      <family val="2"/>
      <charset val="1"/>
    </font>
  </fonts>
  <fills count="14">
    <fill>
      <patternFill patternType="none"/>
    </fill>
    <fill>
      <patternFill patternType="gray125"/>
    </fill>
    <fill>
      <patternFill patternType="solid">
        <fgColor rgb="FFFFC000"/>
        <bgColor rgb="FFFFCC00"/>
      </patternFill>
    </fill>
    <fill>
      <patternFill patternType="solid">
        <fgColor rgb="FFFFFF00"/>
        <bgColor rgb="FFFFFF00"/>
      </patternFill>
    </fill>
    <fill>
      <patternFill patternType="solid">
        <fgColor rgb="FF000000"/>
        <bgColor rgb="FF003300"/>
      </patternFill>
    </fill>
    <fill>
      <patternFill patternType="solid">
        <fgColor rgb="FF92D050"/>
        <bgColor rgb="FFB2B2B2"/>
      </patternFill>
    </fill>
    <fill>
      <patternFill patternType="solid">
        <fgColor rgb="FFFF0000"/>
        <bgColor rgb="FFC00000"/>
      </patternFill>
    </fill>
    <fill>
      <patternFill patternType="solid">
        <fgColor rgb="FF00B0F0"/>
        <bgColor rgb="FF33CCCC"/>
      </patternFill>
    </fill>
    <fill>
      <patternFill patternType="solid">
        <fgColor rgb="FFFF33CC"/>
        <bgColor rgb="FFFF00FF"/>
      </patternFill>
    </fill>
    <fill>
      <patternFill patternType="solid">
        <fgColor rgb="FF00FF00"/>
        <bgColor rgb="FF33CCCC"/>
      </patternFill>
    </fill>
    <fill>
      <patternFill patternType="solid">
        <fgColor rgb="FFFFCC00"/>
        <bgColor rgb="FFFFC000"/>
      </patternFill>
    </fill>
    <fill>
      <patternFill patternType="solid">
        <fgColor rgb="FFB2B2B2"/>
        <bgColor rgb="FF969696"/>
      </patternFill>
    </fill>
    <fill>
      <patternFill patternType="solid">
        <fgColor rgb="FFCC6600"/>
        <bgColor rgb="FF808000"/>
      </patternFill>
    </fill>
    <fill>
      <patternFill patternType="solid">
        <fgColor rgb="FFC00000"/>
        <bgColor rgb="FFFF0000"/>
      </patternFill>
    </fill>
  </fills>
  <borders count="72">
    <border diagonalUp="false" diagonalDown="false">
      <left/>
      <right/>
      <top/>
      <bottom/>
      <diagonal/>
    </border>
    <border diagonalUp="false" diagonalDown="false">
      <left style="medium"/>
      <right style="medium"/>
      <top style="medium"/>
      <bottom style="medium"/>
      <diagonal/>
    </border>
    <border diagonalUp="false" diagonalDown="false">
      <left style="medium"/>
      <right style="medium"/>
      <top/>
      <bottom/>
      <diagonal/>
    </border>
    <border diagonalUp="false" diagonalDown="false">
      <left style="medium"/>
      <right style="medium"/>
      <top style="medium"/>
      <bottom/>
      <diagonal/>
    </border>
    <border diagonalUp="false" diagonalDown="false">
      <left/>
      <right style="medium"/>
      <top/>
      <bottom/>
      <diagonal/>
    </border>
    <border diagonalUp="false" diagonalDown="false">
      <left style="medium"/>
      <right/>
      <top style="medium"/>
      <bottom/>
      <diagonal/>
    </border>
    <border diagonalUp="false" diagonalDown="false">
      <left/>
      <right style="medium"/>
      <top style="medium"/>
      <bottom/>
      <diagonal/>
    </border>
    <border diagonalUp="false" diagonalDown="false">
      <left style="medium"/>
      <right style="thin"/>
      <top style="medium"/>
      <bottom style="thin"/>
      <diagonal/>
    </border>
    <border diagonalUp="false" diagonalDown="false">
      <left style="thin"/>
      <right style="thin"/>
      <top style="medium"/>
      <bottom style="thin"/>
      <diagonal/>
    </border>
    <border diagonalUp="false" diagonalDown="false">
      <left style="thin"/>
      <right style="medium"/>
      <top style="medium"/>
      <bottom style="thin"/>
      <diagonal/>
    </border>
    <border diagonalUp="false" diagonalDown="false">
      <left style="thin"/>
      <right style="thin"/>
      <top style="medium"/>
      <bottom style="medium"/>
      <diagonal/>
    </border>
    <border diagonalUp="false" diagonalDown="false">
      <left style="medium"/>
      <right style="thin"/>
      <top style="thin"/>
      <bottom style="thin"/>
      <diagonal/>
    </border>
    <border diagonalUp="false" diagonalDown="false">
      <left style="thin"/>
      <right style="thin"/>
      <top style="thin"/>
      <bottom style="thin"/>
      <diagonal/>
    </border>
    <border diagonalUp="false" diagonalDown="false">
      <left style="thin"/>
      <right style="medium"/>
      <top style="thin"/>
      <bottom style="thin"/>
      <diagonal/>
    </border>
    <border diagonalUp="false" diagonalDown="false">
      <left style="medium"/>
      <right style="thin"/>
      <top style="thin"/>
      <bottom/>
      <diagonal/>
    </border>
    <border diagonalUp="false" diagonalDown="false">
      <left style="thin"/>
      <right style="medium"/>
      <top style="thin"/>
      <bottom/>
      <diagonal/>
    </border>
    <border diagonalUp="false" diagonalDown="false">
      <left style="thin"/>
      <right style="thin"/>
      <top style="medium"/>
      <bottom/>
      <diagonal/>
    </border>
    <border diagonalUp="false" diagonalDown="false">
      <left style="medium"/>
      <right style="thin"/>
      <top style="thin"/>
      <bottom style="medium"/>
      <diagonal/>
    </border>
    <border diagonalUp="false" diagonalDown="false">
      <left style="thin"/>
      <right style="thin"/>
      <top style="thin"/>
      <bottom style="medium"/>
      <diagonal/>
    </border>
    <border diagonalUp="false" diagonalDown="false">
      <left style="thin"/>
      <right style="medium"/>
      <top style="thin"/>
      <bottom style="medium"/>
      <diagonal/>
    </border>
    <border diagonalUp="false" diagonalDown="false">
      <left style="medium"/>
      <right style="medium"/>
      <top/>
      <bottom style="medium"/>
      <diagonal/>
    </border>
    <border diagonalUp="false" diagonalDown="false">
      <left/>
      <right style="thin"/>
      <top style="medium"/>
      <bottom style="medium"/>
      <diagonal/>
    </border>
    <border diagonalUp="false" diagonalDown="false">
      <left style="thin"/>
      <right style="medium"/>
      <top style="medium"/>
      <bottom style="medium"/>
      <diagonal/>
    </border>
    <border diagonalUp="false" diagonalDown="false">
      <left style="thin"/>
      <right/>
      <top style="medium"/>
      <bottom style="thin"/>
      <diagonal/>
    </border>
    <border diagonalUp="false" diagonalDown="false">
      <left style="medium"/>
      <right style="medium"/>
      <top style="medium"/>
      <bottom style="thin"/>
      <diagonal/>
    </border>
    <border diagonalUp="false" diagonalDown="false">
      <left/>
      <right style="thin"/>
      <top style="medium"/>
      <bottom style="thin"/>
      <diagonal/>
    </border>
    <border diagonalUp="false" diagonalDown="false">
      <left style="thin"/>
      <right/>
      <top style="thin"/>
      <bottom style="thin"/>
      <diagonal/>
    </border>
    <border diagonalUp="false" diagonalDown="false">
      <left style="medium"/>
      <right style="medium"/>
      <top style="thin"/>
      <bottom style="thin"/>
      <diagonal/>
    </border>
    <border diagonalUp="false" diagonalDown="false">
      <left/>
      <right style="thin"/>
      <top style="thin"/>
      <bottom style="thin"/>
      <diagonal/>
    </border>
    <border diagonalUp="false" diagonalDown="false">
      <left style="thin"/>
      <right/>
      <top style="thin"/>
      <bottom style="medium"/>
      <diagonal/>
    </border>
    <border diagonalUp="false" diagonalDown="false">
      <left style="medium"/>
      <right style="medium"/>
      <top style="thin"/>
      <bottom style="medium"/>
      <diagonal/>
    </border>
    <border diagonalUp="false" diagonalDown="false">
      <left/>
      <right style="thin"/>
      <top style="thin"/>
      <bottom style="medium"/>
      <diagonal/>
    </border>
    <border diagonalUp="false" diagonalDown="false">
      <left/>
      <right/>
      <top/>
      <bottom style="medium"/>
      <diagonal/>
    </border>
    <border diagonalUp="false" diagonalDown="false">
      <left/>
      <right/>
      <top style="medium"/>
      <bottom/>
      <diagonal/>
    </border>
    <border diagonalUp="false" diagonalDown="false">
      <left style="medium"/>
      <right/>
      <top/>
      <bottom style="medium"/>
      <diagonal/>
    </border>
    <border diagonalUp="false" diagonalDown="false">
      <left/>
      <right style="medium"/>
      <top/>
      <bottom style="medium"/>
      <diagonal/>
    </border>
    <border diagonalUp="false" diagonalDown="false">
      <left style="medium"/>
      <right/>
      <top style="medium"/>
      <bottom style="medium"/>
      <diagonal/>
    </border>
    <border diagonalUp="false" diagonalDown="false">
      <left/>
      <right style="medium"/>
      <top style="medium"/>
      <bottom style="medium"/>
      <diagonal/>
    </border>
    <border diagonalUp="false" diagonalDown="false">
      <left/>
      <right style="medium"/>
      <top style="medium"/>
      <bottom style="thin"/>
      <diagonal/>
    </border>
    <border diagonalUp="false" diagonalDown="false">
      <left/>
      <right style="medium"/>
      <top style="thin"/>
      <bottom style="thin"/>
      <diagonal/>
    </border>
    <border diagonalUp="false" diagonalDown="false">
      <left/>
      <right style="medium"/>
      <top style="thin"/>
      <bottom style="medium"/>
      <diagonal/>
    </border>
    <border diagonalUp="false" diagonalDown="false">
      <left style="medium"/>
      <right style="thin"/>
      <top style="medium"/>
      <bottom/>
      <diagonal/>
    </border>
    <border diagonalUp="false" diagonalDown="false">
      <left style="thin"/>
      <right style="medium"/>
      <top style="medium"/>
      <bottom/>
      <diagonal/>
    </border>
    <border diagonalUp="false" diagonalDown="false">
      <left style="medium"/>
      <right style="thin"/>
      <top style="medium"/>
      <bottom style="medium"/>
      <diagonal/>
    </border>
    <border diagonalUp="false" diagonalDown="false">
      <left style="thin"/>
      <right style="medium"/>
      <top/>
      <bottom/>
      <diagonal/>
    </border>
    <border diagonalUp="false" diagonalDown="false">
      <left style="medium"/>
      <right/>
      <top style="thin"/>
      <bottom style="medium"/>
      <diagonal/>
    </border>
    <border diagonalUp="false" diagonalDown="false">
      <left/>
      <right/>
      <top style="thin"/>
      <bottom style="medium"/>
      <diagonal/>
    </border>
    <border diagonalUp="false" diagonalDown="false">
      <left style="thin"/>
      <right style="medium"/>
      <top/>
      <bottom style="medium"/>
      <diagonal/>
    </border>
    <border diagonalUp="false" diagonalDown="false">
      <left style="thin"/>
      <right style="medium"/>
      <top/>
      <bottom style="thin"/>
      <diagonal/>
    </border>
    <border diagonalUp="false" diagonalDown="false">
      <left style="medium"/>
      <right style="medium"/>
      <top style="thin"/>
      <bottom/>
      <diagonal/>
    </border>
    <border diagonalUp="false" diagonalDown="false">
      <left/>
      <right style="thin"/>
      <top style="thin"/>
      <bottom/>
      <diagonal/>
    </border>
    <border diagonalUp="false" diagonalDown="false">
      <left style="thin"/>
      <right style="thin"/>
      <top style="thin"/>
      <bottom/>
      <diagonal/>
    </border>
    <border diagonalUp="false" diagonalDown="false">
      <left style="thin"/>
      <right/>
      <top style="thin"/>
      <bottom/>
      <diagonal/>
    </border>
    <border diagonalUp="false" diagonalDown="false">
      <left/>
      <right/>
      <top style="thin"/>
      <bottom/>
      <diagonal/>
    </border>
    <border diagonalUp="false" diagonalDown="false">
      <left/>
      <right style="medium"/>
      <top style="thin"/>
      <bottom/>
      <diagonal/>
    </border>
    <border diagonalUp="false" diagonalDown="false">
      <left style="thin"/>
      <right/>
      <top style="medium"/>
      <bottom style="medium"/>
      <diagonal/>
    </border>
    <border diagonalUp="false" diagonalDown="false">
      <left/>
      <right style="thin"/>
      <top style="medium"/>
      <bottom/>
      <diagonal/>
    </border>
    <border diagonalUp="false" diagonalDown="false">
      <left style="thin"/>
      <right/>
      <top style="medium"/>
      <bottom/>
      <diagonal/>
    </border>
    <border diagonalUp="false" diagonalDown="false">
      <left/>
      <right/>
      <top style="medium"/>
      <bottom style="medium"/>
      <diagonal/>
    </border>
    <border diagonalUp="false" diagonalDown="false">
      <left style="medium"/>
      <right style="thin"/>
      <top/>
      <bottom style="thin"/>
      <diagonal/>
    </border>
    <border diagonalUp="false" diagonalDown="false">
      <left style="thin"/>
      <right/>
      <top/>
      <bottom style="thin"/>
      <diagonal/>
    </border>
    <border diagonalUp="false" diagonalDown="false">
      <left style="medium"/>
      <right style="thin"/>
      <top/>
      <bottom style="medium"/>
      <diagonal/>
    </border>
    <border diagonalUp="false" diagonalDown="false">
      <left style="thin"/>
      <right style="thin"/>
      <top/>
      <bottom style="medium"/>
      <diagonal/>
    </border>
    <border diagonalUp="false" diagonalDown="false">
      <left style="thin"/>
      <right/>
      <top/>
      <bottom style="medium"/>
      <diagonal/>
    </border>
    <border diagonalUp="false" diagonalDown="false">
      <left/>
      <right style="thin"/>
      <top/>
      <bottom style="medium"/>
      <diagonal/>
    </border>
    <border diagonalUp="false" diagonalDown="false">
      <left/>
      <right/>
      <top/>
      <bottom style="thin"/>
      <diagonal/>
    </border>
    <border diagonalUp="false" diagonalDown="false">
      <left/>
      <right style="medium"/>
      <top/>
      <bottom style="thin"/>
      <diagonal/>
    </border>
    <border diagonalUp="false" diagonalDown="false">
      <left/>
      <right/>
      <top style="thin"/>
      <bottom style="thin"/>
      <diagonal/>
    </border>
    <border diagonalUp="false" diagonalDown="false">
      <left style="thin"/>
      <right/>
      <top/>
      <bottom/>
      <diagonal/>
    </border>
    <border diagonalUp="false" diagonalDown="false">
      <left style="medium"/>
      <right style="thin"/>
      <top/>
      <bottom/>
      <diagonal/>
    </border>
    <border diagonalUp="false" diagonalDown="false">
      <left style="thin"/>
      <right style="thin"/>
      <top/>
      <bottom/>
      <diagonal/>
    </border>
    <border diagonalUp="false" diagonalDown="false">
      <left style="thin"/>
      <right style="thin"/>
      <top/>
      <bottom style="thin"/>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774">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general" vertical="center" textRotation="0" wrapText="false" indent="0" shrinkToFit="false"/>
      <protection locked="true" hidden="false"/>
    </xf>
    <xf numFmtId="164" fontId="4" fillId="2" borderId="0" xfId="0" applyFont="true" applyBorder="true" applyAlignment="true" applyProtection="false">
      <alignment horizontal="center" vertical="center" textRotation="0" wrapText="false" indent="0" shrinkToFit="false"/>
      <protection locked="true" hidden="false"/>
    </xf>
    <xf numFmtId="164" fontId="5" fillId="3" borderId="1" xfId="0" applyFont="true" applyBorder="true" applyAlignment="true" applyProtection="false">
      <alignment horizontal="center" vertical="center" textRotation="0" wrapText="false" indent="0" shrinkToFit="false"/>
      <protection locked="true" hidden="false"/>
    </xf>
    <xf numFmtId="164" fontId="5" fillId="0" borderId="0" xfId="0" applyFont="true" applyBorder="false" applyAlignment="true" applyProtection="false">
      <alignment horizontal="general" vertical="center" textRotation="0" wrapText="false" indent="0" shrinkToFit="false"/>
      <protection locked="true" hidden="false"/>
    </xf>
    <xf numFmtId="164" fontId="5" fillId="0" borderId="0" xfId="0" applyFont="true" applyBorder="false" applyAlignment="true" applyProtection="false">
      <alignment horizontal="center" vertical="center" textRotation="0" wrapText="false" indent="0" shrinkToFit="false"/>
      <protection locked="true" hidden="false"/>
    </xf>
    <xf numFmtId="164" fontId="5" fillId="0" borderId="2" xfId="0" applyFont="true" applyBorder="true" applyAlignment="true" applyProtection="false">
      <alignment horizontal="center" vertical="center" textRotation="0" wrapText="true" indent="0" shrinkToFit="false"/>
      <protection locked="true" hidden="false"/>
    </xf>
    <xf numFmtId="164" fontId="5" fillId="0" borderId="2" xfId="0" applyFont="true" applyBorder="true" applyAlignment="true" applyProtection="false">
      <alignment horizontal="left" vertical="center" textRotation="0" wrapText="false" indent="0" shrinkToFit="false"/>
      <protection locked="true" hidden="false"/>
    </xf>
    <xf numFmtId="164" fontId="5" fillId="0" borderId="2" xfId="0" applyFont="true" applyBorder="true" applyAlignment="true" applyProtection="false">
      <alignment horizontal="general" vertical="center" textRotation="0" wrapText="true" indent="0" shrinkToFit="false"/>
      <protection locked="true" hidden="false"/>
    </xf>
    <xf numFmtId="164" fontId="5" fillId="0" borderId="3" xfId="0" applyFont="true" applyBorder="true" applyAlignment="true" applyProtection="false">
      <alignment horizontal="general" vertical="center" textRotation="0" wrapText="true" indent="0" shrinkToFit="false"/>
      <protection locked="true" hidden="false"/>
    </xf>
    <xf numFmtId="164" fontId="5" fillId="0" borderId="4" xfId="0" applyFont="true" applyBorder="true" applyAlignment="true" applyProtection="false">
      <alignment horizontal="general" vertical="center" textRotation="0" wrapText="true" indent="0" shrinkToFit="false"/>
      <protection locked="true" hidden="false"/>
    </xf>
    <xf numFmtId="164" fontId="5" fillId="0" borderId="5" xfId="0" applyFont="true" applyBorder="true" applyAlignment="true" applyProtection="false">
      <alignment horizontal="general" vertical="center" textRotation="0" wrapText="false" indent="0" shrinkToFit="false"/>
      <protection locked="true" hidden="false"/>
    </xf>
    <xf numFmtId="164" fontId="5" fillId="0" borderId="1" xfId="0" applyFont="true" applyBorder="true" applyAlignment="true" applyProtection="false">
      <alignment horizontal="center" vertical="center" textRotation="0" wrapText="true" indent="0" shrinkToFit="false"/>
      <protection locked="true" hidden="false"/>
    </xf>
    <xf numFmtId="164" fontId="5" fillId="0" borderId="6" xfId="0" applyFont="true" applyBorder="true" applyAlignment="true" applyProtection="false">
      <alignment horizontal="center" vertical="center" textRotation="0" wrapText="false" indent="0" shrinkToFit="false"/>
      <protection locked="true" hidden="false"/>
    </xf>
    <xf numFmtId="164" fontId="0" fillId="0" borderId="7" xfId="0" applyFont="false" applyBorder="true" applyAlignment="true" applyProtection="false">
      <alignment horizontal="center" vertical="center" textRotation="0" wrapText="false" indent="0" shrinkToFit="false"/>
      <protection locked="true" hidden="false"/>
    </xf>
    <xf numFmtId="164" fontId="6" fillId="0" borderId="8" xfId="0" applyFont="true" applyBorder="true" applyAlignment="true" applyProtection="false">
      <alignment horizontal="general" vertical="center" textRotation="0" wrapText="false" indent="0" shrinkToFit="false"/>
      <protection locked="true" hidden="false"/>
    </xf>
    <xf numFmtId="164" fontId="6" fillId="0" borderId="8" xfId="0" applyFont="true" applyBorder="true" applyAlignment="true" applyProtection="false">
      <alignment horizontal="left" vertical="center" textRotation="0" wrapText="false" indent="0" shrinkToFit="false"/>
      <protection locked="true" hidden="false"/>
    </xf>
    <xf numFmtId="164" fontId="0" fillId="0" borderId="8" xfId="0" applyFont="true" applyBorder="true" applyAlignment="true" applyProtection="false">
      <alignment horizontal="left" vertical="center" textRotation="0" wrapText="true" indent="0" shrinkToFit="false"/>
      <protection locked="true" hidden="false"/>
    </xf>
    <xf numFmtId="164" fontId="0" fillId="0" borderId="8" xfId="0" applyFont="true" applyBorder="true" applyAlignment="true" applyProtection="false">
      <alignment horizontal="left" vertical="center" textRotation="0" wrapText="false" indent="0" shrinkToFit="false"/>
      <protection locked="true" hidden="false"/>
    </xf>
    <xf numFmtId="164" fontId="0" fillId="0" borderId="8" xfId="0" applyFont="true" applyBorder="true" applyAlignment="true" applyProtection="false">
      <alignment horizontal="general" vertical="center" textRotation="0" wrapText="false" indent="0" shrinkToFit="false"/>
      <protection locked="true" hidden="false"/>
    </xf>
    <xf numFmtId="164" fontId="6" fillId="0" borderId="9" xfId="0" applyFont="true" applyBorder="true" applyAlignment="true" applyProtection="false">
      <alignment horizontal="general" vertical="center" textRotation="0" wrapText="false" indent="0" shrinkToFit="false"/>
      <protection locked="true" hidden="false"/>
    </xf>
    <xf numFmtId="165" fontId="0" fillId="0" borderId="7" xfId="0" applyFont="false" applyBorder="true" applyAlignment="true" applyProtection="false">
      <alignment horizontal="general" vertical="center" textRotation="0" wrapText="false" indent="0" shrinkToFit="false"/>
      <protection locked="true" hidden="false"/>
    </xf>
    <xf numFmtId="164" fontId="0" fillId="0" borderId="10" xfId="0" applyFont="false" applyBorder="true" applyAlignment="true" applyProtection="false">
      <alignment horizontal="center" vertical="center" textRotation="0" wrapText="false" indent="0" shrinkToFit="false"/>
      <protection locked="true" hidden="false"/>
    </xf>
    <xf numFmtId="164" fontId="0" fillId="0" borderId="9" xfId="0" applyFont="false" applyBorder="true" applyAlignment="true" applyProtection="false">
      <alignment horizontal="center" vertical="center" textRotation="0" wrapText="false" indent="0" shrinkToFit="false"/>
      <protection locked="true" hidden="false"/>
    </xf>
    <xf numFmtId="164" fontId="0" fillId="0" borderId="0" xfId="0" applyFont="false" applyBorder="false" applyAlignment="true" applyProtection="false">
      <alignment horizontal="center" vertical="center" textRotation="0" wrapText="false" indent="0" shrinkToFit="false"/>
      <protection locked="true" hidden="false"/>
    </xf>
    <xf numFmtId="164" fontId="0" fillId="0" borderId="11" xfId="0" applyFont="false" applyBorder="true" applyAlignment="true" applyProtection="false">
      <alignment horizontal="center" vertical="center" textRotation="0" wrapText="false" indent="0" shrinkToFit="false"/>
      <protection locked="true" hidden="false"/>
    </xf>
    <xf numFmtId="164" fontId="6" fillId="0" borderId="12" xfId="0" applyFont="true" applyBorder="true" applyAlignment="true" applyProtection="false">
      <alignment horizontal="general" vertical="center" textRotation="0" wrapText="false" indent="0" shrinkToFit="false"/>
      <protection locked="true" hidden="false"/>
    </xf>
    <xf numFmtId="164" fontId="6" fillId="0" borderId="12" xfId="0" applyFont="true" applyBorder="true" applyAlignment="true" applyProtection="false">
      <alignment horizontal="general" vertical="center" textRotation="0" wrapText="true" indent="0" shrinkToFit="false"/>
      <protection locked="true" hidden="false"/>
    </xf>
    <xf numFmtId="164" fontId="0" fillId="0" borderId="12" xfId="0" applyFont="true" applyBorder="true" applyAlignment="true" applyProtection="false">
      <alignment horizontal="general" vertical="center" textRotation="0" wrapText="false" indent="0" shrinkToFit="false"/>
      <protection locked="true" hidden="false"/>
    </xf>
    <xf numFmtId="164" fontId="6" fillId="0" borderId="13" xfId="0" applyFont="true" applyBorder="true" applyAlignment="true" applyProtection="false">
      <alignment horizontal="general" vertical="center" textRotation="0" wrapText="false" indent="0" shrinkToFit="false"/>
      <protection locked="true" hidden="false"/>
    </xf>
    <xf numFmtId="165" fontId="0" fillId="0" borderId="11" xfId="0" applyFont="false" applyBorder="true" applyAlignment="true" applyProtection="false">
      <alignment horizontal="general" vertical="center" textRotation="0" wrapText="false" indent="0" shrinkToFit="false"/>
      <protection locked="true" hidden="false"/>
    </xf>
    <xf numFmtId="164" fontId="0" fillId="0" borderId="13" xfId="0" applyFont="false" applyBorder="true" applyAlignment="true" applyProtection="false">
      <alignment horizontal="center" vertical="center" textRotation="0" wrapText="false" indent="0" shrinkToFit="false"/>
      <protection locked="true" hidden="false"/>
    </xf>
    <xf numFmtId="164" fontId="0" fillId="0" borderId="12" xfId="0" applyFont="true" applyBorder="true" applyAlignment="true" applyProtection="false">
      <alignment horizontal="left" vertical="center" textRotation="0" wrapText="false" indent="0" shrinkToFit="false"/>
      <protection locked="true" hidden="false"/>
    </xf>
    <xf numFmtId="164" fontId="6" fillId="0" borderId="12" xfId="0" applyFont="true" applyBorder="true" applyAlignment="true" applyProtection="false">
      <alignment horizontal="left" vertical="center" textRotation="0" wrapText="false" indent="0" shrinkToFit="false"/>
      <protection locked="true" hidden="false"/>
    </xf>
    <xf numFmtId="164" fontId="0" fillId="0" borderId="12" xfId="0" applyFont="true" applyBorder="true" applyAlignment="true" applyProtection="false">
      <alignment horizontal="left" vertical="center" textRotation="0" wrapText="true" indent="0" shrinkToFit="false"/>
      <protection locked="true" hidden="false"/>
    </xf>
    <xf numFmtId="165" fontId="0" fillId="0" borderId="14" xfId="0" applyFont="false" applyBorder="true" applyAlignment="true" applyProtection="false">
      <alignment horizontal="general" vertical="center" textRotation="0" wrapText="false" indent="0" shrinkToFit="false"/>
      <protection locked="true" hidden="false"/>
    </xf>
    <xf numFmtId="164" fontId="0" fillId="0" borderId="15" xfId="0" applyFont="false" applyBorder="true" applyAlignment="true" applyProtection="false">
      <alignment horizontal="center" vertical="center" textRotation="0" wrapText="false" indent="0" shrinkToFit="false"/>
      <protection locked="true" hidden="false"/>
    </xf>
    <xf numFmtId="164" fontId="0" fillId="0" borderId="16" xfId="0" applyFont="false" applyBorder="true" applyAlignment="true" applyProtection="false">
      <alignment horizontal="center" vertical="center" textRotation="0" wrapText="false" indent="0" shrinkToFit="false"/>
      <protection locked="true" hidden="false"/>
    </xf>
    <xf numFmtId="164" fontId="0" fillId="0" borderId="12" xfId="0" applyFont="true" applyBorder="true" applyAlignment="true" applyProtection="false">
      <alignment horizontal="general" vertical="center" textRotation="0" wrapText="true" indent="0" shrinkToFit="false"/>
      <protection locked="true" hidden="false"/>
    </xf>
    <xf numFmtId="165" fontId="0" fillId="0" borderId="11" xfId="0" applyFont="false" applyBorder="true" applyAlignment="true" applyProtection="false">
      <alignment horizontal="left" vertical="center" textRotation="0" wrapText="false" indent="0" shrinkToFit="false"/>
      <protection locked="true" hidden="false"/>
    </xf>
    <xf numFmtId="165" fontId="0" fillId="0" borderId="14" xfId="0" applyFont="false" applyBorder="true" applyAlignment="true" applyProtection="false">
      <alignment horizontal="left" vertical="center" textRotation="0" wrapText="false" indent="0" shrinkToFit="false"/>
      <protection locked="true" hidden="false"/>
    </xf>
    <xf numFmtId="165" fontId="0" fillId="0" borderId="7" xfId="0" applyFont="false" applyBorder="true" applyAlignment="true" applyProtection="false">
      <alignment horizontal="left" vertical="center" textRotation="0" wrapText="false" indent="0" shrinkToFit="false"/>
      <protection locked="true" hidden="false"/>
    </xf>
    <xf numFmtId="164" fontId="0" fillId="0" borderId="17" xfId="0" applyFont="false" applyBorder="true" applyAlignment="true" applyProtection="false">
      <alignment horizontal="center" vertical="center" textRotation="0" wrapText="false" indent="0" shrinkToFit="false"/>
      <protection locked="true" hidden="false"/>
    </xf>
    <xf numFmtId="164" fontId="6" fillId="0" borderId="18" xfId="0" applyFont="true" applyBorder="true" applyAlignment="true" applyProtection="false">
      <alignment horizontal="general" vertical="center" textRotation="0" wrapText="false" indent="0" shrinkToFit="false"/>
      <protection locked="true" hidden="false"/>
    </xf>
    <xf numFmtId="164" fontId="6" fillId="0" borderId="18" xfId="0" applyFont="true" applyBorder="true" applyAlignment="true" applyProtection="false">
      <alignment horizontal="left" vertical="center" textRotation="0" wrapText="false" indent="0" shrinkToFit="false"/>
      <protection locked="true" hidden="false"/>
    </xf>
    <xf numFmtId="164" fontId="0" fillId="0" borderId="18" xfId="0" applyFont="true" applyBorder="true" applyAlignment="true" applyProtection="false">
      <alignment horizontal="left" vertical="center" textRotation="0" wrapText="true" indent="0" shrinkToFit="false"/>
      <protection locked="true" hidden="false"/>
    </xf>
    <xf numFmtId="164" fontId="0" fillId="0" borderId="18" xfId="0" applyFont="true" applyBorder="true" applyAlignment="true" applyProtection="false">
      <alignment horizontal="left" vertical="center" textRotation="0" wrapText="false" indent="0" shrinkToFit="false"/>
      <protection locked="true" hidden="false"/>
    </xf>
    <xf numFmtId="164" fontId="0" fillId="0" borderId="18" xfId="0" applyFont="true" applyBorder="true" applyAlignment="true" applyProtection="false">
      <alignment horizontal="general" vertical="center" textRotation="0" wrapText="false" indent="0" shrinkToFit="false"/>
      <protection locked="true" hidden="false"/>
    </xf>
    <xf numFmtId="164" fontId="6" fillId="0" borderId="19" xfId="0" applyFont="true" applyBorder="true" applyAlignment="true" applyProtection="false">
      <alignment horizontal="general" vertical="center" textRotation="0" wrapText="false" indent="0" shrinkToFit="false"/>
      <protection locked="true" hidden="false"/>
    </xf>
    <xf numFmtId="165" fontId="0" fillId="0" borderId="17" xfId="0" applyFont="false" applyBorder="true" applyAlignment="true" applyProtection="false">
      <alignment horizontal="left" vertical="center" textRotation="0" wrapText="false" indent="0" shrinkToFit="false"/>
      <protection locked="true" hidden="false"/>
    </xf>
    <xf numFmtId="164" fontId="0" fillId="0" borderId="19" xfId="0" applyFont="false" applyBorder="true" applyAlignment="true" applyProtection="false">
      <alignment horizontal="center" vertical="center" textRotation="0" wrapText="false" indent="0" shrinkToFit="false"/>
      <protection locked="true" hidden="false"/>
    </xf>
    <xf numFmtId="164" fontId="5" fillId="2" borderId="20" xfId="0" applyFont="true" applyBorder="true" applyAlignment="true" applyProtection="false">
      <alignment horizontal="right" vertical="center" textRotation="0" wrapText="false" indent="0" shrinkToFit="false"/>
      <protection locked="true" hidden="false"/>
    </xf>
    <xf numFmtId="165" fontId="5" fillId="2" borderId="20" xfId="0" applyFont="true" applyBorder="true" applyAlignment="true" applyProtection="false">
      <alignment horizontal="center" vertical="center" textRotation="0" wrapText="false" indent="0" shrinkToFit="false"/>
      <protection locked="true" hidden="false"/>
    </xf>
    <xf numFmtId="164" fontId="5" fillId="0" borderId="0" xfId="0" applyFont="true" applyBorder="false" applyAlignment="true" applyProtection="false">
      <alignment horizontal="right" vertical="center" textRotation="0" wrapText="false" indent="0" shrinkToFit="false"/>
      <protection locked="true" hidden="false"/>
    </xf>
    <xf numFmtId="164" fontId="5" fillId="0" borderId="3" xfId="0" applyFont="true" applyBorder="true" applyAlignment="true" applyProtection="false">
      <alignment horizontal="center" vertical="center" textRotation="0" wrapText="true" indent="0" shrinkToFit="false"/>
      <protection locked="true" hidden="false"/>
    </xf>
    <xf numFmtId="164" fontId="5" fillId="0" borderId="5" xfId="0" applyFont="true" applyBorder="true" applyAlignment="true" applyProtection="false">
      <alignment horizontal="left" vertical="center" textRotation="0" wrapText="false" indent="0" shrinkToFit="false"/>
      <protection locked="true" hidden="false"/>
    </xf>
    <xf numFmtId="164" fontId="5" fillId="0" borderId="1" xfId="0" applyFont="true" applyBorder="true" applyAlignment="true" applyProtection="false">
      <alignment horizontal="general" vertical="center" textRotation="0" wrapText="true" indent="0" shrinkToFit="false"/>
      <protection locked="true" hidden="false"/>
    </xf>
    <xf numFmtId="164" fontId="5" fillId="0" borderId="6" xfId="0" applyFont="true" applyBorder="true" applyAlignment="true" applyProtection="false">
      <alignment horizontal="general" vertical="center" textRotation="0" wrapText="true" indent="0" shrinkToFit="false"/>
      <protection locked="true" hidden="false"/>
    </xf>
    <xf numFmtId="164" fontId="0" fillId="0" borderId="1" xfId="0" applyFont="false" applyBorder="true" applyAlignment="true" applyProtection="false">
      <alignment horizontal="center" vertical="center" textRotation="0" wrapText="true" indent="0" shrinkToFit="false"/>
      <protection locked="true" hidden="false"/>
    </xf>
    <xf numFmtId="164" fontId="0" fillId="0" borderId="21" xfId="0" applyFont="false" applyBorder="true" applyAlignment="true" applyProtection="false">
      <alignment horizontal="left" vertical="center" textRotation="0" wrapText="false" indent="0" shrinkToFit="false"/>
      <protection locked="true" hidden="false"/>
    </xf>
    <xf numFmtId="164" fontId="0" fillId="0" borderId="10" xfId="0" applyFont="false" applyBorder="true" applyAlignment="true" applyProtection="false">
      <alignment horizontal="general" vertical="center" textRotation="0" wrapText="true" indent="0" shrinkToFit="false"/>
      <protection locked="true" hidden="false"/>
    </xf>
    <xf numFmtId="164" fontId="0" fillId="0" borderId="22" xfId="0" applyFont="false" applyBorder="true" applyAlignment="true" applyProtection="false">
      <alignment horizontal="general" vertical="center" textRotation="0" wrapText="true" indent="0" shrinkToFit="false"/>
      <protection locked="true" hidden="false"/>
    </xf>
    <xf numFmtId="164" fontId="0" fillId="4" borderId="0" xfId="0" applyFont="false" applyBorder="false" applyAlignment="true" applyProtection="false">
      <alignment horizontal="general" vertical="center" textRotation="0" wrapText="false" indent="0" shrinkToFit="false"/>
      <protection locked="true" hidden="false"/>
    </xf>
    <xf numFmtId="164" fontId="5" fillId="4" borderId="0" xfId="0" applyFont="true" applyBorder="false" applyAlignment="true" applyProtection="false">
      <alignment horizontal="left" vertical="center" textRotation="0" wrapText="false" indent="0" shrinkToFit="false"/>
      <protection locked="true" hidden="false"/>
    </xf>
    <xf numFmtId="164" fontId="7" fillId="3" borderId="0" xfId="0" applyFont="true" applyBorder="true" applyAlignment="true" applyProtection="false">
      <alignment horizontal="center" vertical="center" textRotation="0" wrapText="false" indent="0" shrinkToFit="false"/>
      <protection locked="true" hidden="false"/>
    </xf>
    <xf numFmtId="166" fontId="5" fillId="0" borderId="5" xfId="0" applyFont="true" applyBorder="true" applyAlignment="true" applyProtection="false">
      <alignment horizontal="center" vertical="center" textRotation="0" wrapText="false" indent="0" shrinkToFit="false"/>
      <protection locked="true" hidden="false"/>
    </xf>
    <xf numFmtId="166" fontId="5" fillId="0" borderId="3" xfId="0" applyFont="true" applyBorder="true" applyAlignment="true" applyProtection="false">
      <alignment horizontal="center" vertical="center" textRotation="0" wrapText="true" indent="0" shrinkToFit="false"/>
      <protection locked="true" hidden="false"/>
    </xf>
    <xf numFmtId="166" fontId="5" fillId="0" borderId="3" xfId="0" applyFont="true" applyBorder="true" applyAlignment="true" applyProtection="false">
      <alignment horizontal="center" vertical="center" textRotation="0" wrapText="false" indent="0" shrinkToFit="false"/>
      <protection locked="true" hidden="false"/>
    </xf>
    <xf numFmtId="166" fontId="5" fillId="0" borderId="1" xfId="0" applyFont="true" applyBorder="true" applyAlignment="true" applyProtection="false">
      <alignment horizontal="center" vertical="center" textRotation="0" wrapText="true" indent="0" shrinkToFit="false"/>
      <protection locked="true" hidden="false"/>
    </xf>
    <xf numFmtId="166" fontId="5" fillId="0" borderId="3" xfId="0" applyFont="true" applyBorder="true" applyAlignment="true" applyProtection="false">
      <alignment horizontal="general" vertical="center" textRotation="0" wrapText="false" indent="0" shrinkToFit="false"/>
      <protection locked="true" hidden="false"/>
    </xf>
    <xf numFmtId="166" fontId="5" fillId="0" borderId="6" xfId="0" applyFont="true" applyBorder="true" applyAlignment="true" applyProtection="false">
      <alignment horizontal="general" vertical="center" textRotation="0" wrapText="false" indent="0" shrinkToFit="false"/>
      <protection locked="true" hidden="false"/>
    </xf>
    <xf numFmtId="164" fontId="6" fillId="0" borderId="7" xfId="0" applyFont="true" applyBorder="true" applyAlignment="true" applyProtection="false">
      <alignment horizontal="general" vertical="center" textRotation="0" wrapText="false" indent="0" shrinkToFit="false"/>
      <protection locked="true" hidden="false"/>
    </xf>
    <xf numFmtId="166" fontId="0" fillId="5" borderId="7" xfId="0" applyFont="true" applyBorder="true" applyAlignment="true" applyProtection="false">
      <alignment horizontal="left" vertical="center" textRotation="0" wrapText="false" indent="0" shrinkToFit="false"/>
      <protection locked="true" hidden="false"/>
    </xf>
    <xf numFmtId="166" fontId="0" fillId="5" borderId="8" xfId="0" applyFont="true" applyBorder="true" applyAlignment="true" applyProtection="false">
      <alignment horizontal="general" vertical="center" textRotation="0" wrapText="false" indent="0" shrinkToFit="false"/>
      <protection locked="true" hidden="false"/>
    </xf>
    <xf numFmtId="166" fontId="0" fillId="5" borderId="23" xfId="0" applyFont="true" applyBorder="true" applyAlignment="true" applyProtection="false">
      <alignment horizontal="left" vertical="center" textRotation="0" wrapText="true" indent="0" shrinkToFit="false"/>
      <protection locked="true" hidden="false"/>
    </xf>
    <xf numFmtId="166" fontId="0" fillId="6" borderId="24" xfId="0" applyFont="true" applyBorder="true" applyAlignment="true" applyProtection="false">
      <alignment horizontal="general" vertical="center" textRotation="0" wrapText="false" indent="0" shrinkToFit="false"/>
      <protection locked="true" hidden="false"/>
    </xf>
    <xf numFmtId="166" fontId="0" fillId="0" borderId="25" xfId="0" applyFont="true" applyBorder="true" applyAlignment="true" applyProtection="false">
      <alignment horizontal="general" vertical="center" textRotation="0" wrapText="false" indent="0" shrinkToFit="false"/>
      <protection locked="true" hidden="false"/>
    </xf>
    <xf numFmtId="166" fontId="0" fillId="0" borderId="8" xfId="0" applyFont="true" applyBorder="true" applyAlignment="true" applyProtection="false">
      <alignment horizontal="general" vertical="center" textRotation="0" wrapText="false" indent="0" shrinkToFit="false"/>
      <protection locked="true" hidden="false"/>
    </xf>
    <xf numFmtId="166" fontId="0" fillId="0" borderId="9" xfId="0" applyFont="true" applyBorder="true" applyAlignment="true" applyProtection="false">
      <alignment horizontal="left" vertical="center" textRotation="0" wrapText="false" indent="0" shrinkToFit="false"/>
      <protection locked="true" hidden="false"/>
    </xf>
    <xf numFmtId="164" fontId="6" fillId="0" borderId="11" xfId="0" applyFont="true" applyBorder="true" applyAlignment="true" applyProtection="false">
      <alignment horizontal="general" vertical="center" textRotation="0" wrapText="false" indent="0" shrinkToFit="false"/>
      <protection locked="true" hidden="false"/>
    </xf>
    <xf numFmtId="166" fontId="0" fillId="7" borderId="11" xfId="0" applyFont="true" applyBorder="true" applyAlignment="true" applyProtection="false">
      <alignment horizontal="left" vertical="center" textRotation="0" wrapText="false" indent="0" shrinkToFit="false"/>
      <protection locked="true" hidden="false"/>
    </xf>
    <xf numFmtId="166" fontId="0" fillId="7" borderId="12" xfId="0" applyFont="true" applyBorder="true" applyAlignment="true" applyProtection="false">
      <alignment horizontal="general" vertical="center" textRotation="0" wrapText="true" indent="0" shrinkToFit="false"/>
      <protection locked="true" hidden="false"/>
    </xf>
    <xf numFmtId="166" fontId="0" fillId="7" borderId="26" xfId="0" applyFont="true" applyBorder="true" applyAlignment="true" applyProtection="false">
      <alignment horizontal="left" vertical="center" textRotation="0" wrapText="true" indent="0" shrinkToFit="false"/>
      <protection locked="true" hidden="false"/>
    </xf>
    <xf numFmtId="166" fontId="0" fillId="6" borderId="27" xfId="0" applyFont="true" applyBorder="true" applyAlignment="true" applyProtection="false">
      <alignment horizontal="general" vertical="center" textRotation="0" wrapText="true" indent="0" shrinkToFit="false"/>
      <protection locked="true" hidden="false"/>
    </xf>
    <xf numFmtId="166" fontId="0" fillId="0" borderId="28" xfId="0" applyFont="true" applyBorder="true" applyAlignment="true" applyProtection="false">
      <alignment horizontal="general" vertical="center" textRotation="0" wrapText="false" indent="0" shrinkToFit="false"/>
      <protection locked="true" hidden="false"/>
    </xf>
    <xf numFmtId="166" fontId="0" fillId="0" borderId="12" xfId="0" applyFont="true" applyBorder="true" applyAlignment="true" applyProtection="false">
      <alignment horizontal="general" vertical="center" textRotation="0" wrapText="false" indent="0" shrinkToFit="false"/>
      <protection locked="true" hidden="false"/>
    </xf>
    <xf numFmtId="166" fontId="0" fillId="0" borderId="13" xfId="0" applyFont="true" applyBorder="true" applyAlignment="true" applyProtection="false">
      <alignment horizontal="left" vertical="center" textRotation="0" wrapText="false" indent="0" shrinkToFit="false"/>
      <protection locked="true" hidden="false"/>
    </xf>
    <xf numFmtId="166" fontId="0" fillId="6" borderId="11" xfId="0" applyFont="true" applyBorder="true" applyAlignment="true" applyProtection="false">
      <alignment horizontal="left" vertical="center" textRotation="0" wrapText="true" indent="0" shrinkToFit="false"/>
      <protection locked="true" hidden="false"/>
    </xf>
    <xf numFmtId="166" fontId="0" fillId="6" borderId="12" xfId="0" applyFont="true" applyBorder="true" applyAlignment="true" applyProtection="false">
      <alignment horizontal="general" vertical="center" textRotation="0" wrapText="true" indent="0" shrinkToFit="false"/>
      <protection locked="true" hidden="false"/>
    </xf>
    <xf numFmtId="166" fontId="0" fillId="6" borderId="26" xfId="0" applyFont="true" applyBorder="true" applyAlignment="true" applyProtection="false">
      <alignment horizontal="left" vertical="center" textRotation="0" wrapText="true" indent="0" shrinkToFit="false"/>
      <protection locked="true" hidden="false"/>
    </xf>
    <xf numFmtId="166" fontId="0" fillId="7" borderId="27" xfId="0" applyFont="true" applyBorder="true" applyAlignment="true" applyProtection="false">
      <alignment horizontal="general" vertical="center" textRotation="0" wrapText="false" indent="0" shrinkToFit="false"/>
      <protection locked="true" hidden="false"/>
    </xf>
    <xf numFmtId="166" fontId="0" fillId="6" borderId="28" xfId="0" applyFont="true" applyBorder="true" applyAlignment="true" applyProtection="false">
      <alignment horizontal="general" vertical="center" textRotation="0" wrapText="false" indent="0" shrinkToFit="false"/>
      <protection locked="true" hidden="false"/>
    </xf>
    <xf numFmtId="166" fontId="0" fillId="6" borderId="12" xfId="0" applyFont="true" applyBorder="true" applyAlignment="true" applyProtection="false">
      <alignment horizontal="general" vertical="center" textRotation="0" wrapText="false" indent="0" shrinkToFit="false"/>
      <protection locked="true" hidden="false"/>
    </xf>
    <xf numFmtId="166" fontId="0" fillId="6" borderId="13" xfId="0" applyFont="true" applyBorder="true" applyAlignment="true" applyProtection="false">
      <alignment horizontal="left" vertical="center" textRotation="0" wrapText="true" indent="0" shrinkToFit="false"/>
      <protection locked="true" hidden="false"/>
    </xf>
    <xf numFmtId="166" fontId="0" fillId="8" borderId="17" xfId="0" applyFont="true" applyBorder="true" applyAlignment="true" applyProtection="false">
      <alignment horizontal="general" vertical="center" textRotation="0" wrapText="true" indent="0" shrinkToFit="false"/>
      <protection locked="true" hidden="false"/>
    </xf>
    <xf numFmtId="166" fontId="0" fillId="8" borderId="18" xfId="0" applyFont="true" applyBorder="true" applyAlignment="true" applyProtection="false">
      <alignment horizontal="general" vertical="center" textRotation="0" wrapText="true" indent="0" shrinkToFit="false"/>
      <protection locked="true" hidden="false"/>
    </xf>
    <xf numFmtId="166" fontId="0" fillId="8" borderId="29" xfId="0" applyFont="true" applyBorder="true" applyAlignment="true" applyProtection="false">
      <alignment horizontal="left" vertical="center" textRotation="0" wrapText="true" indent="0" shrinkToFit="false"/>
      <protection locked="true" hidden="false"/>
    </xf>
    <xf numFmtId="166" fontId="0" fillId="5" borderId="30" xfId="0" applyFont="true" applyBorder="true" applyAlignment="true" applyProtection="false">
      <alignment horizontal="general" vertical="center" textRotation="0" wrapText="false" indent="0" shrinkToFit="false"/>
      <protection locked="true" hidden="false"/>
    </xf>
    <xf numFmtId="166" fontId="0" fillId="0" borderId="31" xfId="0" applyFont="true" applyBorder="true" applyAlignment="true" applyProtection="false">
      <alignment horizontal="general" vertical="center" textRotation="0" wrapText="false" indent="0" shrinkToFit="false"/>
      <protection locked="true" hidden="false"/>
    </xf>
    <xf numFmtId="166" fontId="0" fillId="0" borderId="18" xfId="0" applyFont="true" applyBorder="true" applyAlignment="true" applyProtection="false">
      <alignment horizontal="general" vertical="center" textRotation="0" wrapText="false" indent="0" shrinkToFit="false"/>
      <protection locked="true" hidden="false"/>
    </xf>
    <xf numFmtId="166" fontId="0" fillId="0" borderId="19" xfId="0" applyFont="true" applyBorder="true" applyAlignment="true" applyProtection="false">
      <alignment horizontal="left" vertical="center" textRotation="0" wrapText="true" indent="0" shrinkToFit="false"/>
      <protection locked="true" hidden="false"/>
    </xf>
    <xf numFmtId="164" fontId="0" fillId="5" borderId="0" xfId="0" applyFont="false" applyBorder="false" applyAlignment="true" applyProtection="false">
      <alignment horizontal="general" vertical="center" textRotation="0" wrapText="false" indent="0" shrinkToFit="false"/>
      <protection locked="true" hidden="false"/>
    </xf>
    <xf numFmtId="165" fontId="5" fillId="5" borderId="32" xfId="0" applyFont="true" applyBorder="true" applyAlignment="true" applyProtection="false">
      <alignment horizontal="center" vertical="center" textRotation="0" wrapText="false" indent="0" shrinkToFit="false"/>
      <protection locked="true" hidden="false"/>
    </xf>
    <xf numFmtId="164" fontId="5" fillId="5" borderId="0" xfId="0" applyFont="true" applyBorder="false" applyAlignment="true" applyProtection="false">
      <alignment horizontal="center" vertical="center" textRotation="0" wrapText="false" indent="0" shrinkToFit="false"/>
      <protection locked="true" hidden="false"/>
    </xf>
    <xf numFmtId="166" fontId="5" fillId="0" borderId="3" xfId="0" applyFont="true" applyBorder="true" applyAlignment="true" applyProtection="false">
      <alignment horizontal="general" vertical="center" textRotation="0" wrapText="true" indent="0" shrinkToFit="false"/>
      <protection locked="true" hidden="false"/>
    </xf>
    <xf numFmtId="166" fontId="5" fillId="0" borderId="33" xfId="0" applyFont="true" applyBorder="true" applyAlignment="true" applyProtection="false">
      <alignment horizontal="center" vertical="center" textRotation="0" wrapText="true" indent="0" shrinkToFit="false"/>
      <protection locked="true" hidden="false"/>
    </xf>
    <xf numFmtId="166" fontId="5" fillId="0" borderId="6" xfId="0" applyFont="true" applyBorder="true" applyAlignment="true" applyProtection="false">
      <alignment horizontal="center" vertical="center" textRotation="0" wrapText="false" indent="0" shrinkToFit="false"/>
      <protection locked="true" hidden="false"/>
    </xf>
    <xf numFmtId="164" fontId="5" fillId="0" borderId="5" xfId="0" applyFont="true" applyBorder="true" applyAlignment="true" applyProtection="false">
      <alignment horizontal="center" vertical="center" textRotation="0" wrapText="false" indent="0" shrinkToFit="false"/>
      <protection locked="true" hidden="false"/>
    </xf>
    <xf numFmtId="164" fontId="5" fillId="0" borderId="3" xfId="0" applyFont="true" applyBorder="true" applyAlignment="true" applyProtection="false">
      <alignment horizontal="center" vertical="center" textRotation="0" wrapText="false" indent="0" shrinkToFit="false"/>
      <protection locked="true" hidden="false"/>
    </xf>
    <xf numFmtId="164" fontId="8" fillId="0" borderId="7" xfId="0" applyFont="true" applyBorder="true" applyAlignment="true" applyProtection="false">
      <alignment horizontal="general" vertical="center" textRotation="0" wrapText="false" indent="0" shrinkToFit="false"/>
      <protection locked="true" hidden="false"/>
    </xf>
    <xf numFmtId="164" fontId="8" fillId="0" borderId="8" xfId="0" applyFont="true" applyBorder="true" applyAlignment="true" applyProtection="false">
      <alignment horizontal="left" vertical="center" textRotation="0" wrapText="false" indent="0" shrinkToFit="false"/>
      <protection locked="true" hidden="false"/>
    </xf>
    <xf numFmtId="164" fontId="8" fillId="0" borderId="8" xfId="0" applyFont="true" applyBorder="true" applyAlignment="true" applyProtection="false">
      <alignment horizontal="center" vertical="center" textRotation="0" wrapText="false" indent="0" shrinkToFit="false"/>
      <protection locked="true" hidden="false"/>
    </xf>
    <xf numFmtId="164" fontId="8" fillId="0" borderId="8" xfId="0" applyFont="true" applyBorder="true" applyAlignment="true" applyProtection="false">
      <alignment horizontal="center" vertical="center" textRotation="0" wrapText="true" indent="0" shrinkToFit="false"/>
      <protection locked="true" hidden="false"/>
    </xf>
    <xf numFmtId="167" fontId="8" fillId="0" borderId="8" xfId="0" applyFont="true" applyBorder="true" applyAlignment="true" applyProtection="false">
      <alignment horizontal="center" vertical="center" textRotation="0" wrapText="false" indent="0" shrinkToFit="false"/>
      <protection locked="true" hidden="false"/>
    </xf>
    <xf numFmtId="164" fontId="8" fillId="0" borderId="9" xfId="0" applyFont="true" applyBorder="true" applyAlignment="true" applyProtection="false">
      <alignment horizontal="center" vertical="center" textRotation="0" wrapText="false" indent="0" shrinkToFit="false"/>
      <protection locked="true" hidden="false"/>
    </xf>
    <xf numFmtId="165" fontId="0" fillId="0" borderId="25" xfId="0" applyFont="false" applyBorder="true" applyAlignment="true" applyProtection="false">
      <alignment horizontal="center" vertical="center" textRotation="0" wrapText="false" indent="0" shrinkToFit="false"/>
      <protection locked="true" hidden="false"/>
    </xf>
    <xf numFmtId="165" fontId="0" fillId="0" borderId="7" xfId="0" applyFont="false" applyBorder="true" applyAlignment="true" applyProtection="false">
      <alignment horizontal="center" vertical="center" textRotation="0" wrapText="false" indent="0" shrinkToFit="false"/>
      <protection locked="true" hidden="false"/>
    </xf>
    <xf numFmtId="165" fontId="0" fillId="0" borderId="24" xfId="0" applyFont="false" applyBorder="true" applyAlignment="true" applyProtection="false">
      <alignment horizontal="center" vertical="center" textRotation="0" wrapText="false" indent="0" shrinkToFit="false"/>
      <protection locked="true" hidden="false"/>
    </xf>
    <xf numFmtId="164" fontId="0" fillId="5" borderId="0" xfId="0" applyFont="false" applyBorder="false" applyAlignment="true" applyProtection="false">
      <alignment horizontal="center" vertical="center" textRotation="0" wrapText="false" indent="0" shrinkToFit="false"/>
      <protection locked="true" hidden="false"/>
    </xf>
    <xf numFmtId="164" fontId="0" fillId="0" borderId="12" xfId="0" applyFont="false" applyBorder="true" applyAlignment="true" applyProtection="false">
      <alignment horizontal="center" vertical="center" textRotation="0" wrapText="false" indent="0" shrinkToFit="false"/>
      <protection locked="true" hidden="false"/>
    </xf>
    <xf numFmtId="167" fontId="0" fillId="0" borderId="12" xfId="0" applyFont="false" applyBorder="true" applyAlignment="true" applyProtection="false">
      <alignment horizontal="center" vertical="center" textRotation="0" wrapText="false" indent="0" shrinkToFit="false"/>
      <protection locked="true" hidden="false"/>
    </xf>
    <xf numFmtId="165" fontId="0" fillId="0" borderId="28" xfId="0" applyFont="false" applyBorder="true" applyAlignment="true" applyProtection="false">
      <alignment horizontal="center" vertical="center" textRotation="0" wrapText="false" indent="0" shrinkToFit="false"/>
      <protection locked="true" hidden="false"/>
    </xf>
    <xf numFmtId="165" fontId="0" fillId="0" borderId="11" xfId="0" applyFont="false" applyBorder="true" applyAlignment="true" applyProtection="false">
      <alignment horizontal="center" vertical="center" textRotation="0" wrapText="false" indent="0" shrinkToFit="false"/>
      <protection locked="true" hidden="false"/>
    </xf>
    <xf numFmtId="165" fontId="0" fillId="0" borderId="27" xfId="0" applyFont="false" applyBorder="true" applyAlignment="true" applyProtection="false">
      <alignment horizontal="center" vertical="center" textRotation="0" wrapText="false" indent="0" shrinkToFit="false"/>
      <protection locked="true" hidden="false"/>
    </xf>
    <xf numFmtId="164" fontId="6" fillId="5" borderId="0" xfId="0" applyFont="true" applyBorder="false" applyAlignment="true" applyProtection="false">
      <alignment horizontal="general" vertical="center" textRotation="0" wrapText="false" indent="0" shrinkToFit="false"/>
      <protection locked="true" hidden="false"/>
    </xf>
    <xf numFmtId="164" fontId="0" fillId="0" borderId="18" xfId="0" applyFont="false" applyBorder="true" applyAlignment="true" applyProtection="false">
      <alignment horizontal="center" vertical="center" textRotation="0" wrapText="false" indent="0" shrinkToFit="false"/>
      <protection locked="true" hidden="false"/>
    </xf>
    <xf numFmtId="167" fontId="0" fillId="0" borderId="18" xfId="0" applyFont="false" applyBorder="true" applyAlignment="true" applyProtection="false">
      <alignment horizontal="center" vertical="center" textRotation="0" wrapText="false" indent="0" shrinkToFit="false"/>
      <protection locked="true" hidden="false"/>
    </xf>
    <xf numFmtId="165" fontId="0" fillId="0" borderId="31" xfId="0" applyFont="false" applyBorder="true" applyAlignment="true" applyProtection="false">
      <alignment horizontal="center" vertical="center" textRotation="0" wrapText="false" indent="0" shrinkToFit="false"/>
      <protection locked="true" hidden="false"/>
    </xf>
    <xf numFmtId="165" fontId="0" fillId="0" borderId="17" xfId="0" applyFont="false" applyBorder="true" applyAlignment="true" applyProtection="false">
      <alignment horizontal="center" vertical="center" textRotation="0" wrapText="false" indent="0" shrinkToFit="false"/>
      <protection locked="true" hidden="false"/>
    </xf>
    <xf numFmtId="165" fontId="0" fillId="0" borderId="30" xfId="0" applyFont="false" applyBorder="true" applyAlignment="true" applyProtection="false">
      <alignment horizontal="center" vertical="center" textRotation="0" wrapText="false" indent="0" shrinkToFit="false"/>
      <protection locked="true" hidden="false"/>
    </xf>
    <xf numFmtId="164" fontId="8" fillId="5" borderId="0" xfId="0" applyFont="true" applyBorder="false" applyAlignment="true" applyProtection="false">
      <alignment horizontal="general" vertical="center" textRotation="0" wrapText="false" indent="0" shrinkToFit="false"/>
      <protection locked="true" hidden="false"/>
    </xf>
    <xf numFmtId="164" fontId="0" fillId="5" borderId="0" xfId="0" applyFont="false" applyBorder="true" applyAlignment="true" applyProtection="false">
      <alignment horizontal="center" vertical="center" textRotation="0" wrapText="false" indent="0" shrinkToFit="false"/>
      <protection locked="true" hidden="false"/>
    </xf>
    <xf numFmtId="164" fontId="5" fillId="0" borderId="34" xfId="0" applyFont="true" applyBorder="true" applyAlignment="true" applyProtection="false">
      <alignment horizontal="right" vertical="center" textRotation="0" wrapText="false" indent="0" shrinkToFit="false"/>
      <protection locked="true" hidden="false"/>
    </xf>
    <xf numFmtId="165" fontId="5" fillId="0" borderId="20" xfId="0" applyFont="true" applyBorder="true" applyAlignment="true" applyProtection="false">
      <alignment horizontal="center" vertical="center" textRotation="0" wrapText="false" indent="0" shrinkToFit="false"/>
      <protection locked="true" hidden="false"/>
    </xf>
    <xf numFmtId="167" fontId="8" fillId="5" borderId="0" xfId="0" applyFont="true" applyBorder="false" applyAlignment="true" applyProtection="false">
      <alignment horizontal="center" vertical="center" textRotation="0" wrapText="false" indent="0" shrinkToFit="false"/>
      <protection locked="true" hidden="false"/>
    </xf>
    <xf numFmtId="164" fontId="8" fillId="5" borderId="0" xfId="0" applyFont="true" applyBorder="false" applyAlignment="true" applyProtection="false">
      <alignment horizontal="center" vertical="center" textRotation="0" wrapText="false" indent="0" shrinkToFit="false"/>
      <protection locked="true" hidden="false"/>
    </xf>
    <xf numFmtId="164" fontId="9" fillId="0" borderId="20" xfId="0" applyFont="true" applyBorder="true" applyAlignment="true" applyProtection="false">
      <alignment horizontal="center" vertical="center" textRotation="0" wrapText="false" indent="0" shrinkToFit="false"/>
      <protection locked="true" hidden="false"/>
    </xf>
    <xf numFmtId="165" fontId="6" fillId="0" borderId="20" xfId="0" applyFont="true" applyBorder="true" applyAlignment="true" applyProtection="false">
      <alignment horizontal="center" vertical="center" textRotation="0" wrapText="false" indent="0" shrinkToFit="false"/>
      <protection locked="true" hidden="false"/>
    </xf>
    <xf numFmtId="165" fontId="6" fillId="0" borderId="32" xfId="0" applyFont="true" applyBorder="true" applyAlignment="true" applyProtection="false">
      <alignment horizontal="center" vertical="center" textRotation="0" wrapText="false" indent="0" shrinkToFit="false"/>
      <protection locked="true" hidden="false"/>
    </xf>
    <xf numFmtId="164" fontId="6" fillId="5" borderId="0" xfId="0" applyFont="true" applyBorder="false" applyAlignment="true" applyProtection="false">
      <alignment horizontal="center" vertical="center" textRotation="0" wrapText="false" indent="0" shrinkToFit="false"/>
      <protection locked="true" hidden="false"/>
    </xf>
    <xf numFmtId="164" fontId="5" fillId="5" borderId="0" xfId="0" applyFont="true" applyBorder="true" applyAlignment="true" applyProtection="false">
      <alignment horizontal="right" vertical="center" textRotation="0" wrapText="false" indent="0" shrinkToFit="false"/>
      <protection locked="true" hidden="false"/>
    </xf>
    <xf numFmtId="164" fontId="0" fillId="7" borderId="0" xfId="0" applyFont="false" applyBorder="false" applyAlignment="true" applyProtection="false">
      <alignment horizontal="general" vertical="center" textRotation="0" wrapText="false" indent="0" shrinkToFit="false"/>
      <protection locked="true" hidden="false"/>
    </xf>
    <xf numFmtId="165" fontId="5" fillId="7" borderId="32" xfId="0" applyFont="true" applyBorder="true" applyAlignment="true" applyProtection="false">
      <alignment horizontal="center" vertical="center" textRotation="0" wrapText="false" indent="0" shrinkToFit="false"/>
      <protection locked="true" hidden="false"/>
    </xf>
    <xf numFmtId="164" fontId="5" fillId="7" borderId="0" xfId="0" applyFont="true" applyBorder="false" applyAlignment="true" applyProtection="false">
      <alignment horizontal="center" vertical="center" textRotation="0" wrapText="false" indent="0" shrinkToFit="false"/>
      <protection locked="true" hidden="false"/>
    </xf>
    <xf numFmtId="164" fontId="0" fillId="0" borderId="8" xfId="0" applyFont="false" applyBorder="true" applyAlignment="true" applyProtection="false">
      <alignment horizontal="center" vertical="center" textRotation="0" wrapText="false" indent="0" shrinkToFit="false"/>
      <protection locked="true" hidden="false"/>
    </xf>
    <xf numFmtId="164" fontId="0" fillId="0" borderId="8" xfId="0" applyFont="true" applyBorder="true" applyAlignment="true" applyProtection="false">
      <alignment horizontal="center" vertical="center" textRotation="0" wrapText="true" indent="0" shrinkToFit="false"/>
      <protection locked="true" hidden="false"/>
    </xf>
    <xf numFmtId="167" fontId="0" fillId="0" borderId="8" xfId="0" applyFont="false" applyBorder="true" applyAlignment="true" applyProtection="false">
      <alignment horizontal="center" vertical="center" textRotation="0" wrapText="false" indent="0" shrinkToFit="false"/>
      <protection locked="true" hidden="false"/>
    </xf>
    <xf numFmtId="164" fontId="0" fillId="7" borderId="0" xfId="0" applyFont="false" applyBorder="false" applyAlignment="true" applyProtection="false">
      <alignment horizontal="center" vertical="center" textRotation="0" wrapText="false" indent="0" shrinkToFit="false"/>
      <protection locked="true" hidden="false"/>
    </xf>
    <xf numFmtId="164" fontId="6" fillId="7" borderId="0" xfId="0" applyFont="true" applyBorder="false" applyAlignment="true" applyProtection="false">
      <alignment horizontal="general" vertical="center" textRotation="0" wrapText="false" indent="0" shrinkToFit="false"/>
      <protection locked="true" hidden="false"/>
    </xf>
    <xf numFmtId="164" fontId="8" fillId="0" borderId="11" xfId="0" applyFont="true" applyBorder="true" applyAlignment="true" applyProtection="false">
      <alignment horizontal="general" vertical="center" textRotation="0" wrapText="false" indent="0" shrinkToFit="false"/>
      <protection locked="true" hidden="false"/>
    </xf>
    <xf numFmtId="164" fontId="8" fillId="0" borderId="12" xfId="0" applyFont="true" applyBorder="true" applyAlignment="true" applyProtection="false">
      <alignment horizontal="general" vertical="center" textRotation="0" wrapText="true" indent="0" shrinkToFit="false"/>
      <protection locked="true" hidden="false"/>
    </xf>
    <xf numFmtId="164" fontId="8" fillId="0" borderId="12" xfId="0" applyFont="true" applyBorder="true" applyAlignment="true" applyProtection="false">
      <alignment horizontal="center" vertical="center" textRotation="0" wrapText="false" indent="0" shrinkToFit="false"/>
      <protection locked="true" hidden="false"/>
    </xf>
    <xf numFmtId="164" fontId="8" fillId="0" borderId="12" xfId="0" applyFont="true" applyBorder="true" applyAlignment="true" applyProtection="false">
      <alignment horizontal="center" vertical="center" textRotation="0" wrapText="true" indent="0" shrinkToFit="false"/>
      <protection locked="true" hidden="false"/>
    </xf>
    <xf numFmtId="167" fontId="8" fillId="0" borderId="12" xfId="0" applyFont="true" applyBorder="true" applyAlignment="true" applyProtection="false">
      <alignment horizontal="center" vertical="center" textRotation="0" wrapText="false" indent="0" shrinkToFit="false"/>
      <protection locked="true" hidden="false"/>
    </xf>
    <xf numFmtId="164" fontId="8" fillId="0" borderId="13" xfId="0" applyFont="true" applyBorder="true" applyAlignment="true" applyProtection="false">
      <alignment horizontal="center" vertical="center" textRotation="0" wrapText="false" indent="0" shrinkToFit="false"/>
      <protection locked="true" hidden="false"/>
    </xf>
    <xf numFmtId="164" fontId="0" fillId="0" borderId="12" xfId="0" applyFont="true" applyBorder="true" applyAlignment="true" applyProtection="false">
      <alignment horizontal="center" vertical="center" textRotation="0" wrapText="true" indent="0" shrinkToFit="false"/>
      <protection locked="true" hidden="false"/>
    </xf>
    <xf numFmtId="164" fontId="0" fillId="0" borderId="18" xfId="0" applyFont="true" applyBorder="true" applyAlignment="true" applyProtection="false">
      <alignment horizontal="center" vertical="center" textRotation="0" wrapText="true" indent="0" shrinkToFit="false"/>
      <protection locked="true" hidden="false"/>
    </xf>
    <xf numFmtId="164" fontId="5" fillId="7" borderId="0" xfId="0" applyFont="true" applyBorder="true" applyAlignment="true" applyProtection="false">
      <alignment horizontal="center" vertical="center" textRotation="0" wrapText="false" indent="0" shrinkToFit="false"/>
      <protection locked="true" hidden="false"/>
    </xf>
    <xf numFmtId="164" fontId="5" fillId="0" borderId="34" xfId="0" applyFont="true" applyBorder="true" applyAlignment="true" applyProtection="false">
      <alignment horizontal="general" vertical="center" textRotation="0" wrapText="false" indent="0" shrinkToFit="false"/>
      <protection locked="true" hidden="false"/>
    </xf>
    <xf numFmtId="167" fontId="0" fillId="7" borderId="0" xfId="0" applyFont="false" applyBorder="false" applyAlignment="true" applyProtection="false">
      <alignment horizontal="center" vertical="center" textRotation="0" wrapText="false" indent="0" shrinkToFit="false"/>
      <protection locked="true" hidden="false"/>
    </xf>
    <xf numFmtId="165" fontId="6" fillId="0" borderId="35" xfId="0" applyFont="true" applyBorder="true" applyAlignment="true" applyProtection="false">
      <alignment horizontal="center" vertical="center" textRotation="0" wrapText="false" indent="0" shrinkToFit="false"/>
      <protection locked="true" hidden="false"/>
    </xf>
    <xf numFmtId="164" fontId="6" fillId="7" borderId="0" xfId="0" applyFont="true" applyBorder="false" applyAlignment="true" applyProtection="false">
      <alignment horizontal="center" vertical="center" textRotation="0" wrapText="false" indent="0" shrinkToFit="false"/>
      <protection locked="true" hidden="false"/>
    </xf>
    <xf numFmtId="164" fontId="0" fillId="0" borderId="0" xfId="0" applyFont="false" applyBorder="false" applyAlignment="true" applyProtection="false">
      <alignment horizontal="left" vertical="center" textRotation="0" wrapText="false" indent="0" shrinkToFit="false"/>
      <protection locked="true" hidden="false"/>
    </xf>
    <xf numFmtId="168" fontId="0" fillId="0" borderId="0" xfId="0" applyFont="false" applyBorder="false" applyAlignment="true" applyProtection="false">
      <alignment horizontal="left" vertical="center" textRotation="0" wrapText="false" indent="0" shrinkToFit="false"/>
      <protection locked="true" hidden="false"/>
    </xf>
    <xf numFmtId="164" fontId="0" fillId="6" borderId="0" xfId="0" applyFont="false" applyBorder="false" applyAlignment="true" applyProtection="false">
      <alignment horizontal="general" vertical="center" textRotation="0" wrapText="false" indent="0" shrinkToFit="false"/>
      <protection locked="true" hidden="false"/>
    </xf>
    <xf numFmtId="165" fontId="5" fillId="6" borderId="32" xfId="0" applyFont="true" applyBorder="true" applyAlignment="true" applyProtection="false">
      <alignment horizontal="center" vertical="center" textRotation="0" wrapText="false" indent="0" shrinkToFit="false"/>
      <protection locked="true" hidden="false"/>
    </xf>
    <xf numFmtId="164" fontId="5" fillId="6" borderId="0" xfId="0" applyFont="true" applyBorder="false" applyAlignment="true" applyProtection="false">
      <alignment horizontal="center" vertical="center" textRotation="0" wrapText="false" indent="0" shrinkToFit="false"/>
      <protection locked="true" hidden="false"/>
    </xf>
    <xf numFmtId="164" fontId="10" fillId="4" borderId="0" xfId="0" applyFont="true" applyBorder="false" applyAlignment="true" applyProtection="false">
      <alignment horizontal="general" vertical="center" textRotation="0" wrapText="false" indent="0" shrinkToFit="false"/>
      <protection locked="true" hidden="false"/>
    </xf>
    <xf numFmtId="164" fontId="10" fillId="0" borderId="0" xfId="0" applyFont="true" applyBorder="false" applyAlignment="true" applyProtection="false">
      <alignment horizontal="general" vertical="center" textRotation="0" wrapText="false" indent="0" shrinkToFit="false"/>
      <protection locked="true" hidden="false"/>
    </xf>
    <xf numFmtId="169" fontId="0" fillId="0" borderId="8" xfId="0" applyFont="false" applyBorder="true" applyAlignment="true" applyProtection="false">
      <alignment horizontal="center" vertical="center" textRotation="0" wrapText="false" indent="0" shrinkToFit="false"/>
      <protection locked="true" hidden="false"/>
    </xf>
    <xf numFmtId="164" fontId="0" fillId="6" borderId="0" xfId="0" applyFont="false" applyBorder="false" applyAlignment="true" applyProtection="false">
      <alignment horizontal="center" vertical="center" textRotation="0" wrapText="false" indent="0" shrinkToFit="false"/>
      <protection locked="true" hidden="false"/>
    </xf>
    <xf numFmtId="164" fontId="6" fillId="6" borderId="0" xfId="0" applyFont="true" applyBorder="false" applyAlignment="true" applyProtection="false">
      <alignment horizontal="general" vertical="center" textRotation="0" wrapText="false" indent="0" shrinkToFit="false"/>
      <protection locked="true" hidden="false"/>
    </xf>
    <xf numFmtId="169" fontId="0" fillId="0" borderId="12" xfId="0" applyFont="false" applyBorder="true" applyAlignment="true" applyProtection="false">
      <alignment horizontal="center" vertical="center" textRotation="0" wrapText="false" indent="0" shrinkToFit="false"/>
      <protection locked="true" hidden="false"/>
    </xf>
    <xf numFmtId="164" fontId="0" fillId="4" borderId="0" xfId="0" applyFont="false" applyBorder="false" applyAlignment="true" applyProtection="false">
      <alignment horizontal="left" vertical="center" textRotation="0" wrapText="false" indent="0" shrinkToFit="false"/>
      <protection locked="true" hidden="false"/>
    </xf>
    <xf numFmtId="164" fontId="8" fillId="0" borderId="11" xfId="0" applyFont="true" applyBorder="true" applyAlignment="true" applyProtection="false">
      <alignment horizontal="left" vertical="center" textRotation="0" wrapText="false" indent="0" shrinkToFit="false"/>
      <protection locked="true" hidden="false"/>
    </xf>
    <xf numFmtId="164" fontId="8" fillId="0" borderId="12" xfId="0" applyFont="true" applyBorder="true" applyAlignment="true" applyProtection="false">
      <alignment horizontal="left" vertical="center" textRotation="0" wrapText="false" indent="0" shrinkToFit="false"/>
      <protection locked="true" hidden="false"/>
    </xf>
    <xf numFmtId="169" fontId="8" fillId="0" borderId="12" xfId="0" applyFont="true" applyBorder="true" applyAlignment="true" applyProtection="false">
      <alignment horizontal="center" vertical="center" textRotation="0" wrapText="false" indent="0" shrinkToFit="false"/>
      <protection locked="true" hidden="false"/>
    </xf>
    <xf numFmtId="169" fontId="0" fillId="0" borderId="18" xfId="0" applyFont="false" applyBorder="true" applyAlignment="true" applyProtection="false">
      <alignment horizontal="center" vertical="center" textRotation="0" wrapText="false" indent="0" shrinkToFit="false"/>
      <protection locked="true" hidden="false"/>
    </xf>
    <xf numFmtId="164" fontId="0" fillId="6" borderId="0" xfId="0" applyFont="false" applyBorder="true" applyAlignment="true" applyProtection="false">
      <alignment horizontal="center" vertical="center" textRotation="0" wrapText="false" indent="0" shrinkToFit="false"/>
      <protection locked="true" hidden="false"/>
    </xf>
    <xf numFmtId="164" fontId="5" fillId="0" borderId="20" xfId="0" applyFont="true" applyBorder="true" applyAlignment="true" applyProtection="false">
      <alignment horizontal="general" vertical="center" textRotation="0" wrapText="false" indent="0" shrinkToFit="false"/>
      <protection locked="true" hidden="false"/>
    </xf>
    <xf numFmtId="167" fontId="0" fillId="6" borderId="0" xfId="0" applyFont="false" applyBorder="false" applyAlignment="true" applyProtection="false">
      <alignment horizontal="center" vertical="center" textRotation="0" wrapText="false" indent="0" shrinkToFit="false"/>
      <protection locked="true" hidden="false"/>
    </xf>
    <xf numFmtId="164" fontId="6" fillId="6" borderId="0" xfId="0" applyFont="true" applyBorder="false" applyAlignment="true" applyProtection="false">
      <alignment horizontal="center" vertical="center" textRotation="0" wrapText="false" indent="0" shrinkToFit="false"/>
      <protection locked="true" hidden="false"/>
    </xf>
    <xf numFmtId="164" fontId="0" fillId="8" borderId="0" xfId="0" applyFont="false" applyBorder="false" applyAlignment="true" applyProtection="false">
      <alignment horizontal="general" vertical="center" textRotation="0" wrapText="false" indent="0" shrinkToFit="false"/>
      <protection locked="true" hidden="false"/>
    </xf>
    <xf numFmtId="165" fontId="5" fillId="8" borderId="32" xfId="0" applyFont="true" applyBorder="true" applyAlignment="true" applyProtection="false">
      <alignment horizontal="center" vertical="center" textRotation="0" wrapText="false" indent="0" shrinkToFit="false"/>
      <protection locked="true" hidden="false"/>
    </xf>
    <xf numFmtId="164" fontId="5" fillId="8" borderId="0" xfId="0" applyFont="true" applyBorder="false" applyAlignment="true" applyProtection="false">
      <alignment horizontal="center" vertical="center" textRotation="0" wrapText="false" indent="0" shrinkToFit="false"/>
      <protection locked="true" hidden="false"/>
    </xf>
    <xf numFmtId="164" fontId="0" fillId="8" borderId="0" xfId="0" applyFont="false" applyBorder="false" applyAlignment="true" applyProtection="false">
      <alignment horizontal="center" vertical="center" textRotation="0" wrapText="false" indent="0" shrinkToFit="false"/>
      <protection locked="true" hidden="false"/>
    </xf>
    <xf numFmtId="164" fontId="6" fillId="8" borderId="0" xfId="0" applyFont="true" applyBorder="false" applyAlignment="true" applyProtection="false">
      <alignment horizontal="general" vertical="center" textRotation="0" wrapText="false" indent="0" shrinkToFit="false"/>
      <protection locked="true" hidden="false"/>
    </xf>
    <xf numFmtId="164" fontId="0" fillId="8" borderId="0" xfId="0" applyFont="false" applyBorder="true" applyAlignment="true" applyProtection="false">
      <alignment horizontal="center" vertical="center" textRotation="0" wrapText="false" indent="0" shrinkToFit="false"/>
      <protection locked="true" hidden="false"/>
    </xf>
    <xf numFmtId="167" fontId="0" fillId="8" borderId="0" xfId="0" applyFont="false" applyBorder="false" applyAlignment="true" applyProtection="false">
      <alignment horizontal="center" vertical="center" textRotation="0" wrapText="false" indent="0" shrinkToFit="false"/>
      <protection locked="true" hidden="false"/>
    </xf>
    <xf numFmtId="164" fontId="6" fillId="8" borderId="0" xfId="0" applyFont="true" applyBorder="false" applyAlignment="true" applyProtection="false">
      <alignment horizontal="center" vertical="center" textRotation="0" wrapText="false" indent="0" shrinkToFit="false"/>
      <protection locked="true" hidden="false"/>
    </xf>
    <xf numFmtId="164" fontId="0" fillId="2" borderId="0" xfId="0" applyFont="false" applyBorder="false" applyAlignment="true" applyProtection="false">
      <alignment horizontal="general" vertical="center" textRotation="0" wrapText="false" indent="0" shrinkToFit="false"/>
      <protection locked="true" hidden="false"/>
    </xf>
    <xf numFmtId="164" fontId="10" fillId="2" borderId="32" xfId="0" applyFont="true" applyBorder="true" applyAlignment="true" applyProtection="false">
      <alignment horizontal="center" vertical="center" textRotation="0" wrapText="false" indent="0" shrinkToFit="false"/>
      <protection locked="true" hidden="false"/>
    </xf>
    <xf numFmtId="166" fontId="5" fillId="2" borderId="5" xfId="0" applyFont="true" applyBorder="true" applyAlignment="true" applyProtection="false">
      <alignment horizontal="center" vertical="center" textRotation="0" wrapText="false" indent="0" shrinkToFit="false"/>
      <protection locked="true" hidden="false"/>
    </xf>
    <xf numFmtId="166" fontId="5" fillId="2" borderId="3" xfId="0" applyFont="true" applyBorder="true" applyAlignment="true" applyProtection="false">
      <alignment horizontal="center" vertical="center" textRotation="0" wrapText="true" indent="0" shrinkToFit="false"/>
      <protection locked="true" hidden="false"/>
    </xf>
    <xf numFmtId="166" fontId="5" fillId="2" borderId="33" xfId="0" applyFont="true" applyBorder="true" applyAlignment="true" applyProtection="false">
      <alignment horizontal="center" vertical="center" textRotation="0" wrapText="false" indent="0" shrinkToFit="false"/>
      <protection locked="true" hidden="false"/>
    </xf>
    <xf numFmtId="164" fontId="5" fillId="2" borderId="3" xfId="0" applyFont="true" applyBorder="true" applyAlignment="true" applyProtection="false">
      <alignment horizontal="center" vertical="center" textRotation="0" wrapText="true" indent="0" shrinkToFit="false"/>
      <protection locked="true" hidden="false"/>
    </xf>
    <xf numFmtId="164" fontId="5" fillId="2" borderId="3" xfId="0" applyFont="true" applyBorder="true" applyAlignment="true" applyProtection="false">
      <alignment horizontal="center" vertical="center" textRotation="0" wrapText="false" indent="0" shrinkToFit="false"/>
      <protection locked="true" hidden="false"/>
    </xf>
    <xf numFmtId="166" fontId="5" fillId="2" borderId="6" xfId="0" applyFont="true" applyBorder="true" applyAlignment="true" applyProtection="false">
      <alignment horizontal="center" vertical="center" textRotation="0" wrapText="true" indent="0" shrinkToFit="false"/>
      <protection locked="true" hidden="false"/>
    </xf>
    <xf numFmtId="166" fontId="5" fillId="2" borderId="3" xfId="0" applyFont="true" applyBorder="true" applyAlignment="true" applyProtection="false">
      <alignment horizontal="center" vertical="center" textRotation="0" wrapText="false" indent="0" shrinkToFit="false"/>
      <protection locked="true" hidden="false"/>
    </xf>
    <xf numFmtId="166" fontId="5" fillId="4" borderId="3" xfId="0" applyFont="true" applyBorder="true" applyAlignment="true" applyProtection="false">
      <alignment horizontal="center" vertical="center" textRotation="0" wrapText="true" indent="0" shrinkToFit="false"/>
      <protection locked="true" hidden="false"/>
    </xf>
    <xf numFmtId="164" fontId="5" fillId="4" borderId="33" xfId="0" applyFont="true" applyBorder="true" applyAlignment="true" applyProtection="false">
      <alignment horizontal="center" vertical="center" textRotation="0" wrapText="true" indent="0" shrinkToFit="false"/>
      <protection locked="true" hidden="false"/>
    </xf>
    <xf numFmtId="164" fontId="6" fillId="9" borderId="7" xfId="0" applyFont="true" applyBorder="true" applyAlignment="true" applyProtection="false">
      <alignment horizontal="general" vertical="center" textRotation="0" wrapText="false" indent="0" shrinkToFit="false"/>
      <protection locked="true" hidden="false"/>
    </xf>
    <xf numFmtId="164" fontId="6" fillId="9" borderId="8" xfId="0" applyFont="true" applyBorder="true" applyAlignment="true" applyProtection="false">
      <alignment horizontal="general" vertical="center" textRotation="0" wrapText="true" indent="0" shrinkToFit="false"/>
      <protection locked="true" hidden="false"/>
    </xf>
    <xf numFmtId="165" fontId="0" fillId="9" borderId="8" xfId="0" applyFont="false" applyBorder="true" applyAlignment="true" applyProtection="false">
      <alignment horizontal="center" vertical="center" textRotation="0" wrapText="false" indent="0" shrinkToFit="false"/>
      <protection locked="true" hidden="false"/>
    </xf>
    <xf numFmtId="166" fontId="0" fillId="9" borderId="8" xfId="0" applyFont="true" applyBorder="true" applyAlignment="true" applyProtection="false">
      <alignment horizontal="center" vertical="center" textRotation="0" wrapText="false" indent="0" shrinkToFit="false"/>
      <protection locked="true" hidden="false"/>
    </xf>
    <xf numFmtId="167" fontId="0" fillId="9" borderId="9" xfId="0" applyFont="false" applyBorder="true" applyAlignment="true" applyProtection="false">
      <alignment horizontal="center" vertical="center" textRotation="0" wrapText="false" indent="0" shrinkToFit="false"/>
      <protection locked="true" hidden="false"/>
    </xf>
    <xf numFmtId="166" fontId="5" fillId="0" borderId="0" xfId="0" applyFont="true" applyBorder="false" applyAlignment="true" applyProtection="false">
      <alignment horizontal="center" vertical="center" textRotation="0" wrapText="false" indent="0" shrinkToFit="false"/>
      <protection locked="true" hidden="false"/>
    </xf>
    <xf numFmtId="164" fontId="0" fillId="2" borderId="11" xfId="0" applyFont="true" applyBorder="true" applyAlignment="true" applyProtection="false">
      <alignment horizontal="left" vertical="center" textRotation="0" wrapText="false" indent="0" shrinkToFit="false"/>
      <protection locked="true" hidden="false"/>
    </xf>
    <xf numFmtId="164" fontId="6" fillId="2" borderId="12" xfId="0" applyFont="true" applyBorder="true" applyAlignment="true" applyProtection="false">
      <alignment horizontal="left" vertical="center" textRotation="0" wrapText="false" indent="0" shrinkToFit="false"/>
      <protection locked="true" hidden="false"/>
    </xf>
    <xf numFmtId="165" fontId="0" fillId="2" borderId="12" xfId="0" applyFont="false" applyBorder="true" applyAlignment="true" applyProtection="false">
      <alignment horizontal="center" vertical="center" textRotation="0" wrapText="false" indent="0" shrinkToFit="false"/>
      <protection locked="true" hidden="false"/>
    </xf>
    <xf numFmtId="166" fontId="0" fillId="2" borderId="12" xfId="0" applyFont="true" applyBorder="true" applyAlignment="true" applyProtection="false">
      <alignment horizontal="center" vertical="center" textRotation="0" wrapText="false" indent="0" shrinkToFit="false"/>
      <protection locked="true" hidden="false"/>
    </xf>
    <xf numFmtId="167" fontId="0" fillId="2" borderId="13" xfId="0" applyFont="false" applyBorder="true" applyAlignment="true" applyProtection="false">
      <alignment horizontal="center" vertical="center" textRotation="0" wrapText="false" indent="0" shrinkToFit="false"/>
      <protection locked="true" hidden="false"/>
    </xf>
    <xf numFmtId="164" fontId="6" fillId="0" borderId="0" xfId="0" applyFont="true" applyBorder="false" applyAlignment="true" applyProtection="false">
      <alignment horizontal="center" vertical="center" textRotation="0" wrapText="false" indent="0" shrinkToFit="false"/>
      <protection locked="true" hidden="false"/>
    </xf>
    <xf numFmtId="164" fontId="6" fillId="2" borderId="11" xfId="0" applyFont="true" applyBorder="true" applyAlignment="true" applyProtection="false">
      <alignment horizontal="general" vertical="center" textRotation="0" wrapText="false" indent="0" shrinkToFit="false"/>
      <protection locked="true" hidden="false"/>
    </xf>
    <xf numFmtId="164" fontId="0" fillId="6" borderId="17" xfId="0" applyFont="true" applyBorder="true" applyAlignment="true" applyProtection="false">
      <alignment horizontal="left" vertical="center" textRotation="0" wrapText="false" indent="0" shrinkToFit="false"/>
      <protection locked="true" hidden="false"/>
    </xf>
    <xf numFmtId="164" fontId="6" fillId="6" borderId="18" xfId="0" applyFont="true" applyBorder="true" applyAlignment="true" applyProtection="false">
      <alignment horizontal="left" vertical="center" textRotation="0" wrapText="false" indent="0" shrinkToFit="false"/>
      <protection locked="true" hidden="false"/>
    </xf>
    <xf numFmtId="165" fontId="0" fillId="6" borderId="18" xfId="0" applyFont="false" applyBorder="true" applyAlignment="true" applyProtection="false">
      <alignment horizontal="center" vertical="center" textRotation="0" wrapText="false" indent="0" shrinkToFit="false"/>
      <protection locked="true" hidden="false"/>
    </xf>
    <xf numFmtId="166" fontId="0" fillId="6" borderId="18" xfId="0" applyFont="true" applyBorder="true" applyAlignment="true" applyProtection="false">
      <alignment horizontal="center" vertical="center" textRotation="0" wrapText="false" indent="0" shrinkToFit="false"/>
      <protection locked="true" hidden="false"/>
    </xf>
    <xf numFmtId="167" fontId="0" fillId="6" borderId="19" xfId="0" applyFont="false" applyBorder="true" applyAlignment="true" applyProtection="false">
      <alignment horizontal="center" vertical="center" textRotation="0" wrapText="false" indent="0" shrinkToFit="false"/>
      <protection locked="true" hidden="false"/>
    </xf>
    <xf numFmtId="164" fontId="10" fillId="4" borderId="0" xfId="0" applyFont="true" applyBorder="false" applyAlignment="true" applyProtection="false">
      <alignment horizontal="center" vertical="center" textRotation="0" wrapText="false" indent="0" shrinkToFit="false"/>
      <protection locked="true" hidden="false"/>
    </xf>
    <xf numFmtId="164" fontId="10" fillId="0" borderId="0" xfId="0" applyFont="true" applyBorder="false" applyAlignment="true" applyProtection="false">
      <alignment horizontal="center" vertical="center" textRotation="0" wrapText="false" indent="0" shrinkToFit="false"/>
      <protection locked="true" hidden="false"/>
    </xf>
    <xf numFmtId="164" fontId="5" fillId="0" borderId="0" xfId="0" applyFont="true" applyBorder="false" applyAlignment="true" applyProtection="false">
      <alignment horizontal="left" vertical="center" textRotation="0" wrapText="false" indent="0" shrinkToFit="false"/>
      <protection locked="true" hidden="false"/>
    </xf>
    <xf numFmtId="166" fontId="5" fillId="0" borderId="36" xfId="0" applyFont="true" applyBorder="true" applyAlignment="true" applyProtection="false">
      <alignment horizontal="center" vertical="center" textRotation="0" wrapText="false" indent="0" shrinkToFit="false"/>
      <protection locked="true" hidden="false"/>
    </xf>
    <xf numFmtId="166" fontId="5" fillId="0" borderId="37" xfId="0" applyFont="true" applyBorder="true" applyAlignment="true" applyProtection="false">
      <alignment horizontal="center" vertical="center" textRotation="0" wrapText="true" indent="0" shrinkToFit="false"/>
      <protection locked="true" hidden="false"/>
    </xf>
    <xf numFmtId="166" fontId="5" fillId="0" borderId="2" xfId="0" applyFont="true" applyBorder="true" applyAlignment="true" applyProtection="false">
      <alignment horizontal="general" vertical="center" textRotation="0" wrapText="false" indent="0" shrinkToFit="false"/>
      <protection locked="true" hidden="false"/>
    </xf>
    <xf numFmtId="166" fontId="5" fillId="0" borderId="4" xfId="0" applyFont="true" applyBorder="true" applyAlignment="true" applyProtection="false">
      <alignment horizontal="general" vertical="center" textRotation="0" wrapText="false" indent="0" shrinkToFit="false"/>
      <protection locked="true" hidden="false"/>
    </xf>
    <xf numFmtId="166" fontId="5" fillId="0" borderId="1" xfId="0" applyFont="true" applyBorder="true" applyAlignment="true" applyProtection="false">
      <alignment horizontal="center" vertical="center" textRotation="0" wrapText="false" indent="0" shrinkToFit="false"/>
      <protection locked="true" hidden="false"/>
    </xf>
    <xf numFmtId="166" fontId="0" fillId="5" borderId="7" xfId="0" applyFont="true" applyBorder="true" applyAlignment="true" applyProtection="false">
      <alignment horizontal="general" vertical="center" textRotation="0" wrapText="false" indent="0" shrinkToFit="false"/>
      <protection locked="true" hidden="false"/>
    </xf>
    <xf numFmtId="166" fontId="0" fillId="5" borderId="8" xfId="0" applyFont="true" applyBorder="true" applyAlignment="true" applyProtection="false">
      <alignment horizontal="general" vertical="center" textRotation="0" wrapText="true" indent="0" shrinkToFit="false"/>
      <protection locked="true" hidden="false"/>
    </xf>
    <xf numFmtId="166" fontId="0" fillId="0" borderId="24" xfId="0" applyFont="true" applyBorder="true" applyAlignment="true" applyProtection="false">
      <alignment horizontal="general" vertical="center" textRotation="0" wrapText="false" indent="0" shrinkToFit="false"/>
      <protection locked="true" hidden="false"/>
    </xf>
    <xf numFmtId="166" fontId="0" fillId="7" borderId="11" xfId="0" applyFont="true" applyBorder="true" applyAlignment="true" applyProtection="false">
      <alignment horizontal="general" vertical="center" textRotation="0" wrapText="false" indent="0" shrinkToFit="false"/>
      <protection locked="true" hidden="false"/>
    </xf>
    <xf numFmtId="166" fontId="0" fillId="0" borderId="27" xfId="0" applyFont="true" applyBorder="true" applyAlignment="true" applyProtection="false">
      <alignment horizontal="general" vertical="center" textRotation="0" wrapText="false" indent="0" shrinkToFit="false"/>
      <protection locked="true" hidden="false"/>
    </xf>
    <xf numFmtId="166" fontId="0" fillId="6" borderId="11" xfId="0" applyFont="true" applyBorder="true" applyAlignment="true" applyProtection="false">
      <alignment horizontal="left" vertical="center" textRotation="0" wrapText="false" indent="0" shrinkToFit="false"/>
      <protection locked="true" hidden="false"/>
    </xf>
    <xf numFmtId="166" fontId="0" fillId="0" borderId="27" xfId="0" applyFont="true" applyBorder="true" applyAlignment="true" applyProtection="false">
      <alignment horizontal="general" vertical="center" textRotation="0" wrapText="true" indent="0" shrinkToFit="false"/>
      <protection locked="true" hidden="false"/>
    </xf>
    <xf numFmtId="164" fontId="6" fillId="0" borderId="17" xfId="0" applyFont="true" applyBorder="true" applyAlignment="true" applyProtection="false">
      <alignment horizontal="general" vertical="center" textRotation="0" wrapText="false" indent="0" shrinkToFit="false"/>
      <protection locked="true" hidden="false"/>
    </xf>
    <xf numFmtId="166" fontId="0" fillId="8" borderId="11" xfId="0" applyFont="true" applyBorder="true" applyAlignment="true" applyProtection="false">
      <alignment horizontal="left" vertical="center" textRotation="0" wrapText="false" indent="0" shrinkToFit="false"/>
      <protection locked="true" hidden="false"/>
    </xf>
    <xf numFmtId="166" fontId="0" fillId="8" borderId="12" xfId="0" applyFont="true" applyBorder="true" applyAlignment="true" applyProtection="false">
      <alignment horizontal="general" vertical="center" textRotation="0" wrapText="true" indent="0" shrinkToFit="false"/>
      <protection locked="true" hidden="false"/>
    </xf>
    <xf numFmtId="166" fontId="0" fillId="8" borderId="26" xfId="0" applyFont="true" applyBorder="true" applyAlignment="true" applyProtection="false">
      <alignment horizontal="left" vertical="center" textRotation="0" wrapText="true" indent="0" shrinkToFit="false"/>
      <protection locked="true" hidden="false"/>
    </xf>
    <xf numFmtId="166" fontId="0" fillId="0" borderId="30" xfId="0" applyFont="true" applyBorder="true" applyAlignment="true" applyProtection="false">
      <alignment horizontal="general" vertical="center" textRotation="0" wrapText="false" indent="0" shrinkToFit="false"/>
      <protection locked="true" hidden="false"/>
    </xf>
    <xf numFmtId="166" fontId="0" fillId="0" borderId="19" xfId="0" applyFont="true" applyBorder="true" applyAlignment="true" applyProtection="false">
      <alignment horizontal="left" vertical="center" textRotation="0" wrapText="false" indent="0" shrinkToFit="false"/>
      <protection locked="true" hidden="false"/>
    </xf>
    <xf numFmtId="164" fontId="8" fillId="0" borderId="8" xfId="0" applyFont="true" applyBorder="true" applyAlignment="true" applyProtection="false">
      <alignment horizontal="general" vertical="center" textRotation="0" wrapText="false" indent="0" shrinkToFit="false"/>
      <protection locked="true" hidden="false"/>
    </xf>
    <xf numFmtId="164" fontId="6" fillId="0" borderId="12" xfId="0" applyFont="true" applyBorder="true" applyAlignment="true" applyProtection="false">
      <alignment horizontal="center" vertical="center" textRotation="0" wrapText="false" indent="0" shrinkToFit="false"/>
      <protection locked="true" hidden="false"/>
    </xf>
    <xf numFmtId="164" fontId="6" fillId="0" borderId="12" xfId="0" applyFont="true" applyBorder="true" applyAlignment="true" applyProtection="false">
      <alignment horizontal="center" vertical="center" textRotation="0" wrapText="true" indent="0" shrinkToFit="false"/>
      <protection locked="true" hidden="false"/>
    </xf>
    <xf numFmtId="167" fontId="6" fillId="0" borderId="12" xfId="0" applyFont="true" applyBorder="true" applyAlignment="true" applyProtection="false">
      <alignment horizontal="center" vertical="center" textRotation="0" wrapText="false" indent="0" shrinkToFit="false"/>
      <protection locked="true" hidden="false"/>
    </xf>
    <xf numFmtId="164" fontId="6" fillId="0" borderId="13" xfId="0" applyFont="true" applyBorder="true" applyAlignment="true" applyProtection="false">
      <alignment horizontal="center" vertical="center" textRotation="0" wrapText="false" indent="0" shrinkToFit="false"/>
      <protection locked="true" hidden="false"/>
    </xf>
    <xf numFmtId="164" fontId="6" fillId="0" borderId="18" xfId="0" applyFont="true" applyBorder="true" applyAlignment="true" applyProtection="false">
      <alignment horizontal="center" vertical="center" textRotation="0" wrapText="false" indent="0" shrinkToFit="false"/>
      <protection locked="true" hidden="false"/>
    </xf>
    <xf numFmtId="164" fontId="6" fillId="0" borderId="18" xfId="0" applyFont="true" applyBorder="true" applyAlignment="true" applyProtection="false">
      <alignment horizontal="center" vertical="center" textRotation="0" wrapText="true" indent="0" shrinkToFit="false"/>
      <protection locked="true" hidden="false"/>
    </xf>
    <xf numFmtId="167" fontId="6" fillId="0" borderId="18" xfId="0" applyFont="true" applyBorder="true" applyAlignment="true" applyProtection="false">
      <alignment horizontal="center" vertical="center" textRotation="0" wrapText="false" indent="0" shrinkToFit="false"/>
      <protection locked="true" hidden="false"/>
    </xf>
    <xf numFmtId="164" fontId="6" fillId="0" borderId="19" xfId="0" applyFont="true" applyBorder="true" applyAlignment="true" applyProtection="false">
      <alignment horizontal="center" vertical="center" textRotation="0" wrapText="false" indent="0" shrinkToFit="false"/>
      <protection locked="true" hidden="false"/>
    </xf>
    <xf numFmtId="167" fontId="6" fillId="5" borderId="0" xfId="0" applyFont="true" applyBorder="false" applyAlignment="true" applyProtection="false">
      <alignment horizontal="center" vertical="center" textRotation="0" wrapText="false" indent="0" shrinkToFit="false"/>
      <protection locked="true" hidden="false"/>
    </xf>
    <xf numFmtId="164" fontId="6" fillId="0" borderId="8" xfId="0" applyFont="true" applyBorder="true" applyAlignment="true" applyProtection="false">
      <alignment horizontal="center" vertical="center" textRotation="0" wrapText="false" indent="0" shrinkToFit="false"/>
      <protection locked="true" hidden="false"/>
    </xf>
    <xf numFmtId="164" fontId="6" fillId="0" borderId="8" xfId="0" applyFont="true" applyBorder="true" applyAlignment="true" applyProtection="false">
      <alignment horizontal="center" vertical="center" textRotation="0" wrapText="true" indent="0" shrinkToFit="false"/>
      <protection locked="true" hidden="false"/>
    </xf>
    <xf numFmtId="164" fontId="6" fillId="0" borderId="33" xfId="0" applyFont="true" applyBorder="true" applyAlignment="true" applyProtection="false">
      <alignment horizontal="center" vertical="center" textRotation="0" wrapText="true" indent="0" shrinkToFit="false"/>
      <protection locked="true" hidden="false"/>
    </xf>
    <xf numFmtId="167" fontId="6" fillId="0" borderId="8" xfId="0" applyFont="true" applyBorder="true" applyAlignment="true" applyProtection="false">
      <alignment horizontal="center" vertical="center" textRotation="0" wrapText="false" indent="0" shrinkToFit="false"/>
      <protection locked="true" hidden="false"/>
    </xf>
    <xf numFmtId="164" fontId="6" fillId="0" borderId="9" xfId="0" applyFont="true" applyBorder="true" applyAlignment="true" applyProtection="false">
      <alignment horizontal="center" vertical="center" textRotation="0" wrapText="false" indent="0" shrinkToFit="false"/>
      <protection locked="true" hidden="false"/>
    </xf>
    <xf numFmtId="164" fontId="6" fillId="0" borderId="0" xfId="0" applyFont="true" applyBorder="false" applyAlignment="true" applyProtection="false">
      <alignment horizontal="center" vertical="center" textRotation="0" wrapText="true" indent="0" shrinkToFit="false"/>
      <protection locked="true" hidden="false"/>
    </xf>
    <xf numFmtId="167" fontId="6" fillId="0" borderId="12" xfId="0" applyFont="true" applyBorder="true" applyAlignment="true" applyProtection="false">
      <alignment horizontal="center" vertical="center" textRotation="0" wrapText="true" indent="0" shrinkToFit="false"/>
      <protection locked="true" hidden="false"/>
    </xf>
    <xf numFmtId="164" fontId="0" fillId="9" borderId="8" xfId="0" applyFont="true" applyBorder="true" applyAlignment="true" applyProtection="false">
      <alignment horizontal="general" vertical="center" textRotation="0" wrapText="false" indent="0" shrinkToFit="false"/>
      <protection locked="true" hidden="false"/>
    </xf>
    <xf numFmtId="169" fontId="6" fillId="9" borderId="8" xfId="0" applyFont="true" applyBorder="true" applyAlignment="true" applyProtection="false">
      <alignment horizontal="center" vertical="center" textRotation="0" wrapText="false" indent="0" shrinkToFit="false"/>
      <protection locked="true" hidden="false"/>
    </xf>
    <xf numFmtId="164" fontId="6" fillId="9" borderId="8" xfId="0" applyFont="true" applyBorder="true" applyAlignment="true" applyProtection="false">
      <alignment horizontal="center" vertical="center" textRotation="0" wrapText="false" indent="0" shrinkToFit="false"/>
      <protection locked="true" hidden="false"/>
    </xf>
    <xf numFmtId="164" fontId="6" fillId="9" borderId="8" xfId="0" applyFont="true" applyBorder="true" applyAlignment="true" applyProtection="false">
      <alignment horizontal="general" vertical="center" textRotation="0" wrapText="false" indent="0" shrinkToFit="false"/>
      <protection locked="true" hidden="false"/>
    </xf>
    <xf numFmtId="167" fontId="6" fillId="9" borderId="9" xfId="0" applyFont="true" applyBorder="true" applyAlignment="true" applyProtection="false">
      <alignment horizontal="center" vertical="center" textRotation="0" wrapText="true" indent="0" shrinkToFit="false"/>
      <protection locked="true" hidden="false"/>
    </xf>
    <xf numFmtId="169" fontId="6" fillId="2" borderId="12" xfId="0" applyFont="true" applyBorder="true" applyAlignment="true" applyProtection="false">
      <alignment horizontal="center" vertical="center" textRotation="0" wrapText="false" indent="0" shrinkToFit="false"/>
      <protection locked="true" hidden="false"/>
    </xf>
    <xf numFmtId="164" fontId="6" fillId="2" borderId="12" xfId="0" applyFont="true" applyBorder="true" applyAlignment="true" applyProtection="false">
      <alignment horizontal="center" vertical="center" textRotation="0" wrapText="false" indent="0" shrinkToFit="false"/>
      <protection locked="true" hidden="false"/>
    </xf>
    <xf numFmtId="164" fontId="6" fillId="2" borderId="12" xfId="0" applyFont="true" applyBorder="true" applyAlignment="true" applyProtection="false">
      <alignment horizontal="general" vertical="center" textRotation="0" wrapText="false" indent="0" shrinkToFit="false"/>
      <protection locked="true" hidden="false"/>
    </xf>
    <xf numFmtId="167" fontId="6" fillId="2" borderId="13" xfId="0" applyFont="true" applyBorder="true" applyAlignment="true" applyProtection="false">
      <alignment horizontal="center" vertical="center" textRotation="0" wrapText="true" indent="0" shrinkToFit="false"/>
      <protection locked="true" hidden="false"/>
    </xf>
    <xf numFmtId="164" fontId="0" fillId="0" borderId="0" xfId="0" applyFont="false" applyBorder="true" applyAlignment="true" applyProtection="false">
      <alignment horizontal="center" vertical="center" textRotation="0" wrapText="false" indent="0" shrinkToFit="false"/>
      <protection locked="true" hidden="false"/>
    </xf>
    <xf numFmtId="170" fontId="0" fillId="0" borderId="0" xfId="0" applyFont="false" applyBorder="false" applyAlignment="true" applyProtection="false">
      <alignment horizontal="center" vertical="center" textRotation="0" wrapText="false" indent="0" shrinkToFit="false"/>
      <protection locked="true" hidden="false"/>
    </xf>
    <xf numFmtId="169" fontId="0" fillId="0" borderId="0" xfId="0" applyFont="false" applyBorder="false" applyAlignment="true" applyProtection="false">
      <alignment horizontal="center" vertical="center" textRotation="0" wrapText="false" indent="0" shrinkToFit="false"/>
      <protection locked="true" hidden="false"/>
    </xf>
    <xf numFmtId="164" fontId="0" fillId="2" borderId="12" xfId="0" applyFont="true" applyBorder="true" applyAlignment="true" applyProtection="false">
      <alignment horizontal="general" vertical="center" textRotation="0" wrapText="false" indent="0" shrinkToFit="false"/>
      <protection locked="true" hidden="false"/>
    </xf>
    <xf numFmtId="164" fontId="6" fillId="6" borderId="17" xfId="0" applyFont="true" applyBorder="true" applyAlignment="true" applyProtection="false">
      <alignment horizontal="general" vertical="center" textRotation="0" wrapText="false" indent="0" shrinkToFit="false"/>
      <protection locked="true" hidden="false"/>
    </xf>
    <xf numFmtId="169" fontId="6" fillId="6" borderId="18" xfId="0" applyFont="true" applyBorder="true" applyAlignment="true" applyProtection="false">
      <alignment horizontal="center" vertical="center" textRotation="0" wrapText="false" indent="0" shrinkToFit="false"/>
      <protection locked="true" hidden="false"/>
    </xf>
    <xf numFmtId="164" fontId="6" fillId="6" borderId="18" xfId="0" applyFont="true" applyBorder="true" applyAlignment="true" applyProtection="false">
      <alignment horizontal="center" vertical="center" textRotation="0" wrapText="false" indent="0" shrinkToFit="false"/>
      <protection locked="true" hidden="false"/>
    </xf>
    <xf numFmtId="164" fontId="6" fillId="6" borderId="18" xfId="0" applyFont="true" applyBorder="true" applyAlignment="true" applyProtection="false">
      <alignment horizontal="general" vertical="center" textRotation="0" wrapText="false" indent="0" shrinkToFit="false"/>
      <protection locked="true" hidden="false"/>
    </xf>
    <xf numFmtId="167" fontId="6" fillId="6" borderId="19" xfId="0" applyFont="true" applyBorder="true" applyAlignment="true" applyProtection="false">
      <alignment horizontal="center" vertical="center" textRotation="0" wrapText="true" indent="0" shrinkToFit="false"/>
      <protection locked="true" hidden="false"/>
    </xf>
    <xf numFmtId="164" fontId="0" fillId="2" borderId="0" xfId="0" applyFont="false" applyBorder="false" applyAlignment="true" applyProtection="false">
      <alignment horizontal="center" vertical="center" textRotation="0" wrapText="false" indent="0" shrinkToFit="false"/>
      <protection locked="true" hidden="false"/>
    </xf>
    <xf numFmtId="166" fontId="0" fillId="5" borderId="25" xfId="0" applyFont="true" applyBorder="true" applyAlignment="true" applyProtection="false">
      <alignment horizontal="general" vertical="center" textRotation="0" wrapText="false" indent="0" shrinkToFit="false"/>
      <protection locked="true" hidden="false"/>
    </xf>
    <xf numFmtId="166" fontId="0" fillId="5" borderId="9" xfId="0" applyFont="true" applyBorder="true" applyAlignment="true" applyProtection="false">
      <alignment horizontal="left" vertical="center" textRotation="0" wrapText="true" indent="0" shrinkToFit="false"/>
      <protection locked="true" hidden="false"/>
    </xf>
    <xf numFmtId="166" fontId="0" fillId="0" borderId="38" xfId="0" applyFont="true" applyBorder="true" applyAlignment="true" applyProtection="false">
      <alignment horizontal="general" vertical="center" textRotation="0" wrapText="true" indent="0" shrinkToFit="false"/>
      <protection locked="true" hidden="false"/>
    </xf>
    <xf numFmtId="166" fontId="0" fillId="0" borderId="7" xfId="0" applyFont="true" applyBorder="true" applyAlignment="true" applyProtection="false">
      <alignment horizontal="general" vertical="center" textRotation="0" wrapText="false" indent="0" shrinkToFit="false"/>
      <protection locked="true" hidden="false"/>
    </xf>
    <xf numFmtId="166" fontId="0" fillId="7" borderId="28" xfId="0" applyFont="true" applyBorder="true" applyAlignment="true" applyProtection="false">
      <alignment horizontal="general" vertical="center" textRotation="0" wrapText="false" indent="0" shrinkToFit="false"/>
      <protection locked="true" hidden="false"/>
    </xf>
    <xf numFmtId="166" fontId="0" fillId="7" borderId="13" xfId="0" applyFont="true" applyBorder="true" applyAlignment="true" applyProtection="false">
      <alignment horizontal="left" vertical="center" textRotation="0" wrapText="true" indent="0" shrinkToFit="false"/>
      <protection locked="true" hidden="false"/>
    </xf>
    <xf numFmtId="166" fontId="0" fillId="0" borderId="39" xfId="0" applyFont="true" applyBorder="true" applyAlignment="true" applyProtection="false">
      <alignment horizontal="general" vertical="center" textRotation="0" wrapText="true" indent="0" shrinkToFit="false"/>
      <protection locked="true" hidden="false"/>
    </xf>
    <xf numFmtId="166" fontId="0" fillId="0" borderId="11" xfId="0" applyFont="true" applyBorder="true" applyAlignment="true" applyProtection="false">
      <alignment horizontal="general" vertical="center" textRotation="0" wrapText="false" indent="0" shrinkToFit="false"/>
      <protection locked="true" hidden="false"/>
    </xf>
    <xf numFmtId="166" fontId="0" fillId="6" borderId="28" xfId="0" applyFont="true" applyBorder="true" applyAlignment="true" applyProtection="false">
      <alignment horizontal="general" vertical="center" textRotation="0" wrapText="true" indent="0" shrinkToFit="false"/>
      <protection locked="true" hidden="false"/>
    </xf>
    <xf numFmtId="166" fontId="0" fillId="8" borderId="31" xfId="0" applyFont="true" applyBorder="true" applyAlignment="true" applyProtection="false">
      <alignment horizontal="general" vertical="center" textRotation="0" wrapText="true" indent="0" shrinkToFit="false"/>
      <protection locked="true" hidden="false"/>
    </xf>
    <xf numFmtId="166" fontId="0" fillId="8" borderId="19" xfId="0" applyFont="true" applyBorder="true" applyAlignment="true" applyProtection="false">
      <alignment horizontal="left" vertical="center" textRotation="0" wrapText="true" indent="0" shrinkToFit="false"/>
      <protection locked="true" hidden="false"/>
    </xf>
    <xf numFmtId="166" fontId="0" fillId="0" borderId="40" xfId="0" applyFont="true" applyBorder="true" applyAlignment="true" applyProtection="false">
      <alignment horizontal="general" vertical="center" textRotation="0" wrapText="false" indent="0" shrinkToFit="false"/>
      <protection locked="true" hidden="false"/>
    </xf>
    <xf numFmtId="166" fontId="0" fillId="0" borderId="17" xfId="0" applyFont="true" applyBorder="true" applyAlignment="true" applyProtection="false">
      <alignment horizontal="general" vertical="center" textRotation="0" wrapText="true" indent="0" shrinkToFit="false"/>
      <protection locked="true" hidden="false"/>
    </xf>
    <xf numFmtId="166" fontId="0" fillId="0" borderId="18" xfId="0" applyFont="true" applyBorder="true" applyAlignment="true" applyProtection="false">
      <alignment horizontal="general" vertical="center" textRotation="0" wrapText="true" indent="0" shrinkToFit="false"/>
      <protection locked="true" hidden="false"/>
    </xf>
    <xf numFmtId="164" fontId="8" fillId="0" borderId="12" xfId="0" applyFont="true" applyBorder="true" applyAlignment="true" applyProtection="false">
      <alignment horizontal="general" vertical="center" textRotation="0" wrapText="false" indent="0" shrinkToFit="false"/>
      <protection locked="true" hidden="false"/>
    </xf>
    <xf numFmtId="167" fontId="6" fillId="2" borderId="12" xfId="0" applyFont="true" applyBorder="true" applyAlignment="true" applyProtection="false">
      <alignment horizontal="center" vertical="center" textRotation="0" wrapText="false" indent="0" shrinkToFit="false"/>
      <protection locked="true" hidden="false"/>
    </xf>
    <xf numFmtId="167" fontId="6" fillId="6" borderId="18" xfId="0" applyFont="true" applyBorder="true" applyAlignment="true" applyProtection="false">
      <alignment horizontal="center" vertical="center" textRotation="0" wrapText="false" indent="0" shrinkToFit="false"/>
      <protection locked="true" hidden="false"/>
    </xf>
    <xf numFmtId="164" fontId="8" fillId="0" borderId="17" xfId="0" applyFont="true" applyBorder="true" applyAlignment="true" applyProtection="false">
      <alignment horizontal="general" vertical="center" textRotation="0" wrapText="false" indent="0" shrinkToFit="false"/>
      <protection locked="true" hidden="false"/>
    </xf>
    <xf numFmtId="164" fontId="8" fillId="0" borderId="18" xfId="0" applyFont="true" applyBorder="true" applyAlignment="true" applyProtection="false">
      <alignment horizontal="left" vertical="center" textRotation="0" wrapText="false" indent="0" shrinkToFit="false"/>
      <protection locked="true" hidden="false"/>
    </xf>
    <xf numFmtId="164" fontId="8" fillId="0" borderId="18" xfId="0" applyFont="true" applyBorder="true" applyAlignment="true" applyProtection="false">
      <alignment horizontal="center" vertical="center" textRotation="0" wrapText="false" indent="0" shrinkToFit="false"/>
      <protection locked="true" hidden="false"/>
    </xf>
    <xf numFmtId="164" fontId="8" fillId="0" borderId="18" xfId="0" applyFont="true" applyBorder="true" applyAlignment="true" applyProtection="false">
      <alignment horizontal="center" vertical="center" textRotation="0" wrapText="true" indent="0" shrinkToFit="false"/>
      <protection locked="true" hidden="false"/>
    </xf>
    <xf numFmtId="167" fontId="8" fillId="0" borderId="18" xfId="0" applyFont="true" applyBorder="true" applyAlignment="true" applyProtection="false">
      <alignment horizontal="center" vertical="center" textRotation="0" wrapText="false" indent="0" shrinkToFit="false"/>
      <protection locked="true" hidden="false"/>
    </xf>
    <xf numFmtId="164" fontId="8" fillId="0" borderId="19" xfId="0" applyFont="true" applyBorder="true" applyAlignment="true" applyProtection="false">
      <alignment horizontal="center" vertical="center" textRotation="0" wrapText="false" indent="0" shrinkToFit="false"/>
      <protection locked="true" hidden="false"/>
    </xf>
    <xf numFmtId="169" fontId="6" fillId="0" borderId="8" xfId="0" applyFont="true" applyBorder="true" applyAlignment="true" applyProtection="false">
      <alignment horizontal="center" vertical="center" textRotation="0" wrapText="false" indent="0" shrinkToFit="false"/>
      <protection locked="true" hidden="false"/>
    </xf>
    <xf numFmtId="169" fontId="6" fillId="0" borderId="12" xfId="0" applyFont="true" applyBorder="true" applyAlignment="true" applyProtection="false">
      <alignment horizontal="center" vertical="center" textRotation="0" wrapText="false" indent="0" shrinkToFit="false"/>
      <protection locked="true" hidden="false"/>
    </xf>
    <xf numFmtId="169" fontId="8" fillId="0" borderId="18" xfId="0" applyFont="true" applyBorder="true" applyAlignment="true" applyProtection="false">
      <alignment horizontal="center" vertical="center" textRotation="0" wrapText="false" indent="0" shrinkToFit="false"/>
      <protection locked="true" hidden="false"/>
    </xf>
    <xf numFmtId="164" fontId="6" fillId="9" borderId="8" xfId="0" applyFont="true" applyBorder="true" applyAlignment="true" applyProtection="false">
      <alignment horizontal="left" vertical="center" textRotation="0" wrapText="false" indent="0" shrinkToFit="false"/>
      <protection locked="true" hidden="false"/>
    </xf>
    <xf numFmtId="164" fontId="5" fillId="0" borderId="3" xfId="0" applyFont="true" applyBorder="true" applyAlignment="true" applyProtection="false">
      <alignment horizontal="left" vertical="center" textRotation="0" wrapText="false" indent="0" shrinkToFit="false"/>
      <protection locked="true" hidden="false"/>
    </xf>
    <xf numFmtId="164" fontId="6" fillId="0" borderId="9" xfId="0" applyFont="true" applyBorder="true" applyAlignment="true" applyProtection="false">
      <alignment horizontal="left" vertical="center" textRotation="0" wrapText="false" indent="0" shrinkToFit="false"/>
      <protection locked="true" hidden="false"/>
    </xf>
    <xf numFmtId="164" fontId="6" fillId="0" borderId="13" xfId="0" applyFont="true" applyBorder="true" applyAlignment="true" applyProtection="false">
      <alignment horizontal="left" vertical="center" textRotation="0" wrapText="false" indent="0" shrinkToFit="false"/>
      <protection locked="true" hidden="false"/>
    </xf>
    <xf numFmtId="164" fontId="6" fillId="0" borderId="12" xfId="0" applyFont="true" applyBorder="true" applyAlignment="true" applyProtection="false">
      <alignment horizontal="left" vertical="center" textRotation="0" wrapText="true" indent="0" shrinkToFit="false"/>
      <protection locked="true" hidden="false"/>
    </xf>
    <xf numFmtId="165" fontId="0" fillId="0" borderId="41" xfId="0" applyFont="false" applyBorder="true" applyAlignment="true" applyProtection="false">
      <alignment horizontal="left" vertical="center" textRotation="0" wrapText="false" indent="0" shrinkToFit="false"/>
      <protection locked="true" hidden="false"/>
    </xf>
    <xf numFmtId="164" fontId="0" fillId="0" borderId="42" xfId="0" applyFont="false" applyBorder="true" applyAlignment="true" applyProtection="false">
      <alignment horizontal="center" vertical="center" textRotation="0" wrapText="false" indent="0" shrinkToFit="false"/>
      <protection locked="true" hidden="false"/>
    </xf>
    <xf numFmtId="164" fontId="6" fillId="0" borderId="19" xfId="0" applyFont="true" applyBorder="true" applyAlignment="true" applyProtection="false">
      <alignment horizontal="left" vertical="center" textRotation="0" wrapText="false" indent="0" shrinkToFit="false"/>
      <protection locked="true" hidden="false"/>
    </xf>
    <xf numFmtId="164" fontId="6" fillId="0" borderId="0" xfId="0" applyFont="true" applyBorder="false" applyAlignment="true" applyProtection="false">
      <alignment horizontal="left" vertical="center" textRotation="0" wrapText="false" indent="0" shrinkToFit="false"/>
      <protection locked="true" hidden="false"/>
    </xf>
    <xf numFmtId="164" fontId="0" fillId="0" borderId="0" xfId="0" applyFont="false" applyBorder="false" applyAlignment="true" applyProtection="false">
      <alignment horizontal="left" vertical="center" textRotation="0" wrapText="true" indent="0" shrinkToFit="false"/>
      <protection locked="true" hidden="false"/>
    </xf>
    <xf numFmtId="164" fontId="6" fillId="0" borderId="43" xfId="0" applyFont="true" applyBorder="true" applyAlignment="true" applyProtection="false">
      <alignment horizontal="general" vertical="center" textRotation="0" wrapText="false" indent="0" shrinkToFit="false"/>
      <protection locked="true" hidden="false"/>
    </xf>
    <xf numFmtId="164" fontId="6" fillId="0" borderId="10" xfId="0" applyFont="true" applyBorder="true" applyAlignment="true" applyProtection="false">
      <alignment horizontal="left" vertical="center" textRotation="0" wrapText="false" indent="0" shrinkToFit="false"/>
      <protection locked="true" hidden="false"/>
    </xf>
    <xf numFmtId="164" fontId="0" fillId="0" borderId="10" xfId="0" applyFont="true" applyBorder="true" applyAlignment="true" applyProtection="false">
      <alignment horizontal="left" vertical="center" textRotation="0" wrapText="true" indent="0" shrinkToFit="false"/>
      <protection locked="true" hidden="false"/>
    </xf>
    <xf numFmtId="164" fontId="0" fillId="0" borderId="10" xfId="0" applyFont="true" applyBorder="true" applyAlignment="true" applyProtection="false">
      <alignment horizontal="left" vertical="center" textRotation="0" wrapText="false" indent="0" shrinkToFit="false"/>
      <protection locked="true" hidden="false"/>
    </xf>
    <xf numFmtId="164" fontId="0" fillId="0" borderId="22" xfId="0" applyFont="true" applyBorder="true" applyAlignment="true" applyProtection="false">
      <alignment horizontal="general" vertical="center" textRotation="0" wrapText="false" indent="0" shrinkToFit="false"/>
      <protection locked="true" hidden="false"/>
    </xf>
    <xf numFmtId="166" fontId="5" fillId="0" borderId="1" xfId="0" applyFont="true" applyBorder="true" applyAlignment="true" applyProtection="false">
      <alignment horizontal="general" vertical="center" textRotation="0" wrapText="false" indent="0" shrinkToFit="false"/>
      <protection locked="true" hidden="false"/>
    </xf>
    <xf numFmtId="164" fontId="6" fillId="0" borderId="7" xfId="0" applyFont="true" applyBorder="true" applyAlignment="true" applyProtection="false">
      <alignment horizontal="left" vertical="center" textRotation="0" wrapText="false" indent="0" shrinkToFit="false"/>
      <protection locked="true" hidden="false"/>
    </xf>
    <xf numFmtId="166" fontId="0" fillId="5" borderId="25" xfId="0" applyFont="true" applyBorder="true" applyAlignment="true" applyProtection="false">
      <alignment horizontal="left" vertical="center" textRotation="0" wrapText="false" indent="0" shrinkToFit="false"/>
      <protection locked="true" hidden="false"/>
    </xf>
    <xf numFmtId="166" fontId="0" fillId="5" borderId="8" xfId="0" applyFont="true" applyBorder="true" applyAlignment="true" applyProtection="false">
      <alignment horizontal="left" vertical="center" textRotation="0" wrapText="false" indent="0" shrinkToFit="false"/>
      <protection locked="true" hidden="false"/>
    </xf>
    <xf numFmtId="166" fontId="0" fillId="5" borderId="42" xfId="0" applyFont="true" applyBorder="true" applyAlignment="true" applyProtection="false">
      <alignment horizontal="left" vertical="center" textRotation="0" wrapText="true" indent="0" shrinkToFit="false"/>
      <protection locked="true" hidden="false"/>
    </xf>
    <xf numFmtId="166" fontId="0" fillId="0" borderId="24" xfId="0" applyFont="true" applyBorder="true" applyAlignment="true" applyProtection="false">
      <alignment horizontal="left" vertical="center" textRotation="0" wrapText="false" indent="0" shrinkToFit="false"/>
      <protection locked="true" hidden="false"/>
    </xf>
    <xf numFmtId="166" fontId="0" fillId="0" borderId="25" xfId="0" applyFont="true" applyBorder="true" applyAlignment="true" applyProtection="false">
      <alignment horizontal="left" vertical="center" textRotation="0" wrapText="false" indent="0" shrinkToFit="false"/>
      <protection locked="true" hidden="false"/>
    </xf>
    <xf numFmtId="166" fontId="0" fillId="0" borderId="8" xfId="0" applyFont="true" applyBorder="true" applyAlignment="true" applyProtection="false">
      <alignment horizontal="left" vertical="center" textRotation="0" wrapText="false" indent="0" shrinkToFit="false"/>
      <protection locked="true" hidden="false"/>
    </xf>
    <xf numFmtId="166" fontId="0" fillId="5" borderId="44" xfId="0" applyFont="true" applyBorder="true" applyAlignment="true" applyProtection="false">
      <alignment horizontal="left" vertical="center" textRotation="0" wrapText="true" indent="0" shrinkToFit="false"/>
      <protection locked="true" hidden="false"/>
    </xf>
    <xf numFmtId="164" fontId="6" fillId="0" borderId="11" xfId="0" applyFont="true" applyBorder="true" applyAlignment="true" applyProtection="false">
      <alignment horizontal="left" vertical="center" textRotation="0" wrapText="false" indent="0" shrinkToFit="false"/>
      <protection locked="true" hidden="false"/>
    </xf>
    <xf numFmtId="166" fontId="0" fillId="7" borderId="28" xfId="0" applyFont="true" applyBorder="true" applyAlignment="true" applyProtection="false">
      <alignment horizontal="left" vertical="center" textRotation="0" wrapText="false" indent="0" shrinkToFit="false"/>
      <protection locked="true" hidden="false"/>
    </xf>
    <xf numFmtId="166" fontId="0" fillId="7" borderId="15" xfId="0" applyFont="true" applyBorder="true" applyAlignment="true" applyProtection="false">
      <alignment horizontal="left" vertical="center" textRotation="0" wrapText="true" indent="0" shrinkToFit="false"/>
      <protection locked="true" hidden="false"/>
    </xf>
    <xf numFmtId="166" fontId="0" fillId="6" borderId="27" xfId="0" applyFont="true" applyBorder="true" applyAlignment="true" applyProtection="false">
      <alignment horizontal="left" vertical="center" textRotation="0" wrapText="true" indent="0" shrinkToFit="false"/>
      <protection locked="true" hidden="false"/>
    </xf>
    <xf numFmtId="166" fontId="0" fillId="0" borderId="28" xfId="0" applyFont="true" applyBorder="true" applyAlignment="true" applyProtection="false">
      <alignment horizontal="left" vertical="center" textRotation="0" wrapText="false" indent="0" shrinkToFit="false"/>
      <protection locked="true" hidden="false"/>
    </xf>
    <xf numFmtId="166" fontId="0" fillId="0" borderId="12" xfId="0" applyFont="true" applyBorder="true" applyAlignment="true" applyProtection="false">
      <alignment horizontal="left" vertical="center" textRotation="0" wrapText="false" indent="0" shrinkToFit="false"/>
      <protection locked="true" hidden="false"/>
    </xf>
    <xf numFmtId="166" fontId="0" fillId="7" borderId="44" xfId="0" applyFont="true" applyBorder="true" applyAlignment="true" applyProtection="false">
      <alignment horizontal="left" vertical="center" textRotation="0" wrapText="true" indent="0" shrinkToFit="false"/>
      <protection locked="true" hidden="false"/>
    </xf>
    <xf numFmtId="164" fontId="0" fillId="0" borderId="11" xfId="0" applyFont="true" applyBorder="true" applyAlignment="true" applyProtection="false">
      <alignment horizontal="left" vertical="center" textRotation="0" wrapText="false" indent="0" shrinkToFit="false"/>
      <protection locked="true" hidden="false"/>
    </xf>
    <xf numFmtId="166" fontId="0" fillId="6" borderId="28" xfId="0" applyFont="true" applyBorder="true" applyAlignment="true" applyProtection="false">
      <alignment horizontal="left" vertical="center" textRotation="0" wrapText="true" indent="0" shrinkToFit="false"/>
      <protection locked="true" hidden="false"/>
    </xf>
    <xf numFmtId="166" fontId="0" fillId="6" borderId="15" xfId="0" applyFont="true" applyBorder="true" applyAlignment="true" applyProtection="false">
      <alignment horizontal="left" vertical="center" textRotation="0" wrapText="true" indent="0" shrinkToFit="false"/>
      <protection locked="true" hidden="false"/>
    </xf>
    <xf numFmtId="166" fontId="0" fillId="7" borderId="27" xfId="0" applyFont="true" applyBorder="true" applyAlignment="true" applyProtection="false">
      <alignment horizontal="left" vertical="center" textRotation="0" wrapText="false" indent="0" shrinkToFit="false"/>
      <protection locked="true" hidden="false"/>
    </xf>
    <xf numFmtId="166" fontId="0" fillId="0" borderId="13" xfId="0" applyFont="true" applyBorder="true" applyAlignment="true" applyProtection="false">
      <alignment horizontal="left" vertical="center" textRotation="0" wrapText="true" indent="0" shrinkToFit="false"/>
      <protection locked="true" hidden="false"/>
    </xf>
    <xf numFmtId="166" fontId="0" fillId="6" borderId="44" xfId="0" applyFont="true" applyBorder="true" applyAlignment="true" applyProtection="false">
      <alignment horizontal="left" vertical="center" textRotation="0" wrapText="true" indent="0" shrinkToFit="false"/>
      <protection locked="true" hidden="false"/>
    </xf>
    <xf numFmtId="164" fontId="0" fillId="0" borderId="45" xfId="0" applyFont="true" applyBorder="true" applyAlignment="true" applyProtection="false">
      <alignment horizontal="left" vertical="center" textRotation="0" wrapText="false" indent="0" shrinkToFit="false"/>
      <protection locked="true" hidden="false"/>
    </xf>
    <xf numFmtId="164" fontId="0" fillId="0" borderId="40" xfId="0" applyFont="false" applyBorder="true" applyAlignment="true" applyProtection="false">
      <alignment horizontal="center" vertical="center" textRotation="0" wrapText="false" indent="0" shrinkToFit="false"/>
      <protection locked="true" hidden="false"/>
    </xf>
    <xf numFmtId="166" fontId="0" fillId="8" borderId="31" xfId="0" applyFont="true" applyBorder="true" applyAlignment="true" applyProtection="false">
      <alignment horizontal="left" vertical="center" textRotation="0" wrapText="true" indent="0" shrinkToFit="false"/>
      <protection locked="true" hidden="false"/>
    </xf>
    <xf numFmtId="166" fontId="0" fillId="8" borderId="15" xfId="0" applyFont="true" applyBorder="true" applyAlignment="true" applyProtection="false">
      <alignment horizontal="left" vertical="center" textRotation="0" wrapText="true" indent="0" shrinkToFit="false"/>
      <protection locked="true" hidden="false"/>
    </xf>
    <xf numFmtId="166" fontId="0" fillId="0" borderId="30" xfId="0" applyFont="true" applyBorder="true" applyAlignment="true" applyProtection="false">
      <alignment horizontal="left" vertical="center" textRotation="0" wrapText="false" indent="0" shrinkToFit="false"/>
      <protection locked="true" hidden="false"/>
    </xf>
    <xf numFmtId="166" fontId="0" fillId="0" borderId="46" xfId="0" applyFont="true" applyBorder="true" applyAlignment="true" applyProtection="false">
      <alignment horizontal="left" vertical="center" textRotation="0" wrapText="false" indent="0" shrinkToFit="false"/>
      <protection locked="true" hidden="false"/>
    </xf>
    <xf numFmtId="166" fontId="0" fillId="0" borderId="18" xfId="0" applyFont="true" applyBorder="true" applyAlignment="true" applyProtection="false">
      <alignment horizontal="left" vertical="center" textRotation="0" wrapText="false" indent="0" shrinkToFit="false"/>
      <protection locked="true" hidden="false"/>
    </xf>
    <xf numFmtId="166" fontId="0" fillId="0" borderId="40" xfId="0" applyFont="true" applyBorder="true" applyAlignment="true" applyProtection="false">
      <alignment horizontal="left" vertical="center" textRotation="0" wrapText="true" indent="0" shrinkToFit="false"/>
      <protection locked="true" hidden="false"/>
    </xf>
    <xf numFmtId="166" fontId="0" fillId="8" borderId="44" xfId="0" applyFont="true" applyBorder="true" applyAlignment="true" applyProtection="false">
      <alignment horizontal="left" vertical="center" textRotation="0" wrapText="true" indent="0" shrinkToFit="false"/>
      <protection locked="true" hidden="false"/>
    </xf>
    <xf numFmtId="166" fontId="0" fillId="8" borderId="47" xfId="0" applyFont="true" applyBorder="true" applyAlignment="true" applyProtection="false">
      <alignment horizontal="left" vertical="center" textRotation="0" wrapText="true" indent="0" shrinkToFit="false"/>
      <protection locked="true" hidden="false"/>
    </xf>
    <xf numFmtId="164" fontId="6" fillId="0" borderId="17" xfId="0" applyFont="true" applyBorder="true" applyAlignment="true" applyProtection="false">
      <alignment horizontal="left" vertical="center" textRotation="0" wrapText="false" indent="0" shrinkToFit="false"/>
      <protection locked="true" hidden="false"/>
    </xf>
    <xf numFmtId="164" fontId="8" fillId="0" borderId="17" xfId="0" applyFont="true" applyBorder="true" applyAlignment="true" applyProtection="false">
      <alignment horizontal="left" vertical="center" textRotation="0" wrapText="false" indent="0" shrinkToFit="false"/>
      <protection locked="true" hidden="false"/>
    </xf>
    <xf numFmtId="166" fontId="0" fillId="7" borderId="38" xfId="0" applyFont="true" applyBorder="true" applyAlignment="true" applyProtection="false">
      <alignment horizontal="left" vertical="center" textRotation="0" wrapText="true" indent="0" shrinkToFit="false"/>
      <protection locked="true" hidden="false"/>
    </xf>
    <xf numFmtId="166" fontId="0" fillId="0" borderId="7" xfId="0" applyFont="true" applyBorder="true" applyAlignment="true" applyProtection="false">
      <alignment horizontal="left" vertical="center" textRotation="0" wrapText="false" indent="0" shrinkToFit="false"/>
      <protection locked="true" hidden="false"/>
    </xf>
    <xf numFmtId="166" fontId="0" fillId="0" borderId="39" xfId="0" applyFont="true" applyBorder="true" applyAlignment="true" applyProtection="false">
      <alignment horizontal="left" vertical="center" textRotation="0" wrapText="false" indent="0" shrinkToFit="false"/>
      <protection locked="true" hidden="false"/>
    </xf>
    <xf numFmtId="166" fontId="0" fillId="0" borderId="11" xfId="0" applyFont="true" applyBorder="true" applyAlignment="true" applyProtection="false">
      <alignment horizontal="left" vertical="center" textRotation="0" wrapText="false" indent="0" shrinkToFit="false"/>
      <protection locked="true" hidden="false"/>
    </xf>
    <xf numFmtId="166" fontId="0" fillId="6" borderId="26" xfId="0" applyFont="true" applyBorder="true" applyAlignment="true" applyProtection="false">
      <alignment horizontal="left" vertical="center" textRotation="0" wrapText="false" indent="0" shrinkToFit="false"/>
      <protection locked="true" hidden="false"/>
    </xf>
    <xf numFmtId="166" fontId="0" fillId="0" borderId="39" xfId="0" applyFont="true" applyBorder="true" applyAlignment="true" applyProtection="false">
      <alignment horizontal="left" vertical="center" textRotation="0" wrapText="true" indent="0" shrinkToFit="false"/>
      <protection locked="true" hidden="false"/>
    </xf>
    <xf numFmtId="166" fontId="0" fillId="6" borderId="48" xfId="0" applyFont="true" applyBorder="true" applyAlignment="true" applyProtection="false">
      <alignment horizontal="left" vertical="center" textRotation="0" wrapText="true" indent="0" shrinkToFit="false"/>
      <protection locked="true" hidden="false"/>
    </xf>
    <xf numFmtId="166" fontId="0" fillId="8" borderId="17" xfId="0" applyFont="true" applyBorder="true" applyAlignment="true" applyProtection="false">
      <alignment horizontal="left" vertical="center" textRotation="0" wrapText="false" indent="0" shrinkToFit="false"/>
      <protection locked="true" hidden="false"/>
    </xf>
    <xf numFmtId="164" fontId="6" fillId="0" borderId="8" xfId="0" applyFont="true" applyBorder="true" applyAlignment="true" applyProtection="false">
      <alignment horizontal="left" vertical="center" textRotation="0" wrapText="true" indent="0" shrinkToFit="false"/>
      <protection locked="true" hidden="false"/>
    </xf>
    <xf numFmtId="166" fontId="0" fillId="5" borderId="48" xfId="0" applyFont="true" applyBorder="true" applyAlignment="true" applyProtection="false">
      <alignment horizontal="left" vertical="center" textRotation="0" wrapText="true" indent="0" shrinkToFit="false"/>
      <protection locked="true" hidden="false"/>
    </xf>
    <xf numFmtId="166" fontId="0" fillId="7" borderId="48" xfId="0" applyFont="true" applyBorder="true" applyAlignment="true" applyProtection="false">
      <alignment horizontal="left" vertical="center" textRotation="0" wrapText="true" indent="0" shrinkToFit="false"/>
      <protection locked="true" hidden="false"/>
    </xf>
    <xf numFmtId="164" fontId="0" fillId="0" borderId="17" xfId="0" applyFont="true" applyBorder="true" applyAlignment="true" applyProtection="false">
      <alignment horizontal="left" vertical="center" textRotation="0" wrapText="false" indent="0" shrinkToFit="false"/>
      <protection locked="true" hidden="false"/>
    </xf>
    <xf numFmtId="164" fontId="0" fillId="0" borderId="18" xfId="0" applyFont="true" applyBorder="true" applyAlignment="true" applyProtection="false">
      <alignment horizontal="general" vertical="center" textRotation="0" wrapText="true" indent="0" shrinkToFit="false"/>
      <protection locked="true" hidden="false"/>
    </xf>
    <xf numFmtId="166" fontId="0" fillId="6" borderId="17" xfId="0" applyFont="true" applyBorder="true" applyAlignment="true" applyProtection="false">
      <alignment horizontal="left" vertical="center" textRotation="0" wrapText="true" indent="0" shrinkToFit="false"/>
      <protection locked="true" hidden="false"/>
    </xf>
    <xf numFmtId="166" fontId="0" fillId="6" borderId="18" xfId="0" applyFont="true" applyBorder="true" applyAlignment="true" applyProtection="false">
      <alignment horizontal="general" vertical="center" textRotation="0" wrapText="true" indent="0" shrinkToFit="false"/>
      <protection locked="true" hidden="false"/>
    </xf>
    <xf numFmtId="166" fontId="0" fillId="6" borderId="19" xfId="0" applyFont="true" applyBorder="true" applyAlignment="true" applyProtection="false">
      <alignment horizontal="left" vertical="center" textRotation="0" wrapText="true" indent="0" shrinkToFit="false"/>
      <protection locked="true" hidden="false"/>
    </xf>
    <xf numFmtId="166" fontId="0" fillId="0" borderId="40" xfId="0" applyFont="true" applyBorder="true" applyAlignment="true" applyProtection="false">
      <alignment horizontal="general" vertical="center" textRotation="0" wrapText="true" indent="0" shrinkToFit="false"/>
      <protection locked="true" hidden="false"/>
    </xf>
    <xf numFmtId="166" fontId="0" fillId="0" borderId="17" xfId="0" applyFont="true" applyBorder="true" applyAlignment="true" applyProtection="false">
      <alignment horizontal="general" vertical="center" textRotation="0" wrapText="false" indent="0" shrinkToFit="false"/>
      <protection locked="true" hidden="false"/>
    </xf>
    <xf numFmtId="164" fontId="6" fillId="0" borderId="8" xfId="0" applyFont="true" applyBorder="true" applyAlignment="true" applyProtection="false">
      <alignment horizontal="general" vertical="center" textRotation="0" wrapText="true" indent="0" shrinkToFit="false"/>
      <protection locked="true" hidden="false"/>
    </xf>
    <xf numFmtId="164" fontId="8" fillId="0" borderId="18" xfId="0" applyFont="true" applyBorder="true" applyAlignment="true" applyProtection="false">
      <alignment horizontal="general" vertical="center" textRotation="0" wrapText="true" indent="0" shrinkToFit="false"/>
      <protection locked="true" hidden="false"/>
    </xf>
    <xf numFmtId="164" fontId="10" fillId="2" borderId="0" xfId="0" applyFont="true" applyBorder="false" applyAlignment="true" applyProtection="false">
      <alignment horizontal="general" vertical="center" textRotation="0" wrapText="false" indent="0" shrinkToFit="false"/>
      <protection locked="true" hidden="false"/>
    </xf>
    <xf numFmtId="166" fontId="5" fillId="2" borderId="0" xfId="0" applyFont="true" applyBorder="false" applyAlignment="true" applyProtection="false">
      <alignment horizontal="center" vertical="center" textRotation="0" wrapText="true" indent="0" shrinkToFit="false"/>
      <protection locked="true" hidden="false"/>
    </xf>
    <xf numFmtId="164" fontId="5" fillId="2" borderId="0" xfId="0" applyFont="true" applyBorder="false" applyAlignment="true" applyProtection="false">
      <alignment horizontal="center" vertical="center" textRotation="0" wrapText="true" indent="0" shrinkToFit="false"/>
      <protection locked="true" hidden="false"/>
    </xf>
    <xf numFmtId="164" fontId="0" fillId="9" borderId="8" xfId="0" applyFont="true" applyBorder="true" applyAlignment="true" applyProtection="false">
      <alignment horizontal="general" vertical="center" textRotation="0" wrapText="true" indent="0" shrinkToFit="false"/>
      <protection locked="true" hidden="false"/>
    </xf>
    <xf numFmtId="164" fontId="6" fillId="9" borderId="8" xfId="0" applyFont="true" applyBorder="true" applyAlignment="true" applyProtection="false">
      <alignment horizontal="left" vertical="center" textRotation="0" wrapText="true" indent="0" shrinkToFit="false"/>
      <protection locked="true" hidden="false"/>
    </xf>
    <xf numFmtId="164" fontId="6" fillId="2" borderId="0" xfId="0" applyFont="true" applyBorder="false" applyAlignment="true" applyProtection="false">
      <alignment horizontal="general" vertical="center" textRotation="0" wrapText="false" indent="0" shrinkToFit="false"/>
      <protection locked="true" hidden="false"/>
    </xf>
    <xf numFmtId="164" fontId="6" fillId="2" borderId="0" xfId="0" applyFont="true" applyBorder="false" applyAlignment="true" applyProtection="false">
      <alignment horizontal="center" vertical="center" textRotation="0" wrapText="false" indent="0" shrinkToFit="false"/>
      <protection locked="true" hidden="false"/>
    </xf>
    <xf numFmtId="164" fontId="0" fillId="2" borderId="12" xfId="0" applyFont="true" applyBorder="true" applyAlignment="true" applyProtection="false">
      <alignment horizontal="general" vertical="center" textRotation="0" wrapText="true" indent="0" shrinkToFit="false"/>
      <protection locked="true" hidden="false"/>
    </xf>
    <xf numFmtId="164" fontId="6" fillId="6" borderId="18" xfId="0" applyFont="true" applyBorder="true" applyAlignment="true" applyProtection="false">
      <alignment horizontal="general" vertical="center" textRotation="0" wrapText="true" indent="0" shrinkToFit="false"/>
      <protection locked="true" hidden="false"/>
    </xf>
    <xf numFmtId="164" fontId="0" fillId="0" borderId="7" xfId="0" applyFont="true" applyBorder="true" applyAlignment="true" applyProtection="false">
      <alignment horizontal="left" vertical="center" textRotation="0" wrapText="false" indent="0" shrinkToFit="false"/>
      <protection locked="true" hidden="false"/>
    </xf>
    <xf numFmtId="164" fontId="0" fillId="0" borderId="8" xfId="0" applyFont="true" applyBorder="true" applyAlignment="true" applyProtection="false">
      <alignment horizontal="general" vertical="center" textRotation="0" wrapText="true" indent="0" shrinkToFit="false"/>
      <protection locked="true" hidden="false"/>
    </xf>
    <xf numFmtId="164" fontId="0" fillId="0" borderId="23" xfId="0" applyFont="false" applyBorder="true" applyAlignment="true" applyProtection="false">
      <alignment horizontal="center" vertical="center" textRotation="0" wrapText="false" indent="0" shrinkToFit="false"/>
      <protection locked="true" hidden="false"/>
    </xf>
    <xf numFmtId="164" fontId="0" fillId="0" borderId="26" xfId="0" applyFont="false" applyBorder="true" applyAlignment="true" applyProtection="false">
      <alignment horizontal="center" vertical="center" textRotation="0" wrapText="false" indent="0" shrinkToFit="false"/>
      <protection locked="true" hidden="false"/>
    </xf>
    <xf numFmtId="166" fontId="0" fillId="7" borderId="12" xfId="0" applyFont="true" applyBorder="true" applyAlignment="true" applyProtection="false">
      <alignment horizontal="left" vertical="center" textRotation="0" wrapText="true" indent="0" shrinkToFit="false"/>
      <protection locked="true" hidden="false"/>
    </xf>
    <xf numFmtId="166" fontId="0" fillId="0" borderId="27" xfId="0" applyFont="true" applyBorder="true" applyAlignment="true" applyProtection="false">
      <alignment horizontal="left" vertical="center" textRotation="0" wrapText="false" indent="0" shrinkToFit="false"/>
      <protection locked="true" hidden="false"/>
    </xf>
    <xf numFmtId="166" fontId="0" fillId="4" borderId="27" xfId="0" applyFont="false" applyBorder="true" applyAlignment="true" applyProtection="false">
      <alignment horizontal="general" vertical="center" textRotation="0" wrapText="true" indent="0" shrinkToFit="false"/>
      <protection locked="true" hidden="false"/>
    </xf>
    <xf numFmtId="166" fontId="0" fillId="4" borderId="28" xfId="0" applyFont="false" applyBorder="true" applyAlignment="true" applyProtection="false">
      <alignment horizontal="general" vertical="center" textRotation="0" wrapText="false" indent="0" shrinkToFit="false"/>
      <protection locked="true" hidden="false"/>
    </xf>
    <xf numFmtId="166" fontId="0" fillId="4" borderId="12" xfId="0" applyFont="false" applyBorder="true" applyAlignment="true" applyProtection="false">
      <alignment horizontal="general" vertical="center" textRotation="0" wrapText="false" indent="0" shrinkToFit="false"/>
      <protection locked="true" hidden="false"/>
    </xf>
    <xf numFmtId="166" fontId="0" fillId="4" borderId="13" xfId="0" applyFont="false" applyBorder="true" applyAlignment="true" applyProtection="false">
      <alignment horizontal="left" vertical="center" textRotation="0" wrapText="false" indent="0" shrinkToFit="false"/>
      <protection locked="true" hidden="false"/>
    </xf>
    <xf numFmtId="166" fontId="0" fillId="4" borderId="49" xfId="0" applyFont="false" applyBorder="true" applyAlignment="true" applyProtection="false">
      <alignment horizontal="general" vertical="center" textRotation="0" wrapText="true" indent="0" shrinkToFit="false"/>
      <protection locked="true" hidden="false"/>
    </xf>
    <xf numFmtId="166" fontId="0" fillId="4" borderId="50" xfId="0" applyFont="false" applyBorder="true" applyAlignment="true" applyProtection="false">
      <alignment horizontal="general" vertical="center" textRotation="0" wrapText="false" indent="0" shrinkToFit="false"/>
      <protection locked="true" hidden="false"/>
    </xf>
    <xf numFmtId="166" fontId="0" fillId="4" borderId="51" xfId="0" applyFont="false" applyBorder="true" applyAlignment="true" applyProtection="false">
      <alignment horizontal="general" vertical="center" textRotation="0" wrapText="false" indent="0" shrinkToFit="false"/>
      <protection locked="true" hidden="false"/>
    </xf>
    <xf numFmtId="166" fontId="0" fillId="4" borderId="52" xfId="0" applyFont="false" applyBorder="true" applyAlignment="true" applyProtection="false">
      <alignment horizontal="left" vertical="center" textRotation="0" wrapText="false" indent="0" shrinkToFit="false"/>
      <protection locked="true" hidden="false"/>
    </xf>
    <xf numFmtId="166" fontId="0" fillId="4" borderId="53" xfId="0" applyFont="false" applyBorder="true" applyAlignment="true" applyProtection="false">
      <alignment horizontal="left" vertical="center" textRotation="0" wrapText="false" indent="0" shrinkToFit="false"/>
      <protection locked="true" hidden="false"/>
    </xf>
    <xf numFmtId="166" fontId="0" fillId="4" borderId="54" xfId="0" applyFont="false" applyBorder="true" applyAlignment="true" applyProtection="false">
      <alignment horizontal="left" vertical="center" textRotation="0" wrapText="false" indent="0" shrinkToFit="false"/>
      <protection locked="true" hidden="false"/>
    </xf>
    <xf numFmtId="164" fontId="0" fillId="0" borderId="29" xfId="0" applyFont="false" applyBorder="true" applyAlignment="true" applyProtection="false">
      <alignment horizontal="center" vertical="center" textRotation="0" wrapText="false" indent="0" shrinkToFit="false"/>
      <protection locked="true" hidden="false"/>
    </xf>
    <xf numFmtId="166" fontId="0" fillId="4" borderId="27" xfId="0" applyFont="false" applyBorder="true" applyAlignment="true" applyProtection="false">
      <alignment horizontal="general" vertical="center" textRotation="0" wrapText="false" indent="0" shrinkToFit="false"/>
      <protection locked="true" hidden="false"/>
    </xf>
    <xf numFmtId="166" fontId="0" fillId="4" borderId="30" xfId="0" applyFont="false" applyBorder="true" applyAlignment="true" applyProtection="false">
      <alignment horizontal="general" vertical="center" textRotation="0" wrapText="false" indent="0" shrinkToFit="false"/>
      <protection locked="true" hidden="false"/>
    </xf>
    <xf numFmtId="166" fontId="0" fillId="4" borderId="31" xfId="0" applyFont="false" applyBorder="true" applyAlignment="true" applyProtection="false">
      <alignment horizontal="general" vertical="center" textRotation="0" wrapText="false" indent="0" shrinkToFit="false"/>
      <protection locked="true" hidden="false"/>
    </xf>
    <xf numFmtId="166" fontId="0" fillId="4" borderId="18" xfId="0" applyFont="false" applyBorder="true" applyAlignment="true" applyProtection="false">
      <alignment horizontal="general" vertical="center" textRotation="0" wrapText="false" indent="0" shrinkToFit="false"/>
      <protection locked="true" hidden="false"/>
    </xf>
    <xf numFmtId="166" fontId="0" fillId="4" borderId="18" xfId="0" applyFont="false" applyBorder="true" applyAlignment="true" applyProtection="false">
      <alignment horizontal="left" vertical="center" textRotation="0" wrapText="false" indent="0" shrinkToFit="false"/>
      <protection locked="true" hidden="false"/>
    </xf>
    <xf numFmtId="166" fontId="0" fillId="4" borderId="19" xfId="0" applyFont="false" applyBorder="true" applyAlignment="true" applyProtection="false">
      <alignment horizontal="left" vertical="center" textRotation="0" wrapText="false" indent="0" shrinkToFit="false"/>
      <protection locked="true" hidden="false"/>
    </xf>
    <xf numFmtId="164" fontId="8" fillId="0" borderId="7" xfId="0" applyFont="true" applyBorder="true" applyAlignment="true" applyProtection="false">
      <alignment horizontal="left" vertical="center" textRotation="0" wrapText="false" indent="0" shrinkToFit="false"/>
      <protection locked="true" hidden="false"/>
    </xf>
    <xf numFmtId="164" fontId="8" fillId="0" borderId="8" xfId="0" applyFont="true" applyBorder="true" applyAlignment="true" applyProtection="false">
      <alignment horizontal="general" vertical="center" textRotation="0" wrapText="true" indent="0" shrinkToFit="false"/>
      <protection locked="true" hidden="false"/>
    </xf>
    <xf numFmtId="164" fontId="6" fillId="0" borderId="18" xfId="0" applyFont="true" applyBorder="true" applyAlignment="true" applyProtection="false">
      <alignment horizontal="left" vertical="center" textRotation="0" wrapText="true" indent="0" shrinkToFit="false"/>
      <protection locked="true" hidden="false"/>
    </xf>
    <xf numFmtId="164" fontId="8" fillId="0" borderId="33" xfId="0" applyFont="true" applyBorder="true" applyAlignment="true" applyProtection="false">
      <alignment horizontal="center" vertical="center" textRotation="0" wrapText="true" indent="0" shrinkToFit="false"/>
      <protection locked="true" hidden="false"/>
    </xf>
    <xf numFmtId="164" fontId="0" fillId="9" borderId="7" xfId="0" applyFont="true" applyBorder="true" applyAlignment="true" applyProtection="false">
      <alignment horizontal="left" vertical="center" textRotation="0" wrapText="false" indent="0" shrinkToFit="false"/>
      <protection locked="true" hidden="false"/>
    </xf>
    <xf numFmtId="167" fontId="6" fillId="2" borderId="0" xfId="0" applyFont="true" applyBorder="false" applyAlignment="true" applyProtection="false">
      <alignment horizontal="center" vertical="center" textRotation="0" wrapText="true" indent="0" shrinkToFit="false"/>
      <protection locked="true" hidden="false"/>
    </xf>
    <xf numFmtId="164" fontId="0" fillId="6" borderId="18" xfId="0" applyFont="true" applyBorder="true" applyAlignment="true" applyProtection="false">
      <alignment horizontal="left" vertical="center" textRotation="0" wrapText="true" indent="0" shrinkToFit="false"/>
      <protection locked="true" hidden="false"/>
    </xf>
    <xf numFmtId="164" fontId="0" fillId="0" borderId="55" xfId="0" applyFont="false" applyBorder="true" applyAlignment="true" applyProtection="false">
      <alignment horizontal="center" vertical="center" textRotation="0" wrapText="false" indent="0" shrinkToFit="false"/>
      <protection locked="true" hidden="false"/>
    </xf>
    <xf numFmtId="164" fontId="0" fillId="0" borderId="10" xfId="0" applyFont="false" applyBorder="true" applyAlignment="true" applyProtection="false">
      <alignment horizontal="left" vertical="center" textRotation="0" wrapText="true" indent="0" shrinkToFit="false"/>
      <protection locked="true" hidden="false"/>
    </xf>
    <xf numFmtId="164" fontId="0" fillId="0" borderId="10" xfId="0" applyFont="false" applyBorder="true" applyAlignment="true" applyProtection="false">
      <alignment horizontal="left" vertical="center" textRotation="0" wrapText="false" indent="0" shrinkToFit="false"/>
      <protection locked="true" hidden="false"/>
    </xf>
    <xf numFmtId="164" fontId="0" fillId="0" borderId="22" xfId="0" applyFont="false" applyBorder="true" applyAlignment="true" applyProtection="false">
      <alignment horizontal="general" vertical="center" textRotation="0" wrapText="false" indent="0" shrinkToFit="false"/>
      <protection locked="true" hidden="false"/>
    </xf>
    <xf numFmtId="166" fontId="0" fillId="8" borderId="27" xfId="0" applyFont="true" applyBorder="true" applyAlignment="true" applyProtection="false">
      <alignment horizontal="left" vertical="center" textRotation="0" wrapText="false" indent="0" shrinkToFit="false"/>
      <protection locked="true" hidden="false"/>
    </xf>
    <xf numFmtId="166" fontId="0" fillId="6" borderId="28" xfId="0" applyFont="true" applyBorder="true" applyAlignment="true" applyProtection="false">
      <alignment horizontal="left" vertical="center" textRotation="0" wrapText="false" indent="0" shrinkToFit="false"/>
      <protection locked="true" hidden="false"/>
    </xf>
    <xf numFmtId="166" fontId="0" fillId="6" borderId="12" xfId="0" applyFont="true" applyBorder="true" applyAlignment="true" applyProtection="false">
      <alignment horizontal="left" vertical="center" textRotation="0" wrapText="false" indent="0" shrinkToFit="false"/>
      <protection locked="true" hidden="false"/>
    </xf>
    <xf numFmtId="166" fontId="0" fillId="6" borderId="30" xfId="0" applyFont="true" applyBorder="true" applyAlignment="true" applyProtection="false">
      <alignment horizontal="left" vertical="center" textRotation="0" wrapText="false" indent="0" shrinkToFit="false"/>
      <protection locked="true" hidden="false"/>
    </xf>
    <xf numFmtId="169" fontId="6" fillId="0" borderId="18" xfId="0" applyFont="true" applyBorder="true" applyAlignment="true" applyProtection="false">
      <alignment horizontal="center" vertical="center" textRotation="0" wrapText="false" indent="0" shrinkToFit="false"/>
      <protection locked="true" hidden="false"/>
    </xf>
    <xf numFmtId="164" fontId="0" fillId="9" borderId="8" xfId="0" applyFont="true" applyBorder="true" applyAlignment="true" applyProtection="false">
      <alignment horizontal="left" vertical="center" textRotation="0" wrapText="false" indent="0" shrinkToFit="false"/>
      <protection locked="true" hidden="false"/>
    </xf>
    <xf numFmtId="164" fontId="0" fillId="2" borderId="12" xfId="0" applyFont="true" applyBorder="true" applyAlignment="true" applyProtection="false">
      <alignment horizontal="left" vertical="center" textRotation="0" wrapText="false" indent="0" shrinkToFit="false"/>
      <protection locked="true" hidden="false"/>
    </xf>
    <xf numFmtId="164" fontId="0" fillId="6" borderId="18" xfId="0" applyFont="true" applyBorder="true" applyAlignment="true" applyProtection="false">
      <alignment horizontal="left" vertical="center" textRotation="0" wrapText="false" indent="0" shrinkToFit="false"/>
      <protection locked="true" hidden="false"/>
    </xf>
    <xf numFmtId="164" fontId="0" fillId="2" borderId="0" xfId="0" applyFont="false" applyBorder="false" applyAlignment="true" applyProtection="false">
      <alignment horizontal="left" vertical="center" textRotation="0" wrapText="false" indent="0" shrinkToFit="false"/>
      <protection locked="true" hidden="false"/>
    </xf>
    <xf numFmtId="166" fontId="0" fillId="2" borderId="0" xfId="0" applyFont="false" applyBorder="true" applyAlignment="true" applyProtection="false">
      <alignment horizontal="center" vertical="center" textRotation="0" wrapText="false" indent="0" shrinkToFit="false"/>
      <protection locked="true" hidden="false"/>
    </xf>
    <xf numFmtId="167" fontId="0" fillId="2" borderId="0" xfId="0" applyFont="false" applyBorder="false" applyAlignment="true" applyProtection="false">
      <alignment horizontal="center" vertical="center" textRotation="0" wrapText="false" indent="0" shrinkToFit="false"/>
      <protection locked="true" hidden="false"/>
    </xf>
    <xf numFmtId="164" fontId="6" fillId="9" borderId="7" xfId="0" applyFont="true" applyBorder="true" applyAlignment="true" applyProtection="false">
      <alignment horizontal="left" vertical="center" textRotation="0" wrapText="false" indent="0" shrinkToFit="false"/>
      <protection locked="true" hidden="false"/>
    </xf>
    <xf numFmtId="170" fontId="6" fillId="2" borderId="12" xfId="0" applyFont="true" applyBorder="true" applyAlignment="true" applyProtection="false">
      <alignment horizontal="center" vertical="center" textRotation="0" wrapText="false" indent="0" shrinkToFit="false"/>
      <protection locked="true" hidden="false"/>
    </xf>
    <xf numFmtId="164" fontId="6" fillId="6" borderId="17" xfId="0" applyFont="true" applyBorder="true" applyAlignment="true" applyProtection="false">
      <alignment horizontal="left" vertical="center" textRotation="0" wrapText="false" indent="0" shrinkToFit="false"/>
      <protection locked="true" hidden="false"/>
    </xf>
    <xf numFmtId="170" fontId="6" fillId="6" borderId="18" xfId="0" applyFont="true" applyBorder="true" applyAlignment="true" applyProtection="false">
      <alignment horizontal="center" vertical="center" textRotation="0" wrapText="false" indent="0" shrinkToFit="false"/>
      <protection locked="true" hidden="false"/>
    </xf>
    <xf numFmtId="169" fontId="6" fillId="2" borderId="0" xfId="0" applyFont="true" applyBorder="false" applyAlignment="true" applyProtection="false">
      <alignment horizontal="center" vertical="center" textRotation="0" wrapText="false" indent="0" shrinkToFit="false"/>
      <protection locked="true" hidden="false"/>
    </xf>
    <xf numFmtId="164" fontId="6" fillId="2" borderId="0" xfId="0" applyFont="true" applyBorder="true" applyAlignment="true" applyProtection="false">
      <alignment horizontal="center" vertical="center" textRotation="0" wrapText="false" indent="0" shrinkToFit="false"/>
      <protection locked="true" hidden="false"/>
    </xf>
    <xf numFmtId="166" fontId="0" fillId="0" borderId="38" xfId="0" applyFont="true" applyBorder="true" applyAlignment="true" applyProtection="false">
      <alignment horizontal="left" vertical="center" textRotation="0" wrapText="true" indent="0" shrinkToFit="false"/>
      <protection locked="true" hidden="false"/>
    </xf>
    <xf numFmtId="164" fontId="6" fillId="0" borderId="14" xfId="0" applyFont="true" applyBorder="true" applyAlignment="true" applyProtection="false">
      <alignment horizontal="left" vertical="center" textRotation="0" wrapText="false" indent="0" shrinkToFit="false"/>
      <protection locked="true" hidden="false"/>
    </xf>
    <xf numFmtId="164" fontId="0" fillId="0" borderId="51" xfId="0" applyFont="true" applyBorder="true" applyAlignment="true" applyProtection="false">
      <alignment horizontal="left" vertical="center" textRotation="0" wrapText="false" indent="0" shrinkToFit="false"/>
      <protection locked="true" hidden="false"/>
    </xf>
    <xf numFmtId="166" fontId="0" fillId="6" borderId="14" xfId="0" applyFont="true" applyBorder="true" applyAlignment="true" applyProtection="false">
      <alignment horizontal="left" vertical="center" textRotation="0" wrapText="false" indent="0" shrinkToFit="false"/>
      <protection locked="true" hidden="false"/>
    </xf>
    <xf numFmtId="166" fontId="0" fillId="6" borderId="52" xfId="0" applyFont="true" applyBorder="true" applyAlignment="true" applyProtection="false">
      <alignment horizontal="left" vertical="center" textRotation="0" wrapText="false" indent="0" shrinkToFit="false"/>
      <protection locked="true" hidden="false"/>
    </xf>
    <xf numFmtId="166" fontId="0" fillId="5" borderId="54" xfId="0" applyFont="true" applyBorder="true" applyAlignment="true" applyProtection="false">
      <alignment horizontal="left" vertical="center" textRotation="0" wrapText="true" indent="0" shrinkToFit="false"/>
      <protection locked="true" hidden="false"/>
    </xf>
    <xf numFmtId="166" fontId="0" fillId="0" borderId="50" xfId="0" applyFont="true" applyBorder="true" applyAlignment="true" applyProtection="false">
      <alignment horizontal="left" vertical="center" textRotation="0" wrapText="false" indent="0" shrinkToFit="false"/>
      <protection locked="true" hidden="false"/>
    </xf>
    <xf numFmtId="166" fontId="0" fillId="0" borderId="51" xfId="0" applyFont="true" applyBorder="true" applyAlignment="true" applyProtection="false">
      <alignment horizontal="left" vertical="center" textRotation="0" wrapText="false" indent="0" shrinkToFit="false"/>
      <protection locked="true" hidden="false"/>
    </xf>
    <xf numFmtId="166" fontId="0" fillId="0" borderId="15" xfId="0" applyFont="true" applyBorder="true" applyAlignment="true" applyProtection="false">
      <alignment horizontal="left" vertical="center" textRotation="0" wrapText="false" indent="0" shrinkToFit="false"/>
      <protection locked="true" hidden="false"/>
    </xf>
    <xf numFmtId="166" fontId="0" fillId="8" borderId="18" xfId="0" applyFont="true" applyBorder="true" applyAlignment="true" applyProtection="false">
      <alignment horizontal="left" vertical="center" textRotation="0" wrapText="true" indent="0" shrinkToFit="false"/>
      <protection locked="true" hidden="false"/>
    </xf>
    <xf numFmtId="166" fontId="0" fillId="0" borderId="40" xfId="0" applyFont="true" applyBorder="true" applyAlignment="true" applyProtection="false">
      <alignment horizontal="left" vertical="center" textRotation="0" wrapText="false" indent="0" shrinkToFit="false"/>
      <protection locked="true" hidden="false"/>
    </xf>
    <xf numFmtId="166" fontId="0" fillId="0" borderId="31" xfId="0" applyFont="true" applyBorder="true" applyAlignment="true" applyProtection="false">
      <alignment horizontal="left" vertical="center" textRotation="0" wrapText="false" indent="0" shrinkToFit="false"/>
      <protection locked="true" hidden="false"/>
    </xf>
    <xf numFmtId="167" fontId="8" fillId="0" borderId="12" xfId="0" applyFont="true" applyBorder="true" applyAlignment="true" applyProtection="false">
      <alignment horizontal="center" vertical="center" textRotation="0" wrapText="true" indent="0" shrinkToFit="false"/>
      <protection locked="true" hidden="false"/>
    </xf>
    <xf numFmtId="164" fontId="6" fillId="2" borderId="11" xfId="0" applyFont="true" applyBorder="true" applyAlignment="true" applyProtection="false">
      <alignment horizontal="left" vertical="center" textRotation="0" wrapText="false" indent="0" shrinkToFit="false"/>
      <protection locked="true" hidden="false"/>
    </xf>
    <xf numFmtId="164" fontId="6" fillId="2" borderId="0" xfId="0" applyFont="true" applyBorder="false" applyAlignment="true" applyProtection="false">
      <alignment horizontal="left" vertical="center" textRotation="0" wrapText="false" indent="0" shrinkToFit="false"/>
      <protection locked="true" hidden="false"/>
    </xf>
    <xf numFmtId="164" fontId="0" fillId="0" borderId="51" xfId="0" applyFont="true" applyBorder="true" applyAlignment="true" applyProtection="false">
      <alignment horizontal="left" vertical="center" textRotation="0" wrapText="true" indent="0" shrinkToFit="false"/>
      <protection locked="true" hidden="false"/>
    </xf>
    <xf numFmtId="166" fontId="0" fillId="6" borderId="51" xfId="0" applyFont="true" applyBorder="true" applyAlignment="true" applyProtection="false">
      <alignment horizontal="left" vertical="center" textRotation="0" wrapText="true" indent="0" shrinkToFit="false"/>
      <protection locked="true" hidden="false"/>
    </xf>
    <xf numFmtId="164" fontId="0" fillId="5" borderId="33" xfId="0" applyFont="false" applyBorder="true" applyAlignment="true" applyProtection="false">
      <alignment horizontal="center" vertical="center" textRotation="0" wrapText="false" indent="0" shrinkToFit="false"/>
      <protection locked="true" hidden="false"/>
    </xf>
    <xf numFmtId="164" fontId="5" fillId="7" borderId="33" xfId="0" applyFont="true" applyBorder="true" applyAlignment="true" applyProtection="false">
      <alignment horizontal="center" vertical="center" textRotation="0" wrapText="false" indent="0" shrinkToFit="false"/>
      <protection locked="true" hidden="false"/>
    </xf>
    <xf numFmtId="164" fontId="0" fillId="6" borderId="33" xfId="0" applyFont="false" applyBorder="true" applyAlignment="true" applyProtection="false">
      <alignment horizontal="center" vertical="center" textRotation="0" wrapText="false" indent="0" shrinkToFit="false"/>
      <protection locked="true" hidden="false"/>
    </xf>
    <xf numFmtId="164" fontId="0" fillId="8" borderId="33" xfId="0" applyFont="false" applyBorder="true" applyAlignment="true" applyProtection="false">
      <alignment horizontal="center" vertical="center" textRotation="0" wrapText="false" indent="0" shrinkToFit="false"/>
      <protection locked="true" hidden="false"/>
    </xf>
    <xf numFmtId="164" fontId="5" fillId="2" borderId="1" xfId="0" applyFont="true" applyBorder="true" applyAlignment="true" applyProtection="false">
      <alignment horizontal="center" vertical="center" textRotation="0" wrapText="false" indent="0" shrinkToFit="false"/>
      <protection locked="true" hidden="false"/>
    </xf>
    <xf numFmtId="164" fontId="6" fillId="0" borderId="10" xfId="0" applyFont="true" applyBorder="true" applyAlignment="true" applyProtection="false">
      <alignment horizontal="general" vertical="center" textRotation="0" wrapText="false" indent="0" shrinkToFit="false"/>
      <protection locked="true" hidden="false"/>
    </xf>
    <xf numFmtId="164" fontId="0" fillId="0" borderId="10" xfId="0" applyFont="true" applyBorder="true" applyAlignment="true" applyProtection="false">
      <alignment horizontal="general" vertical="center" textRotation="0" wrapText="false" indent="0" shrinkToFit="false"/>
      <protection locked="true" hidden="false"/>
    </xf>
    <xf numFmtId="164" fontId="0" fillId="0" borderId="10" xfId="0" applyFont="true" applyBorder="true" applyAlignment="true" applyProtection="false">
      <alignment horizontal="general" vertical="center" textRotation="0" wrapText="true" indent="0" shrinkToFit="false"/>
      <protection locked="true" hidden="false"/>
    </xf>
    <xf numFmtId="164" fontId="6" fillId="0" borderId="41" xfId="0" applyFont="true" applyBorder="true" applyAlignment="true" applyProtection="false">
      <alignment horizontal="left" vertical="center" textRotation="0" wrapText="false" indent="0" shrinkToFit="false"/>
      <protection locked="true" hidden="false"/>
    </xf>
    <xf numFmtId="164" fontId="6" fillId="0" borderId="16" xfId="0" applyFont="true" applyBorder="true" applyAlignment="true" applyProtection="false">
      <alignment horizontal="left" vertical="center" textRotation="0" wrapText="false" indent="0" shrinkToFit="false"/>
      <protection locked="true" hidden="false"/>
    </xf>
    <xf numFmtId="166" fontId="0" fillId="5" borderId="56" xfId="0" applyFont="true" applyBorder="true" applyAlignment="true" applyProtection="false">
      <alignment horizontal="left" vertical="center" textRotation="0" wrapText="false" indent="0" shrinkToFit="false"/>
      <protection locked="true" hidden="false"/>
    </xf>
    <xf numFmtId="166" fontId="0" fillId="5" borderId="16" xfId="0" applyFont="true" applyBorder="true" applyAlignment="true" applyProtection="false">
      <alignment horizontal="left" vertical="center" textRotation="0" wrapText="false" indent="0" shrinkToFit="false"/>
      <protection locked="true" hidden="false"/>
    </xf>
    <xf numFmtId="166" fontId="0" fillId="8" borderId="3" xfId="0" applyFont="true" applyBorder="true" applyAlignment="true" applyProtection="false">
      <alignment horizontal="left" vertical="center" textRotation="0" wrapText="false" indent="0" shrinkToFit="false"/>
      <protection locked="true" hidden="false"/>
    </xf>
    <xf numFmtId="166" fontId="0" fillId="0" borderId="56" xfId="0" applyFont="true" applyBorder="true" applyAlignment="true" applyProtection="false">
      <alignment horizontal="left" vertical="center" textRotation="0" wrapText="false" indent="0" shrinkToFit="false"/>
      <protection locked="true" hidden="false"/>
    </xf>
    <xf numFmtId="166" fontId="0" fillId="0" borderId="16" xfId="0" applyFont="true" applyBorder="true" applyAlignment="true" applyProtection="false">
      <alignment horizontal="left" vertical="center" textRotation="0" wrapText="false" indent="0" shrinkToFit="false"/>
      <protection locked="true" hidden="false"/>
    </xf>
    <xf numFmtId="166" fontId="0" fillId="0" borderId="42" xfId="0" applyFont="true" applyBorder="true" applyAlignment="true" applyProtection="false">
      <alignment horizontal="left" vertical="center" textRotation="0" wrapText="false" indent="0" shrinkToFit="false"/>
      <protection locked="true" hidden="false"/>
    </xf>
    <xf numFmtId="166" fontId="0" fillId="0" borderId="27" xfId="0" applyFont="true" applyBorder="true" applyAlignment="true" applyProtection="false">
      <alignment horizontal="left" vertical="center" textRotation="0" wrapText="true" indent="0" shrinkToFit="false"/>
      <protection locked="true" hidden="false"/>
    </xf>
    <xf numFmtId="164" fontId="6" fillId="0" borderId="51" xfId="0" applyFont="true" applyBorder="true" applyAlignment="true" applyProtection="false">
      <alignment horizontal="left" vertical="center" textRotation="0" wrapText="false" indent="0" shrinkToFit="false"/>
      <protection locked="true" hidden="false"/>
    </xf>
    <xf numFmtId="166" fontId="0" fillId="6" borderId="50" xfId="0" applyFont="true" applyBorder="true" applyAlignment="true" applyProtection="false">
      <alignment horizontal="left" vertical="center" textRotation="0" wrapText="true" indent="0" shrinkToFit="false"/>
      <protection locked="true" hidden="false"/>
    </xf>
    <xf numFmtId="166" fontId="0" fillId="6" borderId="52" xfId="0" applyFont="true" applyBorder="true" applyAlignment="true" applyProtection="false">
      <alignment horizontal="left" vertical="center" textRotation="0" wrapText="true" indent="0" shrinkToFit="false"/>
      <protection locked="true" hidden="false"/>
    </xf>
    <xf numFmtId="166" fontId="0" fillId="0" borderId="49" xfId="0" applyFont="true" applyBorder="true" applyAlignment="true" applyProtection="false">
      <alignment horizontal="left" vertical="center" textRotation="0" wrapText="false" indent="0" shrinkToFit="false"/>
      <protection locked="true" hidden="false"/>
    </xf>
    <xf numFmtId="166" fontId="0" fillId="0" borderId="15" xfId="0" applyFont="false" applyBorder="true" applyAlignment="true" applyProtection="false">
      <alignment horizontal="left" vertical="center" textRotation="0" wrapText="true" indent="0" shrinkToFit="false"/>
      <protection locked="true" hidden="false"/>
    </xf>
    <xf numFmtId="166" fontId="0" fillId="5" borderId="8" xfId="0" applyFont="true" applyBorder="true" applyAlignment="true" applyProtection="false">
      <alignment horizontal="left" vertical="center" textRotation="0" wrapText="true" indent="0" shrinkToFit="false"/>
      <protection locked="true" hidden="false"/>
    </xf>
    <xf numFmtId="166" fontId="0" fillId="0" borderId="7" xfId="0" applyFont="true" applyBorder="true" applyAlignment="true" applyProtection="false">
      <alignment horizontal="left" vertical="center" textRotation="0" wrapText="true" indent="0" shrinkToFit="false"/>
      <protection locked="true" hidden="false"/>
    </xf>
    <xf numFmtId="164" fontId="0" fillId="0" borderId="0" xfId="0" applyFont="false" applyBorder="false" applyAlignment="true" applyProtection="false">
      <alignment horizontal="general" vertical="center" textRotation="0" wrapText="true" indent="0" shrinkToFit="false"/>
      <protection locked="true" hidden="false"/>
    </xf>
    <xf numFmtId="164" fontId="0" fillId="4" borderId="0" xfId="0" applyFont="false" applyBorder="false" applyAlignment="true" applyProtection="false">
      <alignment horizontal="general" vertical="center" textRotation="0" wrapText="true" indent="0" shrinkToFit="false"/>
      <protection locked="true" hidden="false"/>
    </xf>
    <xf numFmtId="164" fontId="6" fillId="0" borderId="11" xfId="0" applyFont="true" applyBorder="true" applyAlignment="true" applyProtection="false">
      <alignment horizontal="left" vertical="center" textRotation="0" wrapText="true" indent="0" shrinkToFit="false"/>
      <protection locked="true" hidden="false"/>
    </xf>
    <xf numFmtId="164" fontId="0" fillId="0" borderId="13" xfId="0" applyFont="false" applyBorder="true" applyAlignment="true" applyProtection="false">
      <alignment horizontal="center" vertical="center" textRotation="0" wrapText="true" indent="0" shrinkToFit="false"/>
      <protection locked="true" hidden="false"/>
    </xf>
    <xf numFmtId="166" fontId="0" fillId="7" borderId="11" xfId="0" applyFont="true" applyBorder="true" applyAlignment="true" applyProtection="false">
      <alignment horizontal="left" vertical="center" textRotation="0" wrapText="true" indent="0" shrinkToFit="false"/>
      <protection locked="true" hidden="false"/>
    </xf>
    <xf numFmtId="166" fontId="0" fillId="0" borderId="11" xfId="0" applyFont="true" applyBorder="true" applyAlignment="true" applyProtection="false">
      <alignment horizontal="left" vertical="center" textRotation="0" wrapText="true" indent="0" shrinkToFit="false"/>
      <protection locked="true" hidden="false"/>
    </xf>
    <xf numFmtId="166" fontId="0" fillId="0" borderId="12" xfId="0" applyFont="true" applyBorder="true" applyAlignment="true" applyProtection="false">
      <alignment horizontal="left" vertical="center" textRotation="0" wrapText="true" indent="0" shrinkToFit="false"/>
      <protection locked="true" hidden="false"/>
    </xf>
    <xf numFmtId="166" fontId="0" fillId="6" borderId="29" xfId="0" applyFont="true" applyBorder="true" applyAlignment="true" applyProtection="false">
      <alignment horizontal="left" vertical="center" textRotation="0" wrapText="true" indent="0" shrinkToFit="false"/>
      <protection locked="true" hidden="false"/>
    </xf>
    <xf numFmtId="166" fontId="0" fillId="0" borderId="17" xfId="0" applyFont="true" applyBorder="true" applyAlignment="true" applyProtection="false">
      <alignment horizontal="left" vertical="center" textRotation="0" wrapText="true" indent="0" shrinkToFit="false"/>
      <protection locked="true" hidden="false"/>
    </xf>
    <xf numFmtId="166" fontId="0" fillId="6" borderId="47" xfId="0" applyFont="true" applyBorder="true" applyAlignment="true" applyProtection="false">
      <alignment horizontal="left" vertical="center" textRotation="0" wrapText="true" indent="0" shrinkToFit="false"/>
      <protection locked="true" hidden="false"/>
    </xf>
    <xf numFmtId="164" fontId="6" fillId="9" borderId="8" xfId="0" applyFont="true" applyBorder="true" applyAlignment="true" applyProtection="false">
      <alignment horizontal="center" vertical="center" textRotation="0" wrapText="true" indent="0" shrinkToFit="false"/>
      <protection locked="true" hidden="false"/>
    </xf>
    <xf numFmtId="165" fontId="0" fillId="0" borderId="17" xfId="0" applyFont="false" applyBorder="true" applyAlignment="true" applyProtection="false">
      <alignment horizontal="general" vertical="center" textRotation="0" wrapText="false" indent="0" shrinkToFit="false"/>
      <protection locked="true" hidden="false"/>
    </xf>
    <xf numFmtId="164" fontId="0" fillId="0" borderId="7" xfId="0" applyFont="false" applyBorder="true" applyAlignment="true" applyProtection="false">
      <alignment horizontal="center" vertical="center" textRotation="0" wrapText="true" indent="0" shrinkToFit="false"/>
      <protection locked="true" hidden="false"/>
    </xf>
    <xf numFmtId="164" fontId="0" fillId="0" borderId="9" xfId="0" applyFont="true" applyBorder="true" applyAlignment="true" applyProtection="false">
      <alignment horizontal="left" vertical="center" textRotation="0" wrapText="false" indent="0" shrinkToFit="false"/>
      <protection locked="true" hidden="false"/>
    </xf>
    <xf numFmtId="164" fontId="0" fillId="0" borderId="17" xfId="0" applyFont="false" applyBorder="true" applyAlignment="true" applyProtection="false">
      <alignment horizontal="center" vertical="center" textRotation="0" wrapText="true" indent="0" shrinkToFit="false"/>
      <protection locked="true" hidden="false"/>
    </xf>
    <xf numFmtId="164" fontId="0" fillId="0" borderId="19" xfId="0" applyFont="true" applyBorder="true" applyAlignment="true" applyProtection="false">
      <alignment horizontal="left" vertical="center" textRotation="0" wrapText="false" indent="0" shrinkToFit="false"/>
      <protection locked="true" hidden="false"/>
    </xf>
    <xf numFmtId="164" fontId="6" fillId="0" borderId="0" xfId="0" applyFont="true" applyBorder="false" applyAlignment="true" applyProtection="false">
      <alignment horizontal="general" vertical="center" textRotation="0" wrapText="false" indent="0" shrinkToFit="false"/>
      <protection locked="true" hidden="false"/>
    </xf>
    <xf numFmtId="166" fontId="0" fillId="5" borderId="23" xfId="0" applyFont="true" applyBorder="true" applyAlignment="true" applyProtection="false">
      <alignment horizontal="left" vertical="center" textRotation="0" wrapText="false" indent="0" shrinkToFit="false"/>
      <protection locked="true" hidden="false"/>
    </xf>
    <xf numFmtId="166" fontId="0" fillId="6" borderId="24" xfId="0" applyFont="true" applyBorder="true" applyAlignment="true" applyProtection="false">
      <alignment horizontal="left" vertical="center" textRotation="0" wrapText="true" indent="0" shrinkToFit="false"/>
      <protection locked="true" hidden="false"/>
    </xf>
    <xf numFmtId="166" fontId="0" fillId="8" borderId="17" xfId="0" applyFont="true" applyBorder="true" applyAlignment="true" applyProtection="false">
      <alignment horizontal="left" vertical="center" textRotation="0" wrapText="true" indent="0" shrinkToFit="false"/>
      <protection locked="true" hidden="false"/>
    </xf>
    <xf numFmtId="166" fontId="0" fillId="7" borderId="30" xfId="0" applyFont="true" applyBorder="true" applyAlignment="true" applyProtection="false">
      <alignment horizontal="left" vertical="center" textRotation="0" wrapText="false" indent="0" shrinkToFit="false"/>
      <protection locked="true" hidden="false"/>
    </xf>
    <xf numFmtId="169" fontId="8" fillId="0" borderId="8" xfId="0" applyFont="true" applyBorder="true" applyAlignment="true" applyProtection="false">
      <alignment horizontal="center" vertical="center" textRotation="0" wrapText="false" indent="0" shrinkToFit="false"/>
      <protection locked="true" hidden="false"/>
    </xf>
    <xf numFmtId="164" fontId="0" fillId="0" borderId="16" xfId="0" applyFont="true" applyBorder="true" applyAlignment="true" applyProtection="false">
      <alignment horizontal="left" vertical="center" textRotation="0" wrapText="false" indent="0" shrinkToFit="false"/>
      <protection locked="true" hidden="false"/>
    </xf>
    <xf numFmtId="164" fontId="0" fillId="0" borderId="57" xfId="0" applyFont="false" applyBorder="true" applyAlignment="true" applyProtection="false">
      <alignment horizontal="center" vertical="center" textRotation="0" wrapText="false" indent="0" shrinkToFit="false"/>
      <protection locked="true" hidden="false"/>
    </xf>
    <xf numFmtId="166" fontId="0" fillId="5" borderId="41" xfId="0" applyFont="true" applyBorder="true" applyAlignment="true" applyProtection="false">
      <alignment horizontal="left" vertical="center" textRotation="0" wrapText="false" indent="0" shrinkToFit="false"/>
      <protection locked="true" hidden="false"/>
    </xf>
    <xf numFmtId="166" fontId="0" fillId="5" borderId="57" xfId="0" applyFont="true" applyBorder="true" applyAlignment="true" applyProtection="false">
      <alignment horizontal="left" vertical="center" textRotation="0" wrapText="true" indent="0" shrinkToFit="false"/>
      <protection locked="true" hidden="false"/>
    </xf>
    <xf numFmtId="166" fontId="0" fillId="8" borderId="6" xfId="0" applyFont="true" applyBorder="true" applyAlignment="true" applyProtection="false">
      <alignment horizontal="left" vertical="center" textRotation="0" wrapText="true" indent="0" shrinkToFit="false"/>
      <protection locked="true" hidden="false"/>
    </xf>
    <xf numFmtId="164" fontId="0" fillId="0" borderId="52" xfId="0" applyFont="false" applyBorder="true" applyAlignment="true" applyProtection="false">
      <alignment horizontal="center" vertical="center" textRotation="0" wrapText="false" indent="0" shrinkToFit="false"/>
      <protection locked="true" hidden="false"/>
    </xf>
    <xf numFmtId="166" fontId="0" fillId="0" borderId="54" xfId="0" applyFont="true" applyBorder="true" applyAlignment="true" applyProtection="false">
      <alignment horizontal="left" vertical="center" textRotation="0" wrapText="true" indent="0" shrinkToFit="false"/>
      <protection locked="true" hidden="false"/>
    </xf>
    <xf numFmtId="164" fontId="8" fillId="0" borderId="18" xfId="0" applyFont="true" applyBorder="true" applyAlignment="true" applyProtection="false">
      <alignment horizontal="general" vertical="center" textRotation="0" wrapText="false" indent="0" shrinkToFit="false"/>
      <protection locked="true" hidden="false"/>
    </xf>
    <xf numFmtId="164" fontId="9" fillId="7" borderId="0" xfId="0" applyFont="true" applyBorder="true" applyAlignment="true" applyProtection="false">
      <alignment horizontal="center" vertical="center" textRotation="0" wrapText="false" indent="0" shrinkToFit="false"/>
      <protection locked="true" hidden="false"/>
    </xf>
    <xf numFmtId="164" fontId="9" fillId="0" borderId="20" xfId="0" applyFont="true" applyBorder="true" applyAlignment="true" applyProtection="false">
      <alignment horizontal="general" vertical="center" textRotation="0" wrapText="false" indent="0" shrinkToFit="false"/>
      <protection locked="true" hidden="false"/>
    </xf>
    <xf numFmtId="167" fontId="6" fillId="7" borderId="0" xfId="0" applyFont="true" applyBorder="false" applyAlignment="true" applyProtection="false">
      <alignment horizontal="center" vertical="center" textRotation="0" wrapText="false" indent="0" shrinkToFit="false"/>
      <protection locked="true" hidden="false"/>
    </xf>
    <xf numFmtId="170" fontId="6" fillId="9" borderId="8" xfId="0" applyFont="true" applyBorder="true" applyAlignment="true" applyProtection="false">
      <alignment horizontal="center" vertical="center" textRotation="0" wrapText="false" indent="0" shrinkToFit="false"/>
      <protection locked="true" hidden="false"/>
    </xf>
    <xf numFmtId="165" fontId="0" fillId="0" borderId="41" xfId="0" applyFont="false" applyBorder="true" applyAlignment="true" applyProtection="false">
      <alignment horizontal="general" vertical="center" textRotation="0" wrapText="false" indent="0" shrinkToFit="false"/>
      <protection locked="true" hidden="false"/>
    </xf>
    <xf numFmtId="164" fontId="0" fillId="0" borderId="58" xfId="0" applyFont="false" applyBorder="true" applyAlignment="true" applyProtection="false">
      <alignment horizontal="center" vertical="center" textRotation="0" wrapText="false" indent="0" shrinkToFit="false"/>
      <protection locked="true" hidden="false"/>
    </xf>
    <xf numFmtId="166" fontId="0" fillId="5" borderId="59" xfId="0" applyFont="true" applyBorder="true" applyAlignment="true" applyProtection="false">
      <alignment horizontal="left" vertical="center" textRotation="0" wrapText="false" indent="0" shrinkToFit="false"/>
      <protection locked="true" hidden="false"/>
    </xf>
    <xf numFmtId="166" fontId="0" fillId="5" borderId="60" xfId="0" applyFont="true" applyBorder="true" applyAlignment="true" applyProtection="false">
      <alignment horizontal="left" vertical="center" textRotation="0" wrapText="false" indent="0" shrinkToFit="false"/>
      <protection locked="true" hidden="false"/>
    </xf>
    <xf numFmtId="166" fontId="0" fillId="7" borderId="3" xfId="0" applyFont="true" applyBorder="true" applyAlignment="true" applyProtection="false">
      <alignment horizontal="left" vertical="center" textRotation="0" wrapText="true" indent="0" shrinkToFit="false"/>
      <protection locked="true" hidden="false"/>
    </xf>
    <xf numFmtId="166" fontId="0" fillId="5" borderId="42" xfId="0" applyFont="true" applyBorder="true" applyAlignment="true" applyProtection="false">
      <alignment horizontal="left" vertical="center" textRotation="0" wrapText="false" indent="0" shrinkToFit="false"/>
      <protection locked="true" hidden="false"/>
    </xf>
    <xf numFmtId="166" fontId="0" fillId="5" borderId="48" xfId="0" applyFont="true" applyBorder="true" applyAlignment="true" applyProtection="false">
      <alignment horizontal="left" vertical="center" textRotation="0" wrapText="false" indent="0" shrinkToFit="false"/>
      <protection locked="true" hidden="false"/>
    </xf>
    <xf numFmtId="166" fontId="0" fillId="7" borderId="14" xfId="0" applyFont="true" applyBorder="true" applyAlignment="true" applyProtection="false">
      <alignment horizontal="left" vertical="center" textRotation="0" wrapText="false" indent="0" shrinkToFit="false"/>
      <protection locked="true" hidden="false"/>
    </xf>
    <xf numFmtId="166" fontId="0" fillId="7" borderId="51" xfId="0" applyFont="true" applyBorder="true" applyAlignment="true" applyProtection="false">
      <alignment horizontal="left" vertical="center" textRotation="0" wrapText="true" indent="0" shrinkToFit="false"/>
      <protection locked="true" hidden="false"/>
    </xf>
    <xf numFmtId="166" fontId="0" fillId="0" borderId="26" xfId="0" applyFont="true" applyBorder="true" applyAlignment="true" applyProtection="false">
      <alignment horizontal="left" vertical="center" textRotation="0" wrapText="true" indent="0" shrinkToFit="false"/>
      <protection locked="true" hidden="false"/>
    </xf>
    <xf numFmtId="166" fontId="0" fillId="5" borderId="27" xfId="0" applyFont="true" applyBorder="true" applyAlignment="true" applyProtection="false">
      <alignment horizontal="left" vertical="center" textRotation="0" wrapText="false" indent="0" shrinkToFit="false"/>
      <protection locked="true" hidden="false"/>
    </xf>
    <xf numFmtId="164" fontId="0" fillId="0" borderId="61" xfId="0" applyFont="true" applyBorder="true" applyAlignment="true" applyProtection="false">
      <alignment horizontal="left" vertical="center" textRotation="0" wrapText="false" indent="0" shrinkToFit="false"/>
      <protection locked="true" hidden="false"/>
    </xf>
    <xf numFmtId="164" fontId="6" fillId="0" borderId="62" xfId="0" applyFont="true" applyBorder="true" applyAlignment="true" applyProtection="false">
      <alignment horizontal="left" vertical="center" textRotation="0" wrapText="false" indent="0" shrinkToFit="false"/>
      <protection locked="true" hidden="false"/>
    </xf>
    <xf numFmtId="164" fontId="0" fillId="0" borderId="63" xfId="0" applyFont="false" applyBorder="true" applyAlignment="true" applyProtection="false">
      <alignment horizontal="center" vertical="center" textRotation="0" wrapText="false" indent="0" shrinkToFit="false"/>
      <protection locked="true" hidden="false"/>
    </xf>
    <xf numFmtId="166" fontId="0" fillId="8" borderId="61" xfId="0" applyFont="true" applyBorder="true" applyAlignment="true" applyProtection="false">
      <alignment horizontal="left" vertical="center" textRotation="0" wrapText="true" indent="0" shrinkToFit="false"/>
      <protection locked="true" hidden="false"/>
    </xf>
    <xf numFmtId="166" fontId="0" fillId="8" borderId="63" xfId="0" applyFont="true" applyBorder="true" applyAlignment="true" applyProtection="false">
      <alignment horizontal="left" vertical="center" textRotation="0" wrapText="true" indent="0" shrinkToFit="false"/>
      <protection locked="true" hidden="false"/>
    </xf>
    <xf numFmtId="166" fontId="0" fillId="5" borderId="20" xfId="0" applyFont="true" applyBorder="true" applyAlignment="true" applyProtection="false">
      <alignment horizontal="left" vertical="center" textRotation="0" wrapText="false" indent="0" shrinkToFit="false"/>
      <protection locked="true" hidden="false"/>
    </xf>
    <xf numFmtId="166" fontId="0" fillId="0" borderId="64" xfId="0" applyFont="true" applyBorder="true" applyAlignment="true" applyProtection="false">
      <alignment horizontal="left" vertical="center" textRotation="0" wrapText="false" indent="0" shrinkToFit="false"/>
      <protection locked="true" hidden="false"/>
    </xf>
    <xf numFmtId="166" fontId="0" fillId="0" borderId="62" xfId="0" applyFont="true" applyBorder="true" applyAlignment="true" applyProtection="false">
      <alignment horizontal="left" vertical="center" textRotation="0" wrapText="false" indent="0" shrinkToFit="false"/>
      <protection locked="true" hidden="false"/>
    </xf>
    <xf numFmtId="166" fontId="0" fillId="0" borderId="47" xfId="0" applyFont="true" applyBorder="true" applyAlignment="true" applyProtection="false">
      <alignment horizontal="left" vertical="center" textRotation="0" wrapText="true" indent="0" shrinkToFit="false"/>
      <protection locked="true" hidden="false"/>
    </xf>
    <xf numFmtId="166" fontId="0" fillId="6" borderId="38" xfId="0" applyFont="true" applyBorder="true" applyAlignment="true" applyProtection="false">
      <alignment horizontal="left" vertical="center" textRotation="0" wrapText="true" indent="0" shrinkToFit="false"/>
      <protection locked="true" hidden="false"/>
    </xf>
    <xf numFmtId="166" fontId="0" fillId="6" borderId="54" xfId="0" applyFont="true" applyBorder="true" applyAlignment="true" applyProtection="false">
      <alignment horizontal="left" vertical="center" textRotation="0" wrapText="false" indent="0" shrinkToFit="false"/>
      <protection locked="true" hidden="false"/>
    </xf>
    <xf numFmtId="166" fontId="0" fillId="6" borderId="13" xfId="0" applyFont="true" applyBorder="true" applyAlignment="true" applyProtection="false">
      <alignment horizontal="left" vertical="center" textRotation="0" wrapText="false" indent="0" shrinkToFit="false"/>
      <protection locked="true" hidden="false"/>
    </xf>
    <xf numFmtId="166" fontId="0" fillId="6" borderId="40" xfId="0" applyFont="true" applyBorder="true" applyAlignment="true" applyProtection="false">
      <alignment horizontal="left" vertical="center" textRotation="0" wrapText="false" indent="0" shrinkToFit="false"/>
      <protection locked="true" hidden="false"/>
    </xf>
    <xf numFmtId="164" fontId="8" fillId="0" borderId="0" xfId="0" applyFont="true" applyBorder="false" applyAlignment="true" applyProtection="false">
      <alignment horizontal="center" vertical="center" textRotation="0" wrapText="true" indent="0" shrinkToFit="false"/>
      <protection locked="true" hidden="false"/>
    </xf>
    <xf numFmtId="166" fontId="0" fillId="4" borderId="49" xfId="0" applyFont="false" applyBorder="true" applyAlignment="true" applyProtection="false">
      <alignment horizontal="general" vertical="center" textRotation="0" wrapText="false" indent="0" shrinkToFit="false"/>
      <protection locked="true" hidden="false"/>
    </xf>
    <xf numFmtId="166" fontId="0" fillId="4" borderId="51" xfId="0" applyFont="false" applyBorder="true" applyAlignment="true" applyProtection="false">
      <alignment horizontal="left" vertical="center" textRotation="0" wrapText="false" indent="0" shrinkToFit="false"/>
      <protection locked="true" hidden="false"/>
    </xf>
    <xf numFmtId="166" fontId="0" fillId="4" borderId="15" xfId="0" applyFont="false" applyBorder="true" applyAlignment="true" applyProtection="false">
      <alignment horizontal="left" vertical="center" textRotation="0" wrapText="false" indent="0" shrinkToFit="false"/>
      <protection locked="true" hidden="false"/>
    </xf>
    <xf numFmtId="164" fontId="0" fillId="0" borderId="43" xfId="0" applyFont="false" applyBorder="true" applyAlignment="true" applyProtection="false">
      <alignment horizontal="center" vertical="center" textRotation="0" wrapText="true" indent="0" shrinkToFit="false"/>
      <protection locked="true" hidden="false"/>
    </xf>
    <xf numFmtId="166" fontId="0" fillId="5" borderId="42" xfId="0" applyFont="true" applyBorder="true" applyAlignment="true" applyProtection="false">
      <alignment horizontal="left" vertical="bottom" textRotation="0" wrapText="true" indent="0" shrinkToFit="false"/>
      <protection locked="true" hidden="false"/>
    </xf>
    <xf numFmtId="166" fontId="0" fillId="7" borderId="6" xfId="0" applyFont="true" applyBorder="true" applyAlignment="true" applyProtection="false">
      <alignment horizontal="left" vertical="center" textRotation="0" wrapText="true" indent="0" shrinkToFit="false"/>
      <protection locked="true" hidden="false"/>
    </xf>
    <xf numFmtId="166" fontId="0" fillId="5" borderId="42" xfId="0" applyFont="true" applyBorder="true" applyAlignment="true" applyProtection="false">
      <alignment horizontal="left" vertical="bottom" textRotation="0" wrapText="false" indent="0" shrinkToFit="false"/>
      <protection locked="true" hidden="false"/>
    </xf>
    <xf numFmtId="166" fontId="0" fillId="5" borderId="44" xfId="0" applyFont="true" applyBorder="true" applyAlignment="true" applyProtection="false">
      <alignment horizontal="left" vertical="top" textRotation="0" wrapText="true" indent="0" shrinkToFit="false"/>
      <protection locked="true" hidden="false"/>
    </xf>
    <xf numFmtId="166" fontId="0" fillId="5" borderId="48" xfId="0" applyFont="true" applyBorder="true" applyAlignment="true" applyProtection="false">
      <alignment horizontal="left" vertical="top" textRotation="0" wrapText="false" indent="0" shrinkToFit="false"/>
      <protection locked="true" hidden="false"/>
    </xf>
    <xf numFmtId="166" fontId="0" fillId="7" borderId="15" xfId="0" applyFont="true" applyBorder="true" applyAlignment="true" applyProtection="false">
      <alignment horizontal="left" vertical="bottom" textRotation="0" wrapText="true" indent="0" shrinkToFit="false"/>
      <protection locked="true" hidden="false"/>
    </xf>
    <xf numFmtId="166" fontId="0" fillId="5" borderId="39" xfId="0" applyFont="true" applyBorder="true" applyAlignment="true" applyProtection="false">
      <alignment horizontal="left" vertical="center" textRotation="0" wrapText="true" indent="0" shrinkToFit="false"/>
      <protection locked="true" hidden="false"/>
    </xf>
    <xf numFmtId="166" fontId="0" fillId="7" borderId="48" xfId="0" applyFont="true" applyBorder="true" applyAlignment="true" applyProtection="false">
      <alignment horizontal="left" vertical="top" textRotation="0" wrapText="true" indent="0" shrinkToFit="false"/>
      <protection locked="true" hidden="false"/>
    </xf>
    <xf numFmtId="166" fontId="0" fillId="5" borderId="39" xfId="0" applyFont="true" applyBorder="true" applyAlignment="true" applyProtection="false">
      <alignment horizontal="left" vertical="center" textRotation="0" wrapText="false" indent="0" shrinkToFit="false"/>
      <protection locked="true" hidden="false"/>
    </xf>
    <xf numFmtId="170" fontId="6" fillId="2" borderId="0" xfId="0" applyFont="true" applyBorder="false" applyAlignment="true" applyProtection="false">
      <alignment horizontal="center" vertical="center" textRotation="0" wrapText="false" indent="0" shrinkToFit="false"/>
      <protection locked="true" hidden="false"/>
    </xf>
    <xf numFmtId="166" fontId="0" fillId="6" borderId="38" xfId="0" applyFont="true" applyBorder="true" applyAlignment="true" applyProtection="false">
      <alignment horizontal="left" vertical="center" textRotation="0" wrapText="false" indent="0" shrinkToFit="false"/>
      <protection locked="true" hidden="false"/>
    </xf>
    <xf numFmtId="166" fontId="0" fillId="6" borderId="44" xfId="0" applyFont="true" applyBorder="true" applyAlignment="true" applyProtection="false">
      <alignment horizontal="left" vertical="center" textRotation="0" wrapText="false" indent="0" shrinkToFit="false"/>
      <protection locked="true" hidden="false"/>
    </xf>
    <xf numFmtId="166" fontId="0" fillId="6" borderId="60" xfId="0" applyFont="false" applyBorder="true" applyAlignment="true" applyProtection="false">
      <alignment horizontal="left" vertical="center" textRotation="0" wrapText="false" indent="0" shrinkToFit="false"/>
      <protection locked="true" hidden="false"/>
    </xf>
    <xf numFmtId="166" fontId="0" fillId="6" borderId="65" xfId="0" applyFont="false" applyBorder="true" applyAlignment="true" applyProtection="false">
      <alignment horizontal="left" vertical="center" textRotation="0" wrapText="false" indent="0" shrinkToFit="false"/>
      <protection locked="true" hidden="false"/>
    </xf>
    <xf numFmtId="166" fontId="0" fillId="6" borderId="66" xfId="0" applyFont="false" applyBorder="true" applyAlignment="true" applyProtection="false">
      <alignment horizontal="left" vertical="center" textRotation="0" wrapText="false" indent="0" shrinkToFit="false"/>
      <protection locked="true" hidden="false"/>
    </xf>
    <xf numFmtId="166" fontId="0" fillId="4" borderId="39" xfId="0" applyFont="false" applyBorder="true" applyAlignment="true" applyProtection="false">
      <alignment horizontal="general" vertical="center" textRotation="0" wrapText="true" indent="0" shrinkToFit="false"/>
      <protection locked="true" hidden="false"/>
    </xf>
    <xf numFmtId="166" fontId="0" fillId="4" borderId="11" xfId="0" applyFont="false" applyBorder="true" applyAlignment="true" applyProtection="false">
      <alignment horizontal="general" vertical="center" textRotation="0" wrapText="false" indent="0" shrinkToFit="false"/>
      <protection locked="true" hidden="false"/>
    </xf>
    <xf numFmtId="166" fontId="0" fillId="4" borderId="48" xfId="0" applyFont="false" applyBorder="true" applyAlignment="true" applyProtection="false">
      <alignment horizontal="left" vertical="center" textRotation="0" wrapText="false" indent="0" shrinkToFit="false"/>
      <protection locked="true" hidden="false"/>
    </xf>
    <xf numFmtId="166" fontId="0" fillId="4" borderId="26" xfId="0" applyFont="false" applyBorder="true" applyAlignment="true" applyProtection="false">
      <alignment horizontal="left" vertical="center" textRotation="0" wrapText="false" indent="0" shrinkToFit="false"/>
      <protection locked="true" hidden="false"/>
    </xf>
    <xf numFmtId="166" fontId="0" fillId="4" borderId="67" xfId="0" applyFont="false" applyBorder="true" applyAlignment="true" applyProtection="false">
      <alignment horizontal="left" vertical="center" textRotation="0" wrapText="false" indent="0" shrinkToFit="false"/>
      <protection locked="true" hidden="false"/>
    </xf>
    <xf numFmtId="166" fontId="0" fillId="4" borderId="39" xfId="0" applyFont="false" applyBorder="true" applyAlignment="true" applyProtection="false">
      <alignment horizontal="left" vertical="center" textRotation="0" wrapText="false" indent="0" shrinkToFit="false"/>
      <protection locked="true" hidden="false"/>
    </xf>
    <xf numFmtId="166" fontId="0" fillId="4" borderId="39" xfId="0" applyFont="false" applyBorder="true" applyAlignment="true" applyProtection="false">
      <alignment horizontal="general" vertical="center" textRotation="0" wrapText="false" indent="0" shrinkToFit="false"/>
      <protection locked="true" hidden="false"/>
    </xf>
    <xf numFmtId="166" fontId="0" fillId="4" borderId="54" xfId="0" applyFont="false" applyBorder="true" applyAlignment="true" applyProtection="false">
      <alignment horizontal="general" vertical="center" textRotation="0" wrapText="false" indent="0" shrinkToFit="false"/>
      <protection locked="true" hidden="false"/>
    </xf>
    <xf numFmtId="166" fontId="0" fillId="4" borderId="14" xfId="0" applyFont="false" applyBorder="true" applyAlignment="true" applyProtection="false">
      <alignment horizontal="general" vertical="center" textRotation="0" wrapText="false" indent="0" shrinkToFit="false"/>
      <protection locked="true" hidden="false"/>
    </xf>
    <xf numFmtId="166" fontId="0" fillId="4" borderId="40" xfId="0" applyFont="false" applyBorder="true" applyAlignment="true" applyProtection="false">
      <alignment horizontal="general" vertical="center" textRotation="0" wrapText="false" indent="0" shrinkToFit="false"/>
      <protection locked="true" hidden="false"/>
    </xf>
    <xf numFmtId="166" fontId="0" fillId="4" borderId="17" xfId="0" applyFont="false" applyBorder="true" applyAlignment="true" applyProtection="false">
      <alignment horizontal="general" vertical="center" textRotation="0" wrapText="false" indent="0" shrinkToFit="false"/>
      <protection locked="true" hidden="false"/>
    </xf>
    <xf numFmtId="166" fontId="5" fillId="7" borderId="32" xfId="0" applyFont="true" applyBorder="true" applyAlignment="true" applyProtection="false">
      <alignment horizontal="center" vertical="center" textRotation="0" wrapText="false" indent="0" shrinkToFit="false"/>
      <protection locked="true" hidden="false"/>
    </xf>
    <xf numFmtId="166" fontId="5" fillId="6" borderId="32" xfId="0" applyFont="true" applyBorder="true" applyAlignment="true" applyProtection="false">
      <alignment horizontal="center" vertical="center" textRotation="0" wrapText="false" indent="0" shrinkToFit="false"/>
      <protection locked="true" hidden="false"/>
    </xf>
    <xf numFmtId="166" fontId="0" fillId="0" borderId="6" xfId="0" applyFont="true" applyBorder="true" applyAlignment="true" applyProtection="false">
      <alignment horizontal="left" vertical="center" textRotation="0" wrapText="true" indent="0" shrinkToFit="false"/>
      <protection locked="true" hidden="false"/>
    </xf>
    <xf numFmtId="164" fontId="6" fillId="0" borderId="51" xfId="0" applyFont="true" applyBorder="true" applyAlignment="true" applyProtection="false">
      <alignment horizontal="left" vertical="center" textRotation="0" wrapText="true" indent="0" shrinkToFit="false"/>
      <protection locked="true" hidden="false"/>
    </xf>
    <xf numFmtId="166" fontId="0" fillId="7" borderId="52" xfId="0" applyFont="true" applyBorder="true" applyAlignment="true" applyProtection="false">
      <alignment horizontal="left" vertical="center" textRotation="0" wrapText="true" indent="0" shrinkToFit="false"/>
      <protection locked="true" hidden="false"/>
    </xf>
    <xf numFmtId="166" fontId="0" fillId="6" borderId="54" xfId="0" applyFont="true" applyBorder="true" applyAlignment="true" applyProtection="false">
      <alignment horizontal="left" vertical="center" textRotation="0" wrapText="true" indent="0" shrinkToFit="false"/>
      <protection locked="true" hidden="false"/>
    </xf>
    <xf numFmtId="166" fontId="0" fillId="0" borderId="51" xfId="0" applyFont="true" applyBorder="true" applyAlignment="true" applyProtection="false">
      <alignment horizontal="left" vertical="center" textRotation="0" wrapText="true" indent="0" shrinkToFit="false"/>
      <protection locked="true" hidden="false"/>
    </xf>
    <xf numFmtId="166" fontId="0" fillId="0" borderId="54" xfId="0" applyFont="true" applyBorder="true" applyAlignment="true" applyProtection="false">
      <alignment horizontal="left" vertical="center" textRotation="0" wrapText="false" indent="0" shrinkToFit="false"/>
      <protection locked="true" hidden="false"/>
    </xf>
    <xf numFmtId="166" fontId="0" fillId="0" borderId="15" xfId="0" applyFont="true" applyBorder="true" applyAlignment="true" applyProtection="false">
      <alignment horizontal="left" vertical="center" textRotation="0" wrapText="true" indent="0" shrinkToFit="false"/>
      <protection locked="true" hidden="false"/>
    </xf>
    <xf numFmtId="164" fontId="0" fillId="0" borderId="11" xfId="0" applyFont="true" applyBorder="true" applyAlignment="true" applyProtection="false">
      <alignment horizontal="general" vertical="center" textRotation="0" wrapText="false" indent="0" shrinkToFit="false"/>
      <protection locked="true" hidden="false"/>
    </xf>
    <xf numFmtId="164" fontId="0" fillId="6" borderId="17" xfId="0" applyFont="true" applyBorder="true" applyAlignment="true" applyProtection="false">
      <alignment horizontal="general" vertical="center" textRotation="0" wrapText="false" indent="0" shrinkToFit="false"/>
      <protection locked="true" hidden="false"/>
    </xf>
    <xf numFmtId="164" fontId="0" fillId="6" borderId="18" xfId="0" applyFont="true" applyBorder="true" applyAlignment="true" applyProtection="false">
      <alignment horizontal="general" vertical="center" textRotation="0" wrapText="false" indent="0" shrinkToFit="false"/>
      <protection locked="true" hidden="false"/>
    </xf>
    <xf numFmtId="166" fontId="0" fillId="0" borderId="38" xfId="0" applyFont="true" applyBorder="true" applyAlignment="true" applyProtection="false">
      <alignment horizontal="left" vertical="center" textRotation="0" wrapText="false" indent="0" shrinkToFit="false"/>
      <protection locked="true" hidden="false"/>
    </xf>
    <xf numFmtId="164" fontId="0" fillId="0" borderId="17" xfId="0" applyFont="true" applyBorder="true" applyAlignment="true" applyProtection="false">
      <alignment horizontal="general" vertical="center" textRotation="0" wrapText="false" indent="0" shrinkToFit="false"/>
      <protection locked="true" hidden="false"/>
    </xf>
    <xf numFmtId="164" fontId="0" fillId="9" borderId="7" xfId="0" applyFont="true" applyBorder="true" applyAlignment="true" applyProtection="false">
      <alignment horizontal="general" vertical="center" textRotation="0" wrapText="false" indent="0" shrinkToFit="false"/>
      <protection locked="true" hidden="false"/>
    </xf>
    <xf numFmtId="164" fontId="0" fillId="0" borderId="11" xfId="0" applyFont="false" applyBorder="true" applyAlignment="true" applyProtection="false">
      <alignment horizontal="center" vertical="center" textRotation="0" wrapText="true" indent="0" shrinkToFit="false"/>
      <protection locked="true" hidden="false"/>
    </xf>
    <xf numFmtId="164" fontId="0" fillId="0" borderId="13" xfId="0" applyFont="true" applyBorder="true" applyAlignment="true" applyProtection="false">
      <alignment horizontal="general" vertical="center" textRotation="0" wrapText="false" indent="0" shrinkToFit="false"/>
      <protection locked="true" hidden="false"/>
    </xf>
    <xf numFmtId="166" fontId="0" fillId="8" borderId="24" xfId="0" applyFont="true" applyBorder="true" applyAlignment="true" applyProtection="false">
      <alignment horizontal="left" vertical="center" textRotation="0" wrapText="true" indent="0" shrinkToFit="false"/>
      <protection locked="true" hidden="false"/>
    </xf>
    <xf numFmtId="166" fontId="0" fillId="7" borderId="54" xfId="0" applyFont="true" applyBorder="true" applyAlignment="true" applyProtection="false">
      <alignment horizontal="left" vertical="center" textRotation="0" wrapText="false" indent="0" shrinkToFit="false"/>
      <protection locked="true" hidden="false"/>
    </xf>
    <xf numFmtId="164" fontId="0" fillId="5" borderId="0" xfId="0" applyFont="false" applyBorder="false" applyAlignment="true" applyProtection="false">
      <alignment horizontal="general" vertical="center" textRotation="0" wrapText="true" indent="0" shrinkToFit="false"/>
      <protection locked="true" hidden="false"/>
    </xf>
    <xf numFmtId="164" fontId="6" fillId="0" borderId="7" xfId="0" applyFont="true" applyBorder="true" applyAlignment="true" applyProtection="false">
      <alignment horizontal="left" vertical="center" textRotation="0" wrapText="true" indent="0" shrinkToFit="false"/>
      <protection locked="true" hidden="false"/>
    </xf>
    <xf numFmtId="167" fontId="6" fillId="0" borderId="8" xfId="0" applyFont="true" applyBorder="true" applyAlignment="true" applyProtection="false">
      <alignment horizontal="center" vertical="center" textRotation="0" wrapText="true" indent="0" shrinkToFit="false"/>
      <protection locked="true" hidden="false"/>
    </xf>
    <xf numFmtId="164" fontId="6" fillId="0" borderId="9" xfId="0" applyFont="true" applyBorder="true" applyAlignment="true" applyProtection="false">
      <alignment horizontal="center" vertical="center" textRotation="0" wrapText="true" indent="0" shrinkToFit="false"/>
      <protection locked="true" hidden="false"/>
    </xf>
    <xf numFmtId="165" fontId="0" fillId="0" borderId="25" xfId="0" applyFont="false" applyBorder="true" applyAlignment="true" applyProtection="false">
      <alignment horizontal="center" vertical="center" textRotation="0" wrapText="true" indent="0" shrinkToFit="false"/>
      <protection locked="true" hidden="false"/>
    </xf>
    <xf numFmtId="165" fontId="0" fillId="0" borderId="7" xfId="0" applyFont="false" applyBorder="true" applyAlignment="true" applyProtection="false">
      <alignment horizontal="center" vertical="center" textRotation="0" wrapText="true" indent="0" shrinkToFit="false"/>
      <protection locked="true" hidden="false"/>
    </xf>
    <xf numFmtId="165" fontId="0" fillId="0" borderId="24" xfId="0" applyFont="false" applyBorder="true" applyAlignment="true" applyProtection="false">
      <alignment horizontal="center" vertical="center" textRotation="0" wrapText="true" indent="0" shrinkToFit="false"/>
      <protection locked="true" hidden="false"/>
    </xf>
    <xf numFmtId="164" fontId="0" fillId="5" borderId="0" xfId="0" applyFont="false" applyBorder="false" applyAlignment="true" applyProtection="false">
      <alignment horizontal="center" vertical="center" textRotation="0" wrapText="true" indent="0" shrinkToFit="false"/>
      <protection locked="true" hidden="false"/>
    </xf>
    <xf numFmtId="164" fontId="6" fillId="0" borderId="13" xfId="0" applyFont="true" applyBorder="true" applyAlignment="true" applyProtection="false">
      <alignment horizontal="center" vertical="center" textRotation="0" wrapText="true" indent="0" shrinkToFit="false"/>
      <protection locked="true" hidden="false"/>
    </xf>
    <xf numFmtId="165" fontId="0" fillId="0" borderId="28" xfId="0" applyFont="false" applyBorder="true" applyAlignment="true" applyProtection="false">
      <alignment horizontal="center" vertical="center" textRotation="0" wrapText="true" indent="0" shrinkToFit="false"/>
      <protection locked="true" hidden="false"/>
    </xf>
    <xf numFmtId="165" fontId="0" fillId="0" borderId="11" xfId="0" applyFont="false" applyBorder="true" applyAlignment="true" applyProtection="false">
      <alignment horizontal="center" vertical="center" textRotation="0" wrapText="true" indent="0" shrinkToFit="false"/>
      <protection locked="true" hidden="false"/>
    </xf>
    <xf numFmtId="165" fontId="0" fillId="0" borderId="27" xfId="0" applyFont="false" applyBorder="true" applyAlignment="true" applyProtection="false">
      <alignment horizontal="center" vertical="center" textRotation="0" wrapText="true" indent="0" shrinkToFit="false"/>
      <protection locked="true" hidden="false"/>
    </xf>
    <xf numFmtId="164" fontId="0" fillId="6" borderId="0" xfId="0" applyFont="false" applyBorder="false" applyAlignment="true" applyProtection="false">
      <alignment horizontal="general" vertical="center" textRotation="0" wrapText="true" indent="0" shrinkToFit="false"/>
      <protection locked="true" hidden="false"/>
    </xf>
    <xf numFmtId="164" fontId="0" fillId="6" borderId="0" xfId="0" applyFont="false" applyBorder="false" applyAlignment="true" applyProtection="false">
      <alignment horizontal="center" vertical="center" textRotation="0" wrapText="true" indent="0" shrinkToFit="false"/>
      <protection locked="true" hidden="false"/>
    </xf>
    <xf numFmtId="164" fontId="6" fillId="6" borderId="0" xfId="0" applyFont="true" applyBorder="false" applyAlignment="true" applyProtection="false">
      <alignment horizontal="general" vertical="center" textRotation="0" wrapText="true" indent="0" shrinkToFit="false"/>
      <protection locked="true" hidden="false"/>
    </xf>
    <xf numFmtId="164" fontId="8" fillId="0" borderId="11" xfId="0" applyFont="true" applyBorder="true" applyAlignment="true" applyProtection="false">
      <alignment horizontal="left" vertical="center" textRotation="0" wrapText="true" indent="0" shrinkToFit="false"/>
      <protection locked="true" hidden="false"/>
    </xf>
    <xf numFmtId="164" fontId="8" fillId="0" borderId="12" xfId="0" applyFont="true" applyBorder="true" applyAlignment="true" applyProtection="false">
      <alignment horizontal="left" vertical="center" textRotation="0" wrapText="true" indent="0" shrinkToFit="false"/>
      <protection locked="true" hidden="false"/>
    </xf>
    <xf numFmtId="164" fontId="8" fillId="0" borderId="13" xfId="0" applyFont="true" applyBorder="true" applyAlignment="true" applyProtection="false">
      <alignment horizontal="center" vertical="center" textRotation="0" wrapText="true" indent="0" shrinkToFit="false"/>
      <protection locked="true" hidden="false"/>
    </xf>
    <xf numFmtId="164" fontId="0" fillId="4" borderId="0" xfId="0" applyFont="false" applyBorder="false" applyAlignment="true" applyProtection="false">
      <alignment horizontal="left" vertical="center" textRotation="0" wrapText="true" indent="0" shrinkToFit="false"/>
      <protection locked="true" hidden="false"/>
    </xf>
    <xf numFmtId="164" fontId="6" fillId="0" borderId="17" xfId="0" applyFont="true" applyBorder="true" applyAlignment="true" applyProtection="false">
      <alignment horizontal="left" vertical="center" textRotation="0" wrapText="true" indent="0" shrinkToFit="false"/>
      <protection locked="true" hidden="false"/>
    </xf>
    <xf numFmtId="167" fontId="6" fillId="0" borderId="18" xfId="0" applyFont="true" applyBorder="true" applyAlignment="true" applyProtection="false">
      <alignment horizontal="center" vertical="center" textRotation="0" wrapText="true" indent="0" shrinkToFit="false"/>
      <protection locked="true" hidden="false"/>
    </xf>
    <xf numFmtId="164" fontId="6" fillId="0" borderId="19" xfId="0" applyFont="true" applyBorder="true" applyAlignment="true" applyProtection="false">
      <alignment horizontal="center" vertical="center" textRotation="0" wrapText="true" indent="0" shrinkToFit="false"/>
      <protection locked="true" hidden="false"/>
    </xf>
    <xf numFmtId="165" fontId="0" fillId="0" borderId="31" xfId="0" applyFont="false" applyBorder="true" applyAlignment="true" applyProtection="false">
      <alignment horizontal="center" vertical="center" textRotation="0" wrapText="true" indent="0" shrinkToFit="false"/>
      <protection locked="true" hidden="false"/>
    </xf>
    <xf numFmtId="165" fontId="0" fillId="0" borderId="17" xfId="0" applyFont="false" applyBorder="true" applyAlignment="true" applyProtection="false">
      <alignment horizontal="center" vertical="center" textRotation="0" wrapText="true" indent="0" shrinkToFit="false"/>
      <protection locked="true" hidden="false"/>
    </xf>
    <xf numFmtId="165" fontId="0" fillId="0" borderId="30" xfId="0" applyFont="false" applyBorder="true" applyAlignment="true" applyProtection="false">
      <alignment horizontal="center" vertical="center" textRotation="0" wrapText="true" indent="0" shrinkToFit="false"/>
      <protection locked="true" hidden="false"/>
    </xf>
    <xf numFmtId="164" fontId="6" fillId="9" borderId="7" xfId="0" applyFont="true" applyBorder="true" applyAlignment="true" applyProtection="false">
      <alignment horizontal="left" vertical="center" textRotation="0" wrapText="true" indent="0" shrinkToFit="false"/>
      <protection locked="true" hidden="false"/>
    </xf>
    <xf numFmtId="166" fontId="0" fillId="0" borderId="14" xfId="0" applyFont="true" applyBorder="true" applyAlignment="true" applyProtection="false">
      <alignment horizontal="left" vertical="center" textRotation="0" wrapText="false" indent="0" shrinkToFit="false"/>
      <protection locked="true" hidden="false"/>
    </xf>
    <xf numFmtId="166" fontId="9" fillId="0" borderId="5" xfId="0" applyFont="true" applyBorder="true" applyAlignment="true" applyProtection="false">
      <alignment horizontal="center" vertical="center" textRotation="0" wrapText="false" indent="0" shrinkToFit="false"/>
      <protection locked="true" hidden="false"/>
    </xf>
    <xf numFmtId="166" fontId="9" fillId="0" borderId="3" xfId="0" applyFont="true" applyBorder="true" applyAlignment="true" applyProtection="false">
      <alignment horizontal="general" vertical="center" textRotation="0" wrapText="true" indent="0" shrinkToFit="false"/>
      <protection locked="true" hidden="false"/>
    </xf>
    <xf numFmtId="166" fontId="9" fillId="0" borderId="3" xfId="0" applyFont="true" applyBorder="true" applyAlignment="true" applyProtection="false">
      <alignment horizontal="center" vertical="center" textRotation="0" wrapText="false" indent="0" shrinkToFit="false"/>
      <protection locked="true" hidden="false"/>
    </xf>
    <xf numFmtId="166" fontId="9" fillId="0" borderId="3" xfId="0" applyFont="true" applyBorder="true" applyAlignment="true" applyProtection="false">
      <alignment horizontal="center" vertical="center" textRotation="0" wrapText="true" indent="0" shrinkToFit="false"/>
      <protection locked="true" hidden="false"/>
    </xf>
    <xf numFmtId="164" fontId="9" fillId="0" borderId="3" xfId="0" applyFont="true" applyBorder="true" applyAlignment="true" applyProtection="false">
      <alignment horizontal="center" vertical="center" textRotation="0" wrapText="true" indent="0" shrinkToFit="false"/>
      <protection locked="true" hidden="false"/>
    </xf>
    <xf numFmtId="166" fontId="9" fillId="0" borderId="33" xfId="0" applyFont="true" applyBorder="true" applyAlignment="true" applyProtection="false">
      <alignment horizontal="center" vertical="center" textRotation="0" wrapText="true" indent="0" shrinkToFit="false"/>
      <protection locked="true" hidden="false"/>
    </xf>
    <xf numFmtId="166" fontId="9" fillId="0" borderId="6" xfId="0" applyFont="true" applyBorder="true" applyAlignment="true" applyProtection="false">
      <alignment horizontal="center" vertical="center" textRotation="0" wrapText="false" indent="0" shrinkToFit="false"/>
      <protection locked="true" hidden="false"/>
    </xf>
    <xf numFmtId="164" fontId="6" fillId="5" borderId="0" xfId="0" applyFont="true" applyBorder="false" applyAlignment="true" applyProtection="false">
      <alignment horizontal="general" vertical="center" textRotation="0" wrapText="true" indent="0" shrinkToFit="false"/>
      <protection locked="true" hidden="false"/>
    </xf>
    <xf numFmtId="164" fontId="8" fillId="0" borderId="7" xfId="0" applyFont="true" applyBorder="true" applyAlignment="true" applyProtection="false">
      <alignment horizontal="left" vertical="center" textRotation="0" wrapText="true" indent="0" shrinkToFit="false"/>
      <protection locked="true" hidden="false"/>
    </xf>
    <xf numFmtId="164" fontId="8" fillId="0" borderId="8" xfId="0" applyFont="true" applyBorder="true" applyAlignment="true" applyProtection="false">
      <alignment horizontal="left" vertical="center" textRotation="0" wrapText="true" indent="0" shrinkToFit="false"/>
      <protection locked="true" hidden="false"/>
    </xf>
    <xf numFmtId="167" fontId="8" fillId="0" borderId="8" xfId="0" applyFont="true" applyBorder="true" applyAlignment="true" applyProtection="false">
      <alignment horizontal="center" vertical="center" textRotation="0" wrapText="true" indent="0" shrinkToFit="false"/>
      <protection locked="true" hidden="false"/>
    </xf>
    <xf numFmtId="164" fontId="8" fillId="0" borderId="9" xfId="0" applyFont="true" applyBorder="true" applyAlignment="true" applyProtection="false">
      <alignment horizontal="center" vertical="center" textRotation="0" wrapText="true" indent="0" shrinkToFit="false"/>
      <protection locked="true" hidden="false"/>
    </xf>
    <xf numFmtId="164" fontId="6" fillId="0" borderId="11" xfId="0" applyFont="true" applyBorder="true" applyAlignment="true" applyProtection="false">
      <alignment horizontal="general" vertical="center" textRotation="0" wrapText="true" indent="0" shrinkToFit="false"/>
      <protection locked="true" hidden="false"/>
    </xf>
    <xf numFmtId="164" fontId="0" fillId="7" borderId="0" xfId="0" applyFont="false" applyBorder="false" applyAlignment="true" applyProtection="false">
      <alignment horizontal="general" vertical="center" textRotation="0" wrapText="true" indent="0" shrinkToFit="false"/>
      <protection locked="true" hidden="false"/>
    </xf>
    <xf numFmtId="164" fontId="6" fillId="7" borderId="0" xfId="0" applyFont="true" applyBorder="false" applyAlignment="true" applyProtection="false">
      <alignment horizontal="general" vertical="center" textRotation="0" wrapText="true" indent="0" shrinkToFit="false"/>
      <protection locked="true" hidden="false"/>
    </xf>
    <xf numFmtId="164" fontId="0" fillId="7" borderId="0" xfId="0" applyFont="false" applyBorder="false" applyAlignment="true" applyProtection="false">
      <alignment horizontal="center" vertical="center" textRotation="0" wrapText="true" indent="0" shrinkToFit="false"/>
      <protection locked="true" hidden="false"/>
    </xf>
    <xf numFmtId="164" fontId="8" fillId="0" borderId="11" xfId="0" applyFont="true" applyBorder="true" applyAlignment="true" applyProtection="false">
      <alignment horizontal="general" vertical="center" textRotation="0" wrapText="true" indent="0" shrinkToFit="false"/>
      <protection locked="true" hidden="false"/>
    </xf>
    <xf numFmtId="164" fontId="6" fillId="2" borderId="11" xfId="0" applyFont="true" applyBorder="true" applyAlignment="true" applyProtection="false">
      <alignment horizontal="general" vertical="center" textRotation="0" wrapText="true" indent="0" shrinkToFit="false"/>
      <protection locked="true" hidden="false"/>
    </xf>
    <xf numFmtId="164" fontId="6" fillId="2" borderId="12" xfId="0" applyFont="true" applyBorder="true" applyAlignment="true" applyProtection="false">
      <alignment horizontal="left" vertical="center" textRotation="0" wrapText="true" indent="0" shrinkToFit="false"/>
      <protection locked="true" hidden="false"/>
    </xf>
    <xf numFmtId="164" fontId="6" fillId="6" borderId="17" xfId="0" applyFont="true" applyBorder="true" applyAlignment="true" applyProtection="false">
      <alignment horizontal="left" vertical="center" textRotation="0" wrapText="true" indent="0" shrinkToFit="false"/>
      <protection locked="true" hidden="false"/>
    </xf>
    <xf numFmtId="164" fontId="6" fillId="6" borderId="18" xfId="0" applyFont="true" applyBorder="true" applyAlignment="true" applyProtection="false">
      <alignment horizontal="left" vertical="center" textRotation="0" wrapText="true" indent="0" shrinkToFit="false"/>
      <protection locked="true" hidden="false"/>
    </xf>
    <xf numFmtId="166" fontId="0" fillId="5" borderId="44" xfId="0" applyFont="true" applyBorder="true" applyAlignment="true" applyProtection="false">
      <alignment horizontal="general" vertical="center" textRotation="0" wrapText="true" indent="0" shrinkToFit="false"/>
      <protection locked="true" hidden="false"/>
    </xf>
    <xf numFmtId="164" fontId="0" fillId="0" borderId="14" xfId="0" applyFont="true" applyBorder="true" applyAlignment="true" applyProtection="false">
      <alignment horizontal="left" vertical="center" textRotation="0" wrapText="false" indent="0" shrinkToFit="false"/>
      <protection locked="true" hidden="false"/>
    </xf>
    <xf numFmtId="166" fontId="0" fillId="7" borderId="51" xfId="0" applyFont="true" applyBorder="true" applyAlignment="true" applyProtection="false">
      <alignment horizontal="left" vertical="center" textRotation="0" wrapText="false" indent="0" shrinkToFit="false"/>
      <protection locked="true" hidden="false"/>
    </xf>
    <xf numFmtId="166" fontId="0" fillId="7" borderId="15" xfId="0" applyFont="true" applyBorder="true" applyAlignment="true" applyProtection="false">
      <alignment horizontal="left" vertical="center" textRotation="0" wrapText="false" indent="0" shrinkToFit="false"/>
      <protection locked="true" hidden="false"/>
    </xf>
    <xf numFmtId="166" fontId="0" fillId="7" borderId="48" xfId="0" applyFont="true" applyBorder="true" applyAlignment="true" applyProtection="false">
      <alignment horizontal="left" vertical="center" textRotation="0" wrapText="false" indent="0" shrinkToFit="false"/>
      <protection locked="true" hidden="false"/>
    </xf>
    <xf numFmtId="166" fontId="0" fillId="7" borderId="54" xfId="0" applyFont="true" applyBorder="true" applyAlignment="true" applyProtection="false">
      <alignment horizontal="left" vertical="center" textRotation="0" wrapText="true" indent="0" shrinkToFit="false"/>
      <protection locked="true" hidden="false"/>
    </xf>
    <xf numFmtId="166" fontId="0" fillId="5" borderId="40" xfId="0" applyFont="true" applyBorder="true" applyAlignment="true" applyProtection="false">
      <alignment horizontal="left" vertical="center" textRotation="0" wrapText="false" indent="0" shrinkToFit="false"/>
      <protection locked="true" hidden="false"/>
    </xf>
    <xf numFmtId="164" fontId="0" fillId="0" borderId="41" xfId="0" applyFont="true" applyBorder="true" applyAlignment="true" applyProtection="false">
      <alignment horizontal="left" vertical="center" textRotation="0" wrapText="false" indent="0" shrinkToFit="false"/>
      <protection locked="true" hidden="false"/>
    </xf>
    <xf numFmtId="164" fontId="0" fillId="0" borderId="16" xfId="0" applyFont="true" applyBorder="true" applyAlignment="true" applyProtection="false">
      <alignment horizontal="left" vertical="center" textRotation="0" wrapText="true" indent="0" shrinkToFit="false"/>
      <protection locked="true" hidden="false"/>
    </xf>
    <xf numFmtId="166" fontId="0" fillId="0" borderId="3" xfId="0" applyFont="true" applyBorder="true" applyAlignment="true" applyProtection="false">
      <alignment horizontal="left" vertical="center" textRotation="0" wrapText="false" indent="0" shrinkToFit="false"/>
      <protection locked="true" hidden="false"/>
    </xf>
    <xf numFmtId="166" fontId="0" fillId="0" borderId="41" xfId="0" applyFont="true" applyBorder="true" applyAlignment="true" applyProtection="false">
      <alignment horizontal="left" vertical="center" textRotation="0" wrapText="false" indent="0" shrinkToFit="false"/>
      <protection locked="true" hidden="false"/>
    </xf>
    <xf numFmtId="166" fontId="0" fillId="0" borderId="52" xfId="0" applyFont="true" applyBorder="true" applyAlignment="true" applyProtection="false">
      <alignment horizontal="left" vertical="center" textRotation="0" wrapText="true" indent="0" shrinkToFit="false"/>
      <protection locked="true" hidden="false"/>
    </xf>
    <xf numFmtId="166" fontId="0" fillId="4" borderId="68" xfId="0" applyFont="false" applyBorder="true" applyAlignment="true" applyProtection="false">
      <alignment horizontal="left" vertical="center" textRotation="0" wrapText="false" indent="0" shrinkToFit="false"/>
      <protection locked="true" hidden="false"/>
    </xf>
    <xf numFmtId="166" fontId="0" fillId="4" borderId="0" xfId="0" applyFont="false" applyBorder="false" applyAlignment="true" applyProtection="false">
      <alignment horizontal="left" vertical="center" textRotation="0" wrapText="false" indent="0" shrinkToFit="false"/>
      <protection locked="true" hidden="false"/>
    </xf>
    <xf numFmtId="166" fontId="0" fillId="4" borderId="4" xfId="0" applyFont="false" applyBorder="true" applyAlignment="true" applyProtection="false">
      <alignment horizontal="left" vertical="center" textRotation="0" wrapText="false" indent="0" shrinkToFit="false"/>
      <protection locked="true" hidden="false"/>
    </xf>
    <xf numFmtId="166" fontId="0" fillId="4" borderId="34" xfId="0" applyFont="false" applyBorder="true" applyAlignment="true" applyProtection="false">
      <alignment horizontal="general" vertical="center" textRotation="0" wrapText="false" indent="0" shrinkToFit="false"/>
      <protection locked="true" hidden="false"/>
    </xf>
    <xf numFmtId="166" fontId="0" fillId="4" borderId="32" xfId="0" applyFont="false" applyBorder="true" applyAlignment="true" applyProtection="false">
      <alignment horizontal="general" vertical="center" textRotation="0" wrapText="false" indent="0" shrinkToFit="false"/>
      <protection locked="true" hidden="false"/>
    </xf>
    <xf numFmtId="166" fontId="0" fillId="4" borderId="32" xfId="0" applyFont="false" applyBorder="true" applyAlignment="true" applyProtection="false">
      <alignment horizontal="left" vertical="center" textRotation="0" wrapText="false" indent="0" shrinkToFit="false"/>
      <protection locked="true" hidden="false"/>
    </xf>
    <xf numFmtId="166" fontId="0" fillId="4" borderId="35" xfId="0" applyFont="false" applyBorder="true" applyAlignment="true" applyProtection="false">
      <alignment horizontal="left" vertical="center" textRotation="0" wrapText="false" indent="0" shrinkToFit="false"/>
      <protection locked="true" hidden="false"/>
    </xf>
    <xf numFmtId="164" fontId="0" fillId="0" borderId="9" xfId="0" applyFont="true" applyBorder="true" applyAlignment="true" applyProtection="false">
      <alignment horizontal="general" vertical="center" textRotation="0" wrapText="false" indent="0" shrinkToFit="false"/>
      <protection locked="true" hidden="false"/>
    </xf>
    <xf numFmtId="164" fontId="0" fillId="0" borderId="19" xfId="0" applyFont="true" applyBorder="true" applyAlignment="true" applyProtection="false">
      <alignment horizontal="general" vertical="center" textRotation="0" wrapText="false" indent="0" shrinkToFit="false"/>
      <protection locked="true" hidden="false"/>
    </xf>
    <xf numFmtId="166" fontId="0" fillId="0" borderId="6" xfId="0" applyFont="true" applyBorder="true" applyAlignment="true" applyProtection="false">
      <alignment horizontal="left" vertical="center" textRotation="0" wrapText="false" indent="0" shrinkToFit="false"/>
      <protection locked="true" hidden="false"/>
    </xf>
    <xf numFmtId="166" fontId="0" fillId="6" borderId="39" xfId="0" applyFont="true" applyBorder="true" applyAlignment="true" applyProtection="false">
      <alignment horizontal="left" vertical="center" textRotation="0" wrapText="true" indent="0" shrinkToFit="false"/>
      <protection locked="true" hidden="false"/>
    </xf>
    <xf numFmtId="166" fontId="0" fillId="7" borderId="40" xfId="0" applyFont="true" applyBorder="true" applyAlignment="true" applyProtection="false">
      <alignment horizontal="left" vertical="center" textRotation="0" wrapText="false" indent="0" shrinkToFit="false"/>
      <protection locked="true" hidden="false"/>
    </xf>
    <xf numFmtId="166" fontId="0" fillId="0" borderId="3" xfId="0" applyFont="true" applyBorder="true" applyAlignment="true" applyProtection="false">
      <alignment horizontal="left" vertical="center" textRotation="0" wrapText="true" indent="0" shrinkToFit="false"/>
      <protection locked="true" hidden="false"/>
    </xf>
    <xf numFmtId="166" fontId="0" fillId="7" borderId="49" xfId="0" applyFont="true" applyBorder="true" applyAlignment="true" applyProtection="false">
      <alignment horizontal="left" vertical="center" textRotation="0" wrapText="true" indent="0" shrinkToFit="false"/>
      <protection locked="true" hidden="false"/>
    </xf>
    <xf numFmtId="166" fontId="0" fillId="5" borderId="30" xfId="0" applyFont="true" applyBorder="true" applyAlignment="true" applyProtection="false">
      <alignment horizontal="left" vertical="center" textRotation="0" wrapText="false" indent="0" shrinkToFit="false"/>
      <protection locked="true" hidden="false"/>
    </xf>
    <xf numFmtId="166" fontId="0" fillId="8" borderId="38" xfId="0" applyFont="true" applyBorder="true" applyAlignment="true" applyProtection="false">
      <alignment horizontal="left" vertical="center" textRotation="0" wrapText="true" indent="0" shrinkToFit="false"/>
      <protection locked="true" hidden="false"/>
    </xf>
    <xf numFmtId="166" fontId="0" fillId="8" borderId="39" xfId="0" applyFont="true" applyBorder="true" applyAlignment="true" applyProtection="false">
      <alignment horizontal="left" vertical="center" textRotation="0" wrapText="false" indent="0" shrinkToFit="false"/>
      <protection locked="true" hidden="false"/>
    </xf>
    <xf numFmtId="166" fontId="0" fillId="8" borderId="29" xfId="0" applyFont="true" applyBorder="true" applyAlignment="true" applyProtection="false">
      <alignment horizontal="left" vertical="center" textRotation="0" wrapText="false" indent="0" shrinkToFit="false"/>
      <protection locked="true" hidden="false"/>
    </xf>
    <xf numFmtId="166" fontId="0" fillId="8" borderId="15" xfId="0" applyFont="true" applyBorder="true" applyAlignment="true" applyProtection="false">
      <alignment horizontal="left" vertical="center" textRotation="0" wrapText="false" indent="0" shrinkToFit="false"/>
      <protection locked="true" hidden="false"/>
    </xf>
    <xf numFmtId="166" fontId="0" fillId="7" borderId="24" xfId="0" applyFont="true" applyBorder="true" applyAlignment="true" applyProtection="false">
      <alignment horizontal="left" vertical="center" textRotation="0" wrapText="false" indent="0" shrinkToFit="false"/>
      <protection locked="true" hidden="false"/>
    </xf>
    <xf numFmtId="166" fontId="0" fillId="7" borderId="39" xfId="0" applyFont="true" applyBorder="true" applyAlignment="true" applyProtection="false">
      <alignment horizontal="left" vertical="center" textRotation="0" wrapText="false" indent="0" shrinkToFit="false"/>
      <protection locked="true" hidden="false"/>
    </xf>
    <xf numFmtId="166" fontId="0" fillId="6" borderId="39" xfId="0" applyFont="true" applyBorder="true" applyAlignment="true" applyProtection="false">
      <alignment horizontal="left" vertical="center" textRotation="0" wrapText="false" indent="0" shrinkToFit="false"/>
      <protection locked="true" hidden="false"/>
    </xf>
    <xf numFmtId="166" fontId="0" fillId="5" borderId="49" xfId="0" applyFont="true" applyBorder="true" applyAlignment="true" applyProtection="false">
      <alignment horizontal="left" vertical="center" textRotation="0" wrapText="true" indent="0" shrinkToFit="false"/>
      <protection locked="true" hidden="false"/>
    </xf>
    <xf numFmtId="166" fontId="0" fillId="0" borderId="17" xfId="0" applyFont="true" applyBorder="true" applyAlignment="true" applyProtection="false">
      <alignment horizontal="left" vertical="center" textRotation="0" wrapText="false" indent="0" shrinkToFit="false"/>
      <protection locked="true" hidden="false"/>
    </xf>
    <xf numFmtId="166" fontId="0" fillId="0" borderId="29" xfId="0" applyFont="true" applyBorder="true" applyAlignment="true" applyProtection="false">
      <alignment horizontal="left" vertical="center" textRotation="0" wrapText="fals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64" fontId="11" fillId="3" borderId="0" xfId="0" applyFont="true" applyBorder="true" applyAlignment="true" applyProtection="false">
      <alignment horizontal="center" vertical="center" textRotation="0" wrapText="false" indent="0" shrinkToFit="false"/>
      <protection locked="true" hidden="false"/>
    </xf>
    <xf numFmtId="164" fontId="0" fillId="3" borderId="0" xfId="0" applyFont="false" applyBorder="false" applyAlignment="false" applyProtection="false">
      <alignment horizontal="general" vertical="bottom" textRotation="0" wrapText="false" indent="0" shrinkToFit="false"/>
      <protection locked="true" hidden="false"/>
    </xf>
    <xf numFmtId="164" fontId="12" fillId="3" borderId="0" xfId="0" applyFont="true" applyBorder="true" applyAlignment="true" applyProtection="false">
      <alignment horizontal="center" vertical="center" textRotation="0" wrapText="false" indent="0" shrinkToFit="false"/>
      <protection locked="true" hidden="false"/>
    </xf>
    <xf numFmtId="164" fontId="13" fillId="3" borderId="0" xfId="0" applyFont="true" applyBorder="false" applyAlignment="true" applyProtection="false">
      <alignment horizontal="general" vertical="center" textRotation="0" wrapText="false" indent="0" shrinkToFit="false"/>
      <protection locked="true" hidden="false"/>
    </xf>
    <xf numFmtId="164" fontId="13" fillId="0" borderId="0" xfId="0" applyFont="true" applyBorder="false" applyAlignment="true" applyProtection="false">
      <alignment horizontal="general" vertical="center" textRotation="0" wrapText="false" indent="0" shrinkToFit="false"/>
      <protection locked="true" hidden="false"/>
    </xf>
    <xf numFmtId="164" fontId="0" fillId="3" borderId="0" xfId="0" applyFont="false" applyBorder="false" applyAlignment="true" applyProtection="false">
      <alignment horizontal="center" vertical="bottom" textRotation="0" wrapText="false" indent="0" shrinkToFit="false"/>
      <protection locked="true" hidden="false"/>
    </xf>
    <xf numFmtId="164" fontId="5" fillId="3" borderId="0" xfId="0" applyFont="true" applyBorder="false" applyAlignment="true" applyProtection="false">
      <alignment horizontal="center" vertical="center" textRotation="0" wrapText="false" indent="0" shrinkToFit="false"/>
      <protection locked="true" hidden="false"/>
    </xf>
    <xf numFmtId="164" fontId="5" fillId="0" borderId="41" xfId="0" applyFont="true" applyBorder="true" applyAlignment="true" applyProtection="false">
      <alignment horizontal="center" vertical="center" textRotation="0" wrapText="false" indent="0" shrinkToFit="false"/>
      <protection locked="true" hidden="false"/>
    </xf>
    <xf numFmtId="164" fontId="5" fillId="0" borderId="16" xfId="0" applyFont="true" applyBorder="true" applyAlignment="true" applyProtection="false">
      <alignment horizontal="center" vertical="center" textRotation="0" wrapText="true" indent="0" shrinkToFit="false"/>
      <protection locked="true" hidden="false"/>
    </xf>
    <xf numFmtId="164" fontId="5" fillId="0" borderId="42" xfId="0" applyFont="true" applyBorder="true" applyAlignment="true" applyProtection="false">
      <alignment horizontal="center" vertical="center" textRotation="0" wrapText="true" indent="0" shrinkToFit="false"/>
      <protection locked="true" hidden="false"/>
    </xf>
    <xf numFmtId="164" fontId="5" fillId="0" borderId="56" xfId="0" applyFont="true" applyBorder="true" applyAlignment="true" applyProtection="false">
      <alignment horizontal="center" vertical="center" textRotation="0" wrapText="false" indent="0" shrinkToFit="false"/>
      <protection locked="true" hidden="false"/>
    </xf>
    <xf numFmtId="164" fontId="5" fillId="0" borderId="16" xfId="0" applyFont="true" applyBorder="true" applyAlignment="true" applyProtection="false">
      <alignment horizontal="center" vertical="center" textRotation="0" wrapText="false" indent="0" shrinkToFit="false"/>
      <protection locked="true" hidden="false"/>
    </xf>
    <xf numFmtId="164" fontId="5" fillId="0" borderId="42" xfId="0" applyFont="true" applyBorder="true" applyAlignment="true" applyProtection="false">
      <alignment horizontal="center" vertical="center" textRotation="0" wrapText="false" indent="0" shrinkToFit="false"/>
      <protection locked="true" hidden="false"/>
    </xf>
    <xf numFmtId="164" fontId="0" fillId="3" borderId="0" xfId="0" applyFont="false" applyBorder="false" applyAlignment="true" applyProtection="false">
      <alignment horizontal="center" vertical="center" textRotation="0" wrapText="false" indent="0" shrinkToFit="false"/>
      <protection locked="true" hidden="false"/>
    </xf>
    <xf numFmtId="164" fontId="5" fillId="10" borderId="24" xfId="0" applyFont="true" applyBorder="true" applyAlignment="true" applyProtection="false">
      <alignment horizontal="center" vertical="center" textRotation="0" wrapText="false" indent="0" shrinkToFit="false"/>
      <protection locked="true" hidden="false"/>
    </xf>
    <xf numFmtId="164" fontId="5" fillId="10" borderId="25" xfId="0" applyFont="true" applyBorder="true" applyAlignment="true" applyProtection="false">
      <alignment horizontal="center" vertical="center" textRotation="0" wrapText="false" indent="0" shrinkToFit="false"/>
      <protection locked="true" hidden="false"/>
    </xf>
    <xf numFmtId="164" fontId="0" fillId="10" borderId="8" xfId="0" applyFont="true" applyBorder="true" applyAlignment="true" applyProtection="false">
      <alignment horizontal="center" vertical="center" textRotation="0" wrapText="false" indent="0" shrinkToFit="false"/>
      <protection locked="true" hidden="false"/>
    </xf>
    <xf numFmtId="164" fontId="0" fillId="10" borderId="23" xfId="0" applyFont="true" applyBorder="true" applyAlignment="true" applyProtection="false">
      <alignment horizontal="center" vertical="center" textRotation="0" wrapText="false" indent="0" shrinkToFit="false"/>
      <protection locked="true" hidden="false"/>
    </xf>
    <xf numFmtId="164" fontId="0" fillId="10" borderId="7" xfId="0" applyFont="true" applyBorder="true" applyAlignment="true" applyProtection="false">
      <alignment horizontal="center" vertical="center" textRotation="0" wrapText="true" indent="0" shrinkToFit="false"/>
      <protection locked="true" hidden="false"/>
    </xf>
    <xf numFmtId="164" fontId="0" fillId="10" borderId="8" xfId="0" applyFont="true" applyBorder="true" applyAlignment="true" applyProtection="false">
      <alignment horizontal="center" vertical="center" textRotation="0" wrapText="true" indent="0" shrinkToFit="false"/>
      <protection locked="true" hidden="false"/>
    </xf>
    <xf numFmtId="164" fontId="0" fillId="10" borderId="23" xfId="0" applyFont="true" applyBorder="true" applyAlignment="true" applyProtection="false">
      <alignment horizontal="center" vertical="center" textRotation="0" wrapText="true" indent="0" shrinkToFit="false"/>
      <protection locked="true" hidden="false"/>
    </xf>
    <xf numFmtId="164" fontId="0" fillId="10" borderId="7" xfId="0" applyFont="true" applyBorder="true" applyAlignment="true" applyProtection="false">
      <alignment horizontal="center" vertical="center" textRotation="0" wrapText="false" indent="0" shrinkToFit="false"/>
      <protection locked="true" hidden="false"/>
    </xf>
    <xf numFmtId="164" fontId="0" fillId="10" borderId="9" xfId="0" applyFont="true" applyBorder="true" applyAlignment="true" applyProtection="false">
      <alignment horizontal="center" vertical="center" textRotation="0" wrapText="false" indent="0" shrinkToFit="false"/>
      <protection locked="true" hidden="false"/>
    </xf>
    <xf numFmtId="164" fontId="5" fillId="11" borderId="27" xfId="0" applyFont="true" applyBorder="true" applyAlignment="true" applyProtection="false">
      <alignment horizontal="center" vertical="center" textRotation="0" wrapText="false" indent="0" shrinkToFit="false"/>
      <protection locked="true" hidden="false"/>
    </xf>
    <xf numFmtId="164" fontId="5" fillId="11" borderId="28" xfId="0" applyFont="true" applyBorder="true" applyAlignment="true" applyProtection="false">
      <alignment horizontal="center" vertical="center" textRotation="0" wrapText="false" indent="0" shrinkToFit="false"/>
      <protection locked="true" hidden="false"/>
    </xf>
    <xf numFmtId="164" fontId="0" fillId="11" borderId="12" xfId="0" applyFont="true" applyBorder="true" applyAlignment="true" applyProtection="false">
      <alignment horizontal="center" vertical="center" textRotation="0" wrapText="false" indent="0" shrinkToFit="false"/>
      <protection locked="true" hidden="false"/>
    </xf>
    <xf numFmtId="164" fontId="0" fillId="11" borderId="26" xfId="0" applyFont="true" applyBorder="true" applyAlignment="true" applyProtection="false">
      <alignment horizontal="center" vertical="center" textRotation="0" wrapText="false" indent="0" shrinkToFit="false"/>
      <protection locked="true" hidden="false"/>
    </xf>
    <xf numFmtId="164" fontId="0" fillId="11" borderId="11" xfId="0" applyFont="true" applyBorder="true" applyAlignment="true" applyProtection="false">
      <alignment horizontal="center" vertical="center" textRotation="0" wrapText="true" indent="0" shrinkToFit="false"/>
      <protection locked="true" hidden="false"/>
    </xf>
    <xf numFmtId="164" fontId="0" fillId="11" borderId="12" xfId="0" applyFont="true" applyBorder="true" applyAlignment="true" applyProtection="false">
      <alignment horizontal="center" vertical="center" textRotation="0" wrapText="true" indent="0" shrinkToFit="false"/>
      <protection locked="true" hidden="false"/>
    </xf>
    <xf numFmtId="164" fontId="0" fillId="11" borderId="26" xfId="0" applyFont="true" applyBorder="true" applyAlignment="true" applyProtection="false">
      <alignment horizontal="center" vertical="center" textRotation="0" wrapText="true" indent="0" shrinkToFit="false"/>
      <protection locked="true" hidden="false"/>
    </xf>
    <xf numFmtId="164" fontId="0" fillId="11" borderId="11" xfId="0" applyFont="true" applyBorder="true" applyAlignment="true" applyProtection="false">
      <alignment horizontal="center" vertical="center" textRotation="0" wrapText="false" indent="0" shrinkToFit="false"/>
      <protection locked="true" hidden="false"/>
    </xf>
    <xf numFmtId="164" fontId="0" fillId="11" borderId="13" xfId="0" applyFont="true" applyBorder="true" applyAlignment="true" applyProtection="false">
      <alignment horizontal="center" vertical="center" textRotation="0" wrapText="false" indent="0" shrinkToFit="false"/>
      <protection locked="true" hidden="false"/>
    </xf>
    <xf numFmtId="164" fontId="5" fillId="12" borderId="27" xfId="0" applyFont="true" applyBorder="true" applyAlignment="true" applyProtection="false">
      <alignment horizontal="center" vertical="center" textRotation="0" wrapText="false" indent="0" shrinkToFit="false"/>
      <protection locked="true" hidden="false"/>
    </xf>
    <xf numFmtId="164" fontId="5" fillId="12" borderId="28" xfId="0" applyFont="true" applyBorder="true" applyAlignment="true" applyProtection="false">
      <alignment horizontal="center" vertical="center" textRotation="0" wrapText="false" indent="0" shrinkToFit="false"/>
      <protection locked="true" hidden="false"/>
    </xf>
    <xf numFmtId="164" fontId="0" fillId="12" borderId="12" xfId="0" applyFont="true" applyBorder="true" applyAlignment="true" applyProtection="false">
      <alignment horizontal="center" vertical="center" textRotation="0" wrapText="false" indent="0" shrinkToFit="false"/>
      <protection locked="true" hidden="false"/>
    </xf>
    <xf numFmtId="164" fontId="0" fillId="12" borderId="26" xfId="0" applyFont="true" applyBorder="true" applyAlignment="true" applyProtection="false">
      <alignment horizontal="center" vertical="center" textRotation="0" wrapText="false" indent="0" shrinkToFit="false"/>
      <protection locked="true" hidden="false"/>
    </xf>
    <xf numFmtId="164" fontId="0" fillId="12" borderId="11" xfId="0" applyFont="true" applyBorder="true" applyAlignment="true" applyProtection="false">
      <alignment horizontal="center" vertical="center" textRotation="0" wrapText="true" indent="0" shrinkToFit="false"/>
      <protection locked="true" hidden="false"/>
    </xf>
    <xf numFmtId="164" fontId="0" fillId="12" borderId="12" xfId="0" applyFont="true" applyBorder="true" applyAlignment="true" applyProtection="false">
      <alignment horizontal="center" vertical="center" textRotation="0" wrapText="true" indent="0" shrinkToFit="false"/>
      <protection locked="true" hidden="false"/>
    </xf>
    <xf numFmtId="164" fontId="0" fillId="12" borderId="26" xfId="0" applyFont="true" applyBorder="true" applyAlignment="true" applyProtection="false">
      <alignment horizontal="center" vertical="center" textRotation="0" wrapText="true" indent="0" shrinkToFit="false"/>
      <protection locked="true" hidden="false"/>
    </xf>
    <xf numFmtId="164" fontId="0" fillId="12" borderId="13" xfId="0" applyFont="true" applyBorder="true" applyAlignment="true" applyProtection="false">
      <alignment horizontal="center" vertical="center" textRotation="0" wrapText="false" indent="0" shrinkToFit="false"/>
      <protection locked="true" hidden="false"/>
    </xf>
    <xf numFmtId="164" fontId="5" fillId="0" borderId="27" xfId="0" applyFont="true" applyBorder="true" applyAlignment="true" applyProtection="false">
      <alignment horizontal="center" vertical="center" textRotation="0" wrapText="false" indent="0" shrinkToFit="false"/>
      <protection locked="true" hidden="false"/>
    </xf>
    <xf numFmtId="164" fontId="5" fillId="0" borderId="28" xfId="0" applyFont="true" applyBorder="true" applyAlignment="true" applyProtection="false">
      <alignment horizontal="center" vertical="center" textRotation="0" wrapText="false" indent="0" shrinkToFit="false"/>
      <protection locked="true" hidden="false"/>
    </xf>
    <xf numFmtId="164" fontId="0" fillId="0" borderId="26" xfId="0" applyFont="true" applyBorder="true" applyAlignment="true" applyProtection="false">
      <alignment horizontal="center" vertical="center" textRotation="0" wrapText="true" indent="0" shrinkToFit="false"/>
      <protection locked="true" hidden="false"/>
    </xf>
    <xf numFmtId="164" fontId="14" fillId="0" borderId="27" xfId="0" applyFont="true" applyBorder="true" applyAlignment="true" applyProtection="false">
      <alignment horizontal="center" vertical="center" textRotation="0" wrapText="false" indent="0" shrinkToFit="false"/>
      <protection locked="true" hidden="false"/>
    </xf>
    <xf numFmtId="164" fontId="15" fillId="0" borderId="28" xfId="0" applyFont="true" applyBorder="true" applyAlignment="true" applyProtection="false">
      <alignment horizontal="center" vertical="center" textRotation="0" wrapText="false" indent="0" shrinkToFit="false"/>
      <protection locked="true" hidden="false"/>
    </xf>
    <xf numFmtId="164" fontId="16" fillId="0" borderId="12" xfId="0" applyFont="true" applyBorder="true" applyAlignment="true" applyProtection="false">
      <alignment horizontal="center" vertical="center" textRotation="0" wrapText="false" indent="0" shrinkToFit="false"/>
      <protection locked="true" hidden="false"/>
    </xf>
    <xf numFmtId="164" fontId="16" fillId="0" borderId="12" xfId="0" applyFont="true" applyBorder="true" applyAlignment="true" applyProtection="false">
      <alignment horizontal="center" vertical="center" textRotation="0" wrapText="true" indent="0" shrinkToFit="false"/>
      <protection locked="true" hidden="false"/>
    </xf>
    <xf numFmtId="164" fontId="16" fillId="0" borderId="26" xfId="0" applyFont="true" applyBorder="true" applyAlignment="true" applyProtection="false">
      <alignment horizontal="center" vertical="center" textRotation="0" wrapText="false" indent="0" shrinkToFit="false"/>
      <protection locked="true" hidden="false"/>
    </xf>
    <xf numFmtId="164" fontId="8" fillId="0" borderId="11" xfId="0" applyFont="true" applyBorder="true" applyAlignment="true" applyProtection="false">
      <alignment horizontal="center" vertical="center" textRotation="0" wrapText="true" indent="0" shrinkToFit="false"/>
      <protection locked="true" hidden="false"/>
    </xf>
    <xf numFmtId="164" fontId="8" fillId="0" borderId="26" xfId="0" applyFont="true" applyBorder="true" applyAlignment="true" applyProtection="false">
      <alignment horizontal="center" vertical="center" textRotation="0" wrapText="true" indent="0" shrinkToFit="false"/>
      <protection locked="true" hidden="false"/>
    </xf>
    <xf numFmtId="164" fontId="8" fillId="0" borderId="26" xfId="0" applyFont="true" applyBorder="true" applyAlignment="true" applyProtection="false">
      <alignment horizontal="center" vertical="center" textRotation="0" wrapText="false" indent="0" shrinkToFit="false"/>
      <protection locked="true" hidden="false"/>
    </xf>
    <xf numFmtId="164" fontId="9" fillId="0" borderId="28" xfId="0" applyFont="true" applyBorder="true" applyAlignment="true" applyProtection="false">
      <alignment horizontal="center" vertical="center" textRotation="0" wrapText="false" indent="0" shrinkToFit="false"/>
      <protection locked="true" hidden="false"/>
    </xf>
    <xf numFmtId="164" fontId="0" fillId="0" borderId="12" xfId="0" applyFont="true" applyBorder="true" applyAlignment="true" applyProtection="false">
      <alignment horizontal="center" vertical="center" textRotation="0" wrapText="false" indent="0" shrinkToFit="false"/>
      <protection locked="true" hidden="false"/>
    </xf>
    <xf numFmtId="164" fontId="0" fillId="0" borderId="26" xfId="0" applyFont="true" applyBorder="true" applyAlignment="true" applyProtection="false">
      <alignment horizontal="center" vertical="center" textRotation="0" wrapText="false" indent="0" shrinkToFit="false"/>
      <protection locked="true" hidden="false"/>
    </xf>
    <xf numFmtId="164" fontId="0" fillId="0" borderId="13" xfId="0" applyFont="true" applyBorder="true" applyAlignment="true" applyProtection="false">
      <alignment horizontal="center" vertical="center" textRotation="0" wrapText="true" indent="0" shrinkToFit="false"/>
      <protection locked="true" hidden="false"/>
    </xf>
    <xf numFmtId="164" fontId="5" fillId="0" borderId="49" xfId="0" applyFont="true" applyBorder="true" applyAlignment="true" applyProtection="false">
      <alignment horizontal="center" vertical="center" textRotation="0" wrapText="false" indent="0" shrinkToFit="false"/>
      <protection locked="true" hidden="false"/>
    </xf>
    <xf numFmtId="164" fontId="9" fillId="0" borderId="50" xfId="0" applyFont="true" applyBorder="true" applyAlignment="true" applyProtection="false">
      <alignment horizontal="center" vertical="center" textRotation="0" wrapText="false" indent="0" shrinkToFit="false"/>
      <protection locked="true" hidden="false"/>
    </xf>
    <xf numFmtId="164" fontId="6" fillId="0" borderId="51" xfId="0" applyFont="true" applyBorder="true" applyAlignment="true" applyProtection="false">
      <alignment horizontal="center" vertical="center" textRotation="0" wrapText="false" indent="0" shrinkToFit="false"/>
      <protection locked="true" hidden="false"/>
    </xf>
    <xf numFmtId="164" fontId="0" fillId="0" borderId="51" xfId="0" applyFont="true" applyBorder="true" applyAlignment="true" applyProtection="false">
      <alignment horizontal="center" vertical="center" textRotation="0" wrapText="true" indent="0" shrinkToFit="false"/>
      <protection locked="true" hidden="false"/>
    </xf>
    <xf numFmtId="164" fontId="0" fillId="0" borderId="51" xfId="0" applyFont="true" applyBorder="true" applyAlignment="true" applyProtection="false">
      <alignment horizontal="center" vertical="center" textRotation="0" wrapText="false" indent="0" shrinkToFit="false"/>
      <protection locked="true" hidden="false"/>
    </xf>
    <xf numFmtId="164" fontId="0" fillId="0" borderId="52" xfId="0" applyFont="true" applyBorder="true" applyAlignment="true" applyProtection="false">
      <alignment horizontal="center" vertical="center" textRotation="0" wrapText="false" indent="0" shrinkToFit="false"/>
      <protection locked="true" hidden="false"/>
    </xf>
    <xf numFmtId="164" fontId="0" fillId="0" borderId="14" xfId="0" applyFont="true" applyBorder="true" applyAlignment="true" applyProtection="false">
      <alignment horizontal="center" vertical="center" textRotation="0" wrapText="false" indent="0" shrinkToFit="false"/>
      <protection locked="true" hidden="false"/>
    </xf>
    <xf numFmtId="164" fontId="0" fillId="0" borderId="14" xfId="0" applyFont="true" applyBorder="true" applyAlignment="true" applyProtection="false">
      <alignment horizontal="center" vertical="center" textRotation="0" wrapText="true" indent="0" shrinkToFit="false"/>
      <protection locked="true" hidden="false"/>
    </xf>
    <xf numFmtId="164" fontId="0" fillId="0" borderId="52" xfId="0" applyFont="true" applyBorder="true" applyAlignment="true" applyProtection="false">
      <alignment horizontal="center" vertical="center" textRotation="0" wrapText="true" indent="0" shrinkToFit="false"/>
      <protection locked="true" hidden="false"/>
    </xf>
    <xf numFmtId="164" fontId="0" fillId="0" borderId="15" xfId="0" applyFont="true" applyBorder="true" applyAlignment="true" applyProtection="false">
      <alignment horizontal="center" vertical="center" textRotation="0" wrapText="true" indent="0" shrinkToFit="false"/>
      <protection locked="true" hidden="false"/>
    </xf>
    <xf numFmtId="164" fontId="5" fillId="0" borderId="30" xfId="0" applyFont="true" applyBorder="true" applyAlignment="true" applyProtection="false">
      <alignment horizontal="center" vertical="center" textRotation="0" wrapText="false" indent="0" shrinkToFit="false"/>
      <protection locked="true" hidden="false"/>
    </xf>
    <xf numFmtId="164" fontId="9" fillId="0" borderId="31" xfId="0" applyFont="true" applyBorder="true" applyAlignment="true" applyProtection="false">
      <alignment horizontal="center" vertical="center" textRotation="0" wrapText="false" indent="0" shrinkToFit="false"/>
      <protection locked="true" hidden="false"/>
    </xf>
    <xf numFmtId="164" fontId="0" fillId="0" borderId="18" xfId="0" applyFont="true" applyBorder="true" applyAlignment="true" applyProtection="false">
      <alignment horizontal="center" vertical="center" textRotation="0" wrapText="false" indent="0" shrinkToFit="false"/>
      <protection locked="true" hidden="false"/>
    </xf>
    <xf numFmtId="164" fontId="0" fillId="0" borderId="29" xfId="0" applyFont="true" applyBorder="true" applyAlignment="true" applyProtection="false">
      <alignment horizontal="center" vertical="center" textRotation="0" wrapText="false" indent="0" shrinkToFit="false"/>
      <protection locked="true" hidden="false"/>
    </xf>
    <xf numFmtId="164" fontId="0" fillId="0" borderId="29" xfId="0" applyFont="true" applyBorder="true" applyAlignment="true" applyProtection="false">
      <alignment horizontal="center" vertical="center" textRotation="0" wrapText="true" indent="0" shrinkToFit="false"/>
      <protection locked="true" hidden="false"/>
    </xf>
    <xf numFmtId="164" fontId="0" fillId="0" borderId="19" xfId="0" applyFont="true" applyBorder="true" applyAlignment="true" applyProtection="false">
      <alignment horizontal="center" vertical="center" textRotation="0" wrapText="true" indent="0" shrinkToFit="false"/>
      <protection locked="true" hidden="false"/>
    </xf>
    <xf numFmtId="164" fontId="9" fillId="3" borderId="0" xfId="0" applyFont="true" applyBorder="false" applyAlignment="true" applyProtection="false">
      <alignment horizontal="center" vertical="center" textRotation="0" wrapText="false" indent="0" shrinkToFit="false"/>
      <protection locked="true" hidden="false"/>
    </xf>
    <xf numFmtId="164" fontId="6" fillId="3" borderId="0" xfId="0" applyFont="true" applyBorder="false" applyAlignment="true" applyProtection="false">
      <alignment horizontal="center" vertical="center" textRotation="0" wrapText="false" indent="0" shrinkToFit="false"/>
      <protection locked="true" hidden="false"/>
    </xf>
    <xf numFmtId="164" fontId="0" fillId="3" borderId="0" xfId="0" applyFont="false" applyBorder="false" applyAlignment="true" applyProtection="false">
      <alignment horizontal="center" vertical="center" textRotation="0" wrapText="true" indent="0" shrinkToFit="false"/>
      <protection locked="true" hidden="false"/>
    </xf>
    <xf numFmtId="164" fontId="5" fillId="0" borderId="3" xfId="0" applyFont="true" applyBorder="true" applyAlignment="true" applyProtection="false">
      <alignment horizontal="general" vertical="center" textRotation="0" wrapText="false" indent="0" shrinkToFit="false"/>
      <protection locked="true" hidden="false"/>
    </xf>
    <xf numFmtId="164" fontId="5" fillId="0" borderId="6" xfId="0" applyFont="true" applyBorder="true" applyAlignment="true" applyProtection="false">
      <alignment horizontal="general" vertical="center" textRotation="0" wrapText="false" indent="0" shrinkToFit="false"/>
      <protection locked="true" hidden="false"/>
    </xf>
    <xf numFmtId="164" fontId="6" fillId="0" borderId="43" xfId="0" applyFont="true" applyBorder="true" applyAlignment="true" applyProtection="false">
      <alignment horizontal="center" vertical="center" textRotation="0" wrapText="false" indent="0" shrinkToFit="false"/>
      <protection locked="true" hidden="false"/>
    </xf>
    <xf numFmtId="164" fontId="0" fillId="0" borderId="10" xfId="0" applyFont="true" applyBorder="true" applyAlignment="true" applyProtection="false">
      <alignment horizontal="center" vertical="center" textRotation="0" wrapText="false" indent="0" shrinkToFit="false"/>
      <protection locked="true" hidden="false"/>
    </xf>
    <xf numFmtId="164" fontId="0" fillId="2" borderId="8" xfId="0" applyFont="true" applyBorder="true" applyAlignment="false" applyProtection="false">
      <alignment horizontal="general" vertical="bottom" textRotation="0" wrapText="false" indent="0" shrinkToFit="false"/>
      <protection locked="true" hidden="false"/>
    </xf>
    <xf numFmtId="164" fontId="0" fillId="2" borderId="9" xfId="0" applyFont="false" applyBorder="true" applyAlignment="true" applyProtection="false">
      <alignment horizontal="center" vertical="bottom" textRotation="0" wrapText="false" indent="0" shrinkToFit="false"/>
      <protection locked="true" hidden="false"/>
    </xf>
    <xf numFmtId="164" fontId="0" fillId="13" borderId="12" xfId="0" applyFont="true" applyBorder="true" applyAlignment="false" applyProtection="false">
      <alignment horizontal="general" vertical="bottom" textRotation="0" wrapText="false" indent="0" shrinkToFit="false"/>
      <protection locked="true" hidden="false"/>
    </xf>
    <xf numFmtId="164" fontId="0" fillId="13" borderId="13" xfId="0" applyFont="false" applyBorder="true" applyAlignment="true" applyProtection="false">
      <alignment horizontal="center" vertical="bottom" textRotation="0" wrapText="false" indent="0" shrinkToFit="false"/>
      <protection locked="true" hidden="false"/>
    </xf>
    <xf numFmtId="164" fontId="0" fillId="2" borderId="12" xfId="0" applyFont="true" applyBorder="true" applyAlignment="false" applyProtection="false">
      <alignment horizontal="general" vertical="bottom" textRotation="0" wrapText="false" indent="0" shrinkToFit="false"/>
      <protection locked="true" hidden="false"/>
    </xf>
    <xf numFmtId="164" fontId="0" fillId="2" borderId="13" xfId="0" applyFont="false" applyBorder="true" applyAlignment="true" applyProtection="false">
      <alignment horizontal="center" vertical="bottom" textRotation="0" wrapText="false" indent="0" shrinkToFit="false"/>
      <protection locked="true" hidden="false"/>
    </xf>
    <xf numFmtId="164" fontId="0" fillId="9" borderId="18" xfId="0" applyFont="true" applyBorder="true" applyAlignment="false" applyProtection="false">
      <alignment horizontal="general" vertical="bottom" textRotation="0" wrapText="false" indent="0" shrinkToFit="false"/>
      <protection locked="true" hidden="false"/>
    </xf>
    <xf numFmtId="164" fontId="0" fillId="9" borderId="19" xfId="0" applyFont="false" applyBorder="true" applyAlignment="true" applyProtection="false">
      <alignment horizontal="center" vertical="bottom" textRotation="0" wrapText="false" indent="0" shrinkToFit="false"/>
      <protection locked="true" hidden="false"/>
    </xf>
    <xf numFmtId="164" fontId="0" fillId="0" borderId="69" xfId="0" applyFont="true" applyBorder="true" applyAlignment="true" applyProtection="false">
      <alignment horizontal="left" vertical="center" textRotation="0" wrapText="false" indent="0" shrinkToFit="false"/>
      <protection locked="true" hidden="false"/>
    </xf>
    <xf numFmtId="164" fontId="0" fillId="0" borderId="70" xfId="0" applyFont="true" applyBorder="true" applyAlignment="true" applyProtection="false">
      <alignment horizontal="left" vertical="center" textRotation="0" wrapText="false" indent="0" shrinkToFit="false"/>
      <protection locked="true" hidden="false"/>
    </xf>
    <xf numFmtId="164" fontId="0" fillId="6" borderId="71" xfId="0" applyFont="true" applyBorder="true" applyAlignment="false" applyProtection="false">
      <alignment horizontal="general" vertical="bottom" textRotation="0" wrapText="false" indent="0" shrinkToFit="false"/>
      <protection locked="true" hidden="false"/>
    </xf>
    <xf numFmtId="164" fontId="0" fillId="6" borderId="48" xfId="0" applyFont="false" applyBorder="true" applyAlignment="true" applyProtection="false">
      <alignment horizontal="center" vertical="bottom" textRotation="0" wrapText="false" indent="0" shrinkToFit="false"/>
      <protection locked="true" hidden="false"/>
    </xf>
    <xf numFmtId="164" fontId="0" fillId="9" borderId="51" xfId="0" applyFont="true" applyBorder="true" applyAlignment="false" applyProtection="false">
      <alignment horizontal="general" vertical="bottom" textRotation="0" wrapText="false" indent="0" shrinkToFit="false"/>
      <protection locked="true" hidden="false"/>
    </xf>
    <xf numFmtId="164" fontId="0" fillId="9" borderId="15" xfId="0" applyFont="false" applyBorder="true" applyAlignment="true" applyProtection="false">
      <alignment horizontal="center" vertical="bottom" textRotation="0" wrapText="false" indent="0" shrinkToFit="false"/>
      <protection locked="true" hidden="false"/>
    </xf>
    <xf numFmtId="164" fontId="0" fillId="9" borderId="8" xfId="0" applyFont="true" applyBorder="true" applyAlignment="false" applyProtection="false">
      <alignment horizontal="general" vertical="bottom" textRotation="0" wrapText="false" indent="0" shrinkToFit="false"/>
      <protection locked="true" hidden="false"/>
    </xf>
    <xf numFmtId="164" fontId="0" fillId="9" borderId="9" xfId="0" applyFont="false" applyBorder="true" applyAlignment="true" applyProtection="false">
      <alignment horizontal="center" vertical="bottom" textRotation="0" wrapText="false" indent="0" shrinkToFit="false"/>
      <protection locked="true" hidden="false"/>
    </xf>
    <xf numFmtId="164" fontId="0" fillId="9" borderId="12" xfId="0" applyFont="true" applyBorder="true" applyAlignment="false" applyProtection="false">
      <alignment horizontal="general" vertical="bottom" textRotation="0" wrapText="false" indent="0" shrinkToFit="false"/>
      <protection locked="true" hidden="false"/>
    </xf>
    <xf numFmtId="164" fontId="0" fillId="9" borderId="13" xfId="0" applyFont="false" applyBorder="true" applyAlignment="true" applyProtection="false">
      <alignment horizontal="center" vertical="bottom" textRotation="0" wrapText="false" indent="0" shrinkToFit="false"/>
      <protection locked="true" hidden="false"/>
    </xf>
    <xf numFmtId="164" fontId="0" fillId="6" borderId="51" xfId="0" applyFont="true" applyBorder="true" applyAlignment="false" applyProtection="false">
      <alignment horizontal="general" vertical="bottom" textRotation="0" wrapText="false" indent="0" shrinkToFit="false"/>
      <protection locked="true" hidden="false"/>
    </xf>
    <xf numFmtId="164" fontId="0" fillId="6" borderId="15" xfId="0" applyFont="false" applyBorder="true" applyAlignment="true" applyProtection="false">
      <alignment horizontal="center" vertical="bottom" textRotation="0" wrapText="false" indent="0" shrinkToFit="false"/>
      <protection locked="true" hidden="false"/>
    </xf>
    <xf numFmtId="164" fontId="0" fillId="9" borderId="71" xfId="0" applyFont="true" applyBorder="true" applyAlignment="false" applyProtection="false">
      <alignment horizontal="general" vertical="bottom" textRotation="0" wrapText="false" indent="0" shrinkToFit="false"/>
      <protection locked="true" hidden="false"/>
    </xf>
    <xf numFmtId="164" fontId="0" fillId="9" borderId="48" xfId="0" applyFont="false" applyBorder="true" applyAlignment="true" applyProtection="false">
      <alignment horizontal="center" vertical="bottom" textRotation="0" wrapText="false" indent="0" shrinkToFit="false"/>
      <protection locked="true" hidden="false"/>
    </xf>
    <xf numFmtId="164" fontId="0" fillId="6" borderId="12" xfId="0" applyFont="true" applyBorder="true" applyAlignment="false" applyProtection="false">
      <alignment horizontal="general" vertical="bottom" textRotation="0" wrapText="false" indent="0" shrinkToFit="false"/>
      <protection locked="true" hidden="false"/>
    </xf>
    <xf numFmtId="164" fontId="0" fillId="6" borderId="13" xfId="0" applyFont="false" applyBorder="true" applyAlignment="true" applyProtection="false">
      <alignment horizontal="center" vertical="bottom" textRotation="0" wrapText="false" indent="0" shrinkToFit="false"/>
      <protection locked="true" hidden="false"/>
    </xf>
    <xf numFmtId="164" fontId="0" fillId="6" borderId="8" xfId="0" applyFont="true" applyBorder="true" applyAlignment="false" applyProtection="false">
      <alignment horizontal="general" vertical="bottom" textRotation="0" wrapText="false" indent="0" shrinkToFit="false"/>
      <protection locked="true" hidden="false"/>
    </xf>
    <xf numFmtId="164" fontId="0" fillId="6" borderId="9" xfId="0" applyFont="false" applyBorder="true" applyAlignment="true" applyProtection="false">
      <alignment horizontal="center" vertical="bottom" textRotation="0" wrapText="false" indent="0" shrinkToFit="false"/>
      <protection locked="true" hidden="false"/>
    </xf>
    <xf numFmtId="164" fontId="6" fillId="0" borderId="43" xfId="0" applyFont="true" applyBorder="true" applyAlignment="true" applyProtection="false">
      <alignment horizontal="left" vertical="center" textRotation="0" wrapText="false" indent="0" shrinkToFit="false"/>
      <protection locked="true" hidden="false"/>
    </xf>
    <xf numFmtId="164" fontId="5" fillId="3" borderId="1" xfId="0" applyFont="true" applyBorder="true" applyAlignment="true" applyProtection="false">
      <alignment horizontal="left" vertical="center" textRotation="0" wrapText="false" indent="0" shrinkToFit="false"/>
      <protection locked="true" hidden="false"/>
    </xf>
    <xf numFmtId="164" fontId="0" fillId="0" borderId="59" xfId="0" applyFont="true" applyBorder="true" applyAlignment="true" applyProtection="false">
      <alignment horizontal="general" vertical="center" textRotation="0" wrapText="false" indent="0" shrinkToFit="false"/>
      <protection locked="true" hidden="false"/>
    </xf>
    <xf numFmtId="164" fontId="0" fillId="0" borderId="48" xfId="0" applyFont="true" applyBorder="true" applyAlignment="true" applyProtection="false">
      <alignment horizontal="general" vertical="center" textRotation="0" wrapText="fals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dxfs count="1372">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s>
  <colors>
    <indexedColors>
      <rgbColor rgb="FF000000"/>
      <rgbColor rgb="FFFFFFFF"/>
      <rgbColor rgb="FFFF0000"/>
      <rgbColor rgb="FF00FF00"/>
      <rgbColor rgb="FF0000FF"/>
      <rgbColor rgb="FFFFFF00"/>
      <rgbColor rgb="FFFF33CC"/>
      <rgbColor rgb="FF00FFFF"/>
      <rgbColor rgb="FFC00000"/>
      <rgbColor rgb="FF008000"/>
      <rgbColor rgb="FF000080"/>
      <rgbColor rgb="FF808000"/>
      <rgbColor rgb="FF800080"/>
      <rgbColor rgb="FF008080"/>
      <rgbColor rgb="FFB2B2B2"/>
      <rgbColor rgb="FF808080"/>
      <rgbColor rgb="FF9999FF"/>
      <rgbColor rgb="FF993366"/>
      <rgbColor rgb="FFFFFF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B0F0"/>
      <rgbColor rgb="FFCCFFFF"/>
      <rgbColor rgb="FFCCFFCC"/>
      <rgbColor rgb="FFFFFF99"/>
      <rgbColor rgb="FF99CCFF"/>
      <rgbColor rgb="FFFF99CC"/>
      <rgbColor rgb="FFCC99FF"/>
      <rgbColor rgb="FFFFCC99"/>
      <rgbColor rgb="FF3366FF"/>
      <rgbColor rgb="FF33CCCC"/>
      <rgbColor rgb="FF92D050"/>
      <rgbColor rgb="FFFFCC00"/>
      <rgbColor rgb="FFFFC000"/>
      <rgbColor rgb="FFCC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worksheet" Target="worksheets/sheet11.xml"/><Relationship Id="rId14" Type="http://schemas.openxmlformats.org/officeDocument/2006/relationships/worksheet" Target="worksheets/sheet12.xml"/><Relationship Id="rId15" Type="http://schemas.openxmlformats.org/officeDocument/2006/relationships/worksheet" Target="worksheets/sheet13.xml"/><Relationship Id="rId16" Type="http://schemas.openxmlformats.org/officeDocument/2006/relationships/worksheet" Target="worksheets/sheet14.xml"/><Relationship Id="rId17" Type="http://schemas.openxmlformats.org/officeDocument/2006/relationships/worksheet" Target="worksheets/sheet15.xml"/><Relationship Id="rId18" Type="http://schemas.openxmlformats.org/officeDocument/2006/relationships/sharedStrings" Target="sharedStrings.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248"/>
  <sheetViews>
    <sheetView showFormulas="false" showGridLines="false" showRowColHeaders="true" showZeros="true" rightToLeft="false" tabSelected="false" showOutlineSymbols="true" defaultGridColor="true" view="normal" topLeftCell="A246" colorId="64" zoomScale="100" zoomScaleNormal="100" zoomScalePageLayoutView="100" workbookViewId="0">
      <selection pane="topLeft" activeCell="C196" activeCellId="0" sqref="C196"/>
    </sheetView>
  </sheetViews>
  <sheetFormatPr defaultColWidth="11.43359375" defaultRowHeight="15" zeroHeight="false" outlineLevelRow="1" outlineLevelCol="1"/>
  <cols>
    <col collapsed="false" customWidth="true" hidden="false" outlineLevel="0" max="3" min="1" style="1" width="3.71"/>
    <col collapsed="false" customWidth="true" hidden="false" outlineLevel="0" max="14" min="4" style="1" width="20.71"/>
    <col collapsed="false" customWidth="true" hidden="true" outlineLevel="1" max="18" min="15" style="1" width="20.71"/>
    <col collapsed="false" customWidth="true" hidden="false" outlineLevel="0" max="19" min="19" style="1" width="20.71"/>
    <col collapsed="false" customWidth="true" hidden="false" outlineLevel="0" max="21" min="20" style="1" width="3.71"/>
    <col collapsed="false" customWidth="true" hidden="false" outlineLevel="0" max="22" min="22" style="1" width="15.88"/>
    <col collapsed="false" customWidth="true" hidden="false" outlineLevel="0" max="24" min="23" style="1" width="20.71"/>
    <col collapsed="false" customWidth="false" hidden="false" outlineLevel="0" max="1024" min="25" style="1" width="11.42"/>
  </cols>
  <sheetData>
    <row r="1" customFormat="false" ht="15" hidden="false" customHeight="false" outlineLevel="0" collapsed="false">
      <c r="A1" s="2" t="s">
        <v>0</v>
      </c>
      <c r="B1" s="2"/>
      <c r="C1" s="2"/>
      <c r="D1" s="2"/>
      <c r="E1" s="2"/>
      <c r="F1" s="2"/>
      <c r="G1" s="2"/>
      <c r="H1" s="2"/>
      <c r="I1" s="2"/>
      <c r="J1" s="2"/>
      <c r="K1" s="2"/>
      <c r="L1" s="2"/>
      <c r="M1" s="2"/>
      <c r="N1" s="2"/>
    </row>
    <row r="2" customFormat="false" ht="15" hidden="false" customHeight="false" outlineLevel="0" collapsed="false">
      <c r="A2" s="2"/>
      <c r="B2" s="2"/>
      <c r="C2" s="2"/>
      <c r="D2" s="2"/>
      <c r="E2" s="2"/>
      <c r="F2" s="2"/>
      <c r="G2" s="2"/>
      <c r="H2" s="2"/>
      <c r="I2" s="2"/>
      <c r="J2" s="2"/>
      <c r="K2" s="2"/>
      <c r="L2" s="2"/>
      <c r="M2" s="2"/>
      <c r="N2" s="2"/>
    </row>
    <row r="3" customFormat="false" ht="20.1" hidden="false" customHeight="true" outlineLevel="0" collapsed="false"/>
    <row r="4" customFormat="false" ht="15.75" hidden="false" customHeight="false" outlineLevel="0" collapsed="false">
      <c r="B4" s="3" t="s">
        <v>1</v>
      </c>
      <c r="C4" s="3"/>
      <c r="D4" s="3"/>
      <c r="E4" s="3"/>
      <c r="F4" s="3"/>
      <c r="G4" s="3"/>
      <c r="H4" s="3"/>
      <c r="I4" s="3"/>
      <c r="K4" s="3" t="s">
        <v>2</v>
      </c>
      <c r="L4" s="3"/>
      <c r="M4" s="3"/>
      <c r="P4" s="4"/>
      <c r="Q4" s="4"/>
      <c r="R4" s="4"/>
      <c r="S4" s="5"/>
      <c r="T4" s="4"/>
      <c r="U4" s="4"/>
      <c r="V4" s="4"/>
      <c r="W4" s="4"/>
    </row>
    <row r="5" customFormat="false" ht="50.1" hidden="false" customHeight="true" outlineLevel="0" collapsed="false">
      <c r="B5" s="6" t="s">
        <v>3</v>
      </c>
      <c r="C5" s="6"/>
      <c r="D5" s="7" t="s">
        <v>4</v>
      </c>
      <c r="E5" s="8" t="s">
        <v>5</v>
      </c>
      <c r="F5" s="9" t="s">
        <v>6</v>
      </c>
      <c r="G5" s="10" t="s">
        <v>7</v>
      </c>
      <c r="H5" s="10" t="s">
        <v>8</v>
      </c>
      <c r="I5" s="8" t="s">
        <v>9</v>
      </c>
      <c r="K5" s="11" t="s">
        <v>4</v>
      </c>
      <c r="L5" s="12" t="s">
        <v>10</v>
      </c>
      <c r="M5" s="13" t="s">
        <v>11</v>
      </c>
      <c r="P5" s="5"/>
      <c r="R5" s="4"/>
      <c r="S5" s="4"/>
      <c r="T5" s="4"/>
      <c r="U5" s="5"/>
      <c r="V5" s="5"/>
    </row>
    <row r="6" customFormat="false" ht="20.1" hidden="false" customHeight="true" outlineLevel="0" collapsed="false">
      <c r="B6" s="14" t="n">
        <v>1</v>
      </c>
      <c r="C6" s="14"/>
      <c r="D6" s="15" t="s">
        <v>12</v>
      </c>
      <c r="E6" s="16" t="s">
        <v>13</v>
      </c>
      <c r="F6" s="17" t="s">
        <v>13</v>
      </c>
      <c r="G6" s="18" t="s">
        <v>13</v>
      </c>
      <c r="H6" s="19" t="s">
        <v>13</v>
      </c>
      <c r="I6" s="20" t="s">
        <v>14</v>
      </c>
      <c r="K6" s="21" t="str">
        <f aca="false">D6</f>
        <v>Jonas Röhrig</v>
      </c>
      <c r="L6" s="22" t="n">
        <v>1</v>
      </c>
      <c r="M6" s="23" t="n">
        <v>1</v>
      </c>
      <c r="P6" s="24"/>
      <c r="U6" s="24"/>
      <c r="V6" s="24"/>
    </row>
    <row r="7" customFormat="false" ht="20.1" hidden="false" customHeight="true" outlineLevel="0" collapsed="false">
      <c r="B7" s="25" t="n">
        <v>2</v>
      </c>
      <c r="C7" s="25"/>
      <c r="D7" s="26" t="s">
        <v>15</v>
      </c>
      <c r="E7" s="27" t="s">
        <v>16</v>
      </c>
      <c r="F7" s="27" t="s">
        <v>16</v>
      </c>
      <c r="G7" s="27" t="s">
        <v>16</v>
      </c>
      <c r="H7" s="28" t="s">
        <v>16</v>
      </c>
      <c r="I7" s="29" t="s">
        <v>14</v>
      </c>
      <c r="K7" s="30" t="str">
        <f aca="false">D7</f>
        <v>Devid Fulterer</v>
      </c>
      <c r="L7" s="22"/>
      <c r="M7" s="31" t="n">
        <v>2</v>
      </c>
      <c r="P7" s="24"/>
      <c r="U7" s="24"/>
      <c r="V7" s="24"/>
    </row>
    <row r="8" customFormat="false" ht="20.1" hidden="false" customHeight="true" outlineLevel="0" collapsed="false">
      <c r="B8" s="25" t="n">
        <v>3</v>
      </c>
      <c r="C8" s="25"/>
      <c r="D8" s="32" t="s">
        <v>17</v>
      </c>
      <c r="E8" s="33" t="s">
        <v>18</v>
      </c>
      <c r="F8" s="34" t="s">
        <v>19</v>
      </c>
      <c r="G8" s="32" t="s">
        <v>19</v>
      </c>
      <c r="H8" s="28" t="s">
        <v>19</v>
      </c>
      <c r="I8" s="29" t="s">
        <v>14</v>
      </c>
      <c r="K8" s="30" t="str">
        <f aca="false">D8</f>
        <v>Judith Fulterer</v>
      </c>
      <c r="L8" s="22"/>
      <c r="M8" s="31" t="n">
        <v>3</v>
      </c>
      <c r="P8" s="24"/>
      <c r="U8" s="24"/>
      <c r="V8" s="24"/>
    </row>
    <row r="9" customFormat="false" ht="20.1" hidden="false" customHeight="true" outlineLevel="0" collapsed="false">
      <c r="B9" s="25" t="n">
        <v>4</v>
      </c>
      <c r="C9" s="25"/>
      <c r="D9" s="32" t="s">
        <v>20</v>
      </c>
      <c r="E9" s="33" t="s">
        <v>21</v>
      </c>
      <c r="F9" s="34" t="s">
        <v>21</v>
      </c>
      <c r="G9" s="32" t="s">
        <v>21</v>
      </c>
      <c r="H9" s="28" t="s">
        <v>21</v>
      </c>
      <c r="I9" s="29" t="s">
        <v>14</v>
      </c>
      <c r="K9" s="35" t="str">
        <f aca="false">D9</f>
        <v>Andreas Micke</v>
      </c>
      <c r="L9" s="22"/>
      <c r="M9" s="36" t="n">
        <v>4</v>
      </c>
      <c r="P9" s="24"/>
      <c r="U9" s="24"/>
      <c r="V9" s="24"/>
    </row>
    <row r="10" customFormat="false" ht="20.1" hidden="false" customHeight="true" outlineLevel="0" collapsed="false">
      <c r="B10" s="25" t="n">
        <v>5</v>
      </c>
      <c r="C10" s="25"/>
      <c r="D10" s="26" t="s">
        <v>22</v>
      </c>
      <c r="E10" s="28" t="s">
        <v>23</v>
      </c>
      <c r="F10" s="27" t="s">
        <v>23</v>
      </c>
      <c r="G10" s="28" t="s">
        <v>23</v>
      </c>
      <c r="H10" s="28" t="s">
        <v>23</v>
      </c>
      <c r="I10" s="29" t="s">
        <v>14</v>
      </c>
      <c r="K10" s="21" t="str">
        <f aca="false">D10</f>
        <v>Jérôme Schätzle</v>
      </c>
      <c r="L10" s="37" t="n">
        <v>2</v>
      </c>
      <c r="M10" s="23" t="n">
        <v>1</v>
      </c>
      <c r="P10" s="24"/>
      <c r="U10" s="24"/>
      <c r="V10" s="24"/>
    </row>
    <row r="11" customFormat="false" ht="20.1" hidden="false" customHeight="true" outlineLevel="0" collapsed="false">
      <c r="B11" s="25" t="n">
        <v>6</v>
      </c>
      <c r="C11" s="25"/>
      <c r="D11" s="32" t="s">
        <v>24</v>
      </c>
      <c r="E11" s="33" t="s">
        <v>25</v>
      </c>
      <c r="F11" s="34" t="s">
        <v>26</v>
      </c>
      <c r="G11" s="32" t="s">
        <v>26</v>
      </c>
      <c r="H11" s="28" t="s">
        <v>25</v>
      </c>
      <c r="I11" s="29" t="s">
        <v>14</v>
      </c>
      <c r="K11" s="30" t="str">
        <f aca="false">D11</f>
        <v>Lisa Schätzle</v>
      </c>
      <c r="L11" s="37"/>
      <c r="M11" s="31" t="n">
        <v>2</v>
      </c>
      <c r="P11" s="24"/>
      <c r="U11" s="24"/>
      <c r="V11" s="24"/>
    </row>
    <row r="12" customFormat="false" ht="20.1" hidden="false" customHeight="true" outlineLevel="0" collapsed="false">
      <c r="B12" s="25" t="n">
        <v>7</v>
      </c>
      <c r="C12" s="25"/>
      <c r="D12" s="26" t="s">
        <v>27</v>
      </c>
      <c r="E12" s="28" t="s">
        <v>28</v>
      </c>
      <c r="F12" s="27" t="s">
        <v>28</v>
      </c>
      <c r="G12" s="28" t="s">
        <v>28</v>
      </c>
      <c r="H12" s="28" t="s">
        <v>28</v>
      </c>
      <c r="I12" s="29" t="s">
        <v>14</v>
      </c>
      <c r="K12" s="30" t="str">
        <f aca="false">D12</f>
        <v>Pauline Schätzle</v>
      </c>
      <c r="L12" s="37"/>
      <c r="M12" s="31" t="n">
        <v>3</v>
      </c>
      <c r="P12" s="24"/>
      <c r="U12" s="24"/>
      <c r="V12" s="24"/>
    </row>
    <row r="13" customFormat="false" ht="20.1" hidden="false" customHeight="true" outlineLevel="0" collapsed="false">
      <c r="B13" s="25" t="n">
        <v>8</v>
      </c>
      <c r="C13" s="25"/>
      <c r="D13" s="26" t="s">
        <v>29</v>
      </c>
      <c r="E13" s="33" t="s">
        <v>30</v>
      </c>
      <c r="F13" s="34" t="s">
        <v>30</v>
      </c>
      <c r="G13" s="32" t="s">
        <v>30</v>
      </c>
      <c r="H13" s="28" t="s">
        <v>30</v>
      </c>
      <c r="I13" s="29" t="s">
        <v>14</v>
      </c>
      <c r="K13" s="35" t="str">
        <f aca="false">D13</f>
        <v>Kai Maibaum</v>
      </c>
      <c r="L13" s="37"/>
      <c r="M13" s="36" t="n">
        <v>4</v>
      </c>
      <c r="P13" s="24"/>
      <c r="U13" s="24"/>
      <c r="V13" s="24"/>
    </row>
    <row r="14" customFormat="false" ht="20.1" hidden="false" customHeight="true" outlineLevel="0" collapsed="false">
      <c r="B14" s="25" t="n">
        <v>9</v>
      </c>
      <c r="C14" s="25"/>
      <c r="D14" s="26" t="s">
        <v>31</v>
      </c>
      <c r="E14" s="33" t="s">
        <v>32</v>
      </c>
      <c r="F14" s="34" t="s">
        <v>32</v>
      </c>
      <c r="G14" s="32" t="s">
        <v>32</v>
      </c>
      <c r="H14" s="28" t="s">
        <v>32</v>
      </c>
      <c r="I14" s="29" t="s">
        <v>14</v>
      </c>
      <c r="K14" s="21" t="str">
        <f aca="false">D14</f>
        <v>Daniel Zimmermann</v>
      </c>
      <c r="L14" s="37" t="n">
        <v>3</v>
      </c>
      <c r="M14" s="23" t="n">
        <v>1</v>
      </c>
      <c r="P14" s="24"/>
      <c r="U14" s="24"/>
      <c r="V14" s="24"/>
    </row>
    <row r="15" customFormat="false" ht="20.1" hidden="false" customHeight="true" outlineLevel="0" collapsed="false">
      <c r="B15" s="25" t="n">
        <v>10</v>
      </c>
      <c r="C15" s="25"/>
      <c r="D15" s="26" t="s">
        <v>33</v>
      </c>
      <c r="E15" s="28" t="s">
        <v>34</v>
      </c>
      <c r="F15" s="38" t="s">
        <v>35</v>
      </c>
      <c r="G15" s="28" t="s">
        <v>35</v>
      </c>
      <c r="H15" s="28" t="s">
        <v>35</v>
      </c>
      <c r="I15" s="29" t="s">
        <v>36</v>
      </c>
      <c r="K15" s="30" t="str">
        <f aca="false">D15</f>
        <v>Marc Lambrecht</v>
      </c>
      <c r="L15" s="37"/>
      <c r="M15" s="31" t="n">
        <v>2</v>
      </c>
      <c r="P15" s="24"/>
      <c r="U15" s="24"/>
      <c r="V15" s="24"/>
    </row>
    <row r="16" customFormat="false" ht="20.1" hidden="false" customHeight="true" outlineLevel="0" collapsed="false">
      <c r="B16" s="25" t="n">
        <v>11</v>
      </c>
      <c r="C16" s="25"/>
      <c r="D16" s="26" t="s">
        <v>37</v>
      </c>
      <c r="E16" s="33" t="s">
        <v>38</v>
      </c>
      <c r="F16" s="34" t="s">
        <v>35</v>
      </c>
      <c r="G16" s="32" t="s">
        <v>35</v>
      </c>
      <c r="H16" s="28" t="s">
        <v>35</v>
      </c>
      <c r="I16" s="29" t="s">
        <v>14</v>
      </c>
      <c r="K16" s="39" t="str">
        <f aca="false">D16</f>
        <v>Bea Kittner</v>
      </c>
      <c r="L16" s="37"/>
      <c r="M16" s="31" t="n">
        <v>3</v>
      </c>
      <c r="P16" s="24"/>
      <c r="U16" s="24"/>
      <c r="V16" s="24"/>
    </row>
    <row r="17" customFormat="false" ht="20.1" hidden="false" customHeight="true" outlineLevel="0" collapsed="false">
      <c r="B17" s="25" t="n">
        <v>12</v>
      </c>
      <c r="C17" s="25"/>
      <c r="D17" s="26" t="s">
        <v>39</v>
      </c>
      <c r="E17" s="33" t="s">
        <v>40</v>
      </c>
      <c r="F17" s="34" t="s">
        <v>40</v>
      </c>
      <c r="G17" s="32" t="s">
        <v>40</v>
      </c>
      <c r="H17" s="28" t="s">
        <v>40</v>
      </c>
      <c r="I17" s="29" t="s">
        <v>14</v>
      </c>
      <c r="K17" s="40" t="str">
        <f aca="false">D17</f>
        <v>Markus Hagenauer</v>
      </c>
      <c r="L17" s="37"/>
      <c r="M17" s="36" t="n">
        <v>4</v>
      </c>
      <c r="P17" s="24"/>
      <c r="U17" s="24"/>
      <c r="V17" s="24"/>
    </row>
    <row r="18" customFormat="false" ht="20.1" hidden="false" customHeight="true" outlineLevel="0" collapsed="false">
      <c r="B18" s="25" t="n">
        <v>13</v>
      </c>
      <c r="C18" s="25"/>
      <c r="D18" s="26" t="s">
        <v>41</v>
      </c>
      <c r="E18" s="33" t="s">
        <v>42</v>
      </c>
      <c r="F18" s="34" t="s">
        <v>42</v>
      </c>
      <c r="G18" s="32" t="s">
        <v>35</v>
      </c>
      <c r="H18" s="28" t="s">
        <v>35</v>
      </c>
      <c r="I18" s="29" t="s">
        <v>36</v>
      </c>
      <c r="K18" s="41" t="str">
        <f aca="false">D18</f>
        <v>Franziska Büchner</v>
      </c>
      <c r="L18" s="22" t="n">
        <v>4</v>
      </c>
      <c r="M18" s="23" t="n">
        <v>1</v>
      </c>
      <c r="P18" s="24"/>
      <c r="U18" s="24"/>
      <c r="V18" s="24"/>
    </row>
    <row r="19" customFormat="false" ht="20.1" hidden="false" customHeight="true" outlineLevel="0" collapsed="false">
      <c r="B19" s="25" t="n">
        <v>14</v>
      </c>
      <c r="C19" s="25"/>
      <c r="D19" s="26" t="s">
        <v>43</v>
      </c>
      <c r="E19" s="33" t="s">
        <v>44</v>
      </c>
      <c r="F19" s="34" t="s">
        <v>44</v>
      </c>
      <c r="G19" s="32" t="s">
        <v>44</v>
      </c>
      <c r="H19" s="28" t="s">
        <v>44</v>
      </c>
      <c r="I19" s="29" t="s">
        <v>36</v>
      </c>
      <c r="K19" s="39" t="str">
        <f aca="false">D19</f>
        <v>Fabian Spaniol</v>
      </c>
      <c r="L19" s="22"/>
      <c r="M19" s="31" t="n">
        <v>2</v>
      </c>
      <c r="P19" s="24"/>
      <c r="U19" s="24"/>
      <c r="V19" s="24"/>
    </row>
    <row r="20" customFormat="false" ht="20.1" hidden="false" customHeight="true" outlineLevel="0" collapsed="false">
      <c r="B20" s="25" t="n">
        <v>15</v>
      </c>
      <c r="C20" s="25"/>
      <c r="D20" s="26" t="s">
        <v>45</v>
      </c>
      <c r="E20" s="33" t="s">
        <v>46</v>
      </c>
      <c r="F20" s="34" t="s">
        <v>46</v>
      </c>
      <c r="G20" s="32" t="s">
        <v>35</v>
      </c>
      <c r="H20" s="28" t="s">
        <v>35</v>
      </c>
      <c r="I20" s="29" t="s">
        <v>14</v>
      </c>
      <c r="K20" s="39" t="str">
        <f aca="false">D20</f>
        <v>Florian Spiß</v>
      </c>
      <c r="L20" s="22"/>
      <c r="M20" s="31" t="n">
        <v>3</v>
      </c>
      <c r="P20" s="24"/>
      <c r="U20" s="24"/>
      <c r="V20" s="24"/>
    </row>
    <row r="21" customFormat="false" ht="20.1" hidden="false" customHeight="true" outlineLevel="0" collapsed="false">
      <c r="B21" s="42" t="n">
        <v>16</v>
      </c>
      <c r="C21" s="42"/>
      <c r="D21" s="43" t="s">
        <v>47</v>
      </c>
      <c r="E21" s="44" t="s">
        <v>48</v>
      </c>
      <c r="F21" s="45" t="s">
        <v>48</v>
      </c>
      <c r="G21" s="46" t="s">
        <v>35</v>
      </c>
      <c r="H21" s="47" t="s">
        <v>48</v>
      </c>
      <c r="I21" s="48" t="s">
        <v>14</v>
      </c>
      <c r="K21" s="49" t="str">
        <f aca="false">D21</f>
        <v>Alex Ulbricht</v>
      </c>
      <c r="L21" s="22"/>
      <c r="M21" s="50" t="n">
        <v>4</v>
      </c>
      <c r="P21" s="24"/>
      <c r="U21" s="24"/>
      <c r="V21" s="24"/>
    </row>
    <row r="22" customFormat="false" ht="20.1" hidden="false" customHeight="true" outlineLevel="0" collapsed="false">
      <c r="K22" s="51" t="s">
        <v>49</v>
      </c>
      <c r="L22" s="51"/>
      <c r="M22" s="52" t="n">
        <f aca="false">ROWS(M6:M21)</f>
        <v>16</v>
      </c>
      <c r="O22" s="4"/>
      <c r="P22" s="4"/>
      <c r="R22" s="4"/>
      <c r="S22" s="4"/>
      <c r="T22" s="4"/>
      <c r="U22" s="4"/>
    </row>
    <row r="23" customFormat="false" ht="15.75" hidden="false" customHeight="false" outlineLevel="0" collapsed="false">
      <c r="B23" s="3" t="s">
        <v>50</v>
      </c>
      <c r="C23" s="3"/>
      <c r="D23" s="3"/>
      <c r="E23" s="3"/>
      <c r="F23" s="3"/>
      <c r="G23" s="3"/>
      <c r="H23" s="3"/>
      <c r="L23" s="53"/>
      <c r="M23" s="53"/>
      <c r="N23" s="53"/>
      <c r="O23" s="5"/>
      <c r="P23" s="4"/>
      <c r="Q23" s="4"/>
      <c r="S23" s="4"/>
      <c r="T23" s="4"/>
      <c r="U23" s="4"/>
      <c r="V23" s="4"/>
    </row>
    <row r="24" customFormat="false" ht="30.75" hidden="false" customHeight="true" outlineLevel="0" collapsed="false">
      <c r="B24" s="54" t="s">
        <v>51</v>
      </c>
      <c r="C24" s="54"/>
      <c r="D24" s="55" t="s">
        <v>4</v>
      </c>
      <c r="E24" s="9" t="s">
        <v>5</v>
      </c>
      <c r="F24" s="56" t="s">
        <v>6</v>
      </c>
      <c r="G24" s="57" t="s">
        <v>7</v>
      </c>
      <c r="H24" s="57" t="s">
        <v>8</v>
      </c>
      <c r="L24" s="53"/>
      <c r="M24" s="53"/>
      <c r="N24" s="53"/>
      <c r="O24" s="5"/>
      <c r="P24" s="4"/>
      <c r="Q24" s="4"/>
      <c r="S24" s="4"/>
      <c r="T24" s="4"/>
      <c r="U24" s="4"/>
      <c r="V24" s="4"/>
    </row>
    <row r="25" customFormat="false" ht="20.1" hidden="false" customHeight="true" outlineLevel="0" collapsed="false">
      <c r="B25" s="58" t="n">
        <v>1</v>
      </c>
      <c r="C25" s="58"/>
      <c r="D25" s="59"/>
      <c r="E25" s="60"/>
      <c r="F25" s="60"/>
      <c r="G25" s="60"/>
      <c r="H25" s="61"/>
      <c r="O25" s="29" t="s">
        <v>36</v>
      </c>
      <c r="P25" s="4"/>
      <c r="Q25" s="4"/>
      <c r="S25" s="4"/>
      <c r="T25" s="4"/>
      <c r="U25" s="4"/>
      <c r="V25" s="4"/>
    </row>
    <row r="26" customFormat="false" ht="20.1" hidden="false" customHeight="true" outlineLevel="0" collapsed="false">
      <c r="M26" s="53"/>
      <c r="N26" s="53"/>
      <c r="O26" s="53"/>
      <c r="P26" s="5"/>
      <c r="Q26" s="4"/>
      <c r="R26" s="4"/>
      <c r="T26" s="4"/>
      <c r="U26" s="4"/>
      <c r="V26" s="4"/>
      <c r="W26" s="4"/>
    </row>
    <row r="27" customFormat="false" ht="20.1" hidden="false" customHeight="true" outlineLevel="0" collapsed="false">
      <c r="B27" s="62"/>
      <c r="C27" s="62"/>
      <c r="D27" s="63"/>
      <c r="E27" s="63"/>
      <c r="F27" s="63"/>
      <c r="G27" s="63"/>
      <c r="H27" s="62"/>
      <c r="I27" s="62"/>
      <c r="J27" s="62"/>
      <c r="K27" s="62"/>
      <c r="L27" s="62"/>
      <c r="M27" s="62"/>
      <c r="N27" s="62"/>
      <c r="O27" s="62"/>
      <c r="P27" s="62"/>
      <c r="Q27" s="62"/>
      <c r="R27" s="62"/>
      <c r="S27" s="62"/>
      <c r="T27" s="62"/>
      <c r="U27" s="62"/>
    </row>
    <row r="28" customFormat="false" ht="30" hidden="false" customHeight="true" outlineLevel="0" collapsed="false">
      <c r="B28" s="62"/>
      <c r="C28" s="64" t="s">
        <v>52</v>
      </c>
      <c r="D28" s="64"/>
      <c r="E28" s="64"/>
      <c r="F28" s="64"/>
      <c r="G28" s="64"/>
      <c r="H28" s="64"/>
      <c r="I28" s="64"/>
      <c r="J28" s="64"/>
      <c r="K28" s="64"/>
      <c r="L28" s="64"/>
      <c r="M28" s="64"/>
      <c r="N28" s="64"/>
      <c r="O28" s="64"/>
      <c r="P28" s="64"/>
      <c r="Q28" s="64"/>
      <c r="R28" s="64"/>
      <c r="S28" s="64"/>
      <c r="T28" s="64"/>
      <c r="U28" s="62"/>
    </row>
    <row r="29" customFormat="false" ht="20.1" hidden="false" customHeight="true" outlineLevel="0" collapsed="false">
      <c r="B29" s="62"/>
      <c r="U29" s="62"/>
    </row>
    <row r="30" customFormat="false" ht="20.1" hidden="false" customHeight="true" outlineLevel="0" collapsed="false">
      <c r="B30" s="62"/>
      <c r="D30" s="65" t="s">
        <v>53</v>
      </c>
      <c r="E30" s="66" t="s">
        <v>54</v>
      </c>
      <c r="F30" s="67" t="s">
        <v>11</v>
      </c>
      <c r="G30" s="66" t="s">
        <v>55</v>
      </c>
      <c r="H30" s="66"/>
      <c r="I30" s="66"/>
      <c r="J30" s="66"/>
      <c r="K30" s="66" t="s">
        <v>56</v>
      </c>
      <c r="L30" s="68" t="s">
        <v>57</v>
      </c>
      <c r="M30" s="68"/>
      <c r="N30" s="68"/>
      <c r="O30" s="68"/>
      <c r="P30" s="68"/>
      <c r="Q30" s="68"/>
      <c r="R30" s="68"/>
      <c r="S30" s="68"/>
      <c r="U30" s="62"/>
    </row>
    <row r="31" customFormat="false" ht="20.1" hidden="false" customHeight="true" outlineLevel="0" collapsed="false">
      <c r="B31" s="62"/>
      <c r="D31" s="65"/>
      <c r="E31" s="66"/>
      <c r="F31" s="66"/>
      <c r="G31" s="69" t="s">
        <v>58</v>
      </c>
      <c r="H31" s="69" t="s">
        <v>59</v>
      </c>
      <c r="I31" s="67" t="s">
        <v>60</v>
      </c>
      <c r="J31" s="67"/>
      <c r="K31" s="69" t="s">
        <v>61</v>
      </c>
      <c r="L31" s="69" t="s">
        <v>58</v>
      </c>
      <c r="M31" s="70" t="s">
        <v>62</v>
      </c>
      <c r="N31" s="67" t="s">
        <v>60</v>
      </c>
      <c r="O31" s="67"/>
      <c r="P31" s="67"/>
      <c r="Q31" s="67"/>
      <c r="R31" s="67"/>
      <c r="S31" s="67"/>
      <c r="U31" s="62"/>
    </row>
    <row r="32" customFormat="false" ht="35.1" hidden="false" customHeight="true" outlineLevel="0" collapsed="false">
      <c r="B32" s="62"/>
      <c r="D32" s="71" t="s">
        <v>12</v>
      </c>
      <c r="E32" s="16" t="s">
        <v>13</v>
      </c>
      <c r="F32" s="23" t="n">
        <v>1</v>
      </c>
      <c r="G32" s="72" t="s">
        <v>63</v>
      </c>
      <c r="H32" s="73" t="s">
        <v>64</v>
      </c>
      <c r="I32" s="74" t="s">
        <v>65</v>
      </c>
      <c r="J32" s="74"/>
      <c r="K32" s="75" t="s">
        <v>66</v>
      </c>
      <c r="L32" s="76" t="s">
        <v>67</v>
      </c>
      <c r="M32" s="77" t="s">
        <v>67</v>
      </c>
      <c r="N32" s="78" t="s">
        <v>67</v>
      </c>
      <c r="O32" s="78"/>
      <c r="P32" s="78"/>
      <c r="Q32" s="78"/>
      <c r="R32" s="78"/>
      <c r="S32" s="78"/>
      <c r="U32" s="62"/>
    </row>
    <row r="33" customFormat="false" ht="120" hidden="false" customHeight="true" outlineLevel="0" collapsed="false">
      <c r="B33" s="62"/>
      <c r="D33" s="79" t="s">
        <v>15</v>
      </c>
      <c r="E33" s="27" t="s">
        <v>16</v>
      </c>
      <c r="F33" s="31" t="n">
        <v>2</v>
      </c>
      <c r="G33" s="80" t="s">
        <v>63</v>
      </c>
      <c r="H33" s="81" t="s">
        <v>68</v>
      </c>
      <c r="I33" s="82" t="s">
        <v>69</v>
      </c>
      <c r="J33" s="82"/>
      <c r="K33" s="83" t="s">
        <v>66</v>
      </c>
      <c r="L33" s="84" t="s">
        <v>67</v>
      </c>
      <c r="M33" s="85" t="s">
        <v>67</v>
      </c>
      <c r="N33" s="86" t="s">
        <v>67</v>
      </c>
      <c r="O33" s="86"/>
      <c r="P33" s="86"/>
      <c r="Q33" s="86"/>
      <c r="R33" s="86"/>
      <c r="S33" s="86"/>
      <c r="U33" s="62"/>
    </row>
    <row r="34" customFormat="false" ht="20.1" hidden="false" customHeight="true" outlineLevel="0" collapsed="false">
      <c r="B34" s="62"/>
      <c r="D34" s="39" t="s">
        <v>17</v>
      </c>
      <c r="E34" s="33" t="s">
        <v>18</v>
      </c>
      <c r="F34" s="31" t="n">
        <v>3</v>
      </c>
      <c r="G34" s="87" t="s">
        <v>70</v>
      </c>
      <c r="H34" s="88" t="s">
        <v>66</v>
      </c>
      <c r="I34" s="89" t="s">
        <v>71</v>
      </c>
      <c r="J34" s="89"/>
      <c r="K34" s="90" t="s">
        <v>68</v>
      </c>
      <c r="L34" s="91" t="s">
        <v>63</v>
      </c>
      <c r="M34" s="92" t="s">
        <v>72</v>
      </c>
      <c r="N34" s="93" t="s">
        <v>73</v>
      </c>
      <c r="O34" s="93"/>
      <c r="P34" s="93"/>
      <c r="Q34" s="93"/>
      <c r="R34" s="93"/>
      <c r="S34" s="93"/>
      <c r="U34" s="62"/>
    </row>
    <row r="35" customFormat="false" ht="35.1" hidden="false" customHeight="true" outlineLevel="0" collapsed="false">
      <c r="B35" s="62"/>
      <c r="D35" s="49" t="s">
        <v>20</v>
      </c>
      <c r="E35" s="44" t="s">
        <v>21</v>
      </c>
      <c r="F35" s="50" t="n">
        <v>4</v>
      </c>
      <c r="G35" s="94" t="s">
        <v>63</v>
      </c>
      <c r="H35" s="95" t="s">
        <v>74</v>
      </c>
      <c r="I35" s="96" t="s">
        <v>75</v>
      </c>
      <c r="J35" s="96"/>
      <c r="K35" s="97" t="s">
        <v>64</v>
      </c>
      <c r="L35" s="98" t="s">
        <v>67</v>
      </c>
      <c r="M35" s="99" t="s">
        <v>67</v>
      </c>
      <c r="N35" s="100" t="s">
        <v>67</v>
      </c>
      <c r="O35" s="100"/>
      <c r="P35" s="100"/>
      <c r="Q35" s="100"/>
      <c r="R35" s="100"/>
      <c r="S35" s="100"/>
      <c r="U35" s="62"/>
    </row>
    <row r="36" customFormat="false" ht="20.1" hidden="false" customHeight="true" outlineLevel="0" collapsed="false">
      <c r="B36" s="62"/>
      <c r="U36" s="62"/>
    </row>
    <row r="37" customFormat="false" ht="20.1" hidden="false" customHeight="true" outlineLevel="0" collapsed="false">
      <c r="B37" s="62"/>
      <c r="C37" s="101"/>
      <c r="D37" s="101"/>
      <c r="E37" s="102" t="str">
        <f aca="false">IF(OR(M32="-",M32= ""),H32,M32)</f>
        <v>Dungeon Petz</v>
      </c>
      <c r="F37" s="102"/>
      <c r="G37" s="102"/>
      <c r="H37" s="102"/>
      <c r="I37" s="102"/>
      <c r="J37" s="102"/>
      <c r="K37" s="102"/>
      <c r="L37" s="102"/>
      <c r="M37" s="102"/>
      <c r="N37" s="102"/>
      <c r="O37" s="103"/>
      <c r="P37" s="103"/>
      <c r="Q37" s="103"/>
      <c r="R37" s="103"/>
      <c r="S37" s="103"/>
      <c r="T37" s="101"/>
      <c r="U37" s="62"/>
    </row>
    <row r="38" customFormat="false" ht="50.1" hidden="false" customHeight="true" outlineLevel="0" collapsed="false">
      <c r="B38" s="62"/>
      <c r="C38" s="101"/>
      <c r="D38" s="103"/>
      <c r="E38" s="65" t="s">
        <v>53</v>
      </c>
      <c r="F38" s="104" t="s">
        <v>76</v>
      </c>
      <c r="G38" s="67" t="s">
        <v>77</v>
      </c>
      <c r="H38" s="66" t="s">
        <v>78</v>
      </c>
      <c r="I38" s="54" t="s">
        <v>79</v>
      </c>
      <c r="J38" s="66" t="s">
        <v>80</v>
      </c>
      <c r="K38" s="105" t="s">
        <v>81</v>
      </c>
      <c r="L38" s="66" t="s">
        <v>82</v>
      </c>
      <c r="M38" s="106" t="s">
        <v>83</v>
      </c>
      <c r="N38" s="67" t="s">
        <v>84</v>
      </c>
      <c r="O38" s="107" t="s">
        <v>85</v>
      </c>
      <c r="P38" s="108" t="s">
        <v>86</v>
      </c>
      <c r="Q38" s="108" t="s">
        <v>87</v>
      </c>
      <c r="R38" s="108" t="s">
        <v>88</v>
      </c>
      <c r="S38" s="103"/>
      <c r="T38" s="101"/>
      <c r="U38" s="62"/>
    </row>
    <row r="39" customFormat="false" ht="20.1" hidden="false" customHeight="true" outlineLevel="0" collapsed="false">
      <c r="B39" s="62"/>
      <c r="C39" s="101"/>
      <c r="D39" s="101"/>
      <c r="E39" s="109" t="s">
        <v>12</v>
      </c>
      <c r="F39" s="110" t="s">
        <v>13</v>
      </c>
      <c r="G39" s="111" t="n">
        <v>1</v>
      </c>
      <c r="H39" s="112" t="s">
        <v>67</v>
      </c>
      <c r="I39" s="111" t="n">
        <v>0</v>
      </c>
      <c r="J39" s="111" t="n">
        <v>90</v>
      </c>
      <c r="K39" s="111" t="s">
        <v>67</v>
      </c>
      <c r="L39" s="113" t="n">
        <f aca="false">IF(J39="",0,(J39/J43)*100)</f>
        <v>100</v>
      </c>
      <c r="M39" s="111" t="n">
        <v>1</v>
      </c>
      <c r="N39" s="114" t="n">
        <v>6</v>
      </c>
      <c r="O39" s="115" t="n">
        <f aca="false">IF(M39=1,1,0)</f>
        <v>1</v>
      </c>
      <c r="P39" s="116" t="n">
        <f aca="false">IF(M39=2,1,0)</f>
        <v>0</v>
      </c>
      <c r="Q39" s="116" t="n">
        <f aca="false">IF(M39=3,1,0)</f>
        <v>0</v>
      </c>
      <c r="R39" s="117" t="n">
        <f aca="false">IF(M39=4,1,0)</f>
        <v>0</v>
      </c>
      <c r="S39" s="118"/>
      <c r="T39" s="101"/>
      <c r="U39" s="62"/>
    </row>
    <row r="40" customFormat="false" ht="20.1" hidden="false" customHeight="true" outlineLevel="0" collapsed="false">
      <c r="B40" s="62"/>
      <c r="C40" s="101"/>
      <c r="D40" s="101"/>
      <c r="E40" s="30" t="s">
        <v>15</v>
      </c>
      <c r="F40" s="38" t="s">
        <v>16</v>
      </c>
      <c r="G40" s="119" t="n">
        <v>4</v>
      </c>
      <c r="H40" s="119" t="s">
        <v>67</v>
      </c>
      <c r="I40" s="119" t="n">
        <v>0</v>
      </c>
      <c r="J40" s="119" t="n">
        <v>58</v>
      </c>
      <c r="K40" s="119" t="s">
        <v>67</v>
      </c>
      <c r="L40" s="120" t="n">
        <f aca="false">IF(J40="",0,(J40/J43)*100)</f>
        <v>64.4444444444444</v>
      </c>
      <c r="M40" s="119" t="n">
        <v>3</v>
      </c>
      <c r="N40" s="31" t="n">
        <v>1</v>
      </c>
      <c r="O40" s="121" t="n">
        <f aca="false">IF(M40=1,1,0)</f>
        <v>0</v>
      </c>
      <c r="P40" s="122" t="n">
        <f aca="false">IF(M40=2,1,0)</f>
        <v>0</v>
      </c>
      <c r="Q40" s="122" t="n">
        <f aca="false">IF(M40=3,1,0)</f>
        <v>1</v>
      </c>
      <c r="R40" s="123" t="n">
        <f aca="false">IF(M40=4,1,0)</f>
        <v>0</v>
      </c>
      <c r="S40" s="118"/>
      <c r="T40" s="101"/>
      <c r="U40" s="62"/>
    </row>
    <row r="41" customFormat="false" ht="20.1" hidden="false" customHeight="true" outlineLevel="0" collapsed="false">
      <c r="B41" s="62"/>
      <c r="C41" s="101"/>
      <c r="D41" s="101"/>
      <c r="E41" s="39" t="s">
        <v>17</v>
      </c>
      <c r="F41" s="32" t="s">
        <v>18</v>
      </c>
      <c r="G41" s="119" t="n">
        <v>2</v>
      </c>
      <c r="H41" s="119" t="s">
        <v>67</v>
      </c>
      <c r="I41" s="119" t="n">
        <v>0</v>
      </c>
      <c r="J41" s="119" t="n">
        <v>83</v>
      </c>
      <c r="K41" s="119" t="s">
        <v>67</v>
      </c>
      <c r="L41" s="120" t="n">
        <f aca="false">IF(J41="",0,(J41/J43)*100)</f>
        <v>92.2222222222222</v>
      </c>
      <c r="M41" s="119" t="n">
        <v>2</v>
      </c>
      <c r="N41" s="31" t="n">
        <v>3</v>
      </c>
      <c r="O41" s="121" t="n">
        <f aca="false">IF(M41=1,1,0)</f>
        <v>0</v>
      </c>
      <c r="P41" s="122" t="n">
        <f aca="false">IF(M41=2,1,0)</f>
        <v>1</v>
      </c>
      <c r="Q41" s="122" t="n">
        <f aca="false">IF(M41=3,1,0)</f>
        <v>0</v>
      </c>
      <c r="R41" s="123" t="n">
        <f aca="false">IF(M41=4,1,0)</f>
        <v>0</v>
      </c>
      <c r="S41" s="118"/>
      <c r="T41" s="101"/>
      <c r="U41" s="62"/>
    </row>
    <row r="42" customFormat="false" ht="20.1" hidden="false" customHeight="true" outlineLevel="0" collapsed="false">
      <c r="B42" s="62"/>
      <c r="C42" s="101"/>
      <c r="D42" s="124"/>
      <c r="E42" s="49" t="s">
        <v>20</v>
      </c>
      <c r="F42" s="46" t="s">
        <v>21</v>
      </c>
      <c r="G42" s="125" t="n">
        <v>3</v>
      </c>
      <c r="H42" s="125" t="s">
        <v>67</v>
      </c>
      <c r="I42" s="125" t="n">
        <v>0</v>
      </c>
      <c r="J42" s="125" t="n">
        <v>28</v>
      </c>
      <c r="K42" s="125" t="s">
        <v>67</v>
      </c>
      <c r="L42" s="126" t="n">
        <f aca="false">IF(J42="",0,(J42/J43)*100)</f>
        <v>31.1111111111111</v>
      </c>
      <c r="M42" s="125" t="n">
        <v>4</v>
      </c>
      <c r="N42" s="50" t="n">
        <v>0</v>
      </c>
      <c r="O42" s="127" t="n">
        <f aca="false">IF(M42=1,1,0)</f>
        <v>0</v>
      </c>
      <c r="P42" s="128" t="n">
        <f aca="false">IF(M42=2,1,0)</f>
        <v>0</v>
      </c>
      <c r="Q42" s="128" t="n">
        <f aca="false">IF(M42=3,1,0)</f>
        <v>0</v>
      </c>
      <c r="R42" s="129" t="n">
        <f aca="false">IF(M42=4,1,0)</f>
        <v>1</v>
      </c>
      <c r="S42" s="118"/>
      <c r="T42" s="101"/>
      <c r="U42" s="62"/>
    </row>
    <row r="43" customFormat="false" ht="20.1" hidden="true" customHeight="true" outlineLevel="1" collapsed="false">
      <c r="B43" s="62"/>
      <c r="C43" s="101"/>
      <c r="D43" s="130"/>
      <c r="E43" s="130"/>
      <c r="F43" s="131"/>
      <c r="G43" s="131"/>
      <c r="H43" s="101"/>
      <c r="I43" s="132" t="s">
        <v>89</v>
      </c>
      <c r="J43" s="133" t="n">
        <f aca="false">MAX(J39:J42)</f>
        <v>90</v>
      </c>
      <c r="K43" s="134"/>
      <c r="L43" s="135"/>
      <c r="M43" s="101"/>
      <c r="N43" s="136" t="s">
        <v>90</v>
      </c>
      <c r="O43" s="137" t="n">
        <f aca="false">SUM(O39:O42)</f>
        <v>1</v>
      </c>
      <c r="P43" s="138" t="n">
        <f aca="false">SUM(P39:P42)</f>
        <v>1</v>
      </c>
      <c r="Q43" s="137" t="n">
        <f aca="false">SUM(Q39:Q42)</f>
        <v>1</v>
      </c>
      <c r="R43" s="137" t="n">
        <f aca="false">SUM(R39:R42)</f>
        <v>1</v>
      </c>
      <c r="S43" s="139"/>
      <c r="T43" s="101"/>
      <c r="U43" s="62"/>
    </row>
    <row r="44" customFormat="false" ht="20.1" hidden="false" customHeight="true" outlineLevel="0" collapsed="false">
      <c r="B44" s="62"/>
      <c r="C44" s="101"/>
      <c r="D44" s="101"/>
      <c r="E44" s="101"/>
      <c r="F44" s="140"/>
      <c r="G44" s="140"/>
      <c r="H44" s="103"/>
      <c r="I44" s="101"/>
      <c r="J44" s="101"/>
      <c r="K44" s="101"/>
      <c r="L44" s="101"/>
      <c r="M44" s="101"/>
      <c r="N44" s="101"/>
      <c r="O44" s="101"/>
      <c r="P44" s="101"/>
      <c r="Q44" s="101"/>
      <c r="R44" s="101"/>
      <c r="S44" s="101"/>
      <c r="T44" s="101"/>
      <c r="U44" s="62"/>
    </row>
    <row r="45" customFormat="false" ht="20.1" hidden="false" customHeight="true" outlineLevel="0" collapsed="false">
      <c r="B45" s="62"/>
      <c r="U45" s="62"/>
    </row>
    <row r="46" customFormat="false" ht="20.1" hidden="false" customHeight="true" outlineLevel="0" collapsed="false">
      <c r="B46" s="62"/>
      <c r="C46" s="141"/>
      <c r="D46" s="141"/>
      <c r="E46" s="142" t="str">
        <f aca="false">IF(OR(M33="-",M33= ""),H33,M33)</f>
        <v>Terra Mystica</v>
      </c>
      <c r="F46" s="142"/>
      <c r="G46" s="142"/>
      <c r="H46" s="142"/>
      <c r="I46" s="142"/>
      <c r="J46" s="142"/>
      <c r="K46" s="142"/>
      <c r="L46" s="142"/>
      <c r="M46" s="142"/>
      <c r="N46" s="142"/>
      <c r="O46" s="143"/>
      <c r="P46" s="143"/>
      <c r="Q46" s="143"/>
      <c r="R46" s="143"/>
      <c r="S46" s="143"/>
      <c r="T46" s="141"/>
      <c r="U46" s="62"/>
    </row>
    <row r="47" customFormat="false" ht="50.1" hidden="false" customHeight="true" outlineLevel="0" collapsed="false">
      <c r="B47" s="62"/>
      <c r="C47" s="141"/>
      <c r="D47" s="143"/>
      <c r="E47" s="65" t="s">
        <v>53</v>
      </c>
      <c r="F47" s="104" t="s">
        <v>76</v>
      </c>
      <c r="G47" s="67" t="s">
        <v>77</v>
      </c>
      <c r="H47" s="66" t="s">
        <v>78</v>
      </c>
      <c r="I47" s="54" t="s">
        <v>79</v>
      </c>
      <c r="J47" s="66" t="s">
        <v>80</v>
      </c>
      <c r="K47" s="105" t="s">
        <v>81</v>
      </c>
      <c r="L47" s="66" t="s">
        <v>82</v>
      </c>
      <c r="M47" s="106" t="s">
        <v>83</v>
      </c>
      <c r="N47" s="67" t="s">
        <v>84</v>
      </c>
      <c r="O47" s="107" t="s">
        <v>85</v>
      </c>
      <c r="P47" s="108" t="s">
        <v>86</v>
      </c>
      <c r="Q47" s="108" t="s">
        <v>87</v>
      </c>
      <c r="R47" s="108" t="s">
        <v>88</v>
      </c>
      <c r="S47" s="143"/>
      <c r="T47" s="141"/>
      <c r="U47" s="62"/>
    </row>
    <row r="48" customFormat="false" ht="20.1" hidden="false" customHeight="true" outlineLevel="0" collapsed="false">
      <c r="B48" s="62"/>
      <c r="C48" s="141"/>
      <c r="D48" s="141"/>
      <c r="E48" s="21" t="s">
        <v>12</v>
      </c>
      <c r="F48" s="18" t="s">
        <v>13</v>
      </c>
      <c r="G48" s="144" t="n">
        <v>1</v>
      </c>
      <c r="H48" s="145" t="s">
        <v>91</v>
      </c>
      <c r="I48" s="144" t="n">
        <v>8</v>
      </c>
      <c r="J48" s="145" t="n">
        <v>113</v>
      </c>
      <c r="K48" s="145" t="s">
        <v>67</v>
      </c>
      <c r="L48" s="146" t="n">
        <f aca="false">IF(J48="",0,(J48/J52)*100)</f>
        <v>79.020979020979</v>
      </c>
      <c r="M48" s="144" t="n">
        <v>4</v>
      </c>
      <c r="N48" s="23" t="n">
        <v>0</v>
      </c>
      <c r="O48" s="115" t="n">
        <f aca="false">IF(M48=1,1,0)</f>
        <v>0</v>
      </c>
      <c r="P48" s="116" t="n">
        <f aca="false">IF(M48=2,1,0)</f>
        <v>0</v>
      </c>
      <c r="Q48" s="116" t="n">
        <f aca="false">IF(M48=3,1,0)</f>
        <v>0</v>
      </c>
      <c r="R48" s="117" t="n">
        <f aca="false">IF(M48=4,1,0)</f>
        <v>1</v>
      </c>
      <c r="S48" s="147"/>
      <c r="T48" s="141"/>
      <c r="U48" s="62"/>
    </row>
    <row r="49" customFormat="false" ht="20.1" hidden="false" customHeight="true" outlineLevel="0" collapsed="false">
      <c r="B49" s="62"/>
      <c r="C49" s="141"/>
      <c r="D49" s="148"/>
      <c r="E49" s="149" t="s">
        <v>15</v>
      </c>
      <c r="F49" s="150" t="s">
        <v>16</v>
      </c>
      <c r="G49" s="151" t="n">
        <v>3</v>
      </c>
      <c r="H49" s="152" t="s">
        <v>92</v>
      </c>
      <c r="I49" s="151" t="n">
        <v>20</v>
      </c>
      <c r="J49" s="152" t="n">
        <v>143</v>
      </c>
      <c r="K49" s="152" t="s">
        <v>67</v>
      </c>
      <c r="L49" s="153" t="n">
        <f aca="false">IF(J49="",0,(J49/J52)*100)</f>
        <v>100</v>
      </c>
      <c r="M49" s="151" t="n">
        <v>1</v>
      </c>
      <c r="N49" s="154" t="n">
        <v>6</v>
      </c>
      <c r="O49" s="121" t="n">
        <f aca="false">IF(M49=1,1,0)</f>
        <v>1</v>
      </c>
      <c r="P49" s="122" t="n">
        <f aca="false">IF(M49=2,1,0)</f>
        <v>0</v>
      </c>
      <c r="Q49" s="122" t="n">
        <f aca="false">IF(M49=3,1,0)</f>
        <v>0</v>
      </c>
      <c r="R49" s="123" t="n">
        <f aca="false">IF(M49=4,1,0)</f>
        <v>0</v>
      </c>
      <c r="S49" s="147"/>
      <c r="T49" s="141"/>
      <c r="U49" s="62"/>
    </row>
    <row r="50" customFormat="false" ht="20.1" hidden="false" customHeight="true" outlineLevel="0" collapsed="false">
      <c r="B50" s="62"/>
      <c r="C50" s="141"/>
      <c r="D50" s="141"/>
      <c r="E50" s="39" t="s">
        <v>17</v>
      </c>
      <c r="F50" s="32" t="s">
        <v>18</v>
      </c>
      <c r="G50" s="119" t="n">
        <v>2</v>
      </c>
      <c r="H50" s="155" t="s">
        <v>93</v>
      </c>
      <c r="I50" s="119" t="n">
        <v>12</v>
      </c>
      <c r="J50" s="155" t="n">
        <v>131</v>
      </c>
      <c r="K50" s="155" t="s">
        <v>67</v>
      </c>
      <c r="L50" s="120" t="n">
        <f aca="false">IF(J50="",0,(J50/J52)*100)</f>
        <v>91.6083916083916</v>
      </c>
      <c r="M50" s="119" t="n">
        <v>3</v>
      </c>
      <c r="N50" s="31" t="n">
        <v>1</v>
      </c>
      <c r="O50" s="121" t="n">
        <f aca="false">IF(M50=1,1,0)</f>
        <v>0</v>
      </c>
      <c r="P50" s="122" t="n">
        <f aca="false">IF(M50=2,1,0)</f>
        <v>0</v>
      </c>
      <c r="Q50" s="122" t="n">
        <f aca="false">IF(M50=3,1,0)</f>
        <v>1</v>
      </c>
      <c r="R50" s="123" t="n">
        <f aca="false">IF(M50=4,1,0)</f>
        <v>0</v>
      </c>
      <c r="S50" s="147"/>
      <c r="T50" s="141"/>
      <c r="U50" s="62"/>
    </row>
    <row r="51" customFormat="false" ht="20.1" hidden="false" customHeight="true" outlineLevel="0" collapsed="false">
      <c r="B51" s="62"/>
      <c r="C51" s="141"/>
      <c r="D51" s="141"/>
      <c r="E51" s="49" t="s">
        <v>20</v>
      </c>
      <c r="F51" s="46" t="s">
        <v>21</v>
      </c>
      <c r="G51" s="125" t="n">
        <v>1</v>
      </c>
      <c r="H51" s="156" t="s">
        <v>94</v>
      </c>
      <c r="I51" s="125" t="n">
        <v>30</v>
      </c>
      <c r="J51" s="156" t="n">
        <v>137</v>
      </c>
      <c r="K51" s="125" t="s">
        <v>67</v>
      </c>
      <c r="L51" s="126" t="n">
        <f aca="false">IF(J51="",0,(J51/J52)*100)</f>
        <v>95.8041958041958</v>
      </c>
      <c r="M51" s="125" t="n">
        <v>2</v>
      </c>
      <c r="N51" s="50" t="n">
        <v>3</v>
      </c>
      <c r="O51" s="127" t="n">
        <f aca="false">IF(M51=1,1,0)</f>
        <v>0</v>
      </c>
      <c r="P51" s="128" t="n">
        <f aca="false">IF(M51=2,1,0)</f>
        <v>1</v>
      </c>
      <c r="Q51" s="128" t="n">
        <f aca="false">IF(M51=3,1,0)</f>
        <v>0</v>
      </c>
      <c r="R51" s="129" t="n">
        <f aca="false">IF(M51=4,1,0)</f>
        <v>0</v>
      </c>
      <c r="S51" s="147"/>
      <c r="T51" s="141"/>
      <c r="U51" s="62"/>
    </row>
    <row r="52" customFormat="false" ht="20.1" hidden="true" customHeight="true" outlineLevel="1" collapsed="false">
      <c r="B52" s="62"/>
      <c r="C52" s="141"/>
      <c r="D52" s="141"/>
      <c r="E52" s="141"/>
      <c r="F52" s="157"/>
      <c r="G52" s="157"/>
      <c r="H52" s="141"/>
      <c r="I52" s="158" t="s">
        <v>89</v>
      </c>
      <c r="J52" s="133" t="n">
        <f aca="false">MAX(J48:J51)</f>
        <v>143</v>
      </c>
      <c r="K52" s="159"/>
      <c r="L52" s="147"/>
      <c r="M52" s="141"/>
      <c r="N52" s="136" t="s">
        <v>90</v>
      </c>
      <c r="O52" s="137" t="n">
        <f aca="false">SUM(O48:O51)</f>
        <v>1</v>
      </c>
      <c r="P52" s="138" t="n">
        <f aca="false">SUM(P48:P51)</f>
        <v>1</v>
      </c>
      <c r="Q52" s="137" t="n">
        <f aca="false">SUM(Q48:Q51)</f>
        <v>1</v>
      </c>
      <c r="R52" s="160" t="n">
        <f aca="false">SUM(R48:R51)</f>
        <v>1</v>
      </c>
      <c r="S52" s="161"/>
      <c r="T52" s="141"/>
      <c r="U52" s="62"/>
    </row>
    <row r="53" customFormat="false" ht="20.1" hidden="false" customHeight="true" outlineLevel="0" collapsed="false">
      <c r="B53" s="62"/>
      <c r="C53" s="141"/>
      <c r="D53" s="141"/>
      <c r="E53" s="141"/>
      <c r="F53" s="141"/>
      <c r="G53" s="141"/>
      <c r="H53" s="141"/>
      <c r="I53" s="141"/>
      <c r="J53" s="141"/>
      <c r="K53" s="141"/>
      <c r="L53" s="141"/>
      <c r="M53" s="141"/>
      <c r="N53" s="141"/>
      <c r="O53" s="141"/>
      <c r="P53" s="141"/>
      <c r="Q53" s="141"/>
      <c r="R53" s="141"/>
      <c r="S53" s="141"/>
      <c r="T53" s="141"/>
      <c r="U53" s="62"/>
    </row>
    <row r="54" customFormat="false" ht="20.1" hidden="false" customHeight="true" outlineLevel="0" collapsed="false">
      <c r="B54" s="62"/>
      <c r="D54" s="162"/>
      <c r="E54" s="162"/>
      <c r="F54" s="162"/>
      <c r="G54" s="162"/>
      <c r="H54" s="163"/>
      <c r="I54" s="162"/>
      <c r="J54" s="162"/>
      <c r="U54" s="62"/>
    </row>
    <row r="55" customFormat="false" ht="20.1" hidden="false" customHeight="true" outlineLevel="0" collapsed="false">
      <c r="B55" s="62"/>
      <c r="C55" s="164"/>
      <c r="D55" s="164"/>
      <c r="E55" s="165" t="str">
        <f aca="false">IF(OR(M34="-",M34= ""),H34,M34)</f>
        <v>Nippon</v>
      </c>
      <c r="F55" s="165"/>
      <c r="G55" s="165"/>
      <c r="H55" s="165"/>
      <c r="I55" s="165"/>
      <c r="J55" s="165"/>
      <c r="K55" s="165"/>
      <c r="L55" s="165"/>
      <c r="M55" s="165"/>
      <c r="N55" s="165"/>
      <c r="O55" s="166"/>
      <c r="P55" s="166"/>
      <c r="Q55" s="166"/>
      <c r="R55" s="166"/>
      <c r="S55" s="166"/>
      <c r="T55" s="164"/>
      <c r="U55" s="167"/>
      <c r="V55" s="168"/>
      <c r="W55" s="168"/>
    </row>
    <row r="56" customFormat="false" ht="50.1" hidden="false" customHeight="true" outlineLevel="0" collapsed="false">
      <c r="B56" s="62"/>
      <c r="C56" s="164"/>
      <c r="D56" s="166"/>
      <c r="E56" s="65" t="s">
        <v>53</v>
      </c>
      <c r="F56" s="104" t="s">
        <v>76</v>
      </c>
      <c r="G56" s="67" t="s">
        <v>77</v>
      </c>
      <c r="H56" s="66" t="s">
        <v>78</v>
      </c>
      <c r="I56" s="54" t="s">
        <v>79</v>
      </c>
      <c r="J56" s="66" t="s">
        <v>80</v>
      </c>
      <c r="K56" s="105" t="s">
        <v>81</v>
      </c>
      <c r="L56" s="66" t="s">
        <v>82</v>
      </c>
      <c r="M56" s="106" t="s">
        <v>83</v>
      </c>
      <c r="N56" s="67" t="s">
        <v>84</v>
      </c>
      <c r="O56" s="107" t="s">
        <v>85</v>
      </c>
      <c r="P56" s="108" t="s">
        <v>86</v>
      </c>
      <c r="Q56" s="108" t="s">
        <v>87</v>
      </c>
      <c r="R56" s="13" t="s">
        <v>88</v>
      </c>
      <c r="S56" s="166"/>
      <c r="T56" s="164"/>
      <c r="U56" s="167"/>
      <c r="V56" s="168"/>
      <c r="W56" s="168"/>
    </row>
    <row r="57" customFormat="false" ht="20.1" hidden="false" customHeight="true" outlineLevel="0" collapsed="false">
      <c r="B57" s="62"/>
      <c r="C57" s="164"/>
      <c r="D57" s="164"/>
      <c r="E57" s="21" t="s">
        <v>12</v>
      </c>
      <c r="F57" s="18" t="s">
        <v>13</v>
      </c>
      <c r="G57" s="144" t="n">
        <v>4</v>
      </c>
      <c r="H57" s="145" t="s">
        <v>67</v>
      </c>
      <c r="I57" s="144" t="n">
        <v>13</v>
      </c>
      <c r="J57" s="169" t="n">
        <v>118</v>
      </c>
      <c r="K57" s="144" t="s">
        <v>67</v>
      </c>
      <c r="L57" s="146" t="n">
        <f aca="false">IF(J57="",0,(J57/J61)*100)</f>
        <v>55.3990610328639</v>
      </c>
      <c r="M57" s="144" t="n">
        <v>4</v>
      </c>
      <c r="N57" s="23" t="n">
        <v>0</v>
      </c>
      <c r="O57" s="115" t="n">
        <f aca="false">IF(M57=1,1,0)</f>
        <v>0</v>
      </c>
      <c r="P57" s="116" t="n">
        <f aca="false">IF(M57=2,1,0)</f>
        <v>0</v>
      </c>
      <c r="Q57" s="116" t="n">
        <f aca="false">IF(M57=3,1,0)</f>
        <v>0</v>
      </c>
      <c r="R57" s="117" t="n">
        <f aca="false">IF(M57=4,1,0)</f>
        <v>1</v>
      </c>
      <c r="S57" s="170"/>
      <c r="T57" s="164"/>
      <c r="U57" s="62"/>
    </row>
    <row r="58" customFormat="false" ht="20.1" hidden="false" customHeight="true" outlineLevel="0" collapsed="false">
      <c r="B58" s="62"/>
      <c r="C58" s="164"/>
      <c r="D58" s="171"/>
      <c r="E58" s="30" t="s">
        <v>15</v>
      </c>
      <c r="F58" s="38" t="s">
        <v>16</v>
      </c>
      <c r="G58" s="119" t="n">
        <v>1</v>
      </c>
      <c r="H58" s="119" t="s">
        <v>67</v>
      </c>
      <c r="I58" s="119" t="n">
        <v>10</v>
      </c>
      <c r="J58" s="172" t="n">
        <v>174</v>
      </c>
      <c r="K58" s="119" t="s">
        <v>67</v>
      </c>
      <c r="L58" s="120" t="n">
        <f aca="false">IF(J58="",0,(J58/J61)*100)</f>
        <v>81.6901408450704</v>
      </c>
      <c r="M58" s="119" t="n">
        <v>2</v>
      </c>
      <c r="N58" s="31" t="n">
        <v>3</v>
      </c>
      <c r="O58" s="121" t="n">
        <f aca="false">IF(M58=1,1,0)</f>
        <v>0</v>
      </c>
      <c r="P58" s="122" t="n">
        <f aca="false">IF(M58=2,1,0)</f>
        <v>1</v>
      </c>
      <c r="Q58" s="122" t="n">
        <f aca="false">IF(M58=3,1,0)</f>
        <v>0</v>
      </c>
      <c r="R58" s="123" t="n">
        <f aca="false">IF(M58=4,1,0)</f>
        <v>0</v>
      </c>
      <c r="S58" s="170"/>
      <c r="T58" s="164"/>
      <c r="U58" s="173"/>
    </row>
    <row r="59" customFormat="false" ht="20.1" hidden="false" customHeight="true" outlineLevel="0" collapsed="false">
      <c r="B59" s="62"/>
      <c r="C59" s="164"/>
      <c r="D59" s="164"/>
      <c r="E59" s="174" t="s">
        <v>17</v>
      </c>
      <c r="F59" s="175" t="s">
        <v>18</v>
      </c>
      <c r="G59" s="151" t="n">
        <v>3</v>
      </c>
      <c r="H59" s="152" t="s">
        <v>67</v>
      </c>
      <c r="I59" s="151" t="n">
        <v>12</v>
      </c>
      <c r="J59" s="176" t="n">
        <v>213</v>
      </c>
      <c r="K59" s="151" t="s">
        <v>67</v>
      </c>
      <c r="L59" s="153" t="n">
        <f aca="false">IF(J59="",0,(J59/J61)*100)</f>
        <v>100</v>
      </c>
      <c r="M59" s="151" t="n">
        <v>1</v>
      </c>
      <c r="N59" s="154" t="n">
        <v>6</v>
      </c>
      <c r="O59" s="121" t="n">
        <f aca="false">IF(M59=1,1,0)</f>
        <v>1</v>
      </c>
      <c r="P59" s="122" t="n">
        <f aca="false">IF(M59=2,1,0)</f>
        <v>0</v>
      </c>
      <c r="Q59" s="122" t="n">
        <f aca="false">IF(M59=3,1,0)</f>
        <v>0</v>
      </c>
      <c r="R59" s="123" t="n">
        <f aca="false">IF(M59=4,1,0)</f>
        <v>0</v>
      </c>
      <c r="S59" s="170"/>
      <c r="T59" s="164"/>
      <c r="U59" s="173"/>
    </row>
    <row r="60" customFormat="false" ht="20.1" hidden="false" customHeight="true" outlineLevel="0" collapsed="false">
      <c r="B60" s="62"/>
      <c r="C60" s="164"/>
      <c r="D60" s="164"/>
      <c r="E60" s="49" t="s">
        <v>20</v>
      </c>
      <c r="F60" s="46" t="s">
        <v>21</v>
      </c>
      <c r="G60" s="125" t="n">
        <v>2</v>
      </c>
      <c r="H60" s="156" t="s">
        <v>67</v>
      </c>
      <c r="I60" s="125" t="n">
        <v>11</v>
      </c>
      <c r="J60" s="177" t="n">
        <v>133</v>
      </c>
      <c r="K60" s="125" t="s">
        <v>67</v>
      </c>
      <c r="L60" s="126" t="n">
        <f aca="false">IF(J60="",0,(J60/J61)*100)</f>
        <v>62.4413145539906</v>
      </c>
      <c r="M60" s="125" t="n">
        <v>3</v>
      </c>
      <c r="N60" s="50" t="n">
        <v>1</v>
      </c>
      <c r="O60" s="127" t="n">
        <f aca="false">IF(M60=1,1,0)</f>
        <v>0</v>
      </c>
      <c r="P60" s="128" t="n">
        <f aca="false">IF(M60=2,1,0)</f>
        <v>0</v>
      </c>
      <c r="Q60" s="128" t="n">
        <f aca="false">IF(M60=3,1,0)</f>
        <v>1</v>
      </c>
      <c r="R60" s="129" t="n">
        <f aca="false">IF(M60=4,1,0)</f>
        <v>0</v>
      </c>
      <c r="S60" s="170"/>
      <c r="T60" s="164"/>
      <c r="U60" s="173"/>
    </row>
    <row r="61" customFormat="false" ht="20.1" hidden="true" customHeight="true" outlineLevel="1" collapsed="false">
      <c r="B61" s="62"/>
      <c r="C61" s="164"/>
      <c r="D61" s="164"/>
      <c r="E61" s="164"/>
      <c r="F61" s="178"/>
      <c r="G61" s="178"/>
      <c r="H61" s="164"/>
      <c r="I61" s="179" t="s">
        <v>89</v>
      </c>
      <c r="J61" s="133" t="n">
        <f aca="false">MAX(J57:J60)</f>
        <v>213</v>
      </c>
      <c r="K61" s="180"/>
      <c r="L61" s="170"/>
      <c r="M61" s="164"/>
      <c r="N61" s="136" t="s">
        <v>90</v>
      </c>
      <c r="O61" s="137" t="n">
        <f aca="false">SUM(O57:O60)</f>
        <v>1</v>
      </c>
      <c r="P61" s="138" t="n">
        <f aca="false">SUM(P57:P60)</f>
        <v>1</v>
      </c>
      <c r="Q61" s="137" t="n">
        <f aca="false">SUM(Q57:Q60)</f>
        <v>1</v>
      </c>
      <c r="R61" s="160" t="n">
        <f aca="false">SUM(R57:R60)</f>
        <v>1</v>
      </c>
      <c r="S61" s="181"/>
      <c r="T61" s="164"/>
      <c r="U61" s="173"/>
    </row>
    <row r="62" customFormat="false" ht="20.1" hidden="false" customHeight="true" outlineLevel="0" collapsed="false">
      <c r="B62" s="62"/>
      <c r="C62" s="164"/>
      <c r="D62" s="164"/>
      <c r="E62" s="164"/>
      <c r="F62" s="164"/>
      <c r="G62" s="164"/>
      <c r="H62" s="164"/>
      <c r="I62" s="164"/>
      <c r="J62" s="164"/>
      <c r="K62" s="164"/>
      <c r="L62" s="164"/>
      <c r="M62" s="164"/>
      <c r="N62" s="164"/>
      <c r="O62" s="164"/>
      <c r="P62" s="164"/>
      <c r="Q62" s="164"/>
      <c r="R62" s="164"/>
      <c r="S62" s="164"/>
      <c r="T62" s="164"/>
      <c r="U62" s="173"/>
    </row>
    <row r="63" customFormat="false" ht="20.1" hidden="false" customHeight="true" outlineLevel="0" collapsed="false">
      <c r="B63" s="62"/>
      <c r="D63" s="162"/>
      <c r="E63" s="162"/>
      <c r="F63" s="162"/>
      <c r="G63" s="162"/>
      <c r="H63" s="163"/>
      <c r="I63" s="162"/>
      <c r="J63" s="162"/>
      <c r="K63" s="162"/>
      <c r="U63" s="62"/>
    </row>
    <row r="64" customFormat="false" ht="20.1" hidden="false" customHeight="true" outlineLevel="0" collapsed="false">
      <c r="B64" s="62"/>
      <c r="C64" s="182"/>
      <c r="D64" s="182"/>
      <c r="E64" s="183" t="str">
        <f aca="false">IF(OR(M35="-",M35= ""),H35,M35)</f>
        <v>Res Arcana</v>
      </c>
      <c r="F64" s="183"/>
      <c r="G64" s="183"/>
      <c r="H64" s="183"/>
      <c r="I64" s="183"/>
      <c r="J64" s="183"/>
      <c r="K64" s="183"/>
      <c r="L64" s="183"/>
      <c r="M64" s="183"/>
      <c r="N64" s="183"/>
      <c r="O64" s="184"/>
      <c r="P64" s="184"/>
      <c r="Q64" s="184"/>
      <c r="R64" s="184"/>
      <c r="S64" s="184"/>
      <c r="T64" s="182"/>
      <c r="U64" s="62"/>
    </row>
    <row r="65" customFormat="false" ht="50.1" hidden="false" customHeight="true" outlineLevel="0" collapsed="false">
      <c r="B65" s="62"/>
      <c r="C65" s="182"/>
      <c r="D65" s="184"/>
      <c r="E65" s="65" t="s">
        <v>53</v>
      </c>
      <c r="F65" s="104" t="s">
        <v>76</v>
      </c>
      <c r="G65" s="67" t="s">
        <v>77</v>
      </c>
      <c r="H65" s="66" t="s">
        <v>78</v>
      </c>
      <c r="I65" s="54" t="s">
        <v>79</v>
      </c>
      <c r="J65" s="66" t="s">
        <v>80</v>
      </c>
      <c r="K65" s="105" t="s">
        <v>81</v>
      </c>
      <c r="L65" s="66" t="s">
        <v>82</v>
      </c>
      <c r="M65" s="106" t="s">
        <v>83</v>
      </c>
      <c r="N65" s="67" t="s">
        <v>84</v>
      </c>
      <c r="O65" s="107" t="s">
        <v>85</v>
      </c>
      <c r="P65" s="108" t="s">
        <v>86</v>
      </c>
      <c r="Q65" s="108" t="s">
        <v>87</v>
      </c>
      <c r="R65" s="13" t="s">
        <v>88</v>
      </c>
      <c r="S65" s="184"/>
      <c r="T65" s="182"/>
      <c r="U65" s="62"/>
    </row>
    <row r="66" customFormat="false" ht="20.1" hidden="false" customHeight="true" outlineLevel="0" collapsed="false">
      <c r="B66" s="62"/>
      <c r="C66" s="182"/>
      <c r="D66" s="182"/>
      <c r="E66" s="21" t="s">
        <v>12</v>
      </c>
      <c r="F66" s="18" t="s">
        <v>13</v>
      </c>
      <c r="G66" s="144" t="n">
        <v>2</v>
      </c>
      <c r="H66" s="145" t="s">
        <v>95</v>
      </c>
      <c r="I66" s="144" t="n">
        <v>0</v>
      </c>
      <c r="J66" s="144" t="n">
        <v>7</v>
      </c>
      <c r="K66" s="144" t="s">
        <v>67</v>
      </c>
      <c r="L66" s="146" t="n">
        <f aca="false">IF(J66="",0,(J66/J70)*100)</f>
        <v>70</v>
      </c>
      <c r="M66" s="144" t="n">
        <v>2</v>
      </c>
      <c r="N66" s="23" t="n">
        <v>3</v>
      </c>
      <c r="O66" s="115" t="n">
        <f aca="false">IF(M66=1,1,0)</f>
        <v>0</v>
      </c>
      <c r="P66" s="116" t="n">
        <f aca="false">IF(M66=2,1,0)</f>
        <v>1</v>
      </c>
      <c r="Q66" s="116" t="n">
        <f aca="false">IF(M66=3,1,0)</f>
        <v>0</v>
      </c>
      <c r="R66" s="117" t="n">
        <f aca="false">IF(M66=4,1,0)</f>
        <v>0</v>
      </c>
      <c r="S66" s="185"/>
      <c r="T66" s="182"/>
      <c r="U66" s="62"/>
    </row>
    <row r="67" customFormat="false" ht="20.1" hidden="false" customHeight="true" outlineLevel="0" collapsed="false">
      <c r="B67" s="62"/>
      <c r="C67" s="182"/>
      <c r="D67" s="182"/>
      <c r="E67" s="149" t="s">
        <v>15</v>
      </c>
      <c r="F67" s="150" t="s">
        <v>16</v>
      </c>
      <c r="G67" s="151" t="n">
        <v>4</v>
      </c>
      <c r="H67" s="151" t="s">
        <v>96</v>
      </c>
      <c r="I67" s="151" t="n">
        <v>0</v>
      </c>
      <c r="J67" s="151" t="n">
        <v>10</v>
      </c>
      <c r="K67" s="151" t="s">
        <v>67</v>
      </c>
      <c r="L67" s="153" t="n">
        <f aca="false">IF(J67="",0,(J67/J70)*100)</f>
        <v>100</v>
      </c>
      <c r="M67" s="151" t="n">
        <v>1</v>
      </c>
      <c r="N67" s="154" t="n">
        <v>6</v>
      </c>
      <c r="O67" s="121" t="n">
        <f aca="false">IF(M67=1,1,0)</f>
        <v>1</v>
      </c>
      <c r="P67" s="122" t="n">
        <f aca="false">IF(M67=2,1,0)</f>
        <v>0</v>
      </c>
      <c r="Q67" s="122" t="n">
        <f aca="false">IF(M67=3,1,0)</f>
        <v>0</v>
      </c>
      <c r="R67" s="123" t="n">
        <f aca="false">IF(M67=4,1,0)</f>
        <v>0</v>
      </c>
      <c r="S67" s="185"/>
      <c r="T67" s="182"/>
      <c r="U67" s="62"/>
    </row>
    <row r="68" customFormat="false" ht="20.1" hidden="false" customHeight="true" outlineLevel="0" collapsed="false">
      <c r="B68" s="62"/>
      <c r="C68" s="182"/>
      <c r="D68" s="182"/>
      <c r="E68" s="39" t="s">
        <v>17</v>
      </c>
      <c r="F68" s="32" t="s">
        <v>18</v>
      </c>
      <c r="G68" s="119" t="n">
        <v>3</v>
      </c>
      <c r="H68" s="119" t="s">
        <v>97</v>
      </c>
      <c r="I68" s="119" t="n">
        <v>0</v>
      </c>
      <c r="J68" s="119" t="n">
        <v>6</v>
      </c>
      <c r="K68" s="119" t="s">
        <v>67</v>
      </c>
      <c r="L68" s="120" t="n">
        <f aca="false">IF(J68="",0,(J68/J70)*100)</f>
        <v>60</v>
      </c>
      <c r="M68" s="119" t="n">
        <v>3</v>
      </c>
      <c r="N68" s="31" t="n">
        <v>1</v>
      </c>
      <c r="O68" s="121" t="n">
        <f aca="false">IF(M68=1,1,0)</f>
        <v>0</v>
      </c>
      <c r="P68" s="122" t="n">
        <f aca="false">IF(M68=2,1,0)</f>
        <v>0</v>
      </c>
      <c r="Q68" s="122" t="n">
        <f aca="false">IF(M68=3,1,0)</f>
        <v>1</v>
      </c>
      <c r="R68" s="123" t="n">
        <f aca="false">IF(M68=4,1,0)</f>
        <v>0</v>
      </c>
      <c r="S68" s="185"/>
      <c r="T68" s="182"/>
      <c r="U68" s="62"/>
    </row>
    <row r="69" customFormat="false" ht="20.1" hidden="false" customHeight="true" outlineLevel="0" collapsed="false">
      <c r="B69" s="62"/>
      <c r="C69" s="182"/>
      <c r="D69" s="186"/>
      <c r="E69" s="49" t="s">
        <v>20</v>
      </c>
      <c r="F69" s="46" t="s">
        <v>21</v>
      </c>
      <c r="G69" s="125" t="n">
        <v>1</v>
      </c>
      <c r="H69" s="125" t="s">
        <v>98</v>
      </c>
      <c r="I69" s="125" t="n">
        <v>0</v>
      </c>
      <c r="J69" s="125" t="n">
        <v>4</v>
      </c>
      <c r="K69" s="125" t="s">
        <v>67</v>
      </c>
      <c r="L69" s="126" t="n">
        <f aca="false">IF(J69="",0,(J69/J70)*100)</f>
        <v>40</v>
      </c>
      <c r="M69" s="125" t="n">
        <v>4</v>
      </c>
      <c r="N69" s="50" t="n">
        <v>0</v>
      </c>
      <c r="O69" s="127" t="n">
        <f aca="false">IF(M69=1,1,0)</f>
        <v>0</v>
      </c>
      <c r="P69" s="128" t="n">
        <f aca="false">IF(M69=2,1,0)</f>
        <v>0</v>
      </c>
      <c r="Q69" s="128" t="n">
        <f aca="false">IF(M69=3,1,0)</f>
        <v>0</v>
      </c>
      <c r="R69" s="129" t="n">
        <f aca="false">IF(M69=4,1,0)</f>
        <v>1</v>
      </c>
      <c r="S69" s="185"/>
      <c r="T69" s="182"/>
      <c r="U69" s="62"/>
    </row>
    <row r="70" customFormat="false" ht="20.1" hidden="true" customHeight="true" outlineLevel="1" collapsed="false">
      <c r="B70" s="62"/>
      <c r="C70" s="182"/>
      <c r="D70" s="182"/>
      <c r="E70" s="182"/>
      <c r="F70" s="187"/>
      <c r="G70" s="187"/>
      <c r="H70" s="182"/>
      <c r="I70" s="158" t="s">
        <v>89</v>
      </c>
      <c r="J70" s="133" t="n">
        <f aca="false">MAX(J66:J69)</f>
        <v>10</v>
      </c>
      <c r="K70" s="188"/>
      <c r="L70" s="185"/>
      <c r="M70" s="182"/>
      <c r="N70" s="136" t="s">
        <v>90</v>
      </c>
      <c r="O70" s="137" t="n">
        <f aca="false">SUM(O66:O69)</f>
        <v>1</v>
      </c>
      <c r="P70" s="138" t="n">
        <f aca="false">SUM(P66:P69)</f>
        <v>1</v>
      </c>
      <c r="Q70" s="137" t="n">
        <f aca="false">SUM(Q66:Q69)</f>
        <v>1</v>
      </c>
      <c r="R70" s="160" t="n">
        <f aca="false">SUM(R66:R69)</f>
        <v>1</v>
      </c>
      <c r="S70" s="189"/>
      <c r="T70" s="182"/>
      <c r="U70" s="62"/>
    </row>
    <row r="71" customFormat="false" ht="20.1" hidden="false" customHeight="true" outlineLevel="0" collapsed="false">
      <c r="B71" s="62"/>
      <c r="C71" s="182"/>
      <c r="D71" s="182"/>
      <c r="E71" s="182"/>
      <c r="F71" s="182"/>
      <c r="G71" s="182"/>
      <c r="H71" s="182"/>
      <c r="I71" s="182"/>
      <c r="J71" s="182"/>
      <c r="K71" s="182"/>
      <c r="L71" s="182"/>
      <c r="M71" s="182"/>
      <c r="N71" s="182"/>
      <c r="O71" s="182"/>
      <c r="P71" s="182"/>
      <c r="Q71" s="182"/>
      <c r="R71" s="182"/>
      <c r="S71" s="182"/>
      <c r="T71" s="182"/>
      <c r="U71" s="62"/>
    </row>
    <row r="72" customFormat="false" ht="20.1" hidden="false" customHeight="true" outlineLevel="0" collapsed="false">
      <c r="B72" s="62"/>
      <c r="D72" s="5"/>
      <c r="E72" s="5"/>
      <c r="F72" s="5"/>
      <c r="G72" s="5"/>
      <c r="H72" s="5"/>
      <c r="I72" s="5"/>
      <c r="J72" s="5"/>
      <c r="U72" s="62"/>
    </row>
    <row r="73" customFormat="false" ht="30" hidden="false" customHeight="true" outlineLevel="0" collapsed="false">
      <c r="B73" s="62"/>
      <c r="C73" s="190"/>
      <c r="D73" s="191" t="s">
        <v>99</v>
      </c>
      <c r="E73" s="191"/>
      <c r="F73" s="191"/>
      <c r="G73" s="191"/>
      <c r="H73" s="191"/>
      <c r="I73" s="191"/>
      <c r="J73" s="191"/>
      <c r="K73" s="191"/>
      <c r="L73" s="191"/>
      <c r="M73" s="191"/>
      <c r="N73" s="191"/>
      <c r="O73" s="191"/>
      <c r="P73" s="191"/>
      <c r="Q73" s="191"/>
      <c r="R73" s="191"/>
      <c r="S73" s="191"/>
      <c r="T73" s="190"/>
      <c r="U73" s="62"/>
    </row>
    <row r="74" customFormat="false" ht="50.1" hidden="false" customHeight="true" outlineLevel="0" collapsed="false">
      <c r="B74" s="62"/>
      <c r="C74" s="190"/>
      <c r="D74" s="192" t="s">
        <v>53</v>
      </c>
      <c r="E74" s="193" t="s">
        <v>54</v>
      </c>
      <c r="F74" s="194" t="s">
        <v>84</v>
      </c>
      <c r="G74" s="195" t="s">
        <v>100</v>
      </c>
      <c r="H74" s="196" t="s">
        <v>101</v>
      </c>
      <c r="I74" s="196"/>
      <c r="J74" s="197" t="s">
        <v>102</v>
      </c>
      <c r="K74" s="198" t="s">
        <v>103</v>
      </c>
      <c r="L74" s="194" t="s">
        <v>104</v>
      </c>
      <c r="M74" s="198" t="s">
        <v>105</v>
      </c>
      <c r="N74" s="194" t="s">
        <v>106</v>
      </c>
      <c r="O74" s="199"/>
      <c r="P74" s="200"/>
      <c r="Q74" s="200"/>
      <c r="R74" s="200"/>
      <c r="S74" s="193" t="s">
        <v>107</v>
      </c>
      <c r="T74" s="190"/>
      <c r="U74" s="62"/>
    </row>
    <row r="75" customFormat="false" ht="20.1" hidden="false" customHeight="true" outlineLevel="0" collapsed="false">
      <c r="B75" s="62"/>
      <c r="C75" s="190"/>
      <c r="D75" s="201" t="s">
        <v>15</v>
      </c>
      <c r="E75" s="202" t="s">
        <v>16</v>
      </c>
      <c r="F75" s="203" t="n">
        <f aca="false">(K75*6+L75*3+M75*1+N75*0)</f>
        <v>16</v>
      </c>
      <c r="G75" s="203" t="n">
        <v>0</v>
      </c>
      <c r="H75" s="204" t="s">
        <v>67</v>
      </c>
      <c r="I75" s="204"/>
      <c r="J75" s="203" t="n">
        <f aca="false">F75+G75</f>
        <v>16</v>
      </c>
      <c r="K75" s="203" t="n">
        <v>2</v>
      </c>
      <c r="L75" s="203" t="n">
        <v>1</v>
      </c>
      <c r="M75" s="203" t="n">
        <v>1</v>
      </c>
      <c r="N75" s="203" t="n">
        <v>0</v>
      </c>
      <c r="O75" s="203"/>
      <c r="P75" s="203"/>
      <c r="Q75" s="203"/>
      <c r="R75" s="203"/>
      <c r="S75" s="205" t="n">
        <f aca="false">(L40+L49+L58+L67)/4</f>
        <v>86.5336463223787</v>
      </c>
      <c r="T75" s="190"/>
      <c r="U75" s="62"/>
      <c r="W75" s="206"/>
      <c r="X75" s="206"/>
      <c r="Y75" s="206"/>
      <c r="Z75" s="206"/>
    </row>
    <row r="76" customFormat="false" ht="20.1" hidden="false" customHeight="true" outlineLevel="0" collapsed="false">
      <c r="B76" s="62"/>
      <c r="C76" s="190"/>
      <c r="D76" s="207" t="s">
        <v>17</v>
      </c>
      <c r="E76" s="208" t="s">
        <v>18</v>
      </c>
      <c r="F76" s="209" t="n">
        <f aca="false">(K76*6+L76*3+M76*1+N76*0)</f>
        <v>11</v>
      </c>
      <c r="G76" s="209" t="n">
        <v>0</v>
      </c>
      <c r="H76" s="210" t="s">
        <v>67</v>
      </c>
      <c r="I76" s="210"/>
      <c r="J76" s="209" t="n">
        <f aca="false">F76+G76</f>
        <v>11</v>
      </c>
      <c r="K76" s="209" t="n">
        <v>1</v>
      </c>
      <c r="L76" s="209" t="n">
        <v>1</v>
      </c>
      <c r="M76" s="209" t="n">
        <v>2</v>
      </c>
      <c r="N76" s="209" t="n">
        <v>0</v>
      </c>
      <c r="O76" s="209"/>
      <c r="P76" s="209"/>
      <c r="Q76" s="209"/>
      <c r="R76" s="209"/>
      <c r="S76" s="211" t="n">
        <f aca="false">(L41+L50+L59+L68)/4</f>
        <v>85.9576534576535</v>
      </c>
      <c r="T76" s="190"/>
      <c r="U76" s="62"/>
      <c r="W76" s="212"/>
      <c r="X76" s="212"/>
      <c r="Y76" s="212"/>
      <c r="Z76" s="212"/>
    </row>
    <row r="77" customFormat="false" ht="20.1" hidden="false" customHeight="true" outlineLevel="0" collapsed="false">
      <c r="B77" s="62"/>
      <c r="C77" s="190"/>
      <c r="D77" s="213" t="s">
        <v>12</v>
      </c>
      <c r="E77" s="208" t="s">
        <v>13</v>
      </c>
      <c r="F77" s="209" t="n">
        <f aca="false">(K77*6+L77*3+M77*1+N77*0)</f>
        <v>9</v>
      </c>
      <c r="G77" s="209" t="n">
        <v>0</v>
      </c>
      <c r="H77" s="210" t="s">
        <v>67</v>
      </c>
      <c r="I77" s="210"/>
      <c r="J77" s="209" t="n">
        <f aca="false">F77+G77</f>
        <v>9</v>
      </c>
      <c r="K77" s="209" t="n">
        <v>1</v>
      </c>
      <c r="L77" s="209" t="n">
        <v>1</v>
      </c>
      <c r="M77" s="209" t="n">
        <v>0</v>
      </c>
      <c r="N77" s="209" t="n">
        <v>2</v>
      </c>
      <c r="O77" s="209"/>
      <c r="P77" s="209"/>
      <c r="Q77" s="209"/>
      <c r="R77" s="209"/>
      <c r="S77" s="211" t="n">
        <f aca="false">(L39+L48+L57+L66)/4</f>
        <v>76.1050100134607</v>
      </c>
      <c r="T77" s="190"/>
      <c r="U77" s="62"/>
      <c r="W77" s="212"/>
      <c r="X77" s="212"/>
      <c r="Y77" s="212"/>
      <c r="Z77" s="212"/>
    </row>
    <row r="78" customFormat="false" ht="20.1" hidden="false" customHeight="true" outlineLevel="0" collapsed="false">
      <c r="B78" s="62"/>
      <c r="C78" s="190"/>
      <c r="D78" s="214" t="s">
        <v>20</v>
      </c>
      <c r="E78" s="215" t="s">
        <v>21</v>
      </c>
      <c r="F78" s="216" t="n">
        <f aca="false">(K78*6+L78*3+M78*1+N78*0)</f>
        <v>4</v>
      </c>
      <c r="G78" s="216" t="n">
        <v>0</v>
      </c>
      <c r="H78" s="217" t="s">
        <v>67</v>
      </c>
      <c r="I78" s="217"/>
      <c r="J78" s="216" t="n">
        <f aca="false">F78+G78</f>
        <v>4</v>
      </c>
      <c r="K78" s="216" t="n">
        <v>0</v>
      </c>
      <c r="L78" s="216" t="n">
        <v>1</v>
      </c>
      <c r="M78" s="216" t="n">
        <v>1</v>
      </c>
      <c r="N78" s="216" t="n">
        <v>2</v>
      </c>
      <c r="O78" s="216"/>
      <c r="P78" s="216"/>
      <c r="Q78" s="216"/>
      <c r="R78" s="216"/>
      <c r="S78" s="218" t="n">
        <f aca="false">(L42+L51+L60+L69)/4</f>
        <v>57.3391553673244</v>
      </c>
      <c r="T78" s="190"/>
      <c r="U78" s="62"/>
      <c r="W78" s="212"/>
      <c r="X78" s="212"/>
      <c r="Y78" s="212"/>
      <c r="Z78" s="212"/>
      <c r="AB78" s="212"/>
      <c r="AC78" s="212"/>
      <c r="AD78" s="212"/>
      <c r="AE78" s="212"/>
    </row>
    <row r="79" customFormat="false" ht="20.1" hidden="false" customHeight="true" outlineLevel="0" collapsed="false">
      <c r="B79" s="62"/>
      <c r="C79" s="190"/>
      <c r="D79" s="190"/>
      <c r="E79" s="190"/>
      <c r="F79" s="190"/>
      <c r="G79" s="190"/>
      <c r="H79" s="190"/>
      <c r="I79" s="190"/>
      <c r="J79" s="190"/>
      <c r="K79" s="190"/>
      <c r="L79" s="190"/>
      <c r="M79" s="190"/>
      <c r="N79" s="190"/>
      <c r="O79" s="190"/>
      <c r="P79" s="190"/>
      <c r="Q79" s="190"/>
      <c r="R79" s="190"/>
      <c r="S79" s="190"/>
      <c r="T79" s="190"/>
      <c r="U79" s="62"/>
      <c r="W79" s="212"/>
      <c r="X79" s="212"/>
      <c r="Y79" s="212"/>
      <c r="Z79" s="212"/>
    </row>
    <row r="80" customFormat="false" ht="20.1" hidden="false" customHeight="true" outlineLevel="0" collapsed="false">
      <c r="B80" s="62"/>
      <c r="C80" s="62"/>
      <c r="D80" s="219"/>
      <c r="E80" s="219"/>
      <c r="F80" s="167"/>
      <c r="G80" s="167"/>
      <c r="H80" s="219"/>
      <c r="I80" s="219"/>
      <c r="J80" s="219"/>
      <c r="K80" s="62"/>
      <c r="L80" s="62"/>
      <c r="M80" s="62"/>
      <c r="N80" s="62"/>
      <c r="O80" s="62"/>
      <c r="P80" s="62"/>
      <c r="Q80" s="62"/>
      <c r="R80" s="62"/>
      <c r="S80" s="62"/>
      <c r="T80" s="62"/>
      <c r="U80" s="62"/>
    </row>
    <row r="81" customFormat="false" ht="20.1" hidden="false" customHeight="true" outlineLevel="0" collapsed="false">
      <c r="D81" s="220"/>
    </row>
    <row r="82" customFormat="false" ht="20.1" hidden="false" customHeight="true" outlineLevel="0" collapsed="false">
      <c r="D82" s="221"/>
    </row>
    <row r="83" customFormat="false" ht="20.1" hidden="false" customHeight="true" outlineLevel="0" collapsed="false">
      <c r="B83" s="62"/>
      <c r="C83" s="62"/>
      <c r="D83" s="63"/>
      <c r="E83" s="63"/>
      <c r="F83" s="63"/>
      <c r="G83" s="63"/>
      <c r="H83" s="62"/>
      <c r="I83" s="62"/>
      <c r="J83" s="62"/>
      <c r="K83" s="62"/>
      <c r="L83" s="62"/>
      <c r="M83" s="62"/>
      <c r="N83" s="62"/>
      <c r="O83" s="62"/>
      <c r="P83" s="62"/>
      <c r="Q83" s="62"/>
      <c r="R83" s="62"/>
      <c r="S83" s="62"/>
      <c r="T83" s="62"/>
      <c r="U83" s="62"/>
    </row>
    <row r="84" customFormat="false" ht="30" hidden="false" customHeight="true" outlineLevel="0" collapsed="false">
      <c r="B84" s="62"/>
      <c r="C84" s="64" t="s">
        <v>108</v>
      </c>
      <c r="D84" s="64"/>
      <c r="E84" s="64"/>
      <c r="F84" s="64"/>
      <c r="G84" s="64"/>
      <c r="H84" s="64"/>
      <c r="I84" s="64"/>
      <c r="J84" s="64"/>
      <c r="K84" s="64"/>
      <c r="L84" s="64"/>
      <c r="M84" s="64"/>
      <c r="N84" s="64"/>
      <c r="O84" s="64"/>
      <c r="P84" s="64"/>
      <c r="Q84" s="64"/>
      <c r="R84" s="64"/>
      <c r="S84" s="64"/>
      <c r="T84" s="64"/>
      <c r="U84" s="62"/>
    </row>
    <row r="85" customFormat="false" ht="20.1" hidden="false" customHeight="true" outlineLevel="0" collapsed="false">
      <c r="B85" s="62"/>
      <c r="U85" s="62"/>
    </row>
    <row r="86" customFormat="false" ht="20.1" hidden="false" customHeight="true" outlineLevel="0" collapsed="false">
      <c r="B86" s="62"/>
      <c r="D86" s="222" t="s">
        <v>53</v>
      </c>
      <c r="E86" s="68" t="s">
        <v>54</v>
      </c>
      <c r="F86" s="67" t="s">
        <v>11</v>
      </c>
      <c r="G86" s="223" t="s">
        <v>55</v>
      </c>
      <c r="H86" s="223"/>
      <c r="I86" s="223"/>
      <c r="J86" s="223"/>
      <c r="K86" s="66" t="s">
        <v>56</v>
      </c>
      <c r="L86" s="68" t="s">
        <v>57</v>
      </c>
      <c r="M86" s="68"/>
      <c r="N86" s="68"/>
      <c r="O86" s="68"/>
      <c r="P86" s="68"/>
      <c r="Q86" s="68"/>
      <c r="R86" s="68"/>
      <c r="S86" s="68"/>
      <c r="U86" s="62"/>
    </row>
    <row r="87" customFormat="false" ht="20.1" hidden="false" customHeight="true" outlineLevel="0" collapsed="false">
      <c r="B87" s="62"/>
      <c r="D87" s="222"/>
      <c r="E87" s="68"/>
      <c r="F87" s="67"/>
      <c r="G87" s="70" t="s">
        <v>58</v>
      </c>
      <c r="H87" s="69" t="s">
        <v>59</v>
      </c>
      <c r="I87" s="67" t="s">
        <v>60</v>
      </c>
      <c r="J87" s="67"/>
      <c r="K87" s="69" t="s">
        <v>61</v>
      </c>
      <c r="L87" s="224" t="s">
        <v>58</v>
      </c>
      <c r="M87" s="225" t="s">
        <v>62</v>
      </c>
      <c r="N87" s="226" t="s">
        <v>60</v>
      </c>
      <c r="O87" s="226"/>
      <c r="P87" s="226"/>
      <c r="Q87" s="226"/>
      <c r="R87" s="226"/>
      <c r="S87" s="226"/>
      <c r="U87" s="62"/>
    </row>
    <row r="88" customFormat="false" ht="65.1" hidden="false" customHeight="true" outlineLevel="0" collapsed="false">
      <c r="B88" s="62"/>
      <c r="D88" s="71" t="s">
        <v>22</v>
      </c>
      <c r="E88" s="19" t="s">
        <v>23</v>
      </c>
      <c r="F88" s="23" t="n">
        <v>1</v>
      </c>
      <c r="G88" s="227" t="s">
        <v>63</v>
      </c>
      <c r="H88" s="228" t="s">
        <v>109</v>
      </c>
      <c r="I88" s="74" t="s">
        <v>110</v>
      </c>
      <c r="J88" s="74"/>
      <c r="K88" s="229" t="s">
        <v>111</v>
      </c>
      <c r="L88" s="76" t="s">
        <v>67</v>
      </c>
      <c r="M88" s="77" t="s">
        <v>67</v>
      </c>
      <c r="N88" s="78" t="s">
        <v>67</v>
      </c>
      <c r="O88" s="78"/>
      <c r="P88" s="78"/>
      <c r="Q88" s="78"/>
      <c r="R88" s="78"/>
      <c r="S88" s="78"/>
      <c r="U88" s="62"/>
    </row>
    <row r="89" customFormat="false" ht="50.1" hidden="false" customHeight="true" outlineLevel="0" collapsed="false">
      <c r="B89" s="62"/>
      <c r="D89" s="39" t="s">
        <v>24</v>
      </c>
      <c r="E89" s="33" t="s">
        <v>25</v>
      </c>
      <c r="F89" s="31" t="n">
        <v>2</v>
      </c>
      <c r="G89" s="230" t="s">
        <v>63</v>
      </c>
      <c r="H89" s="81" t="s">
        <v>112</v>
      </c>
      <c r="I89" s="82" t="s">
        <v>113</v>
      </c>
      <c r="J89" s="82"/>
      <c r="K89" s="231" t="s">
        <v>111</v>
      </c>
      <c r="L89" s="84" t="s">
        <v>67</v>
      </c>
      <c r="M89" s="85" t="s">
        <v>67</v>
      </c>
      <c r="N89" s="86" t="s">
        <v>67</v>
      </c>
      <c r="O89" s="86"/>
      <c r="P89" s="86"/>
      <c r="Q89" s="86"/>
      <c r="R89" s="86"/>
      <c r="S89" s="86"/>
      <c r="U89" s="62"/>
    </row>
    <row r="90" customFormat="false" ht="80.1" hidden="false" customHeight="true" outlineLevel="0" collapsed="false">
      <c r="B90" s="62"/>
      <c r="D90" s="79" t="s">
        <v>27</v>
      </c>
      <c r="E90" s="28" t="s">
        <v>28</v>
      </c>
      <c r="F90" s="31" t="n">
        <v>3</v>
      </c>
      <c r="G90" s="232" t="s">
        <v>114</v>
      </c>
      <c r="H90" s="92" t="s">
        <v>115</v>
      </c>
      <c r="I90" s="89" t="s">
        <v>116</v>
      </c>
      <c r="J90" s="89"/>
      <c r="K90" s="233" t="s">
        <v>111</v>
      </c>
      <c r="L90" s="84" t="s">
        <v>67</v>
      </c>
      <c r="M90" s="85" t="s">
        <v>67</v>
      </c>
      <c r="N90" s="86" t="s">
        <v>67</v>
      </c>
      <c r="O90" s="86"/>
      <c r="P90" s="86"/>
      <c r="Q90" s="86"/>
      <c r="R90" s="86"/>
      <c r="S90" s="86"/>
      <c r="U90" s="62"/>
    </row>
    <row r="91" customFormat="false" ht="65.1" hidden="false" customHeight="true" outlineLevel="0" collapsed="false">
      <c r="B91" s="62"/>
      <c r="D91" s="234" t="s">
        <v>29</v>
      </c>
      <c r="E91" s="44" t="s">
        <v>30</v>
      </c>
      <c r="F91" s="50" t="n">
        <v>4</v>
      </c>
      <c r="G91" s="235" t="s">
        <v>114</v>
      </c>
      <c r="H91" s="236" t="s">
        <v>117</v>
      </c>
      <c r="I91" s="237" t="s">
        <v>118</v>
      </c>
      <c r="J91" s="237"/>
      <c r="K91" s="238" t="s">
        <v>111</v>
      </c>
      <c r="L91" s="98" t="s">
        <v>67</v>
      </c>
      <c r="M91" s="99" t="s">
        <v>67</v>
      </c>
      <c r="N91" s="239" t="s">
        <v>67</v>
      </c>
      <c r="O91" s="239"/>
      <c r="P91" s="239"/>
      <c r="Q91" s="239"/>
      <c r="R91" s="239"/>
      <c r="S91" s="239"/>
      <c r="U91" s="62"/>
    </row>
    <row r="92" customFormat="false" ht="20.1" hidden="false" customHeight="true" outlineLevel="0" collapsed="false">
      <c r="B92" s="62"/>
      <c r="U92" s="62"/>
    </row>
    <row r="93" customFormat="false" ht="20.1" hidden="false" customHeight="true" outlineLevel="0" collapsed="false">
      <c r="B93" s="62"/>
      <c r="C93" s="101"/>
      <c r="D93" s="101"/>
      <c r="E93" s="102" t="str">
        <f aca="false">IF(OR(L88="-",L88= ""),H88,L88)</f>
        <v>Die Burgen von Burgund</v>
      </c>
      <c r="F93" s="102"/>
      <c r="G93" s="102"/>
      <c r="H93" s="102"/>
      <c r="I93" s="102"/>
      <c r="J93" s="102"/>
      <c r="K93" s="102"/>
      <c r="L93" s="102"/>
      <c r="M93" s="102"/>
      <c r="N93" s="102"/>
      <c r="O93" s="103"/>
      <c r="P93" s="103"/>
      <c r="Q93" s="103"/>
      <c r="R93" s="103"/>
      <c r="S93" s="103"/>
      <c r="T93" s="101"/>
      <c r="U93" s="62"/>
    </row>
    <row r="94" customFormat="false" ht="50.1" hidden="false" customHeight="true" outlineLevel="0" collapsed="false">
      <c r="B94" s="62"/>
      <c r="C94" s="101"/>
      <c r="D94" s="103"/>
      <c r="E94" s="65" t="s">
        <v>53</v>
      </c>
      <c r="F94" s="104" t="s">
        <v>76</v>
      </c>
      <c r="G94" s="67" t="s">
        <v>77</v>
      </c>
      <c r="H94" s="66" t="s">
        <v>78</v>
      </c>
      <c r="I94" s="54" t="s">
        <v>79</v>
      </c>
      <c r="J94" s="66" t="s">
        <v>80</v>
      </c>
      <c r="K94" s="105" t="s">
        <v>81</v>
      </c>
      <c r="L94" s="66" t="s">
        <v>82</v>
      </c>
      <c r="M94" s="106" t="s">
        <v>83</v>
      </c>
      <c r="N94" s="67" t="s">
        <v>84</v>
      </c>
      <c r="O94" s="107" t="s">
        <v>85</v>
      </c>
      <c r="P94" s="108" t="s">
        <v>86</v>
      </c>
      <c r="Q94" s="108" t="s">
        <v>87</v>
      </c>
      <c r="R94" s="13" t="s">
        <v>88</v>
      </c>
      <c r="S94" s="103"/>
      <c r="T94" s="101"/>
      <c r="U94" s="62"/>
    </row>
    <row r="95" customFormat="false" ht="20.1" hidden="false" customHeight="true" outlineLevel="0" collapsed="false">
      <c r="B95" s="62"/>
      <c r="C95" s="101"/>
      <c r="D95" s="124"/>
      <c r="E95" s="109" t="s">
        <v>22</v>
      </c>
      <c r="F95" s="240" t="s">
        <v>23</v>
      </c>
      <c r="G95" s="111" t="n">
        <v>3</v>
      </c>
      <c r="H95" s="111" t="s">
        <v>119</v>
      </c>
      <c r="I95" s="111" t="n">
        <v>0</v>
      </c>
      <c r="J95" s="111" t="n">
        <v>258</v>
      </c>
      <c r="K95" s="111" t="s">
        <v>67</v>
      </c>
      <c r="L95" s="113" t="n">
        <f aca="false">IF(J95="",0,(J95/J99)*100)</f>
        <v>100</v>
      </c>
      <c r="M95" s="111" t="n">
        <v>1</v>
      </c>
      <c r="N95" s="114" t="n">
        <v>6</v>
      </c>
      <c r="O95" s="115" t="n">
        <f aca="false">IF(M95=1,1,0)</f>
        <v>1</v>
      </c>
      <c r="P95" s="116" t="n">
        <f aca="false">IF(M95=2,1,0)</f>
        <v>0</v>
      </c>
      <c r="Q95" s="116" t="n">
        <f aca="false">IF(M95=3,1,0)</f>
        <v>0</v>
      </c>
      <c r="R95" s="117" t="n">
        <f aca="false">IF(M95=4,1,0)</f>
        <v>0</v>
      </c>
      <c r="S95" s="118"/>
      <c r="T95" s="101"/>
      <c r="U95" s="62"/>
    </row>
    <row r="96" customFormat="false" ht="20.1" hidden="false" customHeight="true" outlineLevel="0" collapsed="false">
      <c r="B96" s="62"/>
      <c r="C96" s="101"/>
      <c r="D96" s="101"/>
      <c r="E96" s="39" t="s">
        <v>24</v>
      </c>
      <c r="F96" s="33" t="s">
        <v>25</v>
      </c>
      <c r="G96" s="241" t="n">
        <v>1</v>
      </c>
      <c r="H96" s="241" t="s">
        <v>120</v>
      </c>
      <c r="I96" s="241" t="n">
        <v>0</v>
      </c>
      <c r="J96" s="241" t="n">
        <v>221</v>
      </c>
      <c r="K96" s="242" t="s">
        <v>67</v>
      </c>
      <c r="L96" s="243" t="n">
        <f aca="false">IF(J96="",0,(J96/J99)*100)</f>
        <v>85.6589147286822</v>
      </c>
      <c r="M96" s="241" t="n">
        <v>3</v>
      </c>
      <c r="N96" s="244" t="n">
        <v>1</v>
      </c>
      <c r="O96" s="121" t="n">
        <f aca="false">IF(M96=1,1,0)</f>
        <v>0</v>
      </c>
      <c r="P96" s="122" t="n">
        <f aca="false">IF(M96=2,1,0)</f>
        <v>0</v>
      </c>
      <c r="Q96" s="122" t="n">
        <f aca="false">IF(M96=3,1,0)</f>
        <v>1</v>
      </c>
      <c r="R96" s="123" t="n">
        <f aca="false">IF(M96=4,1,0)</f>
        <v>0</v>
      </c>
      <c r="S96" s="118"/>
      <c r="T96" s="101"/>
      <c r="U96" s="62"/>
    </row>
    <row r="97" customFormat="false" ht="20.1" hidden="false" customHeight="true" outlineLevel="0" collapsed="false">
      <c r="B97" s="62"/>
      <c r="C97" s="101"/>
      <c r="D97" s="101"/>
      <c r="E97" s="79" t="s">
        <v>27</v>
      </c>
      <c r="F97" s="28" t="s">
        <v>28</v>
      </c>
      <c r="G97" s="241" t="n">
        <v>4</v>
      </c>
      <c r="H97" s="241" t="s">
        <v>120</v>
      </c>
      <c r="I97" s="241" t="n">
        <v>0</v>
      </c>
      <c r="J97" s="241" t="n">
        <v>235</v>
      </c>
      <c r="K97" s="241" t="s">
        <v>67</v>
      </c>
      <c r="L97" s="243" t="n">
        <f aca="false">IF(J97="",0,(J97/J99)*100)</f>
        <v>91.0852713178295</v>
      </c>
      <c r="M97" s="241" t="n">
        <v>2</v>
      </c>
      <c r="N97" s="244" t="n">
        <v>3</v>
      </c>
      <c r="O97" s="121" t="n">
        <f aca="false">IF(M97=1,1,0)</f>
        <v>0</v>
      </c>
      <c r="P97" s="122" t="n">
        <f aca="false">IF(M97=2,1,0)</f>
        <v>1</v>
      </c>
      <c r="Q97" s="122" t="n">
        <f aca="false">IF(M97=3,1,0)</f>
        <v>0</v>
      </c>
      <c r="R97" s="123" t="n">
        <f aca="false">IF(M97=4,1,0)</f>
        <v>0</v>
      </c>
      <c r="S97" s="118"/>
      <c r="T97" s="101"/>
      <c r="U97" s="62"/>
    </row>
    <row r="98" customFormat="false" ht="20.1" hidden="false" customHeight="true" outlineLevel="0" collapsed="false">
      <c r="B98" s="62"/>
      <c r="C98" s="101"/>
      <c r="D98" s="101"/>
      <c r="E98" s="234" t="s">
        <v>29</v>
      </c>
      <c r="F98" s="44" t="s">
        <v>30</v>
      </c>
      <c r="G98" s="245" t="n">
        <v>2</v>
      </c>
      <c r="H98" s="246" t="s">
        <v>121</v>
      </c>
      <c r="I98" s="245" t="n">
        <v>0</v>
      </c>
      <c r="J98" s="245" t="n">
        <v>194</v>
      </c>
      <c r="K98" s="246" t="s">
        <v>67</v>
      </c>
      <c r="L98" s="247" t="n">
        <f aca="false">IF(J98="",0,(J98/J99)*100)</f>
        <v>75.1937984496124</v>
      </c>
      <c r="M98" s="245" t="n">
        <v>4</v>
      </c>
      <c r="N98" s="248" t="n">
        <v>0</v>
      </c>
      <c r="O98" s="127" t="n">
        <f aca="false">IF(M98=1,1,0)</f>
        <v>0</v>
      </c>
      <c r="P98" s="128" t="n">
        <f aca="false">IF(M98=2,1,0)</f>
        <v>0</v>
      </c>
      <c r="Q98" s="128" t="n">
        <f aca="false">IF(M98=3,1,0)</f>
        <v>0</v>
      </c>
      <c r="R98" s="129" t="n">
        <f aca="false">IF(M98=4,1,0)</f>
        <v>1</v>
      </c>
      <c r="S98" s="118"/>
      <c r="T98" s="101"/>
      <c r="U98" s="62"/>
    </row>
    <row r="99" customFormat="false" ht="20.1" hidden="true" customHeight="true" outlineLevel="1" collapsed="false">
      <c r="B99" s="62"/>
      <c r="C99" s="101"/>
      <c r="D99" s="124"/>
      <c r="E99" s="124"/>
      <c r="F99" s="131"/>
      <c r="G99" s="131"/>
      <c r="H99" s="101"/>
      <c r="I99" s="179" t="s">
        <v>89</v>
      </c>
      <c r="J99" s="133" t="n">
        <f aca="false">MAX(J95:J98)</f>
        <v>258</v>
      </c>
      <c r="K99" s="249"/>
      <c r="L99" s="139"/>
      <c r="M99" s="101"/>
      <c r="N99" s="136" t="s">
        <v>90</v>
      </c>
      <c r="O99" s="137" t="n">
        <f aca="false">SUM(O95:O98)</f>
        <v>1</v>
      </c>
      <c r="P99" s="138" t="n">
        <f aca="false">SUM(P95:P98)</f>
        <v>1</v>
      </c>
      <c r="Q99" s="137" t="n">
        <f aca="false">SUM(Q95:Q98)</f>
        <v>1</v>
      </c>
      <c r="R99" s="160" t="n">
        <f aca="false">SUM(R95:R98)</f>
        <v>1</v>
      </c>
      <c r="S99" s="139"/>
      <c r="T99" s="101"/>
      <c r="U99" s="62"/>
    </row>
    <row r="100" customFormat="false" ht="20.1" hidden="false" customHeight="true" outlineLevel="0" collapsed="false">
      <c r="B100" s="62"/>
      <c r="C100" s="101"/>
      <c r="D100" s="101"/>
      <c r="E100" s="101"/>
      <c r="F100" s="101"/>
      <c r="G100" s="101"/>
      <c r="H100" s="101"/>
      <c r="I100" s="101"/>
      <c r="J100" s="101"/>
      <c r="K100" s="101"/>
      <c r="L100" s="101"/>
      <c r="M100" s="101"/>
      <c r="N100" s="101"/>
      <c r="O100" s="101"/>
      <c r="P100" s="101"/>
      <c r="Q100" s="101"/>
      <c r="R100" s="101"/>
      <c r="S100" s="101"/>
      <c r="T100" s="101"/>
      <c r="U100" s="62"/>
    </row>
    <row r="101" customFormat="false" ht="20.1" hidden="false" customHeight="true" outlineLevel="0" collapsed="false">
      <c r="B101" s="62"/>
      <c r="U101" s="62"/>
    </row>
    <row r="102" customFormat="false" ht="20.1" hidden="false" customHeight="true" outlineLevel="0" collapsed="false">
      <c r="B102" s="62"/>
      <c r="C102" s="141"/>
      <c r="D102" s="141"/>
      <c r="E102" s="142" t="str">
        <f aca="false">IF(OR(L89="-",L89= ""),H89,L89)</f>
        <v>Marco Polo II: Im Auftrag des Khan</v>
      </c>
      <c r="F102" s="142"/>
      <c r="G102" s="142"/>
      <c r="H102" s="142"/>
      <c r="I102" s="142"/>
      <c r="J102" s="142"/>
      <c r="K102" s="142"/>
      <c r="L102" s="142"/>
      <c r="M102" s="142"/>
      <c r="N102" s="142"/>
      <c r="O102" s="143"/>
      <c r="P102" s="143"/>
      <c r="Q102" s="143"/>
      <c r="R102" s="143"/>
      <c r="S102" s="143"/>
      <c r="T102" s="141"/>
      <c r="U102" s="62"/>
    </row>
    <row r="103" customFormat="false" ht="50.1" hidden="false" customHeight="true" outlineLevel="0" collapsed="false">
      <c r="B103" s="62"/>
      <c r="C103" s="141"/>
      <c r="D103" s="143"/>
      <c r="E103" s="65" t="s">
        <v>53</v>
      </c>
      <c r="F103" s="104" t="s">
        <v>76</v>
      </c>
      <c r="G103" s="67" t="s">
        <v>77</v>
      </c>
      <c r="H103" s="66" t="s">
        <v>78</v>
      </c>
      <c r="I103" s="54" t="s">
        <v>79</v>
      </c>
      <c r="J103" s="66" t="s">
        <v>80</v>
      </c>
      <c r="K103" s="105" t="s">
        <v>81</v>
      </c>
      <c r="L103" s="66" t="s">
        <v>82</v>
      </c>
      <c r="M103" s="106" t="s">
        <v>83</v>
      </c>
      <c r="N103" s="67" t="s">
        <v>84</v>
      </c>
      <c r="O103" s="107" t="s">
        <v>85</v>
      </c>
      <c r="P103" s="108" t="s">
        <v>86</v>
      </c>
      <c r="Q103" s="108" t="s">
        <v>87</v>
      </c>
      <c r="R103" s="13" t="s">
        <v>88</v>
      </c>
      <c r="S103" s="143"/>
      <c r="T103" s="141"/>
      <c r="U103" s="62"/>
    </row>
    <row r="104" customFormat="false" ht="20.1" hidden="false" customHeight="true" outlineLevel="0" collapsed="false">
      <c r="B104" s="62"/>
      <c r="C104" s="141"/>
      <c r="D104" s="148"/>
      <c r="E104" s="71" t="s">
        <v>22</v>
      </c>
      <c r="F104" s="19" t="s">
        <v>23</v>
      </c>
      <c r="G104" s="250" t="n">
        <v>1</v>
      </c>
      <c r="H104" s="251" t="s">
        <v>122</v>
      </c>
      <c r="I104" s="250" t="n">
        <v>0</v>
      </c>
      <c r="J104" s="251" t="n">
        <v>146</v>
      </c>
      <c r="K104" s="252" t="s">
        <v>67</v>
      </c>
      <c r="L104" s="253" t="n">
        <f aca="false">IF(J104="",0,(J104/J108)*100)</f>
        <v>94.1935483870968</v>
      </c>
      <c r="M104" s="250" t="n">
        <v>2</v>
      </c>
      <c r="N104" s="254" t="n">
        <v>3</v>
      </c>
      <c r="O104" s="115" t="n">
        <f aca="false">IF(M104=1,1,0)</f>
        <v>0</v>
      </c>
      <c r="P104" s="116" t="n">
        <f aca="false">IF(M104=2,1,0)</f>
        <v>1</v>
      </c>
      <c r="Q104" s="116" t="n">
        <f aca="false">IF(M104=3,1,0)</f>
        <v>0</v>
      </c>
      <c r="R104" s="117" t="n">
        <f aca="false">IF(M104=4,1,0)</f>
        <v>0</v>
      </c>
      <c r="S104" s="147"/>
      <c r="T104" s="141"/>
      <c r="U104" s="62"/>
    </row>
    <row r="105" customFormat="false" ht="20.1" hidden="false" customHeight="true" outlineLevel="0" collapsed="false">
      <c r="B105" s="62"/>
      <c r="C105" s="141"/>
      <c r="D105" s="141"/>
      <c r="E105" s="174" t="s">
        <v>24</v>
      </c>
      <c r="F105" s="175" t="s">
        <v>25</v>
      </c>
      <c r="G105" s="151" t="n">
        <v>4</v>
      </c>
      <c r="H105" s="152" t="s">
        <v>123</v>
      </c>
      <c r="I105" s="151" t="n">
        <v>0</v>
      </c>
      <c r="J105" s="152" t="n">
        <v>155</v>
      </c>
      <c r="K105" s="152" t="s">
        <v>67</v>
      </c>
      <c r="L105" s="153" t="n">
        <f aca="false">IF(J105="",0,(J105/J108)*100)</f>
        <v>100</v>
      </c>
      <c r="M105" s="151" t="n">
        <v>1</v>
      </c>
      <c r="N105" s="154" t="n">
        <v>6</v>
      </c>
      <c r="O105" s="121" t="n">
        <f aca="false">IF(M105=1,1,0)</f>
        <v>1</v>
      </c>
      <c r="P105" s="122" t="n">
        <f aca="false">IF(M105=2,1,0)</f>
        <v>0</v>
      </c>
      <c r="Q105" s="122" t="n">
        <f aca="false">IF(M105=3,1,0)</f>
        <v>0</v>
      </c>
      <c r="R105" s="123" t="n">
        <f aca="false">IF(M105=4,1,0)</f>
        <v>0</v>
      </c>
      <c r="S105" s="147"/>
      <c r="T105" s="141"/>
      <c r="U105" s="62"/>
    </row>
    <row r="106" customFormat="false" ht="20.1" hidden="false" customHeight="true" outlineLevel="0" collapsed="false">
      <c r="B106" s="62"/>
      <c r="C106" s="141"/>
      <c r="D106" s="148"/>
      <c r="E106" s="79" t="s">
        <v>27</v>
      </c>
      <c r="F106" s="28" t="s">
        <v>28</v>
      </c>
      <c r="G106" s="241" t="n">
        <v>3</v>
      </c>
      <c r="H106" s="242" t="s">
        <v>124</v>
      </c>
      <c r="I106" s="241" t="n">
        <v>0</v>
      </c>
      <c r="J106" s="242" t="n">
        <v>136</v>
      </c>
      <c r="K106" s="255" t="s">
        <v>67</v>
      </c>
      <c r="L106" s="243" t="n">
        <f aca="false">IF(J106="",0,(J106/J108)*100)</f>
        <v>87.741935483871</v>
      </c>
      <c r="M106" s="241" t="n">
        <v>3</v>
      </c>
      <c r="N106" s="244" t="n">
        <v>1</v>
      </c>
      <c r="O106" s="121" t="n">
        <f aca="false">IF(M106=1,1,0)</f>
        <v>0</v>
      </c>
      <c r="P106" s="122" t="n">
        <f aca="false">IF(M106=2,1,0)</f>
        <v>0</v>
      </c>
      <c r="Q106" s="122" t="n">
        <f aca="false">IF(M106=3,1,0)</f>
        <v>1</v>
      </c>
      <c r="R106" s="123" t="n">
        <f aca="false">IF(M106=4,1,0)</f>
        <v>0</v>
      </c>
      <c r="S106" s="147"/>
      <c r="T106" s="141"/>
      <c r="U106" s="62"/>
    </row>
    <row r="107" customFormat="false" ht="20.1" hidden="false" customHeight="true" outlineLevel="0" collapsed="false">
      <c r="B107" s="62"/>
      <c r="C107" s="141"/>
      <c r="D107" s="141"/>
      <c r="E107" s="234" t="s">
        <v>29</v>
      </c>
      <c r="F107" s="44" t="s">
        <v>30</v>
      </c>
      <c r="G107" s="245" t="n">
        <v>2</v>
      </c>
      <c r="H107" s="246" t="s">
        <v>125</v>
      </c>
      <c r="I107" s="245" t="n">
        <v>0</v>
      </c>
      <c r="J107" s="246" t="n">
        <v>66</v>
      </c>
      <c r="K107" s="246" t="s">
        <v>67</v>
      </c>
      <c r="L107" s="247" t="n">
        <f aca="false">IF(J107="",0,(J107/J108)*100)</f>
        <v>42.5806451612903</v>
      </c>
      <c r="M107" s="245" t="n">
        <v>4</v>
      </c>
      <c r="N107" s="248" t="n">
        <v>0</v>
      </c>
      <c r="O107" s="127" t="n">
        <f aca="false">IF(M107=1,1,0)</f>
        <v>0</v>
      </c>
      <c r="P107" s="128" t="n">
        <f aca="false">IF(M107=2,1,0)</f>
        <v>0</v>
      </c>
      <c r="Q107" s="128" t="n">
        <f aca="false">IF(M107=3,1,0)</f>
        <v>0</v>
      </c>
      <c r="R107" s="129" t="n">
        <f aca="false">IF(M107=4,1,0)</f>
        <v>1</v>
      </c>
      <c r="S107" s="147"/>
      <c r="T107" s="141"/>
      <c r="U107" s="62"/>
    </row>
    <row r="108" customFormat="false" ht="20.1" hidden="true" customHeight="true" outlineLevel="1" collapsed="false">
      <c r="B108" s="62"/>
      <c r="C108" s="141"/>
      <c r="D108" s="141"/>
      <c r="E108" s="141"/>
      <c r="F108" s="157"/>
      <c r="G108" s="157"/>
      <c r="H108" s="141"/>
      <c r="I108" s="179" t="s">
        <v>89</v>
      </c>
      <c r="J108" s="133" t="n">
        <f aca="false">MAX(J104:J107)</f>
        <v>155</v>
      </c>
      <c r="K108" s="159"/>
      <c r="L108" s="147"/>
      <c r="M108" s="141"/>
      <c r="N108" s="136" t="s">
        <v>90</v>
      </c>
      <c r="O108" s="137" t="n">
        <f aca="false">SUM(O104:O107)</f>
        <v>1</v>
      </c>
      <c r="P108" s="138" t="n">
        <f aca="false">SUM(P104:P107)</f>
        <v>1</v>
      </c>
      <c r="Q108" s="137" t="n">
        <f aca="false">SUM(Q104:Q107)</f>
        <v>1</v>
      </c>
      <c r="R108" s="160" t="n">
        <f aca="false">SUM(R104:R107)</f>
        <v>1</v>
      </c>
      <c r="S108" s="161"/>
      <c r="T108" s="141"/>
      <c r="U108" s="62"/>
    </row>
    <row r="109" customFormat="false" ht="20.1" hidden="false" customHeight="true" outlineLevel="0" collapsed="false">
      <c r="B109" s="62"/>
      <c r="C109" s="141"/>
      <c r="D109" s="141"/>
      <c r="E109" s="141"/>
      <c r="F109" s="141"/>
      <c r="G109" s="141"/>
      <c r="H109" s="141"/>
      <c r="I109" s="141"/>
      <c r="J109" s="141"/>
      <c r="K109" s="141"/>
      <c r="L109" s="141"/>
      <c r="M109" s="141"/>
      <c r="N109" s="141"/>
      <c r="O109" s="141"/>
      <c r="P109" s="141"/>
      <c r="Q109" s="141"/>
      <c r="R109" s="141"/>
      <c r="S109" s="141"/>
      <c r="T109" s="141"/>
      <c r="U109" s="62"/>
    </row>
    <row r="110" customFormat="false" ht="20.1" hidden="false" customHeight="true" outlineLevel="0" collapsed="false">
      <c r="B110" s="62"/>
      <c r="D110" s="162"/>
      <c r="E110" s="162"/>
      <c r="F110" s="162"/>
      <c r="G110" s="162"/>
      <c r="H110" s="163"/>
      <c r="I110" s="162"/>
      <c r="J110" s="162"/>
      <c r="U110" s="62"/>
    </row>
    <row r="111" customFormat="false" ht="20.1" hidden="false" customHeight="true" outlineLevel="0" collapsed="false">
      <c r="B111" s="62"/>
      <c r="C111" s="164"/>
      <c r="D111" s="164"/>
      <c r="E111" s="165" t="str">
        <f aca="false">IF(OR(L90="-",L90= ""),H90,L90)</f>
        <v>Orakel von Delphi</v>
      </c>
      <c r="F111" s="165"/>
      <c r="G111" s="165"/>
      <c r="H111" s="165"/>
      <c r="I111" s="165"/>
      <c r="J111" s="165"/>
      <c r="K111" s="165"/>
      <c r="L111" s="165"/>
      <c r="M111" s="165"/>
      <c r="N111" s="165"/>
      <c r="O111" s="166"/>
      <c r="P111" s="166"/>
      <c r="Q111" s="166"/>
      <c r="R111" s="166"/>
      <c r="S111" s="166"/>
      <c r="T111" s="164"/>
      <c r="U111" s="167"/>
    </row>
    <row r="112" customFormat="false" ht="50.1" hidden="false" customHeight="true" outlineLevel="0" collapsed="false">
      <c r="B112" s="62"/>
      <c r="C112" s="164"/>
      <c r="D112" s="166"/>
      <c r="E112" s="65" t="s">
        <v>53</v>
      </c>
      <c r="F112" s="104" t="s">
        <v>76</v>
      </c>
      <c r="G112" s="67" t="s">
        <v>77</v>
      </c>
      <c r="H112" s="66" t="s">
        <v>78</v>
      </c>
      <c r="I112" s="54" t="s">
        <v>79</v>
      </c>
      <c r="J112" s="66" t="s">
        <v>80</v>
      </c>
      <c r="K112" s="105" t="s">
        <v>81</v>
      </c>
      <c r="L112" s="66" t="s">
        <v>82</v>
      </c>
      <c r="M112" s="106" t="s">
        <v>83</v>
      </c>
      <c r="N112" s="67" t="s">
        <v>84</v>
      </c>
      <c r="O112" s="107" t="s">
        <v>85</v>
      </c>
      <c r="P112" s="108" t="s">
        <v>86</v>
      </c>
      <c r="Q112" s="108" t="s">
        <v>87</v>
      </c>
      <c r="R112" s="13" t="s">
        <v>88</v>
      </c>
      <c r="S112" s="166"/>
      <c r="T112" s="164"/>
      <c r="U112" s="167"/>
    </row>
    <row r="113" customFormat="false" ht="42" hidden="false" customHeight="true" outlineLevel="0" collapsed="false">
      <c r="B113" s="62"/>
      <c r="C113" s="164"/>
      <c r="D113" s="171"/>
      <c r="E113" s="109" t="s">
        <v>22</v>
      </c>
      <c r="F113" s="240" t="s">
        <v>23</v>
      </c>
      <c r="G113" s="111" t="n">
        <v>3</v>
      </c>
      <c r="H113" s="112" t="s">
        <v>126</v>
      </c>
      <c r="I113" s="111" t="s">
        <v>67</v>
      </c>
      <c r="J113" s="112" t="s">
        <v>127</v>
      </c>
      <c r="K113" s="113" t="s">
        <v>67</v>
      </c>
      <c r="L113" s="113" t="n">
        <v>100</v>
      </c>
      <c r="M113" s="111" t="n">
        <v>1</v>
      </c>
      <c r="N113" s="114" t="n">
        <v>6</v>
      </c>
      <c r="O113" s="115" t="n">
        <f aca="false">IF(M113=1,1,0)</f>
        <v>1</v>
      </c>
      <c r="P113" s="116" t="n">
        <f aca="false">IF(M113=2,1,0)</f>
        <v>0</v>
      </c>
      <c r="Q113" s="116" t="n">
        <f aca="false">IF(M113=3,1,0)</f>
        <v>0</v>
      </c>
      <c r="R113" s="117" t="n">
        <f aca="false">IF(M113=4,1,0)</f>
        <v>0</v>
      </c>
      <c r="S113" s="170"/>
      <c r="T113" s="164"/>
      <c r="U113" s="62"/>
    </row>
    <row r="114" customFormat="false" ht="42" hidden="false" customHeight="true" outlineLevel="0" collapsed="false">
      <c r="B114" s="62"/>
      <c r="C114" s="164"/>
      <c r="D114" s="164"/>
      <c r="E114" s="39" t="s">
        <v>24</v>
      </c>
      <c r="F114" s="33" t="s">
        <v>26</v>
      </c>
      <c r="G114" s="241" t="n">
        <v>2</v>
      </c>
      <c r="H114" s="242" t="s">
        <v>128</v>
      </c>
      <c r="I114" s="241" t="s">
        <v>67</v>
      </c>
      <c r="J114" s="242" t="s">
        <v>129</v>
      </c>
      <c r="K114" s="256" t="s">
        <v>130</v>
      </c>
      <c r="L114" s="256" t="n">
        <f aca="false">(L97+L104+L125)/3</f>
        <v>94.034738843441</v>
      </c>
      <c r="M114" s="241" t="n">
        <v>2</v>
      </c>
      <c r="N114" s="244" t="n">
        <v>3</v>
      </c>
      <c r="O114" s="121" t="n">
        <f aca="false">IF(M114=1,1,0)</f>
        <v>0</v>
      </c>
      <c r="P114" s="122" t="n">
        <f aca="false">IF(M114=2,1,0)</f>
        <v>1</v>
      </c>
      <c r="Q114" s="122" t="n">
        <f aca="false">IF(M114=3,1,0)</f>
        <v>0</v>
      </c>
      <c r="R114" s="123" t="n">
        <f aca="false">IF(M114=4,1,0)</f>
        <v>0</v>
      </c>
      <c r="S114" s="170"/>
      <c r="T114" s="164"/>
      <c r="U114" s="173"/>
    </row>
    <row r="115" customFormat="false" ht="42" hidden="false" customHeight="true" outlineLevel="0" collapsed="false">
      <c r="B115" s="62"/>
      <c r="C115" s="164"/>
      <c r="D115" s="164"/>
      <c r="E115" s="79" t="s">
        <v>27</v>
      </c>
      <c r="F115" s="28" t="s">
        <v>28</v>
      </c>
      <c r="G115" s="241" t="n">
        <v>4</v>
      </c>
      <c r="H115" s="242" t="s">
        <v>131</v>
      </c>
      <c r="I115" s="241" t="s">
        <v>67</v>
      </c>
      <c r="J115" s="242" t="s">
        <v>129</v>
      </c>
      <c r="K115" s="256" t="s">
        <v>132</v>
      </c>
      <c r="L115" s="256" t="n">
        <f aca="false">(L96+L106+L124)/3</f>
        <v>85.3135109174119</v>
      </c>
      <c r="M115" s="241" t="n">
        <v>3</v>
      </c>
      <c r="N115" s="244" t="n">
        <v>1</v>
      </c>
      <c r="O115" s="121" t="n">
        <f aca="false">IF(M115=1,1,0)</f>
        <v>0</v>
      </c>
      <c r="P115" s="122" t="n">
        <f aca="false">IF(M115=2,1,0)</f>
        <v>0</v>
      </c>
      <c r="Q115" s="122" t="n">
        <f aca="false">IF(M115=3,1,0)</f>
        <v>1</v>
      </c>
      <c r="R115" s="123" t="n">
        <f aca="false">IF(M115=4,1,0)</f>
        <v>0</v>
      </c>
      <c r="S115" s="170"/>
      <c r="T115" s="164"/>
      <c r="U115" s="173"/>
    </row>
    <row r="116" customFormat="false" ht="42" hidden="false" customHeight="true" outlineLevel="0" collapsed="false">
      <c r="B116" s="62"/>
      <c r="C116" s="164"/>
      <c r="D116" s="164"/>
      <c r="E116" s="234" t="s">
        <v>29</v>
      </c>
      <c r="F116" s="44" t="s">
        <v>30</v>
      </c>
      <c r="G116" s="245" t="n">
        <v>1</v>
      </c>
      <c r="H116" s="246" t="s">
        <v>133</v>
      </c>
      <c r="I116" s="245" t="s">
        <v>67</v>
      </c>
      <c r="J116" s="246" t="s">
        <v>134</v>
      </c>
      <c r="K116" s="247" t="s">
        <v>67</v>
      </c>
      <c r="L116" s="247" t="n">
        <f aca="false">(L98+L107+L123)/3</f>
        <v>65.1840737962268</v>
      </c>
      <c r="M116" s="245" t="n">
        <v>4</v>
      </c>
      <c r="N116" s="248" t="n">
        <v>0</v>
      </c>
      <c r="O116" s="127" t="n">
        <f aca="false">IF(M116=1,1,0)</f>
        <v>0</v>
      </c>
      <c r="P116" s="128" t="n">
        <f aca="false">IF(M116=2,1,0)</f>
        <v>0</v>
      </c>
      <c r="Q116" s="128" t="n">
        <f aca="false">IF(M116=3,1,0)</f>
        <v>0</v>
      </c>
      <c r="R116" s="129" t="n">
        <f aca="false">IF(M116=4,1,0)</f>
        <v>1</v>
      </c>
      <c r="S116" s="170"/>
      <c r="T116" s="164"/>
      <c r="U116" s="173"/>
    </row>
    <row r="117" customFormat="false" ht="20.1" hidden="true" customHeight="true" outlineLevel="1" collapsed="false">
      <c r="B117" s="62"/>
      <c r="C117" s="164"/>
      <c r="D117" s="164"/>
      <c r="E117" s="164"/>
      <c r="F117" s="178"/>
      <c r="G117" s="178"/>
      <c r="H117" s="164"/>
      <c r="I117" s="179" t="s">
        <v>89</v>
      </c>
      <c r="J117" s="133" t="n">
        <f aca="false">MAX(J113:J116)</f>
        <v>0</v>
      </c>
      <c r="K117" s="180"/>
      <c r="L117" s="170"/>
      <c r="M117" s="164"/>
      <c r="N117" s="136" t="s">
        <v>90</v>
      </c>
      <c r="O117" s="137" t="n">
        <f aca="false">SUM(O113:O116)</f>
        <v>1</v>
      </c>
      <c r="P117" s="138" t="n">
        <f aca="false">SUM(P113:P116)</f>
        <v>1</v>
      </c>
      <c r="Q117" s="137" t="n">
        <f aca="false">SUM(Q113:Q116)</f>
        <v>1</v>
      </c>
      <c r="R117" s="160" t="n">
        <f aca="false">SUM(R113:R116)</f>
        <v>1</v>
      </c>
      <c r="S117" s="181"/>
      <c r="T117" s="164"/>
      <c r="U117" s="173"/>
    </row>
    <row r="118" customFormat="false" ht="20.1" hidden="false" customHeight="true" outlineLevel="0" collapsed="false">
      <c r="B118" s="62"/>
      <c r="C118" s="164"/>
      <c r="D118" s="164"/>
      <c r="E118" s="164"/>
      <c r="F118" s="164"/>
      <c r="G118" s="164"/>
      <c r="H118" s="164"/>
      <c r="I118" s="164"/>
      <c r="J118" s="164"/>
      <c r="K118" s="164"/>
      <c r="L118" s="164"/>
      <c r="M118" s="164"/>
      <c r="N118" s="164"/>
      <c r="O118" s="164"/>
      <c r="P118" s="164"/>
      <c r="Q118" s="164"/>
      <c r="R118" s="164"/>
      <c r="S118" s="164"/>
      <c r="T118" s="164"/>
      <c r="U118" s="173"/>
    </row>
    <row r="119" customFormat="false" ht="20.1" hidden="false" customHeight="true" outlineLevel="0" collapsed="false">
      <c r="B119" s="62"/>
      <c r="D119" s="162"/>
      <c r="E119" s="162"/>
      <c r="F119" s="162"/>
      <c r="G119" s="162"/>
      <c r="H119" s="163"/>
      <c r="I119" s="162"/>
      <c r="J119" s="162"/>
      <c r="K119" s="162"/>
      <c r="U119" s="62"/>
    </row>
    <row r="120" customFormat="false" ht="20.1" hidden="false" customHeight="true" outlineLevel="0" collapsed="false">
      <c r="B120" s="62"/>
      <c r="C120" s="182"/>
      <c r="D120" s="182"/>
      <c r="E120" s="183" t="str">
        <f aca="false">IF(OR(L91="-",L91= ""),H91,L91)</f>
        <v>Rajas of the Ganges</v>
      </c>
      <c r="F120" s="183"/>
      <c r="G120" s="183"/>
      <c r="H120" s="183"/>
      <c r="I120" s="183"/>
      <c r="J120" s="183"/>
      <c r="K120" s="183"/>
      <c r="L120" s="183"/>
      <c r="M120" s="183"/>
      <c r="N120" s="183"/>
      <c r="O120" s="184"/>
      <c r="P120" s="184"/>
      <c r="Q120" s="184"/>
      <c r="R120" s="184"/>
      <c r="S120" s="184"/>
      <c r="T120" s="182"/>
      <c r="U120" s="62"/>
    </row>
    <row r="121" customFormat="false" ht="50.1" hidden="false" customHeight="true" outlineLevel="0" collapsed="false">
      <c r="B121" s="62"/>
      <c r="C121" s="182"/>
      <c r="D121" s="184"/>
      <c r="E121" s="65" t="s">
        <v>53</v>
      </c>
      <c r="F121" s="104" t="s">
        <v>76</v>
      </c>
      <c r="G121" s="67" t="s">
        <v>77</v>
      </c>
      <c r="H121" s="66" t="s">
        <v>78</v>
      </c>
      <c r="I121" s="54" t="s">
        <v>79</v>
      </c>
      <c r="J121" s="66" t="s">
        <v>80</v>
      </c>
      <c r="K121" s="105" t="s">
        <v>81</v>
      </c>
      <c r="L121" s="66" t="s">
        <v>82</v>
      </c>
      <c r="M121" s="106" t="s">
        <v>83</v>
      </c>
      <c r="N121" s="67" t="s">
        <v>84</v>
      </c>
      <c r="O121" s="107" t="s">
        <v>85</v>
      </c>
      <c r="P121" s="108" t="s">
        <v>86</v>
      </c>
      <c r="Q121" s="108" t="s">
        <v>87</v>
      </c>
      <c r="R121" s="13" t="s">
        <v>88</v>
      </c>
      <c r="S121" s="184"/>
      <c r="T121" s="182"/>
      <c r="U121" s="62"/>
    </row>
    <row r="122" customFormat="false" ht="20.1" hidden="false" customHeight="true" outlineLevel="0" collapsed="false">
      <c r="B122" s="62"/>
      <c r="C122" s="182"/>
      <c r="D122" s="182"/>
      <c r="E122" s="109" t="s">
        <v>22</v>
      </c>
      <c r="F122" s="240" t="s">
        <v>23</v>
      </c>
      <c r="G122" s="111" t="n">
        <v>1</v>
      </c>
      <c r="H122" s="111" t="s">
        <v>67</v>
      </c>
      <c r="I122" s="111" t="n">
        <v>-59</v>
      </c>
      <c r="J122" s="111" t="n">
        <v>5</v>
      </c>
      <c r="K122" s="111" t="s">
        <v>67</v>
      </c>
      <c r="L122" s="113" t="n">
        <f aca="false">($I$124-J122)/($I$124-$J$122)*100</f>
        <v>100</v>
      </c>
      <c r="M122" s="111" t="n">
        <v>1</v>
      </c>
      <c r="N122" s="114" t="n">
        <v>6</v>
      </c>
      <c r="O122" s="115" t="n">
        <f aca="false">IF(M122=1,1,0)</f>
        <v>1</v>
      </c>
      <c r="P122" s="116" t="n">
        <f aca="false">IF(M122=2,1,0)</f>
        <v>0</v>
      </c>
      <c r="Q122" s="116" t="n">
        <f aca="false">IF(M122=3,1,0)</f>
        <v>0</v>
      </c>
      <c r="R122" s="117" t="n">
        <f aca="false">IF(M122=4,1,0)</f>
        <v>0</v>
      </c>
      <c r="S122" s="185"/>
      <c r="T122" s="182"/>
      <c r="U122" s="62"/>
    </row>
    <row r="123" customFormat="false" ht="20.1" hidden="false" customHeight="true" outlineLevel="0" collapsed="false">
      <c r="B123" s="62"/>
      <c r="C123" s="182"/>
      <c r="D123" s="182"/>
      <c r="E123" s="39" t="s">
        <v>24</v>
      </c>
      <c r="F123" s="33" t="s">
        <v>26</v>
      </c>
      <c r="G123" s="241" t="n">
        <v>2</v>
      </c>
      <c r="H123" s="241" t="s">
        <v>67</v>
      </c>
      <c r="I123" s="241" t="n">
        <v>-59</v>
      </c>
      <c r="J123" s="241" t="n">
        <v>-9</v>
      </c>
      <c r="K123" s="242" t="s">
        <v>67</v>
      </c>
      <c r="L123" s="243" t="n">
        <f aca="false">($I$124-J123)/($I$124-$J$122)*100</f>
        <v>77.7777777777778</v>
      </c>
      <c r="M123" s="241" t="n">
        <v>4</v>
      </c>
      <c r="N123" s="244" t="n">
        <v>0</v>
      </c>
      <c r="O123" s="121" t="n">
        <f aca="false">IF(M123=1,1,0)</f>
        <v>0</v>
      </c>
      <c r="P123" s="122" t="n">
        <f aca="false">IF(M123=2,1,0)</f>
        <v>0</v>
      </c>
      <c r="Q123" s="122" t="n">
        <f aca="false">IF(M123=3,1,0)</f>
        <v>0</v>
      </c>
      <c r="R123" s="123" t="n">
        <f aca="false">IF(M123=4,1,0)</f>
        <v>1</v>
      </c>
      <c r="S123" s="185"/>
      <c r="T123" s="182"/>
      <c r="U123" s="62"/>
    </row>
    <row r="124" customFormat="false" ht="20.1" hidden="false" customHeight="true" outlineLevel="0" collapsed="false">
      <c r="B124" s="62"/>
      <c r="C124" s="182"/>
      <c r="D124" s="182"/>
      <c r="E124" s="79" t="s">
        <v>27</v>
      </c>
      <c r="F124" s="28" t="s">
        <v>28</v>
      </c>
      <c r="G124" s="241" t="n">
        <v>4</v>
      </c>
      <c r="H124" s="241" t="s">
        <v>67</v>
      </c>
      <c r="I124" s="241" t="n">
        <v>-58</v>
      </c>
      <c r="J124" s="241" t="n">
        <v>-6</v>
      </c>
      <c r="K124" s="241" t="s">
        <v>67</v>
      </c>
      <c r="L124" s="243" t="n">
        <f aca="false">($I$124-J124)/($I$124-$J$122)*100</f>
        <v>82.5396825396825</v>
      </c>
      <c r="M124" s="241" t="n">
        <v>3</v>
      </c>
      <c r="N124" s="244" t="n">
        <v>1</v>
      </c>
      <c r="O124" s="121" t="n">
        <f aca="false">IF(M124=1,1,0)</f>
        <v>0</v>
      </c>
      <c r="P124" s="122" t="n">
        <f aca="false">IF(M124=2,1,0)</f>
        <v>0</v>
      </c>
      <c r="Q124" s="122" t="n">
        <f aca="false">IF(M124=3,1,0)</f>
        <v>1</v>
      </c>
      <c r="R124" s="123" t="n">
        <f aca="false">IF(M124=4,1,0)</f>
        <v>0</v>
      </c>
      <c r="S124" s="185"/>
      <c r="T124" s="182"/>
      <c r="U124" s="62"/>
    </row>
    <row r="125" customFormat="false" ht="20.1" hidden="false" customHeight="true" outlineLevel="0" collapsed="false">
      <c r="B125" s="62"/>
      <c r="C125" s="182"/>
      <c r="D125" s="186"/>
      <c r="E125" s="234" t="s">
        <v>29</v>
      </c>
      <c r="F125" s="44" t="s">
        <v>30</v>
      </c>
      <c r="G125" s="245" t="n">
        <v>3</v>
      </c>
      <c r="H125" s="245" t="s">
        <v>67</v>
      </c>
      <c r="I125" s="245" t="n">
        <v>-58</v>
      </c>
      <c r="J125" s="245" t="n">
        <v>3</v>
      </c>
      <c r="K125" s="246" t="s">
        <v>67</v>
      </c>
      <c r="L125" s="247" t="n">
        <f aca="false">($I$124-J125)/($I$124-$J$122)*100</f>
        <v>96.8253968253968</v>
      </c>
      <c r="M125" s="245" t="n">
        <v>2</v>
      </c>
      <c r="N125" s="248" t="n">
        <v>3</v>
      </c>
      <c r="O125" s="127" t="n">
        <f aca="false">IF(M125=1,1,0)</f>
        <v>0</v>
      </c>
      <c r="P125" s="128" t="n">
        <f aca="false">IF(M125=2,1,0)</f>
        <v>1</v>
      </c>
      <c r="Q125" s="128" t="n">
        <f aca="false">IF(M125=3,1,0)</f>
        <v>0</v>
      </c>
      <c r="R125" s="129" t="n">
        <f aca="false">IF(M125=4,1,0)</f>
        <v>0</v>
      </c>
      <c r="S125" s="185"/>
      <c r="T125" s="182"/>
      <c r="U125" s="62"/>
    </row>
    <row r="126" customFormat="false" ht="20.1" hidden="true" customHeight="true" outlineLevel="1" collapsed="false">
      <c r="B126" s="62"/>
      <c r="C126" s="182"/>
      <c r="D126" s="182"/>
      <c r="E126" s="182"/>
      <c r="F126" s="187"/>
      <c r="G126" s="187"/>
      <c r="H126" s="182"/>
      <c r="I126" s="179" t="s">
        <v>89</v>
      </c>
      <c r="J126" s="133" t="n">
        <f aca="false">MAX(J122:J125)</f>
        <v>5</v>
      </c>
      <c r="K126" s="188"/>
      <c r="L126" s="185"/>
      <c r="M126" s="182"/>
      <c r="N126" s="136" t="s">
        <v>90</v>
      </c>
      <c r="O126" s="137" t="n">
        <f aca="false">SUM(O122:O125)</f>
        <v>1</v>
      </c>
      <c r="P126" s="138" t="n">
        <f aca="false">SUM(P122:P125)</f>
        <v>1</v>
      </c>
      <c r="Q126" s="137" t="n">
        <f aca="false">SUM(Q122:Q125)</f>
        <v>1</v>
      </c>
      <c r="R126" s="160" t="n">
        <f aca="false">SUM(R122:R125)</f>
        <v>1</v>
      </c>
      <c r="S126" s="189"/>
      <c r="T126" s="182"/>
      <c r="U126" s="62"/>
    </row>
    <row r="127" customFormat="false" ht="20.1" hidden="false" customHeight="true" outlineLevel="0" collapsed="false">
      <c r="B127" s="62"/>
      <c r="C127" s="182"/>
      <c r="D127" s="182"/>
      <c r="E127" s="182"/>
      <c r="F127" s="182"/>
      <c r="G127" s="182"/>
      <c r="H127" s="182"/>
      <c r="I127" s="182"/>
      <c r="J127" s="182"/>
      <c r="K127" s="182"/>
      <c r="L127" s="182"/>
      <c r="M127" s="182"/>
      <c r="N127" s="182"/>
      <c r="O127" s="182"/>
      <c r="P127" s="182"/>
      <c r="Q127" s="182"/>
      <c r="R127" s="182"/>
      <c r="S127" s="182"/>
      <c r="T127" s="182"/>
      <c r="U127" s="62"/>
    </row>
    <row r="128" customFormat="false" ht="20.1" hidden="false" customHeight="true" outlineLevel="0" collapsed="false">
      <c r="B128" s="62"/>
      <c r="D128" s="5"/>
      <c r="E128" s="5"/>
      <c r="F128" s="5"/>
      <c r="G128" s="5"/>
      <c r="H128" s="5"/>
      <c r="I128" s="5"/>
      <c r="J128" s="5"/>
      <c r="U128" s="62"/>
    </row>
    <row r="129" customFormat="false" ht="30" hidden="false" customHeight="true" outlineLevel="0" collapsed="false">
      <c r="B129" s="62"/>
      <c r="C129" s="190"/>
      <c r="D129" s="191" t="s">
        <v>135</v>
      </c>
      <c r="E129" s="191"/>
      <c r="F129" s="191"/>
      <c r="G129" s="191"/>
      <c r="H129" s="191"/>
      <c r="I129" s="191"/>
      <c r="J129" s="191"/>
      <c r="K129" s="191"/>
      <c r="L129" s="191"/>
      <c r="M129" s="191"/>
      <c r="N129" s="191"/>
      <c r="O129" s="191"/>
      <c r="P129" s="191"/>
      <c r="Q129" s="191"/>
      <c r="R129" s="191"/>
      <c r="S129" s="191"/>
      <c r="T129" s="190"/>
      <c r="U129" s="62"/>
    </row>
    <row r="130" customFormat="false" ht="50.1" hidden="false" customHeight="true" outlineLevel="0" collapsed="false">
      <c r="B130" s="62"/>
      <c r="C130" s="190"/>
      <c r="D130" s="192" t="s">
        <v>53</v>
      </c>
      <c r="E130" s="193" t="s">
        <v>54</v>
      </c>
      <c r="F130" s="194" t="s">
        <v>84</v>
      </c>
      <c r="G130" s="195" t="s">
        <v>100</v>
      </c>
      <c r="H130" s="196" t="s">
        <v>101</v>
      </c>
      <c r="I130" s="196"/>
      <c r="J130" s="197" t="s">
        <v>102</v>
      </c>
      <c r="K130" s="198" t="s">
        <v>103</v>
      </c>
      <c r="L130" s="194" t="s">
        <v>104</v>
      </c>
      <c r="M130" s="198" t="s">
        <v>105</v>
      </c>
      <c r="N130" s="194" t="s">
        <v>106</v>
      </c>
      <c r="O130" s="199"/>
      <c r="P130" s="200"/>
      <c r="Q130" s="200"/>
      <c r="R130" s="200"/>
      <c r="S130" s="193" t="s">
        <v>107</v>
      </c>
      <c r="T130" s="190"/>
      <c r="U130" s="62"/>
    </row>
    <row r="131" customFormat="false" ht="20.1" hidden="false" customHeight="true" outlineLevel="0" collapsed="false">
      <c r="B131" s="62"/>
      <c r="C131" s="190"/>
      <c r="D131" s="201" t="s">
        <v>22</v>
      </c>
      <c r="E131" s="257" t="s">
        <v>23</v>
      </c>
      <c r="F131" s="258" t="n">
        <f aca="false">K131*6+L131*3+M131*1+N131*0</f>
        <v>21</v>
      </c>
      <c r="G131" s="259" t="n">
        <v>0</v>
      </c>
      <c r="H131" s="259" t="s">
        <v>67</v>
      </c>
      <c r="I131" s="259"/>
      <c r="J131" s="258" t="n">
        <f aca="false">F131+G131</f>
        <v>21</v>
      </c>
      <c r="K131" s="258" t="n">
        <v>3</v>
      </c>
      <c r="L131" s="258" t="n">
        <v>1</v>
      </c>
      <c r="M131" s="258" t="n">
        <v>0</v>
      </c>
      <c r="N131" s="258" t="n">
        <v>0</v>
      </c>
      <c r="O131" s="260"/>
      <c r="P131" s="259"/>
      <c r="Q131" s="259"/>
      <c r="R131" s="259"/>
      <c r="S131" s="261" t="n">
        <f aca="false">(L95+L104+L113+L122)/4</f>
        <v>98.5483870967742</v>
      </c>
      <c r="T131" s="190"/>
      <c r="U131" s="62"/>
    </row>
    <row r="132" customFormat="false" ht="20.1" hidden="false" customHeight="true" outlineLevel="0" collapsed="false">
      <c r="B132" s="62"/>
      <c r="C132" s="190"/>
      <c r="D132" s="207" t="s">
        <v>24</v>
      </c>
      <c r="E132" s="208" t="s">
        <v>26</v>
      </c>
      <c r="F132" s="262" t="n">
        <f aca="false">K132*6+L132*3+M132*1+N132*0</f>
        <v>10</v>
      </c>
      <c r="G132" s="263" t="n">
        <v>0</v>
      </c>
      <c r="H132" s="263" t="s">
        <v>67</v>
      </c>
      <c r="I132" s="263"/>
      <c r="J132" s="262" t="n">
        <f aca="false">F132+G132</f>
        <v>10</v>
      </c>
      <c r="K132" s="262" t="n">
        <v>1</v>
      </c>
      <c r="L132" s="262" t="n">
        <v>1</v>
      </c>
      <c r="M132" s="262" t="n">
        <v>1</v>
      </c>
      <c r="N132" s="262" t="n">
        <v>1</v>
      </c>
      <c r="O132" s="264"/>
      <c r="P132" s="263"/>
      <c r="Q132" s="263"/>
      <c r="R132" s="263"/>
      <c r="S132" s="265" t="n">
        <f aca="false">(L96+L105+L114+L123)/4</f>
        <v>89.3678578374752</v>
      </c>
      <c r="T132" s="190"/>
      <c r="U132" s="62"/>
      <c r="Y132" s="266"/>
      <c r="Z132" s="266"/>
      <c r="AA132" s="267"/>
      <c r="AB132" s="267"/>
      <c r="AC132" s="268"/>
      <c r="AD132" s="268"/>
      <c r="AE132" s="268"/>
    </row>
    <row r="133" customFormat="false" ht="20.1" hidden="false" customHeight="true" outlineLevel="0" collapsed="false">
      <c r="B133" s="62"/>
      <c r="C133" s="190"/>
      <c r="D133" s="213" t="s">
        <v>27</v>
      </c>
      <c r="E133" s="269" t="s">
        <v>28</v>
      </c>
      <c r="F133" s="262" t="n">
        <f aca="false">K133*6+L133*3+M133*1+N133*0</f>
        <v>6</v>
      </c>
      <c r="G133" s="263" t="n">
        <v>0</v>
      </c>
      <c r="H133" s="263" t="s">
        <v>67</v>
      </c>
      <c r="I133" s="263"/>
      <c r="J133" s="262" t="n">
        <f aca="false">F133+G133</f>
        <v>6</v>
      </c>
      <c r="K133" s="262" t="n">
        <v>0</v>
      </c>
      <c r="L133" s="262" t="n">
        <v>1</v>
      </c>
      <c r="M133" s="262" t="n">
        <v>3</v>
      </c>
      <c r="N133" s="262" t="n">
        <v>1</v>
      </c>
      <c r="O133" s="264"/>
      <c r="P133" s="263"/>
      <c r="Q133" s="263"/>
      <c r="R133" s="263"/>
      <c r="S133" s="265" t="n">
        <f aca="false">(L97+L106+L115+L124)/4</f>
        <v>86.6701000646987</v>
      </c>
      <c r="T133" s="190"/>
      <c r="U133" s="62"/>
    </row>
    <row r="134" customFormat="false" ht="20.1" hidden="false" customHeight="true" outlineLevel="0" collapsed="false">
      <c r="B134" s="62"/>
      <c r="C134" s="190"/>
      <c r="D134" s="270" t="s">
        <v>29</v>
      </c>
      <c r="E134" s="215" t="s">
        <v>30</v>
      </c>
      <c r="F134" s="271" t="n">
        <f aca="false">K134*6+L134*3+M134*1+N134*0</f>
        <v>3</v>
      </c>
      <c r="G134" s="272" t="n">
        <v>0</v>
      </c>
      <c r="H134" s="272" t="s">
        <v>67</v>
      </c>
      <c r="I134" s="272"/>
      <c r="J134" s="271" t="n">
        <f aca="false">F134+G134</f>
        <v>3</v>
      </c>
      <c r="K134" s="271" t="n">
        <v>0</v>
      </c>
      <c r="L134" s="271" t="n">
        <v>1</v>
      </c>
      <c r="M134" s="271" t="n">
        <v>0</v>
      </c>
      <c r="N134" s="271" t="n">
        <v>3</v>
      </c>
      <c r="O134" s="273"/>
      <c r="P134" s="272"/>
      <c r="Q134" s="272"/>
      <c r="R134" s="272"/>
      <c r="S134" s="274" t="n">
        <f aca="false">(L98++L107+L116+L125)/4</f>
        <v>69.9459785581316</v>
      </c>
      <c r="T134" s="190"/>
      <c r="U134" s="62"/>
    </row>
    <row r="135" customFormat="false" ht="20.1" hidden="false" customHeight="true" outlineLevel="0" collapsed="false">
      <c r="B135" s="62"/>
      <c r="C135" s="190"/>
      <c r="D135" s="190"/>
      <c r="E135" s="190"/>
      <c r="F135" s="275"/>
      <c r="G135" s="275"/>
      <c r="H135" s="275"/>
      <c r="I135" s="275"/>
      <c r="J135" s="275"/>
      <c r="K135" s="275"/>
      <c r="L135" s="275"/>
      <c r="M135" s="275"/>
      <c r="N135" s="275"/>
      <c r="O135" s="275"/>
      <c r="P135" s="275"/>
      <c r="Q135" s="275"/>
      <c r="R135" s="275"/>
      <c r="S135" s="275"/>
      <c r="T135" s="190"/>
      <c r="U135" s="62"/>
    </row>
    <row r="136" customFormat="false" ht="20.1" hidden="false" customHeight="true" outlineLevel="0" collapsed="false">
      <c r="B136" s="62"/>
      <c r="C136" s="62"/>
      <c r="D136" s="219"/>
      <c r="E136" s="219"/>
      <c r="F136" s="167"/>
      <c r="G136" s="167"/>
      <c r="H136" s="219"/>
      <c r="I136" s="219"/>
      <c r="J136" s="219"/>
      <c r="K136" s="62"/>
      <c r="L136" s="62"/>
      <c r="M136" s="62"/>
      <c r="N136" s="62"/>
      <c r="O136" s="62"/>
      <c r="P136" s="62"/>
      <c r="Q136" s="62"/>
      <c r="R136" s="62"/>
      <c r="S136" s="62"/>
      <c r="T136" s="62"/>
      <c r="U136" s="62"/>
    </row>
    <row r="137" customFormat="false" ht="20.1" hidden="false" customHeight="true" outlineLevel="0" collapsed="false"/>
    <row r="138" customFormat="false" ht="20.1" hidden="false" customHeight="true" outlineLevel="0" collapsed="false"/>
    <row r="139" customFormat="false" ht="20.1" hidden="false" customHeight="true" outlineLevel="0" collapsed="false">
      <c r="B139" s="62"/>
      <c r="C139" s="62"/>
      <c r="D139" s="63"/>
      <c r="E139" s="63"/>
      <c r="F139" s="63"/>
      <c r="G139" s="63"/>
      <c r="H139" s="62"/>
      <c r="I139" s="62"/>
      <c r="J139" s="62"/>
      <c r="K139" s="62"/>
      <c r="L139" s="62"/>
      <c r="M139" s="62"/>
      <c r="N139" s="62"/>
      <c r="O139" s="62"/>
      <c r="P139" s="62"/>
      <c r="Q139" s="62"/>
      <c r="R139" s="62"/>
      <c r="S139" s="62"/>
      <c r="T139" s="62"/>
      <c r="U139" s="62"/>
    </row>
    <row r="140" customFormat="false" ht="30" hidden="false" customHeight="true" outlineLevel="0" collapsed="false">
      <c r="B140" s="62"/>
      <c r="C140" s="64" t="s">
        <v>136</v>
      </c>
      <c r="D140" s="64"/>
      <c r="E140" s="64"/>
      <c r="F140" s="64"/>
      <c r="G140" s="64"/>
      <c r="H140" s="64"/>
      <c r="I140" s="64"/>
      <c r="J140" s="64"/>
      <c r="K140" s="64"/>
      <c r="L140" s="64"/>
      <c r="M140" s="64"/>
      <c r="N140" s="64"/>
      <c r="O140" s="64"/>
      <c r="P140" s="64"/>
      <c r="Q140" s="64"/>
      <c r="R140" s="64"/>
      <c r="S140" s="64"/>
      <c r="T140" s="64"/>
      <c r="U140" s="62"/>
    </row>
    <row r="141" customFormat="false" ht="20.1" hidden="false" customHeight="true" outlineLevel="0" collapsed="false">
      <c r="B141" s="62"/>
      <c r="U141" s="62"/>
    </row>
    <row r="142" customFormat="false" ht="20.1" hidden="false" customHeight="true" outlineLevel="0" collapsed="false">
      <c r="B142" s="62"/>
      <c r="D142" s="65" t="s">
        <v>53</v>
      </c>
      <c r="E142" s="66" t="s">
        <v>137</v>
      </c>
      <c r="F142" s="67" t="s">
        <v>11</v>
      </c>
      <c r="G142" s="223" t="s">
        <v>55</v>
      </c>
      <c r="H142" s="223"/>
      <c r="I142" s="223"/>
      <c r="J142" s="223"/>
      <c r="K142" s="66" t="s">
        <v>56</v>
      </c>
      <c r="L142" s="68" t="s">
        <v>57</v>
      </c>
      <c r="M142" s="68"/>
      <c r="N142" s="68"/>
      <c r="O142" s="68"/>
      <c r="P142" s="68"/>
      <c r="Q142" s="68"/>
      <c r="R142" s="68"/>
      <c r="S142" s="68"/>
      <c r="U142" s="62"/>
    </row>
    <row r="143" customFormat="false" ht="20.1" hidden="false" customHeight="true" outlineLevel="0" collapsed="false">
      <c r="B143" s="62"/>
      <c r="D143" s="65"/>
      <c r="E143" s="66"/>
      <c r="F143" s="66"/>
      <c r="G143" s="70" t="s">
        <v>58</v>
      </c>
      <c r="H143" s="69" t="s">
        <v>59</v>
      </c>
      <c r="I143" s="67" t="s">
        <v>60</v>
      </c>
      <c r="J143" s="67"/>
      <c r="K143" s="69" t="s">
        <v>61</v>
      </c>
      <c r="L143" s="224" t="s">
        <v>58</v>
      </c>
      <c r="M143" s="225" t="s">
        <v>62</v>
      </c>
      <c r="N143" s="226" t="s">
        <v>60</v>
      </c>
      <c r="O143" s="226"/>
      <c r="P143" s="226"/>
      <c r="Q143" s="226"/>
      <c r="R143" s="226"/>
      <c r="S143" s="226"/>
      <c r="U143" s="62"/>
    </row>
    <row r="144" customFormat="false" ht="65.1" hidden="false" customHeight="true" outlineLevel="0" collapsed="false">
      <c r="B144" s="62"/>
      <c r="D144" s="71" t="s">
        <v>31</v>
      </c>
      <c r="E144" s="16" t="s">
        <v>32</v>
      </c>
      <c r="F144" s="23" t="n">
        <v>1</v>
      </c>
      <c r="G144" s="276" t="s">
        <v>63</v>
      </c>
      <c r="H144" s="228" t="s">
        <v>138</v>
      </c>
      <c r="I144" s="277" t="s">
        <v>139</v>
      </c>
      <c r="J144" s="277"/>
      <c r="K144" s="278" t="s">
        <v>111</v>
      </c>
      <c r="L144" s="279" t="s">
        <v>67</v>
      </c>
      <c r="M144" s="77" t="s">
        <v>67</v>
      </c>
      <c r="N144" s="78" t="s">
        <v>67</v>
      </c>
      <c r="O144" s="78"/>
      <c r="P144" s="78"/>
      <c r="Q144" s="78"/>
      <c r="R144" s="78"/>
      <c r="S144" s="78"/>
      <c r="U144" s="62"/>
    </row>
    <row r="145" customFormat="false" ht="50.1" hidden="false" customHeight="true" outlineLevel="0" collapsed="false">
      <c r="B145" s="62"/>
      <c r="D145" s="79" t="s">
        <v>33</v>
      </c>
      <c r="E145" s="28" t="s">
        <v>34</v>
      </c>
      <c r="F145" s="31" t="n">
        <v>2</v>
      </c>
      <c r="G145" s="280" t="s">
        <v>63</v>
      </c>
      <c r="H145" s="81" t="s">
        <v>140</v>
      </c>
      <c r="I145" s="281" t="s">
        <v>141</v>
      </c>
      <c r="J145" s="281"/>
      <c r="K145" s="282" t="s">
        <v>111</v>
      </c>
      <c r="L145" s="283" t="s">
        <v>67</v>
      </c>
      <c r="M145" s="85" t="s">
        <v>67</v>
      </c>
      <c r="N145" s="86" t="s">
        <v>67</v>
      </c>
      <c r="O145" s="86"/>
      <c r="P145" s="86"/>
      <c r="Q145" s="86"/>
      <c r="R145" s="86"/>
      <c r="S145" s="86"/>
      <c r="U145" s="62"/>
    </row>
    <row r="146" customFormat="false" ht="65.1" hidden="false" customHeight="true" outlineLevel="0" collapsed="false">
      <c r="B146" s="62"/>
      <c r="D146" s="79" t="s">
        <v>37</v>
      </c>
      <c r="E146" s="33" t="s">
        <v>38</v>
      </c>
      <c r="F146" s="31" t="n">
        <v>3</v>
      </c>
      <c r="G146" s="284" t="s">
        <v>63</v>
      </c>
      <c r="H146" s="88" t="s">
        <v>109</v>
      </c>
      <c r="I146" s="93" t="s">
        <v>142</v>
      </c>
      <c r="J146" s="93"/>
      <c r="K146" s="282" t="s">
        <v>111</v>
      </c>
      <c r="L146" s="283" t="s">
        <v>67</v>
      </c>
      <c r="M146" s="85" t="s">
        <v>67</v>
      </c>
      <c r="N146" s="86" t="s">
        <v>67</v>
      </c>
      <c r="O146" s="86"/>
      <c r="P146" s="86"/>
      <c r="Q146" s="86"/>
      <c r="R146" s="86"/>
      <c r="S146" s="86"/>
      <c r="U146" s="62"/>
    </row>
    <row r="147" customFormat="false" ht="35.1" hidden="false" customHeight="true" outlineLevel="0" collapsed="false">
      <c r="B147" s="62"/>
      <c r="D147" s="234" t="s">
        <v>39</v>
      </c>
      <c r="E147" s="44" t="s">
        <v>40</v>
      </c>
      <c r="F147" s="50" t="n">
        <v>4</v>
      </c>
      <c r="G147" s="285" t="s">
        <v>63</v>
      </c>
      <c r="H147" s="95" t="s">
        <v>143</v>
      </c>
      <c r="I147" s="286" t="s">
        <v>67</v>
      </c>
      <c r="J147" s="286"/>
      <c r="K147" s="287" t="s">
        <v>111</v>
      </c>
      <c r="L147" s="288" t="s">
        <v>67</v>
      </c>
      <c r="M147" s="289" t="s">
        <v>67</v>
      </c>
      <c r="N147" s="100" t="s">
        <v>67</v>
      </c>
      <c r="O147" s="100"/>
      <c r="P147" s="100"/>
      <c r="Q147" s="100"/>
      <c r="R147" s="100"/>
      <c r="S147" s="100"/>
      <c r="U147" s="62"/>
    </row>
    <row r="148" customFormat="false" ht="20.1" hidden="false" customHeight="true" outlineLevel="0" collapsed="false">
      <c r="B148" s="62"/>
      <c r="U148" s="62"/>
    </row>
    <row r="149" customFormat="false" ht="20.1" hidden="false" customHeight="true" outlineLevel="0" collapsed="false">
      <c r="B149" s="62"/>
      <c r="C149" s="101"/>
      <c r="D149" s="101"/>
      <c r="E149" s="102" t="str">
        <f aca="false">IF(OR(L144="-",L144= ""),H144,L144)</f>
        <v>Carnegie</v>
      </c>
      <c r="F149" s="102"/>
      <c r="G149" s="102"/>
      <c r="H149" s="102"/>
      <c r="I149" s="102"/>
      <c r="J149" s="102"/>
      <c r="K149" s="102"/>
      <c r="L149" s="102"/>
      <c r="M149" s="102"/>
      <c r="N149" s="102"/>
      <c r="O149" s="103"/>
      <c r="P149" s="103"/>
      <c r="Q149" s="103"/>
      <c r="R149" s="103"/>
      <c r="S149" s="103"/>
      <c r="T149" s="101"/>
      <c r="U149" s="62"/>
    </row>
    <row r="150" customFormat="false" ht="50.1" hidden="false" customHeight="true" outlineLevel="0" collapsed="false">
      <c r="B150" s="62"/>
      <c r="C150" s="101"/>
      <c r="D150" s="103"/>
      <c r="E150" s="65" t="s">
        <v>53</v>
      </c>
      <c r="F150" s="104" t="s">
        <v>76</v>
      </c>
      <c r="G150" s="67" t="s">
        <v>77</v>
      </c>
      <c r="H150" s="66" t="s">
        <v>78</v>
      </c>
      <c r="I150" s="54" t="s">
        <v>79</v>
      </c>
      <c r="J150" s="66" t="s">
        <v>80</v>
      </c>
      <c r="K150" s="105" t="s">
        <v>81</v>
      </c>
      <c r="L150" s="66" t="s">
        <v>82</v>
      </c>
      <c r="M150" s="106" t="s">
        <v>83</v>
      </c>
      <c r="N150" s="67" t="s">
        <v>84</v>
      </c>
      <c r="O150" s="107" t="s">
        <v>85</v>
      </c>
      <c r="P150" s="108" t="s">
        <v>86</v>
      </c>
      <c r="Q150" s="108" t="s">
        <v>87</v>
      </c>
      <c r="R150" s="13" t="s">
        <v>88</v>
      </c>
      <c r="S150" s="103"/>
      <c r="T150" s="101"/>
      <c r="U150" s="62"/>
    </row>
    <row r="151" customFormat="false" ht="20.1" hidden="false" customHeight="true" outlineLevel="0" collapsed="false">
      <c r="B151" s="62"/>
      <c r="C151" s="101"/>
      <c r="D151" s="124"/>
      <c r="E151" s="109" t="s">
        <v>31</v>
      </c>
      <c r="F151" s="110" t="s">
        <v>32</v>
      </c>
      <c r="G151" s="111" t="n">
        <v>1</v>
      </c>
      <c r="H151" s="111" t="s">
        <v>67</v>
      </c>
      <c r="I151" s="111" t="n">
        <v>0</v>
      </c>
      <c r="J151" s="111" t="n">
        <v>135</v>
      </c>
      <c r="K151" s="111" t="s">
        <v>67</v>
      </c>
      <c r="L151" s="113" t="n">
        <f aca="false">IF(J151="",0,(J151/J155)*100)</f>
        <v>100</v>
      </c>
      <c r="M151" s="111" t="n">
        <v>1</v>
      </c>
      <c r="N151" s="114" t="n">
        <v>6</v>
      </c>
      <c r="O151" s="115" t="n">
        <f aca="false">IF(M151=1,1,0)</f>
        <v>1</v>
      </c>
      <c r="P151" s="116" t="n">
        <f aca="false">IF(M151=2,1,0)</f>
        <v>0</v>
      </c>
      <c r="Q151" s="116" t="n">
        <f aca="false">IF(M151=3,1,0)</f>
        <v>0</v>
      </c>
      <c r="R151" s="117" t="n">
        <f aca="false">IF(M151=4,1,0)</f>
        <v>0</v>
      </c>
      <c r="S151" s="118"/>
      <c r="T151" s="101"/>
      <c r="U151" s="62"/>
    </row>
    <row r="152" customFormat="false" ht="20.1" hidden="false" customHeight="true" outlineLevel="0" collapsed="false">
      <c r="B152" s="62"/>
      <c r="C152" s="101"/>
      <c r="D152" s="101"/>
      <c r="E152" s="79" t="s">
        <v>33</v>
      </c>
      <c r="F152" s="28" t="s">
        <v>34</v>
      </c>
      <c r="G152" s="119" t="n">
        <v>2</v>
      </c>
      <c r="H152" s="119" t="s">
        <v>67</v>
      </c>
      <c r="I152" s="119" t="n">
        <v>0</v>
      </c>
      <c r="J152" s="119" t="n">
        <v>107</v>
      </c>
      <c r="K152" s="155" t="s">
        <v>67</v>
      </c>
      <c r="L152" s="120" t="n">
        <f aca="false">IF(J152="",0,(J152/J155)*100)</f>
        <v>79.2592592592593</v>
      </c>
      <c r="M152" s="119" t="n">
        <v>3</v>
      </c>
      <c r="N152" s="31" t="n">
        <v>1</v>
      </c>
      <c r="O152" s="121" t="n">
        <f aca="false">IF(M152=1,1,0)</f>
        <v>0</v>
      </c>
      <c r="P152" s="122" t="n">
        <f aca="false">IF(M152=2,1,0)</f>
        <v>0</v>
      </c>
      <c r="Q152" s="122" t="n">
        <f aca="false">IF(M152=3,1,0)</f>
        <v>1</v>
      </c>
      <c r="R152" s="123" t="n">
        <f aca="false">IF(M152=4,1,0)</f>
        <v>0</v>
      </c>
      <c r="S152" s="118"/>
      <c r="T152" s="101"/>
      <c r="U152" s="62"/>
    </row>
    <row r="153" customFormat="false" ht="20.1" hidden="false" customHeight="true" outlineLevel="0" collapsed="false">
      <c r="B153" s="62"/>
      <c r="C153" s="101"/>
      <c r="D153" s="101"/>
      <c r="E153" s="79" t="s">
        <v>37</v>
      </c>
      <c r="F153" s="33" t="s">
        <v>38</v>
      </c>
      <c r="G153" s="119" t="n">
        <v>4</v>
      </c>
      <c r="H153" s="119" t="s">
        <v>67</v>
      </c>
      <c r="I153" s="119" t="n">
        <v>0</v>
      </c>
      <c r="J153" s="119" t="n">
        <v>102</v>
      </c>
      <c r="K153" s="119" t="s">
        <v>67</v>
      </c>
      <c r="L153" s="120" t="n">
        <f aca="false">IF(J153="",0,(J153/J155)*100)</f>
        <v>75.5555555555556</v>
      </c>
      <c r="M153" s="119" t="n">
        <v>4</v>
      </c>
      <c r="N153" s="31" t="n">
        <v>0</v>
      </c>
      <c r="O153" s="121" t="n">
        <f aca="false">IF(M153=1,1,0)</f>
        <v>0</v>
      </c>
      <c r="P153" s="122" t="n">
        <f aca="false">IF(M153=2,1,0)</f>
        <v>0</v>
      </c>
      <c r="Q153" s="122" t="n">
        <f aca="false">IF(M153=3,1,0)</f>
        <v>0</v>
      </c>
      <c r="R153" s="123" t="n">
        <f aca="false">IF(M153=4,1,0)</f>
        <v>1</v>
      </c>
      <c r="S153" s="118"/>
      <c r="T153" s="101"/>
      <c r="U153" s="62"/>
    </row>
    <row r="154" customFormat="false" ht="20.1" hidden="false" customHeight="true" outlineLevel="0" collapsed="false">
      <c r="B154" s="62"/>
      <c r="C154" s="101"/>
      <c r="D154" s="101"/>
      <c r="E154" s="234" t="s">
        <v>39</v>
      </c>
      <c r="F154" s="44" t="s">
        <v>40</v>
      </c>
      <c r="G154" s="125" t="n">
        <v>3</v>
      </c>
      <c r="H154" s="125" t="s">
        <v>67</v>
      </c>
      <c r="I154" s="125" t="n">
        <v>0</v>
      </c>
      <c r="J154" s="125" t="n">
        <v>126</v>
      </c>
      <c r="K154" s="156" t="s">
        <v>67</v>
      </c>
      <c r="L154" s="126" t="n">
        <f aca="false">IF(J154="",0,(J154/J155)*100)</f>
        <v>93.3333333333333</v>
      </c>
      <c r="M154" s="125" t="n">
        <v>2</v>
      </c>
      <c r="N154" s="50" t="n">
        <v>3</v>
      </c>
      <c r="O154" s="127" t="n">
        <f aca="false">IF(M154=1,1,0)</f>
        <v>0</v>
      </c>
      <c r="P154" s="128" t="n">
        <f aca="false">IF(M154=2,1,0)</f>
        <v>1</v>
      </c>
      <c r="Q154" s="128" t="n">
        <f aca="false">IF(M154=3,1,0)</f>
        <v>0</v>
      </c>
      <c r="R154" s="129" t="n">
        <f aca="false">IF(M154=4,1,0)</f>
        <v>0</v>
      </c>
      <c r="S154" s="118"/>
      <c r="T154" s="101"/>
      <c r="U154" s="62"/>
    </row>
    <row r="155" customFormat="false" ht="20.1" hidden="true" customHeight="true" outlineLevel="1" collapsed="false">
      <c r="B155" s="62"/>
      <c r="C155" s="101"/>
      <c r="D155" s="124"/>
      <c r="E155" s="124"/>
      <c r="F155" s="131"/>
      <c r="G155" s="131"/>
      <c r="H155" s="101"/>
      <c r="I155" s="179" t="s">
        <v>89</v>
      </c>
      <c r="J155" s="133" t="n">
        <f aca="false">MAX(J151:J154)</f>
        <v>135</v>
      </c>
      <c r="K155" s="249"/>
      <c r="L155" s="139"/>
      <c r="M155" s="101"/>
      <c r="N155" s="136" t="s">
        <v>90</v>
      </c>
      <c r="O155" s="137" t="n">
        <f aca="false">SUM(O151:O154)</f>
        <v>1</v>
      </c>
      <c r="P155" s="138" t="n">
        <f aca="false">SUM(P151:P154)</f>
        <v>1</v>
      </c>
      <c r="Q155" s="137" t="n">
        <f aca="false">SUM(Q151:Q154)</f>
        <v>1</v>
      </c>
      <c r="R155" s="160" t="n">
        <f aca="false">SUM(R151:R154)</f>
        <v>1</v>
      </c>
      <c r="S155" s="139"/>
      <c r="T155" s="101"/>
      <c r="U155" s="62"/>
    </row>
    <row r="156" customFormat="false" ht="20.1" hidden="false" customHeight="true" outlineLevel="0" collapsed="false">
      <c r="B156" s="62"/>
      <c r="C156" s="101"/>
      <c r="D156" s="101"/>
      <c r="E156" s="101"/>
      <c r="F156" s="101"/>
      <c r="G156" s="101"/>
      <c r="H156" s="101"/>
      <c r="I156" s="101"/>
      <c r="J156" s="101"/>
      <c r="K156" s="101"/>
      <c r="L156" s="101"/>
      <c r="M156" s="101"/>
      <c r="N156" s="101"/>
      <c r="O156" s="101"/>
      <c r="P156" s="101"/>
      <c r="Q156" s="101"/>
      <c r="R156" s="101"/>
      <c r="S156" s="101"/>
      <c r="T156" s="101"/>
      <c r="U156" s="62"/>
    </row>
    <row r="157" customFormat="false" ht="20.1" hidden="false" customHeight="true" outlineLevel="0" collapsed="false">
      <c r="B157" s="62"/>
      <c r="U157" s="62"/>
    </row>
    <row r="158" customFormat="false" ht="20.1" hidden="false" customHeight="true" outlineLevel="0" collapsed="false">
      <c r="B158" s="62"/>
      <c r="C158" s="141"/>
      <c r="D158" s="141"/>
      <c r="E158" s="142" t="str">
        <f aca="false">IF(OR(L145="-",L145= ""),H145,L145)</f>
        <v>Sushi Go!</v>
      </c>
      <c r="F158" s="142"/>
      <c r="G158" s="142"/>
      <c r="H158" s="142"/>
      <c r="I158" s="142"/>
      <c r="J158" s="142"/>
      <c r="K158" s="142"/>
      <c r="L158" s="142"/>
      <c r="M158" s="142"/>
      <c r="N158" s="142"/>
      <c r="O158" s="143"/>
      <c r="P158" s="143"/>
      <c r="Q158" s="143"/>
      <c r="R158" s="143"/>
      <c r="S158" s="143"/>
      <c r="T158" s="141"/>
      <c r="U158" s="62"/>
    </row>
    <row r="159" customFormat="false" ht="50.1" hidden="false" customHeight="true" outlineLevel="0" collapsed="false">
      <c r="B159" s="62"/>
      <c r="C159" s="141"/>
      <c r="D159" s="143"/>
      <c r="E159" s="65" t="s">
        <v>53</v>
      </c>
      <c r="F159" s="104" t="s">
        <v>76</v>
      </c>
      <c r="G159" s="67" t="s">
        <v>77</v>
      </c>
      <c r="H159" s="66" t="s">
        <v>78</v>
      </c>
      <c r="I159" s="54" t="s">
        <v>79</v>
      </c>
      <c r="J159" s="66" t="s">
        <v>80</v>
      </c>
      <c r="K159" s="105" t="s">
        <v>81</v>
      </c>
      <c r="L159" s="66" t="s">
        <v>82</v>
      </c>
      <c r="M159" s="106" t="s">
        <v>83</v>
      </c>
      <c r="N159" s="67" t="s">
        <v>84</v>
      </c>
      <c r="O159" s="107" t="s">
        <v>85</v>
      </c>
      <c r="P159" s="108" t="s">
        <v>86</v>
      </c>
      <c r="Q159" s="108" t="s">
        <v>87</v>
      </c>
      <c r="R159" s="13" t="s">
        <v>88</v>
      </c>
      <c r="S159" s="143"/>
      <c r="T159" s="141"/>
      <c r="U159" s="62"/>
    </row>
    <row r="160" customFormat="false" ht="20.1" hidden="false" customHeight="true" outlineLevel="0" collapsed="false">
      <c r="B160" s="62"/>
      <c r="C160" s="141"/>
      <c r="D160" s="148"/>
      <c r="E160" s="71" t="s">
        <v>31</v>
      </c>
      <c r="F160" s="16" t="s">
        <v>32</v>
      </c>
      <c r="G160" s="144" t="n">
        <v>2</v>
      </c>
      <c r="H160" s="144" t="s">
        <v>67</v>
      </c>
      <c r="I160" s="144" t="n">
        <v>0</v>
      </c>
      <c r="J160" s="144" t="n">
        <v>36</v>
      </c>
      <c r="K160" s="144" t="s">
        <v>144</v>
      </c>
      <c r="L160" s="146" t="n">
        <f aca="false">IF(J160="",0,(J160/J164)*100)</f>
        <v>87.8048780487805</v>
      </c>
      <c r="M160" s="144" t="n">
        <v>3</v>
      </c>
      <c r="N160" s="23" t="n">
        <v>1</v>
      </c>
      <c r="O160" s="115" t="n">
        <f aca="false">IF(M160=1,1,0)</f>
        <v>0</v>
      </c>
      <c r="P160" s="116" t="n">
        <f aca="false">IF(M160=2,1,0)</f>
        <v>0</v>
      </c>
      <c r="Q160" s="116" t="n">
        <f aca="false">IF(M160=3,1,0)</f>
        <v>1</v>
      </c>
      <c r="R160" s="117" t="n">
        <f aca="false">IF(M160=4,1,0)</f>
        <v>0</v>
      </c>
      <c r="S160" s="147"/>
      <c r="T160" s="141"/>
      <c r="U160" s="62"/>
    </row>
    <row r="161" customFormat="false" ht="20.1" hidden="false" customHeight="true" outlineLevel="0" collapsed="false">
      <c r="B161" s="62"/>
      <c r="C161" s="141"/>
      <c r="D161" s="141"/>
      <c r="E161" s="149" t="s">
        <v>33</v>
      </c>
      <c r="F161" s="290" t="s">
        <v>34</v>
      </c>
      <c r="G161" s="151" t="n">
        <v>1</v>
      </c>
      <c r="H161" s="151" t="s">
        <v>67</v>
      </c>
      <c r="I161" s="151" t="n">
        <v>0</v>
      </c>
      <c r="J161" s="151" t="n">
        <v>41</v>
      </c>
      <c r="K161" s="152" t="s">
        <v>67</v>
      </c>
      <c r="L161" s="153" t="n">
        <f aca="false">IF(J161="",0,(J161/J164)*100)</f>
        <v>100</v>
      </c>
      <c r="M161" s="151" t="n">
        <v>1</v>
      </c>
      <c r="N161" s="154" t="n">
        <v>6</v>
      </c>
      <c r="O161" s="121" t="n">
        <f aca="false">IF(M161=1,1,0)</f>
        <v>1</v>
      </c>
      <c r="P161" s="122" t="n">
        <f aca="false">IF(M161=2,1,0)</f>
        <v>0</v>
      </c>
      <c r="Q161" s="122" t="n">
        <f aca="false">IF(M161=3,1,0)</f>
        <v>0</v>
      </c>
      <c r="R161" s="123" t="n">
        <f aca="false">IF(M161=4,1,0)</f>
        <v>0</v>
      </c>
      <c r="S161" s="147"/>
      <c r="T161" s="141"/>
      <c r="U161" s="62"/>
    </row>
    <row r="162" customFormat="false" ht="20.1" hidden="false" customHeight="true" outlineLevel="0" collapsed="false">
      <c r="B162" s="62"/>
      <c r="C162" s="141"/>
      <c r="D162" s="148"/>
      <c r="E162" s="79" t="s">
        <v>37</v>
      </c>
      <c r="F162" s="33" t="s">
        <v>38</v>
      </c>
      <c r="G162" s="119" t="n">
        <v>3</v>
      </c>
      <c r="H162" s="119" t="s">
        <v>67</v>
      </c>
      <c r="I162" s="119" t="n">
        <v>0</v>
      </c>
      <c r="J162" s="119" t="n">
        <v>35</v>
      </c>
      <c r="K162" s="119" t="s">
        <v>67</v>
      </c>
      <c r="L162" s="120" t="n">
        <f aca="false">IF(J162="",0,(J162/J164)*100)</f>
        <v>85.3658536585366</v>
      </c>
      <c r="M162" s="119" t="n">
        <v>4</v>
      </c>
      <c r="N162" s="31" t="n">
        <v>0</v>
      </c>
      <c r="O162" s="121" t="n">
        <f aca="false">IF(M162=1,1,0)</f>
        <v>0</v>
      </c>
      <c r="P162" s="122" t="n">
        <f aca="false">IF(M162=2,1,0)</f>
        <v>0</v>
      </c>
      <c r="Q162" s="122" t="n">
        <f aca="false">IF(M162=3,1,0)</f>
        <v>0</v>
      </c>
      <c r="R162" s="123" t="n">
        <f aca="false">IF(M162=4,1,0)</f>
        <v>1</v>
      </c>
      <c r="S162" s="147"/>
      <c r="T162" s="141"/>
      <c r="U162" s="62"/>
    </row>
    <row r="163" customFormat="false" ht="20.1" hidden="false" customHeight="true" outlineLevel="0" collapsed="false">
      <c r="B163" s="62"/>
      <c r="C163" s="141"/>
      <c r="D163" s="141"/>
      <c r="E163" s="234" t="s">
        <v>39</v>
      </c>
      <c r="F163" s="44" t="s">
        <v>40</v>
      </c>
      <c r="G163" s="125" t="n">
        <v>4</v>
      </c>
      <c r="H163" s="125" t="s">
        <v>67</v>
      </c>
      <c r="I163" s="125" t="n">
        <v>0</v>
      </c>
      <c r="J163" s="125" t="n">
        <v>36</v>
      </c>
      <c r="K163" s="156" t="s">
        <v>145</v>
      </c>
      <c r="L163" s="126" t="n">
        <f aca="false">IF(J163="",0,(J163/J164)*100)</f>
        <v>87.8048780487805</v>
      </c>
      <c r="M163" s="125" t="n">
        <v>2</v>
      </c>
      <c r="N163" s="50" t="n">
        <v>3</v>
      </c>
      <c r="O163" s="127" t="n">
        <f aca="false">IF(M163=1,1,0)</f>
        <v>0</v>
      </c>
      <c r="P163" s="128" t="n">
        <f aca="false">IF(M163=2,1,0)</f>
        <v>1</v>
      </c>
      <c r="Q163" s="128" t="n">
        <f aca="false">IF(M163=3,1,0)</f>
        <v>0</v>
      </c>
      <c r="R163" s="129" t="n">
        <f aca="false">IF(M163=4,1,0)</f>
        <v>0</v>
      </c>
      <c r="S163" s="147"/>
      <c r="T163" s="141"/>
      <c r="U163" s="62"/>
    </row>
    <row r="164" customFormat="false" ht="20.1" hidden="true" customHeight="true" outlineLevel="1" collapsed="false">
      <c r="B164" s="62"/>
      <c r="C164" s="141"/>
      <c r="D164" s="141"/>
      <c r="E164" s="141"/>
      <c r="F164" s="157"/>
      <c r="G164" s="157"/>
      <c r="H164" s="141"/>
      <c r="I164" s="179" t="s">
        <v>89</v>
      </c>
      <c r="J164" s="133" t="n">
        <f aca="false">MAX(J160:J163)</f>
        <v>41</v>
      </c>
      <c r="K164" s="159"/>
      <c r="L164" s="147"/>
      <c r="M164" s="141"/>
      <c r="N164" s="136" t="s">
        <v>90</v>
      </c>
      <c r="O164" s="137" t="n">
        <f aca="false">SUM(O160:O163)</f>
        <v>1</v>
      </c>
      <c r="P164" s="138" t="n">
        <f aca="false">SUM(P160:P163)</f>
        <v>1</v>
      </c>
      <c r="Q164" s="137" t="n">
        <f aca="false">SUM(Q160:Q163)</f>
        <v>1</v>
      </c>
      <c r="R164" s="160" t="n">
        <f aca="false">SUM(R160:R163)</f>
        <v>1</v>
      </c>
      <c r="S164" s="161"/>
      <c r="T164" s="141"/>
      <c r="U164" s="62"/>
    </row>
    <row r="165" customFormat="false" ht="20.1" hidden="false" customHeight="true" outlineLevel="0" collapsed="false">
      <c r="B165" s="62"/>
      <c r="C165" s="141"/>
      <c r="D165" s="141"/>
      <c r="E165" s="141"/>
      <c r="F165" s="141"/>
      <c r="G165" s="141"/>
      <c r="H165" s="141"/>
      <c r="I165" s="141"/>
      <c r="J165" s="141"/>
      <c r="K165" s="141"/>
      <c r="L165" s="141"/>
      <c r="M165" s="141"/>
      <c r="N165" s="141"/>
      <c r="O165" s="141"/>
      <c r="P165" s="141"/>
      <c r="Q165" s="141"/>
      <c r="R165" s="141"/>
      <c r="S165" s="141"/>
      <c r="T165" s="141"/>
      <c r="U165" s="62"/>
    </row>
    <row r="166" customFormat="false" ht="20.1" hidden="false" customHeight="true" outlineLevel="0" collapsed="false">
      <c r="B166" s="62"/>
      <c r="D166" s="162"/>
      <c r="E166" s="162"/>
      <c r="F166" s="162"/>
      <c r="G166" s="162"/>
      <c r="H166" s="163"/>
      <c r="I166" s="162"/>
      <c r="J166" s="162"/>
      <c r="U166" s="62"/>
    </row>
    <row r="167" customFormat="false" ht="20.1" hidden="false" customHeight="true" outlineLevel="0" collapsed="false">
      <c r="B167" s="62"/>
      <c r="C167" s="164"/>
      <c r="D167" s="164"/>
      <c r="E167" s="165" t="str">
        <f aca="false">IF(OR(L146="-",L146= ""),H146,L146)</f>
        <v>Die Burgen von Burgund</v>
      </c>
      <c r="F167" s="165"/>
      <c r="G167" s="165"/>
      <c r="H167" s="165"/>
      <c r="I167" s="165"/>
      <c r="J167" s="165"/>
      <c r="K167" s="165"/>
      <c r="L167" s="165"/>
      <c r="M167" s="165"/>
      <c r="N167" s="165"/>
      <c r="O167" s="166"/>
      <c r="P167" s="166"/>
      <c r="Q167" s="166"/>
      <c r="R167" s="166"/>
      <c r="S167" s="166"/>
      <c r="T167" s="164"/>
      <c r="U167" s="167"/>
    </row>
    <row r="168" customFormat="false" ht="50.1" hidden="false" customHeight="true" outlineLevel="0" collapsed="false">
      <c r="B168" s="62"/>
      <c r="C168" s="164"/>
      <c r="D168" s="166"/>
      <c r="E168" s="65" t="s">
        <v>53</v>
      </c>
      <c r="F168" s="104" t="s">
        <v>76</v>
      </c>
      <c r="G168" s="67" t="s">
        <v>77</v>
      </c>
      <c r="H168" s="66" t="s">
        <v>78</v>
      </c>
      <c r="I168" s="54" t="s">
        <v>79</v>
      </c>
      <c r="J168" s="66" t="s">
        <v>80</v>
      </c>
      <c r="K168" s="105" t="s">
        <v>81</v>
      </c>
      <c r="L168" s="66" t="s">
        <v>82</v>
      </c>
      <c r="M168" s="106" t="s">
        <v>83</v>
      </c>
      <c r="N168" s="67" t="s">
        <v>84</v>
      </c>
      <c r="O168" s="107" t="s">
        <v>85</v>
      </c>
      <c r="P168" s="108" t="s">
        <v>86</v>
      </c>
      <c r="Q168" s="108" t="s">
        <v>87</v>
      </c>
      <c r="R168" s="13" t="s">
        <v>88</v>
      </c>
      <c r="S168" s="166"/>
      <c r="T168" s="164"/>
      <c r="U168" s="167"/>
    </row>
    <row r="169" customFormat="false" ht="20.1" hidden="false" customHeight="true" outlineLevel="0" collapsed="false">
      <c r="B169" s="62"/>
      <c r="C169" s="164"/>
      <c r="D169" s="171"/>
      <c r="E169" s="71" t="s">
        <v>31</v>
      </c>
      <c r="F169" s="16" t="s">
        <v>32</v>
      </c>
      <c r="G169" s="144" t="n">
        <v>3</v>
      </c>
      <c r="H169" s="145" t="s">
        <v>146</v>
      </c>
      <c r="I169" s="144" t="n">
        <v>0</v>
      </c>
      <c r="J169" s="145" t="n">
        <v>209</v>
      </c>
      <c r="K169" s="145" t="s">
        <v>67</v>
      </c>
      <c r="L169" s="146" t="n">
        <f aca="false">IF(J169="",0,(J169/J173)*100)</f>
        <v>88.1856540084388</v>
      </c>
      <c r="M169" s="144" t="n">
        <v>4</v>
      </c>
      <c r="N169" s="23" t="n">
        <v>0</v>
      </c>
      <c r="O169" s="115" t="n">
        <f aca="false">IF(M169=1,1,0)</f>
        <v>0</v>
      </c>
      <c r="P169" s="116" t="n">
        <f aca="false">IF(M169=2,1,0)</f>
        <v>0</v>
      </c>
      <c r="Q169" s="116" t="n">
        <f aca="false">IF(M169=3,1,0)</f>
        <v>0</v>
      </c>
      <c r="R169" s="117" t="n">
        <f aca="false">IF(M169=4,1,0)</f>
        <v>1</v>
      </c>
      <c r="S169" s="170"/>
      <c r="T169" s="164"/>
      <c r="U169" s="62"/>
    </row>
    <row r="170" customFormat="false" ht="20.1" hidden="false" customHeight="true" outlineLevel="0" collapsed="false">
      <c r="B170" s="62"/>
      <c r="C170" s="164"/>
      <c r="D170" s="164"/>
      <c r="E170" s="149" t="s">
        <v>33</v>
      </c>
      <c r="F170" s="290" t="s">
        <v>34</v>
      </c>
      <c r="G170" s="151" t="n">
        <v>4</v>
      </c>
      <c r="H170" s="152" t="s">
        <v>147</v>
      </c>
      <c r="I170" s="151" t="n">
        <v>0</v>
      </c>
      <c r="J170" s="152" t="n">
        <v>237</v>
      </c>
      <c r="K170" s="152" t="s">
        <v>67</v>
      </c>
      <c r="L170" s="153" t="n">
        <f aca="false">IF(J170="",0,(J170/J173)*100)</f>
        <v>100</v>
      </c>
      <c r="M170" s="151" t="n">
        <v>1</v>
      </c>
      <c r="N170" s="154" t="n">
        <v>6</v>
      </c>
      <c r="O170" s="121" t="n">
        <f aca="false">IF(M170=1,1,0)</f>
        <v>1</v>
      </c>
      <c r="P170" s="122" t="n">
        <f aca="false">IF(M170=2,1,0)</f>
        <v>0</v>
      </c>
      <c r="Q170" s="122" t="n">
        <f aca="false">IF(M170=3,1,0)</f>
        <v>0</v>
      </c>
      <c r="R170" s="123" t="n">
        <f aca="false">IF(M170=4,1,0)</f>
        <v>0</v>
      </c>
      <c r="S170" s="170"/>
      <c r="T170" s="164"/>
      <c r="U170" s="173"/>
    </row>
    <row r="171" customFormat="false" ht="20.1" hidden="false" customHeight="true" outlineLevel="0" collapsed="false">
      <c r="B171" s="62"/>
      <c r="C171" s="164"/>
      <c r="D171" s="164"/>
      <c r="E171" s="79" t="s">
        <v>37</v>
      </c>
      <c r="F171" s="33" t="s">
        <v>38</v>
      </c>
      <c r="G171" s="119" t="n">
        <v>2</v>
      </c>
      <c r="H171" s="155" t="s">
        <v>148</v>
      </c>
      <c r="I171" s="119" t="n">
        <v>0</v>
      </c>
      <c r="J171" s="155" t="n">
        <v>230</v>
      </c>
      <c r="K171" s="155" t="s">
        <v>67</v>
      </c>
      <c r="L171" s="120" t="n">
        <f aca="false">IF(J171="",0,(J171/J173)*100)</f>
        <v>97.0464135021097</v>
      </c>
      <c r="M171" s="119" t="n">
        <v>2</v>
      </c>
      <c r="N171" s="31" t="n">
        <v>3</v>
      </c>
      <c r="O171" s="121" t="n">
        <f aca="false">IF(M171=1,1,0)</f>
        <v>0</v>
      </c>
      <c r="P171" s="122" t="n">
        <f aca="false">IF(M171=2,1,0)</f>
        <v>1</v>
      </c>
      <c r="Q171" s="122" t="n">
        <f aca="false">IF(M171=3,1,0)</f>
        <v>0</v>
      </c>
      <c r="R171" s="123" t="n">
        <f aca="false">IF(M171=4,1,0)</f>
        <v>0</v>
      </c>
      <c r="S171" s="170"/>
      <c r="T171" s="164"/>
      <c r="U171" s="173"/>
    </row>
    <row r="172" customFormat="false" ht="20.1" hidden="false" customHeight="true" outlineLevel="0" collapsed="false">
      <c r="B172" s="62"/>
      <c r="C172" s="164"/>
      <c r="D172" s="164"/>
      <c r="E172" s="234" t="s">
        <v>39</v>
      </c>
      <c r="F172" s="44" t="s">
        <v>40</v>
      </c>
      <c r="G172" s="125" t="n">
        <v>1</v>
      </c>
      <c r="H172" s="156" t="s">
        <v>119</v>
      </c>
      <c r="I172" s="125" t="n">
        <v>0</v>
      </c>
      <c r="J172" s="156" t="n">
        <v>222</v>
      </c>
      <c r="K172" s="156" t="s">
        <v>67</v>
      </c>
      <c r="L172" s="126" t="n">
        <f aca="false">IF(J172="",0,(J172/J173)*100)</f>
        <v>93.6708860759494</v>
      </c>
      <c r="M172" s="125" t="n">
        <v>3</v>
      </c>
      <c r="N172" s="50" t="n">
        <v>1</v>
      </c>
      <c r="O172" s="127" t="n">
        <f aca="false">IF(M172=1,1,0)</f>
        <v>0</v>
      </c>
      <c r="P172" s="128" t="n">
        <f aca="false">IF(M172=2,1,0)</f>
        <v>0</v>
      </c>
      <c r="Q172" s="128" t="n">
        <f aca="false">IF(M172=3,1,0)</f>
        <v>1</v>
      </c>
      <c r="R172" s="129" t="n">
        <f aca="false">IF(M172=4,1,0)</f>
        <v>0</v>
      </c>
      <c r="S172" s="170"/>
      <c r="T172" s="164"/>
      <c r="U172" s="173"/>
    </row>
    <row r="173" customFormat="false" ht="20.1" hidden="true" customHeight="true" outlineLevel="1" collapsed="false">
      <c r="B173" s="62"/>
      <c r="C173" s="164"/>
      <c r="D173" s="164"/>
      <c r="E173" s="164"/>
      <c r="F173" s="178"/>
      <c r="G173" s="178"/>
      <c r="H173" s="164"/>
      <c r="I173" s="179" t="s">
        <v>89</v>
      </c>
      <c r="J173" s="133" t="n">
        <f aca="false">MAX(J169:J172)</f>
        <v>237</v>
      </c>
      <c r="K173" s="180"/>
      <c r="L173" s="170"/>
      <c r="M173" s="164"/>
      <c r="N173" s="136" t="s">
        <v>90</v>
      </c>
      <c r="O173" s="137" t="n">
        <f aca="false">SUM(O169:O172)</f>
        <v>1</v>
      </c>
      <c r="P173" s="138" t="n">
        <f aca="false">SUM(P169:P172)</f>
        <v>1</v>
      </c>
      <c r="Q173" s="137" t="n">
        <f aca="false">SUM(Q169:Q172)</f>
        <v>1</v>
      </c>
      <c r="R173" s="160" t="n">
        <f aca="false">SUM(R169:R172)</f>
        <v>1</v>
      </c>
      <c r="S173" s="181"/>
      <c r="T173" s="164"/>
      <c r="U173" s="173"/>
    </row>
    <row r="174" customFormat="false" ht="20.1" hidden="false" customHeight="true" outlineLevel="0" collapsed="false">
      <c r="B174" s="62"/>
      <c r="C174" s="164"/>
      <c r="D174" s="164"/>
      <c r="E174" s="164"/>
      <c r="F174" s="164"/>
      <c r="G174" s="164"/>
      <c r="H174" s="164"/>
      <c r="I174" s="164"/>
      <c r="J174" s="164"/>
      <c r="K174" s="164"/>
      <c r="L174" s="164"/>
      <c r="M174" s="164"/>
      <c r="N174" s="164"/>
      <c r="O174" s="164"/>
      <c r="P174" s="164"/>
      <c r="Q174" s="164"/>
      <c r="R174" s="164"/>
      <c r="S174" s="164"/>
      <c r="T174" s="164"/>
      <c r="U174" s="173"/>
    </row>
    <row r="175" customFormat="false" ht="20.1" hidden="false" customHeight="true" outlineLevel="0" collapsed="false">
      <c r="B175" s="62"/>
      <c r="D175" s="162"/>
      <c r="E175" s="162"/>
      <c r="F175" s="162"/>
      <c r="G175" s="162"/>
      <c r="H175" s="163"/>
      <c r="I175" s="162"/>
      <c r="J175" s="162"/>
      <c r="K175" s="162"/>
      <c r="U175" s="62"/>
    </row>
    <row r="176" customFormat="false" ht="20.1" hidden="false" customHeight="true" outlineLevel="0" collapsed="false">
      <c r="B176" s="62"/>
      <c r="C176" s="182"/>
      <c r="D176" s="182"/>
      <c r="E176" s="183" t="str">
        <f aca="false">IF(OR(M147="-",M147= ""),H147,M147)</f>
        <v>Lewis &amp; Clark</v>
      </c>
      <c r="F176" s="183"/>
      <c r="G176" s="183"/>
      <c r="H176" s="183"/>
      <c r="I176" s="183"/>
      <c r="J176" s="183"/>
      <c r="K176" s="183"/>
      <c r="L176" s="183"/>
      <c r="M176" s="183"/>
      <c r="N176" s="183"/>
      <c r="O176" s="184"/>
      <c r="P176" s="184"/>
      <c r="Q176" s="184"/>
      <c r="R176" s="184"/>
      <c r="S176" s="184"/>
      <c r="T176" s="182"/>
      <c r="U176" s="62"/>
    </row>
    <row r="177" customFormat="false" ht="50.1" hidden="false" customHeight="true" outlineLevel="0" collapsed="false">
      <c r="B177" s="62"/>
      <c r="C177" s="182"/>
      <c r="D177" s="184"/>
      <c r="E177" s="65" t="s">
        <v>53</v>
      </c>
      <c r="F177" s="104" t="s">
        <v>76</v>
      </c>
      <c r="G177" s="67" t="s">
        <v>77</v>
      </c>
      <c r="H177" s="66" t="s">
        <v>78</v>
      </c>
      <c r="I177" s="54" t="s">
        <v>79</v>
      </c>
      <c r="J177" s="66" t="s">
        <v>80</v>
      </c>
      <c r="K177" s="105" t="s">
        <v>81</v>
      </c>
      <c r="L177" s="66" t="s">
        <v>82</v>
      </c>
      <c r="M177" s="106" t="s">
        <v>83</v>
      </c>
      <c r="N177" s="67" t="s">
        <v>84</v>
      </c>
      <c r="O177" s="107" t="s">
        <v>85</v>
      </c>
      <c r="P177" s="108" t="s">
        <v>86</v>
      </c>
      <c r="Q177" s="108" t="s">
        <v>87</v>
      </c>
      <c r="R177" s="13" t="s">
        <v>88</v>
      </c>
      <c r="S177" s="184"/>
      <c r="T177" s="182"/>
      <c r="U177" s="62"/>
    </row>
    <row r="178" customFormat="false" ht="20.1" hidden="false" customHeight="true" outlineLevel="0" collapsed="false">
      <c r="B178" s="62"/>
      <c r="C178" s="182"/>
      <c r="D178" s="182"/>
      <c r="E178" s="71" t="s">
        <v>31</v>
      </c>
      <c r="F178" s="16" t="s">
        <v>32</v>
      </c>
      <c r="G178" s="144" t="n">
        <v>2</v>
      </c>
      <c r="H178" s="145" t="s">
        <v>67</v>
      </c>
      <c r="I178" s="144" t="n">
        <v>5</v>
      </c>
      <c r="J178" s="169" t="n">
        <v>0</v>
      </c>
      <c r="K178" s="145" t="s">
        <v>67</v>
      </c>
      <c r="L178" s="146" t="n">
        <f aca="false">IF(J178="",0,(J178/J182)*100)</f>
        <v>0</v>
      </c>
      <c r="M178" s="144" t="n">
        <v>2</v>
      </c>
      <c r="N178" s="23" t="n">
        <v>1.333</v>
      </c>
      <c r="O178" s="115" t="n">
        <f aca="false">IF(M178=1,1,0)</f>
        <v>0</v>
      </c>
      <c r="P178" s="116" t="n">
        <f aca="false">IF(M178=2,1,0)</f>
        <v>1</v>
      </c>
      <c r="Q178" s="116" t="n">
        <f aca="false">IF(M178=3,1,0)</f>
        <v>0</v>
      </c>
      <c r="R178" s="117" t="n">
        <f aca="false">IF(M178=4,1,0)</f>
        <v>0</v>
      </c>
      <c r="S178" s="185"/>
      <c r="T178" s="182"/>
      <c r="U178" s="62"/>
    </row>
    <row r="179" customFormat="false" ht="20.1" hidden="false" customHeight="true" outlineLevel="0" collapsed="false">
      <c r="B179" s="62"/>
      <c r="C179" s="182"/>
      <c r="D179" s="182"/>
      <c r="E179" s="149" t="s">
        <v>33</v>
      </c>
      <c r="F179" s="290" t="s">
        <v>34</v>
      </c>
      <c r="G179" s="151" t="n">
        <v>4</v>
      </c>
      <c r="H179" s="151" t="s">
        <v>67</v>
      </c>
      <c r="I179" s="151" t="n">
        <v>5</v>
      </c>
      <c r="J179" s="176" t="n">
        <v>51</v>
      </c>
      <c r="K179" s="152" t="s">
        <v>67</v>
      </c>
      <c r="L179" s="153" t="n">
        <f aca="false">IF(J179="",0,(J179/J182)*100)</f>
        <v>100</v>
      </c>
      <c r="M179" s="151" t="n">
        <v>1</v>
      </c>
      <c r="N179" s="154" t="n">
        <v>6</v>
      </c>
      <c r="O179" s="121" t="n">
        <f aca="false">IF(M179=1,1,0)</f>
        <v>1</v>
      </c>
      <c r="P179" s="122" t="n">
        <f aca="false">IF(M179=2,1,0)</f>
        <v>0</v>
      </c>
      <c r="Q179" s="122" t="n">
        <f aca="false">IF(M179=3,1,0)</f>
        <v>0</v>
      </c>
      <c r="R179" s="123" t="n">
        <f aca="false">IF(M179=4,1,0)</f>
        <v>0</v>
      </c>
      <c r="S179" s="185"/>
      <c r="T179" s="182"/>
      <c r="U179" s="62"/>
    </row>
    <row r="180" customFormat="false" ht="20.1" hidden="false" customHeight="true" outlineLevel="0" collapsed="false">
      <c r="B180" s="62"/>
      <c r="C180" s="182"/>
      <c r="D180" s="182"/>
      <c r="E180" s="79" t="s">
        <v>37</v>
      </c>
      <c r="F180" s="33" t="s">
        <v>38</v>
      </c>
      <c r="G180" s="119" t="n">
        <v>1</v>
      </c>
      <c r="H180" s="119" t="s">
        <v>67</v>
      </c>
      <c r="I180" s="119" t="n">
        <v>5</v>
      </c>
      <c r="J180" s="172" t="n">
        <v>0</v>
      </c>
      <c r="K180" s="119" t="s">
        <v>67</v>
      </c>
      <c r="L180" s="120" t="n">
        <f aca="false">IF(J180="",0,(J180/J182)*100)</f>
        <v>0</v>
      </c>
      <c r="M180" s="119" t="n">
        <v>2</v>
      </c>
      <c r="N180" s="31" t="n">
        <v>1.333</v>
      </c>
      <c r="O180" s="121" t="n">
        <f aca="false">IF(M180=1,1,0)</f>
        <v>0</v>
      </c>
      <c r="P180" s="122" t="n">
        <f aca="false">IF(M180=2,1,0)</f>
        <v>1</v>
      </c>
      <c r="Q180" s="122" t="n">
        <f aca="false">IF(M180=3,1,0)</f>
        <v>0</v>
      </c>
      <c r="R180" s="123" t="n">
        <f aca="false">IF(M180=4,1,0)</f>
        <v>0</v>
      </c>
      <c r="S180" s="185"/>
      <c r="T180" s="182"/>
      <c r="U180" s="62"/>
    </row>
    <row r="181" customFormat="false" ht="20.1" hidden="false" customHeight="true" outlineLevel="0" collapsed="false">
      <c r="B181" s="62"/>
      <c r="C181" s="182"/>
      <c r="D181" s="186"/>
      <c r="E181" s="234" t="s">
        <v>39</v>
      </c>
      <c r="F181" s="44" t="s">
        <v>40</v>
      </c>
      <c r="G181" s="125" t="n">
        <v>3</v>
      </c>
      <c r="H181" s="125" t="s">
        <v>67</v>
      </c>
      <c r="I181" s="125" t="n">
        <v>5</v>
      </c>
      <c r="J181" s="177" t="n">
        <v>0</v>
      </c>
      <c r="K181" s="156" t="s">
        <v>67</v>
      </c>
      <c r="L181" s="126" t="n">
        <f aca="false">IF(J181="",0,(J181/J182)*100)</f>
        <v>0</v>
      </c>
      <c r="M181" s="125" t="n">
        <v>2</v>
      </c>
      <c r="N181" s="50" t="n">
        <v>1.333</v>
      </c>
      <c r="O181" s="127" t="n">
        <f aca="false">IF(M181=1,1,0)</f>
        <v>0</v>
      </c>
      <c r="P181" s="128" t="n">
        <f aca="false">IF(M181=2,1,0)</f>
        <v>1</v>
      </c>
      <c r="Q181" s="128" t="n">
        <f aca="false">IF(M181=3,1,0)</f>
        <v>0</v>
      </c>
      <c r="R181" s="129" t="n">
        <f aca="false">IF(M181=4,1,0)</f>
        <v>0</v>
      </c>
      <c r="S181" s="185"/>
      <c r="T181" s="182"/>
      <c r="U181" s="62"/>
    </row>
    <row r="182" customFormat="false" ht="20.1" hidden="true" customHeight="true" outlineLevel="1" collapsed="false">
      <c r="B182" s="62"/>
      <c r="C182" s="182"/>
      <c r="D182" s="182"/>
      <c r="E182" s="182"/>
      <c r="F182" s="187"/>
      <c r="G182" s="187"/>
      <c r="H182" s="182"/>
      <c r="I182" s="179" t="s">
        <v>89</v>
      </c>
      <c r="J182" s="133" t="n">
        <f aca="false">MAX(J178:J181)</f>
        <v>51</v>
      </c>
      <c r="K182" s="188"/>
      <c r="L182" s="185"/>
      <c r="M182" s="182"/>
      <c r="N182" s="136" t="s">
        <v>90</v>
      </c>
      <c r="O182" s="137" t="n">
        <f aca="false">SUM(O178:O181)</f>
        <v>1</v>
      </c>
      <c r="P182" s="138" t="n">
        <f aca="false">SUM(P178:P181)</f>
        <v>3</v>
      </c>
      <c r="Q182" s="137" t="n">
        <f aca="false">SUM(Q178:Q181)</f>
        <v>0</v>
      </c>
      <c r="R182" s="160" t="n">
        <f aca="false">SUM(R178:R181)</f>
        <v>0</v>
      </c>
      <c r="S182" s="189"/>
      <c r="T182" s="182"/>
      <c r="U182" s="62"/>
    </row>
    <row r="183" customFormat="false" ht="20.1" hidden="false" customHeight="true" outlineLevel="0" collapsed="false">
      <c r="B183" s="62"/>
      <c r="C183" s="182"/>
      <c r="D183" s="182"/>
      <c r="E183" s="182"/>
      <c r="F183" s="182"/>
      <c r="G183" s="182"/>
      <c r="H183" s="182"/>
      <c r="I183" s="182"/>
      <c r="J183" s="182"/>
      <c r="K183" s="182"/>
      <c r="L183" s="182"/>
      <c r="M183" s="182"/>
      <c r="N183" s="182"/>
      <c r="O183" s="182"/>
      <c r="P183" s="182"/>
      <c r="Q183" s="182"/>
      <c r="R183" s="182"/>
      <c r="S183" s="182"/>
      <c r="T183" s="182"/>
      <c r="U183" s="62"/>
    </row>
    <row r="184" customFormat="false" ht="20.1" hidden="false" customHeight="true" outlineLevel="0" collapsed="false">
      <c r="B184" s="62"/>
      <c r="D184" s="5"/>
      <c r="E184" s="5"/>
      <c r="F184" s="5"/>
      <c r="G184" s="5"/>
      <c r="H184" s="5"/>
      <c r="I184" s="5"/>
      <c r="J184" s="5"/>
      <c r="U184" s="62"/>
    </row>
    <row r="185" customFormat="false" ht="30" hidden="false" customHeight="true" outlineLevel="0" collapsed="false">
      <c r="B185" s="62"/>
      <c r="C185" s="190"/>
      <c r="D185" s="191" t="s">
        <v>149</v>
      </c>
      <c r="E185" s="191"/>
      <c r="F185" s="191"/>
      <c r="G185" s="191"/>
      <c r="H185" s="191"/>
      <c r="I185" s="191"/>
      <c r="J185" s="191"/>
      <c r="K185" s="191"/>
      <c r="L185" s="191"/>
      <c r="M185" s="191"/>
      <c r="N185" s="191"/>
      <c r="O185" s="191"/>
      <c r="P185" s="191"/>
      <c r="Q185" s="191"/>
      <c r="R185" s="191"/>
      <c r="S185" s="191"/>
      <c r="T185" s="190"/>
      <c r="U185" s="62"/>
    </row>
    <row r="186" customFormat="false" ht="50.1" hidden="false" customHeight="true" outlineLevel="0" collapsed="false">
      <c r="B186" s="62"/>
      <c r="C186" s="190"/>
      <c r="D186" s="192" t="s">
        <v>53</v>
      </c>
      <c r="E186" s="193" t="s">
        <v>150</v>
      </c>
      <c r="F186" s="194" t="s">
        <v>84</v>
      </c>
      <c r="G186" s="195" t="s">
        <v>100</v>
      </c>
      <c r="H186" s="196" t="s">
        <v>101</v>
      </c>
      <c r="I186" s="196"/>
      <c r="J186" s="197" t="s">
        <v>102</v>
      </c>
      <c r="K186" s="198" t="s">
        <v>103</v>
      </c>
      <c r="L186" s="194" t="s">
        <v>104</v>
      </c>
      <c r="M186" s="198" t="s">
        <v>105</v>
      </c>
      <c r="N186" s="194" t="s">
        <v>106</v>
      </c>
      <c r="O186" s="199"/>
      <c r="P186" s="200"/>
      <c r="Q186" s="200"/>
      <c r="R186" s="200"/>
      <c r="S186" s="193" t="s">
        <v>107</v>
      </c>
      <c r="T186" s="190"/>
      <c r="U186" s="62"/>
    </row>
    <row r="187" customFormat="false" ht="20.1" hidden="false" customHeight="true" outlineLevel="0" collapsed="false">
      <c r="B187" s="62"/>
      <c r="C187" s="190"/>
      <c r="D187" s="201" t="s">
        <v>33</v>
      </c>
      <c r="E187" s="257" t="s">
        <v>34</v>
      </c>
      <c r="F187" s="258" t="n">
        <f aca="false">K187*6+L187*3+M187*1+N187*0</f>
        <v>19</v>
      </c>
      <c r="G187" s="259" t="n">
        <v>0</v>
      </c>
      <c r="H187" s="259" t="s">
        <v>67</v>
      </c>
      <c r="I187" s="259"/>
      <c r="J187" s="258" t="n">
        <f aca="false">F187+G187</f>
        <v>19</v>
      </c>
      <c r="K187" s="258" t="n">
        <v>3</v>
      </c>
      <c r="L187" s="258" t="n">
        <v>0</v>
      </c>
      <c r="M187" s="258" t="n">
        <v>1</v>
      </c>
      <c r="N187" s="258" t="n">
        <v>0</v>
      </c>
      <c r="O187" s="260"/>
      <c r="P187" s="259"/>
      <c r="Q187" s="259"/>
      <c r="R187" s="259"/>
      <c r="S187" s="261" t="n">
        <f aca="false">(L152+L161+L170+L179)/4</f>
        <v>94.8148148148148</v>
      </c>
      <c r="T187" s="190"/>
      <c r="U187" s="62"/>
    </row>
    <row r="188" customFormat="false" ht="20.1" hidden="false" customHeight="true" outlineLevel="0" collapsed="false">
      <c r="B188" s="62"/>
      <c r="C188" s="190"/>
      <c r="D188" s="213" t="s">
        <v>31</v>
      </c>
      <c r="E188" s="208" t="s">
        <v>32</v>
      </c>
      <c r="F188" s="291" t="n">
        <f aca="false">K188*6+L188*3+M188*1+N188*0</f>
        <v>8.33333333333333</v>
      </c>
      <c r="G188" s="263" t="n">
        <v>0</v>
      </c>
      <c r="H188" s="263" t="s">
        <v>67</v>
      </c>
      <c r="I188" s="263"/>
      <c r="J188" s="262" t="n">
        <f aca="false">F188+G188</f>
        <v>8.33333333333333</v>
      </c>
      <c r="K188" s="262" t="n">
        <v>1</v>
      </c>
      <c r="L188" s="291" t="n">
        <v>0.333333333333333</v>
      </c>
      <c r="M188" s="291" t="n">
        <v>1.33333333333333</v>
      </c>
      <c r="N188" s="291" t="n">
        <v>1.33333333333333</v>
      </c>
      <c r="O188" s="264"/>
      <c r="P188" s="263"/>
      <c r="Q188" s="263"/>
      <c r="R188" s="263"/>
      <c r="S188" s="265" t="n">
        <f aca="false">(L151+L160+L169+L178)/4</f>
        <v>68.9976330143048</v>
      </c>
      <c r="T188" s="190"/>
      <c r="U188" s="62"/>
    </row>
    <row r="189" customFormat="false" ht="20.1" hidden="false" customHeight="true" outlineLevel="0" collapsed="false">
      <c r="B189" s="62"/>
      <c r="C189" s="190"/>
      <c r="D189" s="213" t="s">
        <v>39</v>
      </c>
      <c r="E189" s="208" t="s">
        <v>40</v>
      </c>
      <c r="F189" s="291" t="n">
        <f aca="false">K189*6+L189*3+M189*1+N189*0</f>
        <v>8.33333333333332</v>
      </c>
      <c r="G189" s="263" t="n">
        <v>0</v>
      </c>
      <c r="H189" s="263" t="s">
        <v>67</v>
      </c>
      <c r="I189" s="263"/>
      <c r="J189" s="262" t="n">
        <f aca="false">F189+G189</f>
        <v>8.33333333333332</v>
      </c>
      <c r="K189" s="262" t="n">
        <v>0</v>
      </c>
      <c r="L189" s="291" t="n">
        <v>2.33333333333333</v>
      </c>
      <c r="M189" s="291" t="n">
        <v>1.33333333333333</v>
      </c>
      <c r="N189" s="291" t="n">
        <v>0.333333333333333</v>
      </c>
      <c r="O189" s="264"/>
      <c r="P189" s="263"/>
      <c r="Q189" s="263"/>
      <c r="R189" s="263"/>
      <c r="S189" s="265" t="n">
        <f aca="false">(L154+L163+L172+L181)/4</f>
        <v>68.7022743645158</v>
      </c>
      <c r="T189" s="190"/>
      <c r="U189" s="62"/>
    </row>
    <row r="190" customFormat="false" ht="20.1" hidden="false" customHeight="true" outlineLevel="0" collapsed="false">
      <c r="B190" s="62"/>
      <c r="C190" s="190"/>
      <c r="D190" s="270" t="s">
        <v>37</v>
      </c>
      <c r="E190" s="215" t="s">
        <v>38</v>
      </c>
      <c r="F190" s="292" t="n">
        <f aca="false">K190*6+L190*3+M190*1+N190*0</f>
        <v>4.33333333333332</v>
      </c>
      <c r="G190" s="272" t="n">
        <v>0</v>
      </c>
      <c r="H190" s="272" t="s">
        <v>67</v>
      </c>
      <c r="I190" s="272"/>
      <c r="J190" s="271" t="n">
        <f aca="false">F190+G190</f>
        <v>4.33333333333332</v>
      </c>
      <c r="K190" s="271" t="n">
        <v>0</v>
      </c>
      <c r="L190" s="292" t="n">
        <v>1.33333333333333</v>
      </c>
      <c r="M190" s="292" t="n">
        <v>0.333333333333333</v>
      </c>
      <c r="N190" s="292" t="n">
        <v>2.33333333333333</v>
      </c>
      <c r="O190" s="273"/>
      <c r="P190" s="272"/>
      <c r="Q190" s="272"/>
      <c r="R190" s="272"/>
      <c r="S190" s="274" t="n">
        <f aca="false">(L153+L162+L171+L180)/4</f>
        <v>64.4919556790505</v>
      </c>
      <c r="T190" s="190"/>
      <c r="U190" s="62"/>
    </row>
    <row r="191" customFormat="false" ht="20.1" hidden="false" customHeight="true" outlineLevel="0" collapsed="false">
      <c r="B191" s="62"/>
      <c r="C191" s="190"/>
      <c r="D191" s="190"/>
      <c r="E191" s="190"/>
      <c r="F191" s="190"/>
      <c r="G191" s="190"/>
      <c r="H191" s="190"/>
      <c r="I191" s="190"/>
      <c r="J191" s="190"/>
      <c r="K191" s="190"/>
      <c r="L191" s="190"/>
      <c r="M191" s="190"/>
      <c r="N191" s="190"/>
      <c r="O191" s="190"/>
      <c r="P191" s="190"/>
      <c r="Q191" s="190"/>
      <c r="R191" s="190"/>
      <c r="S191" s="190"/>
      <c r="T191" s="190"/>
      <c r="U191" s="62"/>
    </row>
    <row r="192" customFormat="false" ht="20.1" hidden="false" customHeight="true" outlineLevel="0" collapsed="false">
      <c r="B192" s="62"/>
      <c r="C192" s="62"/>
      <c r="D192" s="219"/>
      <c r="E192" s="219"/>
      <c r="F192" s="167"/>
      <c r="G192" s="167"/>
      <c r="H192" s="219"/>
      <c r="I192" s="219"/>
      <c r="J192" s="219"/>
      <c r="K192" s="62"/>
      <c r="L192" s="62"/>
      <c r="M192" s="62"/>
      <c r="N192" s="62"/>
      <c r="O192" s="62"/>
      <c r="P192" s="62"/>
      <c r="Q192" s="62"/>
      <c r="R192" s="62"/>
      <c r="S192" s="62"/>
      <c r="T192" s="62"/>
      <c r="U192" s="62"/>
    </row>
    <row r="193" customFormat="false" ht="20.1" hidden="false" customHeight="true" outlineLevel="0" collapsed="false"/>
    <row r="194" customFormat="false" ht="20.1" hidden="false" customHeight="true" outlineLevel="0" collapsed="false"/>
    <row r="195" customFormat="false" ht="20.1" hidden="false" customHeight="true" outlineLevel="0" collapsed="false">
      <c r="B195" s="62"/>
      <c r="C195" s="62"/>
      <c r="D195" s="63"/>
      <c r="E195" s="63"/>
      <c r="F195" s="63"/>
      <c r="G195" s="63"/>
      <c r="H195" s="62"/>
      <c r="I195" s="62"/>
      <c r="J195" s="62"/>
      <c r="K195" s="62"/>
      <c r="L195" s="62"/>
      <c r="M195" s="62"/>
      <c r="N195" s="62"/>
      <c r="O195" s="62"/>
      <c r="P195" s="62"/>
      <c r="Q195" s="62"/>
      <c r="R195" s="62"/>
      <c r="S195" s="62"/>
      <c r="T195" s="62"/>
      <c r="U195" s="62"/>
    </row>
    <row r="196" customFormat="false" ht="30" hidden="false" customHeight="true" outlineLevel="0" collapsed="false">
      <c r="B196" s="62"/>
      <c r="C196" s="64" t="s">
        <v>151</v>
      </c>
      <c r="D196" s="64"/>
      <c r="E196" s="64"/>
      <c r="F196" s="64"/>
      <c r="G196" s="64"/>
      <c r="H196" s="64"/>
      <c r="I196" s="64"/>
      <c r="J196" s="64"/>
      <c r="K196" s="64"/>
      <c r="L196" s="64"/>
      <c r="M196" s="64"/>
      <c r="N196" s="64"/>
      <c r="O196" s="64"/>
      <c r="P196" s="64"/>
      <c r="Q196" s="64"/>
      <c r="R196" s="64"/>
      <c r="S196" s="64"/>
      <c r="T196" s="64"/>
      <c r="U196" s="62"/>
    </row>
    <row r="197" customFormat="false" ht="20.1" hidden="false" customHeight="true" outlineLevel="0" collapsed="false">
      <c r="B197" s="62"/>
      <c r="U197" s="62"/>
    </row>
    <row r="198" customFormat="false" ht="20.1" hidden="false" customHeight="true" outlineLevel="0" collapsed="false">
      <c r="B198" s="62"/>
      <c r="D198" s="65" t="s">
        <v>53</v>
      </c>
      <c r="E198" s="66" t="s">
        <v>137</v>
      </c>
      <c r="F198" s="67" t="s">
        <v>11</v>
      </c>
      <c r="G198" s="223" t="s">
        <v>55</v>
      </c>
      <c r="H198" s="223"/>
      <c r="I198" s="223"/>
      <c r="J198" s="223"/>
      <c r="K198" s="66" t="s">
        <v>56</v>
      </c>
      <c r="L198" s="68" t="s">
        <v>57</v>
      </c>
      <c r="M198" s="68"/>
      <c r="N198" s="68"/>
      <c r="O198" s="68"/>
      <c r="P198" s="68"/>
      <c r="Q198" s="68"/>
      <c r="R198" s="68"/>
      <c r="S198" s="68"/>
      <c r="U198" s="62"/>
    </row>
    <row r="199" customFormat="false" ht="20.1" hidden="false" customHeight="true" outlineLevel="0" collapsed="false">
      <c r="B199" s="62"/>
      <c r="D199" s="65"/>
      <c r="E199" s="66"/>
      <c r="F199" s="66"/>
      <c r="G199" s="70" t="s">
        <v>58</v>
      </c>
      <c r="H199" s="69" t="s">
        <v>59</v>
      </c>
      <c r="I199" s="67" t="s">
        <v>60</v>
      </c>
      <c r="J199" s="67"/>
      <c r="K199" s="69" t="s">
        <v>61</v>
      </c>
      <c r="L199" s="224" t="s">
        <v>58</v>
      </c>
      <c r="M199" s="225" t="s">
        <v>62</v>
      </c>
      <c r="N199" s="226" t="s">
        <v>60</v>
      </c>
      <c r="O199" s="226"/>
      <c r="P199" s="226"/>
      <c r="Q199" s="226"/>
      <c r="R199" s="226"/>
      <c r="S199" s="226"/>
      <c r="U199" s="62"/>
    </row>
    <row r="200" customFormat="false" ht="35.1" hidden="false" customHeight="true" outlineLevel="0" collapsed="false">
      <c r="B200" s="62"/>
      <c r="D200" s="71" t="s">
        <v>41</v>
      </c>
      <c r="E200" s="16" t="s">
        <v>42</v>
      </c>
      <c r="F200" s="23" t="n">
        <v>1</v>
      </c>
      <c r="G200" s="276" t="s">
        <v>114</v>
      </c>
      <c r="H200" s="228" t="s">
        <v>109</v>
      </c>
      <c r="I200" s="277" t="s">
        <v>152</v>
      </c>
      <c r="J200" s="277"/>
      <c r="K200" s="278" t="s">
        <v>111</v>
      </c>
      <c r="L200" s="279" t="s">
        <v>67</v>
      </c>
      <c r="M200" s="77" t="s">
        <v>67</v>
      </c>
      <c r="N200" s="78" t="s">
        <v>67</v>
      </c>
      <c r="O200" s="78"/>
      <c r="P200" s="78"/>
      <c r="Q200" s="78"/>
      <c r="R200" s="78"/>
      <c r="S200" s="78"/>
      <c r="U200" s="62"/>
    </row>
    <row r="201" customFormat="false" ht="140.1" hidden="false" customHeight="true" outlineLevel="0" collapsed="false">
      <c r="B201" s="62"/>
      <c r="D201" s="79" t="s">
        <v>43</v>
      </c>
      <c r="E201" s="33" t="s">
        <v>44</v>
      </c>
      <c r="F201" s="31" t="n">
        <v>2</v>
      </c>
      <c r="G201" s="280" t="s">
        <v>63</v>
      </c>
      <c r="H201" s="81" t="s">
        <v>68</v>
      </c>
      <c r="I201" s="281" t="s">
        <v>153</v>
      </c>
      <c r="J201" s="281"/>
      <c r="K201" s="282" t="s">
        <v>111</v>
      </c>
      <c r="L201" s="283" t="s">
        <v>67</v>
      </c>
      <c r="M201" s="85" t="s">
        <v>67</v>
      </c>
      <c r="N201" s="86" t="s">
        <v>67</v>
      </c>
      <c r="O201" s="86"/>
      <c r="P201" s="86"/>
      <c r="Q201" s="86"/>
      <c r="R201" s="86"/>
      <c r="S201" s="86"/>
      <c r="U201" s="62"/>
    </row>
    <row r="202" customFormat="false" ht="35.1" hidden="false" customHeight="true" outlineLevel="0" collapsed="false">
      <c r="B202" s="62"/>
      <c r="D202" s="79" t="s">
        <v>45</v>
      </c>
      <c r="E202" s="33" t="s">
        <v>46</v>
      </c>
      <c r="F202" s="31" t="n">
        <v>3</v>
      </c>
      <c r="G202" s="284" t="s">
        <v>63</v>
      </c>
      <c r="H202" s="88" t="s">
        <v>154</v>
      </c>
      <c r="I202" s="93" t="s">
        <v>155</v>
      </c>
      <c r="J202" s="93"/>
      <c r="K202" s="282" t="s">
        <v>111</v>
      </c>
      <c r="L202" s="283" t="s">
        <v>67</v>
      </c>
      <c r="M202" s="85" t="s">
        <v>67</v>
      </c>
      <c r="N202" s="86" t="s">
        <v>67</v>
      </c>
      <c r="O202" s="86"/>
      <c r="P202" s="86"/>
      <c r="Q202" s="86"/>
      <c r="R202" s="86"/>
      <c r="S202" s="86"/>
      <c r="U202" s="62"/>
    </row>
    <row r="203" customFormat="false" ht="95.1" hidden="false" customHeight="true" outlineLevel="0" collapsed="false">
      <c r="B203" s="62"/>
      <c r="D203" s="234" t="s">
        <v>47</v>
      </c>
      <c r="E203" s="44" t="s">
        <v>48</v>
      </c>
      <c r="F203" s="50" t="n">
        <v>4</v>
      </c>
      <c r="G203" s="285" t="s">
        <v>63</v>
      </c>
      <c r="H203" s="95" t="s">
        <v>156</v>
      </c>
      <c r="I203" s="286" t="s">
        <v>157</v>
      </c>
      <c r="J203" s="286"/>
      <c r="K203" s="287" t="s">
        <v>111</v>
      </c>
      <c r="L203" s="288" t="s">
        <v>67</v>
      </c>
      <c r="M203" s="289" t="s">
        <v>67</v>
      </c>
      <c r="N203" s="100" t="s">
        <v>67</v>
      </c>
      <c r="O203" s="100"/>
      <c r="P203" s="100"/>
      <c r="Q203" s="100"/>
      <c r="R203" s="100"/>
      <c r="S203" s="100"/>
      <c r="U203" s="62"/>
    </row>
    <row r="204" customFormat="false" ht="20.1" hidden="false" customHeight="true" outlineLevel="0" collapsed="false">
      <c r="B204" s="62"/>
      <c r="U204" s="62"/>
    </row>
    <row r="205" customFormat="false" ht="20.1" hidden="false" customHeight="true" outlineLevel="0" collapsed="false">
      <c r="B205" s="62"/>
      <c r="C205" s="101"/>
      <c r="D205" s="101"/>
      <c r="E205" s="102" t="str">
        <f aca="false">IF(OR(L200="-",L200= ""),H200,L200)</f>
        <v>Die Burgen von Burgund</v>
      </c>
      <c r="F205" s="102"/>
      <c r="G205" s="102"/>
      <c r="H205" s="102"/>
      <c r="I205" s="102"/>
      <c r="J205" s="102"/>
      <c r="K205" s="102"/>
      <c r="L205" s="102"/>
      <c r="M205" s="102"/>
      <c r="N205" s="102"/>
      <c r="O205" s="103"/>
      <c r="P205" s="103"/>
      <c r="Q205" s="103"/>
      <c r="R205" s="103"/>
      <c r="S205" s="103"/>
      <c r="T205" s="101"/>
      <c r="U205" s="62"/>
    </row>
    <row r="206" customFormat="false" ht="50.1" hidden="false" customHeight="true" outlineLevel="0" collapsed="false">
      <c r="B206" s="62"/>
      <c r="C206" s="101"/>
      <c r="D206" s="103"/>
      <c r="E206" s="65" t="s">
        <v>53</v>
      </c>
      <c r="F206" s="104" t="s">
        <v>76</v>
      </c>
      <c r="G206" s="67" t="s">
        <v>77</v>
      </c>
      <c r="H206" s="66" t="s">
        <v>78</v>
      </c>
      <c r="I206" s="54" t="s">
        <v>79</v>
      </c>
      <c r="J206" s="66" t="s">
        <v>80</v>
      </c>
      <c r="K206" s="105" t="s">
        <v>81</v>
      </c>
      <c r="L206" s="66" t="s">
        <v>82</v>
      </c>
      <c r="M206" s="106" t="s">
        <v>83</v>
      </c>
      <c r="N206" s="67" t="s">
        <v>84</v>
      </c>
      <c r="O206" s="107" t="s">
        <v>85</v>
      </c>
      <c r="P206" s="108" t="s">
        <v>86</v>
      </c>
      <c r="Q206" s="108" t="s">
        <v>87</v>
      </c>
      <c r="R206" s="13" t="s">
        <v>88</v>
      </c>
      <c r="S206" s="103"/>
      <c r="T206" s="101"/>
      <c r="U206" s="62"/>
    </row>
    <row r="207" customFormat="false" ht="20.1" hidden="false" customHeight="true" outlineLevel="0" collapsed="false">
      <c r="B207" s="62"/>
      <c r="C207" s="101"/>
      <c r="D207" s="124"/>
      <c r="E207" s="71" t="s">
        <v>41</v>
      </c>
      <c r="F207" s="16" t="s">
        <v>42</v>
      </c>
      <c r="G207" s="250" t="n">
        <v>4</v>
      </c>
      <c r="H207" s="250" t="s">
        <v>158</v>
      </c>
      <c r="I207" s="250" t="n">
        <v>0</v>
      </c>
      <c r="J207" s="250" t="n">
        <v>218</v>
      </c>
      <c r="K207" s="250" t="s">
        <v>67</v>
      </c>
      <c r="L207" s="253" t="n">
        <f aca="false">IF(J207="",0,(J207/J211)*100)</f>
        <v>94.3722943722944</v>
      </c>
      <c r="M207" s="250" t="n">
        <v>2</v>
      </c>
      <c r="N207" s="254" t="n">
        <v>3</v>
      </c>
      <c r="O207" s="115" t="n">
        <f aca="false">IF(M207=1,1,0)</f>
        <v>0</v>
      </c>
      <c r="P207" s="116" t="n">
        <f aca="false">IF(M207=2,1,0)</f>
        <v>1</v>
      </c>
      <c r="Q207" s="116" t="n">
        <f aca="false">IF(M207=3,1,0)</f>
        <v>0</v>
      </c>
      <c r="R207" s="117" t="n">
        <f aca="false">IF(M207=4,1,0)</f>
        <v>0</v>
      </c>
      <c r="S207" s="118"/>
      <c r="T207" s="101"/>
      <c r="U207" s="62"/>
    </row>
    <row r="208" customFormat="false" ht="20.1" hidden="false" customHeight="true" outlineLevel="0" collapsed="false">
      <c r="B208" s="62"/>
      <c r="C208" s="101"/>
      <c r="D208" s="101"/>
      <c r="E208" s="79" t="s">
        <v>43</v>
      </c>
      <c r="F208" s="33" t="s">
        <v>44</v>
      </c>
      <c r="G208" s="241" t="n">
        <v>1</v>
      </c>
      <c r="H208" s="241" t="s">
        <v>146</v>
      </c>
      <c r="I208" s="241" t="n">
        <v>0</v>
      </c>
      <c r="J208" s="241" t="n">
        <v>190</v>
      </c>
      <c r="K208" s="242" t="s">
        <v>67</v>
      </c>
      <c r="L208" s="243" t="n">
        <f aca="false">IF(J208="",0,(J208/J211)*100)</f>
        <v>82.2510822510823</v>
      </c>
      <c r="M208" s="241" t="n">
        <v>3</v>
      </c>
      <c r="N208" s="244" t="n">
        <v>1</v>
      </c>
      <c r="O208" s="121" t="n">
        <f aca="false">IF(M208=1,1,0)</f>
        <v>0</v>
      </c>
      <c r="P208" s="122" t="n">
        <f aca="false">IF(M208=2,1,0)</f>
        <v>0</v>
      </c>
      <c r="Q208" s="122" t="n">
        <f aca="false">IF(M208=3,1,0)</f>
        <v>1</v>
      </c>
      <c r="R208" s="123" t="n">
        <f aca="false">IF(M208=4,1,0)</f>
        <v>0</v>
      </c>
      <c r="S208" s="118"/>
      <c r="T208" s="101"/>
      <c r="U208" s="62"/>
    </row>
    <row r="209" customFormat="false" ht="20.1" hidden="false" customHeight="true" outlineLevel="0" collapsed="false">
      <c r="B209" s="62"/>
      <c r="C209" s="101"/>
      <c r="D209" s="101"/>
      <c r="E209" s="79" t="s">
        <v>45</v>
      </c>
      <c r="F209" s="33" t="s">
        <v>46</v>
      </c>
      <c r="G209" s="241" t="n">
        <v>3</v>
      </c>
      <c r="H209" s="241" t="s">
        <v>146</v>
      </c>
      <c r="I209" s="241" t="n">
        <v>0</v>
      </c>
      <c r="J209" s="241" t="n">
        <v>185</v>
      </c>
      <c r="K209" s="241" t="s">
        <v>67</v>
      </c>
      <c r="L209" s="243" t="n">
        <f aca="false">IF(J209="",0,(J209/J211)*100)</f>
        <v>80.0865800865801</v>
      </c>
      <c r="M209" s="241" t="n">
        <v>4</v>
      </c>
      <c r="N209" s="244" t="n">
        <v>0</v>
      </c>
      <c r="O209" s="121" t="n">
        <f aca="false">IF(M209=1,1,0)</f>
        <v>0</v>
      </c>
      <c r="P209" s="122" t="n">
        <f aca="false">IF(M209=2,1,0)</f>
        <v>0</v>
      </c>
      <c r="Q209" s="122" t="n">
        <f aca="false">IF(M209=3,1,0)</f>
        <v>0</v>
      </c>
      <c r="R209" s="123" t="n">
        <f aca="false">IF(M209=4,1,0)</f>
        <v>1</v>
      </c>
      <c r="S209" s="118"/>
      <c r="T209" s="101"/>
      <c r="U209" s="62"/>
    </row>
    <row r="210" customFormat="false" ht="20.1" hidden="false" customHeight="true" outlineLevel="0" collapsed="false">
      <c r="B210" s="62"/>
      <c r="C210" s="101"/>
      <c r="D210" s="101"/>
      <c r="E210" s="293" t="s">
        <v>47</v>
      </c>
      <c r="F210" s="294" t="s">
        <v>48</v>
      </c>
      <c r="G210" s="295" t="n">
        <v>2</v>
      </c>
      <c r="H210" s="295" t="s">
        <v>146</v>
      </c>
      <c r="I210" s="295" t="n">
        <v>0</v>
      </c>
      <c r="J210" s="295" t="n">
        <v>231</v>
      </c>
      <c r="K210" s="296" t="s">
        <v>67</v>
      </c>
      <c r="L210" s="297" t="n">
        <f aca="false">IF(J210="",0,(J210/J211)*100)</f>
        <v>100</v>
      </c>
      <c r="M210" s="295" t="n">
        <v>1</v>
      </c>
      <c r="N210" s="298" t="n">
        <v>6</v>
      </c>
      <c r="O210" s="127" t="n">
        <f aca="false">IF(M210=1,1,0)</f>
        <v>1</v>
      </c>
      <c r="P210" s="128" t="n">
        <f aca="false">IF(M210=2,1,0)</f>
        <v>0</v>
      </c>
      <c r="Q210" s="128" t="n">
        <f aca="false">IF(M210=3,1,0)</f>
        <v>0</v>
      </c>
      <c r="R210" s="129" t="n">
        <f aca="false">IF(M210=4,1,0)</f>
        <v>0</v>
      </c>
      <c r="S210" s="118"/>
      <c r="T210" s="101"/>
      <c r="U210" s="62"/>
    </row>
    <row r="211" customFormat="false" ht="20.1" hidden="true" customHeight="true" outlineLevel="1" collapsed="false">
      <c r="B211" s="62"/>
      <c r="C211" s="101"/>
      <c r="D211" s="124"/>
      <c r="E211" s="124"/>
      <c r="F211" s="131"/>
      <c r="G211" s="131"/>
      <c r="H211" s="101"/>
      <c r="I211" s="179" t="s">
        <v>89</v>
      </c>
      <c r="J211" s="133" t="n">
        <f aca="false">MAX(J207:J210)</f>
        <v>231</v>
      </c>
      <c r="K211" s="249"/>
      <c r="L211" s="139"/>
      <c r="M211" s="101"/>
      <c r="N211" s="136" t="s">
        <v>90</v>
      </c>
      <c r="O211" s="137" t="n">
        <f aca="false">SUM(O207:O210)</f>
        <v>1</v>
      </c>
      <c r="P211" s="138" t="n">
        <f aca="false">SUM(P207:P210)</f>
        <v>1</v>
      </c>
      <c r="Q211" s="137" t="n">
        <f aca="false">SUM(Q207:Q210)</f>
        <v>1</v>
      </c>
      <c r="R211" s="160" t="n">
        <f aca="false">SUM(R207:R210)</f>
        <v>1</v>
      </c>
      <c r="S211" s="139"/>
      <c r="T211" s="101"/>
      <c r="U211" s="62"/>
    </row>
    <row r="212" customFormat="false" ht="20.1" hidden="false" customHeight="true" outlineLevel="0" collapsed="false">
      <c r="B212" s="62"/>
      <c r="C212" s="101"/>
      <c r="D212" s="101"/>
      <c r="E212" s="101"/>
      <c r="F212" s="101"/>
      <c r="G212" s="101"/>
      <c r="H212" s="101"/>
      <c r="I212" s="101"/>
      <c r="J212" s="101"/>
      <c r="K212" s="101"/>
      <c r="L212" s="101"/>
      <c r="M212" s="101"/>
      <c r="N212" s="101"/>
      <c r="O212" s="101"/>
      <c r="P212" s="101"/>
      <c r="Q212" s="101"/>
      <c r="R212" s="101"/>
      <c r="S212" s="101"/>
      <c r="T212" s="101"/>
      <c r="U212" s="62"/>
    </row>
    <row r="213" customFormat="false" ht="20.1" hidden="false" customHeight="true" outlineLevel="0" collapsed="false">
      <c r="B213" s="62"/>
      <c r="U213" s="62"/>
    </row>
    <row r="214" customFormat="false" ht="20.1" hidden="false" customHeight="true" outlineLevel="0" collapsed="false">
      <c r="B214" s="62"/>
      <c r="C214" s="141"/>
      <c r="D214" s="141"/>
      <c r="E214" s="142" t="str">
        <f aca="false">IF(OR(L201="-",L201= ""),H201,L201)</f>
        <v>Terra Mystica</v>
      </c>
      <c r="F214" s="142"/>
      <c r="G214" s="142"/>
      <c r="H214" s="142"/>
      <c r="I214" s="142"/>
      <c r="J214" s="142"/>
      <c r="K214" s="142"/>
      <c r="L214" s="142"/>
      <c r="M214" s="142"/>
      <c r="N214" s="142"/>
      <c r="O214" s="143"/>
      <c r="P214" s="143"/>
      <c r="Q214" s="143"/>
      <c r="R214" s="143"/>
      <c r="S214" s="143"/>
      <c r="T214" s="141"/>
      <c r="U214" s="62"/>
    </row>
    <row r="215" customFormat="false" ht="50.1" hidden="false" customHeight="true" outlineLevel="0" collapsed="false">
      <c r="B215" s="62"/>
      <c r="C215" s="141"/>
      <c r="D215" s="143"/>
      <c r="E215" s="65" t="s">
        <v>53</v>
      </c>
      <c r="F215" s="104" t="s">
        <v>76</v>
      </c>
      <c r="G215" s="67" t="s">
        <v>77</v>
      </c>
      <c r="H215" s="66" t="s">
        <v>78</v>
      </c>
      <c r="I215" s="54" t="s">
        <v>79</v>
      </c>
      <c r="J215" s="66" t="s">
        <v>80</v>
      </c>
      <c r="K215" s="105" t="s">
        <v>81</v>
      </c>
      <c r="L215" s="66" t="s">
        <v>82</v>
      </c>
      <c r="M215" s="106" t="s">
        <v>83</v>
      </c>
      <c r="N215" s="67" t="s">
        <v>84</v>
      </c>
      <c r="O215" s="107" t="s">
        <v>85</v>
      </c>
      <c r="P215" s="108" t="s">
        <v>86</v>
      </c>
      <c r="Q215" s="108" t="s">
        <v>87</v>
      </c>
      <c r="R215" s="13" t="s">
        <v>88</v>
      </c>
      <c r="S215" s="143"/>
      <c r="T215" s="141"/>
      <c r="U215" s="62"/>
    </row>
    <row r="216" customFormat="false" ht="20.1" hidden="false" customHeight="true" outlineLevel="0" collapsed="false">
      <c r="B216" s="62"/>
      <c r="C216" s="141"/>
      <c r="D216" s="148"/>
      <c r="E216" s="71" t="s">
        <v>41</v>
      </c>
      <c r="F216" s="16" t="s">
        <v>42</v>
      </c>
      <c r="G216" s="250" t="n">
        <v>2</v>
      </c>
      <c r="H216" s="250" t="s">
        <v>91</v>
      </c>
      <c r="I216" s="250" t="n">
        <v>25</v>
      </c>
      <c r="J216" s="250" t="n">
        <v>64</v>
      </c>
      <c r="K216" s="250" t="s">
        <v>67</v>
      </c>
      <c r="L216" s="253" t="n">
        <f aca="false">IF(J216="",0,(J216/J220)*100)</f>
        <v>40.251572327044</v>
      </c>
      <c r="M216" s="250" t="n">
        <v>4</v>
      </c>
      <c r="N216" s="254" t="n">
        <v>0</v>
      </c>
      <c r="O216" s="115" t="n">
        <f aca="false">IF(M216=1,1,0)</f>
        <v>0</v>
      </c>
      <c r="P216" s="116" t="n">
        <f aca="false">IF(M216=2,1,0)</f>
        <v>0</v>
      </c>
      <c r="Q216" s="116" t="n">
        <f aca="false">IF(M216=3,1,0)</f>
        <v>0</v>
      </c>
      <c r="R216" s="117" t="n">
        <f aca="false">IF(M216=4,1,0)</f>
        <v>1</v>
      </c>
      <c r="S216" s="147"/>
      <c r="T216" s="141"/>
      <c r="U216" s="62"/>
    </row>
    <row r="217" customFormat="false" ht="20.1" hidden="false" customHeight="true" outlineLevel="0" collapsed="false">
      <c r="B217" s="62"/>
      <c r="C217" s="141"/>
      <c r="D217" s="141"/>
      <c r="E217" s="79" t="s">
        <v>43</v>
      </c>
      <c r="F217" s="33" t="s">
        <v>44</v>
      </c>
      <c r="G217" s="241" t="n">
        <v>4</v>
      </c>
      <c r="H217" s="241" t="s">
        <v>159</v>
      </c>
      <c r="I217" s="241" t="n">
        <v>15</v>
      </c>
      <c r="J217" s="241" t="n">
        <v>134</v>
      </c>
      <c r="K217" s="242" t="s">
        <v>67</v>
      </c>
      <c r="L217" s="243" t="n">
        <f aca="false">IF(J217="",0,(J217/J220)*100)</f>
        <v>84.2767295597484</v>
      </c>
      <c r="M217" s="241" t="n">
        <v>2</v>
      </c>
      <c r="N217" s="244" t="n">
        <v>3</v>
      </c>
      <c r="O217" s="121" t="n">
        <f aca="false">IF(M217=1,1,0)</f>
        <v>0</v>
      </c>
      <c r="P217" s="122" t="n">
        <f aca="false">IF(M217=2,1,0)</f>
        <v>1</v>
      </c>
      <c r="Q217" s="122" t="n">
        <f aca="false">IF(M217=3,1,0)</f>
        <v>0</v>
      </c>
      <c r="R217" s="123" t="n">
        <f aca="false">IF(M217=4,1,0)</f>
        <v>0</v>
      </c>
      <c r="S217" s="147"/>
      <c r="T217" s="141"/>
      <c r="U217" s="62"/>
    </row>
    <row r="218" customFormat="false" ht="20.1" hidden="false" customHeight="true" outlineLevel="0" collapsed="false">
      <c r="B218" s="62"/>
      <c r="C218" s="141"/>
      <c r="D218" s="148"/>
      <c r="E218" s="79" t="s">
        <v>45</v>
      </c>
      <c r="F218" s="33" t="s">
        <v>46</v>
      </c>
      <c r="G218" s="241" t="n">
        <v>1</v>
      </c>
      <c r="H218" s="241" t="s">
        <v>160</v>
      </c>
      <c r="I218" s="241" t="n">
        <v>20</v>
      </c>
      <c r="J218" s="241" t="n">
        <v>112</v>
      </c>
      <c r="K218" s="241" t="s">
        <v>67</v>
      </c>
      <c r="L218" s="243" t="n">
        <f aca="false">IF(J218="",0,(J218/J220)*100)</f>
        <v>70.440251572327</v>
      </c>
      <c r="M218" s="241" t="n">
        <v>3</v>
      </c>
      <c r="N218" s="244" t="n">
        <v>1</v>
      </c>
      <c r="O218" s="121" t="n">
        <f aca="false">IF(M218=1,1,0)</f>
        <v>0</v>
      </c>
      <c r="P218" s="122" t="n">
        <f aca="false">IF(M218=2,1,0)</f>
        <v>0</v>
      </c>
      <c r="Q218" s="122" t="n">
        <f aca="false">IF(M218=3,1,0)</f>
        <v>1</v>
      </c>
      <c r="R218" s="123" t="n">
        <f aca="false">IF(M218=4,1,0)</f>
        <v>0</v>
      </c>
      <c r="S218" s="147"/>
      <c r="T218" s="141"/>
      <c r="U218" s="62"/>
    </row>
    <row r="219" customFormat="false" ht="20.1" hidden="false" customHeight="true" outlineLevel="0" collapsed="false">
      <c r="B219" s="62"/>
      <c r="C219" s="141"/>
      <c r="D219" s="141"/>
      <c r="E219" s="293" t="s">
        <v>47</v>
      </c>
      <c r="F219" s="294" t="s">
        <v>48</v>
      </c>
      <c r="G219" s="295" t="n">
        <v>3</v>
      </c>
      <c r="H219" s="295" t="s">
        <v>161</v>
      </c>
      <c r="I219" s="295" t="n">
        <v>20</v>
      </c>
      <c r="J219" s="295" t="n">
        <v>159</v>
      </c>
      <c r="K219" s="296" t="s">
        <v>67</v>
      </c>
      <c r="L219" s="297" t="n">
        <f aca="false">IF(J219="",0,(J219/J220)*100)</f>
        <v>100</v>
      </c>
      <c r="M219" s="295" t="n">
        <v>1</v>
      </c>
      <c r="N219" s="298" t="n">
        <v>6</v>
      </c>
      <c r="O219" s="127" t="n">
        <f aca="false">IF(M219=1,1,0)</f>
        <v>1</v>
      </c>
      <c r="P219" s="128" t="n">
        <f aca="false">IF(M219=2,1,0)</f>
        <v>0</v>
      </c>
      <c r="Q219" s="128" t="n">
        <f aca="false">IF(M219=3,1,0)</f>
        <v>0</v>
      </c>
      <c r="R219" s="129" t="n">
        <f aca="false">IF(M219=4,1,0)</f>
        <v>0</v>
      </c>
      <c r="S219" s="147"/>
      <c r="T219" s="141"/>
      <c r="U219" s="62"/>
    </row>
    <row r="220" customFormat="false" ht="20.1" hidden="true" customHeight="true" outlineLevel="1" collapsed="false">
      <c r="B220" s="62"/>
      <c r="C220" s="141"/>
      <c r="D220" s="141"/>
      <c r="E220" s="141"/>
      <c r="F220" s="157"/>
      <c r="G220" s="157"/>
      <c r="H220" s="141"/>
      <c r="I220" s="179" t="s">
        <v>89</v>
      </c>
      <c r="J220" s="133" t="n">
        <f aca="false">MAX(J216:J219)</f>
        <v>159</v>
      </c>
      <c r="K220" s="159"/>
      <c r="L220" s="147"/>
      <c r="M220" s="141"/>
      <c r="N220" s="136" t="s">
        <v>90</v>
      </c>
      <c r="O220" s="137" t="n">
        <f aca="false">SUM(O216:O219)</f>
        <v>1</v>
      </c>
      <c r="P220" s="138" t="n">
        <f aca="false">SUM(P216:P219)</f>
        <v>1</v>
      </c>
      <c r="Q220" s="137" t="n">
        <f aca="false">SUM(Q216:Q219)</f>
        <v>1</v>
      </c>
      <c r="R220" s="160" t="n">
        <f aca="false">SUM(R216:R219)</f>
        <v>1</v>
      </c>
      <c r="S220" s="161"/>
      <c r="T220" s="141"/>
      <c r="U220" s="62"/>
    </row>
    <row r="221" customFormat="false" ht="20.1" hidden="false" customHeight="true" outlineLevel="0" collapsed="false">
      <c r="B221" s="62"/>
      <c r="C221" s="141"/>
      <c r="D221" s="141"/>
      <c r="E221" s="141"/>
      <c r="F221" s="141"/>
      <c r="G221" s="141"/>
      <c r="H221" s="141"/>
      <c r="I221" s="141"/>
      <c r="J221" s="141"/>
      <c r="K221" s="141"/>
      <c r="L221" s="141"/>
      <c r="M221" s="141"/>
      <c r="N221" s="141"/>
      <c r="O221" s="141"/>
      <c r="P221" s="141"/>
      <c r="Q221" s="141"/>
      <c r="R221" s="141"/>
      <c r="S221" s="141"/>
      <c r="T221" s="141"/>
      <c r="U221" s="62"/>
    </row>
    <row r="222" customFormat="false" ht="20.1" hidden="false" customHeight="true" outlineLevel="0" collapsed="false">
      <c r="B222" s="62"/>
      <c r="D222" s="162"/>
      <c r="E222" s="162"/>
      <c r="F222" s="162"/>
      <c r="G222" s="162"/>
      <c r="H222" s="163"/>
      <c r="I222" s="162"/>
      <c r="J222" s="162"/>
      <c r="U222" s="62"/>
    </row>
    <row r="223" customFormat="false" ht="20.1" hidden="false" customHeight="true" outlineLevel="0" collapsed="false">
      <c r="B223" s="62"/>
      <c r="C223" s="164"/>
      <c r="D223" s="164"/>
      <c r="E223" s="165" t="str">
        <f aca="false">IF(OR(L202="-",L202= ""),H202,L202)</f>
        <v>Auf den Spuren von Marco Polo</v>
      </c>
      <c r="F223" s="165"/>
      <c r="G223" s="165"/>
      <c r="H223" s="165"/>
      <c r="I223" s="165"/>
      <c r="J223" s="165"/>
      <c r="K223" s="165"/>
      <c r="L223" s="165"/>
      <c r="M223" s="165"/>
      <c r="N223" s="165"/>
      <c r="O223" s="166"/>
      <c r="P223" s="166"/>
      <c r="Q223" s="166"/>
      <c r="R223" s="166"/>
      <c r="S223" s="166"/>
      <c r="T223" s="164"/>
      <c r="U223" s="167"/>
    </row>
    <row r="224" customFormat="false" ht="50.1" hidden="false" customHeight="true" outlineLevel="0" collapsed="false">
      <c r="B224" s="62"/>
      <c r="C224" s="164"/>
      <c r="D224" s="166"/>
      <c r="E224" s="65" t="s">
        <v>53</v>
      </c>
      <c r="F224" s="104" t="s">
        <v>76</v>
      </c>
      <c r="G224" s="67" t="s">
        <v>77</v>
      </c>
      <c r="H224" s="66" t="s">
        <v>78</v>
      </c>
      <c r="I224" s="54" t="s">
        <v>79</v>
      </c>
      <c r="J224" s="66" t="s">
        <v>80</v>
      </c>
      <c r="K224" s="105" t="s">
        <v>81</v>
      </c>
      <c r="L224" s="66" t="s">
        <v>82</v>
      </c>
      <c r="M224" s="106" t="s">
        <v>83</v>
      </c>
      <c r="N224" s="67" t="s">
        <v>84</v>
      </c>
      <c r="O224" s="107" t="s">
        <v>85</v>
      </c>
      <c r="P224" s="108" t="s">
        <v>86</v>
      </c>
      <c r="Q224" s="108" t="s">
        <v>87</v>
      </c>
      <c r="R224" s="13" t="s">
        <v>88</v>
      </c>
      <c r="S224" s="166"/>
      <c r="T224" s="164"/>
      <c r="U224" s="167"/>
    </row>
    <row r="225" customFormat="false" ht="20.1" hidden="false" customHeight="true" outlineLevel="0" collapsed="false">
      <c r="B225" s="62"/>
      <c r="C225" s="164"/>
      <c r="D225" s="171"/>
      <c r="E225" s="109" t="s">
        <v>41</v>
      </c>
      <c r="F225" s="110" t="s">
        <v>42</v>
      </c>
      <c r="G225" s="111" t="n">
        <v>4</v>
      </c>
      <c r="H225" s="112" t="s">
        <v>162</v>
      </c>
      <c r="I225" s="111" t="n">
        <v>0</v>
      </c>
      <c r="J225" s="112" t="n">
        <v>77</v>
      </c>
      <c r="K225" s="112" t="s">
        <v>67</v>
      </c>
      <c r="L225" s="113" t="n">
        <f aca="false">IF(J225="",0,(J225/J229)*100)</f>
        <v>100</v>
      </c>
      <c r="M225" s="111" t="n">
        <v>1</v>
      </c>
      <c r="N225" s="114" t="n">
        <v>6</v>
      </c>
      <c r="O225" s="115" t="n">
        <f aca="false">IF(M225=1,1,0)</f>
        <v>1</v>
      </c>
      <c r="P225" s="116" t="n">
        <f aca="false">IF(M225=2,1,0)</f>
        <v>0</v>
      </c>
      <c r="Q225" s="116" t="n">
        <f aca="false">IF(M225=3,1,0)</f>
        <v>0</v>
      </c>
      <c r="R225" s="117" t="n">
        <f aca="false">IF(M225=4,1,0)</f>
        <v>0</v>
      </c>
      <c r="S225" s="170"/>
      <c r="T225" s="164"/>
      <c r="U225" s="62"/>
    </row>
    <row r="226" customFormat="false" ht="20.1" hidden="false" customHeight="true" outlineLevel="0" collapsed="false">
      <c r="B226" s="62"/>
      <c r="C226" s="164"/>
      <c r="D226" s="164"/>
      <c r="E226" s="79" t="s">
        <v>43</v>
      </c>
      <c r="F226" s="33" t="s">
        <v>44</v>
      </c>
      <c r="G226" s="241" t="n">
        <v>2</v>
      </c>
      <c r="H226" s="242" t="s">
        <v>163</v>
      </c>
      <c r="I226" s="241" t="n">
        <v>0</v>
      </c>
      <c r="J226" s="242" t="n">
        <v>67</v>
      </c>
      <c r="K226" s="242" t="s">
        <v>67</v>
      </c>
      <c r="L226" s="243" t="n">
        <f aca="false">IF(J226="",0,(J226/J229)*100)</f>
        <v>87.012987012987</v>
      </c>
      <c r="M226" s="241" t="n">
        <v>2</v>
      </c>
      <c r="N226" s="244" t="n">
        <v>3</v>
      </c>
      <c r="O226" s="121" t="n">
        <f aca="false">IF(M226=1,1,0)</f>
        <v>0</v>
      </c>
      <c r="P226" s="122" t="n">
        <f aca="false">IF(M226=2,1,0)</f>
        <v>1</v>
      </c>
      <c r="Q226" s="122" t="n">
        <f aca="false">IF(M226=3,1,0)</f>
        <v>0</v>
      </c>
      <c r="R226" s="123" t="n">
        <f aca="false">IF(M226=4,1,0)</f>
        <v>0</v>
      </c>
      <c r="S226" s="170"/>
      <c r="T226" s="164"/>
      <c r="U226" s="173"/>
    </row>
    <row r="227" customFormat="false" ht="20.1" hidden="false" customHeight="true" outlineLevel="0" collapsed="false">
      <c r="B227" s="62"/>
      <c r="C227" s="164"/>
      <c r="D227" s="164"/>
      <c r="E227" s="79" t="s">
        <v>45</v>
      </c>
      <c r="F227" s="33" t="s">
        <v>46</v>
      </c>
      <c r="G227" s="241" t="n">
        <v>3</v>
      </c>
      <c r="H227" s="242" t="s">
        <v>164</v>
      </c>
      <c r="I227" s="241" t="n">
        <v>0</v>
      </c>
      <c r="J227" s="242" t="n">
        <v>60</v>
      </c>
      <c r="K227" s="242" t="s">
        <v>67</v>
      </c>
      <c r="L227" s="243" t="n">
        <f aca="false">IF(J227="",0,(J227/J229)*100)</f>
        <v>77.9220779220779</v>
      </c>
      <c r="M227" s="241" t="n">
        <v>4</v>
      </c>
      <c r="N227" s="244" t="n">
        <v>0</v>
      </c>
      <c r="O227" s="121" t="n">
        <f aca="false">IF(M227=1,1,0)</f>
        <v>0</v>
      </c>
      <c r="P227" s="122" t="n">
        <f aca="false">IF(M227=2,1,0)</f>
        <v>0</v>
      </c>
      <c r="Q227" s="122" t="n">
        <f aca="false">IF(M227=3,1,0)</f>
        <v>0</v>
      </c>
      <c r="R227" s="123" t="n">
        <f aca="false">IF(M227=4,1,0)</f>
        <v>1</v>
      </c>
      <c r="S227" s="170"/>
      <c r="T227" s="164"/>
      <c r="U227" s="173"/>
    </row>
    <row r="228" customFormat="false" ht="20.1" hidden="false" customHeight="true" outlineLevel="0" collapsed="false">
      <c r="B228" s="62"/>
      <c r="C228" s="164"/>
      <c r="D228" s="164"/>
      <c r="E228" s="234" t="s">
        <v>47</v>
      </c>
      <c r="F228" s="44" t="s">
        <v>48</v>
      </c>
      <c r="G228" s="245" t="n">
        <v>1</v>
      </c>
      <c r="H228" s="246" t="s">
        <v>165</v>
      </c>
      <c r="I228" s="245" t="n">
        <v>0</v>
      </c>
      <c r="J228" s="246" t="n">
        <v>66</v>
      </c>
      <c r="K228" s="246" t="s">
        <v>67</v>
      </c>
      <c r="L228" s="247" t="n">
        <f aca="false">IF(J228="",0,(J228/J229)*100)</f>
        <v>85.7142857142857</v>
      </c>
      <c r="M228" s="245" t="n">
        <v>3</v>
      </c>
      <c r="N228" s="248" t="n">
        <v>1</v>
      </c>
      <c r="O228" s="127" t="n">
        <f aca="false">IF(M228=1,1,0)</f>
        <v>0</v>
      </c>
      <c r="P228" s="128" t="n">
        <f aca="false">IF(M228=2,1,0)</f>
        <v>0</v>
      </c>
      <c r="Q228" s="128" t="n">
        <f aca="false">IF(M228=3,1,0)</f>
        <v>1</v>
      </c>
      <c r="R228" s="129" t="n">
        <f aca="false">IF(M228=4,1,0)</f>
        <v>0</v>
      </c>
      <c r="S228" s="170"/>
      <c r="T228" s="164"/>
      <c r="U228" s="173"/>
    </row>
    <row r="229" customFormat="false" ht="20.1" hidden="true" customHeight="true" outlineLevel="1" collapsed="false">
      <c r="B229" s="62"/>
      <c r="C229" s="164"/>
      <c r="D229" s="164"/>
      <c r="E229" s="164"/>
      <c r="F229" s="178"/>
      <c r="G229" s="178"/>
      <c r="H229" s="164"/>
      <c r="I229" s="179" t="s">
        <v>89</v>
      </c>
      <c r="J229" s="133" t="n">
        <f aca="false">MAX(J225:J228)</f>
        <v>77</v>
      </c>
      <c r="K229" s="180"/>
      <c r="L229" s="170"/>
      <c r="M229" s="164"/>
      <c r="N229" s="136" t="s">
        <v>90</v>
      </c>
      <c r="O229" s="137" t="n">
        <f aca="false">SUM(O225:O228)</f>
        <v>1</v>
      </c>
      <c r="P229" s="138" t="n">
        <f aca="false">SUM(P225:P228)</f>
        <v>1</v>
      </c>
      <c r="Q229" s="137" t="n">
        <f aca="false">SUM(Q225:Q228)</f>
        <v>1</v>
      </c>
      <c r="R229" s="160" t="n">
        <f aca="false">SUM(R225:R228)</f>
        <v>1</v>
      </c>
      <c r="S229" s="181"/>
      <c r="T229" s="164"/>
      <c r="U229" s="173"/>
    </row>
    <row r="230" customFormat="false" ht="20.1" hidden="false" customHeight="true" outlineLevel="0" collapsed="false">
      <c r="B230" s="62"/>
      <c r="C230" s="164"/>
      <c r="D230" s="164"/>
      <c r="E230" s="164"/>
      <c r="F230" s="164"/>
      <c r="G230" s="164"/>
      <c r="H230" s="164"/>
      <c r="I230" s="164"/>
      <c r="J230" s="164"/>
      <c r="K230" s="164"/>
      <c r="L230" s="164"/>
      <c r="M230" s="164"/>
      <c r="N230" s="164"/>
      <c r="O230" s="164"/>
      <c r="P230" s="164"/>
      <c r="Q230" s="164"/>
      <c r="R230" s="164"/>
      <c r="S230" s="164"/>
      <c r="T230" s="164"/>
      <c r="U230" s="173"/>
    </row>
    <row r="231" customFormat="false" ht="20.1" hidden="false" customHeight="true" outlineLevel="0" collapsed="false">
      <c r="B231" s="62"/>
      <c r="D231" s="162"/>
      <c r="E231" s="162"/>
      <c r="F231" s="162"/>
      <c r="G231" s="162"/>
      <c r="H231" s="163"/>
      <c r="I231" s="162"/>
      <c r="J231" s="162"/>
      <c r="K231" s="162"/>
      <c r="U231" s="62"/>
    </row>
    <row r="232" customFormat="false" ht="20.1" hidden="false" customHeight="true" outlineLevel="0" collapsed="false">
      <c r="B232" s="62"/>
      <c r="C232" s="182"/>
      <c r="D232" s="182"/>
      <c r="E232" s="183" t="str">
        <f aca="false">IF(OR(M203="-",M203= ""),H203,M203)</f>
        <v>Stone Age</v>
      </c>
      <c r="F232" s="183"/>
      <c r="G232" s="183"/>
      <c r="H232" s="183"/>
      <c r="I232" s="183"/>
      <c r="J232" s="183"/>
      <c r="K232" s="183"/>
      <c r="L232" s="183"/>
      <c r="M232" s="183"/>
      <c r="N232" s="183"/>
      <c r="O232" s="184"/>
      <c r="P232" s="184"/>
      <c r="Q232" s="184"/>
      <c r="R232" s="184"/>
      <c r="S232" s="184"/>
      <c r="T232" s="182"/>
      <c r="U232" s="62"/>
    </row>
    <row r="233" customFormat="false" ht="50.1" hidden="false" customHeight="true" outlineLevel="0" collapsed="false">
      <c r="B233" s="62"/>
      <c r="C233" s="182"/>
      <c r="D233" s="184"/>
      <c r="E233" s="65" t="s">
        <v>53</v>
      </c>
      <c r="F233" s="104" t="s">
        <v>76</v>
      </c>
      <c r="G233" s="67" t="s">
        <v>77</v>
      </c>
      <c r="H233" s="66" t="s">
        <v>78</v>
      </c>
      <c r="I233" s="54" t="s">
        <v>79</v>
      </c>
      <c r="J233" s="66" t="s">
        <v>80</v>
      </c>
      <c r="K233" s="105" t="s">
        <v>81</v>
      </c>
      <c r="L233" s="66" t="s">
        <v>82</v>
      </c>
      <c r="M233" s="106" t="s">
        <v>83</v>
      </c>
      <c r="N233" s="67" t="s">
        <v>84</v>
      </c>
      <c r="O233" s="107" t="s">
        <v>85</v>
      </c>
      <c r="P233" s="108" t="s">
        <v>86</v>
      </c>
      <c r="Q233" s="108" t="s">
        <v>87</v>
      </c>
      <c r="R233" s="13" t="s">
        <v>88</v>
      </c>
      <c r="S233" s="184"/>
      <c r="T233" s="182"/>
      <c r="U233" s="62"/>
    </row>
    <row r="234" customFormat="false" ht="20.1" hidden="false" customHeight="true" outlineLevel="0" collapsed="false">
      <c r="B234" s="62"/>
      <c r="C234" s="182"/>
      <c r="D234" s="182"/>
      <c r="E234" s="71" t="s">
        <v>41</v>
      </c>
      <c r="F234" s="16" t="s">
        <v>42</v>
      </c>
      <c r="G234" s="250" t="n">
        <v>4</v>
      </c>
      <c r="H234" s="251" t="s">
        <v>67</v>
      </c>
      <c r="I234" s="250" t="n">
        <v>0</v>
      </c>
      <c r="J234" s="299" t="n">
        <v>149</v>
      </c>
      <c r="K234" s="251" t="s">
        <v>67</v>
      </c>
      <c r="L234" s="253" t="n">
        <f aca="false">IF(J234="",0,(J234/J238)*100)</f>
        <v>47.3015873015873</v>
      </c>
      <c r="M234" s="250" t="n">
        <v>4</v>
      </c>
      <c r="N234" s="254" t="n">
        <v>0</v>
      </c>
      <c r="O234" s="115" t="n">
        <f aca="false">IF(M234=1,1,0)</f>
        <v>0</v>
      </c>
      <c r="P234" s="116" t="n">
        <f aca="false">IF(M234=2,1,0)</f>
        <v>0</v>
      </c>
      <c r="Q234" s="116" t="n">
        <f aca="false">IF(M234=3,1,0)</f>
        <v>0</v>
      </c>
      <c r="R234" s="117" t="n">
        <f aca="false">IF(M234=4,1,0)</f>
        <v>1</v>
      </c>
      <c r="S234" s="185"/>
      <c r="T234" s="182"/>
      <c r="U234" s="62"/>
    </row>
    <row r="235" customFormat="false" ht="20.1" hidden="false" customHeight="true" outlineLevel="0" collapsed="false">
      <c r="B235" s="62"/>
      <c r="C235" s="182"/>
      <c r="D235" s="182"/>
      <c r="E235" s="79" t="s">
        <v>43</v>
      </c>
      <c r="F235" s="33" t="s">
        <v>44</v>
      </c>
      <c r="G235" s="241" t="n">
        <v>3</v>
      </c>
      <c r="H235" s="241" t="s">
        <v>67</v>
      </c>
      <c r="I235" s="241" t="n">
        <v>0</v>
      </c>
      <c r="J235" s="300" t="n">
        <v>151</v>
      </c>
      <c r="K235" s="242" t="s">
        <v>67</v>
      </c>
      <c r="L235" s="243" t="n">
        <f aca="false">IF(J235="",0,(J235/J238)*100)</f>
        <v>47.9365079365079</v>
      </c>
      <c r="M235" s="241" t="n">
        <v>3</v>
      </c>
      <c r="N235" s="244" t="n">
        <v>1</v>
      </c>
      <c r="O235" s="121" t="n">
        <f aca="false">IF(M235=1,1,0)</f>
        <v>0</v>
      </c>
      <c r="P235" s="122" t="n">
        <f aca="false">IF(M235=2,1,0)</f>
        <v>0</v>
      </c>
      <c r="Q235" s="122" t="n">
        <f aca="false">IF(M235=3,1,0)</f>
        <v>1</v>
      </c>
      <c r="R235" s="123" t="n">
        <f aca="false">IF(M235=4,1,0)</f>
        <v>0</v>
      </c>
      <c r="S235" s="185"/>
      <c r="T235" s="182"/>
      <c r="U235" s="62"/>
    </row>
    <row r="236" customFormat="false" ht="20.1" hidden="false" customHeight="true" outlineLevel="0" collapsed="false">
      <c r="B236" s="62"/>
      <c r="C236" s="182"/>
      <c r="D236" s="182"/>
      <c r="E236" s="79" t="s">
        <v>45</v>
      </c>
      <c r="F236" s="33" t="s">
        <v>46</v>
      </c>
      <c r="G236" s="241" t="n">
        <v>1</v>
      </c>
      <c r="H236" s="241" t="s">
        <v>67</v>
      </c>
      <c r="I236" s="241" t="n">
        <v>0</v>
      </c>
      <c r="J236" s="300" t="n">
        <v>166</v>
      </c>
      <c r="K236" s="241" t="s">
        <v>67</v>
      </c>
      <c r="L236" s="243" t="n">
        <f aca="false">IF(J236="",0,(J236/J238)*100)</f>
        <v>52.6984126984127</v>
      </c>
      <c r="M236" s="241" t="n">
        <v>2</v>
      </c>
      <c r="N236" s="244" t="n">
        <v>3</v>
      </c>
      <c r="O236" s="121" t="n">
        <f aca="false">IF(M236=1,1,0)</f>
        <v>0</v>
      </c>
      <c r="P236" s="122" t="n">
        <f aca="false">IF(M236=2,1,0)</f>
        <v>1</v>
      </c>
      <c r="Q236" s="122" t="n">
        <f aca="false">IF(M236=3,1,0)</f>
        <v>0</v>
      </c>
      <c r="R236" s="123" t="n">
        <f aca="false">IF(M236=4,1,0)</f>
        <v>0</v>
      </c>
      <c r="S236" s="185"/>
      <c r="T236" s="182"/>
      <c r="U236" s="62"/>
    </row>
    <row r="237" customFormat="false" ht="20.1" hidden="false" customHeight="true" outlineLevel="0" collapsed="false">
      <c r="B237" s="62"/>
      <c r="C237" s="182"/>
      <c r="D237" s="186"/>
      <c r="E237" s="293" t="s">
        <v>47</v>
      </c>
      <c r="F237" s="294" t="s">
        <v>48</v>
      </c>
      <c r="G237" s="295" t="n">
        <v>2</v>
      </c>
      <c r="H237" s="295" t="s">
        <v>67</v>
      </c>
      <c r="I237" s="295" t="n">
        <v>0</v>
      </c>
      <c r="J237" s="301" t="n">
        <v>315</v>
      </c>
      <c r="K237" s="296" t="s">
        <v>67</v>
      </c>
      <c r="L237" s="297" t="n">
        <f aca="false">IF(J237="",0,(J237/J238)*100)</f>
        <v>100</v>
      </c>
      <c r="M237" s="295" t="n">
        <v>1</v>
      </c>
      <c r="N237" s="298" t="n">
        <v>6</v>
      </c>
      <c r="O237" s="127" t="n">
        <f aca="false">IF(M237=1,1,0)</f>
        <v>1</v>
      </c>
      <c r="P237" s="128" t="n">
        <f aca="false">IF(M237=2,1,0)</f>
        <v>0</v>
      </c>
      <c r="Q237" s="128" t="n">
        <f aca="false">IF(M237=3,1,0)</f>
        <v>0</v>
      </c>
      <c r="R237" s="129" t="n">
        <f aca="false">IF(M237=4,1,0)</f>
        <v>0</v>
      </c>
      <c r="S237" s="185"/>
      <c r="T237" s="182"/>
      <c r="U237" s="62"/>
    </row>
    <row r="238" customFormat="false" ht="20.1" hidden="true" customHeight="true" outlineLevel="1" collapsed="false">
      <c r="B238" s="62"/>
      <c r="C238" s="182"/>
      <c r="D238" s="182"/>
      <c r="E238" s="182"/>
      <c r="F238" s="187"/>
      <c r="G238" s="187"/>
      <c r="H238" s="182"/>
      <c r="I238" s="179" t="s">
        <v>89</v>
      </c>
      <c r="J238" s="133" t="n">
        <f aca="false">MAX(J234:J237)</f>
        <v>315</v>
      </c>
      <c r="K238" s="188"/>
      <c r="L238" s="185"/>
      <c r="M238" s="182"/>
      <c r="N238" s="136" t="s">
        <v>90</v>
      </c>
      <c r="O238" s="137" t="n">
        <f aca="false">SUM(O234:O237)</f>
        <v>1</v>
      </c>
      <c r="P238" s="138" t="n">
        <f aca="false">SUM(P234:P237)</f>
        <v>1</v>
      </c>
      <c r="Q238" s="137" t="n">
        <f aca="false">SUM(Q234:Q237)</f>
        <v>1</v>
      </c>
      <c r="R238" s="160" t="n">
        <f aca="false">SUM(R234:R237)</f>
        <v>1</v>
      </c>
      <c r="S238" s="189"/>
      <c r="T238" s="182"/>
      <c r="U238" s="62"/>
    </row>
    <row r="239" customFormat="false" ht="20.1" hidden="false" customHeight="true" outlineLevel="0" collapsed="false">
      <c r="B239" s="62"/>
      <c r="C239" s="182"/>
      <c r="D239" s="182"/>
      <c r="E239" s="182"/>
      <c r="F239" s="182"/>
      <c r="G239" s="182"/>
      <c r="H239" s="182"/>
      <c r="I239" s="182"/>
      <c r="J239" s="182"/>
      <c r="K239" s="182"/>
      <c r="L239" s="182"/>
      <c r="M239" s="182"/>
      <c r="N239" s="182"/>
      <c r="O239" s="182"/>
      <c r="P239" s="182"/>
      <c r="Q239" s="182"/>
      <c r="R239" s="182"/>
      <c r="S239" s="182"/>
      <c r="T239" s="182"/>
      <c r="U239" s="62"/>
    </row>
    <row r="240" customFormat="false" ht="20.1" hidden="false" customHeight="true" outlineLevel="0" collapsed="false">
      <c r="B240" s="62"/>
      <c r="D240" s="5"/>
      <c r="E240" s="5"/>
      <c r="F240" s="5"/>
      <c r="G240" s="5"/>
      <c r="H240" s="5"/>
      <c r="I240" s="5"/>
      <c r="J240" s="5"/>
      <c r="U240" s="62"/>
    </row>
    <row r="241" customFormat="false" ht="30" hidden="false" customHeight="true" outlineLevel="0" collapsed="false">
      <c r="B241" s="62"/>
      <c r="C241" s="190"/>
      <c r="D241" s="191" t="s">
        <v>166</v>
      </c>
      <c r="E241" s="191"/>
      <c r="F241" s="191"/>
      <c r="G241" s="191"/>
      <c r="H241" s="191"/>
      <c r="I241" s="191"/>
      <c r="J241" s="191"/>
      <c r="K241" s="191"/>
      <c r="L241" s="191"/>
      <c r="M241" s="191"/>
      <c r="N241" s="191"/>
      <c r="O241" s="191"/>
      <c r="P241" s="191"/>
      <c r="Q241" s="191"/>
      <c r="R241" s="191"/>
      <c r="S241" s="191"/>
      <c r="T241" s="190"/>
      <c r="U241" s="62"/>
    </row>
    <row r="242" customFormat="false" ht="50.1" hidden="false" customHeight="true" outlineLevel="0" collapsed="false">
      <c r="B242" s="62"/>
      <c r="C242" s="190"/>
      <c r="D242" s="192" t="s">
        <v>53</v>
      </c>
      <c r="E242" s="193" t="s">
        <v>150</v>
      </c>
      <c r="F242" s="194" t="s">
        <v>84</v>
      </c>
      <c r="G242" s="195" t="s">
        <v>100</v>
      </c>
      <c r="H242" s="196" t="s">
        <v>101</v>
      </c>
      <c r="I242" s="196"/>
      <c r="J242" s="197" t="s">
        <v>102</v>
      </c>
      <c r="K242" s="198" t="s">
        <v>103</v>
      </c>
      <c r="L242" s="194" t="s">
        <v>104</v>
      </c>
      <c r="M242" s="198" t="s">
        <v>105</v>
      </c>
      <c r="N242" s="194" t="s">
        <v>106</v>
      </c>
      <c r="O242" s="199"/>
      <c r="P242" s="200"/>
      <c r="Q242" s="200"/>
      <c r="R242" s="200"/>
      <c r="S242" s="193" t="s">
        <v>107</v>
      </c>
      <c r="T242" s="190"/>
      <c r="U242" s="62"/>
    </row>
    <row r="243" customFormat="false" ht="20.1" hidden="false" customHeight="true" outlineLevel="0" collapsed="false">
      <c r="B243" s="62"/>
      <c r="C243" s="190"/>
      <c r="D243" s="201" t="s">
        <v>47</v>
      </c>
      <c r="E243" s="302" t="s">
        <v>48</v>
      </c>
      <c r="F243" s="258" t="n">
        <f aca="false">K243*6+L243*3+M243*1+N243*0</f>
        <v>19</v>
      </c>
      <c r="G243" s="259" t="n">
        <v>0</v>
      </c>
      <c r="H243" s="259" t="s">
        <v>67</v>
      </c>
      <c r="I243" s="259"/>
      <c r="J243" s="258" t="n">
        <f aca="false">F243+G243</f>
        <v>19</v>
      </c>
      <c r="K243" s="258" t="n">
        <v>3</v>
      </c>
      <c r="L243" s="258" t="n">
        <v>0</v>
      </c>
      <c r="M243" s="258" t="n">
        <v>1</v>
      </c>
      <c r="N243" s="258" t="n">
        <v>0</v>
      </c>
      <c r="O243" s="260"/>
      <c r="P243" s="259"/>
      <c r="Q243" s="259"/>
      <c r="R243" s="259"/>
      <c r="S243" s="261" t="n">
        <f aca="false">(L210+L219+L228+L237)/4</f>
        <v>96.4285714285714</v>
      </c>
      <c r="T243" s="190"/>
      <c r="U243" s="62"/>
    </row>
    <row r="244" customFormat="false" ht="20.1" hidden="false" customHeight="true" outlineLevel="0" collapsed="false">
      <c r="B244" s="62"/>
      <c r="C244" s="190"/>
      <c r="D244" s="213" t="s">
        <v>41</v>
      </c>
      <c r="E244" s="208" t="s">
        <v>42</v>
      </c>
      <c r="F244" s="262" t="n">
        <f aca="false">K244*6+L244*3+M244*1+N244*0</f>
        <v>9</v>
      </c>
      <c r="G244" s="263" t="n">
        <v>0</v>
      </c>
      <c r="H244" s="263" t="s">
        <v>67</v>
      </c>
      <c r="I244" s="263"/>
      <c r="J244" s="262" t="n">
        <f aca="false">F244+G244</f>
        <v>9</v>
      </c>
      <c r="K244" s="262" t="n">
        <v>1</v>
      </c>
      <c r="L244" s="262" t="n">
        <v>1</v>
      </c>
      <c r="M244" s="262" t="n">
        <v>0</v>
      </c>
      <c r="N244" s="262" t="n">
        <v>2</v>
      </c>
      <c r="O244" s="264"/>
      <c r="P244" s="263"/>
      <c r="Q244" s="263"/>
      <c r="R244" s="263"/>
      <c r="S244" s="265" t="n">
        <f aca="false">(L207+L216+L225+L234)/4</f>
        <v>70.4813635002314</v>
      </c>
      <c r="T244" s="190"/>
      <c r="U244" s="62"/>
    </row>
    <row r="245" customFormat="false" ht="20.1" hidden="false" customHeight="true" outlineLevel="0" collapsed="false">
      <c r="B245" s="62"/>
      <c r="C245" s="190"/>
      <c r="D245" s="213" t="s">
        <v>43</v>
      </c>
      <c r="E245" s="208" t="s">
        <v>44</v>
      </c>
      <c r="F245" s="262" t="n">
        <f aca="false">K245*6+L245*3+M245*1+N245*0</f>
        <v>8</v>
      </c>
      <c r="G245" s="263" t="n">
        <v>0</v>
      </c>
      <c r="H245" s="263" t="s">
        <v>67</v>
      </c>
      <c r="I245" s="263"/>
      <c r="J245" s="262" t="n">
        <f aca="false">F245+G245</f>
        <v>8</v>
      </c>
      <c r="K245" s="262" t="n">
        <v>0</v>
      </c>
      <c r="L245" s="262" t="n">
        <v>2</v>
      </c>
      <c r="M245" s="262" t="n">
        <v>2</v>
      </c>
      <c r="N245" s="262" t="n">
        <v>0</v>
      </c>
      <c r="O245" s="264"/>
      <c r="P245" s="263"/>
      <c r="Q245" s="263"/>
      <c r="R245" s="263"/>
      <c r="S245" s="265" t="n">
        <f aca="false">(L208+L217+L226+L235)/4</f>
        <v>75.3693266900814</v>
      </c>
      <c r="T245" s="190"/>
      <c r="U245" s="62"/>
    </row>
    <row r="246" customFormat="false" ht="20.1" hidden="false" customHeight="true" outlineLevel="0" collapsed="false">
      <c r="B246" s="62"/>
      <c r="C246" s="190"/>
      <c r="D246" s="270" t="s">
        <v>45</v>
      </c>
      <c r="E246" s="215" t="s">
        <v>46</v>
      </c>
      <c r="F246" s="271" t="n">
        <f aca="false">K246*6+L246*3+M246*1+N246*0</f>
        <v>4</v>
      </c>
      <c r="G246" s="272" t="n">
        <v>0</v>
      </c>
      <c r="H246" s="272" t="s">
        <v>67</v>
      </c>
      <c r="I246" s="272"/>
      <c r="J246" s="271" t="n">
        <f aca="false">F246+G246</f>
        <v>4</v>
      </c>
      <c r="K246" s="271" t="n">
        <v>0</v>
      </c>
      <c r="L246" s="271" t="n">
        <v>1</v>
      </c>
      <c r="M246" s="271" t="n">
        <v>1</v>
      </c>
      <c r="N246" s="271" t="n">
        <v>2</v>
      </c>
      <c r="O246" s="273"/>
      <c r="P246" s="272"/>
      <c r="Q246" s="272"/>
      <c r="R246" s="272"/>
      <c r="S246" s="274" t="n">
        <f aca="false">(L209+L218+L227+L236)/4</f>
        <v>70.2868305698494</v>
      </c>
      <c r="T246" s="190"/>
      <c r="U246" s="62"/>
    </row>
    <row r="247" customFormat="false" ht="20.1" hidden="false" customHeight="true" outlineLevel="0" collapsed="false">
      <c r="B247" s="62"/>
      <c r="C247" s="190"/>
      <c r="D247" s="190"/>
      <c r="E247" s="190"/>
      <c r="F247" s="190"/>
      <c r="G247" s="190"/>
      <c r="H247" s="190"/>
      <c r="I247" s="190"/>
      <c r="J247" s="190"/>
      <c r="K247" s="190"/>
      <c r="L247" s="190"/>
      <c r="M247" s="190"/>
      <c r="N247" s="190"/>
      <c r="O247" s="190"/>
      <c r="P247" s="190"/>
      <c r="Q247" s="190"/>
      <c r="R247" s="190"/>
      <c r="S247" s="190"/>
      <c r="T247" s="190"/>
      <c r="U247" s="62"/>
    </row>
    <row r="248" customFormat="false" ht="20.1" hidden="false" customHeight="true" outlineLevel="0" collapsed="false">
      <c r="B248" s="62"/>
      <c r="C248" s="62"/>
      <c r="D248" s="219"/>
      <c r="E248" s="219"/>
      <c r="F248" s="167"/>
      <c r="G248" s="167"/>
      <c r="H248" s="219"/>
      <c r="I248" s="219"/>
      <c r="J248" s="219"/>
      <c r="K248" s="62"/>
      <c r="L248" s="62"/>
      <c r="M248" s="62"/>
      <c r="N248" s="62"/>
      <c r="O248" s="62"/>
      <c r="P248" s="62"/>
      <c r="Q248" s="62"/>
      <c r="R248" s="62"/>
      <c r="S248" s="62"/>
      <c r="T248" s="62"/>
      <c r="U248" s="62"/>
    </row>
  </sheetData>
  <mergeCells count="150">
    <mergeCell ref="A1:N2"/>
    <mergeCell ref="B4:I4"/>
    <mergeCell ref="K4:M4"/>
    <mergeCell ref="B5:C5"/>
    <mergeCell ref="B6:C6"/>
    <mergeCell ref="L6:L9"/>
    <mergeCell ref="B7:C7"/>
    <mergeCell ref="B8:C8"/>
    <mergeCell ref="B9:C9"/>
    <mergeCell ref="B10:C10"/>
    <mergeCell ref="L10:L13"/>
    <mergeCell ref="B11:C11"/>
    <mergeCell ref="B12:C12"/>
    <mergeCell ref="B13:C13"/>
    <mergeCell ref="B14:C14"/>
    <mergeCell ref="L14:L17"/>
    <mergeCell ref="B15:C15"/>
    <mergeCell ref="B16:C16"/>
    <mergeCell ref="B17:C17"/>
    <mergeCell ref="B18:C18"/>
    <mergeCell ref="L18:L21"/>
    <mergeCell ref="B19:C19"/>
    <mergeCell ref="B20:C20"/>
    <mergeCell ref="B21:C21"/>
    <mergeCell ref="K22:L22"/>
    <mergeCell ref="B23:H23"/>
    <mergeCell ref="B24:C24"/>
    <mergeCell ref="B25:C25"/>
    <mergeCell ref="C28:T28"/>
    <mergeCell ref="D30:D31"/>
    <mergeCell ref="E30:E31"/>
    <mergeCell ref="F30:F31"/>
    <mergeCell ref="G30:J30"/>
    <mergeCell ref="L30:S30"/>
    <mergeCell ref="I31:J31"/>
    <mergeCell ref="N31:S31"/>
    <mergeCell ref="I32:J32"/>
    <mergeCell ref="N32:S32"/>
    <mergeCell ref="I33:J33"/>
    <mergeCell ref="N33:S33"/>
    <mergeCell ref="I34:J34"/>
    <mergeCell ref="N34:S34"/>
    <mergeCell ref="I35:J35"/>
    <mergeCell ref="N35:S35"/>
    <mergeCell ref="E37:N37"/>
    <mergeCell ref="F43:G43"/>
    <mergeCell ref="F44:G44"/>
    <mergeCell ref="E46:N46"/>
    <mergeCell ref="F52:G52"/>
    <mergeCell ref="E55:N55"/>
    <mergeCell ref="F61:G61"/>
    <mergeCell ref="E64:N64"/>
    <mergeCell ref="F70:G70"/>
    <mergeCell ref="D73:S73"/>
    <mergeCell ref="H74:I74"/>
    <mergeCell ref="H75:I75"/>
    <mergeCell ref="H76:I76"/>
    <mergeCell ref="H77:I77"/>
    <mergeCell ref="H78:I78"/>
    <mergeCell ref="C84:T84"/>
    <mergeCell ref="D86:D87"/>
    <mergeCell ref="E86:E87"/>
    <mergeCell ref="F86:F87"/>
    <mergeCell ref="G86:J86"/>
    <mergeCell ref="L86:S86"/>
    <mergeCell ref="I87:J87"/>
    <mergeCell ref="N87:S87"/>
    <mergeCell ref="I88:J88"/>
    <mergeCell ref="N88:S88"/>
    <mergeCell ref="I89:J89"/>
    <mergeCell ref="N89:S89"/>
    <mergeCell ref="I90:J90"/>
    <mergeCell ref="N90:S90"/>
    <mergeCell ref="I91:J91"/>
    <mergeCell ref="N91:S91"/>
    <mergeCell ref="E93:N93"/>
    <mergeCell ref="F99:G99"/>
    <mergeCell ref="E102:N102"/>
    <mergeCell ref="F108:G108"/>
    <mergeCell ref="E111:N111"/>
    <mergeCell ref="F117:G117"/>
    <mergeCell ref="E120:N120"/>
    <mergeCell ref="F126:G126"/>
    <mergeCell ref="D129:S129"/>
    <mergeCell ref="H130:I130"/>
    <mergeCell ref="H131:I131"/>
    <mergeCell ref="H132:I132"/>
    <mergeCell ref="Y132:Z132"/>
    <mergeCell ref="H133:I133"/>
    <mergeCell ref="H134:I134"/>
    <mergeCell ref="C140:T140"/>
    <mergeCell ref="D142:D143"/>
    <mergeCell ref="E142:E143"/>
    <mergeCell ref="F142:F143"/>
    <mergeCell ref="G142:J142"/>
    <mergeCell ref="L142:S142"/>
    <mergeCell ref="I143:J143"/>
    <mergeCell ref="N143:S143"/>
    <mergeCell ref="I144:J144"/>
    <mergeCell ref="N144:S144"/>
    <mergeCell ref="I145:J145"/>
    <mergeCell ref="N145:S145"/>
    <mergeCell ref="I146:J146"/>
    <mergeCell ref="N146:S146"/>
    <mergeCell ref="I147:J147"/>
    <mergeCell ref="N147:S147"/>
    <mergeCell ref="E149:N149"/>
    <mergeCell ref="F155:G155"/>
    <mergeCell ref="E158:N158"/>
    <mergeCell ref="F164:G164"/>
    <mergeCell ref="E167:N167"/>
    <mergeCell ref="F173:G173"/>
    <mergeCell ref="E176:N176"/>
    <mergeCell ref="F182:G182"/>
    <mergeCell ref="D185:S185"/>
    <mergeCell ref="H186:I186"/>
    <mergeCell ref="H187:I187"/>
    <mergeCell ref="H188:I188"/>
    <mergeCell ref="H189:I189"/>
    <mergeCell ref="H190:I190"/>
    <mergeCell ref="C196:T196"/>
    <mergeCell ref="D198:D199"/>
    <mergeCell ref="E198:E199"/>
    <mergeCell ref="F198:F199"/>
    <mergeCell ref="G198:J198"/>
    <mergeCell ref="L198:S198"/>
    <mergeCell ref="I199:J199"/>
    <mergeCell ref="N199:S199"/>
    <mergeCell ref="I200:J200"/>
    <mergeCell ref="N200:S200"/>
    <mergeCell ref="I201:J201"/>
    <mergeCell ref="N201:S201"/>
    <mergeCell ref="I202:J202"/>
    <mergeCell ref="N202:S202"/>
    <mergeCell ref="I203:J203"/>
    <mergeCell ref="N203:S203"/>
    <mergeCell ref="E205:N205"/>
    <mergeCell ref="F211:G211"/>
    <mergeCell ref="E214:N214"/>
    <mergeCell ref="F220:G220"/>
    <mergeCell ref="E223:N223"/>
    <mergeCell ref="F229:G229"/>
    <mergeCell ref="E232:N232"/>
    <mergeCell ref="F238:G238"/>
    <mergeCell ref="D241:S241"/>
    <mergeCell ref="H242:I242"/>
    <mergeCell ref="H243:I243"/>
    <mergeCell ref="H244:I244"/>
    <mergeCell ref="H245:I245"/>
    <mergeCell ref="H246:I246"/>
  </mergeCells>
  <conditionalFormatting sqref="B6:I21">
    <cfRule type="expression" priority="2" aboveAverage="0" equalAverage="0" bottom="0" percent="0" rank="0" text="" dxfId="0">
      <formula>$I6="Nein"</formula>
    </cfRule>
    <cfRule type="expression" priority="3" aboveAverage="0" equalAverage="0" bottom="0" percent="0" rank="0" text="" dxfId="1">
      <formula>$I6="Ja"</formula>
    </cfRule>
  </conditionalFormatting>
  <dataValidations count="1">
    <dataValidation allowBlank="true" operator="between" showDropDown="false" showErrorMessage="true" showInputMessage="true" sqref="I6:I21 O25"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249"/>
  <sheetViews>
    <sheetView showFormulas="false" showGridLines="false" showRowColHeaders="true" showZeros="true" rightToLeft="false" tabSelected="false" showOutlineSymbols="true" defaultGridColor="true" view="normal" topLeftCell="A7" colorId="64" zoomScale="100" zoomScaleNormal="100" zoomScalePageLayoutView="100" workbookViewId="0">
      <selection pane="topLeft" activeCell="C25" activeCellId="0" sqref="C25"/>
    </sheetView>
  </sheetViews>
  <sheetFormatPr defaultColWidth="11.43359375" defaultRowHeight="15" zeroHeight="false" outlineLevelRow="1" outlineLevelCol="1"/>
  <cols>
    <col collapsed="false" customWidth="true" hidden="false" outlineLevel="0" max="3" min="1" style="1" width="3.71"/>
    <col collapsed="false" customWidth="true" hidden="false" outlineLevel="0" max="14" min="4" style="1" width="20.71"/>
    <col collapsed="false" customWidth="true" hidden="true" outlineLevel="1" max="18" min="15" style="1" width="20.71"/>
    <col collapsed="false" customWidth="true" hidden="false" outlineLevel="0" max="19" min="19" style="1" width="20.71"/>
    <col collapsed="false" customWidth="true" hidden="false" outlineLevel="0" max="21" min="20" style="1" width="3.71"/>
    <col collapsed="false" customWidth="true" hidden="false" outlineLevel="0" max="22" min="22" style="1" width="15.88"/>
    <col collapsed="false" customWidth="true" hidden="false" outlineLevel="0" max="24" min="23" style="1" width="20.71"/>
    <col collapsed="false" customWidth="false" hidden="false" outlineLevel="0" max="1024" min="25" style="1" width="11.42"/>
  </cols>
  <sheetData>
    <row r="1" customFormat="false" ht="15" hidden="false" customHeight="false" outlineLevel="0" collapsed="false">
      <c r="A1" s="2" t="s">
        <v>167</v>
      </c>
      <c r="B1" s="2"/>
      <c r="C1" s="2"/>
      <c r="D1" s="2"/>
      <c r="E1" s="2"/>
      <c r="F1" s="2"/>
      <c r="G1" s="2"/>
      <c r="H1" s="2"/>
      <c r="I1" s="2"/>
      <c r="J1" s="2"/>
      <c r="K1" s="2"/>
      <c r="L1" s="2"/>
      <c r="M1" s="2"/>
      <c r="N1" s="2"/>
    </row>
    <row r="2" customFormat="false" ht="15" hidden="false" customHeight="false" outlineLevel="0" collapsed="false">
      <c r="A2" s="2"/>
      <c r="B2" s="2"/>
      <c r="C2" s="2"/>
      <c r="D2" s="2"/>
      <c r="E2" s="2"/>
      <c r="F2" s="2"/>
      <c r="G2" s="2"/>
      <c r="H2" s="2"/>
      <c r="I2" s="2"/>
      <c r="J2" s="2"/>
      <c r="K2" s="2"/>
      <c r="L2" s="2"/>
      <c r="M2" s="2"/>
      <c r="N2" s="2"/>
    </row>
    <row r="3" customFormat="false" ht="20.1" hidden="false" customHeight="true" outlineLevel="0" collapsed="false"/>
    <row r="4" customFormat="false" ht="15.75" hidden="false" customHeight="false" outlineLevel="0" collapsed="false">
      <c r="B4" s="3" t="s">
        <v>168</v>
      </c>
      <c r="C4" s="3"/>
      <c r="D4" s="3"/>
      <c r="E4" s="3"/>
      <c r="F4" s="3"/>
      <c r="G4" s="3"/>
      <c r="H4" s="3"/>
      <c r="I4" s="3"/>
      <c r="K4" s="3" t="s">
        <v>2</v>
      </c>
      <c r="L4" s="3"/>
      <c r="M4" s="3"/>
      <c r="P4" s="4"/>
      <c r="Q4" s="4"/>
      <c r="R4" s="4"/>
      <c r="S4" s="5"/>
      <c r="T4" s="4"/>
      <c r="U4" s="4"/>
      <c r="V4" s="4"/>
      <c r="W4" s="4"/>
    </row>
    <row r="5" customFormat="false" ht="50.1" hidden="false" customHeight="true" outlineLevel="0" collapsed="false">
      <c r="B5" s="54" t="s">
        <v>169</v>
      </c>
      <c r="C5" s="54"/>
      <c r="D5" s="303" t="s">
        <v>4</v>
      </c>
      <c r="E5" s="9" t="s">
        <v>5</v>
      </c>
      <c r="F5" s="9" t="s">
        <v>6</v>
      </c>
      <c r="G5" s="57" t="s">
        <v>7</v>
      </c>
      <c r="H5" s="57" t="s">
        <v>8</v>
      </c>
      <c r="I5" s="9" t="s">
        <v>170</v>
      </c>
      <c r="K5" s="11" t="s">
        <v>4</v>
      </c>
      <c r="L5" s="12" t="s">
        <v>10</v>
      </c>
      <c r="M5" s="13" t="s">
        <v>11</v>
      </c>
      <c r="P5" s="5"/>
      <c r="R5" s="4"/>
      <c r="S5" s="4"/>
      <c r="T5" s="4"/>
      <c r="U5" s="5"/>
      <c r="V5" s="5"/>
    </row>
    <row r="6" customFormat="false" ht="20.1" hidden="false" customHeight="true" outlineLevel="0" collapsed="false">
      <c r="B6" s="14" t="n">
        <v>1</v>
      </c>
      <c r="C6" s="14"/>
      <c r="D6" s="18" t="s">
        <v>15</v>
      </c>
      <c r="E6" s="18" t="s">
        <v>16</v>
      </c>
      <c r="F6" s="18" t="s">
        <v>16</v>
      </c>
      <c r="G6" s="18" t="s">
        <v>16</v>
      </c>
      <c r="H6" s="18" t="s">
        <v>16</v>
      </c>
      <c r="I6" s="304" t="s">
        <v>14</v>
      </c>
      <c r="K6" s="21" t="str">
        <f aca="false">D6</f>
        <v>Devid Fulterer</v>
      </c>
      <c r="L6" s="22" t="n">
        <v>1</v>
      </c>
      <c r="M6" s="23" t="n">
        <v>1</v>
      </c>
      <c r="P6" s="24"/>
      <c r="U6" s="24"/>
      <c r="V6" s="24"/>
    </row>
    <row r="7" customFormat="false" ht="20.1" hidden="false" customHeight="true" outlineLevel="0" collapsed="false">
      <c r="B7" s="25" t="n">
        <v>2</v>
      </c>
      <c r="C7" s="25"/>
      <c r="D7" s="32" t="s">
        <v>17</v>
      </c>
      <c r="E7" s="32" t="s">
        <v>18</v>
      </c>
      <c r="F7" s="32" t="s">
        <v>19</v>
      </c>
      <c r="G7" s="32" t="s">
        <v>19</v>
      </c>
      <c r="H7" s="32" t="s">
        <v>19</v>
      </c>
      <c r="I7" s="305" t="s">
        <v>14</v>
      </c>
      <c r="K7" s="30" t="str">
        <f aca="false">D7</f>
        <v>Judith Fulterer</v>
      </c>
      <c r="L7" s="22"/>
      <c r="M7" s="31" t="n">
        <v>2</v>
      </c>
      <c r="P7" s="24"/>
      <c r="U7" s="24"/>
      <c r="V7" s="24"/>
    </row>
    <row r="8" customFormat="false" ht="20.1" hidden="false" customHeight="true" outlineLevel="0" collapsed="false">
      <c r="B8" s="25" t="n">
        <v>3</v>
      </c>
      <c r="C8" s="25"/>
      <c r="D8" s="32" t="s">
        <v>12</v>
      </c>
      <c r="E8" s="32" t="s">
        <v>13</v>
      </c>
      <c r="F8" s="32" t="s">
        <v>13</v>
      </c>
      <c r="G8" s="32" t="s">
        <v>13</v>
      </c>
      <c r="H8" s="32" t="s">
        <v>13</v>
      </c>
      <c r="I8" s="305" t="s">
        <v>14</v>
      </c>
      <c r="K8" s="30" t="str">
        <f aca="false">D8</f>
        <v>Jonas Röhrig</v>
      </c>
      <c r="L8" s="22"/>
      <c r="M8" s="31" t="n">
        <v>3</v>
      </c>
      <c r="P8" s="24"/>
      <c r="U8" s="24"/>
      <c r="V8" s="24"/>
    </row>
    <row r="9" customFormat="false" ht="20.1" hidden="false" customHeight="true" outlineLevel="0" collapsed="false">
      <c r="B9" s="25" t="n">
        <v>4</v>
      </c>
      <c r="C9" s="25"/>
      <c r="D9" s="32" t="s">
        <v>22</v>
      </c>
      <c r="E9" s="32" t="s">
        <v>23</v>
      </c>
      <c r="F9" s="32" t="s">
        <v>23</v>
      </c>
      <c r="G9" s="32" t="s">
        <v>23</v>
      </c>
      <c r="H9" s="32" t="s">
        <v>23</v>
      </c>
      <c r="I9" s="305" t="s">
        <v>14</v>
      </c>
      <c r="K9" s="35" t="str">
        <f aca="false">D9</f>
        <v>Jérôme Schätzle</v>
      </c>
      <c r="L9" s="22"/>
      <c r="M9" s="36" t="n">
        <v>4</v>
      </c>
      <c r="P9" s="24"/>
      <c r="U9" s="24"/>
      <c r="V9" s="24"/>
    </row>
    <row r="10" customFormat="false" ht="20.1" hidden="false" customHeight="true" outlineLevel="0" collapsed="false">
      <c r="B10" s="25" t="n">
        <v>5</v>
      </c>
      <c r="C10" s="25"/>
      <c r="D10" s="32" t="s">
        <v>20</v>
      </c>
      <c r="E10" s="32" t="s">
        <v>21</v>
      </c>
      <c r="F10" s="32" t="s">
        <v>21</v>
      </c>
      <c r="G10" s="32" t="s">
        <v>21</v>
      </c>
      <c r="H10" s="32" t="s">
        <v>21</v>
      </c>
      <c r="I10" s="305" t="s">
        <v>14</v>
      </c>
      <c r="K10" s="21" t="str">
        <f aca="false">D10</f>
        <v>Andreas Micke</v>
      </c>
      <c r="L10" s="37" t="n">
        <v>2</v>
      </c>
      <c r="M10" s="23" t="n">
        <v>1</v>
      </c>
      <c r="P10" s="24"/>
      <c r="U10" s="24"/>
      <c r="V10" s="24"/>
    </row>
    <row r="11" customFormat="false" ht="20.1" hidden="false" customHeight="true" outlineLevel="0" collapsed="false">
      <c r="B11" s="25" t="n">
        <v>6</v>
      </c>
      <c r="C11" s="25"/>
      <c r="D11" s="32" t="s">
        <v>24</v>
      </c>
      <c r="E11" s="33" t="s">
        <v>25</v>
      </c>
      <c r="F11" s="34" t="s">
        <v>26</v>
      </c>
      <c r="G11" s="32" t="s">
        <v>26</v>
      </c>
      <c r="H11" s="32" t="s">
        <v>25</v>
      </c>
      <c r="I11" s="305" t="s">
        <v>14</v>
      </c>
      <c r="K11" s="30" t="str">
        <f aca="false">D11</f>
        <v>Lisa Schätzle</v>
      </c>
      <c r="L11" s="37"/>
      <c r="M11" s="31" t="n">
        <v>2</v>
      </c>
      <c r="P11" s="24"/>
      <c r="U11" s="24"/>
      <c r="V11" s="24"/>
    </row>
    <row r="12" customFormat="false" ht="20.1" hidden="false" customHeight="true" outlineLevel="0" collapsed="false">
      <c r="B12" s="25" t="n">
        <v>7</v>
      </c>
      <c r="C12" s="25"/>
      <c r="D12" s="33" t="s">
        <v>27</v>
      </c>
      <c r="E12" s="32" t="s">
        <v>28</v>
      </c>
      <c r="F12" s="306" t="s">
        <v>28</v>
      </c>
      <c r="G12" s="32" t="s">
        <v>28</v>
      </c>
      <c r="H12" s="32" t="s">
        <v>28</v>
      </c>
      <c r="I12" s="305" t="s">
        <v>14</v>
      </c>
      <c r="K12" s="30" t="str">
        <f aca="false">D12</f>
        <v>Pauline Schätzle</v>
      </c>
      <c r="L12" s="37"/>
      <c r="M12" s="31" t="n">
        <v>3</v>
      </c>
      <c r="P12" s="24"/>
      <c r="U12" s="24"/>
      <c r="V12" s="24"/>
    </row>
    <row r="13" customFormat="false" ht="20.1" hidden="false" customHeight="true" outlineLevel="0" collapsed="false">
      <c r="B13" s="25" t="n">
        <v>8</v>
      </c>
      <c r="C13" s="25"/>
      <c r="D13" s="33" t="s">
        <v>31</v>
      </c>
      <c r="E13" s="33" t="s">
        <v>32</v>
      </c>
      <c r="F13" s="34" t="s">
        <v>32</v>
      </c>
      <c r="G13" s="32" t="s">
        <v>32</v>
      </c>
      <c r="H13" s="32" t="s">
        <v>32</v>
      </c>
      <c r="I13" s="305" t="s">
        <v>14</v>
      </c>
      <c r="K13" s="35" t="str">
        <f aca="false">D13</f>
        <v>Daniel Zimmermann</v>
      </c>
      <c r="L13" s="37"/>
      <c r="M13" s="36" t="n">
        <v>4</v>
      </c>
      <c r="P13" s="24"/>
      <c r="U13" s="24"/>
      <c r="V13" s="24"/>
    </row>
    <row r="14" customFormat="false" ht="20.1" hidden="false" customHeight="true" outlineLevel="0" collapsed="false">
      <c r="B14" s="25" t="n">
        <v>9</v>
      </c>
      <c r="C14" s="25"/>
      <c r="D14" s="33" t="s">
        <v>29</v>
      </c>
      <c r="E14" s="33" t="s">
        <v>30</v>
      </c>
      <c r="F14" s="34" t="s">
        <v>30</v>
      </c>
      <c r="G14" s="32" t="s">
        <v>30</v>
      </c>
      <c r="H14" s="32" t="s">
        <v>30</v>
      </c>
      <c r="I14" s="305" t="s">
        <v>14</v>
      </c>
      <c r="K14" s="21" t="str">
        <f aca="false">D14</f>
        <v>Kai Maibaum</v>
      </c>
      <c r="L14" s="37" t="n">
        <v>3</v>
      </c>
      <c r="M14" s="23" t="n">
        <v>1</v>
      </c>
      <c r="P14" s="24"/>
      <c r="U14" s="24"/>
      <c r="V14" s="24"/>
    </row>
    <row r="15" customFormat="false" ht="20.1" hidden="false" customHeight="true" outlineLevel="0" collapsed="false">
      <c r="B15" s="25" t="n">
        <v>10</v>
      </c>
      <c r="C15" s="25"/>
      <c r="D15" s="33" t="s">
        <v>39</v>
      </c>
      <c r="E15" s="33" t="s">
        <v>40</v>
      </c>
      <c r="F15" s="34" t="s">
        <v>40</v>
      </c>
      <c r="G15" s="32" t="s">
        <v>40</v>
      </c>
      <c r="H15" s="32" t="s">
        <v>40</v>
      </c>
      <c r="I15" s="305" t="s">
        <v>14</v>
      </c>
      <c r="K15" s="30" t="str">
        <f aca="false">D15</f>
        <v>Markus Hagenauer</v>
      </c>
      <c r="L15" s="37"/>
      <c r="M15" s="31" t="n">
        <v>2</v>
      </c>
      <c r="P15" s="24"/>
      <c r="U15" s="24"/>
      <c r="V15" s="24"/>
    </row>
    <row r="16" customFormat="false" ht="20.1" hidden="false" customHeight="true" outlineLevel="0" collapsed="false">
      <c r="B16" s="25" t="n">
        <v>11</v>
      </c>
      <c r="C16" s="25"/>
      <c r="D16" s="33" t="s">
        <v>47</v>
      </c>
      <c r="E16" s="33" t="s">
        <v>48</v>
      </c>
      <c r="F16" s="34" t="s">
        <v>48</v>
      </c>
      <c r="G16" s="32" t="s">
        <v>35</v>
      </c>
      <c r="H16" s="32" t="s">
        <v>48</v>
      </c>
      <c r="I16" s="305" t="s">
        <v>14</v>
      </c>
      <c r="K16" s="40" t="str">
        <f aca="false">D16</f>
        <v>Alex Ulbricht</v>
      </c>
      <c r="L16" s="37"/>
      <c r="M16" s="36" t="n">
        <v>3</v>
      </c>
      <c r="P16" s="24"/>
      <c r="U16" s="24"/>
      <c r="V16" s="24"/>
    </row>
    <row r="17" customFormat="false" ht="20.1" hidden="false" customHeight="true" outlineLevel="0" collapsed="false">
      <c r="B17" s="25" t="n">
        <v>12</v>
      </c>
      <c r="C17" s="25"/>
      <c r="D17" s="33" t="s">
        <v>37</v>
      </c>
      <c r="E17" s="33" t="s">
        <v>38</v>
      </c>
      <c r="F17" s="34" t="s">
        <v>35</v>
      </c>
      <c r="G17" s="32" t="s">
        <v>35</v>
      </c>
      <c r="H17" s="32" t="s">
        <v>35</v>
      </c>
      <c r="I17" s="305" t="s">
        <v>14</v>
      </c>
      <c r="K17" s="307" t="str">
        <f aca="false">D17</f>
        <v>Bea Kittner</v>
      </c>
      <c r="L17" s="22" t="n">
        <v>4</v>
      </c>
      <c r="M17" s="308" t="n">
        <v>1</v>
      </c>
      <c r="P17" s="24"/>
      <c r="U17" s="24"/>
      <c r="V17" s="24"/>
    </row>
    <row r="18" customFormat="false" ht="20.1" hidden="false" customHeight="true" outlineLevel="0" collapsed="false">
      <c r="B18" s="42" t="n">
        <v>13</v>
      </c>
      <c r="C18" s="42"/>
      <c r="D18" s="44" t="s">
        <v>45</v>
      </c>
      <c r="E18" s="44" t="s">
        <v>46</v>
      </c>
      <c r="F18" s="45" t="s">
        <v>46</v>
      </c>
      <c r="G18" s="46" t="s">
        <v>35</v>
      </c>
      <c r="H18" s="46" t="s">
        <v>35</v>
      </c>
      <c r="I18" s="309" t="s">
        <v>14</v>
      </c>
      <c r="K18" s="49" t="str">
        <f aca="false">D18</f>
        <v>Florian Spiß</v>
      </c>
      <c r="L18" s="22"/>
      <c r="M18" s="50" t="n">
        <v>2</v>
      </c>
      <c r="P18" s="24"/>
      <c r="U18" s="24"/>
      <c r="V18" s="24"/>
    </row>
    <row r="19" customFormat="false" ht="20.1" hidden="false" customHeight="true" outlineLevel="0" collapsed="false">
      <c r="D19" s="310"/>
      <c r="E19" s="310"/>
      <c r="F19" s="311"/>
      <c r="G19" s="162"/>
      <c r="H19" s="162"/>
      <c r="I19" s="310"/>
      <c r="K19" s="51" t="s">
        <v>171</v>
      </c>
      <c r="L19" s="51"/>
      <c r="M19" s="52" t="n">
        <f aca="false">ROWS(M6:M18)</f>
        <v>13</v>
      </c>
      <c r="O19" s="4"/>
      <c r="P19" s="4"/>
      <c r="R19" s="4"/>
      <c r="S19" s="4"/>
      <c r="T19" s="4"/>
      <c r="U19" s="4"/>
    </row>
    <row r="20" customFormat="false" ht="15.75" hidden="false" customHeight="false" outlineLevel="0" collapsed="false">
      <c r="B20" s="3" t="s">
        <v>172</v>
      </c>
      <c r="C20" s="3"/>
      <c r="D20" s="3"/>
      <c r="E20" s="3"/>
      <c r="F20" s="3"/>
      <c r="G20" s="3"/>
      <c r="H20" s="3"/>
      <c r="L20" s="53"/>
      <c r="M20" s="53"/>
      <c r="N20" s="53"/>
      <c r="O20" s="5"/>
      <c r="P20" s="4"/>
      <c r="Q20" s="4"/>
      <c r="S20" s="4"/>
      <c r="T20" s="4"/>
      <c r="U20" s="4"/>
      <c r="V20" s="4"/>
    </row>
    <row r="21" customFormat="false" ht="30.75" hidden="false" customHeight="true" outlineLevel="0" collapsed="false">
      <c r="B21" s="54" t="s">
        <v>51</v>
      </c>
      <c r="C21" s="54"/>
      <c r="D21" s="55" t="s">
        <v>4</v>
      </c>
      <c r="E21" s="9" t="s">
        <v>5</v>
      </c>
      <c r="F21" s="9" t="s">
        <v>6</v>
      </c>
      <c r="G21" s="57" t="s">
        <v>7</v>
      </c>
      <c r="H21" s="57" t="s">
        <v>8</v>
      </c>
      <c r="L21" s="53"/>
      <c r="M21" s="53"/>
      <c r="N21" s="53"/>
      <c r="O21" s="5"/>
      <c r="P21" s="4"/>
      <c r="Q21" s="4"/>
      <c r="S21" s="4"/>
      <c r="T21" s="4"/>
      <c r="U21" s="4"/>
      <c r="V21" s="4"/>
    </row>
    <row r="22" customFormat="false" ht="20.1" hidden="false" customHeight="true" outlineLevel="0" collapsed="false">
      <c r="B22" s="58" t="n">
        <v>1</v>
      </c>
      <c r="C22" s="58"/>
      <c r="D22" s="312" t="s">
        <v>43</v>
      </c>
      <c r="E22" s="313" t="s">
        <v>44</v>
      </c>
      <c r="F22" s="314" t="s">
        <v>44</v>
      </c>
      <c r="G22" s="315" t="s">
        <v>44</v>
      </c>
      <c r="H22" s="316" t="s">
        <v>44</v>
      </c>
      <c r="O22" s="29" t="s">
        <v>36</v>
      </c>
      <c r="P22" s="4"/>
      <c r="Q22" s="4"/>
      <c r="S22" s="4"/>
      <c r="T22" s="4"/>
      <c r="U22" s="4"/>
      <c r="V22" s="4"/>
    </row>
    <row r="23" customFormat="false" ht="20.1" hidden="false" customHeight="true" outlineLevel="0" collapsed="false">
      <c r="M23" s="53"/>
      <c r="N23" s="53"/>
      <c r="O23" s="53"/>
      <c r="P23" s="5"/>
      <c r="Q23" s="4"/>
      <c r="R23" s="4"/>
      <c r="T23" s="4"/>
      <c r="U23" s="4"/>
      <c r="V23" s="4"/>
      <c r="W23" s="4"/>
    </row>
    <row r="24" customFormat="false" ht="20.1" hidden="false" customHeight="true" outlineLevel="0" collapsed="false">
      <c r="B24" s="62"/>
      <c r="C24" s="62"/>
      <c r="D24" s="63"/>
      <c r="E24" s="63"/>
      <c r="F24" s="63"/>
      <c r="G24" s="63"/>
      <c r="H24" s="62"/>
      <c r="I24" s="62"/>
      <c r="J24" s="62"/>
      <c r="K24" s="62"/>
      <c r="L24" s="62"/>
      <c r="M24" s="62"/>
      <c r="N24" s="62"/>
      <c r="O24" s="62"/>
      <c r="P24" s="62"/>
      <c r="Q24" s="62"/>
      <c r="R24" s="62"/>
      <c r="S24" s="62"/>
      <c r="T24" s="62"/>
      <c r="U24" s="62"/>
    </row>
    <row r="25" customFormat="false" ht="30" hidden="false" customHeight="true" outlineLevel="0" collapsed="false">
      <c r="B25" s="62"/>
      <c r="C25" s="64" t="s">
        <v>52</v>
      </c>
      <c r="D25" s="64"/>
      <c r="E25" s="64"/>
      <c r="F25" s="64"/>
      <c r="G25" s="64"/>
      <c r="H25" s="64"/>
      <c r="I25" s="64"/>
      <c r="J25" s="64"/>
      <c r="K25" s="64"/>
      <c r="L25" s="64"/>
      <c r="M25" s="64"/>
      <c r="N25" s="64"/>
      <c r="O25" s="64"/>
      <c r="P25" s="64"/>
      <c r="Q25" s="64"/>
      <c r="R25" s="64"/>
      <c r="S25" s="64"/>
      <c r="T25" s="64"/>
      <c r="U25" s="62"/>
    </row>
    <row r="26" customFormat="false" ht="20.1" hidden="false" customHeight="true" outlineLevel="0" collapsed="false">
      <c r="B26" s="62"/>
      <c r="U26" s="62"/>
    </row>
    <row r="27" customFormat="false" ht="20.1" hidden="false" customHeight="true" outlineLevel="0" collapsed="false">
      <c r="B27" s="62"/>
      <c r="D27" s="65" t="s">
        <v>53</v>
      </c>
      <c r="E27" s="66" t="s">
        <v>54</v>
      </c>
      <c r="F27" s="67" t="s">
        <v>11</v>
      </c>
      <c r="G27" s="66" t="s">
        <v>55</v>
      </c>
      <c r="H27" s="66"/>
      <c r="I27" s="66"/>
      <c r="J27" s="66"/>
      <c r="K27" s="66" t="s">
        <v>56</v>
      </c>
      <c r="L27" s="68" t="s">
        <v>57</v>
      </c>
      <c r="M27" s="68"/>
      <c r="N27" s="68"/>
      <c r="O27" s="68"/>
      <c r="P27" s="68"/>
      <c r="Q27" s="68"/>
      <c r="R27" s="68"/>
      <c r="S27" s="68"/>
      <c r="U27" s="62"/>
    </row>
    <row r="28" customFormat="false" ht="20.1" hidden="false" customHeight="true" outlineLevel="0" collapsed="false">
      <c r="B28" s="62"/>
      <c r="D28" s="65"/>
      <c r="E28" s="66"/>
      <c r="F28" s="66"/>
      <c r="G28" s="317" t="s">
        <v>58</v>
      </c>
      <c r="H28" s="317" t="s">
        <v>59</v>
      </c>
      <c r="I28" s="226" t="s">
        <v>60</v>
      </c>
      <c r="J28" s="226"/>
      <c r="K28" s="69" t="s">
        <v>61</v>
      </c>
      <c r="L28" s="69" t="s">
        <v>58</v>
      </c>
      <c r="M28" s="70" t="s">
        <v>62</v>
      </c>
      <c r="N28" s="67" t="s">
        <v>60</v>
      </c>
      <c r="O28" s="67"/>
      <c r="P28" s="67"/>
      <c r="Q28" s="67"/>
      <c r="R28" s="67"/>
      <c r="S28" s="67"/>
      <c r="U28" s="62"/>
    </row>
    <row r="29" customFormat="false" ht="15" hidden="false" customHeight="true" outlineLevel="0" collapsed="false">
      <c r="B29" s="62"/>
      <c r="D29" s="318" t="s">
        <v>15</v>
      </c>
      <c r="E29" s="16" t="s">
        <v>16</v>
      </c>
      <c r="F29" s="23" t="n">
        <v>1</v>
      </c>
      <c r="G29" s="319" t="s">
        <v>63</v>
      </c>
      <c r="H29" s="320" t="s">
        <v>173</v>
      </c>
      <c r="I29" s="321" t="s">
        <v>174</v>
      </c>
      <c r="J29" s="321"/>
      <c r="K29" s="322" t="s">
        <v>111</v>
      </c>
      <c r="L29" s="323" t="s">
        <v>67</v>
      </c>
      <c r="M29" s="324" t="s">
        <v>67</v>
      </c>
      <c r="N29" s="78" t="s">
        <v>67</v>
      </c>
      <c r="O29" s="78"/>
      <c r="P29" s="78"/>
      <c r="Q29" s="78"/>
      <c r="R29" s="78"/>
      <c r="S29" s="78"/>
      <c r="U29" s="62"/>
    </row>
    <row r="30" customFormat="false" ht="30" hidden="false" customHeight="true" outlineLevel="0" collapsed="false">
      <c r="B30" s="62"/>
      <c r="D30" s="318"/>
      <c r="E30" s="16"/>
      <c r="F30" s="23"/>
      <c r="G30" s="319"/>
      <c r="H30" s="320"/>
      <c r="I30" s="325" t="s">
        <v>175</v>
      </c>
      <c r="J30" s="325"/>
      <c r="K30" s="322"/>
      <c r="L30" s="323"/>
      <c r="M30" s="324"/>
      <c r="N30" s="78"/>
      <c r="O30" s="78"/>
      <c r="P30" s="78"/>
      <c r="Q30" s="78"/>
      <c r="R30" s="78"/>
      <c r="S30" s="78"/>
      <c r="U30" s="62"/>
    </row>
    <row r="31" customFormat="false" ht="15" hidden="false" customHeight="true" outlineLevel="0" collapsed="false">
      <c r="B31" s="62"/>
      <c r="D31" s="318"/>
      <c r="E31" s="16"/>
      <c r="F31" s="23"/>
      <c r="G31" s="319"/>
      <c r="H31" s="320"/>
      <c r="I31" s="325" t="s">
        <v>176</v>
      </c>
      <c r="J31" s="325"/>
      <c r="K31" s="322"/>
      <c r="L31" s="323"/>
      <c r="M31" s="324"/>
      <c r="N31" s="78"/>
      <c r="O31" s="78"/>
      <c r="P31" s="78"/>
      <c r="Q31" s="78"/>
      <c r="R31" s="78"/>
      <c r="S31" s="78"/>
      <c r="U31" s="62"/>
    </row>
    <row r="32" customFormat="false" ht="30" hidden="false" customHeight="true" outlineLevel="0" collapsed="false">
      <c r="B32" s="62"/>
      <c r="D32" s="318"/>
      <c r="E32" s="16"/>
      <c r="F32" s="23"/>
      <c r="G32" s="319"/>
      <c r="H32" s="320"/>
      <c r="I32" s="325" t="s">
        <v>177</v>
      </c>
      <c r="J32" s="325"/>
      <c r="K32" s="322"/>
      <c r="L32" s="323"/>
      <c r="M32" s="324"/>
      <c r="N32" s="78"/>
      <c r="O32" s="78"/>
      <c r="P32" s="78"/>
      <c r="Q32" s="78"/>
      <c r="R32" s="78"/>
      <c r="S32" s="78"/>
      <c r="U32" s="62"/>
    </row>
    <row r="33" customFormat="false" ht="15" hidden="false" customHeight="true" outlineLevel="0" collapsed="false">
      <c r="B33" s="62"/>
      <c r="D33" s="326" t="s">
        <v>17</v>
      </c>
      <c r="E33" s="306" t="s">
        <v>18</v>
      </c>
      <c r="F33" s="31" t="n">
        <v>2</v>
      </c>
      <c r="G33" s="327" t="s">
        <v>63</v>
      </c>
      <c r="H33" s="82" t="s">
        <v>178</v>
      </c>
      <c r="I33" s="328" t="s">
        <v>179</v>
      </c>
      <c r="J33" s="328"/>
      <c r="K33" s="329" t="s">
        <v>180</v>
      </c>
      <c r="L33" s="330" t="s">
        <v>67</v>
      </c>
      <c r="M33" s="331" t="s">
        <v>67</v>
      </c>
      <c r="N33" s="86" t="s">
        <v>67</v>
      </c>
      <c r="O33" s="86"/>
      <c r="P33" s="86"/>
      <c r="Q33" s="86"/>
      <c r="R33" s="86"/>
      <c r="S33" s="86"/>
      <c r="U33" s="62"/>
    </row>
    <row r="34" customFormat="false" ht="15" hidden="false" customHeight="true" outlineLevel="0" collapsed="false">
      <c r="B34" s="62"/>
      <c r="D34" s="326"/>
      <c r="E34" s="306"/>
      <c r="F34" s="31"/>
      <c r="G34" s="327"/>
      <c r="H34" s="82"/>
      <c r="I34" s="332" t="s">
        <v>181</v>
      </c>
      <c r="J34" s="332"/>
      <c r="K34" s="329"/>
      <c r="L34" s="330"/>
      <c r="M34" s="331"/>
      <c r="N34" s="86"/>
      <c r="O34" s="86"/>
      <c r="P34" s="86"/>
      <c r="Q34" s="86"/>
      <c r="R34" s="86"/>
      <c r="S34" s="86"/>
      <c r="U34" s="62"/>
    </row>
    <row r="35" customFormat="false" ht="15" hidden="false" customHeight="true" outlineLevel="0" collapsed="false">
      <c r="B35" s="62"/>
      <c r="D35" s="326"/>
      <c r="E35" s="306"/>
      <c r="F35" s="31"/>
      <c r="G35" s="327"/>
      <c r="H35" s="82"/>
      <c r="I35" s="332" t="s">
        <v>182</v>
      </c>
      <c r="J35" s="332"/>
      <c r="K35" s="329"/>
      <c r="L35" s="330"/>
      <c r="M35" s="331"/>
      <c r="N35" s="86"/>
      <c r="O35" s="86"/>
      <c r="P35" s="86"/>
      <c r="Q35" s="86"/>
      <c r="R35" s="86"/>
      <c r="S35" s="86"/>
      <c r="U35" s="62"/>
    </row>
    <row r="36" customFormat="false" ht="15" hidden="false" customHeight="true" outlineLevel="0" collapsed="false">
      <c r="B36" s="62"/>
      <c r="D36" s="333" t="s">
        <v>12</v>
      </c>
      <c r="E36" s="33" t="s">
        <v>13</v>
      </c>
      <c r="F36" s="31" t="n">
        <v>3</v>
      </c>
      <c r="G36" s="334" t="s">
        <v>63</v>
      </c>
      <c r="H36" s="89" t="s">
        <v>180</v>
      </c>
      <c r="I36" s="335" t="s">
        <v>183</v>
      </c>
      <c r="J36" s="335"/>
      <c r="K36" s="336" t="s">
        <v>178</v>
      </c>
      <c r="L36" s="330" t="s">
        <v>67</v>
      </c>
      <c r="M36" s="331" t="s">
        <v>67</v>
      </c>
      <c r="N36" s="337" t="s">
        <v>67</v>
      </c>
      <c r="O36" s="337"/>
      <c r="P36" s="337"/>
      <c r="Q36" s="337"/>
      <c r="R36" s="337"/>
      <c r="S36" s="337"/>
      <c r="U36" s="62"/>
    </row>
    <row r="37" customFormat="false" ht="30" hidden="false" customHeight="true" outlineLevel="0" collapsed="false">
      <c r="B37" s="62"/>
      <c r="D37" s="333"/>
      <c r="E37" s="33"/>
      <c r="F37" s="31"/>
      <c r="G37" s="334"/>
      <c r="H37" s="89"/>
      <c r="I37" s="338" t="s">
        <v>184</v>
      </c>
      <c r="J37" s="338"/>
      <c r="K37" s="336"/>
      <c r="L37" s="330"/>
      <c r="M37" s="331"/>
      <c r="N37" s="337"/>
      <c r="O37" s="337"/>
      <c r="P37" s="337"/>
      <c r="Q37" s="337"/>
      <c r="R37" s="337"/>
      <c r="S37" s="337"/>
      <c r="U37" s="62"/>
    </row>
    <row r="38" customFormat="false" ht="15" hidden="false" customHeight="true" outlineLevel="0" collapsed="false">
      <c r="B38" s="62"/>
      <c r="D38" s="333"/>
      <c r="E38" s="33"/>
      <c r="F38" s="31"/>
      <c r="G38" s="334"/>
      <c r="H38" s="89"/>
      <c r="I38" s="338" t="s">
        <v>185</v>
      </c>
      <c r="J38" s="338"/>
      <c r="K38" s="336"/>
      <c r="L38" s="330"/>
      <c r="M38" s="331"/>
      <c r="N38" s="337"/>
      <c r="O38" s="337"/>
      <c r="P38" s="337"/>
      <c r="Q38" s="337"/>
      <c r="R38" s="337"/>
      <c r="S38" s="337"/>
      <c r="U38" s="62"/>
    </row>
    <row r="39" customFormat="false" ht="15" hidden="false" customHeight="true" outlineLevel="0" collapsed="false">
      <c r="B39" s="62"/>
      <c r="D39" s="333"/>
      <c r="E39" s="33"/>
      <c r="F39" s="31"/>
      <c r="G39" s="334"/>
      <c r="H39" s="89"/>
      <c r="I39" s="338" t="s">
        <v>186</v>
      </c>
      <c r="J39" s="338"/>
      <c r="K39" s="336"/>
      <c r="L39" s="330"/>
      <c r="M39" s="331"/>
      <c r="N39" s="337"/>
      <c r="O39" s="337"/>
      <c r="P39" s="337"/>
      <c r="Q39" s="337"/>
      <c r="R39" s="337"/>
      <c r="S39" s="337"/>
      <c r="U39" s="62"/>
    </row>
    <row r="40" customFormat="false" ht="30" hidden="false" customHeight="true" outlineLevel="0" collapsed="false">
      <c r="B40" s="62"/>
      <c r="D40" s="333"/>
      <c r="E40" s="33"/>
      <c r="F40" s="31"/>
      <c r="G40" s="334"/>
      <c r="H40" s="89"/>
      <c r="I40" s="338" t="s">
        <v>187</v>
      </c>
      <c r="J40" s="338"/>
      <c r="K40" s="336"/>
      <c r="L40" s="330"/>
      <c r="M40" s="331"/>
      <c r="N40" s="337"/>
      <c r="O40" s="337"/>
      <c r="P40" s="337"/>
      <c r="Q40" s="337"/>
      <c r="R40" s="337"/>
      <c r="S40" s="337"/>
      <c r="U40" s="62"/>
    </row>
    <row r="41" customFormat="false" ht="45" hidden="false" customHeight="true" outlineLevel="0" collapsed="false">
      <c r="B41" s="62"/>
      <c r="D41" s="333"/>
      <c r="E41" s="33"/>
      <c r="F41" s="31"/>
      <c r="G41" s="334"/>
      <c r="H41" s="89"/>
      <c r="I41" s="338" t="s">
        <v>188</v>
      </c>
      <c r="J41" s="338"/>
      <c r="K41" s="336"/>
      <c r="L41" s="330"/>
      <c r="M41" s="331"/>
      <c r="N41" s="337"/>
      <c r="O41" s="337"/>
      <c r="P41" s="337"/>
      <c r="Q41" s="337"/>
      <c r="R41" s="337"/>
      <c r="S41" s="337"/>
      <c r="U41" s="62"/>
    </row>
    <row r="42" customFormat="false" ht="30" hidden="false" customHeight="true" outlineLevel="0" collapsed="false">
      <c r="B42" s="62"/>
      <c r="D42" s="333"/>
      <c r="E42" s="33"/>
      <c r="F42" s="31"/>
      <c r="G42" s="334"/>
      <c r="H42" s="89"/>
      <c r="I42" s="338" t="s">
        <v>189</v>
      </c>
      <c r="J42" s="338"/>
      <c r="K42" s="336"/>
      <c r="L42" s="330"/>
      <c r="M42" s="331"/>
      <c r="N42" s="337"/>
      <c r="O42" s="337"/>
      <c r="P42" s="337"/>
      <c r="Q42" s="337"/>
      <c r="R42" s="337"/>
      <c r="S42" s="337"/>
      <c r="U42" s="62"/>
    </row>
    <row r="43" customFormat="false" ht="15" hidden="false" customHeight="true" outlineLevel="0" collapsed="false">
      <c r="B43" s="62"/>
      <c r="D43" s="339" t="s">
        <v>22</v>
      </c>
      <c r="E43" s="44" t="s">
        <v>23</v>
      </c>
      <c r="F43" s="340" t="n">
        <v>4</v>
      </c>
      <c r="G43" s="341" t="s">
        <v>114</v>
      </c>
      <c r="H43" s="341" t="s">
        <v>117</v>
      </c>
      <c r="I43" s="342" t="s">
        <v>190</v>
      </c>
      <c r="J43" s="342"/>
      <c r="K43" s="343" t="s">
        <v>111</v>
      </c>
      <c r="L43" s="344" t="s">
        <v>67</v>
      </c>
      <c r="M43" s="345" t="s">
        <v>67</v>
      </c>
      <c r="N43" s="346" t="s">
        <v>67</v>
      </c>
      <c r="O43" s="346"/>
      <c r="P43" s="346"/>
      <c r="Q43" s="346"/>
      <c r="R43" s="346"/>
      <c r="S43" s="346"/>
      <c r="U43" s="62"/>
    </row>
    <row r="44" customFormat="false" ht="15" hidden="false" customHeight="true" outlineLevel="0" collapsed="false">
      <c r="B44" s="62"/>
      <c r="D44" s="339"/>
      <c r="E44" s="44"/>
      <c r="F44" s="340"/>
      <c r="G44" s="341"/>
      <c r="H44" s="341"/>
      <c r="I44" s="347" t="s">
        <v>191</v>
      </c>
      <c r="J44" s="347"/>
      <c r="K44" s="343"/>
      <c r="L44" s="344"/>
      <c r="M44" s="345"/>
      <c r="N44" s="346"/>
      <c r="O44" s="346"/>
      <c r="P44" s="346"/>
      <c r="Q44" s="346"/>
      <c r="R44" s="346"/>
      <c r="S44" s="346"/>
      <c r="U44" s="62"/>
    </row>
    <row r="45" customFormat="false" ht="15" hidden="false" customHeight="true" outlineLevel="0" collapsed="false">
      <c r="B45" s="62"/>
      <c r="D45" s="339"/>
      <c r="E45" s="44"/>
      <c r="F45" s="340"/>
      <c r="G45" s="341"/>
      <c r="H45" s="341"/>
      <c r="I45" s="347" t="s">
        <v>192</v>
      </c>
      <c r="J45" s="347"/>
      <c r="K45" s="343"/>
      <c r="L45" s="344"/>
      <c r="M45" s="345"/>
      <c r="N45" s="346"/>
      <c r="O45" s="346"/>
      <c r="P45" s="346"/>
      <c r="Q45" s="346"/>
      <c r="R45" s="346"/>
      <c r="S45" s="346"/>
      <c r="U45" s="62"/>
    </row>
    <row r="46" customFormat="false" ht="15" hidden="false" customHeight="true" outlineLevel="0" collapsed="false">
      <c r="B46" s="62"/>
      <c r="D46" s="339"/>
      <c r="E46" s="44"/>
      <c r="F46" s="340"/>
      <c r="G46" s="341"/>
      <c r="H46" s="341"/>
      <c r="I46" s="348" t="s">
        <v>193</v>
      </c>
      <c r="J46" s="348"/>
      <c r="K46" s="343"/>
      <c r="L46" s="344"/>
      <c r="M46" s="345"/>
      <c r="N46" s="346"/>
      <c r="O46" s="346"/>
      <c r="P46" s="346"/>
      <c r="Q46" s="346"/>
      <c r="R46" s="346"/>
      <c r="S46" s="346"/>
      <c r="U46" s="62"/>
    </row>
    <row r="47" customFormat="false" ht="20.1" hidden="false" customHeight="true" outlineLevel="0" collapsed="false">
      <c r="B47" s="62"/>
      <c r="U47" s="62"/>
    </row>
    <row r="48" customFormat="false" ht="20.1" hidden="false" customHeight="true" outlineLevel="0" collapsed="false">
      <c r="B48" s="62"/>
      <c r="C48" s="101"/>
      <c r="D48" s="101"/>
      <c r="E48" s="102" t="str">
        <f aca="false">IF(OR(M29="-",M29= ""),H29,M29)</f>
        <v>Agricola</v>
      </c>
      <c r="F48" s="102"/>
      <c r="G48" s="102"/>
      <c r="H48" s="102"/>
      <c r="I48" s="102"/>
      <c r="J48" s="102"/>
      <c r="K48" s="102"/>
      <c r="L48" s="102"/>
      <c r="M48" s="102"/>
      <c r="N48" s="102"/>
      <c r="O48" s="103"/>
      <c r="P48" s="103"/>
      <c r="Q48" s="103"/>
      <c r="R48" s="103"/>
      <c r="S48" s="103"/>
      <c r="T48" s="101"/>
      <c r="U48" s="62"/>
    </row>
    <row r="49" customFormat="false" ht="50.1" hidden="false" customHeight="true" outlineLevel="0" collapsed="false">
      <c r="B49" s="62"/>
      <c r="C49" s="101"/>
      <c r="D49" s="103"/>
      <c r="E49" s="65" t="s">
        <v>53</v>
      </c>
      <c r="F49" s="104" t="s">
        <v>76</v>
      </c>
      <c r="G49" s="67" t="s">
        <v>77</v>
      </c>
      <c r="H49" s="66" t="s">
        <v>78</v>
      </c>
      <c r="I49" s="54" t="s">
        <v>79</v>
      </c>
      <c r="J49" s="66" t="s">
        <v>80</v>
      </c>
      <c r="K49" s="105" t="s">
        <v>81</v>
      </c>
      <c r="L49" s="66" t="s">
        <v>82</v>
      </c>
      <c r="M49" s="106" t="s">
        <v>83</v>
      </c>
      <c r="N49" s="67" t="s">
        <v>84</v>
      </c>
      <c r="O49" s="107" t="s">
        <v>85</v>
      </c>
      <c r="P49" s="108" t="s">
        <v>86</v>
      </c>
      <c r="Q49" s="108" t="s">
        <v>87</v>
      </c>
      <c r="R49" s="108" t="s">
        <v>88</v>
      </c>
      <c r="S49" s="103"/>
      <c r="T49" s="101"/>
      <c r="U49" s="62"/>
    </row>
    <row r="50" customFormat="false" ht="20.1" hidden="false" customHeight="true" outlineLevel="0" collapsed="false">
      <c r="B50" s="62"/>
      <c r="C50" s="101"/>
      <c r="D50" s="101"/>
      <c r="E50" s="71" t="s">
        <v>15</v>
      </c>
      <c r="F50" s="16" t="s">
        <v>16</v>
      </c>
      <c r="G50" s="250" t="n">
        <v>2</v>
      </c>
      <c r="H50" s="251" t="s">
        <v>67</v>
      </c>
      <c r="I50" s="250" t="n">
        <v>-14</v>
      </c>
      <c r="J50" s="250" t="n">
        <v>42</v>
      </c>
      <c r="K50" s="250" t="s">
        <v>67</v>
      </c>
      <c r="L50" s="253" t="n">
        <f aca="false">IF(J50="",0,(J50/J54)*100)</f>
        <v>89.3617021276596</v>
      </c>
      <c r="M50" s="250" t="n">
        <v>2</v>
      </c>
      <c r="N50" s="254" t="n">
        <v>3</v>
      </c>
      <c r="O50" s="115" t="n">
        <f aca="false">IF(M50=1,1,0)</f>
        <v>0</v>
      </c>
      <c r="P50" s="116" t="n">
        <f aca="false">IF(M50=2,1,0)</f>
        <v>1</v>
      </c>
      <c r="Q50" s="116" t="n">
        <f aca="false">IF(M50=3,1,0)</f>
        <v>0</v>
      </c>
      <c r="R50" s="117" t="n">
        <f aca="false">IF(M50=4,1,0)</f>
        <v>0</v>
      </c>
      <c r="S50" s="118"/>
      <c r="T50" s="101"/>
      <c r="U50" s="62"/>
    </row>
    <row r="51" customFormat="false" ht="20.1" hidden="false" customHeight="true" outlineLevel="0" collapsed="false">
      <c r="B51" s="62"/>
      <c r="C51" s="101"/>
      <c r="D51" s="101"/>
      <c r="E51" s="149" t="s">
        <v>17</v>
      </c>
      <c r="F51" s="150" t="s">
        <v>18</v>
      </c>
      <c r="G51" s="151" t="n">
        <v>3</v>
      </c>
      <c r="H51" s="151" t="s">
        <v>67</v>
      </c>
      <c r="I51" s="151" t="n">
        <v>-14</v>
      </c>
      <c r="J51" s="151" t="n">
        <v>47</v>
      </c>
      <c r="K51" s="151" t="s">
        <v>67</v>
      </c>
      <c r="L51" s="153" t="n">
        <f aca="false">IF(J51="",0,(J51/J54)*100)</f>
        <v>100</v>
      </c>
      <c r="M51" s="151" t="n">
        <v>1</v>
      </c>
      <c r="N51" s="154" t="n">
        <v>6</v>
      </c>
      <c r="O51" s="121" t="n">
        <f aca="false">IF(M51=1,1,0)</f>
        <v>1</v>
      </c>
      <c r="P51" s="122" t="n">
        <f aca="false">IF(M51=2,1,0)</f>
        <v>0</v>
      </c>
      <c r="Q51" s="122" t="n">
        <f aca="false">IF(M51=3,1,0)</f>
        <v>0</v>
      </c>
      <c r="R51" s="123" t="n">
        <f aca="false">IF(M51=4,1,0)</f>
        <v>0</v>
      </c>
      <c r="S51" s="118"/>
      <c r="T51" s="101"/>
      <c r="U51" s="62"/>
    </row>
    <row r="52" customFormat="false" ht="20.1" hidden="false" customHeight="true" outlineLevel="0" collapsed="false">
      <c r="B52" s="62"/>
      <c r="C52" s="101"/>
      <c r="D52" s="101"/>
      <c r="E52" s="326" t="s">
        <v>12</v>
      </c>
      <c r="F52" s="33" t="s">
        <v>13</v>
      </c>
      <c r="G52" s="241" t="n">
        <v>1</v>
      </c>
      <c r="H52" s="241" t="s">
        <v>67</v>
      </c>
      <c r="I52" s="241" t="n">
        <v>-14</v>
      </c>
      <c r="J52" s="241" t="n">
        <v>32</v>
      </c>
      <c r="K52" s="241" t="s">
        <v>67</v>
      </c>
      <c r="L52" s="243" t="n">
        <f aca="false">IF(J52="",0,(J52/J54)*100)</f>
        <v>68.0851063829787</v>
      </c>
      <c r="M52" s="241" t="n">
        <v>4</v>
      </c>
      <c r="N52" s="244" t="n">
        <v>0</v>
      </c>
      <c r="O52" s="121" t="n">
        <f aca="false">IF(M52=1,1,0)</f>
        <v>0</v>
      </c>
      <c r="P52" s="122" t="n">
        <f aca="false">IF(M52=2,1,0)</f>
        <v>0</v>
      </c>
      <c r="Q52" s="122" t="n">
        <f aca="false">IF(M52=3,1,0)</f>
        <v>0</v>
      </c>
      <c r="R52" s="123" t="n">
        <f aca="false">IF(M52=4,1,0)</f>
        <v>1</v>
      </c>
      <c r="S52" s="118"/>
      <c r="T52" s="101"/>
      <c r="U52" s="62"/>
    </row>
    <row r="53" customFormat="false" ht="20.1" hidden="false" customHeight="true" outlineLevel="0" collapsed="false">
      <c r="B53" s="62"/>
      <c r="C53" s="101"/>
      <c r="D53" s="124"/>
      <c r="E53" s="349" t="s">
        <v>22</v>
      </c>
      <c r="F53" s="44" t="s">
        <v>23</v>
      </c>
      <c r="G53" s="245" t="n">
        <v>4</v>
      </c>
      <c r="H53" s="245" t="s">
        <v>67</v>
      </c>
      <c r="I53" s="245" t="n">
        <v>-14</v>
      </c>
      <c r="J53" s="245" t="n">
        <v>34</v>
      </c>
      <c r="K53" s="245" t="s">
        <v>67</v>
      </c>
      <c r="L53" s="247" t="n">
        <f aca="false">IF(J53="",0,(J53/J54)*100)</f>
        <v>72.3404255319149</v>
      </c>
      <c r="M53" s="245" t="n">
        <v>3</v>
      </c>
      <c r="N53" s="248" t="n">
        <v>1</v>
      </c>
      <c r="O53" s="127" t="n">
        <f aca="false">IF(M53=1,1,0)</f>
        <v>0</v>
      </c>
      <c r="P53" s="128" t="n">
        <f aca="false">IF(M53=2,1,0)</f>
        <v>0</v>
      </c>
      <c r="Q53" s="128" t="n">
        <f aca="false">IF(M53=3,1,0)</f>
        <v>1</v>
      </c>
      <c r="R53" s="129" t="n">
        <f aca="false">IF(M53=4,1,0)</f>
        <v>0</v>
      </c>
      <c r="S53" s="118"/>
      <c r="T53" s="101"/>
      <c r="U53" s="62"/>
    </row>
    <row r="54" customFormat="false" ht="20.1" hidden="true" customHeight="true" outlineLevel="1" collapsed="false">
      <c r="B54" s="62"/>
      <c r="C54" s="101"/>
      <c r="D54" s="130"/>
      <c r="E54" s="130"/>
      <c r="F54" s="131"/>
      <c r="G54" s="131"/>
      <c r="H54" s="101"/>
      <c r="I54" s="132" t="s">
        <v>89</v>
      </c>
      <c r="J54" s="133" t="n">
        <f aca="false">MAX(J50:J53)</f>
        <v>47</v>
      </c>
      <c r="K54" s="134"/>
      <c r="L54" s="135"/>
      <c r="M54" s="101"/>
      <c r="N54" s="136" t="s">
        <v>90</v>
      </c>
      <c r="O54" s="137" t="n">
        <f aca="false">SUM(O50:O53)</f>
        <v>1</v>
      </c>
      <c r="P54" s="138" t="n">
        <f aca="false">SUM(P50:P53)</f>
        <v>1</v>
      </c>
      <c r="Q54" s="137" t="n">
        <f aca="false">SUM(Q50:Q53)</f>
        <v>1</v>
      </c>
      <c r="R54" s="137" t="n">
        <f aca="false">SUM(R50:R53)</f>
        <v>1</v>
      </c>
      <c r="S54" s="139"/>
      <c r="T54" s="101"/>
      <c r="U54" s="62"/>
    </row>
    <row r="55" customFormat="false" ht="20.1" hidden="false" customHeight="true" outlineLevel="0" collapsed="false">
      <c r="B55" s="62"/>
      <c r="C55" s="101"/>
      <c r="D55" s="101"/>
      <c r="E55" s="101"/>
      <c r="F55" s="140"/>
      <c r="G55" s="140"/>
      <c r="H55" s="103"/>
      <c r="I55" s="101"/>
      <c r="J55" s="101"/>
      <c r="K55" s="101"/>
      <c r="L55" s="101"/>
      <c r="M55" s="101"/>
      <c r="N55" s="101"/>
      <c r="O55" s="101"/>
      <c r="P55" s="101"/>
      <c r="Q55" s="101"/>
      <c r="R55" s="101"/>
      <c r="S55" s="101"/>
      <c r="T55" s="101"/>
      <c r="U55" s="62"/>
    </row>
    <row r="56" customFormat="false" ht="20.1" hidden="false" customHeight="true" outlineLevel="0" collapsed="false">
      <c r="B56" s="62"/>
      <c r="U56" s="62"/>
    </row>
    <row r="57" customFormat="false" ht="20.1" hidden="false" customHeight="true" outlineLevel="0" collapsed="false">
      <c r="B57" s="62"/>
      <c r="C57" s="141"/>
      <c r="D57" s="141"/>
      <c r="E57" s="142" t="str">
        <f aca="false">IF(OR(M33="-",M33= ""),H33,M33)</f>
        <v>Ein Fest für Odin</v>
      </c>
      <c r="F57" s="142"/>
      <c r="G57" s="142"/>
      <c r="H57" s="142"/>
      <c r="I57" s="142"/>
      <c r="J57" s="142"/>
      <c r="K57" s="142"/>
      <c r="L57" s="142"/>
      <c r="M57" s="142"/>
      <c r="N57" s="142"/>
      <c r="O57" s="143"/>
      <c r="P57" s="143"/>
      <c r="Q57" s="143"/>
      <c r="R57" s="143"/>
      <c r="S57" s="143"/>
      <c r="T57" s="141"/>
      <c r="U57" s="62"/>
    </row>
    <row r="58" customFormat="false" ht="50.1" hidden="false" customHeight="true" outlineLevel="0" collapsed="false">
      <c r="B58" s="62"/>
      <c r="C58" s="141"/>
      <c r="D58" s="143"/>
      <c r="E58" s="65" t="s">
        <v>53</v>
      </c>
      <c r="F58" s="104" t="s">
        <v>76</v>
      </c>
      <c r="G58" s="67" t="s">
        <v>77</v>
      </c>
      <c r="H58" s="66" t="s">
        <v>78</v>
      </c>
      <c r="I58" s="54" t="s">
        <v>79</v>
      </c>
      <c r="J58" s="66" t="s">
        <v>80</v>
      </c>
      <c r="K58" s="105" t="s">
        <v>81</v>
      </c>
      <c r="L58" s="66" t="s">
        <v>82</v>
      </c>
      <c r="M58" s="106" t="s">
        <v>83</v>
      </c>
      <c r="N58" s="67" t="s">
        <v>84</v>
      </c>
      <c r="O58" s="107" t="s">
        <v>85</v>
      </c>
      <c r="P58" s="108" t="s">
        <v>86</v>
      </c>
      <c r="Q58" s="108" t="s">
        <v>87</v>
      </c>
      <c r="R58" s="108" t="s">
        <v>88</v>
      </c>
      <c r="S58" s="143"/>
      <c r="T58" s="141"/>
      <c r="U58" s="62"/>
    </row>
    <row r="59" customFormat="false" ht="20.1" hidden="false" customHeight="true" outlineLevel="0" collapsed="false">
      <c r="B59" s="62"/>
      <c r="C59" s="141"/>
      <c r="D59" s="141"/>
      <c r="E59" s="71" t="s">
        <v>15</v>
      </c>
      <c r="F59" s="16" t="s">
        <v>16</v>
      </c>
      <c r="G59" s="250" t="n">
        <v>3</v>
      </c>
      <c r="H59" s="251" t="s">
        <v>67</v>
      </c>
      <c r="I59" s="250" t="n">
        <v>-86</v>
      </c>
      <c r="J59" s="251" t="n">
        <v>105</v>
      </c>
      <c r="K59" s="251" t="s">
        <v>67</v>
      </c>
      <c r="L59" s="253" t="n">
        <f aca="false">IF(J59="",0,(J59/J63)*100)</f>
        <v>84.6774193548387</v>
      </c>
      <c r="M59" s="250" t="n">
        <v>2</v>
      </c>
      <c r="N59" s="254" t="n">
        <v>3</v>
      </c>
      <c r="O59" s="115" t="n">
        <f aca="false">IF(M59=1,1,0)</f>
        <v>0</v>
      </c>
      <c r="P59" s="116" t="n">
        <f aca="false">IF(M59=2,1,0)</f>
        <v>1</v>
      </c>
      <c r="Q59" s="116" t="n">
        <f aca="false">IF(M59=3,1,0)</f>
        <v>0</v>
      </c>
      <c r="R59" s="117" t="n">
        <f aca="false">IF(M59=4,1,0)</f>
        <v>0</v>
      </c>
      <c r="S59" s="147"/>
      <c r="T59" s="141"/>
      <c r="U59" s="62"/>
    </row>
    <row r="60" customFormat="false" ht="20.1" hidden="false" customHeight="true" outlineLevel="0" collapsed="false">
      <c r="B60" s="62"/>
      <c r="C60" s="141"/>
      <c r="D60" s="148"/>
      <c r="E60" s="79" t="s">
        <v>17</v>
      </c>
      <c r="F60" s="27" t="s">
        <v>18</v>
      </c>
      <c r="G60" s="241" t="n">
        <v>4</v>
      </c>
      <c r="H60" s="242" t="s">
        <v>67</v>
      </c>
      <c r="I60" s="241" t="n">
        <v>-86</v>
      </c>
      <c r="J60" s="242" t="n">
        <v>98</v>
      </c>
      <c r="K60" s="242" t="s">
        <v>67</v>
      </c>
      <c r="L60" s="243" t="n">
        <f aca="false">IF(J60="",0,(J60/J63)*100)</f>
        <v>79.0322580645161</v>
      </c>
      <c r="M60" s="241" t="n">
        <v>3</v>
      </c>
      <c r="N60" s="244" t="n">
        <v>1</v>
      </c>
      <c r="O60" s="121" t="n">
        <f aca="false">IF(M60=1,1,0)</f>
        <v>0</v>
      </c>
      <c r="P60" s="122" t="n">
        <f aca="false">IF(M60=2,1,0)</f>
        <v>0</v>
      </c>
      <c r="Q60" s="122" t="n">
        <f aca="false">IF(M60=3,1,0)</f>
        <v>1</v>
      </c>
      <c r="R60" s="123" t="n">
        <f aca="false">IF(M60=4,1,0)</f>
        <v>0</v>
      </c>
      <c r="S60" s="147"/>
      <c r="T60" s="141"/>
      <c r="U60" s="62"/>
    </row>
    <row r="61" customFormat="false" ht="20.1" hidden="false" customHeight="true" outlineLevel="0" collapsed="false">
      <c r="B61" s="62"/>
      <c r="C61" s="141"/>
      <c r="D61" s="141"/>
      <c r="E61" s="326" t="s">
        <v>12</v>
      </c>
      <c r="F61" s="33" t="s">
        <v>13</v>
      </c>
      <c r="G61" s="241" t="n">
        <v>2</v>
      </c>
      <c r="H61" s="242" t="s">
        <v>67</v>
      </c>
      <c r="I61" s="241" t="n">
        <v>-86</v>
      </c>
      <c r="J61" s="242" t="n">
        <v>76</v>
      </c>
      <c r="K61" s="242" t="s">
        <v>67</v>
      </c>
      <c r="L61" s="243" t="n">
        <f aca="false">IF(J61="",0,(J61/J63)*100)</f>
        <v>61.2903225806452</v>
      </c>
      <c r="M61" s="241" t="n">
        <v>4</v>
      </c>
      <c r="N61" s="244" t="n">
        <v>0</v>
      </c>
      <c r="O61" s="121" t="n">
        <f aca="false">IF(M61=1,1,0)</f>
        <v>0</v>
      </c>
      <c r="P61" s="122" t="n">
        <f aca="false">IF(M61=2,1,0)</f>
        <v>0</v>
      </c>
      <c r="Q61" s="122" t="n">
        <f aca="false">IF(M61=3,1,0)</f>
        <v>0</v>
      </c>
      <c r="R61" s="123" t="n">
        <f aca="false">IF(M61=4,1,0)</f>
        <v>1</v>
      </c>
      <c r="S61" s="147"/>
      <c r="T61" s="141"/>
      <c r="U61" s="62"/>
    </row>
    <row r="62" customFormat="false" ht="20.1" hidden="false" customHeight="true" outlineLevel="0" collapsed="false">
      <c r="B62" s="62"/>
      <c r="C62" s="141"/>
      <c r="D62" s="141"/>
      <c r="E62" s="350" t="s">
        <v>22</v>
      </c>
      <c r="F62" s="294" t="s">
        <v>23</v>
      </c>
      <c r="G62" s="295" t="n">
        <v>1</v>
      </c>
      <c r="H62" s="296" t="s">
        <v>67</v>
      </c>
      <c r="I62" s="295" t="n">
        <v>-86</v>
      </c>
      <c r="J62" s="296" t="n">
        <v>124</v>
      </c>
      <c r="K62" s="295" t="s">
        <v>67</v>
      </c>
      <c r="L62" s="297" t="n">
        <f aca="false">IF(J62="",0,(J62/J63)*100)</f>
        <v>100</v>
      </c>
      <c r="M62" s="295" t="n">
        <v>1</v>
      </c>
      <c r="N62" s="298" t="n">
        <v>6</v>
      </c>
      <c r="O62" s="127" t="n">
        <f aca="false">IF(M62=1,1,0)</f>
        <v>1</v>
      </c>
      <c r="P62" s="128" t="n">
        <f aca="false">IF(M62=2,1,0)</f>
        <v>0</v>
      </c>
      <c r="Q62" s="128" t="n">
        <f aca="false">IF(M62=3,1,0)</f>
        <v>0</v>
      </c>
      <c r="R62" s="129" t="n">
        <f aca="false">IF(M62=4,1,0)</f>
        <v>0</v>
      </c>
      <c r="S62" s="147"/>
      <c r="T62" s="141"/>
      <c r="U62" s="62"/>
    </row>
    <row r="63" customFormat="false" ht="20.1" hidden="true" customHeight="true" outlineLevel="1" collapsed="false">
      <c r="B63" s="62"/>
      <c r="C63" s="141"/>
      <c r="D63" s="141"/>
      <c r="E63" s="141"/>
      <c r="F63" s="157"/>
      <c r="G63" s="157"/>
      <c r="H63" s="141"/>
      <c r="I63" s="158" t="s">
        <v>89</v>
      </c>
      <c r="J63" s="133" t="n">
        <f aca="false">MAX(J59:J62)</f>
        <v>124</v>
      </c>
      <c r="K63" s="159"/>
      <c r="L63" s="147"/>
      <c r="M63" s="141"/>
      <c r="N63" s="136" t="s">
        <v>90</v>
      </c>
      <c r="O63" s="137" t="n">
        <f aca="false">SUM(O59:O62)</f>
        <v>1</v>
      </c>
      <c r="P63" s="138" t="n">
        <f aca="false">SUM(P59:P62)</f>
        <v>1</v>
      </c>
      <c r="Q63" s="137" t="n">
        <f aca="false">SUM(Q59:Q62)</f>
        <v>1</v>
      </c>
      <c r="R63" s="160" t="n">
        <f aca="false">SUM(R59:R62)</f>
        <v>1</v>
      </c>
      <c r="S63" s="161"/>
      <c r="T63" s="141"/>
      <c r="U63" s="62"/>
    </row>
    <row r="64" customFormat="false" ht="20.1" hidden="false" customHeight="true" outlineLevel="0" collapsed="false">
      <c r="B64" s="62"/>
      <c r="C64" s="141"/>
      <c r="D64" s="141"/>
      <c r="E64" s="141"/>
      <c r="F64" s="141"/>
      <c r="G64" s="141"/>
      <c r="H64" s="141"/>
      <c r="I64" s="141"/>
      <c r="J64" s="141"/>
      <c r="K64" s="141"/>
      <c r="L64" s="141"/>
      <c r="M64" s="141"/>
      <c r="N64" s="141"/>
      <c r="O64" s="141"/>
      <c r="P64" s="141"/>
      <c r="Q64" s="141"/>
      <c r="R64" s="141"/>
      <c r="S64" s="141"/>
      <c r="T64" s="141"/>
      <c r="U64" s="62"/>
    </row>
    <row r="65" customFormat="false" ht="20.1" hidden="false" customHeight="true" outlineLevel="0" collapsed="false">
      <c r="B65" s="62"/>
      <c r="D65" s="162"/>
      <c r="E65" s="162"/>
      <c r="F65" s="162"/>
      <c r="G65" s="162"/>
      <c r="H65" s="163"/>
      <c r="I65" s="162"/>
      <c r="J65" s="162"/>
      <c r="U65" s="62"/>
    </row>
    <row r="66" customFormat="false" ht="20.1" hidden="false" customHeight="true" outlineLevel="0" collapsed="false">
      <c r="B66" s="62"/>
      <c r="C66" s="164"/>
      <c r="D66" s="164"/>
      <c r="E66" s="165" t="str">
        <f aca="false">IF(OR(M36="-",M36= ""),H36,M36)</f>
        <v>Carcassonne</v>
      </c>
      <c r="F66" s="165"/>
      <c r="G66" s="165"/>
      <c r="H66" s="165"/>
      <c r="I66" s="165"/>
      <c r="J66" s="165"/>
      <c r="K66" s="165"/>
      <c r="L66" s="165"/>
      <c r="M66" s="165"/>
      <c r="N66" s="165"/>
      <c r="O66" s="166"/>
      <c r="P66" s="166"/>
      <c r="Q66" s="166"/>
      <c r="R66" s="166"/>
      <c r="S66" s="166"/>
      <c r="T66" s="164"/>
      <c r="U66" s="167"/>
      <c r="V66" s="168"/>
      <c r="W66" s="168"/>
    </row>
    <row r="67" customFormat="false" ht="50.1" hidden="false" customHeight="true" outlineLevel="0" collapsed="false">
      <c r="B67" s="62"/>
      <c r="C67" s="164"/>
      <c r="D67" s="166"/>
      <c r="E67" s="65" t="s">
        <v>53</v>
      </c>
      <c r="F67" s="104" t="s">
        <v>76</v>
      </c>
      <c r="G67" s="67" t="s">
        <v>77</v>
      </c>
      <c r="H67" s="66" t="s">
        <v>78</v>
      </c>
      <c r="I67" s="54" t="s">
        <v>79</v>
      </c>
      <c r="J67" s="66" t="s">
        <v>80</v>
      </c>
      <c r="K67" s="105" t="s">
        <v>81</v>
      </c>
      <c r="L67" s="66" t="s">
        <v>82</v>
      </c>
      <c r="M67" s="106" t="s">
        <v>83</v>
      </c>
      <c r="N67" s="67" t="s">
        <v>84</v>
      </c>
      <c r="O67" s="107" t="s">
        <v>85</v>
      </c>
      <c r="P67" s="108" t="s">
        <v>86</v>
      </c>
      <c r="Q67" s="108" t="s">
        <v>87</v>
      </c>
      <c r="R67" s="13" t="s">
        <v>88</v>
      </c>
      <c r="S67" s="166"/>
      <c r="T67" s="164"/>
      <c r="U67" s="167"/>
      <c r="V67" s="168"/>
      <c r="W67" s="168"/>
    </row>
    <row r="68" customFormat="false" ht="20.1" hidden="false" customHeight="true" outlineLevel="0" collapsed="false">
      <c r="B68" s="62"/>
      <c r="C68" s="164"/>
      <c r="D68" s="164"/>
      <c r="E68" s="71" t="s">
        <v>15</v>
      </c>
      <c r="F68" s="16" t="s">
        <v>16</v>
      </c>
      <c r="G68" s="250" t="n">
        <v>1</v>
      </c>
      <c r="H68" s="251" t="s">
        <v>67</v>
      </c>
      <c r="I68" s="250" t="n">
        <v>0</v>
      </c>
      <c r="J68" s="299" t="n">
        <v>134</v>
      </c>
      <c r="K68" s="250" t="s">
        <v>67</v>
      </c>
      <c r="L68" s="253" t="n">
        <f aca="false">IF(J68="",0,(J68/J72)*100)</f>
        <v>95.7142857142857</v>
      </c>
      <c r="M68" s="250" t="n">
        <v>2</v>
      </c>
      <c r="N68" s="254" t="n">
        <v>3</v>
      </c>
      <c r="O68" s="115" t="n">
        <f aca="false">IF(M68=1,1,0)</f>
        <v>0</v>
      </c>
      <c r="P68" s="116" t="n">
        <f aca="false">IF(M68=2,1,0)</f>
        <v>1</v>
      </c>
      <c r="Q68" s="116" t="n">
        <f aca="false">IF(M68=3,1,0)</f>
        <v>0</v>
      </c>
      <c r="R68" s="117" t="n">
        <f aca="false">IF(M68=4,1,0)</f>
        <v>0</v>
      </c>
      <c r="S68" s="170"/>
      <c r="T68" s="164"/>
      <c r="U68" s="62"/>
    </row>
    <row r="69" customFormat="false" ht="20.1" hidden="false" customHeight="true" outlineLevel="0" collapsed="false">
      <c r="B69" s="62"/>
      <c r="C69" s="164"/>
      <c r="D69" s="171"/>
      <c r="E69" s="79" t="s">
        <v>17</v>
      </c>
      <c r="F69" s="27" t="s">
        <v>18</v>
      </c>
      <c r="G69" s="241" t="n">
        <v>3</v>
      </c>
      <c r="H69" s="241" t="s">
        <v>67</v>
      </c>
      <c r="I69" s="241" t="n">
        <v>0</v>
      </c>
      <c r="J69" s="300" t="n">
        <v>128</v>
      </c>
      <c r="K69" s="241" t="s">
        <v>67</v>
      </c>
      <c r="L69" s="243" t="n">
        <f aca="false">IF(J69="",0,(J69/J72)*100)</f>
        <v>91.4285714285714</v>
      </c>
      <c r="M69" s="241" t="n">
        <v>4</v>
      </c>
      <c r="N69" s="244" t="n">
        <v>0</v>
      </c>
      <c r="O69" s="121" t="n">
        <f aca="false">IF(M69=1,1,0)</f>
        <v>0</v>
      </c>
      <c r="P69" s="122" t="n">
        <f aca="false">IF(M69=2,1,0)</f>
        <v>0</v>
      </c>
      <c r="Q69" s="122" t="n">
        <f aca="false">IF(M69=3,1,0)</f>
        <v>0</v>
      </c>
      <c r="R69" s="123" t="n">
        <f aca="false">IF(M69=4,1,0)</f>
        <v>1</v>
      </c>
      <c r="S69" s="170"/>
      <c r="T69" s="164"/>
      <c r="U69" s="173"/>
    </row>
    <row r="70" customFormat="false" ht="20.1" hidden="false" customHeight="true" outlineLevel="0" collapsed="false">
      <c r="B70" s="62"/>
      <c r="C70" s="164"/>
      <c r="D70" s="164"/>
      <c r="E70" s="326" t="s">
        <v>12</v>
      </c>
      <c r="F70" s="33" t="s">
        <v>13</v>
      </c>
      <c r="G70" s="241" t="n">
        <v>2</v>
      </c>
      <c r="H70" s="242" t="s">
        <v>67</v>
      </c>
      <c r="I70" s="241" t="n">
        <v>0</v>
      </c>
      <c r="J70" s="300" t="n">
        <v>133</v>
      </c>
      <c r="K70" s="241" t="s">
        <v>67</v>
      </c>
      <c r="L70" s="243" t="n">
        <f aca="false">IF(J70="",0,(J70/J72)*100)</f>
        <v>95</v>
      </c>
      <c r="M70" s="241" t="n">
        <v>3</v>
      </c>
      <c r="N70" s="244" t="n">
        <v>1</v>
      </c>
      <c r="O70" s="121" t="n">
        <f aca="false">IF(M70=1,1,0)</f>
        <v>0</v>
      </c>
      <c r="P70" s="122" t="n">
        <f aca="false">IF(M70=2,1,0)</f>
        <v>0</v>
      </c>
      <c r="Q70" s="122" t="n">
        <f aca="false">IF(M70=3,1,0)</f>
        <v>1</v>
      </c>
      <c r="R70" s="123" t="n">
        <f aca="false">IF(M70=4,1,0)</f>
        <v>0</v>
      </c>
      <c r="S70" s="170"/>
      <c r="T70" s="164"/>
      <c r="U70" s="173"/>
    </row>
    <row r="71" customFormat="false" ht="20.1" hidden="false" customHeight="true" outlineLevel="0" collapsed="false">
      <c r="B71" s="62"/>
      <c r="C71" s="164"/>
      <c r="D71" s="164"/>
      <c r="E71" s="350" t="s">
        <v>22</v>
      </c>
      <c r="F71" s="294" t="s">
        <v>23</v>
      </c>
      <c r="G71" s="295" t="n">
        <v>4</v>
      </c>
      <c r="H71" s="296" t="s">
        <v>67</v>
      </c>
      <c r="I71" s="295" t="n">
        <v>0</v>
      </c>
      <c r="J71" s="301" t="n">
        <v>140</v>
      </c>
      <c r="K71" s="295" t="s">
        <v>67</v>
      </c>
      <c r="L71" s="297" t="n">
        <f aca="false">IF(J71="",0,(J71/J72)*100)</f>
        <v>100</v>
      </c>
      <c r="M71" s="295" t="n">
        <v>1</v>
      </c>
      <c r="N71" s="298" t="n">
        <v>6</v>
      </c>
      <c r="O71" s="127" t="n">
        <f aca="false">IF(M71=1,1,0)</f>
        <v>1</v>
      </c>
      <c r="P71" s="128" t="n">
        <f aca="false">IF(M71=2,1,0)</f>
        <v>0</v>
      </c>
      <c r="Q71" s="128" t="n">
        <f aca="false">IF(M71=3,1,0)</f>
        <v>0</v>
      </c>
      <c r="R71" s="129" t="n">
        <f aca="false">IF(M71=4,1,0)</f>
        <v>0</v>
      </c>
      <c r="S71" s="170"/>
      <c r="T71" s="164"/>
      <c r="U71" s="173"/>
    </row>
    <row r="72" customFormat="false" ht="20.1" hidden="true" customHeight="true" outlineLevel="1" collapsed="false">
      <c r="B72" s="62"/>
      <c r="C72" s="164"/>
      <c r="D72" s="164"/>
      <c r="E72" s="164"/>
      <c r="F72" s="178"/>
      <c r="G72" s="178"/>
      <c r="H72" s="164"/>
      <c r="I72" s="179" t="s">
        <v>89</v>
      </c>
      <c r="J72" s="133" t="n">
        <f aca="false">MAX(J68:J71)</f>
        <v>140</v>
      </c>
      <c r="K72" s="180"/>
      <c r="L72" s="170"/>
      <c r="M72" s="164"/>
      <c r="N72" s="136"/>
      <c r="O72" s="137" t="n">
        <f aca="false">SUM(O68:O71)</f>
        <v>1</v>
      </c>
      <c r="P72" s="138" t="n">
        <f aca="false">SUM(P68:P71)</f>
        <v>1</v>
      </c>
      <c r="Q72" s="137" t="n">
        <f aca="false">SUM(Q68:Q71)</f>
        <v>1</v>
      </c>
      <c r="R72" s="160" t="n">
        <f aca="false">SUM(R68:R71)</f>
        <v>1</v>
      </c>
      <c r="S72" s="181"/>
      <c r="T72" s="164"/>
      <c r="U72" s="173"/>
    </row>
    <row r="73" customFormat="false" ht="20.1" hidden="false" customHeight="true" outlineLevel="0" collapsed="false">
      <c r="B73" s="62"/>
      <c r="C73" s="164"/>
      <c r="D73" s="164"/>
      <c r="E73" s="164"/>
      <c r="F73" s="164"/>
      <c r="G73" s="164"/>
      <c r="H73" s="164"/>
      <c r="I73" s="164"/>
      <c r="J73" s="164"/>
      <c r="K73" s="164"/>
      <c r="L73" s="164"/>
      <c r="M73" s="164"/>
      <c r="N73" s="164"/>
      <c r="O73" s="164"/>
      <c r="P73" s="164"/>
      <c r="Q73" s="164"/>
      <c r="R73" s="164"/>
      <c r="S73" s="164"/>
      <c r="T73" s="164"/>
      <c r="U73" s="173"/>
    </row>
    <row r="74" customFormat="false" ht="20.1" hidden="false" customHeight="true" outlineLevel="0" collapsed="false">
      <c r="B74" s="62"/>
      <c r="D74" s="162"/>
      <c r="E74" s="162"/>
      <c r="F74" s="162"/>
      <c r="G74" s="162"/>
      <c r="H74" s="163"/>
      <c r="I74" s="162"/>
      <c r="J74" s="162"/>
      <c r="K74" s="162"/>
      <c r="U74" s="62"/>
    </row>
    <row r="75" customFormat="false" ht="20.1" hidden="false" customHeight="true" outlineLevel="0" collapsed="false">
      <c r="B75" s="62"/>
      <c r="C75" s="182"/>
      <c r="D75" s="182"/>
      <c r="E75" s="183" t="str">
        <f aca="false">IF(OR(M43="-",M43= ""),H43,M43)</f>
        <v>Rajas of the Ganges</v>
      </c>
      <c r="F75" s="183"/>
      <c r="G75" s="183"/>
      <c r="H75" s="183"/>
      <c r="I75" s="183"/>
      <c r="J75" s="183"/>
      <c r="K75" s="183"/>
      <c r="L75" s="183"/>
      <c r="M75" s="183"/>
      <c r="N75" s="183"/>
      <c r="O75" s="184"/>
      <c r="P75" s="184"/>
      <c r="Q75" s="184"/>
      <c r="R75" s="184"/>
      <c r="S75" s="184"/>
      <c r="T75" s="182"/>
      <c r="U75" s="62"/>
    </row>
    <row r="76" customFormat="false" ht="50.1" hidden="false" customHeight="true" outlineLevel="0" collapsed="false">
      <c r="B76" s="62"/>
      <c r="C76" s="182"/>
      <c r="D76" s="184"/>
      <c r="E76" s="65" t="s">
        <v>53</v>
      </c>
      <c r="F76" s="104" t="s">
        <v>76</v>
      </c>
      <c r="G76" s="67" t="s">
        <v>77</v>
      </c>
      <c r="H76" s="66" t="s">
        <v>78</v>
      </c>
      <c r="I76" s="54" t="s">
        <v>79</v>
      </c>
      <c r="J76" s="66" t="s">
        <v>80</v>
      </c>
      <c r="K76" s="105" t="s">
        <v>81</v>
      </c>
      <c r="L76" s="66" t="s">
        <v>82</v>
      </c>
      <c r="M76" s="106" t="s">
        <v>83</v>
      </c>
      <c r="N76" s="67" t="s">
        <v>84</v>
      </c>
      <c r="O76" s="107" t="s">
        <v>85</v>
      </c>
      <c r="P76" s="108" t="s">
        <v>86</v>
      </c>
      <c r="Q76" s="108" t="s">
        <v>87</v>
      </c>
      <c r="R76" s="13" t="s">
        <v>88</v>
      </c>
      <c r="S76" s="184"/>
      <c r="T76" s="182"/>
      <c r="U76" s="62"/>
    </row>
    <row r="77" customFormat="false" ht="20.1" hidden="false" customHeight="true" outlineLevel="0" collapsed="false">
      <c r="B77" s="62"/>
      <c r="C77" s="182"/>
      <c r="D77" s="182"/>
      <c r="E77" s="109" t="s">
        <v>15</v>
      </c>
      <c r="F77" s="110" t="s">
        <v>16</v>
      </c>
      <c r="G77" s="111" t="n">
        <v>2</v>
      </c>
      <c r="H77" s="112" t="s">
        <v>67</v>
      </c>
      <c r="I77" s="111" t="n">
        <v>-59</v>
      </c>
      <c r="J77" s="111" t="n">
        <v>3</v>
      </c>
      <c r="K77" s="111" t="s">
        <v>67</v>
      </c>
      <c r="L77" s="113" t="n">
        <f aca="false">($I$78-J77)/($I$78-$J$77)*100</f>
        <v>100</v>
      </c>
      <c r="M77" s="111" t="n">
        <v>1</v>
      </c>
      <c r="N77" s="114" t="n">
        <v>6</v>
      </c>
      <c r="O77" s="115" t="n">
        <f aca="false">IF(M77=1,1,0)</f>
        <v>1</v>
      </c>
      <c r="P77" s="116" t="n">
        <f aca="false">IF(M77=2,1,0)</f>
        <v>0</v>
      </c>
      <c r="Q77" s="116" t="n">
        <f aca="false">IF(M77=3,1,0)</f>
        <v>0</v>
      </c>
      <c r="R77" s="117" t="n">
        <f aca="false">IF(M77=4,1,0)</f>
        <v>0</v>
      </c>
      <c r="S77" s="185"/>
      <c r="T77" s="182"/>
      <c r="U77" s="62"/>
    </row>
    <row r="78" customFormat="false" ht="20.1" hidden="false" customHeight="true" outlineLevel="0" collapsed="false">
      <c r="B78" s="62"/>
      <c r="C78" s="182"/>
      <c r="D78" s="182"/>
      <c r="E78" s="79" t="s">
        <v>17</v>
      </c>
      <c r="F78" s="27" t="s">
        <v>19</v>
      </c>
      <c r="G78" s="241" t="n">
        <v>3</v>
      </c>
      <c r="H78" s="241" t="s">
        <v>67</v>
      </c>
      <c r="I78" s="241" t="n">
        <v>-58</v>
      </c>
      <c r="J78" s="241" t="n">
        <v>1</v>
      </c>
      <c r="K78" s="241" t="s">
        <v>67</v>
      </c>
      <c r="L78" s="243" t="n">
        <f aca="false">($I$78-J78)/($I$78-$J$77)*100</f>
        <v>96.7213114754098</v>
      </c>
      <c r="M78" s="241" t="n">
        <v>2</v>
      </c>
      <c r="N78" s="244" t="n">
        <v>3</v>
      </c>
      <c r="O78" s="121" t="n">
        <f aca="false">IF(M78=1,1,0)</f>
        <v>0</v>
      </c>
      <c r="P78" s="122" t="n">
        <f aca="false">IF(M78=2,1,0)</f>
        <v>1</v>
      </c>
      <c r="Q78" s="122" t="n">
        <f aca="false">IF(M78=3,1,0)</f>
        <v>0</v>
      </c>
      <c r="R78" s="123" t="n">
        <f aca="false">IF(M78=4,1,0)</f>
        <v>0</v>
      </c>
      <c r="S78" s="185"/>
      <c r="T78" s="182"/>
      <c r="U78" s="62"/>
    </row>
    <row r="79" customFormat="false" ht="20.1" hidden="false" customHeight="true" outlineLevel="0" collapsed="false">
      <c r="B79" s="62"/>
      <c r="C79" s="182"/>
      <c r="D79" s="182"/>
      <c r="E79" s="326" t="s">
        <v>12</v>
      </c>
      <c r="F79" s="33" t="s">
        <v>13</v>
      </c>
      <c r="G79" s="241" t="n">
        <v>4</v>
      </c>
      <c r="H79" s="241" t="s">
        <v>67</v>
      </c>
      <c r="I79" s="241" t="n">
        <v>-58</v>
      </c>
      <c r="J79" s="241" t="n">
        <v>-7</v>
      </c>
      <c r="K79" s="241" t="s">
        <v>67</v>
      </c>
      <c r="L79" s="243" t="n">
        <f aca="false">($I$78-J79)/($I$78-$J$77)*100</f>
        <v>83.6065573770492</v>
      </c>
      <c r="M79" s="241" t="n">
        <v>3</v>
      </c>
      <c r="N79" s="244" t="n">
        <v>1</v>
      </c>
      <c r="O79" s="121" t="n">
        <f aca="false">IF(M79=1,1,0)</f>
        <v>0</v>
      </c>
      <c r="P79" s="122" t="n">
        <f aca="false">IF(M79=2,1,0)</f>
        <v>0</v>
      </c>
      <c r="Q79" s="122" t="n">
        <f aca="false">IF(M79=3,1,0)</f>
        <v>1</v>
      </c>
      <c r="R79" s="123" t="n">
        <f aca="false">IF(M79=4,1,0)</f>
        <v>0</v>
      </c>
      <c r="S79" s="185"/>
      <c r="T79" s="182"/>
      <c r="U79" s="62"/>
    </row>
    <row r="80" customFormat="false" ht="20.1" hidden="false" customHeight="true" outlineLevel="0" collapsed="false">
      <c r="B80" s="62"/>
      <c r="C80" s="182"/>
      <c r="D80" s="186"/>
      <c r="E80" s="349" t="s">
        <v>22</v>
      </c>
      <c r="F80" s="44" t="s">
        <v>23</v>
      </c>
      <c r="G80" s="245" t="n">
        <v>1</v>
      </c>
      <c r="H80" s="245" t="s">
        <v>67</v>
      </c>
      <c r="I80" s="245" t="n">
        <v>-59</v>
      </c>
      <c r="J80" s="245" t="n">
        <v>-15</v>
      </c>
      <c r="K80" s="245" t="s">
        <v>67</v>
      </c>
      <c r="L80" s="247" t="n">
        <f aca="false">($I$78-J80)/($I$78-$J$77)*100</f>
        <v>70.4918032786885</v>
      </c>
      <c r="M80" s="245" t="n">
        <v>4</v>
      </c>
      <c r="N80" s="248" t="n">
        <v>0</v>
      </c>
      <c r="O80" s="127" t="n">
        <f aca="false">IF(M80=1,1,0)</f>
        <v>0</v>
      </c>
      <c r="P80" s="128" t="n">
        <f aca="false">IF(M80=2,1,0)</f>
        <v>0</v>
      </c>
      <c r="Q80" s="128" t="n">
        <f aca="false">IF(M80=3,1,0)</f>
        <v>0</v>
      </c>
      <c r="R80" s="129" t="n">
        <f aca="false">IF(M80=4,1,0)</f>
        <v>1</v>
      </c>
      <c r="S80" s="185"/>
      <c r="T80" s="182"/>
      <c r="U80" s="62"/>
    </row>
    <row r="81" customFormat="false" ht="20.1" hidden="true" customHeight="true" outlineLevel="1" collapsed="false">
      <c r="B81" s="62"/>
      <c r="C81" s="182"/>
      <c r="D81" s="182"/>
      <c r="E81" s="182"/>
      <c r="F81" s="187"/>
      <c r="G81" s="187"/>
      <c r="H81" s="182"/>
      <c r="I81" s="158" t="s">
        <v>89</v>
      </c>
      <c r="J81" s="133" t="n">
        <f aca="false">MAX(J77:J80)</f>
        <v>3</v>
      </c>
      <c r="K81" s="188"/>
      <c r="L81" s="185"/>
      <c r="M81" s="182"/>
      <c r="N81" s="136" t="s">
        <v>90</v>
      </c>
      <c r="O81" s="137" t="n">
        <f aca="false">SUM(O77:O80)</f>
        <v>1</v>
      </c>
      <c r="P81" s="138" t="n">
        <f aca="false">SUM(P77:P80)</f>
        <v>1</v>
      </c>
      <c r="Q81" s="137" t="n">
        <f aca="false">SUM(Q77:Q80)</f>
        <v>1</v>
      </c>
      <c r="R81" s="160" t="n">
        <f aca="false">SUM(R77:R80)</f>
        <v>1</v>
      </c>
      <c r="S81" s="189"/>
      <c r="T81" s="182"/>
      <c r="U81" s="62"/>
    </row>
    <row r="82" customFormat="false" ht="20.1" hidden="false" customHeight="true" outlineLevel="0" collapsed="false">
      <c r="B82" s="62"/>
      <c r="C82" s="182"/>
      <c r="D82" s="182"/>
      <c r="E82" s="182"/>
      <c r="F82" s="182"/>
      <c r="G82" s="182"/>
      <c r="H82" s="182"/>
      <c r="I82" s="182"/>
      <c r="J82" s="182"/>
      <c r="K82" s="182"/>
      <c r="L82" s="182"/>
      <c r="M82" s="182"/>
      <c r="N82" s="182"/>
      <c r="O82" s="182"/>
      <c r="P82" s="182"/>
      <c r="Q82" s="182"/>
      <c r="R82" s="182"/>
      <c r="S82" s="182"/>
      <c r="T82" s="182"/>
      <c r="U82" s="62"/>
    </row>
    <row r="83" customFormat="false" ht="20.1" hidden="false" customHeight="true" outlineLevel="0" collapsed="false">
      <c r="B83" s="62"/>
      <c r="D83" s="5"/>
      <c r="E83" s="5"/>
      <c r="F83" s="5"/>
      <c r="G83" s="5"/>
      <c r="H83" s="5"/>
      <c r="I83" s="5"/>
      <c r="J83" s="5"/>
      <c r="U83" s="62"/>
    </row>
    <row r="84" customFormat="false" ht="30" hidden="false" customHeight="true" outlineLevel="0" collapsed="false">
      <c r="B84" s="62"/>
      <c r="C84" s="190"/>
      <c r="D84" s="191" t="s">
        <v>99</v>
      </c>
      <c r="E84" s="191"/>
      <c r="F84" s="191"/>
      <c r="G84" s="191"/>
      <c r="H84" s="191"/>
      <c r="I84" s="191"/>
      <c r="J84" s="191"/>
      <c r="K84" s="191"/>
      <c r="L84" s="191"/>
      <c r="M84" s="191"/>
      <c r="N84" s="191"/>
      <c r="O84" s="191"/>
      <c r="P84" s="191"/>
      <c r="Q84" s="191"/>
      <c r="R84" s="191"/>
      <c r="S84" s="191"/>
      <c r="T84" s="190"/>
      <c r="U84" s="62"/>
    </row>
    <row r="85" customFormat="false" ht="50.1" hidden="false" customHeight="true" outlineLevel="0" collapsed="false">
      <c r="B85" s="62"/>
      <c r="C85" s="190"/>
      <c r="D85" s="192" t="s">
        <v>53</v>
      </c>
      <c r="E85" s="193" t="s">
        <v>54</v>
      </c>
      <c r="F85" s="194" t="s">
        <v>84</v>
      </c>
      <c r="G85" s="195" t="s">
        <v>100</v>
      </c>
      <c r="H85" s="196" t="s">
        <v>101</v>
      </c>
      <c r="I85" s="196"/>
      <c r="J85" s="197" t="s">
        <v>102</v>
      </c>
      <c r="K85" s="198" t="s">
        <v>103</v>
      </c>
      <c r="L85" s="194" t="s">
        <v>104</v>
      </c>
      <c r="M85" s="198" t="s">
        <v>105</v>
      </c>
      <c r="N85" s="194" t="s">
        <v>106</v>
      </c>
      <c r="O85" s="199"/>
      <c r="P85" s="200"/>
      <c r="Q85" s="200"/>
      <c r="R85" s="200"/>
      <c r="S85" s="193" t="s">
        <v>107</v>
      </c>
      <c r="T85" s="190"/>
      <c r="U85" s="62"/>
    </row>
    <row r="86" customFormat="false" ht="20.1" hidden="false" customHeight="true" outlineLevel="0" collapsed="false">
      <c r="B86" s="62"/>
      <c r="C86" s="190"/>
      <c r="D86" s="201" t="s">
        <v>15</v>
      </c>
      <c r="E86" s="202" t="s">
        <v>16</v>
      </c>
      <c r="F86" s="203" t="n">
        <f aca="false">(K86*6+L86*3+M86*1+N86*0)</f>
        <v>15</v>
      </c>
      <c r="G86" s="203" t="n">
        <v>0</v>
      </c>
      <c r="H86" s="204" t="s">
        <v>67</v>
      </c>
      <c r="I86" s="204"/>
      <c r="J86" s="203" t="n">
        <f aca="false">F86+G86</f>
        <v>15</v>
      </c>
      <c r="K86" s="203" t="n">
        <v>1</v>
      </c>
      <c r="L86" s="203" t="n">
        <v>3</v>
      </c>
      <c r="M86" s="203" t="n">
        <v>0</v>
      </c>
      <c r="N86" s="203" t="n">
        <v>0</v>
      </c>
      <c r="O86" s="203"/>
      <c r="P86" s="203"/>
      <c r="Q86" s="203"/>
      <c r="R86" s="203"/>
      <c r="S86" s="205" t="n">
        <f aca="false">(L50+L59+L68+L77)/4</f>
        <v>92.438351799196</v>
      </c>
      <c r="T86" s="190"/>
      <c r="U86" s="62"/>
      <c r="W86" s="206"/>
      <c r="X86" s="206"/>
      <c r="Y86" s="206"/>
      <c r="Z86" s="206"/>
    </row>
    <row r="87" customFormat="false" ht="20.1" hidden="false" customHeight="true" outlineLevel="0" collapsed="false">
      <c r="B87" s="62"/>
      <c r="C87" s="190"/>
      <c r="D87" s="207" t="s">
        <v>22</v>
      </c>
      <c r="E87" s="208" t="s">
        <v>23</v>
      </c>
      <c r="F87" s="209" t="n">
        <f aca="false">(K87*6+L87*3+M87*1+N87*0)</f>
        <v>13</v>
      </c>
      <c r="G87" s="209" t="n">
        <v>0</v>
      </c>
      <c r="H87" s="210" t="s">
        <v>67</v>
      </c>
      <c r="I87" s="210"/>
      <c r="J87" s="209" t="n">
        <f aca="false">F87+G87</f>
        <v>13</v>
      </c>
      <c r="K87" s="209" t="n">
        <v>2</v>
      </c>
      <c r="L87" s="209" t="n">
        <v>0</v>
      </c>
      <c r="M87" s="209" t="n">
        <v>1</v>
      </c>
      <c r="N87" s="209" t="n">
        <v>1</v>
      </c>
      <c r="O87" s="209"/>
      <c r="P87" s="209"/>
      <c r="Q87" s="209"/>
      <c r="R87" s="209"/>
      <c r="S87" s="211" t="n">
        <f aca="false">(L53+L62+L71+L80)/4</f>
        <v>85.7080572026509</v>
      </c>
      <c r="T87" s="190"/>
      <c r="U87" s="62"/>
      <c r="W87" s="212"/>
      <c r="X87" s="212"/>
      <c r="Y87" s="212"/>
      <c r="Z87" s="212"/>
    </row>
    <row r="88" customFormat="false" ht="20.1" hidden="false" customHeight="true" outlineLevel="0" collapsed="false">
      <c r="B88" s="62"/>
      <c r="C88" s="190"/>
      <c r="D88" s="213" t="s">
        <v>17</v>
      </c>
      <c r="E88" s="208" t="s">
        <v>18</v>
      </c>
      <c r="F88" s="209" t="n">
        <f aca="false">(K88*6+L88*3+M88*1+N88*0)</f>
        <v>10</v>
      </c>
      <c r="G88" s="209" t="n">
        <v>0</v>
      </c>
      <c r="H88" s="210" t="s">
        <v>67</v>
      </c>
      <c r="I88" s="210"/>
      <c r="J88" s="209" t="n">
        <f aca="false">F88+G88</f>
        <v>10</v>
      </c>
      <c r="K88" s="209" t="n">
        <v>1</v>
      </c>
      <c r="L88" s="209" t="n">
        <v>1</v>
      </c>
      <c r="M88" s="209" t="n">
        <v>1</v>
      </c>
      <c r="N88" s="209" t="n">
        <v>1</v>
      </c>
      <c r="O88" s="209"/>
      <c r="P88" s="209"/>
      <c r="Q88" s="209"/>
      <c r="R88" s="209"/>
      <c r="S88" s="211" t="n">
        <f aca="false">(L51+L60+L69+L78)/4</f>
        <v>91.7955352421243</v>
      </c>
      <c r="T88" s="190"/>
      <c r="U88" s="62"/>
      <c r="W88" s="212"/>
      <c r="X88" s="212"/>
      <c r="Y88" s="212"/>
      <c r="Z88" s="212"/>
    </row>
    <row r="89" customFormat="false" ht="20.1" hidden="false" customHeight="true" outlineLevel="0" collapsed="false">
      <c r="B89" s="62"/>
      <c r="C89" s="190"/>
      <c r="D89" s="214" t="s">
        <v>12</v>
      </c>
      <c r="E89" s="215" t="s">
        <v>13</v>
      </c>
      <c r="F89" s="216" t="n">
        <f aca="false">(K89*6+L89*3+M89*1+N89*0)</f>
        <v>2</v>
      </c>
      <c r="G89" s="216" t="n">
        <v>0</v>
      </c>
      <c r="H89" s="217" t="s">
        <v>67</v>
      </c>
      <c r="I89" s="217"/>
      <c r="J89" s="216" t="n">
        <f aca="false">F89+G89</f>
        <v>2</v>
      </c>
      <c r="K89" s="216" t="n">
        <v>0</v>
      </c>
      <c r="L89" s="216" t="n">
        <v>0</v>
      </c>
      <c r="M89" s="216" t="n">
        <v>2</v>
      </c>
      <c r="N89" s="216" t="n">
        <v>2</v>
      </c>
      <c r="O89" s="216"/>
      <c r="P89" s="216"/>
      <c r="Q89" s="216"/>
      <c r="R89" s="216"/>
      <c r="S89" s="218" t="n">
        <f aca="false">(L52+L61+L70+L79)/4</f>
        <v>76.9954965851683</v>
      </c>
      <c r="T89" s="190"/>
      <c r="U89" s="62"/>
      <c r="W89" s="212"/>
      <c r="X89" s="212"/>
      <c r="Y89" s="212"/>
      <c r="Z89" s="212"/>
      <c r="AB89" s="212"/>
      <c r="AC89" s="212"/>
      <c r="AD89" s="212"/>
      <c r="AE89" s="212"/>
    </row>
    <row r="90" customFormat="false" ht="20.1" hidden="false" customHeight="true" outlineLevel="0" collapsed="false">
      <c r="B90" s="62"/>
      <c r="C90" s="190"/>
      <c r="D90" s="190"/>
      <c r="E90" s="190"/>
      <c r="F90" s="190"/>
      <c r="G90" s="190"/>
      <c r="H90" s="190"/>
      <c r="I90" s="190"/>
      <c r="J90" s="190"/>
      <c r="K90" s="190"/>
      <c r="L90" s="190"/>
      <c r="M90" s="190"/>
      <c r="N90" s="190"/>
      <c r="O90" s="190"/>
      <c r="P90" s="190"/>
      <c r="Q90" s="190"/>
      <c r="R90" s="190"/>
      <c r="S90" s="190"/>
      <c r="T90" s="190"/>
      <c r="U90" s="62"/>
      <c r="W90" s="212"/>
      <c r="X90" s="212"/>
      <c r="Y90" s="212"/>
      <c r="Z90" s="212"/>
    </row>
    <row r="91" customFormat="false" ht="20.1" hidden="false" customHeight="true" outlineLevel="0" collapsed="false">
      <c r="B91" s="62"/>
      <c r="C91" s="62"/>
      <c r="D91" s="219"/>
      <c r="E91" s="219"/>
      <c r="F91" s="167"/>
      <c r="G91" s="167"/>
      <c r="H91" s="219"/>
      <c r="I91" s="219"/>
      <c r="J91" s="219"/>
      <c r="K91" s="62"/>
      <c r="L91" s="62"/>
      <c r="M91" s="62"/>
      <c r="N91" s="62"/>
      <c r="O91" s="62"/>
      <c r="P91" s="62"/>
      <c r="Q91" s="62"/>
      <c r="R91" s="62"/>
      <c r="S91" s="62"/>
      <c r="T91" s="62"/>
      <c r="U91" s="62"/>
    </row>
    <row r="92" customFormat="false" ht="20.1" hidden="false" customHeight="true" outlineLevel="0" collapsed="false">
      <c r="D92" s="220"/>
    </row>
    <row r="93" customFormat="false" ht="20.1" hidden="false" customHeight="true" outlineLevel="0" collapsed="false">
      <c r="D93" s="221"/>
    </row>
    <row r="94" customFormat="false" ht="20.1" hidden="false" customHeight="true" outlineLevel="0" collapsed="false">
      <c r="B94" s="62"/>
      <c r="C94" s="62"/>
      <c r="D94" s="63"/>
      <c r="E94" s="63"/>
      <c r="F94" s="63"/>
      <c r="G94" s="63"/>
      <c r="H94" s="62"/>
      <c r="I94" s="62"/>
      <c r="J94" s="62"/>
      <c r="K94" s="62"/>
      <c r="L94" s="62"/>
      <c r="M94" s="62"/>
      <c r="N94" s="62"/>
      <c r="O94" s="62"/>
      <c r="P94" s="62"/>
      <c r="Q94" s="62"/>
      <c r="R94" s="62"/>
      <c r="S94" s="62"/>
      <c r="T94" s="62"/>
      <c r="U94" s="62"/>
    </row>
    <row r="95" customFormat="false" ht="30" hidden="false" customHeight="true" outlineLevel="0" collapsed="false">
      <c r="B95" s="62"/>
      <c r="C95" s="64" t="s">
        <v>108</v>
      </c>
      <c r="D95" s="64"/>
      <c r="E95" s="64"/>
      <c r="F95" s="64"/>
      <c r="G95" s="64"/>
      <c r="H95" s="64"/>
      <c r="I95" s="64"/>
      <c r="J95" s="64"/>
      <c r="K95" s="64"/>
      <c r="L95" s="64"/>
      <c r="M95" s="64"/>
      <c r="N95" s="64"/>
      <c r="O95" s="64"/>
      <c r="P95" s="64"/>
      <c r="Q95" s="64"/>
      <c r="R95" s="64"/>
      <c r="S95" s="64"/>
      <c r="T95" s="64"/>
      <c r="U95" s="62"/>
    </row>
    <row r="96" customFormat="false" ht="20.1" hidden="false" customHeight="true" outlineLevel="0" collapsed="false">
      <c r="B96" s="62"/>
      <c r="U96" s="62"/>
    </row>
    <row r="97" customFormat="false" ht="20.1" hidden="false" customHeight="true" outlineLevel="0" collapsed="false">
      <c r="B97" s="62"/>
      <c r="D97" s="65" t="s">
        <v>53</v>
      </c>
      <c r="E97" s="66" t="s">
        <v>54</v>
      </c>
      <c r="F97" s="67" t="s">
        <v>11</v>
      </c>
      <c r="G97" s="223" t="s">
        <v>55</v>
      </c>
      <c r="H97" s="223"/>
      <c r="I97" s="223"/>
      <c r="J97" s="223"/>
      <c r="K97" s="66" t="s">
        <v>56</v>
      </c>
      <c r="L97" s="68" t="s">
        <v>57</v>
      </c>
      <c r="M97" s="68"/>
      <c r="N97" s="68"/>
      <c r="O97" s="68"/>
      <c r="P97" s="68"/>
      <c r="Q97" s="68"/>
      <c r="R97" s="68"/>
      <c r="S97" s="68"/>
      <c r="U97" s="62"/>
    </row>
    <row r="98" customFormat="false" ht="20.1" hidden="false" customHeight="true" outlineLevel="0" collapsed="false">
      <c r="B98" s="62"/>
      <c r="D98" s="65"/>
      <c r="E98" s="66"/>
      <c r="F98" s="66"/>
      <c r="G98" s="70" t="s">
        <v>58</v>
      </c>
      <c r="H98" s="69" t="s">
        <v>59</v>
      </c>
      <c r="I98" s="67" t="s">
        <v>60</v>
      </c>
      <c r="J98" s="67"/>
      <c r="K98" s="69" t="s">
        <v>61</v>
      </c>
      <c r="L98" s="224" t="s">
        <v>58</v>
      </c>
      <c r="M98" s="225" t="s">
        <v>62</v>
      </c>
      <c r="N98" s="67" t="s">
        <v>60</v>
      </c>
      <c r="O98" s="67"/>
      <c r="P98" s="67"/>
      <c r="Q98" s="67"/>
      <c r="R98" s="67"/>
      <c r="S98" s="67"/>
      <c r="U98" s="62"/>
    </row>
    <row r="99" customFormat="false" ht="15" hidden="false" customHeight="true" outlineLevel="0" collapsed="false">
      <c r="B99" s="62"/>
      <c r="D99" s="318" t="s">
        <v>20</v>
      </c>
      <c r="E99" s="18" t="s">
        <v>21</v>
      </c>
      <c r="F99" s="23" t="n">
        <v>1</v>
      </c>
      <c r="G99" s="72" t="s">
        <v>63</v>
      </c>
      <c r="H99" s="74" t="s">
        <v>74</v>
      </c>
      <c r="I99" s="321" t="s">
        <v>194</v>
      </c>
      <c r="J99" s="321"/>
      <c r="K99" s="351" t="s">
        <v>195</v>
      </c>
      <c r="L99" s="352" t="s">
        <v>67</v>
      </c>
      <c r="M99" s="324" t="s">
        <v>67</v>
      </c>
      <c r="N99" s="78" t="s">
        <v>67</v>
      </c>
      <c r="O99" s="78"/>
      <c r="P99" s="78"/>
      <c r="Q99" s="78"/>
      <c r="R99" s="78"/>
      <c r="S99" s="78"/>
      <c r="U99" s="62"/>
    </row>
    <row r="100" customFormat="false" ht="15" hidden="false" customHeight="true" outlineLevel="0" collapsed="false">
      <c r="B100" s="62"/>
      <c r="D100" s="318"/>
      <c r="E100" s="18"/>
      <c r="F100" s="23"/>
      <c r="G100" s="72"/>
      <c r="H100" s="74"/>
      <c r="I100" s="325" t="s">
        <v>196</v>
      </c>
      <c r="J100" s="325"/>
      <c r="K100" s="351"/>
      <c r="L100" s="352"/>
      <c r="M100" s="324"/>
      <c r="N100" s="78"/>
      <c r="O100" s="78"/>
      <c r="P100" s="78"/>
      <c r="Q100" s="78"/>
      <c r="R100" s="78"/>
      <c r="S100" s="78"/>
      <c r="U100" s="62"/>
    </row>
    <row r="101" customFormat="false" ht="30" hidden="false" customHeight="true" outlineLevel="0" collapsed="false">
      <c r="B101" s="62"/>
      <c r="D101" s="333" t="s">
        <v>24</v>
      </c>
      <c r="E101" s="33" t="s">
        <v>25</v>
      </c>
      <c r="F101" s="31" t="n">
        <v>2</v>
      </c>
      <c r="G101" s="80" t="s">
        <v>63</v>
      </c>
      <c r="H101" s="82" t="s">
        <v>109</v>
      </c>
      <c r="I101" s="328" t="s">
        <v>197</v>
      </c>
      <c r="J101" s="328"/>
      <c r="K101" s="353" t="s">
        <v>111</v>
      </c>
      <c r="L101" s="354" t="s">
        <v>67</v>
      </c>
      <c r="M101" s="331" t="s">
        <v>67</v>
      </c>
      <c r="N101" s="86" t="s">
        <v>67</v>
      </c>
      <c r="O101" s="86"/>
      <c r="P101" s="86"/>
      <c r="Q101" s="86"/>
      <c r="R101" s="86"/>
      <c r="S101" s="86"/>
      <c r="U101" s="62"/>
    </row>
    <row r="102" customFormat="false" ht="15" hidden="false" customHeight="true" outlineLevel="0" collapsed="false">
      <c r="B102" s="62"/>
      <c r="D102" s="333"/>
      <c r="E102" s="33"/>
      <c r="F102" s="31"/>
      <c r="G102" s="80"/>
      <c r="H102" s="82"/>
      <c r="I102" s="332" t="s">
        <v>198</v>
      </c>
      <c r="J102" s="332"/>
      <c r="K102" s="353"/>
      <c r="L102" s="354"/>
      <c r="M102" s="331"/>
      <c r="N102" s="86"/>
      <c r="O102" s="86"/>
      <c r="P102" s="86"/>
      <c r="Q102" s="86"/>
      <c r="R102" s="86"/>
      <c r="S102" s="86"/>
      <c r="U102" s="62"/>
    </row>
    <row r="103" customFormat="false" ht="15" hidden="false" customHeight="true" outlineLevel="0" collapsed="false">
      <c r="B103" s="62"/>
      <c r="D103" s="333"/>
      <c r="E103" s="33"/>
      <c r="F103" s="31"/>
      <c r="G103" s="80"/>
      <c r="H103" s="82"/>
      <c r="I103" s="332" t="s">
        <v>199</v>
      </c>
      <c r="J103" s="332"/>
      <c r="K103" s="353"/>
      <c r="L103" s="354"/>
      <c r="M103" s="331"/>
      <c r="N103" s="86"/>
      <c r="O103" s="86"/>
      <c r="P103" s="86"/>
      <c r="Q103" s="86"/>
      <c r="R103" s="86"/>
      <c r="S103" s="86"/>
      <c r="U103" s="62"/>
    </row>
    <row r="104" customFormat="false" ht="15" hidden="false" customHeight="true" outlineLevel="0" collapsed="false">
      <c r="B104" s="62"/>
      <c r="D104" s="326" t="s">
        <v>27</v>
      </c>
      <c r="E104" s="32" t="s">
        <v>28</v>
      </c>
      <c r="F104" s="31" t="n">
        <v>3</v>
      </c>
      <c r="G104" s="232" t="s">
        <v>114</v>
      </c>
      <c r="H104" s="355" t="s">
        <v>117</v>
      </c>
      <c r="I104" s="335" t="s">
        <v>190</v>
      </c>
      <c r="J104" s="335"/>
      <c r="K104" s="356" t="s">
        <v>111</v>
      </c>
      <c r="L104" s="354" t="s">
        <v>67</v>
      </c>
      <c r="M104" s="331" t="s">
        <v>67</v>
      </c>
      <c r="N104" s="86" t="s">
        <v>67</v>
      </c>
      <c r="O104" s="86"/>
      <c r="P104" s="86"/>
      <c r="Q104" s="86"/>
      <c r="R104" s="86"/>
      <c r="S104" s="86"/>
      <c r="U104" s="62"/>
    </row>
    <row r="105" customFormat="false" ht="15" hidden="false" customHeight="true" outlineLevel="0" collapsed="false">
      <c r="B105" s="62"/>
      <c r="D105" s="326"/>
      <c r="E105" s="32"/>
      <c r="F105" s="31"/>
      <c r="G105" s="232"/>
      <c r="H105" s="355"/>
      <c r="I105" s="338" t="s">
        <v>191</v>
      </c>
      <c r="J105" s="338"/>
      <c r="K105" s="356"/>
      <c r="L105" s="354"/>
      <c r="M105" s="331"/>
      <c r="N105" s="86"/>
      <c r="O105" s="86"/>
      <c r="P105" s="86"/>
      <c r="Q105" s="86"/>
      <c r="R105" s="86"/>
      <c r="S105" s="86"/>
      <c r="U105" s="62"/>
    </row>
    <row r="106" customFormat="false" ht="15" hidden="false" customHeight="true" outlineLevel="0" collapsed="false">
      <c r="B106" s="62"/>
      <c r="D106" s="326"/>
      <c r="E106" s="32"/>
      <c r="F106" s="31"/>
      <c r="G106" s="232"/>
      <c r="H106" s="355"/>
      <c r="I106" s="338" t="s">
        <v>192</v>
      </c>
      <c r="J106" s="338"/>
      <c r="K106" s="356"/>
      <c r="L106" s="354"/>
      <c r="M106" s="331"/>
      <c r="N106" s="86"/>
      <c r="O106" s="86"/>
      <c r="P106" s="86"/>
      <c r="Q106" s="86"/>
      <c r="R106" s="86"/>
      <c r="S106" s="86"/>
      <c r="U106" s="62"/>
    </row>
    <row r="107" customFormat="false" ht="15" hidden="false" customHeight="true" outlineLevel="0" collapsed="false">
      <c r="B107" s="62"/>
      <c r="D107" s="326"/>
      <c r="E107" s="32"/>
      <c r="F107" s="31"/>
      <c r="G107" s="232"/>
      <c r="H107" s="355"/>
      <c r="I107" s="357" t="s">
        <v>193</v>
      </c>
      <c r="J107" s="357"/>
      <c r="K107" s="356"/>
      <c r="L107" s="354"/>
      <c r="M107" s="331"/>
      <c r="N107" s="86"/>
      <c r="O107" s="86"/>
      <c r="P107" s="86"/>
      <c r="Q107" s="86"/>
      <c r="R107" s="86"/>
      <c r="S107" s="86"/>
      <c r="U107" s="62"/>
    </row>
    <row r="108" customFormat="false" ht="20.1" hidden="false" customHeight="true" outlineLevel="0" collapsed="false">
      <c r="B108" s="62"/>
      <c r="D108" s="234" t="s">
        <v>31</v>
      </c>
      <c r="E108" s="44" t="s">
        <v>32</v>
      </c>
      <c r="F108" s="50" t="n">
        <v>4</v>
      </c>
      <c r="G108" s="358" t="s">
        <v>63</v>
      </c>
      <c r="H108" s="95" t="s">
        <v>200</v>
      </c>
      <c r="I108" s="348" t="s">
        <v>201</v>
      </c>
      <c r="J108" s="348"/>
      <c r="K108" s="287" t="s">
        <v>111</v>
      </c>
      <c r="L108" s="98" t="s">
        <v>67</v>
      </c>
      <c r="M108" s="99" t="s">
        <v>67</v>
      </c>
      <c r="N108" s="239" t="s">
        <v>67</v>
      </c>
      <c r="O108" s="239"/>
      <c r="P108" s="239"/>
      <c r="Q108" s="239"/>
      <c r="R108" s="239"/>
      <c r="S108" s="239"/>
      <c r="U108" s="62"/>
    </row>
    <row r="109" customFormat="false" ht="20.1" hidden="false" customHeight="true" outlineLevel="0" collapsed="false">
      <c r="B109" s="62"/>
      <c r="U109" s="62"/>
    </row>
    <row r="110" customFormat="false" ht="20.1" hidden="false" customHeight="true" outlineLevel="0" collapsed="false">
      <c r="B110" s="62"/>
      <c r="C110" s="101"/>
      <c r="D110" s="101"/>
      <c r="E110" s="102" t="str">
        <f aca="false">IF(OR(L99="-",L99= ""),H99,L99)</f>
        <v>Res Arcana</v>
      </c>
      <c r="F110" s="102"/>
      <c r="G110" s="102"/>
      <c r="H110" s="102"/>
      <c r="I110" s="102"/>
      <c r="J110" s="102"/>
      <c r="K110" s="102"/>
      <c r="L110" s="102"/>
      <c r="M110" s="102"/>
      <c r="N110" s="102"/>
      <c r="O110" s="103"/>
      <c r="P110" s="103"/>
      <c r="Q110" s="103"/>
      <c r="R110" s="103"/>
      <c r="S110" s="103"/>
      <c r="T110" s="101"/>
      <c r="U110" s="62"/>
    </row>
    <row r="111" customFormat="false" ht="50.1" hidden="false" customHeight="true" outlineLevel="0" collapsed="false">
      <c r="B111" s="62"/>
      <c r="C111" s="101"/>
      <c r="D111" s="103"/>
      <c r="E111" s="65" t="s">
        <v>53</v>
      </c>
      <c r="F111" s="104" t="s">
        <v>76</v>
      </c>
      <c r="G111" s="67" t="s">
        <v>77</v>
      </c>
      <c r="H111" s="66" t="s">
        <v>78</v>
      </c>
      <c r="I111" s="54" t="s">
        <v>79</v>
      </c>
      <c r="J111" s="66" t="s">
        <v>80</v>
      </c>
      <c r="K111" s="105" t="s">
        <v>81</v>
      </c>
      <c r="L111" s="66" t="s">
        <v>82</v>
      </c>
      <c r="M111" s="106" t="s">
        <v>83</v>
      </c>
      <c r="N111" s="67" t="s">
        <v>84</v>
      </c>
      <c r="O111" s="107" t="s">
        <v>85</v>
      </c>
      <c r="P111" s="108" t="s">
        <v>86</v>
      </c>
      <c r="Q111" s="108" t="s">
        <v>87</v>
      </c>
      <c r="R111" s="13" t="s">
        <v>88</v>
      </c>
      <c r="S111" s="103"/>
      <c r="T111" s="101"/>
      <c r="U111" s="62"/>
    </row>
    <row r="112" customFormat="false" ht="20.1" hidden="false" customHeight="true" outlineLevel="0" collapsed="false">
      <c r="B112" s="62"/>
      <c r="C112" s="101"/>
      <c r="D112" s="124"/>
      <c r="E112" s="109" t="s">
        <v>20</v>
      </c>
      <c r="F112" s="240" t="s">
        <v>21</v>
      </c>
      <c r="G112" s="111" t="n">
        <v>4</v>
      </c>
      <c r="H112" s="111" t="s">
        <v>95</v>
      </c>
      <c r="I112" s="111" t="n">
        <v>0</v>
      </c>
      <c r="J112" s="111" t="n">
        <v>10</v>
      </c>
      <c r="K112" s="111" t="s">
        <v>67</v>
      </c>
      <c r="L112" s="113" t="n">
        <f aca="false">IF(J112="",0,(J112/J116)*100)</f>
        <v>100</v>
      </c>
      <c r="M112" s="111" t="n">
        <v>1</v>
      </c>
      <c r="N112" s="114" t="n">
        <v>6</v>
      </c>
      <c r="O112" s="115" t="n">
        <f aca="false">IF(M112=1,1,0)</f>
        <v>1</v>
      </c>
      <c r="P112" s="116" t="n">
        <f aca="false">IF(M112=2,1,0)</f>
        <v>0</v>
      </c>
      <c r="Q112" s="116" t="n">
        <f aca="false">IF(M112=3,1,0)</f>
        <v>0</v>
      </c>
      <c r="R112" s="117" t="n">
        <f aca="false">IF(M112=4,1,0)</f>
        <v>0</v>
      </c>
      <c r="S112" s="118"/>
      <c r="T112" s="101"/>
      <c r="U112" s="62"/>
    </row>
    <row r="113" customFormat="false" ht="20.1" hidden="false" customHeight="true" outlineLevel="0" collapsed="false">
      <c r="B113" s="62"/>
      <c r="C113" s="101"/>
      <c r="D113" s="101"/>
      <c r="E113" s="326" t="s">
        <v>24</v>
      </c>
      <c r="F113" s="33" t="s">
        <v>25</v>
      </c>
      <c r="G113" s="241" t="n">
        <v>1</v>
      </c>
      <c r="H113" s="241" t="s">
        <v>202</v>
      </c>
      <c r="I113" s="241" t="n">
        <v>0</v>
      </c>
      <c r="J113" s="241" t="n">
        <v>3</v>
      </c>
      <c r="K113" s="242" t="s">
        <v>67</v>
      </c>
      <c r="L113" s="243" t="n">
        <f aca="false">IF(J113="",0,(J113/J116)*100)</f>
        <v>30</v>
      </c>
      <c r="M113" s="241" t="n">
        <v>3</v>
      </c>
      <c r="N113" s="244" t="n">
        <v>1</v>
      </c>
      <c r="O113" s="121" t="n">
        <f aca="false">IF(M113=1,1,0)</f>
        <v>0</v>
      </c>
      <c r="P113" s="122" t="n">
        <f aca="false">IF(M113=2,1,0)</f>
        <v>0</v>
      </c>
      <c r="Q113" s="122" t="n">
        <f aca="false">IF(M113=3,1,0)</f>
        <v>1</v>
      </c>
      <c r="R113" s="123" t="n">
        <f aca="false">IF(M113=4,1,0)</f>
        <v>0</v>
      </c>
      <c r="S113" s="118"/>
      <c r="T113" s="101"/>
      <c r="U113" s="62"/>
    </row>
    <row r="114" customFormat="false" ht="20.1" hidden="false" customHeight="true" outlineLevel="0" collapsed="false">
      <c r="B114" s="62"/>
      <c r="C114" s="101"/>
      <c r="D114" s="101"/>
      <c r="E114" s="79" t="s">
        <v>27</v>
      </c>
      <c r="F114" s="26" t="s">
        <v>28</v>
      </c>
      <c r="G114" s="241" t="n">
        <v>3</v>
      </c>
      <c r="H114" s="241" t="s">
        <v>96</v>
      </c>
      <c r="I114" s="241" t="n">
        <v>0</v>
      </c>
      <c r="J114" s="241" t="n">
        <v>9</v>
      </c>
      <c r="K114" s="241" t="s">
        <v>67</v>
      </c>
      <c r="L114" s="243" t="n">
        <f aca="false">IF(J114="",0,(J114/J116)*100)</f>
        <v>90</v>
      </c>
      <c r="M114" s="241" t="n">
        <v>2</v>
      </c>
      <c r="N114" s="244" t="n">
        <v>3</v>
      </c>
      <c r="O114" s="121" t="n">
        <f aca="false">IF(M114=1,1,0)</f>
        <v>0</v>
      </c>
      <c r="P114" s="122" t="n">
        <f aca="false">IF(M114=2,1,0)</f>
        <v>1</v>
      </c>
      <c r="Q114" s="122" t="n">
        <f aca="false">IF(M114=3,1,0)</f>
        <v>0</v>
      </c>
      <c r="R114" s="123" t="n">
        <f aca="false">IF(M114=4,1,0)</f>
        <v>0</v>
      </c>
      <c r="S114" s="118"/>
      <c r="T114" s="101"/>
      <c r="U114" s="62"/>
    </row>
    <row r="115" customFormat="false" ht="20.1" hidden="false" customHeight="true" outlineLevel="0" collapsed="false">
      <c r="B115" s="62"/>
      <c r="C115" s="101"/>
      <c r="D115" s="101"/>
      <c r="E115" s="234" t="s">
        <v>31</v>
      </c>
      <c r="F115" s="44" t="s">
        <v>32</v>
      </c>
      <c r="G115" s="245" t="n">
        <v>2</v>
      </c>
      <c r="H115" s="246" t="s">
        <v>203</v>
      </c>
      <c r="I115" s="245" t="n">
        <v>0</v>
      </c>
      <c r="J115" s="245" t="n">
        <v>1</v>
      </c>
      <c r="K115" s="246" t="s">
        <v>67</v>
      </c>
      <c r="L115" s="247" t="n">
        <f aca="false">IF(J115="",0,(J115/J116)*100)</f>
        <v>10</v>
      </c>
      <c r="M115" s="245" t="n">
        <v>4</v>
      </c>
      <c r="N115" s="248" t="n">
        <v>0</v>
      </c>
      <c r="O115" s="127" t="n">
        <f aca="false">IF(M115=1,1,0)</f>
        <v>0</v>
      </c>
      <c r="P115" s="128" t="n">
        <f aca="false">IF(M115=2,1,0)</f>
        <v>0</v>
      </c>
      <c r="Q115" s="128" t="n">
        <f aca="false">IF(M115=3,1,0)</f>
        <v>0</v>
      </c>
      <c r="R115" s="129" t="n">
        <f aca="false">IF(M115=4,1,0)</f>
        <v>1</v>
      </c>
      <c r="S115" s="118"/>
      <c r="T115" s="101"/>
      <c r="U115" s="62"/>
    </row>
    <row r="116" customFormat="false" ht="20.1" hidden="true" customHeight="true" outlineLevel="1" collapsed="false">
      <c r="B116" s="62"/>
      <c r="C116" s="101"/>
      <c r="D116" s="124"/>
      <c r="E116" s="124"/>
      <c r="F116" s="131"/>
      <c r="G116" s="131"/>
      <c r="H116" s="101"/>
      <c r="I116" s="179" t="s">
        <v>89</v>
      </c>
      <c r="J116" s="133" t="n">
        <f aca="false">MAX(J112:J115)</f>
        <v>10</v>
      </c>
      <c r="K116" s="249"/>
      <c r="L116" s="139"/>
      <c r="M116" s="101"/>
      <c r="N116" s="136" t="s">
        <v>90</v>
      </c>
      <c r="O116" s="137" t="n">
        <f aca="false">SUM(O112:O115)</f>
        <v>1</v>
      </c>
      <c r="P116" s="138" t="n">
        <f aca="false">SUM(P112:P115)</f>
        <v>1</v>
      </c>
      <c r="Q116" s="137" t="n">
        <f aca="false">SUM(Q112:Q115)</f>
        <v>1</v>
      </c>
      <c r="R116" s="160" t="n">
        <f aca="false">SUM(R112:R115)</f>
        <v>1</v>
      </c>
      <c r="S116" s="139"/>
      <c r="T116" s="101"/>
      <c r="U116" s="62"/>
    </row>
    <row r="117" customFormat="false" ht="20.1" hidden="false" customHeight="true" outlineLevel="0" collapsed="false">
      <c r="B117" s="62"/>
      <c r="C117" s="101"/>
      <c r="D117" s="101"/>
      <c r="E117" s="101"/>
      <c r="F117" s="101"/>
      <c r="G117" s="101"/>
      <c r="H117" s="101"/>
      <c r="I117" s="101"/>
      <c r="J117" s="101"/>
      <c r="K117" s="101"/>
      <c r="L117" s="101"/>
      <c r="M117" s="101"/>
      <c r="N117" s="101"/>
      <c r="O117" s="101"/>
      <c r="P117" s="101"/>
      <c r="Q117" s="101"/>
      <c r="R117" s="101"/>
      <c r="S117" s="101"/>
      <c r="T117" s="101"/>
      <c r="U117" s="62"/>
    </row>
    <row r="118" customFormat="false" ht="20.1" hidden="false" customHeight="true" outlineLevel="0" collapsed="false">
      <c r="B118" s="62"/>
      <c r="U118" s="62"/>
    </row>
    <row r="119" customFormat="false" ht="20.1" hidden="false" customHeight="true" outlineLevel="0" collapsed="false">
      <c r="B119" s="62"/>
      <c r="C119" s="141"/>
      <c r="D119" s="141"/>
      <c r="E119" s="142" t="str">
        <f aca="false">IF(OR(L101="-",L101= ""),H101,L101)</f>
        <v>Die Burgen von Burgund</v>
      </c>
      <c r="F119" s="142"/>
      <c r="G119" s="142"/>
      <c r="H119" s="142"/>
      <c r="I119" s="142"/>
      <c r="J119" s="142"/>
      <c r="K119" s="142"/>
      <c r="L119" s="142"/>
      <c r="M119" s="142"/>
      <c r="N119" s="142"/>
      <c r="O119" s="143"/>
      <c r="P119" s="143"/>
      <c r="Q119" s="143"/>
      <c r="R119" s="143"/>
      <c r="S119" s="143"/>
      <c r="T119" s="141"/>
      <c r="U119" s="62"/>
    </row>
    <row r="120" customFormat="false" ht="50.1" hidden="false" customHeight="true" outlineLevel="0" collapsed="false">
      <c r="B120" s="62"/>
      <c r="C120" s="141"/>
      <c r="D120" s="143"/>
      <c r="E120" s="65" t="s">
        <v>53</v>
      </c>
      <c r="F120" s="104" t="s">
        <v>76</v>
      </c>
      <c r="G120" s="67" t="s">
        <v>77</v>
      </c>
      <c r="H120" s="66" t="s">
        <v>78</v>
      </c>
      <c r="I120" s="54" t="s">
        <v>79</v>
      </c>
      <c r="J120" s="66" t="s">
        <v>80</v>
      </c>
      <c r="K120" s="105" t="s">
        <v>81</v>
      </c>
      <c r="L120" s="66" t="s">
        <v>82</v>
      </c>
      <c r="M120" s="106" t="s">
        <v>83</v>
      </c>
      <c r="N120" s="67" t="s">
        <v>84</v>
      </c>
      <c r="O120" s="107" t="s">
        <v>85</v>
      </c>
      <c r="P120" s="108" t="s">
        <v>86</v>
      </c>
      <c r="Q120" s="108" t="s">
        <v>87</v>
      </c>
      <c r="R120" s="13" t="s">
        <v>88</v>
      </c>
      <c r="S120" s="143"/>
      <c r="T120" s="141"/>
      <c r="U120" s="62"/>
    </row>
    <row r="121" customFormat="false" ht="20.1" hidden="false" customHeight="true" outlineLevel="0" collapsed="false">
      <c r="B121" s="62"/>
      <c r="C121" s="141"/>
      <c r="D121" s="148"/>
      <c r="E121" s="71" t="s">
        <v>20</v>
      </c>
      <c r="F121" s="15" t="s">
        <v>21</v>
      </c>
      <c r="G121" s="250" t="n">
        <v>3</v>
      </c>
      <c r="H121" s="251" t="s">
        <v>204</v>
      </c>
      <c r="I121" s="250" t="n">
        <v>0</v>
      </c>
      <c r="J121" s="251" t="n">
        <v>230</v>
      </c>
      <c r="K121" s="252" t="s">
        <v>67</v>
      </c>
      <c r="L121" s="253" t="n">
        <f aca="false">IF(J121="",0,(J121/J125)*100)</f>
        <v>90.1960784313726</v>
      </c>
      <c r="M121" s="250" t="n">
        <v>3</v>
      </c>
      <c r="N121" s="254" t="n">
        <v>1</v>
      </c>
      <c r="O121" s="115" t="n">
        <f aca="false">IF(M121=1,1,0)</f>
        <v>0</v>
      </c>
      <c r="P121" s="116" t="n">
        <f aca="false">IF(M121=2,1,0)</f>
        <v>0</v>
      </c>
      <c r="Q121" s="116" t="n">
        <f aca="false">IF(M121=3,1,0)</f>
        <v>1</v>
      </c>
      <c r="R121" s="117" t="n">
        <f aca="false">IF(M121=4,1,0)</f>
        <v>0</v>
      </c>
      <c r="S121" s="147"/>
      <c r="T121" s="141"/>
      <c r="U121" s="62"/>
    </row>
    <row r="122" customFormat="false" ht="20.1" hidden="false" customHeight="true" outlineLevel="0" collapsed="false">
      <c r="B122" s="62"/>
      <c r="C122" s="141"/>
      <c r="D122" s="141"/>
      <c r="E122" s="174" t="s">
        <v>24</v>
      </c>
      <c r="F122" s="175" t="s">
        <v>25</v>
      </c>
      <c r="G122" s="151" t="n">
        <v>1</v>
      </c>
      <c r="H122" s="152" t="s">
        <v>148</v>
      </c>
      <c r="I122" s="151" t="n">
        <v>0</v>
      </c>
      <c r="J122" s="152" t="n">
        <v>255</v>
      </c>
      <c r="K122" s="152" t="s">
        <v>67</v>
      </c>
      <c r="L122" s="153" t="n">
        <f aca="false">IF(J122="",0,(J122/J125)*100)</f>
        <v>100</v>
      </c>
      <c r="M122" s="151" t="n">
        <v>1</v>
      </c>
      <c r="N122" s="154" t="n">
        <v>6</v>
      </c>
      <c r="O122" s="121" t="n">
        <f aca="false">IF(M122=1,1,0)</f>
        <v>1</v>
      </c>
      <c r="P122" s="122" t="n">
        <f aca="false">IF(M122=2,1,0)</f>
        <v>0</v>
      </c>
      <c r="Q122" s="122" t="n">
        <f aca="false">IF(M122=3,1,0)</f>
        <v>0</v>
      </c>
      <c r="R122" s="123" t="n">
        <f aca="false">IF(M122=4,1,0)</f>
        <v>0</v>
      </c>
      <c r="S122" s="147"/>
      <c r="T122" s="141"/>
      <c r="U122" s="62"/>
    </row>
    <row r="123" customFormat="false" ht="20.1" hidden="false" customHeight="true" outlineLevel="0" collapsed="false">
      <c r="B123" s="62"/>
      <c r="C123" s="141"/>
      <c r="D123" s="148"/>
      <c r="E123" s="79" t="s">
        <v>27</v>
      </c>
      <c r="F123" s="26" t="s">
        <v>28</v>
      </c>
      <c r="G123" s="241" t="n">
        <v>2</v>
      </c>
      <c r="H123" s="242" t="s">
        <v>146</v>
      </c>
      <c r="I123" s="241" t="n">
        <v>0</v>
      </c>
      <c r="J123" s="242" t="n">
        <v>243</v>
      </c>
      <c r="K123" s="255" t="s">
        <v>67</v>
      </c>
      <c r="L123" s="243" t="n">
        <f aca="false">IF(J123="",0,(J123/J125)*100)</f>
        <v>95.2941176470588</v>
      </c>
      <c r="M123" s="241" t="n">
        <v>2</v>
      </c>
      <c r="N123" s="244" t="n">
        <v>3</v>
      </c>
      <c r="O123" s="121" t="n">
        <f aca="false">IF(M123=1,1,0)</f>
        <v>0</v>
      </c>
      <c r="P123" s="122" t="n">
        <f aca="false">IF(M123=2,1,0)</f>
        <v>1</v>
      </c>
      <c r="Q123" s="122" t="n">
        <f aca="false">IF(M123=3,1,0)</f>
        <v>0</v>
      </c>
      <c r="R123" s="123" t="n">
        <f aca="false">IF(M123=4,1,0)</f>
        <v>0</v>
      </c>
      <c r="S123" s="147"/>
      <c r="T123" s="141"/>
      <c r="U123" s="62"/>
    </row>
    <row r="124" customFormat="false" ht="20.1" hidden="false" customHeight="true" outlineLevel="0" collapsed="false">
      <c r="B124" s="62"/>
      <c r="C124" s="141"/>
      <c r="D124" s="141"/>
      <c r="E124" s="234" t="s">
        <v>31</v>
      </c>
      <c r="F124" s="44" t="s">
        <v>32</v>
      </c>
      <c r="G124" s="245" t="n">
        <v>4</v>
      </c>
      <c r="H124" s="246" t="s">
        <v>121</v>
      </c>
      <c r="I124" s="245" t="n">
        <v>0</v>
      </c>
      <c r="J124" s="246" t="n">
        <v>218</v>
      </c>
      <c r="K124" s="246" t="s">
        <v>67</v>
      </c>
      <c r="L124" s="247" t="n">
        <f aca="false">IF(J124="",0,(J124/J125)*100)</f>
        <v>85.4901960784314</v>
      </c>
      <c r="M124" s="245" t="n">
        <v>4</v>
      </c>
      <c r="N124" s="248" t="n">
        <v>0</v>
      </c>
      <c r="O124" s="127" t="n">
        <f aca="false">IF(M124=1,1,0)</f>
        <v>0</v>
      </c>
      <c r="P124" s="128" t="n">
        <f aca="false">IF(M124=2,1,0)</f>
        <v>0</v>
      </c>
      <c r="Q124" s="128" t="n">
        <f aca="false">IF(M124=3,1,0)</f>
        <v>0</v>
      </c>
      <c r="R124" s="129" t="n">
        <f aca="false">IF(M124=4,1,0)</f>
        <v>1</v>
      </c>
      <c r="S124" s="147"/>
      <c r="T124" s="141"/>
      <c r="U124" s="62"/>
    </row>
    <row r="125" customFormat="false" ht="20.1" hidden="true" customHeight="true" outlineLevel="1" collapsed="false">
      <c r="B125" s="62"/>
      <c r="C125" s="141"/>
      <c r="D125" s="141"/>
      <c r="E125" s="141"/>
      <c r="F125" s="157"/>
      <c r="G125" s="157"/>
      <c r="H125" s="141"/>
      <c r="I125" s="179" t="s">
        <v>89</v>
      </c>
      <c r="J125" s="133" t="n">
        <f aca="false">MAX(J121:J124)</f>
        <v>255</v>
      </c>
      <c r="K125" s="159"/>
      <c r="L125" s="147"/>
      <c r="M125" s="141"/>
      <c r="N125" s="136" t="s">
        <v>90</v>
      </c>
      <c r="O125" s="137" t="n">
        <f aca="false">SUM(O121:O124)</f>
        <v>1</v>
      </c>
      <c r="P125" s="138" t="n">
        <f aca="false">SUM(P121:P124)</f>
        <v>1</v>
      </c>
      <c r="Q125" s="137" t="n">
        <f aca="false">SUM(Q121:Q124)</f>
        <v>1</v>
      </c>
      <c r="R125" s="160" t="n">
        <f aca="false">SUM(R121:R124)</f>
        <v>1</v>
      </c>
      <c r="S125" s="161"/>
      <c r="T125" s="141"/>
      <c r="U125" s="62"/>
    </row>
    <row r="126" customFormat="false" ht="20.1" hidden="false" customHeight="true" outlineLevel="0" collapsed="false">
      <c r="B126" s="62"/>
      <c r="C126" s="141"/>
      <c r="D126" s="141"/>
      <c r="E126" s="141"/>
      <c r="F126" s="141"/>
      <c r="G126" s="141"/>
      <c r="H126" s="141"/>
      <c r="I126" s="141"/>
      <c r="J126" s="141"/>
      <c r="K126" s="141"/>
      <c r="L126" s="141"/>
      <c r="M126" s="141"/>
      <c r="N126" s="141"/>
      <c r="O126" s="141"/>
      <c r="P126" s="141"/>
      <c r="Q126" s="141"/>
      <c r="R126" s="141"/>
      <c r="S126" s="141"/>
      <c r="T126" s="141"/>
      <c r="U126" s="62"/>
    </row>
    <row r="127" customFormat="false" ht="20.1" hidden="false" customHeight="true" outlineLevel="0" collapsed="false">
      <c r="B127" s="62"/>
      <c r="D127" s="162"/>
      <c r="E127" s="162"/>
      <c r="F127" s="162"/>
      <c r="G127" s="162"/>
      <c r="H127" s="163"/>
      <c r="I127" s="162"/>
      <c r="J127" s="162"/>
      <c r="U127" s="62"/>
    </row>
    <row r="128" customFormat="false" ht="20.1" hidden="false" customHeight="true" outlineLevel="0" collapsed="false">
      <c r="B128" s="62"/>
      <c r="C128" s="164"/>
      <c r="D128" s="164"/>
      <c r="E128" s="165" t="str">
        <f aca="false">IF(OR(L104="-",L104= ""),H104,L104)</f>
        <v>Rajas of the Ganges</v>
      </c>
      <c r="F128" s="165"/>
      <c r="G128" s="165"/>
      <c r="H128" s="165"/>
      <c r="I128" s="165"/>
      <c r="J128" s="165"/>
      <c r="K128" s="165"/>
      <c r="L128" s="165"/>
      <c r="M128" s="165"/>
      <c r="N128" s="165"/>
      <c r="O128" s="166"/>
      <c r="P128" s="166"/>
      <c r="Q128" s="166"/>
      <c r="R128" s="166"/>
      <c r="S128" s="166"/>
      <c r="T128" s="164"/>
      <c r="U128" s="167"/>
    </row>
    <row r="129" customFormat="false" ht="50.1" hidden="false" customHeight="true" outlineLevel="0" collapsed="false">
      <c r="B129" s="62"/>
      <c r="C129" s="164"/>
      <c r="D129" s="166"/>
      <c r="E129" s="65" t="s">
        <v>53</v>
      </c>
      <c r="F129" s="104" t="s">
        <v>76</v>
      </c>
      <c r="G129" s="67" t="s">
        <v>77</v>
      </c>
      <c r="H129" s="66" t="s">
        <v>78</v>
      </c>
      <c r="I129" s="54" t="s">
        <v>79</v>
      </c>
      <c r="J129" s="66" t="s">
        <v>80</v>
      </c>
      <c r="K129" s="105" t="s">
        <v>81</v>
      </c>
      <c r="L129" s="66" t="s">
        <v>82</v>
      </c>
      <c r="M129" s="106" t="s">
        <v>83</v>
      </c>
      <c r="N129" s="67" t="s">
        <v>84</v>
      </c>
      <c r="O129" s="107" t="s">
        <v>85</v>
      </c>
      <c r="P129" s="108" t="s">
        <v>86</v>
      </c>
      <c r="Q129" s="108" t="s">
        <v>87</v>
      </c>
      <c r="R129" s="13" t="s">
        <v>88</v>
      </c>
      <c r="S129" s="166"/>
      <c r="T129" s="164"/>
      <c r="U129" s="167"/>
    </row>
    <row r="130" customFormat="false" ht="20.1" hidden="false" customHeight="true" outlineLevel="0" collapsed="false">
      <c r="B130" s="62"/>
      <c r="C130" s="164"/>
      <c r="D130" s="171"/>
      <c r="E130" s="109" t="s">
        <v>20</v>
      </c>
      <c r="F130" s="240" t="s">
        <v>21</v>
      </c>
      <c r="G130" s="111" t="n">
        <v>3</v>
      </c>
      <c r="H130" s="112" t="s">
        <v>67</v>
      </c>
      <c r="I130" s="111" t="n">
        <v>-58</v>
      </c>
      <c r="J130" s="112" t="n">
        <v>0</v>
      </c>
      <c r="K130" s="113" t="s">
        <v>67</v>
      </c>
      <c r="L130" s="113" t="n">
        <f aca="false">($I$130-J130)/($I$130-$J$130)*100</f>
        <v>100</v>
      </c>
      <c r="M130" s="111" t="n">
        <v>1</v>
      </c>
      <c r="N130" s="114" t="n">
        <v>6</v>
      </c>
      <c r="O130" s="115" t="n">
        <f aca="false">IF(M130=1,1,0)</f>
        <v>1</v>
      </c>
      <c r="P130" s="116" t="n">
        <f aca="false">IF(M130=2,1,0)</f>
        <v>0</v>
      </c>
      <c r="Q130" s="116" t="n">
        <f aca="false">IF(M130=3,1,0)</f>
        <v>0</v>
      </c>
      <c r="R130" s="117" t="n">
        <f aca="false">IF(M130=4,1,0)</f>
        <v>0</v>
      </c>
      <c r="S130" s="170"/>
      <c r="T130" s="164"/>
      <c r="U130" s="62"/>
    </row>
    <row r="131" customFormat="false" ht="20.1" hidden="false" customHeight="true" outlineLevel="0" collapsed="false">
      <c r="B131" s="62"/>
      <c r="C131" s="164"/>
      <c r="D131" s="164"/>
      <c r="E131" s="326" t="s">
        <v>24</v>
      </c>
      <c r="F131" s="33" t="s">
        <v>26</v>
      </c>
      <c r="G131" s="241" t="n">
        <v>1</v>
      </c>
      <c r="H131" s="242" t="s">
        <v>67</v>
      </c>
      <c r="I131" s="241" t="n">
        <v>-59</v>
      </c>
      <c r="J131" s="242" t="n">
        <v>-11</v>
      </c>
      <c r="K131" s="256" t="s">
        <v>67</v>
      </c>
      <c r="L131" s="243" t="n">
        <f aca="false">($I$130-J131)/($I$130-$J$130)*100</f>
        <v>81.0344827586207</v>
      </c>
      <c r="M131" s="241" t="n">
        <v>3</v>
      </c>
      <c r="N131" s="244" t="n">
        <v>1</v>
      </c>
      <c r="O131" s="121" t="n">
        <f aca="false">IF(M131=1,1,0)</f>
        <v>0</v>
      </c>
      <c r="P131" s="122" t="n">
        <f aca="false">IF(M131=2,1,0)</f>
        <v>0</v>
      </c>
      <c r="Q131" s="122" t="n">
        <f aca="false">IF(M131=3,1,0)</f>
        <v>1</v>
      </c>
      <c r="R131" s="123" t="n">
        <f aca="false">IF(M131=4,1,0)</f>
        <v>0</v>
      </c>
      <c r="S131" s="170"/>
      <c r="T131" s="164"/>
      <c r="U131" s="173"/>
    </row>
    <row r="132" customFormat="false" ht="20.1" hidden="false" customHeight="true" outlineLevel="0" collapsed="false">
      <c r="B132" s="62"/>
      <c r="C132" s="164"/>
      <c r="D132" s="164"/>
      <c r="E132" s="79" t="s">
        <v>27</v>
      </c>
      <c r="F132" s="26" t="s">
        <v>28</v>
      </c>
      <c r="G132" s="241" t="n">
        <v>4</v>
      </c>
      <c r="H132" s="242" t="s">
        <v>67</v>
      </c>
      <c r="I132" s="241" t="n">
        <v>-58</v>
      </c>
      <c r="J132" s="242" t="n">
        <v>-3</v>
      </c>
      <c r="K132" s="256" t="s">
        <v>67</v>
      </c>
      <c r="L132" s="243" t="n">
        <f aca="false">($I$130-J132)/($I$130-$J$130)*100</f>
        <v>94.8275862068966</v>
      </c>
      <c r="M132" s="241" t="n">
        <v>2</v>
      </c>
      <c r="N132" s="244" t="n">
        <v>3</v>
      </c>
      <c r="O132" s="121" t="n">
        <f aca="false">IF(M132=1,1,0)</f>
        <v>0</v>
      </c>
      <c r="P132" s="122" t="n">
        <f aca="false">IF(M132=2,1,0)</f>
        <v>1</v>
      </c>
      <c r="Q132" s="122" t="n">
        <f aca="false">IF(M132=3,1,0)</f>
        <v>0</v>
      </c>
      <c r="R132" s="123" t="n">
        <f aca="false">IF(M132=4,1,0)</f>
        <v>0</v>
      </c>
      <c r="S132" s="170"/>
      <c r="T132" s="164"/>
      <c r="U132" s="173"/>
    </row>
    <row r="133" customFormat="false" ht="20.1" hidden="false" customHeight="true" outlineLevel="0" collapsed="false">
      <c r="B133" s="62"/>
      <c r="C133" s="164"/>
      <c r="D133" s="164"/>
      <c r="E133" s="234" t="s">
        <v>31</v>
      </c>
      <c r="F133" s="44" t="s">
        <v>32</v>
      </c>
      <c r="G133" s="245" t="n">
        <v>2</v>
      </c>
      <c r="H133" s="246" t="s">
        <v>67</v>
      </c>
      <c r="I133" s="245" t="n">
        <v>-59</v>
      </c>
      <c r="J133" s="246" t="n">
        <v>-22</v>
      </c>
      <c r="K133" s="247" t="s">
        <v>67</v>
      </c>
      <c r="L133" s="247" t="n">
        <f aca="false">($I$130-J133)/($I$130-$J$130)*100</f>
        <v>62.0689655172414</v>
      </c>
      <c r="M133" s="245" t="n">
        <v>4</v>
      </c>
      <c r="N133" s="248" t="n">
        <v>0</v>
      </c>
      <c r="O133" s="127" t="n">
        <f aca="false">IF(M133=1,1,0)</f>
        <v>0</v>
      </c>
      <c r="P133" s="128" t="n">
        <f aca="false">IF(M133=2,1,0)</f>
        <v>0</v>
      </c>
      <c r="Q133" s="128" t="n">
        <f aca="false">IF(M133=3,1,0)</f>
        <v>0</v>
      </c>
      <c r="R133" s="129" t="n">
        <f aca="false">IF(M133=4,1,0)</f>
        <v>1</v>
      </c>
      <c r="S133" s="170"/>
      <c r="T133" s="164"/>
      <c r="U133" s="173"/>
    </row>
    <row r="134" customFormat="false" ht="20.1" hidden="false" customHeight="true" outlineLevel="1" collapsed="false">
      <c r="B134" s="62"/>
      <c r="C134" s="164"/>
      <c r="D134" s="164"/>
      <c r="E134" s="164"/>
      <c r="F134" s="178"/>
      <c r="G134" s="178"/>
      <c r="H134" s="164"/>
      <c r="I134" s="179" t="s">
        <v>89</v>
      </c>
      <c r="J134" s="133" t="n">
        <f aca="false">MAX(J130:J133)</f>
        <v>0</v>
      </c>
      <c r="K134" s="180"/>
      <c r="L134" s="170"/>
      <c r="M134" s="164"/>
      <c r="N134" s="136" t="s">
        <v>90</v>
      </c>
      <c r="O134" s="137" t="n">
        <f aca="false">SUM(O130:O133)</f>
        <v>1</v>
      </c>
      <c r="P134" s="138" t="n">
        <f aca="false">SUM(P130:P133)</f>
        <v>1</v>
      </c>
      <c r="Q134" s="137" t="n">
        <f aca="false">SUM(Q130:Q133)</f>
        <v>1</v>
      </c>
      <c r="R134" s="160" t="n">
        <f aca="false">SUM(R130:R133)</f>
        <v>1</v>
      </c>
      <c r="S134" s="181"/>
      <c r="T134" s="164"/>
      <c r="U134" s="173"/>
    </row>
    <row r="135" customFormat="false" ht="20.1" hidden="false" customHeight="true" outlineLevel="0" collapsed="false">
      <c r="B135" s="62"/>
      <c r="C135" s="164"/>
      <c r="D135" s="164"/>
      <c r="E135" s="164"/>
      <c r="F135" s="164"/>
      <c r="G135" s="164"/>
      <c r="H135" s="164"/>
      <c r="I135" s="164"/>
      <c r="J135" s="164"/>
      <c r="K135" s="164"/>
      <c r="L135" s="164"/>
      <c r="M135" s="164"/>
      <c r="N135" s="164"/>
      <c r="O135" s="164"/>
      <c r="P135" s="164"/>
      <c r="Q135" s="164"/>
      <c r="R135" s="164"/>
      <c r="S135" s="164"/>
      <c r="T135" s="164"/>
      <c r="U135" s="173"/>
    </row>
    <row r="136" customFormat="false" ht="20.1" hidden="false" customHeight="true" outlineLevel="0" collapsed="false">
      <c r="B136" s="62"/>
      <c r="D136" s="162"/>
      <c r="E136" s="162"/>
      <c r="F136" s="162"/>
      <c r="G136" s="162"/>
      <c r="H136" s="163"/>
      <c r="I136" s="162"/>
      <c r="J136" s="162"/>
      <c r="K136" s="162"/>
      <c r="U136" s="62"/>
    </row>
    <row r="137" customFormat="false" ht="20.1" hidden="false" customHeight="true" outlineLevel="0" collapsed="false">
      <c r="B137" s="62"/>
      <c r="C137" s="182"/>
      <c r="D137" s="182"/>
      <c r="E137" s="183" t="str">
        <f aca="false">IF(OR(L108="-",L108= ""),H108,L108)</f>
        <v>La Granja</v>
      </c>
      <c r="F137" s="183"/>
      <c r="G137" s="183"/>
      <c r="H137" s="183"/>
      <c r="I137" s="183"/>
      <c r="J137" s="183"/>
      <c r="K137" s="183"/>
      <c r="L137" s="183"/>
      <c r="M137" s="183"/>
      <c r="N137" s="183"/>
      <c r="O137" s="184"/>
      <c r="P137" s="184"/>
      <c r="Q137" s="184"/>
      <c r="R137" s="184"/>
      <c r="S137" s="184"/>
      <c r="T137" s="182"/>
      <c r="U137" s="62"/>
    </row>
    <row r="138" customFormat="false" ht="50.1" hidden="false" customHeight="true" outlineLevel="0" collapsed="false">
      <c r="B138" s="62"/>
      <c r="C138" s="182"/>
      <c r="D138" s="184"/>
      <c r="E138" s="65" t="s">
        <v>53</v>
      </c>
      <c r="F138" s="104" t="s">
        <v>76</v>
      </c>
      <c r="G138" s="67" t="s">
        <v>77</v>
      </c>
      <c r="H138" s="66" t="s">
        <v>78</v>
      </c>
      <c r="I138" s="54" t="s">
        <v>79</v>
      </c>
      <c r="J138" s="66" t="s">
        <v>80</v>
      </c>
      <c r="K138" s="105" t="s">
        <v>81</v>
      </c>
      <c r="L138" s="66" t="s">
        <v>82</v>
      </c>
      <c r="M138" s="106" t="s">
        <v>83</v>
      </c>
      <c r="N138" s="67" t="s">
        <v>84</v>
      </c>
      <c r="O138" s="107" t="s">
        <v>85</v>
      </c>
      <c r="P138" s="108" t="s">
        <v>86</v>
      </c>
      <c r="Q138" s="108" t="s">
        <v>87</v>
      </c>
      <c r="R138" s="13" t="s">
        <v>88</v>
      </c>
      <c r="S138" s="184"/>
      <c r="T138" s="182"/>
      <c r="U138" s="62"/>
    </row>
    <row r="139" customFormat="false" ht="20.1" hidden="false" customHeight="true" outlineLevel="0" collapsed="false">
      <c r="B139" s="62"/>
      <c r="C139" s="182"/>
      <c r="D139" s="182"/>
      <c r="E139" s="109" t="s">
        <v>20</v>
      </c>
      <c r="F139" s="240" t="s">
        <v>21</v>
      </c>
      <c r="G139" s="111" t="n">
        <v>2</v>
      </c>
      <c r="H139" s="111" t="s">
        <v>67</v>
      </c>
      <c r="I139" s="111" t="n">
        <v>1</v>
      </c>
      <c r="J139" s="111" t="n">
        <v>83</v>
      </c>
      <c r="K139" s="111" t="s">
        <v>67</v>
      </c>
      <c r="L139" s="113" t="n">
        <f aca="false">IF(J139="",0,(J139/J143)*100)</f>
        <v>100</v>
      </c>
      <c r="M139" s="111" t="n">
        <v>1</v>
      </c>
      <c r="N139" s="114" t="n">
        <v>6</v>
      </c>
      <c r="O139" s="115" t="n">
        <f aca="false">IF(M139=1,1,0)</f>
        <v>1</v>
      </c>
      <c r="P139" s="116" t="n">
        <f aca="false">IF(M139=2,1,0)</f>
        <v>0</v>
      </c>
      <c r="Q139" s="116" t="n">
        <f aca="false">IF(M139=3,1,0)</f>
        <v>0</v>
      </c>
      <c r="R139" s="117" t="n">
        <f aca="false">IF(M139=4,1,0)</f>
        <v>0</v>
      </c>
      <c r="S139" s="185"/>
      <c r="T139" s="182"/>
      <c r="U139" s="62"/>
    </row>
    <row r="140" customFormat="false" ht="20.1" hidden="false" customHeight="true" outlineLevel="0" collapsed="false">
      <c r="B140" s="62"/>
      <c r="C140" s="182"/>
      <c r="D140" s="182"/>
      <c r="E140" s="326" t="s">
        <v>24</v>
      </c>
      <c r="F140" s="33" t="s">
        <v>25</v>
      </c>
      <c r="G140" s="241" t="n">
        <v>1</v>
      </c>
      <c r="H140" s="241" t="s">
        <v>67</v>
      </c>
      <c r="I140" s="241" t="n">
        <v>1</v>
      </c>
      <c r="J140" s="241" t="n">
        <v>72</v>
      </c>
      <c r="K140" s="242" t="s">
        <v>67</v>
      </c>
      <c r="L140" s="243" t="n">
        <f aca="false">IF(J140="",0,(J140/J143)*100)</f>
        <v>86.7469879518072</v>
      </c>
      <c r="M140" s="241" t="n">
        <v>3</v>
      </c>
      <c r="N140" s="244" t="n">
        <v>1</v>
      </c>
      <c r="O140" s="121" t="n">
        <f aca="false">IF(M140=1,1,0)</f>
        <v>0</v>
      </c>
      <c r="P140" s="122" t="n">
        <f aca="false">IF(M140=2,1,0)</f>
        <v>0</v>
      </c>
      <c r="Q140" s="122" t="n">
        <f aca="false">IF(M140=3,1,0)</f>
        <v>1</v>
      </c>
      <c r="R140" s="123" t="n">
        <f aca="false">IF(M140=4,1,0)</f>
        <v>0</v>
      </c>
      <c r="S140" s="185"/>
      <c r="T140" s="182"/>
      <c r="U140" s="62"/>
    </row>
    <row r="141" customFormat="false" ht="20.1" hidden="false" customHeight="true" outlineLevel="0" collapsed="false">
      <c r="B141" s="62"/>
      <c r="C141" s="182"/>
      <c r="D141" s="182"/>
      <c r="E141" s="79" t="s">
        <v>27</v>
      </c>
      <c r="F141" s="26" t="s">
        <v>28</v>
      </c>
      <c r="G141" s="241" t="n">
        <v>3</v>
      </c>
      <c r="H141" s="241" t="s">
        <v>67</v>
      </c>
      <c r="I141" s="241" t="n">
        <v>1</v>
      </c>
      <c r="J141" s="241" t="n">
        <v>69</v>
      </c>
      <c r="K141" s="241" t="s">
        <v>67</v>
      </c>
      <c r="L141" s="243" t="n">
        <f aca="false">IF(J141="",0,(J141/J143)*100)</f>
        <v>83.1325301204819</v>
      </c>
      <c r="M141" s="241" t="n">
        <v>4</v>
      </c>
      <c r="N141" s="244" t="n">
        <v>0</v>
      </c>
      <c r="O141" s="121" t="n">
        <f aca="false">IF(M141=1,1,0)</f>
        <v>0</v>
      </c>
      <c r="P141" s="122" t="n">
        <f aca="false">IF(M141=2,1,0)</f>
        <v>0</v>
      </c>
      <c r="Q141" s="122" t="n">
        <f aca="false">IF(M141=3,1,0)</f>
        <v>0</v>
      </c>
      <c r="R141" s="123" t="n">
        <f aca="false">IF(M141=4,1,0)</f>
        <v>1</v>
      </c>
      <c r="S141" s="185"/>
      <c r="T141" s="182"/>
      <c r="U141" s="62"/>
    </row>
    <row r="142" customFormat="false" ht="20.1" hidden="false" customHeight="true" outlineLevel="0" collapsed="false">
      <c r="B142" s="62"/>
      <c r="C142" s="182"/>
      <c r="D142" s="186"/>
      <c r="E142" s="234" t="s">
        <v>31</v>
      </c>
      <c r="F142" s="44" t="s">
        <v>32</v>
      </c>
      <c r="G142" s="245" t="n">
        <v>4</v>
      </c>
      <c r="H142" s="245" t="s">
        <v>67</v>
      </c>
      <c r="I142" s="245" t="n">
        <v>1</v>
      </c>
      <c r="J142" s="245" t="n">
        <v>74</v>
      </c>
      <c r="K142" s="246" t="s">
        <v>67</v>
      </c>
      <c r="L142" s="247" t="n">
        <f aca="false">IF(J142="",0,(J142/J143)*100)</f>
        <v>89.1566265060241</v>
      </c>
      <c r="M142" s="245" t="n">
        <v>2</v>
      </c>
      <c r="N142" s="248" t="n">
        <v>3</v>
      </c>
      <c r="O142" s="127" t="n">
        <f aca="false">IF(M142=1,1,0)</f>
        <v>0</v>
      </c>
      <c r="P142" s="128" t="n">
        <f aca="false">IF(M142=2,1,0)</f>
        <v>1</v>
      </c>
      <c r="Q142" s="128" t="n">
        <f aca="false">IF(M142=3,1,0)</f>
        <v>0</v>
      </c>
      <c r="R142" s="129" t="n">
        <f aca="false">IF(M142=4,1,0)</f>
        <v>0</v>
      </c>
      <c r="S142" s="185"/>
      <c r="T142" s="182"/>
      <c r="U142" s="62"/>
    </row>
    <row r="143" customFormat="false" ht="20.1" hidden="true" customHeight="true" outlineLevel="1" collapsed="false">
      <c r="B143" s="62"/>
      <c r="C143" s="182"/>
      <c r="D143" s="182"/>
      <c r="E143" s="182"/>
      <c r="F143" s="187"/>
      <c r="G143" s="187"/>
      <c r="H143" s="182"/>
      <c r="I143" s="179" t="s">
        <v>89</v>
      </c>
      <c r="J143" s="133" t="n">
        <f aca="false">MAX(J139:J142)</f>
        <v>83</v>
      </c>
      <c r="K143" s="188"/>
      <c r="L143" s="185"/>
      <c r="M143" s="182"/>
      <c r="N143" s="136" t="s">
        <v>90</v>
      </c>
      <c r="O143" s="137" t="n">
        <f aca="false">SUM(O139:O142)</f>
        <v>1</v>
      </c>
      <c r="P143" s="138" t="n">
        <f aca="false">SUM(P139:P142)</f>
        <v>1</v>
      </c>
      <c r="Q143" s="137" t="n">
        <f aca="false">SUM(Q139:Q142)</f>
        <v>1</v>
      </c>
      <c r="R143" s="160" t="n">
        <f aca="false">SUM(R139:R142)</f>
        <v>1</v>
      </c>
      <c r="S143" s="189"/>
      <c r="T143" s="182"/>
      <c r="U143" s="62"/>
    </row>
    <row r="144" customFormat="false" ht="20.1" hidden="false" customHeight="true" outlineLevel="0" collapsed="false">
      <c r="B144" s="62"/>
      <c r="C144" s="182"/>
      <c r="D144" s="182"/>
      <c r="E144" s="182"/>
      <c r="F144" s="182"/>
      <c r="G144" s="182"/>
      <c r="H144" s="182"/>
      <c r="I144" s="182"/>
      <c r="J144" s="182"/>
      <c r="K144" s="182"/>
      <c r="L144" s="182"/>
      <c r="M144" s="182"/>
      <c r="N144" s="182"/>
      <c r="O144" s="182"/>
      <c r="P144" s="182"/>
      <c r="Q144" s="182"/>
      <c r="R144" s="182"/>
      <c r="S144" s="182"/>
      <c r="T144" s="182"/>
      <c r="U144" s="62"/>
    </row>
    <row r="145" customFormat="false" ht="20.1" hidden="false" customHeight="true" outlineLevel="0" collapsed="false">
      <c r="B145" s="62"/>
      <c r="D145" s="5"/>
      <c r="E145" s="5"/>
      <c r="F145" s="5"/>
      <c r="G145" s="5"/>
      <c r="H145" s="5"/>
      <c r="I145" s="5"/>
      <c r="J145" s="5"/>
      <c r="U145" s="62"/>
    </row>
    <row r="146" customFormat="false" ht="30" hidden="false" customHeight="true" outlineLevel="0" collapsed="false">
      <c r="B146" s="62"/>
      <c r="C146" s="190"/>
      <c r="D146" s="191" t="s">
        <v>135</v>
      </c>
      <c r="E146" s="191"/>
      <c r="F146" s="191"/>
      <c r="G146" s="191"/>
      <c r="H146" s="191"/>
      <c r="I146" s="191"/>
      <c r="J146" s="191"/>
      <c r="K146" s="191"/>
      <c r="L146" s="191"/>
      <c r="M146" s="191"/>
      <c r="N146" s="191"/>
      <c r="O146" s="191"/>
      <c r="P146" s="191"/>
      <c r="Q146" s="191"/>
      <c r="R146" s="191"/>
      <c r="S146" s="191"/>
      <c r="T146" s="190"/>
      <c r="U146" s="62"/>
    </row>
    <row r="147" customFormat="false" ht="50.1" hidden="false" customHeight="true" outlineLevel="0" collapsed="false">
      <c r="B147" s="62"/>
      <c r="C147" s="190"/>
      <c r="D147" s="192" t="s">
        <v>53</v>
      </c>
      <c r="E147" s="193" t="s">
        <v>54</v>
      </c>
      <c r="F147" s="194" t="s">
        <v>84</v>
      </c>
      <c r="G147" s="195" t="s">
        <v>100</v>
      </c>
      <c r="H147" s="196" t="s">
        <v>101</v>
      </c>
      <c r="I147" s="196"/>
      <c r="J147" s="197" t="s">
        <v>102</v>
      </c>
      <c r="K147" s="198" t="s">
        <v>103</v>
      </c>
      <c r="L147" s="194" t="s">
        <v>104</v>
      </c>
      <c r="M147" s="198" t="s">
        <v>105</v>
      </c>
      <c r="N147" s="194" t="s">
        <v>106</v>
      </c>
      <c r="O147" s="199"/>
      <c r="P147" s="200"/>
      <c r="Q147" s="200"/>
      <c r="R147" s="200"/>
      <c r="S147" s="193" t="s">
        <v>107</v>
      </c>
      <c r="T147" s="190"/>
      <c r="U147" s="62"/>
    </row>
    <row r="148" customFormat="false" ht="20.1" hidden="false" customHeight="true" outlineLevel="0" collapsed="false">
      <c r="B148" s="62"/>
      <c r="C148" s="190"/>
      <c r="D148" s="201" t="s">
        <v>20</v>
      </c>
      <c r="E148" s="257" t="s">
        <v>21</v>
      </c>
      <c r="F148" s="258" t="n">
        <f aca="false">K148*6+L148*3+M148*1+N148*0</f>
        <v>19</v>
      </c>
      <c r="G148" s="259" t="n">
        <v>0</v>
      </c>
      <c r="H148" s="259" t="s">
        <v>67</v>
      </c>
      <c r="I148" s="259"/>
      <c r="J148" s="258" t="n">
        <f aca="false">F148+G148</f>
        <v>19</v>
      </c>
      <c r="K148" s="258" t="n">
        <v>3</v>
      </c>
      <c r="L148" s="258" t="n">
        <v>0</v>
      </c>
      <c r="M148" s="258" t="n">
        <v>1</v>
      </c>
      <c r="N148" s="258" t="n">
        <v>0</v>
      </c>
      <c r="O148" s="260"/>
      <c r="P148" s="259"/>
      <c r="Q148" s="259"/>
      <c r="R148" s="259"/>
      <c r="S148" s="261" t="n">
        <f aca="false">(L112+L121+L130+L139)/4</f>
        <v>97.5490196078431</v>
      </c>
      <c r="T148" s="190"/>
      <c r="U148" s="62"/>
    </row>
    <row r="149" customFormat="false" ht="20.1" hidden="false" customHeight="true" outlineLevel="0" collapsed="false">
      <c r="B149" s="62"/>
      <c r="C149" s="190"/>
      <c r="D149" s="207" t="s">
        <v>24</v>
      </c>
      <c r="E149" s="208" t="s">
        <v>25</v>
      </c>
      <c r="F149" s="262" t="n">
        <f aca="false">K149*6+L149*3+M149*1+N149*0</f>
        <v>9</v>
      </c>
      <c r="G149" s="263" t="n">
        <v>0</v>
      </c>
      <c r="H149" s="263" t="s">
        <v>67</v>
      </c>
      <c r="I149" s="263"/>
      <c r="J149" s="262" t="n">
        <f aca="false">F149+G149</f>
        <v>9</v>
      </c>
      <c r="K149" s="262" t="n">
        <v>1</v>
      </c>
      <c r="L149" s="262" t="n">
        <v>0</v>
      </c>
      <c r="M149" s="262" t="n">
        <v>3</v>
      </c>
      <c r="N149" s="262" t="n">
        <v>0</v>
      </c>
      <c r="O149" s="264"/>
      <c r="P149" s="263"/>
      <c r="Q149" s="263"/>
      <c r="R149" s="263"/>
      <c r="S149" s="265" t="n">
        <f aca="false">(L113+L122+L131+L140)/4</f>
        <v>74.445367677607</v>
      </c>
      <c r="T149" s="190"/>
      <c r="U149" s="62"/>
      <c r="Y149" s="266"/>
      <c r="Z149" s="266"/>
      <c r="AA149" s="267"/>
      <c r="AB149" s="267"/>
      <c r="AC149" s="268"/>
      <c r="AD149" s="268"/>
      <c r="AE149" s="268"/>
    </row>
    <row r="150" customFormat="false" ht="20.1" hidden="false" customHeight="true" outlineLevel="0" collapsed="false">
      <c r="B150" s="62"/>
      <c r="C150" s="190"/>
      <c r="D150" s="213" t="s">
        <v>27</v>
      </c>
      <c r="E150" s="269" t="s">
        <v>28</v>
      </c>
      <c r="F150" s="262" t="n">
        <f aca="false">K150*6+L150*3+M150*1+N150*0</f>
        <v>9</v>
      </c>
      <c r="G150" s="263" t="n">
        <v>0</v>
      </c>
      <c r="H150" s="263" t="s">
        <v>67</v>
      </c>
      <c r="I150" s="263"/>
      <c r="J150" s="262" t="n">
        <f aca="false">F150+G150</f>
        <v>9</v>
      </c>
      <c r="K150" s="262" t="n">
        <v>0</v>
      </c>
      <c r="L150" s="262" t="n">
        <v>3</v>
      </c>
      <c r="M150" s="262" t="n">
        <v>0</v>
      </c>
      <c r="N150" s="262" t="n">
        <v>1</v>
      </c>
      <c r="O150" s="264"/>
      <c r="P150" s="263"/>
      <c r="Q150" s="263"/>
      <c r="R150" s="263"/>
      <c r="S150" s="265" t="n">
        <f aca="false">(L114+L123+L132+L141)/4</f>
        <v>90.8135584936093</v>
      </c>
      <c r="T150" s="190"/>
      <c r="U150" s="62"/>
    </row>
    <row r="151" customFormat="false" ht="20.1" hidden="false" customHeight="true" outlineLevel="0" collapsed="false">
      <c r="B151" s="62"/>
      <c r="C151" s="190"/>
      <c r="D151" s="270" t="s">
        <v>31</v>
      </c>
      <c r="E151" s="215" t="s">
        <v>32</v>
      </c>
      <c r="F151" s="271" t="n">
        <f aca="false">K151*6+L151*3+M151*1+N151*0</f>
        <v>3</v>
      </c>
      <c r="G151" s="272" t="n">
        <v>0</v>
      </c>
      <c r="H151" s="272" t="s">
        <v>67</v>
      </c>
      <c r="I151" s="272"/>
      <c r="J151" s="271" t="n">
        <f aca="false">F151+G151</f>
        <v>3</v>
      </c>
      <c r="K151" s="271" t="n">
        <v>0</v>
      </c>
      <c r="L151" s="271" t="n">
        <v>1</v>
      </c>
      <c r="M151" s="271" t="n">
        <v>0</v>
      </c>
      <c r="N151" s="271" t="n">
        <v>3</v>
      </c>
      <c r="O151" s="273"/>
      <c r="P151" s="272"/>
      <c r="Q151" s="272"/>
      <c r="R151" s="272"/>
      <c r="S151" s="274" t="n">
        <f aca="false">(L115++L124+L133+L142)/4</f>
        <v>61.6789470254242</v>
      </c>
      <c r="T151" s="190"/>
      <c r="U151" s="62"/>
    </row>
    <row r="152" customFormat="false" ht="20.1" hidden="false" customHeight="true" outlineLevel="0" collapsed="false">
      <c r="B152" s="62"/>
      <c r="C152" s="190"/>
      <c r="D152" s="190"/>
      <c r="E152" s="190"/>
      <c r="F152" s="275"/>
      <c r="G152" s="275"/>
      <c r="H152" s="275"/>
      <c r="I152" s="275"/>
      <c r="J152" s="275"/>
      <c r="K152" s="275"/>
      <c r="L152" s="275"/>
      <c r="M152" s="275"/>
      <c r="N152" s="275"/>
      <c r="O152" s="275"/>
      <c r="P152" s="275"/>
      <c r="Q152" s="275"/>
      <c r="R152" s="275"/>
      <c r="S152" s="275"/>
      <c r="T152" s="190"/>
      <c r="U152" s="62"/>
    </row>
    <row r="153" customFormat="false" ht="20.1" hidden="false" customHeight="true" outlineLevel="0" collapsed="false">
      <c r="B153" s="62"/>
      <c r="C153" s="62"/>
      <c r="D153" s="219"/>
      <c r="E153" s="219"/>
      <c r="F153" s="167"/>
      <c r="G153" s="167"/>
      <c r="H153" s="219"/>
      <c r="I153" s="219"/>
      <c r="J153" s="219"/>
      <c r="K153" s="62"/>
      <c r="L153" s="62"/>
      <c r="M153" s="62"/>
      <c r="N153" s="62"/>
      <c r="O153" s="62"/>
      <c r="P153" s="62"/>
      <c r="Q153" s="62"/>
      <c r="R153" s="62"/>
      <c r="S153" s="62"/>
      <c r="T153" s="62"/>
      <c r="U153" s="62"/>
    </row>
    <row r="154" customFormat="false" ht="20.1" hidden="false" customHeight="true" outlineLevel="0" collapsed="false"/>
    <row r="155" customFormat="false" ht="20.1" hidden="false" customHeight="true" outlineLevel="0" collapsed="false"/>
    <row r="156" customFormat="false" ht="20.1" hidden="false" customHeight="true" outlineLevel="0" collapsed="false">
      <c r="B156" s="62"/>
      <c r="C156" s="62"/>
      <c r="D156" s="63"/>
      <c r="E156" s="63"/>
      <c r="F156" s="63"/>
      <c r="G156" s="63"/>
      <c r="H156" s="62"/>
      <c r="I156" s="62"/>
      <c r="J156" s="62"/>
      <c r="K156" s="62"/>
      <c r="L156" s="62"/>
      <c r="M156" s="62"/>
      <c r="N156" s="62"/>
      <c r="O156" s="62"/>
      <c r="P156" s="62"/>
      <c r="Q156" s="62"/>
      <c r="R156" s="62"/>
      <c r="S156" s="62"/>
      <c r="T156" s="62"/>
      <c r="U156" s="62"/>
    </row>
    <row r="157" customFormat="false" ht="30" hidden="false" customHeight="true" outlineLevel="0" collapsed="false">
      <c r="B157" s="62"/>
      <c r="C157" s="64" t="s">
        <v>205</v>
      </c>
      <c r="D157" s="64"/>
      <c r="E157" s="64"/>
      <c r="F157" s="64"/>
      <c r="G157" s="64"/>
      <c r="H157" s="64"/>
      <c r="I157" s="64"/>
      <c r="J157" s="64"/>
      <c r="K157" s="64"/>
      <c r="L157" s="64"/>
      <c r="M157" s="64"/>
      <c r="N157" s="64"/>
      <c r="O157" s="64"/>
      <c r="P157" s="64"/>
      <c r="Q157" s="64"/>
      <c r="R157" s="64"/>
      <c r="S157" s="64"/>
      <c r="T157" s="64"/>
      <c r="U157" s="62"/>
    </row>
    <row r="158" customFormat="false" ht="20.1" hidden="false" customHeight="true" outlineLevel="0" collapsed="false">
      <c r="B158" s="62"/>
      <c r="U158" s="62"/>
    </row>
    <row r="159" customFormat="false" ht="20.1" hidden="false" customHeight="true" outlineLevel="0" collapsed="false">
      <c r="B159" s="62"/>
      <c r="D159" s="65" t="s">
        <v>53</v>
      </c>
      <c r="E159" s="66" t="s">
        <v>137</v>
      </c>
      <c r="F159" s="67" t="s">
        <v>11</v>
      </c>
      <c r="G159" s="68" t="s">
        <v>55</v>
      </c>
      <c r="H159" s="68"/>
      <c r="I159" s="68"/>
      <c r="J159" s="68"/>
      <c r="K159" s="66" t="s">
        <v>56</v>
      </c>
      <c r="L159" s="68" t="s">
        <v>57</v>
      </c>
      <c r="M159" s="68"/>
      <c r="N159" s="68"/>
      <c r="O159" s="68"/>
      <c r="P159" s="68"/>
      <c r="Q159" s="68"/>
      <c r="R159" s="68"/>
      <c r="S159" s="68"/>
      <c r="U159" s="62"/>
    </row>
    <row r="160" customFormat="false" ht="20.1" hidden="false" customHeight="true" outlineLevel="0" collapsed="false">
      <c r="B160" s="62"/>
      <c r="D160" s="65"/>
      <c r="E160" s="66"/>
      <c r="F160" s="66"/>
      <c r="G160" s="70" t="s">
        <v>58</v>
      </c>
      <c r="H160" s="69" t="s">
        <v>59</v>
      </c>
      <c r="I160" s="67" t="s">
        <v>60</v>
      </c>
      <c r="J160" s="67"/>
      <c r="K160" s="69" t="s">
        <v>61</v>
      </c>
      <c r="L160" s="224" t="s">
        <v>58</v>
      </c>
      <c r="M160" s="225" t="s">
        <v>62</v>
      </c>
      <c r="N160" s="67" t="s">
        <v>60</v>
      </c>
      <c r="O160" s="67"/>
      <c r="P160" s="67"/>
      <c r="Q160" s="67"/>
      <c r="R160" s="67"/>
      <c r="S160" s="67"/>
      <c r="U160" s="62"/>
    </row>
    <row r="161" customFormat="false" ht="15" hidden="false" customHeight="true" outlineLevel="0" collapsed="false">
      <c r="B161" s="62"/>
      <c r="D161" s="318" t="s">
        <v>29</v>
      </c>
      <c r="E161" s="359" t="s">
        <v>30</v>
      </c>
      <c r="F161" s="23" t="n">
        <v>1</v>
      </c>
      <c r="G161" s="72" t="s">
        <v>114</v>
      </c>
      <c r="H161" s="74" t="s">
        <v>117</v>
      </c>
      <c r="I161" s="321" t="s">
        <v>190</v>
      </c>
      <c r="J161" s="321"/>
      <c r="K161" s="351" t="s">
        <v>206</v>
      </c>
      <c r="L161" s="352" t="s">
        <v>67</v>
      </c>
      <c r="M161" s="324" t="s">
        <v>67</v>
      </c>
      <c r="N161" s="78" t="s">
        <v>67</v>
      </c>
      <c r="O161" s="78"/>
      <c r="P161" s="78"/>
      <c r="Q161" s="78"/>
      <c r="R161" s="78"/>
      <c r="S161" s="78"/>
      <c r="U161" s="62"/>
    </row>
    <row r="162" customFormat="false" ht="15" hidden="false" customHeight="true" outlineLevel="0" collapsed="false">
      <c r="B162" s="62"/>
      <c r="D162" s="318"/>
      <c r="E162" s="359"/>
      <c r="F162" s="23"/>
      <c r="G162" s="72"/>
      <c r="H162" s="74"/>
      <c r="I162" s="325" t="s">
        <v>191</v>
      </c>
      <c r="J162" s="325"/>
      <c r="K162" s="351"/>
      <c r="L162" s="352"/>
      <c r="M162" s="324"/>
      <c r="N162" s="78"/>
      <c r="O162" s="78"/>
      <c r="P162" s="78"/>
      <c r="Q162" s="78"/>
      <c r="R162" s="78"/>
      <c r="S162" s="78"/>
      <c r="U162" s="62"/>
    </row>
    <row r="163" customFormat="false" ht="15" hidden="false" customHeight="true" outlineLevel="0" collapsed="false">
      <c r="B163" s="62"/>
      <c r="D163" s="318"/>
      <c r="E163" s="359"/>
      <c r="F163" s="23"/>
      <c r="G163" s="72"/>
      <c r="H163" s="74"/>
      <c r="I163" s="325" t="s">
        <v>192</v>
      </c>
      <c r="J163" s="325"/>
      <c r="K163" s="351"/>
      <c r="L163" s="352"/>
      <c r="M163" s="324"/>
      <c r="N163" s="78"/>
      <c r="O163" s="78"/>
      <c r="P163" s="78"/>
      <c r="Q163" s="78"/>
      <c r="R163" s="78"/>
      <c r="S163" s="78"/>
      <c r="U163" s="62"/>
    </row>
    <row r="164" customFormat="false" ht="15" hidden="false" customHeight="true" outlineLevel="0" collapsed="false">
      <c r="B164" s="62"/>
      <c r="D164" s="318"/>
      <c r="E164" s="359"/>
      <c r="F164" s="23"/>
      <c r="G164" s="72"/>
      <c r="H164" s="74"/>
      <c r="I164" s="360" t="s">
        <v>193</v>
      </c>
      <c r="J164" s="360"/>
      <c r="K164" s="351"/>
      <c r="L164" s="352"/>
      <c r="M164" s="324"/>
      <c r="N164" s="78"/>
      <c r="O164" s="78"/>
      <c r="P164" s="78"/>
      <c r="Q164" s="78"/>
      <c r="R164" s="78"/>
      <c r="S164" s="78"/>
      <c r="U164" s="62"/>
    </row>
    <row r="165" customFormat="false" ht="20.1" hidden="false" customHeight="true" outlineLevel="0" collapsed="false">
      <c r="B165" s="62"/>
      <c r="D165" s="79" t="s">
        <v>39</v>
      </c>
      <c r="E165" s="38" t="s">
        <v>40</v>
      </c>
      <c r="F165" s="31" t="n">
        <v>2</v>
      </c>
      <c r="G165" s="230" t="s">
        <v>63</v>
      </c>
      <c r="H165" s="81" t="s">
        <v>206</v>
      </c>
      <c r="I165" s="361" t="s">
        <v>67</v>
      </c>
      <c r="J165" s="361"/>
      <c r="K165" s="282" t="s">
        <v>111</v>
      </c>
      <c r="L165" s="283" t="s">
        <v>67</v>
      </c>
      <c r="M165" s="85" t="s">
        <v>67</v>
      </c>
      <c r="N165" s="86" t="s">
        <v>67</v>
      </c>
      <c r="O165" s="86"/>
      <c r="P165" s="86"/>
      <c r="Q165" s="86"/>
      <c r="R165" s="86"/>
      <c r="S165" s="86"/>
      <c r="U165" s="62"/>
    </row>
    <row r="166" customFormat="false" ht="20.1" hidden="false" customHeight="true" outlineLevel="0" collapsed="false">
      <c r="B166" s="62"/>
      <c r="D166" s="362" t="s">
        <v>47</v>
      </c>
      <c r="E166" s="363" t="s">
        <v>48</v>
      </c>
      <c r="F166" s="50" t="n">
        <v>3</v>
      </c>
      <c r="G166" s="364" t="s">
        <v>63</v>
      </c>
      <c r="H166" s="365" t="s">
        <v>200</v>
      </c>
      <c r="I166" s="366" t="s">
        <v>201</v>
      </c>
      <c r="J166" s="366"/>
      <c r="K166" s="367" t="s">
        <v>111</v>
      </c>
      <c r="L166" s="368" t="s">
        <v>67</v>
      </c>
      <c r="M166" s="99" t="s">
        <v>67</v>
      </c>
      <c r="N166" s="239" t="s">
        <v>67</v>
      </c>
      <c r="O166" s="239"/>
      <c r="P166" s="239"/>
      <c r="Q166" s="239"/>
      <c r="R166" s="239"/>
      <c r="S166" s="239"/>
      <c r="U166" s="62"/>
    </row>
    <row r="167" customFormat="false" ht="20.1" hidden="false" customHeight="true" outlineLevel="0" collapsed="false">
      <c r="B167" s="62"/>
      <c r="U167" s="62"/>
    </row>
    <row r="168" customFormat="false" ht="20.1" hidden="false" customHeight="true" outlineLevel="0" collapsed="false">
      <c r="B168" s="62"/>
      <c r="C168" s="101"/>
      <c r="D168" s="101"/>
      <c r="E168" s="102" t="str">
        <f aca="false">IF(OR(L161="-",L161= ""),H161,L161)</f>
        <v>Rajas of the Ganges</v>
      </c>
      <c r="F168" s="102"/>
      <c r="G168" s="102"/>
      <c r="H168" s="102"/>
      <c r="I168" s="102"/>
      <c r="J168" s="102"/>
      <c r="K168" s="102"/>
      <c r="L168" s="102"/>
      <c r="M168" s="102"/>
      <c r="N168" s="102"/>
      <c r="O168" s="103"/>
      <c r="P168" s="103"/>
      <c r="Q168" s="103"/>
      <c r="R168" s="103"/>
      <c r="S168" s="103"/>
      <c r="T168" s="101"/>
      <c r="U168" s="62"/>
    </row>
    <row r="169" customFormat="false" ht="50.1" hidden="false" customHeight="true" outlineLevel="0" collapsed="false">
      <c r="B169" s="62"/>
      <c r="C169" s="101"/>
      <c r="D169" s="103"/>
      <c r="E169" s="65" t="s">
        <v>53</v>
      </c>
      <c r="F169" s="104" t="s">
        <v>76</v>
      </c>
      <c r="G169" s="67" t="s">
        <v>77</v>
      </c>
      <c r="H169" s="66" t="s">
        <v>78</v>
      </c>
      <c r="I169" s="54" t="s">
        <v>79</v>
      </c>
      <c r="J169" s="66" t="s">
        <v>80</v>
      </c>
      <c r="K169" s="105" t="s">
        <v>81</v>
      </c>
      <c r="L169" s="66" t="s">
        <v>82</v>
      </c>
      <c r="M169" s="106" t="s">
        <v>83</v>
      </c>
      <c r="N169" s="67" t="s">
        <v>84</v>
      </c>
      <c r="O169" s="107" t="s">
        <v>85</v>
      </c>
      <c r="P169" s="108" t="s">
        <v>86</v>
      </c>
      <c r="Q169" s="108" t="s">
        <v>87</v>
      </c>
      <c r="R169" s="103"/>
      <c r="S169" s="103"/>
      <c r="T169" s="101"/>
      <c r="U169" s="62"/>
    </row>
    <row r="170" customFormat="false" ht="20.1" hidden="false" customHeight="true" outlineLevel="0" collapsed="false">
      <c r="B170" s="62"/>
      <c r="C170" s="101"/>
      <c r="D170" s="124"/>
      <c r="E170" s="71" t="s">
        <v>29</v>
      </c>
      <c r="F170" s="369" t="s">
        <v>30</v>
      </c>
      <c r="G170" s="250" t="n">
        <v>1</v>
      </c>
      <c r="H170" s="250" t="s">
        <v>67</v>
      </c>
      <c r="I170" s="250" t="n">
        <v>-59</v>
      </c>
      <c r="J170" s="250" t="n">
        <v>-6</v>
      </c>
      <c r="K170" s="250" t="s">
        <v>67</v>
      </c>
      <c r="L170" s="253" t="n">
        <f aca="false">($I$172-J170)/($I$172-$J$172)*100</f>
        <v>85.2459016393443</v>
      </c>
      <c r="M170" s="250" t="n">
        <v>3</v>
      </c>
      <c r="N170" s="254" t="n">
        <v>0</v>
      </c>
      <c r="O170" s="115" t="n">
        <f aca="false">IF(M170=1,1,0)</f>
        <v>0</v>
      </c>
      <c r="P170" s="116" t="n">
        <f aca="false">IF(M170=2,1,0)</f>
        <v>0</v>
      </c>
      <c r="Q170" s="117" t="n">
        <f aca="false">IF(M170=3,1,0)</f>
        <v>1</v>
      </c>
      <c r="R170" s="118"/>
      <c r="S170" s="118"/>
      <c r="T170" s="101"/>
      <c r="U170" s="62"/>
    </row>
    <row r="171" customFormat="false" ht="20.1" hidden="false" customHeight="true" outlineLevel="0" collapsed="false">
      <c r="B171" s="62"/>
      <c r="C171" s="101"/>
      <c r="D171" s="101"/>
      <c r="E171" s="79" t="s">
        <v>39</v>
      </c>
      <c r="F171" s="27" t="s">
        <v>40</v>
      </c>
      <c r="G171" s="241" t="n">
        <v>2</v>
      </c>
      <c r="H171" s="241" t="s">
        <v>67</v>
      </c>
      <c r="I171" s="241" t="n">
        <v>-59</v>
      </c>
      <c r="J171" s="241" t="n">
        <v>-5</v>
      </c>
      <c r="K171" s="242" t="s">
        <v>67</v>
      </c>
      <c r="L171" s="243" t="n">
        <f aca="false">($I$172-J171)/($I$172-$J$172)*100</f>
        <v>86.8852459016393</v>
      </c>
      <c r="M171" s="241" t="n">
        <v>2</v>
      </c>
      <c r="N171" s="244" t="n">
        <v>3</v>
      </c>
      <c r="O171" s="121" t="n">
        <f aca="false">IF(M171=1,1,0)</f>
        <v>0</v>
      </c>
      <c r="P171" s="122" t="n">
        <f aca="false">IF(M171=2,1,0)</f>
        <v>1</v>
      </c>
      <c r="Q171" s="123" t="n">
        <f aca="false">IF(M171=3,1,0)</f>
        <v>0</v>
      </c>
      <c r="R171" s="118"/>
      <c r="S171" s="118"/>
      <c r="T171" s="101"/>
      <c r="U171" s="62"/>
    </row>
    <row r="172" customFormat="false" ht="20.1" hidden="false" customHeight="true" outlineLevel="0" collapsed="false">
      <c r="B172" s="62"/>
      <c r="C172" s="101"/>
      <c r="D172" s="101"/>
      <c r="E172" s="350" t="s">
        <v>47</v>
      </c>
      <c r="F172" s="370" t="s">
        <v>48</v>
      </c>
      <c r="G172" s="295" t="n">
        <v>3</v>
      </c>
      <c r="H172" s="295" t="s">
        <v>67</v>
      </c>
      <c r="I172" s="295" t="n">
        <v>-58</v>
      </c>
      <c r="J172" s="295" t="n">
        <v>3</v>
      </c>
      <c r="K172" s="295" t="s">
        <v>67</v>
      </c>
      <c r="L172" s="297" t="n">
        <f aca="false">($I$172-J172)/($I$172-$J$172)*100</f>
        <v>100</v>
      </c>
      <c r="M172" s="295" t="n">
        <v>1</v>
      </c>
      <c r="N172" s="298" t="n">
        <v>6</v>
      </c>
      <c r="O172" s="127" t="n">
        <f aca="false">IF(M172=1,1,0)</f>
        <v>1</v>
      </c>
      <c r="P172" s="128" t="n">
        <f aca="false">IF(M172=2,1,0)</f>
        <v>0</v>
      </c>
      <c r="Q172" s="129" t="n">
        <f aca="false">IF(M172=3,1,0)</f>
        <v>0</v>
      </c>
      <c r="R172" s="118"/>
      <c r="S172" s="118"/>
      <c r="T172" s="101"/>
      <c r="U172" s="62"/>
    </row>
    <row r="173" customFormat="false" ht="20.1" hidden="true" customHeight="true" outlineLevel="1" collapsed="false">
      <c r="B173" s="62"/>
      <c r="C173" s="101"/>
      <c r="D173" s="124"/>
      <c r="E173" s="124"/>
      <c r="F173" s="131"/>
      <c r="G173" s="131"/>
      <c r="H173" s="101"/>
      <c r="I173" s="179" t="s">
        <v>89</v>
      </c>
      <c r="J173" s="133" t="n">
        <f aca="false">MAX(J170:J172)</f>
        <v>3</v>
      </c>
      <c r="K173" s="249"/>
      <c r="L173" s="139"/>
      <c r="M173" s="101"/>
      <c r="N173" s="136" t="s">
        <v>90</v>
      </c>
      <c r="O173" s="137" t="n">
        <f aca="false">SUM(O170:O172)</f>
        <v>1</v>
      </c>
      <c r="P173" s="138" t="n">
        <f aca="false">SUM(P170:P172)</f>
        <v>1</v>
      </c>
      <c r="Q173" s="137" t="n">
        <f aca="false">SUM(Q170:Q172)</f>
        <v>1</v>
      </c>
      <c r="R173" s="160" t="n">
        <f aca="false">SUM(R170:R172)</f>
        <v>0</v>
      </c>
      <c r="S173" s="139"/>
      <c r="T173" s="101"/>
      <c r="U173" s="62"/>
    </row>
    <row r="174" customFormat="false" ht="20.1" hidden="false" customHeight="true" outlineLevel="0" collapsed="false">
      <c r="B174" s="62"/>
      <c r="C174" s="101"/>
      <c r="D174" s="101"/>
      <c r="E174" s="101"/>
      <c r="F174" s="101"/>
      <c r="G174" s="101"/>
      <c r="H174" s="101"/>
      <c r="I174" s="101"/>
      <c r="J174" s="101"/>
      <c r="K174" s="101"/>
      <c r="L174" s="101"/>
      <c r="M174" s="101"/>
      <c r="N174" s="101"/>
      <c r="O174" s="101"/>
      <c r="P174" s="101"/>
      <c r="Q174" s="101"/>
      <c r="R174" s="101"/>
      <c r="S174" s="101"/>
      <c r="T174" s="101"/>
      <c r="U174" s="62"/>
    </row>
    <row r="175" customFormat="false" ht="20.1" hidden="false" customHeight="true" outlineLevel="0" collapsed="false">
      <c r="B175" s="62"/>
      <c r="U175" s="62"/>
    </row>
    <row r="176" customFormat="false" ht="20.1" hidden="false" customHeight="true" outlineLevel="0" collapsed="false">
      <c r="B176" s="62"/>
      <c r="C176" s="141"/>
      <c r="D176" s="141"/>
      <c r="E176" s="142" t="str">
        <f aca="false">IF(OR(L165="-",L165= ""),H165,L165)</f>
        <v>Yokohama</v>
      </c>
      <c r="F176" s="142"/>
      <c r="G176" s="142"/>
      <c r="H176" s="142"/>
      <c r="I176" s="142"/>
      <c r="J176" s="142"/>
      <c r="K176" s="142"/>
      <c r="L176" s="142"/>
      <c r="M176" s="142"/>
      <c r="N176" s="142"/>
      <c r="O176" s="143"/>
      <c r="P176" s="143"/>
      <c r="Q176" s="143"/>
      <c r="R176" s="143"/>
      <c r="S176" s="143"/>
      <c r="T176" s="141"/>
      <c r="U176" s="62"/>
    </row>
    <row r="177" customFormat="false" ht="50.1" hidden="false" customHeight="true" outlineLevel="0" collapsed="false">
      <c r="B177" s="62"/>
      <c r="C177" s="141"/>
      <c r="D177" s="143"/>
      <c r="E177" s="65" t="s">
        <v>53</v>
      </c>
      <c r="F177" s="104" t="s">
        <v>76</v>
      </c>
      <c r="G177" s="67" t="s">
        <v>77</v>
      </c>
      <c r="H177" s="66" t="s">
        <v>78</v>
      </c>
      <c r="I177" s="54" t="s">
        <v>79</v>
      </c>
      <c r="J177" s="66" t="s">
        <v>80</v>
      </c>
      <c r="K177" s="105" t="s">
        <v>81</v>
      </c>
      <c r="L177" s="66" t="s">
        <v>82</v>
      </c>
      <c r="M177" s="106" t="s">
        <v>83</v>
      </c>
      <c r="N177" s="67" t="s">
        <v>84</v>
      </c>
      <c r="O177" s="107" t="s">
        <v>85</v>
      </c>
      <c r="P177" s="108" t="s">
        <v>86</v>
      </c>
      <c r="Q177" s="108" t="s">
        <v>87</v>
      </c>
      <c r="R177" s="143"/>
      <c r="S177" s="143"/>
      <c r="T177" s="141"/>
      <c r="U177" s="62"/>
    </row>
    <row r="178" customFormat="false" ht="20.1" hidden="false" customHeight="true" outlineLevel="0" collapsed="false">
      <c r="B178" s="62"/>
      <c r="C178" s="141"/>
      <c r="D178" s="148"/>
      <c r="E178" s="71" t="s">
        <v>29</v>
      </c>
      <c r="F178" s="369" t="s">
        <v>30</v>
      </c>
      <c r="G178" s="251" t="n">
        <v>3</v>
      </c>
      <c r="H178" s="250" t="s">
        <v>67</v>
      </c>
      <c r="I178" s="250" t="n">
        <v>0</v>
      </c>
      <c r="J178" s="250" t="n">
        <v>105</v>
      </c>
      <c r="K178" s="251" t="s">
        <v>67</v>
      </c>
      <c r="L178" s="253" t="n">
        <f aca="false">IF(J178="",0,(J178/J181)*100)</f>
        <v>84</v>
      </c>
      <c r="M178" s="250" t="n">
        <v>3</v>
      </c>
      <c r="N178" s="254" t="n">
        <v>0</v>
      </c>
      <c r="O178" s="115" t="n">
        <f aca="false">IF(M178=1,1,0)</f>
        <v>0</v>
      </c>
      <c r="P178" s="116" t="n">
        <f aca="false">IF(M178=2,1,0)</f>
        <v>0</v>
      </c>
      <c r="Q178" s="117" t="n">
        <f aca="false">IF(M178=3,1,0)</f>
        <v>1</v>
      </c>
      <c r="R178" s="147"/>
      <c r="S178" s="147"/>
      <c r="T178" s="141"/>
      <c r="U178" s="62"/>
    </row>
    <row r="179" customFormat="false" ht="20.1" hidden="false" customHeight="true" outlineLevel="0" collapsed="false">
      <c r="B179" s="62"/>
      <c r="C179" s="141"/>
      <c r="D179" s="141"/>
      <c r="E179" s="79" t="s">
        <v>39</v>
      </c>
      <c r="F179" s="27" t="s">
        <v>40</v>
      </c>
      <c r="G179" s="241" t="n">
        <v>1</v>
      </c>
      <c r="H179" s="241" t="s">
        <v>67</v>
      </c>
      <c r="I179" s="241" t="n">
        <v>0</v>
      </c>
      <c r="J179" s="241" t="n">
        <v>109</v>
      </c>
      <c r="K179" s="242" t="s">
        <v>67</v>
      </c>
      <c r="L179" s="243" t="n">
        <f aca="false">IF(J179="",0,(J179/J181)*100)</f>
        <v>87.2</v>
      </c>
      <c r="M179" s="241" t="n">
        <v>2</v>
      </c>
      <c r="N179" s="244" t="n">
        <v>3</v>
      </c>
      <c r="O179" s="121" t="n">
        <f aca="false">IF(M179=1,1,0)</f>
        <v>0</v>
      </c>
      <c r="P179" s="122" t="n">
        <f aca="false">IF(M179=2,1,0)</f>
        <v>1</v>
      </c>
      <c r="Q179" s="123" t="n">
        <f aca="false">IF(M179=3,1,0)</f>
        <v>0</v>
      </c>
      <c r="R179" s="147"/>
      <c r="S179" s="147"/>
      <c r="T179" s="141"/>
      <c r="U179" s="62"/>
    </row>
    <row r="180" customFormat="false" ht="20.1" hidden="false" customHeight="true" outlineLevel="0" collapsed="false">
      <c r="B180" s="62"/>
      <c r="C180" s="141"/>
      <c r="D180" s="148"/>
      <c r="E180" s="350" t="s">
        <v>47</v>
      </c>
      <c r="F180" s="370" t="s">
        <v>48</v>
      </c>
      <c r="G180" s="295" t="n">
        <v>2</v>
      </c>
      <c r="H180" s="295" t="s">
        <v>67</v>
      </c>
      <c r="I180" s="295" t="n">
        <v>0</v>
      </c>
      <c r="J180" s="295" t="n">
        <v>125</v>
      </c>
      <c r="K180" s="296" t="s">
        <v>67</v>
      </c>
      <c r="L180" s="297" t="n">
        <f aca="false">IF(J180="",0,(J180/J181)*100)</f>
        <v>100</v>
      </c>
      <c r="M180" s="295" t="n">
        <v>1</v>
      </c>
      <c r="N180" s="298" t="n">
        <v>6</v>
      </c>
      <c r="O180" s="127" t="n">
        <f aca="false">IF(M180=1,1,0)</f>
        <v>1</v>
      </c>
      <c r="P180" s="128" t="n">
        <f aca="false">IF(M180=2,1,0)</f>
        <v>0</v>
      </c>
      <c r="Q180" s="129" t="n">
        <f aca="false">IF(M180=3,1,0)</f>
        <v>0</v>
      </c>
      <c r="R180" s="147"/>
      <c r="S180" s="147"/>
      <c r="T180" s="141"/>
      <c r="U180" s="62"/>
    </row>
    <row r="181" customFormat="false" ht="20.1" hidden="true" customHeight="true" outlineLevel="1" collapsed="false">
      <c r="B181" s="62"/>
      <c r="C181" s="141"/>
      <c r="D181" s="141"/>
      <c r="E181" s="141"/>
      <c r="F181" s="157"/>
      <c r="G181" s="157"/>
      <c r="H181" s="141"/>
      <c r="I181" s="179" t="s">
        <v>89</v>
      </c>
      <c r="J181" s="133" t="n">
        <f aca="false">MAX(J178:J180)</f>
        <v>125</v>
      </c>
      <c r="K181" s="159"/>
      <c r="L181" s="147"/>
      <c r="M181" s="141"/>
      <c r="N181" s="136" t="s">
        <v>90</v>
      </c>
      <c r="O181" s="137" t="n">
        <f aca="false">SUM(O178:O180)</f>
        <v>1</v>
      </c>
      <c r="P181" s="138" t="n">
        <f aca="false">SUM(P178:P180)</f>
        <v>1</v>
      </c>
      <c r="Q181" s="137" t="n">
        <f aca="false">SUM(Q178:Q180)</f>
        <v>1</v>
      </c>
      <c r="R181" s="160" t="n">
        <f aca="false">SUM(R178:R180)</f>
        <v>0</v>
      </c>
      <c r="S181" s="161"/>
      <c r="T181" s="141"/>
      <c r="U181" s="62"/>
    </row>
    <row r="182" customFormat="false" ht="20.1" hidden="false" customHeight="true" outlineLevel="0" collapsed="false">
      <c r="B182" s="62"/>
      <c r="C182" s="141"/>
      <c r="D182" s="141"/>
      <c r="E182" s="141"/>
      <c r="F182" s="141"/>
      <c r="G182" s="141"/>
      <c r="H182" s="141"/>
      <c r="I182" s="141"/>
      <c r="J182" s="141"/>
      <c r="K182" s="141"/>
      <c r="L182" s="141"/>
      <c r="M182" s="141"/>
      <c r="N182" s="141"/>
      <c r="O182" s="141"/>
      <c r="P182" s="141"/>
      <c r="Q182" s="141"/>
      <c r="R182" s="141"/>
      <c r="S182" s="141"/>
      <c r="T182" s="141"/>
      <c r="U182" s="62"/>
    </row>
    <row r="183" customFormat="false" ht="20.1" hidden="false" customHeight="true" outlineLevel="0" collapsed="false">
      <c r="B183" s="62"/>
      <c r="D183" s="162"/>
      <c r="E183" s="162"/>
      <c r="F183" s="162"/>
      <c r="G183" s="162"/>
      <c r="H183" s="163"/>
      <c r="I183" s="162"/>
      <c r="J183" s="162"/>
      <c r="U183" s="62"/>
    </row>
    <row r="184" customFormat="false" ht="20.1" hidden="false" customHeight="true" outlineLevel="0" collapsed="false">
      <c r="B184" s="62"/>
      <c r="C184" s="164"/>
      <c r="D184" s="164"/>
      <c r="E184" s="165" t="str">
        <f aca="false">IF(OR(L166="-",L166= ""),H166,L166)</f>
        <v>La Granja</v>
      </c>
      <c r="F184" s="165"/>
      <c r="G184" s="165"/>
      <c r="H184" s="165"/>
      <c r="I184" s="165"/>
      <c r="J184" s="165"/>
      <c r="K184" s="165"/>
      <c r="L184" s="165"/>
      <c r="M184" s="165"/>
      <c r="N184" s="165"/>
      <c r="O184" s="166"/>
      <c r="P184" s="166"/>
      <c r="Q184" s="166"/>
      <c r="R184" s="166"/>
      <c r="S184" s="166"/>
      <c r="T184" s="164"/>
      <c r="U184" s="167"/>
    </row>
    <row r="185" customFormat="false" ht="50.1" hidden="false" customHeight="true" outlineLevel="0" collapsed="false">
      <c r="B185" s="62"/>
      <c r="C185" s="164"/>
      <c r="D185" s="166"/>
      <c r="E185" s="65" t="s">
        <v>53</v>
      </c>
      <c r="F185" s="104" t="s">
        <v>76</v>
      </c>
      <c r="G185" s="67" t="s">
        <v>77</v>
      </c>
      <c r="H185" s="66" t="s">
        <v>78</v>
      </c>
      <c r="I185" s="54" t="s">
        <v>79</v>
      </c>
      <c r="J185" s="66" t="s">
        <v>80</v>
      </c>
      <c r="K185" s="105" t="s">
        <v>81</v>
      </c>
      <c r="L185" s="66" t="s">
        <v>82</v>
      </c>
      <c r="M185" s="106" t="s">
        <v>83</v>
      </c>
      <c r="N185" s="67" t="s">
        <v>84</v>
      </c>
      <c r="O185" s="107" t="s">
        <v>85</v>
      </c>
      <c r="P185" s="108" t="s">
        <v>86</v>
      </c>
      <c r="Q185" s="108" t="s">
        <v>87</v>
      </c>
      <c r="R185" s="166"/>
      <c r="S185" s="166"/>
      <c r="T185" s="164"/>
      <c r="U185" s="167"/>
    </row>
    <row r="186" customFormat="false" ht="20.1" hidden="false" customHeight="true" outlineLevel="0" collapsed="false">
      <c r="B186" s="62"/>
      <c r="C186" s="164"/>
      <c r="D186" s="171"/>
      <c r="E186" s="71" t="s">
        <v>29</v>
      </c>
      <c r="F186" s="369" t="s">
        <v>30</v>
      </c>
      <c r="G186" s="250" t="n">
        <v>2</v>
      </c>
      <c r="H186" s="250" t="s">
        <v>67</v>
      </c>
      <c r="I186" s="250" t="n">
        <v>1</v>
      </c>
      <c r="J186" s="250" t="n">
        <v>68</v>
      </c>
      <c r="K186" s="250" t="s">
        <v>67</v>
      </c>
      <c r="L186" s="253" t="n">
        <f aca="false">IF(J186="",0,(J186/J189)*100)</f>
        <v>76.4044943820225</v>
      </c>
      <c r="M186" s="250" t="n">
        <v>3</v>
      </c>
      <c r="N186" s="254" t="n">
        <v>0</v>
      </c>
      <c r="O186" s="116" t="n">
        <f aca="false">IF(M186=1,1,0)</f>
        <v>0</v>
      </c>
      <c r="P186" s="116" t="n">
        <f aca="false">IF(M186=2,1,0)</f>
        <v>0</v>
      </c>
      <c r="Q186" s="117" t="n">
        <f aca="false">IF(M186=3,1,0)</f>
        <v>1</v>
      </c>
      <c r="R186" s="170"/>
      <c r="S186" s="170"/>
      <c r="T186" s="164"/>
      <c r="U186" s="62"/>
    </row>
    <row r="187" customFormat="false" ht="20.1" hidden="false" customHeight="true" outlineLevel="0" collapsed="false">
      <c r="B187" s="62"/>
      <c r="C187" s="164"/>
      <c r="D187" s="164"/>
      <c r="E187" s="79" t="s">
        <v>39</v>
      </c>
      <c r="F187" s="27" t="s">
        <v>40</v>
      </c>
      <c r="G187" s="241" t="n">
        <v>1</v>
      </c>
      <c r="H187" s="241" t="s">
        <v>67</v>
      </c>
      <c r="I187" s="241" t="n">
        <v>1</v>
      </c>
      <c r="J187" s="241" t="n">
        <v>74</v>
      </c>
      <c r="K187" s="242" t="s">
        <v>67</v>
      </c>
      <c r="L187" s="243" t="n">
        <f aca="false">IF(J187="",0,(J187/J189)*100)</f>
        <v>83.1460674157303</v>
      </c>
      <c r="M187" s="241" t="n">
        <v>2</v>
      </c>
      <c r="N187" s="244" t="n">
        <v>3</v>
      </c>
      <c r="O187" s="122" t="n">
        <f aca="false">IF(M187=1,1,0)</f>
        <v>0</v>
      </c>
      <c r="P187" s="122" t="n">
        <f aca="false">IF(M187=2,1,0)</f>
        <v>1</v>
      </c>
      <c r="Q187" s="123" t="n">
        <f aca="false">IF(M187=3,1,0)</f>
        <v>0</v>
      </c>
      <c r="R187" s="170"/>
      <c r="S187" s="170"/>
      <c r="T187" s="164"/>
      <c r="U187" s="173"/>
    </row>
    <row r="188" customFormat="false" ht="20.1" hidden="false" customHeight="true" outlineLevel="0" collapsed="false">
      <c r="B188" s="62"/>
      <c r="C188" s="164"/>
      <c r="D188" s="164"/>
      <c r="E188" s="350" t="s">
        <v>47</v>
      </c>
      <c r="F188" s="370" t="s">
        <v>48</v>
      </c>
      <c r="G188" s="295" t="n">
        <v>3</v>
      </c>
      <c r="H188" s="295" t="s">
        <v>67</v>
      </c>
      <c r="I188" s="295" t="n">
        <v>1</v>
      </c>
      <c r="J188" s="295" t="n">
        <v>89</v>
      </c>
      <c r="K188" s="295" t="s">
        <v>67</v>
      </c>
      <c r="L188" s="297" t="n">
        <f aca="false">IF(J188="",0,(J188/J189)*100)</f>
        <v>100</v>
      </c>
      <c r="M188" s="295" t="n">
        <v>1</v>
      </c>
      <c r="N188" s="298" t="n">
        <v>6</v>
      </c>
      <c r="O188" s="128" t="n">
        <f aca="false">IF(M188=1,1,0)</f>
        <v>1</v>
      </c>
      <c r="P188" s="128" t="n">
        <f aca="false">IF(M188=2,1,0)</f>
        <v>0</v>
      </c>
      <c r="Q188" s="129" t="n">
        <f aca="false">IF(M188=3,1,0)</f>
        <v>0</v>
      </c>
      <c r="R188" s="170"/>
      <c r="S188" s="170"/>
      <c r="T188" s="164"/>
      <c r="U188" s="173"/>
    </row>
    <row r="189" customFormat="false" ht="20.1" hidden="true" customHeight="true" outlineLevel="1" collapsed="false">
      <c r="B189" s="62"/>
      <c r="C189" s="164"/>
      <c r="D189" s="164"/>
      <c r="E189" s="164"/>
      <c r="F189" s="178"/>
      <c r="G189" s="178"/>
      <c r="H189" s="164"/>
      <c r="I189" s="179" t="s">
        <v>89</v>
      </c>
      <c r="J189" s="133" t="n">
        <f aca="false">MAX(J186:J188)</f>
        <v>89</v>
      </c>
      <c r="K189" s="180"/>
      <c r="L189" s="170"/>
      <c r="M189" s="164"/>
      <c r="N189" s="136" t="s">
        <v>90</v>
      </c>
      <c r="O189" s="137" t="n">
        <f aca="false">SUM(O186:O188)</f>
        <v>1</v>
      </c>
      <c r="P189" s="138" t="n">
        <f aca="false">SUM(P186:P188)</f>
        <v>1</v>
      </c>
      <c r="Q189" s="137" t="n">
        <f aca="false">SUM(Q186:Q188)</f>
        <v>1</v>
      </c>
      <c r="R189" s="160" t="n">
        <f aca="false">SUM(R186:R188)</f>
        <v>0</v>
      </c>
      <c r="S189" s="181"/>
      <c r="T189" s="164"/>
      <c r="U189" s="173"/>
    </row>
    <row r="190" customFormat="false" ht="20.1" hidden="false" customHeight="true" outlineLevel="0" collapsed="false">
      <c r="B190" s="62"/>
      <c r="C190" s="164"/>
      <c r="D190" s="164"/>
      <c r="E190" s="164"/>
      <c r="F190" s="164"/>
      <c r="G190" s="164"/>
      <c r="H190" s="164"/>
      <c r="I190" s="164"/>
      <c r="J190" s="164"/>
      <c r="K190" s="164"/>
      <c r="L190" s="164"/>
      <c r="M190" s="164"/>
      <c r="N190" s="164"/>
      <c r="O190" s="164"/>
      <c r="P190" s="164"/>
      <c r="Q190" s="164"/>
      <c r="R190" s="164"/>
      <c r="S190" s="164"/>
      <c r="T190" s="164"/>
      <c r="U190" s="173"/>
    </row>
    <row r="191" customFormat="false" ht="20.1" hidden="false" customHeight="true" outlineLevel="0" collapsed="false">
      <c r="B191" s="62"/>
      <c r="D191" s="162"/>
      <c r="E191" s="162"/>
      <c r="F191" s="162"/>
      <c r="G191" s="162"/>
      <c r="H191" s="163"/>
      <c r="I191" s="162"/>
      <c r="J191" s="162"/>
      <c r="K191" s="162"/>
      <c r="U191" s="62"/>
    </row>
    <row r="192" customFormat="false" ht="30" hidden="false" customHeight="true" outlineLevel="0" collapsed="false">
      <c r="B192" s="62"/>
      <c r="C192" s="190"/>
      <c r="D192" s="191" t="s">
        <v>149</v>
      </c>
      <c r="E192" s="191"/>
      <c r="F192" s="191"/>
      <c r="G192" s="191"/>
      <c r="H192" s="191"/>
      <c r="I192" s="191"/>
      <c r="J192" s="191"/>
      <c r="K192" s="191"/>
      <c r="L192" s="191"/>
      <c r="M192" s="191"/>
      <c r="N192" s="191"/>
      <c r="O192" s="371"/>
      <c r="P192" s="371"/>
      <c r="Q192" s="371"/>
      <c r="R192" s="371"/>
      <c r="S192" s="371"/>
      <c r="T192" s="190"/>
      <c r="U192" s="62"/>
    </row>
    <row r="193" customFormat="false" ht="50.1" hidden="false" customHeight="true" outlineLevel="0" collapsed="false">
      <c r="B193" s="62"/>
      <c r="C193" s="190"/>
      <c r="D193" s="192" t="s">
        <v>53</v>
      </c>
      <c r="E193" s="193" t="s">
        <v>150</v>
      </c>
      <c r="F193" s="194" t="s">
        <v>84</v>
      </c>
      <c r="G193" s="195" t="s">
        <v>100</v>
      </c>
      <c r="H193" s="196" t="s">
        <v>101</v>
      </c>
      <c r="I193" s="196"/>
      <c r="J193" s="197" t="s">
        <v>102</v>
      </c>
      <c r="K193" s="198" t="s">
        <v>103</v>
      </c>
      <c r="L193" s="194" t="s">
        <v>104</v>
      </c>
      <c r="M193" s="198" t="s">
        <v>105</v>
      </c>
      <c r="N193" s="193" t="s">
        <v>107</v>
      </c>
      <c r="O193" s="372"/>
      <c r="P193" s="373"/>
      <c r="Q193" s="373"/>
      <c r="R193" s="373"/>
      <c r="S193" s="190"/>
      <c r="T193" s="190"/>
      <c r="U193" s="62"/>
    </row>
    <row r="194" customFormat="false" ht="50.1" hidden="false" customHeight="true" outlineLevel="0" collapsed="false">
      <c r="B194" s="62"/>
      <c r="C194" s="190"/>
      <c r="D194" s="201" t="s">
        <v>47</v>
      </c>
      <c r="E194" s="374" t="s">
        <v>48</v>
      </c>
      <c r="F194" s="258" t="n">
        <f aca="false">K194*6+L194*3+M194*0</f>
        <v>18</v>
      </c>
      <c r="G194" s="259" t="n">
        <v>-1</v>
      </c>
      <c r="H194" s="375" t="s">
        <v>207</v>
      </c>
      <c r="I194" s="375"/>
      <c r="J194" s="258" t="n">
        <f aca="false">F194+G194</f>
        <v>17</v>
      </c>
      <c r="K194" s="258" t="n">
        <v>3</v>
      </c>
      <c r="L194" s="258" t="n">
        <v>0</v>
      </c>
      <c r="M194" s="258" t="n">
        <v>0</v>
      </c>
      <c r="N194" s="261" t="n">
        <f aca="false">(L172+L180+L188)/3</f>
        <v>100</v>
      </c>
      <c r="O194" s="376"/>
      <c r="P194" s="377"/>
      <c r="Q194" s="377"/>
      <c r="R194" s="377"/>
      <c r="S194" s="190"/>
      <c r="T194" s="190"/>
      <c r="U194" s="62"/>
    </row>
    <row r="195" customFormat="false" ht="20.1" hidden="false" customHeight="true" outlineLevel="0" collapsed="false">
      <c r="B195" s="62"/>
      <c r="C195" s="190"/>
      <c r="D195" s="207" t="s">
        <v>39</v>
      </c>
      <c r="E195" s="378" t="s">
        <v>40</v>
      </c>
      <c r="F195" s="262" t="n">
        <f aca="false">K195*6+L195*3+M195*0</f>
        <v>9</v>
      </c>
      <c r="G195" s="263" t="n">
        <v>0</v>
      </c>
      <c r="H195" s="263" t="s">
        <v>67</v>
      </c>
      <c r="I195" s="263"/>
      <c r="J195" s="262" t="n">
        <f aca="false">F195+G195</f>
        <v>9</v>
      </c>
      <c r="K195" s="262" t="n">
        <v>0</v>
      </c>
      <c r="L195" s="262" t="n">
        <v>3</v>
      </c>
      <c r="M195" s="262" t="n">
        <v>0</v>
      </c>
      <c r="N195" s="265" t="n">
        <f aca="false">(L171+L179+L187)/3</f>
        <v>85.7437711057899</v>
      </c>
      <c r="O195" s="376"/>
      <c r="P195" s="377"/>
      <c r="Q195" s="377"/>
      <c r="R195" s="377"/>
      <c r="S195" s="190"/>
      <c r="T195" s="190"/>
      <c r="U195" s="62"/>
    </row>
    <row r="196" customFormat="false" ht="20.1" hidden="false" customHeight="true" outlineLevel="0" collapsed="false">
      <c r="B196" s="62"/>
      <c r="C196" s="190"/>
      <c r="D196" s="270" t="s">
        <v>29</v>
      </c>
      <c r="E196" s="379" t="s">
        <v>30</v>
      </c>
      <c r="F196" s="271" t="n">
        <f aca="false">K196*6+L196*3+M196*0</f>
        <v>0</v>
      </c>
      <c r="G196" s="272" t="n">
        <v>0</v>
      </c>
      <c r="H196" s="272" t="s">
        <v>67</v>
      </c>
      <c r="I196" s="272"/>
      <c r="J196" s="271" t="n">
        <f aca="false">F196+G196</f>
        <v>0</v>
      </c>
      <c r="K196" s="271" t="n">
        <v>0</v>
      </c>
      <c r="L196" s="271" t="n">
        <v>0</v>
      </c>
      <c r="M196" s="271" t="n">
        <v>3</v>
      </c>
      <c r="N196" s="274" t="n">
        <f aca="false">(L170+L178+L186)/3</f>
        <v>81.8834653404556</v>
      </c>
      <c r="O196" s="376"/>
      <c r="P196" s="377"/>
      <c r="Q196" s="377"/>
      <c r="R196" s="377"/>
      <c r="S196" s="190"/>
      <c r="T196" s="190"/>
      <c r="U196" s="62"/>
    </row>
    <row r="197" customFormat="false" ht="20.1" hidden="false" customHeight="true" outlineLevel="0" collapsed="false">
      <c r="B197" s="62"/>
      <c r="C197" s="190"/>
      <c r="D197" s="190"/>
      <c r="E197" s="190"/>
      <c r="F197" s="190"/>
      <c r="G197" s="190"/>
      <c r="H197" s="190"/>
      <c r="I197" s="190"/>
      <c r="J197" s="190"/>
      <c r="K197" s="190"/>
      <c r="L197" s="190"/>
      <c r="M197" s="190"/>
      <c r="N197" s="190"/>
      <c r="O197" s="190"/>
      <c r="P197" s="190"/>
      <c r="Q197" s="190"/>
      <c r="R197" s="190"/>
      <c r="S197" s="190"/>
      <c r="T197" s="190"/>
      <c r="U197" s="62"/>
    </row>
    <row r="198" customFormat="false" ht="20.1" hidden="false" customHeight="true" outlineLevel="0" collapsed="false">
      <c r="B198" s="62"/>
      <c r="C198" s="62"/>
      <c r="D198" s="219"/>
      <c r="E198" s="219"/>
      <c r="F198" s="167"/>
      <c r="G198" s="167"/>
      <c r="H198" s="219"/>
      <c r="I198" s="219"/>
      <c r="J198" s="219"/>
      <c r="K198" s="62"/>
      <c r="L198" s="62"/>
      <c r="M198" s="62"/>
      <c r="N198" s="62"/>
      <c r="O198" s="62"/>
      <c r="P198" s="62"/>
      <c r="Q198" s="62"/>
      <c r="R198" s="62"/>
      <c r="S198" s="62"/>
      <c r="T198" s="62"/>
      <c r="U198" s="62"/>
    </row>
    <row r="199" customFormat="false" ht="20.1" hidden="false" customHeight="true" outlineLevel="0" collapsed="false"/>
    <row r="200" customFormat="false" ht="20.1" hidden="false" customHeight="true" outlineLevel="0" collapsed="false"/>
    <row r="201" customFormat="false" ht="20.1" hidden="false" customHeight="true" outlineLevel="0" collapsed="false">
      <c r="B201" s="62"/>
      <c r="C201" s="62"/>
      <c r="D201" s="63"/>
      <c r="E201" s="63"/>
      <c r="F201" s="63"/>
      <c r="G201" s="63"/>
      <c r="H201" s="62"/>
      <c r="I201" s="62"/>
      <c r="J201" s="62"/>
      <c r="K201" s="62"/>
      <c r="L201" s="62"/>
      <c r="M201" s="62"/>
      <c r="N201" s="62"/>
      <c r="O201" s="62"/>
      <c r="P201" s="62"/>
      <c r="Q201" s="62"/>
      <c r="R201" s="62"/>
      <c r="S201" s="62"/>
      <c r="T201" s="62"/>
      <c r="U201" s="62"/>
    </row>
    <row r="202" customFormat="false" ht="30" hidden="false" customHeight="true" outlineLevel="0" collapsed="false">
      <c r="B202" s="62"/>
      <c r="C202" s="64" t="s">
        <v>208</v>
      </c>
      <c r="D202" s="64"/>
      <c r="E202" s="64"/>
      <c r="F202" s="64"/>
      <c r="G202" s="64"/>
      <c r="H202" s="64"/>
      <c r="I202" s="64"/>
      <c r="J202" s="64"/>
      <c r="K202" s="64"/>
      <c r="L202" s="64"/>
      <c r="M202" s="64"/>
      <c r="N202" s="64"/>
      <c r="O202" s="64"/>
      <c r="P202" s="64"/>
      <c r="Q202" s="64"/>
      <c r="R202" s="64"/>
      <c r="S202" s="64"/>
      <c r="T202" s="64"/>
      <c r="U202" s="62"/>
    </row>
    <row r="203" customFormat="false" ht="20.1" hidden="false" customHeight="true" outlineLevel="0" collapsed="false">
      <c r="B203" s="62"/>
      <c r="U203" s="62"/>
    </row>
    <row r="204" customFormat="false" ht="20.1" hidden="false" customHeight="true" outlineLevel="0" collapsed="false">
      <c r="B204" s="62"/>
      <c r="D204" s="65" t="s">
        <v>53</v>
      </c>
      <c r="E204" s="66" t="s">
        <v>137</v>
      </c>
      <c r="F204" s="67" t="s">
        <v>11</v>
      </c>
      <c r="G204" s="68" t="s">
        <v>55</v>
      </c>
      <c r="H204" s="68"/>
      <c r="I204" s="68"/>
      <c r="J204" s="68"/>
      <c r="K204" s="66" t="s">
        <v>56</v>
      </c>
      <c r="L204" s="68" t="s">
        <v>57</v>
      </c>
      <c r="M204" s="68"/>
      <c r="N204" s="68"/>
      <c r="O204" s="68"/>
      <c r="P204" s="68"/>
      <c r="Q204" s="68"/>
      <c r="R204" s="68"/>
      <c r="S204" s="68"/>
      <c r="U204" s="62"/>
    </row>
    <row r="205" customFormat="false" ht="20.1" hidden="false" customHeight="true" outlineLevel="0" collapsed="false">
      <c r="B205" s="62"/>
      <c r="D205" s="65"/>
      <c r="E205" s="66"/>
      <c r="F205" s="66"/>
      <c r="G205" s="70" t="s">
        <v>58</v>
      </c>
      <c r="H205" s="69" t="s">
        <v>59</v>
      </c>
      <c r="I205" s="226" t="s">
        <v>60</v>
      </c>
      <c r="J205" s="226"/>
      <c r="K205" s="69" t="s">
        <v>61</v>
      </c>
      <c r="L205" s="224" t="s">
        <v>58</v>
      </c>
      <c r="M205" s="225" t="s">
        <v>62</v>
      </c>
      <c r="N205" s="226" t="s">
        <v>60</v>
      </c>
      <c r="O205" s="226"/>
      <c r="P205" s="226"/>
      <c r="Q205" s="226"/>
      <c r="R205" s="226"/>
      <c r="S205" s="226"/>
      <c r="U205" s="62"/>
    </row>
    <row r="206" customFormat="false" ht="20.1" hidden="false" customHeight="true" outlineLevel="0" collapsed="false">
      <c r="B206" s="62"/>
      <c r="D206" s="380" t="s">
        <v>37</v>
      </c>
      <c r="E206" s="381" t="s">
        <v>38</v>
      </c>
      <c r="F206" s="382" t="n">
        <v>1</v>
      </c>
      <c r="G206" s="227" t="s">
        <v>63</v>
      </c>
      <c r="H206" s="228" t="s">
        <v>209</v>
      </c>
      <c r="I206" s="277" t="s">
        <v>210</v>
      </c>
      <c r="J206" s="277"/>
      <c r="K206" s="229" t="s">
        <v>111</v>
      </c>
      <c r="L206" s="76" t="s">
        <v>67</v>
      </c>
      <c r="M206" s="77" t="s">
        <v>67</v>
      </c>
      <c r="N206" s="78" t="s">
        <v>67</v>
      </c>
      <c r="O206" s="78"/>
      <c r="P206" s="78"/>
      <c r="Q206" s="78"/>
      <c r="R206" s="78"/>
      <c r="S206" s="78"/>
      <c r="U206" s="62"/>
    </row>
    <row r="207" customFormat="false" ht="45" hidden="false" customHeight="true" outlineLevel="0" collapsed="false">
      <c r="B207" s="62"/>
      <c r="D207" s="326" t="s">
        <v>45</v>
      </c>
      <c r="E207" s="34" t="s">
        <v>46</v>
      </c>
      <c r="F207" s="383" t="n">
        <v>2</v>
      </c>
      <c r="G207" s="80" t="s">
        <v>63</v>
      </c>
      <c r="H207" s="384" t="s">
        <v>109</v>
      </c>
      <c r="I207" s="328" t="s">
        <v>211</v>
      </c>
      <c r="J207" s="328"/>
      <c r="K207" s="385" t="s">
        <v>111</v>
      </c>
      <c r="L207" s="330" t="s">
        <v>67</v>
      </c>
      <c r="M207" s="331" t="s">
        <v>67</v>
      </c>
      <c r="N207" s="86" t="s">
        <v>67</v>
      </c>
      <c r="O207" s="86"/>
      <c r="P207" s="86"/>
      <c r="Q207" s="86"/>
      <c r="R207" s="86"/>
      <c r="S207" s="86"/>
      <c r="U207" s="62"/>
    </row>
    <row r="208" customFormat="false" ht="15" hidden="false" customHeight="true" outlineLevel="0" collapsed="false">
      <c r="B208" s="62"/>
      <c r="D208" s="326"/>
      <c r="E208" s="34"/>
      <c r="F208" s="383"/>
      <c r="G208" s="80"/>
      <c r="H208" s="384"/>
      <c r="I208" s="332" t="s">
        <v>212</v>
      </c>
      <c r="J208" s="332"/>
      <c r="K208" s="385"/>
      <c r="L208" s="330"/>
      <c r="M208" s="331"/>
      <c r="N208" s="86"/>
      <c r="O208" s="86"/>
      <c r="P208" s="86"/>
      <c r="Q208" s="86"/>
      <c r="R208" s="86"/>
      <c r="S208" s="86"/>
      <c r="U208" s="62"/>
    </row>
    <row r="209" customFormat="false" ht="15" hidden="false" customHeight="true" outlineLevel="0" collapsed="false">
      <c r="B209" s="62"/>
      <c r="D209" s="326"/>
      <c r="E209" s="34"/>
      <c r="F209" s="383"/>
      <c r="G209" s="80"/>
      <c r="H209" s="384"/>
      <c r="I209" s="332" t="s">
        <v>199</v>
      </c>
      <c r="J209" s="332"/>
      <c r="K209" s="385"/>
      <c r="L209" s="330"/>
      <c r="M209" s="331"/>
      <c r="N209" s="86"/>
      <c r="O209" s="86"/>
      <c r="P209" s="86"/>
      <c r="Q209" s="86"/>
      <c r="R209" s="86"/>
      <c r="S209" s="86"/>
      <c r="U209" s="62"/>
    </row>
    <row r="210" customFormat="false" ht="15" hidden="false" customHeight="true" outlineLevel="0" collapsed="false">
      <c r="B210" s="62"/>
      <c r="D210" s="326" t="s">
        <v>45</v>
      </c>
      <c r="E210" s="34" t="s">
        <v>46</v>
      </c>
      <c r="F210" s="383" t="n">
        <v>3</v>
      </c>
      <c r="G210" s="232" t="s">
        <v>63</v>
      </c>
      <c r="H210" s="355" t="s">
        <v>213</v>
      </c>
      <c r="I210" s="335" t="s">
        <v>214</v>
      </c>
      <c r="J210" s="335"/>
      <c r="K210" s="386"/>
      <c r="L210" s="387"/>
      <c r="M210" s="388"/>
      <c r="N210" s="389"/>
      <c r="O210" s="389"/>
      <c r="P210" s="389"/>
      <c r="Q210" s="389"/>
      <c r="R210" s="389"/>
      <c r="S210" s="389"/>
      <c r="U210" s="62"/>
    </row>
    <row r="211" customFormat="false" ht="15" hidden="false" customHeight="true" outlineLevel="0" collapsed="false">
      <c r="B211" s="62"/>
      <c r="D211" s="326"/>
      <c r="E211" s="34"/>
      <c r="F211" s="383"/>
      <c r="G211" s="232"/>
      <c r="H211" s="355"/>
      <c r="I211" s="338" t="s">
        <v>215</v>
      </c>
      <c r="J211" s="338"/>
      <c r="K211" s="390"/>
      <c r="L211" s="391"/>
      <c r="M211" s="392"/>
      <c r="N211" s="393"/>
      <c r="O211" s="394"/>
      <c r="P211" s="394"/>
      <c r="Q211" s="394"/>
      <c r="R211" s="394"/>
      <c r="S211" s="395"/>
      <c r="U211" s="62"/>
    </row>
    <row r="212" customFormat="false" ht="15" hidden="false" customHeight="true" outlineLevel="0" collapsed="false">
      <c r="B212" s="62"/>
      <c r="D212" s="326"/>
      <c r="E212" s="34"/>
      <c r="F212" s="383"/>
      <c r="G212" s="232"/>
      <c r="H212" s="355"/>
      <c r="I212" s="338" t="s">
        <v>216</v>
      </c>
      <c r="J212" s="338"/>
      <c r="K212" s="390"/>
      <c r="L212" s="391"/>
      <c r="M212" s="392"/>
      <c r="N212" s="393"/>
      <c r="O212" s="394"/>
      <c r="P212" s="394"/>
      <c r="Q212" s="394"/>
      <c r="R212" s="394"/>
      <c r="S212" s="395"/>
      <c r="U212" s="62"/>
    </row>
    <row r="213" customFormat="false" ht="15" hidden="false" customHeight="true" outlineLevel="0" collapsed="false">
      <c r="B213" s="62"/>
      <c r="D213" s="362" t="s">
        <v>37</v>
      </c>
      <c r="E213" s="45" t="s">
        <v>38</v>
      </c>
      <c r="F213" s="396" t="n">
        <v>4</v>
      </c>
      <c r="G213" s="358" t="s">
        <v>63</v>
      </c>
      <c r="H213" s="96" t="s">
        <v>217</v>
      </c>
      <c r="I213" s="342" t="s">
        <v>218</v>
      </c>
      <c r="J213" s="342"/>
      <c r="K213" s="397"/>
      <c r="L213" s="387"/>
      <c r="M213" s="388"/>
      <c r="N213" s="389"/>
      <c r="O213" s="389"/>
      <c r="P213" s="389"/>
      <c r="Q213" s="389"/>
      <c r="R213" s="389"/>
      <c r="S213" s="389"/>
      <c r="U213" s="62"/>
    </row>
    <row r="214" customFormat="false" ht="15" hidden="false" customHeight="true" outlineLevel="0" collapsed="false">
      <c r="B214" s="62"/>
      <c r="D214" s="362"/>
      <c r="E214" s="45"/>
      <c r="F214" s="396"/>
      <c r="G214" s="358"/>
      <c r="H214" s="96"/>
      <c r="I214" s="348" t="s">
        <v>219</v>
      </c>
      <c r="J214" s="348"/>
      <c r="K214" s="398"/>
      <c r="L214" s="399"/>
      <c r="M214" s="400"/>
      <c r="N214" s="401"/>
      <c r="O214" s="401"/>
      <c r="P214" s="401"/>
      <c r="Q214" s="401"/>
      <c r="R214" s="401"/>
      <c r="S214" s="402"/>
      <c r="U214" s="62"/>
    </row>
    <row r="215" customFormat="false" ht="20.1" hidden="false" customHeight="true" outlineLevel="0" collapsed="false">
      <c r="B215" s="62"/>
      <c r="U215" s="62"/>
    </row>
    <row r="216" customFormat="false" ht="20.1" hidden="false" customHeight="true" outlineLevel="0" collapsed="false">
      <c r="B216" s="62"/>
      <c r="C216" s="101"/>
      <c r="D216" s="101"/>
      <c r="E216" s="102" t="str">
        <f aca="false">IF(OR(L206="-",L206= ""),H206,L206)</f>
        <v>Patchwork</v>
      </c>
      <c r="F216" s="102"/>
      <c r="G216" s="102"/>
      <c r="H216" s="102"/>
      <c r="I216" s="102"/>
      <c r="J216" s="102"/>
      <c r="K216" s="102"/>
      <c r="L216" s="102"/>
      <c r="M216" s="102"/>
      <c r="N216" s="102"/>
      <c r="O216" s="103"/>
      <c r="P216" s="103"/>
      <c r="Q216" s="103"/>
      <c r="R216" s="103"/>
      <c r="S216" s="103"/>
      <c r="T216" s="101"/>
      <c r="U216" s="62"/>
    </row>
    <row r="217" customFormat="false" ht="50.1" hidden="false" customHeight="true" outlineLevel="0" collapsed="false">
      <c r="B217" s="62"/>
      <c r="C217" s="101"/>
      <c r="D217" s="103"/>
      <c r="E217" s="65" t="s">
        <v>53</v>
      </c>
      <c r="F217" s="104" t="s">
        <v>76</v>
      </c>
      <c r="G217" s="67" t="s">
        <v>77</v>
      </c>
      <c r="H217" s="66" t="s">
        <v>78</v>
      </c>
      <c r="I217" s="54" t="s">
        <v>79</v>
      </c>
      <c r="J217" s="66" t="s">
        <v>80</v>
      </c>
      <c r="K217" s="105" t="s">
        <v>81</v>
      </c>
      <c r="L217" s="66" t="s">
        <v>82</v>
      </c>
      <c r="M217" s="106" t="s">
        <v>83</v>
      </c>
      <c r="N217" s="67" t="s">
        <v>84</v>
      </c>
      <c r="O217" s="107" t="s">
        <v>85</v>
      </c>
      <c r="P217" s="108" t="s">
        <v>86</v>
      </c>
      <c r="Q217" s="103"/>
      <c r="R217" s="103"/>
      <c r="S217" s="103"/>
      <c r="T217" s="101"/>
      <c r="U217" s="62"/>
    </row>
    <row r="218" customFormat="false" ht="20.1" hidden="false" customHeight="true" outlineLevel="0" collapsed="false">
      <c r="B218" s="62"/>
      <c r="C218" s="101"/>
      <c r="D218" s="124"/>
      <c r="E218" s="403" t="s">
        <v>37</v>
      </c>
      <c r="F218" s="404" t="s">
        <v>38</v>
      </c>
      <c r="G218" s="111" t="n">
        <v>1</v>
      </c>
      <c r="H218" s="111" t="s">
        <v>67</v>
      </c>
      <c r="I218" s="111" t="n">
        <v>0</v>
      </c>
      <c r="J218" s="111" t="n">
        <v>18</v>
      </c>
      <c r="K218" s="111" t="s">
        <v>67</v>
      </c>
      <c r="L218" s="113" t="n">
        <f aca="false">IF(J218="",0,(J218/J220)*100)</f>
        <v>100</v>
      </c>
      <c r="M218" s="111" t="n">
        <v>1</v>
      </c>
      <c r="N218" s="114" t="n">
        <v>6</v>
      </c>
      <c r="O218" s="116" t="n">
        <f aca="false">IF(M218=1,1,0)</f>
        <v>1</v>
      </c>
      <c r="P218" s="117" t="n">
        <f aca="false">IF(M218=2,1,0)</f>
        <v>0</v>
      </c>
      <c r="Q218" s="118"/>
      <c r="R218" s="118"/>
      <c r="S218" s="118"/>
      <c r="T218" s="101"/>
      <c r="U218" s="62"/>
    </row>
    <row r="219" customFormat="false" ht="20.1" hidden="false" customHeight="true" outlineLevel="0" collapsed="false">
      <c r="B219" s="62"/>
      <c r="C219" s="101"/>
      <c r="D219" s="101"/>
      <c r="E219" s="234" t="s">
        <v>45</v>
      </c>
      <c r="F219" s="405" t="s">
        <v>46</v>
      </c>
      <c r="G219" s="245" t="n">
        <v>2</v>
      </c>
      <c r="H219" s="245" t="s">
        <v>67</v>
      </c>
      <c r="I219" s="245" t="n">
        <v>0</v>
      </c>
      <c r="J219" s="245" t="n">
        <v>17</v>
      </c>
      <c r="K219" s="246" t="s">
        <v>67</v>
      </c>
      <c r="L219" s="247" t="n">
        <f aca="false">IF(J219="",0,(J219/J220)*100)</f>
        <v>94.4444444444444</v>
      </c>
      <c r="M219" s="245" t="n">
        <v>2</v>
      </c>
      <c r="N219" s="248" t="n">
        <v>0</v>
      </c>
      <c r="O219" s="128" t="n">
        <f aca="false">IF(M219=1,1,0)</f>
        <v>0</v>
      </c>
      <c r="P219" s="129" t="n">
        <f aca="false">IF(M219=2,1,0)</f>
        <v>1</v>
      </c>
      <c r="Q219" s="118"/>
      <c r="R219" s="118"/>
      <c r="S219" s="118"/>
      <c r="T219" s="101"/>
      <c r="U219" s="62"/>
    </row>
    <row r="220" customFormat="false" ht="20.1" hidden="true" customHeight="true" outlineLevel="1" collapsed="false">
      <c r="B220" s="62"/>
      <c r="C220" s="101"/>
      <c r="D220" s="124"/>
      <c r="E220" s="124"/>
      <c r="F220" s="131"/>
      <c r="G220" s="131"/>
      <c r="H220" s="101"/>
      <c r="I220" s="179" t="s">
        <v>89</v>
      </c>
      <c r="J220" s="133" t="n">
        <f aca="false">MAX(J218:J219)</f>
        <v>18</v>
      </c>
      <c r="K220" s="249"/>
      <c r="L220" s="139"/>
      <c r="M220" s="101"/>
      <c r="N220" s="136" t="s">
        <v>90</v>
      </c>
      <c r="O220" s="137" t="n">
        <f aca="false">SUM(O218:O219)</f>
        <v>1</v>
      </c>
      <c r="P220" s="160" t="n">
        <f aca="false">SUM(P218:P219)</f>
        <v>1</v>
      </c>
      <c r="Q220" s="139"/>
      <c r="R220" s="139"/>
      <c r="S220" s="139"/>
      <c r="T220" s="101"/>
      <c r="U220" s="62"/>
    </row>
    <row r="221" customFormat="false" ht="20.1" hidden="false" customHeight="true" outlineLevel="0" collapsed="false">
      <c r="B221" s="62"/>
      <c r="C221" s="101"/>
      <c r="D221" s="101"/>
      <c r="E221" s="101"/>
      <c r="F221" s="101"/>
      <c r="G221" s="101"/>
      <c r="H221" s="101"/>
      <c r="I221" s="101"/>
      <c r="J221" s="101"/>
      <c r="K221" s="101"/>
      <c r="L221" s="101"/>
      <c r="M221" s="101"/>
      <c r="N221" s="101"/>
      <c r="O221" s="101"/>
      <c r="P221" s="101"/>
      <c r="Q221" s="101"/>
      <c r="R221" s="101"/>
      <c r="S221" s="101"/>
      <c r="T221" s="101"/>
      <c r="U221" s="62"/>
    </row>
    <row r="222" customFormat="false" ht="20.1" hidden="false" customHeight="true" outlineLevel="0" collapsed="false">
      <c r="B222" s="62"/>
      <c r="U222" s="62"/>
    </row>
    <row r="223" customFormat="false" ht="20.1" hidden="false" customHeight="true" outlineLevel="0" collapsed="false">
      <c r="B223" s="62"/>
      <c r="C223" s="141"/>
      <c r="D223" s="141"/>
      <c r="E223" s="142" t="str">
        <f aca="false">IF(OR(L207="-",L207= ""),H207,L207)</f>
        <v>Die Burgen von Burgund</v>
      </c>
      <c r="F223" s="142"/>
      <c r="G223" s="142"/>
      <c r="H223" s="142"/>
      <c r="I223" s="142"/>
      <c r="J223" s="142"/>
      <c r="K223" s="142"/>
      <c r="L223" s="142"/>
      <c r="M223" s="142"/>
      <c r="N223" s="142"/>
      <c r="O223" s="143"/>
      <c r="P223" s="143"/>
      <c r="Q223" s="143"/>
      <c r="R223" s="143"/>
      <c r="S223" s="143"/>
      <c r="T223" s="141"/>
      <c r="U223" s="62"/>
    </row>
    <row r="224" customFormat="false" ht="50.1" hidden="false" customHeight="true" outlineLevel="0" collapsed="false">
      <c r="B224" s="62"/>
      <c r="C224" s="141"/>
      <c r="D224" s="143"/>
      <c r="E224" s="65" t="s">
        <v>53</v>
      </c>
      <c r="F224" s="104" t="s">
        <v>76</v>
      </c>
      <c r="G224" s="67" t="s">
        <v>77</v>
      </c>
      <c r="H224" s="66" t="s">
        <v>78</v>
      </c>
      <c r="I224" s="54" t="s">
        <v>79</v>
      </c>
      <c r="J224" s="66" t="s">
        <v>80</v>
      </c>
      <c r="K224" s="105" t="s">
        <v>81</v>
      </c>
      <c r="L224" s="66" t="s">
        <v>82</v>
      </c>
      <c r="M224" s="106" t="s">
        <v>83</v>
      </c>
      <c r="N224" s="67" t="s">
        <v>84</v>
      </c>
      <c r="O224" s="107" t="s">
        <v>85</v>
      </c>
      <c r="P224" s="108" t="s">
        <v>86</v>
      </c>
      <c r="Q224" s="143"/>
      <c r="R224" s="143"/>
      <c r="S224" s="143"/>
      <c r="T224" s="141"/>
      <c r="U224" s="62"/>
    </row>
    <row r="225" customFormat="false" ht="20.1" hidden="false" customHeight="true" outlineLevel="0" collapsed="false">
      <c r="B225" s="62"/>
      <c r="C225" s="141"/>
      <c r="D225" s="148"/>
      <c r="E225" s="403" t="s">
        <v>37</v>
      </c>
      <c r="F225" s="404" t="s">
        <v>38</v>
      </c>
      <c r="G225" s="111" t="n">
        <v>1</v>
      </c>
      <c r="H225" s="112" t="s">
        <v>220</v>
      </c>
      <c r="I225" s="111" t="n">
        <v>0</v>
      </c>
      <c r="J225" s="112" t="n">
        <v>222</v>
      </c>
      <c r="K225" s="406" t="s">
        <v>67</v>
      </c>
      <c r="L225" s="113" t="n">
        <f aca="false">IF(J225="",0,(J225/J227)*100)</f>
        <v>100</v>
      </c>
      <c r="M225" s="111" t="n">
        <v>1</v>
      </c>
      <c r="N225" s="114" t="n">
        <v>6</v>
      </c>
      <c r="O225" s="116" t="n">
        <f aca="false">IF(M225=1,1,0)</f>
        <v>1</v>
      </c>
      <c r="P225" s="117" t="n">
        <f aca="false">IF(M225=2,1,0)</f>
        <v>0</v>
      </c>
      <c r="Q225" s="147"/>
      <c r="R225" s="147"/>
      <c r="S225" s="147"/>
      <c r="T225" s="141"/>
      <c r="U225" s="62"/>
    </row>
    <row r="226" customFormat="false" ht="20.1" hidden="false" customHeight="true" outlineLevel="0" collapsed="false">
      <c r="B226" s="62"/>
      <c r="C226" s="141"/>
      <c r="D226" s="141"/>
      <c r="E226" s="234" t="s">
        <v>45</v>
      </c>
      <c r="F226" s="405" t="s">
        <v>46</v>
      </c>
      <c r="G226" s="245" t="n">
        <v>2</v>
      </c>
      <c r="H226" s="246" t="s">
        <v>147</v>
      </c>
      <c r="I226" s="245" t="n">
        <v>0</v>
      </c>
      <c r="J226" s="246" t="n">
        <v>172</v>
      </c>
      <c r="K226" s="246" t="s">
        <v>67</v>
      </c>
      <c r="L226" s="247" t="n">
        <f aca="false">IF(J226="",0,(J226/J227)*100)</f>
        <v>77.4774774774775</v>
      </c>
      <c r="M226" s="245" t="n">
        <v>2</v>
      </c>
      <c r="N226" s="248" t="n">
        <v>0</v>
      </c>
      <c r="O226" s="128" t="n">
        <f aca="false">IF(M226=1,1,0)</f>
        <v>0</v>
      </c>
      <c r="P226" s="129" t="n">
        <f aca="false">IF(M226=2,1,0)</f>
        <v>1</v>
      </c>
      <c r="Q226" s="147"/>
      <c r="R226" s="147"/>
      <c r="S226" s="147"/>
      <c r="T226" s="141"/>
      <c r="U226" s="62"/>
    </row>
    <row r="227" customFormat="false" ht="20.1" hidden="true" customHeight="true" outlineLevel="1" collapsed="false">
      <c r="B227" s="62"/>
      <c r="C227" s="141"/>
      <c r="D227" s="141"/>
      <c r="E227" s="141"/>
      <c r="F227" s="157"/>
      <c r="G227" s="157"/>
      <c r="H227" s="141"/>
      <c r="I227" s="179" t="s">
        <v>89</v>
      </c>
      <c r="J227" s="133" t="n">
        <f aca="false">MAX(J225:J226)</f>
        <v>222</v>
      </c>
      <c r="K227" s="159"/>
      <c r="L227" s="147"/>
      <c r="M227" s="141"/>
      <c r="N227" s="136" t="s">
        <v>90</v>
      </c>
      <c r="O227" s="137" t="n">
        <f aca="false">SUM(O225:O226)</f>
        <v>1</v>
      </c>
      <c r="P227" s="160" t="n">
        <f aca="false">SUM(P225:P226)</f>
        <v>1</v>
      </c>
      <c r="Q227" s="161"/>
      <c r="R227" s="161"/>
      <c r="S227" s="161"/>
      <c r="T227" s="141"/>
      <c r="U227" s="62"/>
    </row>
    <row r="228" customFormat="false" ht="20.1" hidden="false" customHeight="true" outlineLevel="0" collapsed="false">
      <c r="B228" s="62"/>
      <c r="C228" s="141"/>
      <c r="D228" s="141"/>
      <c r="E228" s="141"/>
      <c r="F228" s="141"/>
      <c r="G228" s="141"/>
      <c r="H228" s="141"/>
      <c r="I228" s="141"/>
      <c r="J228" s="141"/>
      <c r="K228" s="141"/>
      <c r="L228" s="141"/>
      <c r="M228" s="141"/>
      <c r="N228" s="141"/>
      <c r="O228" s="141"/>
      <c r="P228" s="141"/>
      <c r="Q228" s="141"/>
      <c r="R228" s="141"/>
      <c r="S228" s="141"/>
      <c r="T228" s="141"/>
      <c r="U228" s="62"/>
    </row>
    <row r="229" customFormat="false" ht="20.1" hidden="false" customHeight="true" outlineLevel="0" collapsed="false">
      <c r="B229" s="62"/>
      <c r="D229" s="162"/>
      <c r="E229" s="162"/>
      <c r="F229" s="162"/>
      <c r="G229" s="162"/>
      <c r="H229" s="163"/>
      <c r="I229" s="162"/>
      <c r="J229" s="162"/>
      <c r="U229" s="62"/>
    </row>
    <row r="230" customFormat="false" ht="20.1" hidden="false" customHeight="true" outlineLevel="0" collapsed="false">
      <c r="B230" s="62"/>
      <c r="C230" s="164"/>
      <c r="D230" s="164"/>
      <c r="E230" s="165" t="str">
        <f aca="false">IF(OR(L210="-",L210= ""),H210,L210)</f>
        <v>Azul</v>
      </c>
      <c r="F230" s="165"/>
      <c r="G230" s="165"/>
      <c r="H230" s="165"/>
      <c r="I230" s="165"/>
      <c r="J230" s="165"/>
      <c r="K230" s="165"/>
      <c r="L230" s="165"/>
      <c r="M230" s="165"/>
      <c r="N230" s="165"/>
      <c r="O230" s="166"/>
      <c r="P230" s="166"/>
      <c r="Q230" s="166"/>
      <c r="R230" s="166"/>
      <c r="S230" s="166"/>
      <c r="T230" s="164"/>
      <c r="U230" s="167"/>
    </row>
    <row r="231" customFormat="false" ht="50.1" hidden="false" customHeight="true" outlineLevel="0" collapsed="false">
      <c r="B231" s="62"/>
      <c r="C231" s="164"/>
      <c r="D231" s="166"/>
      <c r="E231" s="65" t="s">
        <v>53</v>
      </c>
      <c r="F231" s="104" t="s">
        <v>76</v>
      </c>
      <c r="G231" s="67" t="s">
        <v>77</v>
      </c>
      <c r="H231" s="66" t="s">
        <v>78</v>
      </c>
      <c r="I231" s="54" t="s">
        <v>79</v>
      </c>
      <c r="J231" s="66" t="s">
        <v>80</v>
      </c>
      <c r="K231" s="105" t="s">
        <v>81</v>
      </c>
      <c r="L231" s="66" t="s">
        <v>82</v>
      </c>
      <c r="M231" s="106" t="s">
        <v>83</v>
      </c>
      <c r="N231" s="67" t="s">
        <v>84</v>
      </c>
      <c r="O231" s="107" t="s">
        <v>85</v>
      </c>
      <c r="P231" s="108" t="s">
        <v>86</v>
      </c>
      <c r="Q231" s="166"/>
      <c r="R231" s="166"/>
      <c r="S231" s="166"/>
      <c r="T231" s="164"/>
      <c r="U231" s="167"/>
    </row>
    <row r="232" customFormat="false" ht="20.1" hidden="false" customHeight="true" outlineLevel="0" collapsed="false">
      <c r="B232" s="62"/>
      <c r="C232" s="164"/>
      <c r="D232" s="171"/>
      <c r="E232" s="403" t="s">
        <v>37</v>
      </c>
      <c r="F232" s="404" t="s">
        <v>38</v>
      </c>
      <c r="G232" s="111" t="n">
        <v>1</v>
      </c>
      <c r="H232" s="112" t="s">
        <v>67</v>
      </c>
      <c r="I232" s="111" t="n">
        <v>0</v>
      </c>
      <c r="J232" s="112" t="n">
        <v>65</v>
      </c>
      <c r="K232" s="111" t="s">
        <v>67</v>
      </c>
      <c r="L232" s="113" t="n">
        <f aca="false">IF(J232="",0,(J232/J234)*100)</f>
        <v>100</v>
      </c>
      <c r="M232" s="111" t="n">
        <v>1</v>
      </c>
      <c r="N232" s="114" t="n">
        <v>6</v>
      </c>
      <c r="O232" s="116" t="n">
        <f aca="false">IF(M232=1,1,0)</f>
        <v>1</v>
      </c>
      <c r="P232" s="117" t="n">
        <f aca="false">IF(M232=2,1,0)</f>
        <v>0</v>
      </c>
      <c r="Q232" s="170"/>
      <c r="R232" s="170"/>
      <c r="S232" s="170"/>
      <c r="T232" s="164"/>
      <c r="U232" s="62"/>
    </row>
    <row r="233" customFormat="false" ht="20.1" hidden="false" customHeight="true" outlineLevel="0" collapsed="false">
      <c r="B233" s="62"/>
      <c r="C233" s="164"/>
      <c r="D233" s="164"/>
      <c r="E233" s="234" t="s">
        <v>45</v>
      </c>
      <c r="F233" s="405" t="s">
        <v>46</v>
      </c>
      <c r="G233" s="245" t="n">
        <v>2</v>
      </c>
      <c r="H233" s="246" t="s">
        <v>67</v>
      </c>
      <c r="I233" s="245" t="n">
        <v>0</v>
      </c>
      <c r="J233" s="246" t="n">
        <v>53</v>
      </c>
      <c r="K233" s="246" t="s">
        <v>67</v>
      </c>
      <c r="L233" s="247" t="n">
        <f aca="false">IF(J233="",0,(J233/J234)*100)</f>
        <v>81.5384615384615</v>
      </c>
      <c r="M233" s="245" t="n">
        <v>2</v>
      </c>
      <c r="N233" s="248" t="n">
        <v>0</v>
      </c>
      <c r="O233" s="128" t="n">
        <f aca="false">IF(M233=1,1,0)</f>
        <v>0</v>
      </c>
      <c r="P233" s="129" t="n">
        <f aca="false">IF(M233=2,1,0)</f>
        <v>1</v>
      </c>
      <c r="Q233" s="170"/>
      <c r="R233" s="170"/>
      <c r="S233" s="170"/>
      <c r="T233" s="164"/>
      <c r="U233" s="173"/>
    </row>
    <row r="234" customFormat="false" ht="20.1" hidden="true" customHeight="true" outlineLevel="1" collapsed="false">
      <c r="B234" s="62"/>
      <c r="C234" s="164"/>
      <c r="D234" s="164"/>
      <c r="E234" s="164"/>
      <c r="F234" s="178"/>
      <c r="G234" s="178"/>
      <c r="H234" s="164"/>
      <c r="I234" s="179" t="s">
        <v>89</v>
      </c>
      <c r="J234" s="133" t="n">
        <f aca="false">MAX(J232:J233)</f>
        <v>65</v>
      </c>
      <c r="K234" s="180"/>
      <c r="L234" s="170"/>
      <c r="M234" s="164"/>
      <c r="N234" s="136" t="s">
        <v>90</v>
      </c>
      <c r="O234" s="137" t="n">
        <f aca="false">SUM(O232:O233)</f>
        <v>1</v>
      </c>
      <c r="P234" s="160" t="n">
        <f aca="false">SUM(P232:P233)</f>
        <v>1</v>
      </c>
      <c r="Q234" s="181"/>
      <c r="R234" s="181"/>
      <c r="S234" s="181"/>
      <c r="T234" s="164"/>
      <c r="U234" s="173"/>
    </row>
    <row r="235" customFormat="false" ht="20.1" hidden="false" customHeight="true" outlineLevel="0" collapsed="false">
      <c r="B235" s="62"/>
      <c r="C235" s="164"/>
      <c r="D235" s="164"/>
      <c r="E235" s="164"/>
      <c r="F235" s="164"/>
      <c r="G235" s="164"/>
      <c r="H235" s="164"/>
      <c r="I235" s="164"/>
      <c r="J235" s="164"/>
      <c r="K235" s="164"/>
      <c r="L235" s="164"/>
      <c r="M235" s="164"/>
      <c r="N235" s="164"/>
      <c r="O235" s="164"/>
      <c r="P235" s="164"/>
      <c r="Q235" s="164"/>
      <c r="R235" s="164"/>
      <c r="S235" s="164"/>
      <c r="T235" s="164"/>
      <c r="U235" s="173"/>
    </row>
    <row r="236" customFormat="false" ht="20.1" hidden="false" customHeight="true" outlineLevel="0" collapsed="false">
      <c r="B236" s="62"/>
      <c r="D236" s="162"/>
      <c r="E236" s="162"/>
      <c r="F236" s="162"/>
      <c r="G236" s="162"/>
      <c r="H236" s="163"/>
      <c r="I236" s="162"/>
      <c r="J236" s="162"/>
      <c r="K236" s="162"/>
      <c r="U236" s="62"/>
    </row>
    <row r="237" customFormat="false" ht="20.1" hidden="false" customHeight="true" outlineLevel="0" collapsed="false">
      <c r="B237" s="62"/>
      <c r="C237" s="182"/>
      <c r="D237" s="182"/>
      <c r="E237" s="183" t="str">
        <f aca="false">IF(OR(L213="-",L213= ""),H213,L213)</f>
        <v>Dice Hospital</v>
      </c>
      <c r="F237" s="183"/>
      <c r="G237" s="183"/>
      <c r="H237" s="183"/>
      <c r="I237" s="183"/>
      <c r="J237" s="183"/>
      <c r="K237" s="183"/>
      <c r="L237" s="183"/>
      <c r="M237" s="183"/>
      <c r="N237" s="183"/>
      <c r="O237" s="184"/>
      <c r="P237" s="184"/>
      <c r="Q237" s="184"/>
      <c r="R237" s="184"/>
      <c r="S237" s="184"/>
      <c r="T237" s="182"/>
      <c r="U237" s="62"/>
    </row>
    <row r="238" customFormat="false" ht="50.1" hidden="false" customHeight="true" outlineLevel="0" collapsed="false">
      <c r="B238" s="62"/>
      <c r="C238" s="182"/>
      <c r="D238" s="184"/>
      <c r="E238" s="65" t="s">
        <v>53</v>
      </c>
      <c r="F238" s="104" t="s">
        <v>76</v>
      </c>
      <c r="G238" s="67" t="s">
        <v>77</v>
      </c>
      <c r="H238" s="66" t="s">
        <v>78</v>
      </c>
      <c r="I238" s="54" t="s">
        <v>79</v>
      </c>
      <c r="J238" s="66" t="s">
        <v>80</v>
      </c>
      <c r="K238" s="105" t="s">
        <v>81</v>
      </c>
      <c r="L238" s="66" t="s">
        <v>82</v>
      </c>
      <c r="M238" s="106" t="s">
        <v>83</v>
      </c>
      <c r="N238" s="67" t="s">
        <v>84</v>
      </c>
      <c r="O238" s="107" t="s">
        <v>85</v>
      </c>
      <c r="P238" s="108" t="s">
        <v>86</v>
      </c>
      <c r="Q238" s="184"/>
      <c r="R238" s="184"/>
      <c r="S238" s="184"/>
      <c r="T238" s="182"/>
      <c r="U238" s="62"/>
    </row>
    <row r="239" customFormat="false" ht="20.1" hidden="false" customHeight="true" outlineLevel="0" collapsed="false">
      <c r="B239" s="62"/>
      <c r="C239" s="182"/>
      <c r="D239" s="182"/>
      <c r="E239" s="403" t="s">
        <v>37</v>
      </c>
      <c r="F239" s="404" t="s">
        <v>38</v>
      </c>
      <c r="G239" s="111" t="n">
        <v>1</v>
      </c>
      <c r="H239" s="111" t="s">
        <v>221</v>
      </c>
      <c r="I239" s="111" t="n">
        <v>0</v>
      </c>
      <c r="J239" s="111" t="n">
        <v>47</v>
      </c>
      <c r="K239" s="111" t="s">
        <v>67</v>
      </c>
      <c r="L239" s="113" t="n">
        <f aca="false">IF(J239="",0,(J239/J241)*100)</f>
        <v>100</v>
      </c>
      <c r="M239" s="111" t="n">
        <v>1</v>
      </c>
      <c r="N239" s="114" t="n">
        <v>6</v>
      </c>
      <c r="O239" s="116" t="n">
        <f aca="false">IF(M239=1,1,0)</f>
        <v>1</v>
      </c>
      <c r="P239" s="117" t="n">
        <f aca="false">IF(M239=2,1,0)</f>
        <v>0</v>
      </c>
      <c r="Q239" s="185"/>
      <c r="R239" s="185"/>
      <c r="S239" s="185"/>
      <c r="T239" s="182"/>
      <c r="U239" s="62"/>
    </row>
    <row r="240" customFormat="false" ht="20.1" hidden="false" customHeight="true" outlineLevel="0" collapsed="false">
      <c r="B240" s="62"/>
      <c r="C240" s="182"/>
      <c r="D240" s="182"/>
      <c r="E240" s="234" t="s">
        <v>45</v>
      </c>
      <c r="F240" s="405" t="s">
        <v>46</v>
      </c>
      <c r="G240" s="245" t="n">
        <v>2</v>
      </c>
      <c r="H240" s="245" t="s">
        <v>222</v>
      </c>
      <c r="I240" s="245" t="n">
        <v>0</v>
      </c>
      <c r="J240" s="245" t="n">
        <v>38</v>
      </c>
      <c r="K240" s="246" t="s">
        <v>67</v>
      </c>
      <c r="L240" s="247" t="n">
        <f aca="false">IF(J240="",0,(J240/J241)*100)</f>
        <v>80.8510638297872</v>
      </c>
      <c r="M240" s="245" t="n">
        <v>2</v>
      </c>
      <c r="N240" s="248" t="n">
        <v>0</v>
      </c>
      <c r="O240" s="128" t="n">
        <f aca="false">IF(M240=1,1,0)</f>
        <v>0</v>
      </c>
      <c r="P240" s="129" t="n">
        <f aca="false">IF(M240=2,1,0)</f>
        <v>1</v>
      </c>
      <c r="Q240" s="185"/>
      <c r="R240" s="185"/>
      <c r="S240" s="185"/>
      <c r="T240" s="182"/>
      <c r="U240" s="62"/>
    </row>
    <row r="241" customFormat="false" ht="20.1" hidden="true" customHeight="true" outlineLevel="1" collapsed="false">
      <c r="B241" s="62"/>
      <c r="C241" s="182"/>
      <c r="D241" s="182"/>
      <c r="E241" s="182"/>
      <c r="F241" s="187"/>
      <c r="G241" s="187"/>
      <c r="H241" s="182"/>
      <c r="I241" s="179" t="s">
        <v>89</v>
      </c>
      <c r="J241" s="133" t="n">
        <f aca="false">MAX(J239:J240)</f>
        <v>47</v>
      </c>
      <c r="K241" s="188"/>
      <c r="L241" s="185"/>
      <c r="M241" s="182"/>
      <c r="N241" s="136" t="s">
        <v>90</v>
      </c>
      <c r="O241" s="137" t="n">
        <f aca="false">SUM(O239:O240)</f>
        <v>1</v>
      </c>
      <c r="P241" s="160" t="n">
        <f aca="false">SUM(P239:P240)</f>
        <v>1</v>
      </c>
      <c r="Q241" s="189"/>
      <c r="R241" s="189"/>
      <c r="S241" s="189"/>
      <c r="T241" s="182"/>
      <c r="U241" s="62"/>
    </row>
    <row r="242" customFormat="false" ht="20.1" hidden="false" customHeight="true" outlineLevel="0" collapsed="false">
      <c r="B242" s="62"/>
      <c r="C242" s="182"/>
      <c r="D242" s="182"/>
      <c r="E242" s="182"/>
      <c r="F242" s="182"/>
      <c r="G242" s="182"/>
      <c r="H242" s="182"/>
      <c r="I242" s="182"/>
      <c r="J242" s="182"/>
      <c r="K242" s="182"/>
      <c r="L242" s="182"/>
      <c r="M242" s="182"/>
      <c r="N242" s="182"/>
      <c r="O242" s="182"/>
      <c r="P242" s="182"/>
      <c r="Q242" s="182"/>
      <c r="R242" s="182"/>
      <c r="S242" s="182"/>
      <c r="T242" s="182"/>
      <c r="U242" s="62"/>
    </row>
    <row r="243" customFormat="false" ht="20.1" hidden="false" customHeight="true" outlineLevel="0" collapsed="false">
      <c r="B243" s="62"/>
      <c r="D243" s="5"/>
      <c r="E243" s="5"/>
      <c r="F243" s="5"/>
      <c r="G243" s="5"/>
      <c r="H243" s="5"/>
      <c r="I243" s="5"/>
      <c r="J243" s="5"/>
      <c r="U243" s="62"/>
    </row>
    <row r="244" customFormat="false" ht="30" hidden="false" customHeight="true" outlineLevel="0" collapsed="false">
      <c r="B244" s="62"/>
      <c r="C244" s="190"/>
      <c r="D244" s="371"/>
      <c r="E244" s="191" t="s">
        <v>166</v>
      </c>
      <c r="F244" s="191"/>
      <c r="G244" s="191"/>
      <c r="H244" s="191"/>
      <c r="I244" s="191"/>
      <c r="J244" s="191"/>
      <c r="K244" s="191"/>
      <c r="L244" s="191"/>
      <c r="M244" s="191"/>
      <c r="N244" s="191"/>
      <c r="O244" s="371"/>
      <c r="P244" s="371"/>
      <c r="Q244" s="371"/>
      <c r="R244" s="371"/>
      <c r="S244" s="371"/>
      <c r="T244" s="190"/>
      <c r="U244" s="62"/>
    </row>
    <row r="245" customFormat="false" ht="50.1" hidden="false" customHeight="true" outlineLevel="0" collapsed="false">
      <c r="B245" s="62"/>
      <c r="C245" s="190"/>
      <c r="D245" s="190"/>
      <c r="E245" s="192" t="s">
        <v>53</v>
      </c>
      <c r="F245" s="193" t="s">
        <v>150</v>
      </c>
      <c r="G245" s="194" t="s">
        <v>84</v>
      </c>
      <c r="H245" s="195" t="s">
        <v>100</v>
      </c>
      <c r="I245" s="196" t="s">
        <v>101</v>
      </c>
      <c r="J245" s="196"/>
      <c r="K245" s="197" t="s">
        <v>102</v>
      </c>
      <c r="L245" s="198" t="s">
        <v>103</v>
      </c>
      <c r="M245" s="194" t="s">
        <v>104</v>
      </c>
      <c r="N245" s="193" t="s">
        <v>107</v>
      </c>
      <c r="O245" s="372"/>
      <c r="P245" s="373"/>
      <c r="Q245" s="373"/>
      <c r="R245" s="373"/>
      <c r="S245" s="372"/>
      <c r="T245" s="190"/>
      <c r="U245" s="62"/>
    </row>
    <row r="246" customFormat="false" ht="20.1" hidden="false" customHeight="true" outlineLevel="0" collapsed="false">
      <c r="B246" s="62"/>
      <c r="C246" s="190"/>
      <c r="D246" s="190"/>
      <c r="E246" s="407" t="s">
        <v>37</v>
      </c>
      <c r="F246" s="374" t="s">
        <v>38</v>
      </c>
      <c r="G246" s="258" t="n">
        <f aca="false">L246*6+M246*0</f>
        <v>24</v>
      </c>
      <c r="H246" s="259" t="n">
        <v>0</v>
      </c>
      <c r="I246" s="259" t="s">
        <v>67</v>
      </c>
      <c r="J246" s="259"/>
      <c r="K246" s="258" t="n">
        <f aca="false">G246+H246</f>
        <v>24</v>
      </c>
      <c r="L246" s="258" t="n">
        <v>4</v>
      </c>
      <c r="M246" s="258" t="n">
        <v>0</v>
      </c>
      <c r="N246" s="261" t="n">
        <f aca="false">(L218+L225+L232+L239)/4</f>
        <v>100</v>
      </c>
      <c r="O246" s="376"/>
      <c r="P246" s="377"/>
      <c r="Q246" s="377"/>
      <c r="R246" s="377"/>
      <c r="S246" s="408"/>
      <c r="T246" s="190"/>
      <c r="U246" s="62"/>
    </row>
    <row r="247" customFormat="false" ht="20.1" hidden="false" customHeight="true" outlineLevel="0" collapsed="false">
      <c r="B247" s="62"/>
      <c r="C247" s="190"/>
      <c r="D247" s="190"/>
      <c r="E247" s="270" t="s">
        <v>45</v>
      </c>
      <c r="F247" s="409" t="s">
        <v>46</v>
      </c>
      <c r="G247" s="271" t="n">
        <f aca="false">L247*6+M247*0</f>
        <v>0</v>
      </c>
      <c r="H247" s="272" t="n">
        <v>0</v>
      </c>
      <c r="I247" s="272" t="s">
        <v>67</v>
      </c>
      <c r="J247" s="272"/>
      <c r="K247" s="271" t="n">
        <f aca="false">G247+H247</f>
        <v>0</v>
      </c>
      <c r="L247" s="271" t="n">
        <v>0</v>
      </c>
      <c r="M247" s="271" t="n">
        <v>4</v>
      </c>
      <c r="N247" s="274" t="n">
        <f aca="false">(L219+L226+L233+L240)/4</f>
        <v>83.5778618225427</v>
      </c>
      <c r="O247" s="376"/>
      <c r="P247" s="377"/>
      <c r="Q247" s="377"/>
      <c r="R247" s="377"/>
      <c r="S247" s="408"/>
      <c r="T247" s="190"/>
      <c r="U247" s="62"/>
    </row>
    <row r="248" customFormat="false" ht="20.1" hidden="false" customHeight="true" outlineLevel="0" collapsed="false">
      <c r="B248" s="62"/>
      <c r="C248" s="190"/>
      <c r="D248" s="190"/>
      <c r="E248" s="190"/>
      <c r="F248" s="275"/>
      <c r="G248" s="275"/>
      <c r="H248" s="275"/>
      <c r="I248" s="275"/>
      <c r="J248" s="275"/>
      <c r="K248" s="275"/>
      <c r="L248" s="275"/>
      <c r="M248" s="275"/>
      <c r="N248" s="275"/>
      <c r="O248" s="275"/>
      <c r="P248" s="275"/>
      <c r="Q248" s="275"/>
      <c r="R248" s="275"/>
      <c r="S248" s="275"/>
      <c r="T248" s="190"/>
      <c r="U248" s="62"/>
    </row>
    <row r="249" customFormat="false" ht="20.1" hidden="false" customHeight="true" outlineLevel="0" collapsed="false">
      <c r="B249" s="62"/>
      <c r="C249" s="62"/>
      <c r="D249" s="219"/>
      <c r="E249" s="219"/>
      <c r="F249" s="167"/>
      <c r="G249" s="167"/>
      <c r="H249" s="219"/>
      <c r="I249" s="219"/>
      <c r="J249" s="219"/>
      <c r="K249" s="62"/>
      <c r="L249" s="62"/>
      <c r="M249" s="62"/>
      <c r="N249" s="62"/>
      <c r="O249" s="62"/>
      <c r="P249" s="62"/>
      <c r="Q249" s="62"/>
      <c r="R249" s="62"/>
      <c r="S249" s="62"/>
      <c r="T249" s="62"/>
      <c r="U249" s="62"/>
    </row>
  </sheetData>
  <mergeCells count="250">
    <mergeCell ref="A1:N2"/>
    <mergeCell ref="B4:I4"/>
    <mergeCell ref="K4:M4"/>
    <mergeCell ref="B5:C5"/>
    <mergeCell ref="B6:C6"/>
    <mergeCell ref="L6:L9"/>
    <mergeCell ref="B7:C7"/>
    <mergeCell ref="B8:C8"/>
    <mergeCell ref="B9:C9"/>
    <mergeCell ref="B10:C10"/>
    <mergeCell ref="L10:L13"/>
    <mergeCell ref="B11:C11"/>
    <mergeCell ref="B12:C12"/>
    <mergeCell ref="B13:C13"/>
    <mergeCell ref="B14:C14"/>
    <mergeCell ref="L14:L16"/>
    <mergeCell ref="B15:C15"/>
    <mergeCell ref="B16:C16"/>
    <mergeCell ref="B17:C17"/>
    <mergeCell ref="L17:L18"/>
    <mergeCell ref="B18:C18"/>
    <mergeCell ref="K19:L19"/>
    <mergeCell ref="B20:H20"/>
    <mergeCell ref="B21:C21"/>
    <mergeCell ref="B22:C22"/>
    <mergeCell ref="C25:T25"/>
    <mergeCell ref="D27:D28"/>
    <mergeCell ref="E27:E28"/>
    <mergeCell ref="F27:F28"/>
    <mergeCell ref="G27:J27"/>
    <mergeCell ref="L27:S27"/>
    <mergeCell ref="I28:J28"/>
    <mergeCell ref="N28:S28"/>
    <mergeCell ref="D29:D32"/>
    <mergeCell ref="E29:E32"/>
    <mergeCell ref="F29:F32"/>
    <mergeCell ref="G29:G32"/>
    <mergeCell ref="H29:H32"/>
    <mergeCell ref="I29:J29"/>
    <mergeCell ref="K29:K32"/>
    <mergeCell ref="L29:L32"/>
    <mergeCell ref="M29:M32"/>
    <mergeCell ref="N29:S32"/>
    <mergeCell ref="I30:J30"/>
    <mergeCell ref="I31:J31"/>
    <mergeCell ref="I32:J32"/>
    <mergeCell ref="D33:D35"/>
    <mergeCell ref="E33:E35"/>
    <mergeCell ref="F33:F35"/>
    <mergeCell ref="G33:G35"/>
    <mergeCell ref="H33:H35"/>
    <mergeCell ref="I33:J33"/>
    <mergeCell ref="K33:K35"/>
    <mergeCell ref="L33:L35"/>
    <mergeCell ref="M33:M35"/>
    <mergeCell ref="N33:S35"/>
    <mergeCell ref="I34:J34"/>
    <mergeCell ref="I35:J35"/>
    <mergeCell ref="D36:D42"/>
    <mergeCell ref="E36:E42"/>
    <mergeCell ref="F36:F42"/>
    <mergeCell ref="G36:G42"/>
    <mergeCell ref="H36:H42"/>
    <mergeCell ref="I36:J36"/>
    <mergeCell ref="K36:K42"/>
    <mergeCell ref="L36:L42"/>
    <mergeCell ref="M36:M42"/>
    <mergeCell ref="N36:S42"/>
    <mergeCell ref="I37:J37"/>
    <mergeCell ref="I38:J38"/>
    <mergeCell ref="I39:J39"/>
    <mergeCell ref="I40:J40"/>
    <mergeCell ref="I41:J41"/>
    <mergeCell ref="I42:J42"/>
    <mergeCell ref="D43:D46"/>
    <mergeCell ref="E43:E46"/>
    <mergeCell ref="F43:F46"/>
    <mergeCell ref="G43:G46"/>
    <mergeCell ref="H43:H46"/>
    <mergeCell ref="I43:J43"/>
    <mergeCell ref="K43:K46"/>
    <mergeCell ref="L43:L46"/>
    <mergeCell ref="M43:M46"/>
    <mergeCell ref="N43:S46"/>
    <mergeCell ref="I44:J44"/>
    <mergeCell ref="I45:J45"/>
    <mergeCell ref="I46:J46"/>
    <mergeCell ref="E48:N48"/>
    <mergeCell ref="F54:G54"/>
    <mergeCell ref="F55:G55"/>
    <mergeCell ref="E57:N57"/>
    <mergeCell ref="F63:G63"/>
    <mergeCell ref="E66:N66"/>
    <mergeCell ref="F72:G72"/>
    <mergeCell ref="E75:N75"/>
    <mergeCell ref="F81:G81"/>
    <mergeCell ref="D84:S84"/>
    <mergeCell ref="H85:I85"/>
    <mergeCell ref="H86:I86"/>
    <mergeCell ref="H87:I87"/>
    <mergeCell ref="H88:I88"/>
    <mergeCell ref="H89:I89"/>
    <mergeCell ref="C95:T95"/>
    <mergeCell ref="D97:D98"/>
    <mergeCell ref="E97:E98"/>
    <mergeCell ref="F97:F98"/>
    <mergeCell ref="G97:J97"/>
    <mergeCell ref="L97:S97"/>
    <mergeCell ref="I98:J98"/>
    <mergeCell ref="N98:S98"/>
    <mergeCell ref="D99:D100"/>
    <mergeCell ref="E99:E100"/>
    <mergeCell ref="F99:F100"/>
    <mergeCell ref="G99:G100"/>
    <mergeCell ref="H99:H100"/>
    <mergeCell ref="I99:J99"/>
    <mergeCell ref="K99:K100"/>
    <mergeCell ref="L99:L100"/>
    <mergeCell ref="M99:M100"/>
    <mergeCell ref="N99:S100"/>
    <mergeCell ref="I100:J100"/>
    <mergeCell ref="D101:D103"/>
    <mergeCell ref="E101:E103"/>
    <mergeCell ref="F101:F103"/>
    <mergeCell ref="G101:G103"/>
    <mergeCell ref="H101:H103"/>
    <mergeCell ref="I101:J101"/>
    <mergeCell ref="K101:K103"/>
    <mergeCell ref="L101:L103"/>
    <mergeCell ref="M101:M103"/>
    <mergeCell ref="N101:S103"/>
    <mergeCell ref="I102:J102"/>
    <mergeCell ref="I103:J103"/>
    <mergeCell ref="D104:D107"/>
    <mergeCell ref="E104:E107"/>
    <mergeCell ref="F104:F107"/>
    <mergeCell ref="G104:G107"/>
    <mergeCell ref="H104:H107"/>
    <mergeCell ref="I104:J104"/>
    <mergeCell ref="K104:K107"/>
    <mergeCell ref="L104:L107"/>
    <mergeCell ref="M104:M107"/>
    <mergeCell ref="N104:S107"/>
    <mergeCell ref="I105:J105"/>
    <mergeCell ref="I106:J106"/>
    <mergeCell ref="I107:J107"/>
    <mergeCell ref="I108:J108"/>
    <mergeCell ref="N108:S108"/>
    <mergeCell ref="E110:N110"/>
    <mergeCell ref="F116:G116"/>
    <mergeCell ref="E119:N119"/>
    <mergeCell ref="F125:G125"/>
    <mergeCell ref="E128:N128"/>
    <mergeCell ref="F134:G134"/>
    <mergeCell ref="E137:N137"/>
    <mergeCell ref="F143:G143"/>
    <mergeCell ref="D146:S146"/>
    <mergeCell ref="H147:I147"/>
    <mergeCell ref="H148:I148"/>
    <mergeCell ref="H149:I149"/>
    <mergeCell ref="Y149:Z149"/>
    <mergeCell ref="H150:I150"/>
    <mergeCell ref="H151:I151"/>
    <mergeCell ref="C157:T157"/>
    <mergeCell ref="D159:D160"/>
    <mergeCell ref="E159:E160"/>
    <mergeCell ref="F159:F160"/>
    <mergeCell ref="G159:J159"/>
    <mergeCell ref="L159:S159"/>
    <mergeCell ref="I160:J160"/>
    <mergeCell ref="N160:S160"/>
    <mergeCell ref="D161:D164"/>
    <mergeCell ref="E161:E164"/>
    <mergeCell ref="F161:F164"/>
    <mergeCell ref="G161:G164"/>
    <mergeCell ref="H161:H164"/>
    <mergeCell ref="I161:J161"/>
    <mergeCell ref="K161:K164"/>
    <mergeCell ref="L161:L164"/>
    <mergeCell ref="M161:M164"/>
    <mergeCell ref="N161:S164"/>
    <mergeCell ref="I162:J162"/>
    <mergeCell ref="I163:J163"/>
    <mergeCell ref="I164:J164"/>
    <mergeCell ref="I165:J165"/>
    <mergeCell ref="N165:S165"/>
    <mergeCell ref="I166:J166"/>
    <mergeCell ref="N166:S166"/>
    <mergeCell ref="E168:N168"/>
    <mergeCell ref="F173:G173"/>
    <mergeCell ref="E176:N176"/>
    <mergeCell ref="F181:G181"/>
    <mergeCell ref="E184:N184"/>
    <mergeCell ref="F189:G189"/>
    <mergeCell ref="D192:N192"/>
    <mergeCell ref="H193:I193"/>
    <mergeCell ref="H194:I194"/>
    <mergeCell ref="H195:I195"/>
    <mergeCell ref="H196:I196"/>
    <mergeCell ref="C202:T202"/>
    <mergeCell ref="D204:D205"/>
    <mergeCell ref="E204:E205"/>
    <mergeCell ref="F204:F205"/>
    <mergeCell ref="G204:J204"/>
    <mergeCell ref="L204:S204"/>
    <mergeCell ref="I205:J205"/>
    <mergeCell ref="N205:S205"/>
    <mergeCell ref="I206:J206"/>
    <mergeCell ref="N206:S206"/>
    <mergeCell ref="D207:D209"/>
    <mergeCell ref="E207:E209"/>
    <mergeCell ref="F207:F209"/>
    <mergeCell ref="G207:G209"/>
    <mergeCell ref="H207:H209"/>
    <mergeCell ref="I207:J207"/>
    <mergeCell ref="K207:K209"/>
    <mergeCell ref="L207:L209"/>
    <mergeCell ref="M207:M209"/>
    <mergeCell ref="N207:S209"/>
    <mergeCell ref="I208:J208"/>
    <mergeCell ref="I209:J209"/>
    <mergeCell ref="D210:D212"/>
    <mergeCell ref="E210:E212"/>
    <mergeCell ref="F210:F212"/>
    <mergeCell ref="G210:G212"/>
    <mergeCell ref="H210:H212"/>
    <mergeCell ref="I210:J210"/>
    <mergeCell ref="N210:S210"/>
    <mergeCell ref="I211:J211"/>
    <mergeCell ref="I212:J212"/>
    <mergeCell ref="D213:D214"/>
    <mergeCell ref="E213:E214"/>
    <mergeCell ref="F213:F214"/>
    <mergeCell ref="G213:G214"/>
    <mergeCell ref="H213:H214"/>
    <mergeCell ref="I213:J213"/>
    <mergeCell ref="N213:S213"/>
    <mergeCell ref="I214:J214"/>
    <mergeCell ref="E216:N216"/>
    <mergeCell ref="F220:G220"/>
    <mergeCell ref="E223:N223"/>
    <mergeCell ref="F227:G227"/>
    <mergeCell ref="E230:N230"/>
    <mergeCell ref="F234:G234"/>
    <mergeCell ref="E237:N237"/>
    <mergeCell ref="F241:G241"/>
    <mergeCell ref="E244:N244"/>
    <mergeCell ref="I245:J245"/>
    <mergeCell ref="I246:J246"/>
    <mergeCell ref="I247:J247"/>
  </mergeCells>
  <conditionalFormatting sqref="B18:C18 I18 B6:I9 B10:C10 B11:I13 B14:C14 B15:I15 B17:I17 B16:C16">
    <cfRule type="expression" priority="2" aboveAverage="0" equalAverage="0" bottom="0" percent="0" rank="0" text="" dxfId="2">
      <formula>$I6="Nein"</formula>
    </cfRule>
    <cfRule type="expression" priority="3" aboveAverage="0" equalAverage="0" bottom="0" percent="0" rank="0" text="" dxfId="3">
      <formula>$I6="Ja"</formula>
    </cfRule>
  </conditionalFormatting>
  <conditionalFormatting sqref="D18:H18">
    <cfRule type="expression" priority="4" aboveAverage="0" equalAverage="0" bottom="0" percent="0" rank="0" text="" dxfId="4">
      <formula>$I18="Nein"</formula>
    </cfRule>
    <cfRule type="expression" priority="5" aboveAverage="0" equalAverage="0" bottom="0" percent="0" rank="0" text="" dxfId="5">
      <formula>$I18="Ja"</formula>
    </cfRule>
  </conditionalFormatting>
  <conditionalFormatting sqref="D10:I10">
    <cfRule type="expression" priority="6" aboveAverage="0" equalAverage="0" bottom="0" percent="0" rank="0" text="" dxfId="6">
      <formula>$I10="Nein"</formula>
    </cfRule>
    <cfRule type="expression" priority="7" aboveAverage="0" equalAverage="0" bottom="0" percent="0" rank="0" text="" dxfId="7">
      <formula>$I10="Ja"</formula>
    </cfRule>
  </conditionalFormatting>
  <conditionalFormatting sqref="D14:I14">
    <cfRule type="expression" priority="8" aboveAverage="0" equalAverage="0" bottom="0" percent="0" rank="0" text="" dxfId="8">
      <formula>$I14="Nein"</formula>
    </cfRule>
    <cfRule type="expression" priority="9" aboveAverage="0" equalAverage="0" bottom="0" percent="0" rank="0" text="" dxfId="9">
      <formula>$I14="Ja"</formula>
    </cfRule>
  </conditionalFormatting>
  <conditionalFormatting sqref="D19:I19">
    <cfRule type="expression" priority="10" aboveAverage="0" equalAverage="0" bottom="0" percent="0" rank="0" text="" dxfId="10">
      <formula>$I19="Nein"</formula>
    </cfRule>
    <cfRule type="expression" priority="11" aboveAverage="0" equalAverage="0" bottom="0" percent="0" rank="0" text="" dxfId="11">
      <formula>$I19="Ja"</formula>
    </cfRule>
  </conditionalFormatting>
  <conditionalFormatting sqref="D16:I16">
    <cfRule type="expression" priority="12" aboveAverage="0" equalAverage="0" bottom="0" percent="0" rank="0" text="" dxfId="12">
      <formula>$I16="Nein"</formula>
    </cfRule>
    <cfRule type="expression" priority="13" aboveAverage="0" equalAverage="0" bottom="0" percent="0" rank="0" text="" dxfId="13">
      <formula>$I16="Ja"</formula>
    </cfRule>
  </conditionalFormatting>
  <conditionalFormatting sqref="D22:H22">
    <cfRule type="expression" priority="14" aboveAverage="0" equalAverage="0" bottom="0" percent="0" rank="0" text="" dxfId="14">
      <formula>$I22="Nein"</formula>
    </cfRule>
    <cfRule type="expression" priority="15" aboveAverage="0" equalAverage="0" bottom="0" percent="0" rank="0" text="" dxfId="15">
      <formula>$I22="Ja"</formula>
    </cfRule>
  </conditionalFormatting>
  <conditionalFormatting sqref="E218:F219">
    <cfRule type="expression" priority="16" aboveAverage="0" equalAverage="0" bottom="0" percent="0" rank="0" text="" dxfId="16">
      <formula>$J218="Ja"</formula>
    </cfRule>
    <cfRule type="expression" priority="17" aboveAverage="0" equalAverage="0" bottom="0" percent="0" rank="0" text="" dxfId="17">
      <formula>$J218="Nein"</formula>
    </cfRule>
  </conditionalFormatting>
  <conditionalFormatting sqref="D165:E166">
    <cfRule type="expression" priority="18" aboveAverage="0" equalAverage="0" bottom="0" percent="0" rank="0" text="" dxfId="18">
      <formula>$J165="Ja"</formula>
    </cfRule>
    <cfRule type="expression" priority="19" aboveAverage="0" equalAverage="0" bottom="0" percent="0" rank="0" text="" dxfId="19">
      <formula>$J165="Nein"</formula>
    </cfRule>
  </conditionalFormatting>
  <conditionalFormatting sqref="D161:E161">
    <cfRule type="expression" priority="20" aboveAverage="0" equalAverage="0" bottom="0" percent="0" rank="0" text="" dxfId="20">
      <formula>$J161="Ja"</formula>
    </cfRule>
    <cfRule type="expression" priority="21" aboveAverage="0" equalAverage="0" bottom="0" percent="0" rank="0" text="" dxfId="21">
      <formula>$J161="Nein"</formula>
    </cfRule>
  </conditionalFormatting>
  <conditionalFormatting sqref="E171:F172">
    <cfRule type="expression" priority="22" aboveAverage="0" equalAverage="0" bottom="0" percent="0" rank="0" text="" dxfId="22">
      <formula>$J171="Ja"</formula>
    </cfRule>
    <cfRule type="expression" priority="23" aboveAverage="0" equalAverage="0" bottom="0" percent="0" rank="0" text="" dxfId="23">
      <formula>$J171="Nein"</formula>
    </cfRule>
  </conditionalFormatting>
  <conditionalFormatting sqref="E170:F170">
    <cfRule type="expression" priority="24" aboveAverage="0" equalAverage="0" bottom="0" percent="0" rank="0" text="" dxfId="24">
      <formula>$J170="Ja"</formula>
    </cfRule>
    <cfRule type="expression" priority="25" aboveAverage="0" equalAverage="0" bottom="0" percent="0" rank="0" text="" dxfId="25">
      <formula>$J170="Nein"</formula>
    </cfRule>
  </conditionalFormatting>
  <conditionalFormatting sqref="E246:F246">
    <cfRule type="expression" priority="26" aboveAverage="0" equalAverage="0" bottom="0" percent="0" rank="0" text="" dxfId="26">
      <formula>$J246="Ja"</formula>
    </cfRule>
    <cfRule type="expression" priority="27" aboveAverage="0" equalAverage="0" bottom="0" percent="0" rank="0" text="" dxfId="27">
      <formula>$J246="Nein"</formula>
    </cfRule>
  </conditionalFormatting>
  <conditionalFormatting sqref="E247:F247">
    <cfRule type="expression" priority="28" aboveAverage="0" equalAverage="0" bottom="0" percent="0" rank="0" text="" dxfId="28">
      <formula>$J247="Ja"</formula>
    </cfRule>
    <cfRule type="expression" priority="29" aboveAverage="0" equalAverage="0" bottom="0" percent="0" rank="0" text="" dxfId="29">
      <formula>$J247="Nein"</formula>
    </cfRule>
  </conditionalFormatting>
  <conditionalFormatting sqref="D194:E194">
    <cfRule type="expression" priority="30" aboveAverage="0" equalAverage="0" bottom="0" percent="0" rank="0" text="" dxfId="30">
      <formula>$J194="Ja"</formula>
    </cfRule>
    <cfRule type="expression" priority="31" aboveAverage="0" equalAverage="0" bottom="0" percent="0" rank="0" text="" dxfId="31">
      <formula>$J194="Nein"</formula>
    </cfRule>
  </conditionalFormatting>
  <conditionalFormatting sqref="D195:E195">
    <cfRule type="expression" priority="32" aboveAverage="0" equalAverage="0" bottom="0" percent="0" rank="0" text="" dxfId="32">
      <formula>$J195="Ja"</formula>
    </cfRule>
    <cfRule type="expression" priority="33" aboveAverage="0" equalAverage="0" bottom="0" percent="0" rank="0" text="" dxfId="33">
      <formula>$J195="Nein"</formula>
    </cfRule>
  </conditionalFormatting>
  <conditionalFormatting sqref="D196:E196">
    <cfRule type="expression" priority="34" aboveAverage="0" equalAverage="0" bottom="0" percent="0" rank="0" text="" dxfId="34">
      <formula>$J196="Ja"</formula>
    </cfRule>
    <cfRule type="expression" priority="35" aboveAverage="0" equalAverage="0" bottom="0" percent="0" rank="0" text="" dxfId="35">
      <formula>$J196="Nein"</formula>
    </cfRule>
  </conditionalFormatting>
  <conditionalFormatting sqref="D206:E207">
    <cfRule type="expression" priority="36" aboveAverage="0" equalAverage="0" bottom="0" percent="0" rank="0" text="" dxfId="36">
      <formula>$J206="Ja"</formula>
    </cfRule>
    <cfRule type="expression" priority="37" aboveAverage="0" equalAverage="0" bottom="0" percent="0" rank="0" text="" dxfId="37">
      <formula>$J206="Nein"</formula>
    </cfRule>
  </conditionalFormatting>
  <conditionalFormatting sqref="E179:F180">
    <cfRule type="expression" priority="38" aboveAverage="0" equalAverage="0" bottom="0" percent="0" rank="0" text="" dxfId="38">
      <formula>$J179="Ja"</formula>
    </cfRule>
    <cfRule type="expression" priority="39" aboveAverage="0" equalAverage="0" bottom="0" percent="0" rank="0" text="" dxfId="39">
      <formula>$J179="Nein"</formula>
    </cfRule>
  </conditionalFormatting>
  <conditionalFormatting sqref="E178:F178">
    <cfRule type="expression" priority="40" aboveAverage="0" equalAverage="0" bottom="0" percent="0" rank="0" text="" dxfId="40">
      <formula>$J178="Ja"</formula>
    </cfRule>
    <cfRule type="expression" priority="41" aboveAverage="0" equalAverage="0" bottom="0" percent="0" rank="0" text="" dxfId="41">
      <formula>$J178="Nein"</formula>
    </cfRule>
  </conditionalFormatting>
  <conditionalFormatting sqref="E187:F188">
    <cfRule type="expression" priority="42" aboveAverage="0" equalAverage="0" bottom="0" percent="0" rank="0" text="" dxfId="42">
      <formula>$J187="Ja"</formula>
    </cfRule>
    <cfRule type="expression" priority="43" aboveAverage="0" equalAverage="0" bottom="0" percent="0" rank="0" text="" dxfId="43">
      <formula>$J187="Nein"</formula>
    </cfRule>
  </conditionalFormatting>
  <conditionalFormatting sqref="E186:F186">
    <cfRule type="expression" priority="44" aboveAverage="0" equalAverage="0" bottom="0" percent="0" rank="0" text="" dxfId="44">
      <formula>$J186="Ja"</formula>
    </cfRule>
    <cfRule type="expression" priority="45" aboveAverage="0" equalAverage="0" bottom="0" percent="0" rank="0" text="" dxfId="45">
      <formula>$J186="Nein"</formula>
    </cfRule>
  </conditionalFormatting>
  <conditionalFormatting sqref="E225:F226">
    <cfRule type="expression" priority="46" aboveAverage="0" equalAverage="0" bottom="0" percent="0" rank="0" text="" dxfId="46">
      <formula>$J225="Ja"</formula>
    </cfRule>
    <cfRule type="expression" priority="47" aboveAverage="0" equalAverage="0" bottom="0" percent="0" rank="0" text="" dxfId="47">
      <formula>$J225="Nein"</formula>
    </cfRule>
  </conditionalFormatting>
  <conditionalFormatting sqref="E232:F233">
    <cfRule type="expression" priority="48" aboveAverage="0" equalAverage="0" bottom="0" percent="0" rank="0" text="" dxfId="48">
      <formula>$J232="Ja"</formula>
    </cfRule>
    <cfRule type="expression" priority="49" aboveAverage="0" equalAverage="0" bottom="0" percent="0" rank="0" text="" dxfId="49">
      <formula>$J232="Nein"</formula>
    </cfRule>
  </conditionalFormatting>
  <conditionalFormatting sqref="E239:F240">
    <cfRule type="expression" priority="50" aboveAverage="0" equalAverage="0" bottom="0" percent="0" rank="0" text="" dxfId="50">
      <formula>$J239="Ja"</formula>
    </cfRule>
    <cfRule type="expression" priority="51" aboveAverage="0" equalAverage="0" bottom="0" percent="0" rank="0" text="" dxfId="51">
      <formula>$J239="Nein"</formula>
    </cfRule>
  </conditionalFormatting>
  <dataValidations count="1">
    <dataValidation allowBlank="true" operator="between" showDropDown="false" showErrorMessage="true" showInputMessage="true" sqref="I6:I19 O22"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268"/>
  <sheetViews>
    <sheetView showFormulas="false" showGridLines="false" showRowColHeaders="true" showZeros="true" rightToLeft="false" tabSelected="false" showOutlineSymbols="true" defaultGridColor="true" view="normal" topLeftCell="A207" colorId="64" zoomScale="100" zoomScaleNormal="100" zoomScalePageLayoutView="100" workbookViewId="0">
      <selection pane="topLeft" activeCell="C223" activeCellId="0" sqref="C223"/>
    </sheetView>
  </sheetViews>
  <sheetFormatPr defaultColWidth="11.43359375" defaultRowHeight="15" zeroHeight="false" outlineLevelRow="1" outlineLevelCol="1"/>
  <cols>
    <col collapsed="false" customWidth="true" hidden="false" outlineLevel="0" max="3" min="1" style="1" width="3.71"/>
    <col collapsed="false" customWidth="true" hidden="false" outlineLevel="0" max="14" min="4" style="1" width="20.71"/>
    <col collapsed="false" customWidth="true" hidden="true" outlineLevel="1" max="18" min="15" style="1" width="20.71"/>
    <col collapsed="false" customWidth="true" hidden="false" outlineLevel="0" max="19" min="19" style="1" width="20.71"/>
    <col collapsed="false" customWidth="true" hidden="false" outlineLevel="0" max="21" min="20" style="1" width="3.71"/>
    <col collapsed="false" customWidth="true" hidden="false" outlineLevel="0" max="22" min="22" style="1" width="15.88"/>
    <col collapsed="false" customWidth="true" hidden="false" outlineLevel="0" max="24" min="23" style="1" width="20.71"/>
    <col collapsed="false" customWidth="false" hidden="false" outlineLevel="0" max="1024" min="25" style="1" width="11.42"/>
  </cols>
  <sheetData>
    <row r="1" customFormat="false" ht="15" hidden="false" customHeight="false" outlineLevel="0" collapsed="false">
      <c r="A1" s="2" t="s">
        <v>223</v>
      </c>
      <c r="B1" s="2"/>
      <c r="C1" s="2"/>
      <c r="D1" s="2"/>
      <c r="E1" s="2"/>
      <c r="F1" s="2"/>
      <c r="G1" s="2"/>
      <c r="H1" s="2"/>
      <c r="I1" s="2"/>
      <c r="J1" s="2"/>
      <c r="K1" s="2"/>
      <c r="L1" s="2"/>
      <c r="M1" s="2"/>
      <c r="N1" s="2"/>
    </row>
    <row r="2" customFormat="false" ht="15" hidden="false" customHeight="false" outlineLevel="0" collapsed="false">
      <c r="A2" s="2"/>
      <c r="B2" s="2"/>
      <c r="C2" s="2"/>
      <c r="D2" s="2"/>
      <c r="E2" s="2"/>
      <c r="F2" s="2"/>
      <c r="G2" s="2"/>
      <c r="H2" s="2"/>
      <c r="I2" s="2"/>
      <c r="J2" s="2"/>
      <c r="K2" s="2"/>
      <c r="L2" s="2"/>
      <c r="M2" s="2"/>
      <c r="N2" s="2"/>
    </row>
    <row r="3" customFormat="false" ht="20.1" hidden="false" customHeight="true" outlineLevel="0" collapsed="false"/>
    <row r="4" customFormat="false" ht="15.75" hidden="false" customHeight="false" outlineLevel="0" collapsed="false">
      <c r="B4" s="3" t="s">
        <v>224</v>
      </c>
      <c r="C4" s="3"/>
      <c r="D4" s="3"/>
      <c r="E4" s="3"/>
      <c r="F4" s="3"/>
      <c r="G4" s="3"/>
      <c r="H4" s="3"/>
      <c r="I4" s="3"/>
      <c r="K4" s="3" t="s">
        <v>2</v>
      </c>
      <c r="L4" s="3"/>
      <c r="M4" s="3"/>
      <c r="P4" s="4"/>
      <c r="Q4" s="4"/>
      <c r="R4" s="4"/>
      <c r="S4" s="5"/>
      <c r="T4" s="4"/>
      <c r="U4" s="4"/>
      <c r="V4" s="4"/>
      <c r="W4" s="4"/>
    </row>
    <row r="5" customFormat="false" ht="50.1" hidden="false" customHeight="true" outlineLevel="0" collapsed="false">
      <c r="B5" s="54" t="s">
        <v>225</v>
      </c>
      <c r="C5" s="54"/>
      <c r="D5" s="303" t="s">
        <v>4</v>
      </c>
      <c r="E5" s="9" t="s">
        <v>5</v>
      </c>
      <c r="F5" s="9" t="s">
        <v>6</v>
      </c>
      <c r="G5" s="57" t="s">
        <v>7</v>
      </c>
      <c r="H5" s="57" t="s">
        <v>8</v>
      </c>
      <c r="I5" s="9" t="s">
        <v>226</v>
      </c>
      <c r="K5" s="11" t="s">
        <v>4</v>
      </c>
      <c r="L5" s="12" t="s">
        <v>10</v>
      </c>
      <c r="M5" s="13" t="s">
        <v>11</v>
      </c>
      <c r="P5" s="5"/>
      <c r="R5" s="4"/>
      <c r="S5" s="4"/>
      <c r="T5" s="4"/>
      <c r="U5" s="5"/>
      <c r="V5" s="5"/>
    </row>
    <row r="6" customFormat="false" ht="20.1" hidden="false" customHeight="true" outlineLevel="0" collapsed="false">
      <c r="B6" s="14" t="n">
        <v>1</v>
      </c>
      <c r="C6" s="14"/>
      <c r="D6" s="18" t="s">
        <v>15</v>
      </c>
      <c r="E6" s="18" t="s">
        <v>16</v>
      </c>
      <c r="F6" s="18" t="s">
        <v>16</v>
      </c>
      <c r="G6" s="18" t="s">
        <v>16</v>
      </c>
      <c r="H6" s="18" t="s">
        <v>16</v>
      </c>
      <c r="I6" s="304" t="s">
        <v>14</v>
      </c>
      <c r="K6" s="21" t="str">
        <f aca="false">D6</f>
        <v>Devid Fulterer</v>
      </c>
      <c r="L6" s="22" t="n">
        <v>1</v>
      </c>
      <c r="M6" s="23" t="n">
        <v>1</v>
      </c>
      <c r="P6" s="24"/>
      <c r="U6" s="24"/>
      <c r="V6" s="24"/>
    </row>
    <row r="7" customFormat="false" ht="20.1" hidden="false" customHeight="true" outlineLevel="0" collapsed="false">
      <c r="B7" s="25" t="n">
        <v>2</v>
      </c>
      <c r="C7" s="25"/>
      <c r="D7" s="32" t="s">
        <v>22</v>
      </c>
      <c r="E7" s="32" t="s">
        <v>23</v>
      </c>
      <c r="F7" s="32" t="s">
        <v>23</v>
      </c>
      <c r="G7" s="32" t="s">
        <v>23</v>
      </c>
      <c r="H7" s="32" t="s">
        <v>23</v>
      </c>
      <c r="I7" s="305" t="s">
        <v>36</v>
      </c>
      <c r="K7" s="30" t="str">
        <f aca="false">D7</f>
        <v>Jérôme Schätzle</v>
      </c>
      <c r="L7" s="22"/>
      <c r="M7" s="31" t="n">
        <v>2</v>
      </c>
      <c r="P7" s="24"/>
      <c r="U7" s="24"/>
      <c r="V7" s="24"/>
    </row>
    <row r="8" customFormat="false" ht="20.1" hidden="false" customHeight="true" outlineLevel="0" collapsed="false">
      <c r="B8" s="25" t="n">
        <v>3</v>
      </c>
      <c r="C8" s="25"/>
      <c r="D8" s="32" t="s">
        <v>17</v>
      </c>
      <c r="E8" s="32" t="s">
        <v>18</v>
      </c>
      <c r="F8" s="32" t="s">
        <v>19</v>
      </c>
      <c r="G8" s="32" t="s">
        <v>19</v>
      </c>
      <c r="H8" s="32" t="s">
        <v>19</v>
      </c>
      <c r="I8" s="305" t="s">
        <v>14</v>
      </c>
      <c r="K8" s="30" t="str">
        <f aca="false">D8</f>
        <v>Judith Fulterer</v>
      </c>
      <c r="L8" s="22"/>
      <c r="M8" s="31" t="n">
        <v>3</v>
      </c>
      <c r="P8" s="24"/>
      <c r="U8" s="24"/>
      <c r="V8" s="24"/>
    </row>
    <row r="9" customFormat="false" ht="20.1" hidden="false" customHeight="true" outlineLevel="0" collapsed="false">
      <c r="B9" s="25" t="n">
        <v>4</v>
      </c>
      <c r="C9" s="25"/>
      <c r="D9" s="32" t="s">
        <v>20</v>
      </c>
      <c r="E9" s="32" t="s">
        <v>21</v>
      </c>
      <c r="F9" s="32" t="s">
        <v>21</v>
      </c>
      <c r="G9" s="32" t="s">
        <v>21</v>
      </c>
      <c r="H9" s="32" t="s">
        <v>21</v>
      </c>
      <c r="I9" s="305" t="s">
        <v>14</v>
      </c>
      <c r="K9" s="35" t="str">
        <f aca="false">D9</f>
        <v>Andreas Micke</v>
      </c>
      <c r="L9" s="22"/>
      <c r="M9" s="36" t="n">
        <v>4</v>
      </c>
      <c r="P9" s="24"/>
      <c r="U9" s="24"/>
      <c r="V9" s="24"/>
    </row>
    <row r="10" customFormat="false" ht="20.1" hidden="false" customHeight="true" outlineLevel="0" collapsed="false">
      <c r="B10" s="25" t="n">
        <v>5</v>
      </c>
      <c r="C10" s="25"/>
      <c r="D10" s="32" t="s">
        <v>12</v>
      </c>
      <c r="E10" s="32" t="s">
        <v>13</v>
      </c>
      <c r="F10" s="32" t="s">
        <v>13</v>
      </c>
      <c r="G10" s="32" t="s">
        <v>13</v>
      </c>
      <c r="H10" s="32" t="s">
        <v>13</v>
      </c>
      <c r="I10" s="305" t="s">
        <v>14</v>
      </c>
      <c r="K10" s="21" t="str">
        <f aca="false">D10</f>
        <v>Jonas Röhrig</v>
      </c>
      <c r="L10" s="37" t="n">
        <v>2</v>
      </c>
      <c r="M10" s="23" t="n">
        <v>1</v>
      </c>
      <c r="P10" s="24"/>
      <c r="U10" s="24"/>
      <c r="V10" s="24"/>
    </row>
    <row r="11" customFormat="false" ht="20.1" hidden="false" customHeight="true" outlineLevel="0" collapsed="false">
      <c r="B11" s="25" t="n">
        <v>6</v>
      </c>
      <c r="C11" s="25"/>
      <c r="D11" s="32" t="s">
        <v>24</v>
      </c>
      <c r="E11" s="33" t="s">
        <v>25</v>
      </c>
      <c r="F11" s="34" t="s">
        <v>26</v>
      </c>
      <c r="G11" s="32" t="s">
        <v>26</v>
      </c>
      <c r="H11" s="32" t="s">
        <v>25</v>
      </c>
      <c r="I11" s="305" t="s">
        <v>36</v>
      </c>
      <c r="K11" s="30" t="str">
        <f aca="false">D11</f>
        <v>Lisa Schätzle</v>
      </c>
      <c r="L11" s="37"/>
      <c r="M11" s="31" t="n">
        <v>2</v>
      </c>
      <c r="P11" s="24"/>
      <c r="U11" s="24"/>
      <c r="V11" s="24"/>
    </row>
    <row r="12" customFormat="false" ht="20.1" hidden="false" customHeight="true" outlineLevel="0" collapsed="false">
      <c r="B12" s="25" t="n">
        <v>7</v>
      </c>
      <c r="C12" s="25"/>
      <c r="D12" s="33" t="s">
        <v>27</v>
      </c>
      <c r="E12" s="32" t="s">
        <v>28</v>
      </c>
      <c r="F12" s="306" t="s">
        <v>28</v>
      </c>
      <c r="G12" s="32" t="s">
        <v>28</v>
      </c>
      <c r="H12" s="32" t="s">
        <v>28</v>
      </c>
      <c r="I12" s="305" t="s">
        <v>14</v>
      </c>
      <c r="K12" s="30" t="str">
        <f aca="false">D12</f>
        <v>Pauline Schätzle</v>
      </c>
      <c r="L12" s="37"/>
      <c r="M12" s="31" t="n">
        <v>3</v>
      </c>
      <c r="P12" s="24"/>
      <c r="U12" s="24"/>
      <c r="V12" s="24"/>
    </row>
    <row r="13" customFormat="false" ht="20.1" hidden="false" customHeight="true" outlineLevel="0" collapsed="false">
      <c r="B13" s="25" t="n">
        <v>8</v>
      </c>
      <c r="C13" s="25"/>
      <c r="D13" s="33" t="s">
        <v>47</v>
      </c>
      <c r="E13" s="33" t="s">
        <v>48</v>
      </c>
      <c r="F13" s="34" t="s">
        <v>48</v>
      </c>
      <c r="G13" s="32" t="s">
        <v>35</v>
      </c>
      <c r="H13" s="32" t="s">
        <v>48</v>
      </c>
      <c r="I13" s="305" t="s">
        <v>36</v>
      </c>
      <c r="K13" s="35" t="str">
        <f aca="false">D13</f>
        <v>Alex Ulbricht</v>
      </c>
      <c r="L13" s="37"/>
      <c r="M13" s="36" t="n">
        <v>4</v>
      </c>
      <c r="P13" s="24"/>
      <c r="U13" s="24"/>
      <c r="V13" s="24"/>
    </row>
    <row r="14" customFormat="false" ht="20.1" hidden="false" customHeight="true" outlineLevel="0" collapsed="false">
      <c r="B14" s="25" t="n">
        <v>9</v>
      </c>
      <c r="C14" s="25"/>
      <c r="D14" s="33" t="s">
        <v>31</v>
      </c>
      <c r="E14" s="33" t="s">
        <v>32</v>
      </c>
      <c r="F14" s="34" t="s">
        <v>32</v>
      </c>
      <c r="G14" s="32" t="s">
        <v>32</v>
      </c>
      <c r="H14" s="32" t="s">
        <v>32</v>
      </c>
      <c r="I14" s="305" t="s">
        <v>14</v>
      </c>
      <c r="K14" s="21" t="str">
        <f aca="false">D14</f>
        <v>Daniel Zimmermann</v>
      </c>
      <c r="L14" s="22" t="n">
        <v>3</v>
      </c>
      <c r="M14" s="23" t="n">
        <v>1</v>
      </c>
      <c r="P14" s="24"/>
      <c r="U14" s="24"/>
      <c r="V14" s="24"/>
    </row>
    <row r="15" customFormat="false" ht="20.1" hidden="false" customHeight="true" outlineLevel="0" collapsed="false">
      <c r="B15" s="25" t="n">
        <v>10</v>
      </c>
      <c r="C15" s="25"/>
      <c r="D15" s="33" t="s">
        <v>39</v>
      </c>
      <c r="E15" s="33" t="s">
        <v>40</v>
      </c>
      <c r="F15" s="34" t="s">
        <v>40</v>
      </c>
      <c r="G15" s="32" t="s">
        <v>40</v>
      </c>
      <c r="H15" s="32" t="s">
        <v>40</v>
      </c>
      <c r="I15" s="305" t="s">
        <v>14</v>
      </c>
      <c r="K15" s="30" t="str">
        <f aca="false">D15</f>
        <v>Markus Hagenauer</v>
      </c>
      <c r="L15" s="22"/>
      <c r="M15" s="31" t="n">
        <v>2</v>
      </c>
      <c r="P15" s="24"/>
      <c r="U15" s="24"/>
      <c r="V15" s="24"/>
    </row>
    <row r="16" customFormat="false" ht="20.1" hidden="false" customHeight="true" outlineLevel="0" collapsed="false">
      <c r="B16" s="25" t="n">
        <v>11</v>
      </c>
      <c r="C16" s="25"/>
      <c r="D16" s="33" t="s">
        <v>37</v>
      </c>
      <c r="E16" s="33" t="s">
        <v>38</v>
      </c>
      <c r="F16" s="34" t="s">
        <v>35</v>
      </c>
      <c r="G16" s="32" t="s">
        <v>35</v>
      </c>
      <c r="H16" s="32" t="s">
        <v>35</v>
      </c>
      <c r="I16" s="305" t="s">
        <v>14</v>
      </c>
      <c r="K16" s="39" t="str">
        <f aca="false">D16</f>
        <v>Bea Kittner</v>
      </c>
      <c r="L16" s="22"/>
      <c r="M16" s="31" t="n">
        <v>3</v>
      </c>
      <c r="P16" s="24"/>
      <c r="U16" s="24"/>
      <c r="V16" s="24"/>
    </row>
    <row r="17" customFormat="false" ht="20.1" hidden="false" customHeight="true" outlineLevel="0" collapsed="false">
      <c r="B17" s="25" t="n">
        <v>12</v>
      </c>
      <c r="C17" s="25"/>
      <c r="D17" s="33" t="s">
        <v>29</v>
      </c>
      <c r="E17" s="33" t="s">
        <v>30</v>
      </c>
      <c r="F17" s="34" t="s">
        <v>30</v>
      </c>
      <c r="G17" s="32" t="s">
        <v>30</v>
      </c>
      <c r="H17" s="32" t="s">
        <v>30</v>
      </c>
      <c r="I17" s="305" t="s">
        <v>14</v>
      </c>
      <c r="K17" s="49" t="str">
        <f aca="false">D17</f>
        <v>Kai Maibaum</v>
      </c>
      <c r="L17" s="22"/>
      <c r="M17" s="50" t="n">
        <v>4</v>
      </c>
      <c r="P17" s="24"/>
      <c r="U17" s="24"/>
      <c r="V17" s="24"/>
    </row>
    <row r="18" customFormat="false" ht="20.1" hidden="false" customHeight="true" outlineLevel="0" collapsed="false">
      <c r="B18" s="25" t="n">
        <v>13</v>
      </c>
      <c r="C18" s="25"/>
      <c r="D18" s="33" t="s">
        <v>45</v>
      </c>
      <c r="E18" s="33" t="s">
        <v>46</v>
      </c>
      <c r="F18" s="34" t="s">
        <v>46</v>
      </c>
      <c r="G18" s="32" t="s">
        <v>35</v>
      </c>
      <c r="H18" s="32" t="s">
        <v>35</v>
      </c>
      <c r="I18" s="305" t="s">
        <v>14</v>
      </c>
      <c r="K18" s="41" t="str">
        <f aca="false">D18</f>
        <v>Florian Spiß</v>
      </c>
      <c r="L18" s="410" t="n">
        <v>4</v>
      </c>
      <c r="M18" s="23" t="n">
        <v>1</v>
      </c>
      <c r="P18" s="24"/>
      <c r="U18" s="24"/>
      <c r="V18" s="24"/>
    </row>
    <row r="19" customFormat="false" ht="20.1" hidden="false" customHeight="true" outlineLevel="0" collapsed="false">
      <c r="B19" s="42" t="n">
        <v>14</v>
      </c>
      <c r="C19" s="42"/>
      <c r="D19" s="43" t="s">
        <v>43</v>
      </c>
      <c r="E19" s="44" t="s">
        <v>44</v>
      </c>
      <c r="F19" s="45" t="s">
        <v>44</v>
      </c>
      <c r="G19" s="46" t="s">
        <v>44</v>
      </c>
      <c r="H19" s="47" t="s">
        <v>44</v>
      </c>
      <c r="I19" s="48" t="s">
        <v>14</v>
      </c>
      <c r="K19" s="49" t="str">
        <f aca="false">D19</f>
        <v>Fabian Spaniol</v>
      </c>
      <c r="L19" s="410"/>
      <c r="M19" s="50" t="n">
        <v>2</v>
      </c>
      <c r="P19" s="24"/>
      <c r="U19" s="24"/>
      <c r="V19" s="24"/>
    </row>
    <row r="20" customFormat="false" ht="20.1" hidden="false" customHeight="true" outlineLevel="0" collapsed="false">
      <c r="D20" s="310"/>
      <c r="E20" s="310"/>
      <c r="F20" s="311"/>
      <c r="G20" s="162"/>
      <c r="H20" s="162"/>
      <c r="I20" s="310"/>
      <c r="K20" s="51" t="s">
        <v>227</v>
      </c>
      <c r="L20" s="51"/>
      <c r="M20" s="52" t="n">
        <f aca="false">ROWS(M6:M19)</f>
        <v>14</v>
      </c>
      <c r="O20" s="4"/>
      <c r="P20" s="4"/>
      <c r="R20" s="4"/>
      <c r="S20" s="4"/>
      <c r="T20" s="4"/>
      <c r="U20" s="4"/>
    </row>
    <row r="21" customFormat="false" ht="15.75" hidden="false" customHeight="false" outlineLevel="0" collapsed="false">
      <c r="B21" s="3" t="s">
        <v>228</v>
      </c>
      <c r="C21" s="3"/>
      <c r="D21" s="3"/>
      <c r="E21" s="3"/>
      <c r="F21" s="3"/>
      <c r="G21" s="3"/>
      <c r="H21" s="3"/>
      <c r="L21" s="53"/>
      <c r="M21" s="53"/>
      <c r="N21" s="53"/>
      <c r="O21" s="5"/>
      <c r="P21" s="4"/>
      <c r="Q21" s="4"/>
      <c r="S21" s="4"/>
      <c r="T21" s="4"/>
      <c r="U21" s="4"/>
      <c r="V21" s="4"/>
    </row>
    <row r="22" customFormat="false" ht="30.75" hidden="false" customHeight="true" outlineLevel="0" collapsed="false">
      <c r="B22" s="54" t="s">
        <v>51</v>
      </c>
      <c r="C22" s="54"/>
      <c r="D22" s="55" t="s">
        <v>4</v>
      </c>
      <c r="E22" s="9" t="s">
        <v>5</v>
      </c>
      <c r="F22" s="9" t="s">
        <v>6</v>
      </c>
      <c r="G22" s="57" t="s">
        <v>7</v>
      </c>
      <c r="H22" s="57" t="s">
        <v>8</v>
      </c>
      <c r="L22" s="53"/>
      <c r="M22" s="53"/>
      <c r="N22" s="53"/>
      <c r="O22" s="5"/>
      <c r="P22" s="4"/>
      <c r="Q22" s="4"/>
      <c r="S22" s="4"/>
      <c r="T22" s="4"/>
      <c r="U22" s="4"/>
      <c r="V22" s="4"/>
    </row>
    <row r="23" customFormat="false" ht="20.1" hidden="false" customHeight="true" outlineLevel="0" collapsed="false">
      <c r="B23" s="58" t="n">
        <v>1</v>
      </c>
      <c r="C23" s="58"/>
      <c r="D23" s="312"/>
      <c r="E23" s="313"/>
      <c r="F23" s="411"/>
      <c r="G23" s="412"/>
      <c r="H23" s="413"/>
      <c r="O23" s="29" t="s">
        <v>36</v>
      </c>
      <c r="P23" s="4"/>
      <c r="Q23" s="4"/>
      <c r="S23" s="4"/>
      <c r="T23" s="4"/>
      <c r="U23" s="4"/>
      <c r="V23" s="4"/>
    </row>
    <row r="24" customFormat="false" ht="20.1" hidden="false" customHeight="true" outlineLevel="0" collapsed="false">
      <c r="M24" s="53"/>
      <c r="N24" s="53"/>
      <c r="O24" s="53"/>
      <c r="P24" s="5"/>
      <c r="Q24" s="4"/>
      <c r="R24" s="4"/>
      <c r="T24" s="4"/>
      <c r="U24" s="4"/>
      <c r="V24" s="4"/>
      <c r="W24" s="4"/>
    </row>
    <row r="25" customFormat="false" ht="20.1" hidden="false" customHeight="true" outlineLevel="0" collapsed="false">
      <c r="B25" s="62"/>
      <c r="C25" s="62"/>
      <c r="D25" s="63"/>
      <c r="E25" s="63"/>
      <c r="F25" s="63"/>
      <c r="G25" s="63"/>
      <c r="H25" s="62"/>
      <c r="I25" s="62"/>
      <c r="J25" s="62"/>
      <c r="K25" s="62"/>
      <c r="L25" s="62"/>
      <c r="M25" s="62"/>
      <c r="N25" s="62"/>
      <c r="O25" s="62"/>
      <c r="P25" s="62"/>
      <c r="Q25" s="62"/>
      <c r="R25" s="62"/>
      <c r="S25" s="62"/>
      <c r="T25" s="62"/>
      <c r="U25" s="62"/>
    </row>
    <row r="26" customFormat="false" ht="30" hidden="false" customHeight="true" outlineLevel="0" collapsed="false">
      <c r="B26" s="62"/>
      <c r="C26" s="64" t="s">
        <v>52</v>
      </c>
      <c r="D26" s="64"/>
      <c r="E26" s="64"/>
      <c r="F26" s="64"/>
      <c r="G26" s="64"/>
      <c r="H26" s="64"/>
      <c r="I26" s="64"/>
      <c r="J26" s="64"/>
      <c r="K26" s="64"/>
      <c r="L26" s="64"/>
      <c r="M26" s="64"/>
      <c r="N26" s="64"/>
      <c r="O26" s="64"/>
      <c r="P26" s="64"/>
      <c r="Q26" s="64"/>
      <c r="R26" s="64"/>
      <c r="S26" s="64"/>
      <c r="T26" s="64"/>
      <c r="U26" s="62"/>
    </row>
    <row r="27" customFormat="false" ht="20.1" hidden="false" customHeight="true" outlineLevel="0" collapsed="false">
      <c r="B27" s="62"/>
      <c r="U27" s="62"/>
    </row>
    <row r="28" customFormat="false" ht="20.1" hidden="false" customHeight="true" outlineLevel="0" collapsed="false">
      <c r="B28" s="62"/>
      <c r="D28" s="65" t="s">
        <v>53</v>
      </c>
      <c r="E28" s="66" t="s">
        <v>54</v>
      </c>
      <c r="F28" s="67" t="s">
        <v>11</v>
      </c>
      <c r="G28" s="66" t="s">
        <v>55</v>
      </c>
      <c r="H28" s="66"/>
      <c r="I28" s="66"/>
      <c r="J28" s="66"/>
      <c r="K28" s="66" t="s">
        <v>56</v>
      </c>
      <c r="L28" s="68" t="s">
        <v>57</v>
      </c>
      <c r="M28" s="68"/>
      <c r="N28" s="68"/>
      <c r="O28" s="68"/>
      <c r="P28" s="68"/>
      <c r="Q28" s="68"/>
      <c r="R28" s="68"/>
      <c r="S28" s="68"/>
      <c r="U28" s="62"/>
    </row>
    <row r="29" customFormat="false" ht="20.1" hidden="false" customHeight="true" outlineLevel="0" collapsed="false">
      <c r="B29" s="62"/>
      <c r="D29" s="65"/>
      <c r="E29" s="66"/>
      <c r="F29" s="66"/>
      <c r="G29" s="317" t="s">
        <v>58</v>
      </c>
      <c r="H29" s="317" t="s">
        <v>59</v>
      </c>
      <c r="I29" s="226" t="s">
        <v>60</v>
      </c>
      <c r="J29" s="226"/>
      <c r="K29" s="69" t="s">
        <v>61</v>
      </c>
      <c r="L29" s="69" t="s">
        <v>58</v>
      </c>
      <c r="M29" s="70" t="s">
        <v>62</v>
      </c>
      <c r="N29" s="67" t="s">
        <v>60</v>
      </c>
      <c r="O29" s="67"/>
      <c r="P29" s="67"/>
      <c r="Q29" s="67"/>
      <c r="R29" s="67"/>
      <c r="S29" s="67"/>
      <c r="U29" s="62"/>
    </row>
    <row r="30" customFormat="false" ht="15" hidden="false" customHeight="true" outlineLevel="0" collapsed="false">
      <c r="B30" s="62"/>
      <c r="D30" s="318" t="s">
        <v>15</v>
      </c>
      <c r="E30" s="16" t="s">
        <v>16</v>
      </c>
      <c r="F30" s="23" t="n">
        <v>1</v>
      </c>
      <c r="G30" s="319" t="s">
        <v>229</v>
      </c>
      <c r="H30" s="320" t="s">
        <v>230</v>
      </c>
      <c r="I30" s="321" t="s">
        <v>231</v>
      </c>
      <c r="J30" s="321"/>
      <c r="K30" s="322" t="s">
        <v>111</v>
      </c>
      <c r="L30" s="323" t="s">
        <v>67</v>
      </c>
      <c r="M30" s="324" t="s">
        <v>67</v>
      </c>
      <c r="N30" s="78" t="s">
        <v>67</v>
      </c>
      <c r="O30" s="78"/>
      <c r="P30" s="78"/>
      <c r="Q30" s="78"/>
      <c r="R30" s="78"/>
      <c r="S30" s="78"/>
      <c r="U30" s="62"/>
    </row>
    <row r="31" customFormat="false" ht="15" hidden="false" customHeight="true" outlineLevel="0" collapsed="false">
      <c r="B31" s="62"/>
      <c r="D31" s="318"/>
      <c r="E31" s="16"/>
      <c r="F31" s="23"/>
      <c r="G31" s="319"/>
      <c r="H31" s="320"/>
      <c r="I31" s="325" t="s">
        <v>232</v>
      </c>
      <c r="J31" s="325"/>
      <c r="K31" s="322"/>
      <c r="L31" s="323"/>
      <c r="M31" s="324"/>
      <c r="N31" s="78"/>
      <c r="O31" s="78"/>
      <c r="P31" s="78"/>
      <c r="Q31" s="78"/>
      <c r="R31" s="78"/>
      <c r="S31" s="78"/>
      <c r="U31" s="62"/>
    </row>
    <row r="32" customFormat="false" ht="15" hidden="false" customHeight="true" outlineLevel="0" collapsed="false">
      <c r="B32" s="62"/>
      <c r="D32" s="318"/>
      <c r="E32" s="16"/>
      <c r="F32" s="23"/>
      <c r="G32" s="319"/>
      <c r="H32" s="320"/>
      <c r="I32" s="325" t="s">
        <v>233</v>
      </c>
      <c r="J32" s="325"/>
      <c r="K32" s="322"/>
      <c r="L32" s="323"/>
      <c r="M32" s="324"/>
      <c r="N32" s="78"/>
      <c r="O32" s="78"/>
      <c r="P32" s="78"/>
      <c r="Q32" s="78"/>
      <c r="R32" s="78"/>
      <c r="S32" s="78"/>
      <c r="U32" s="62"/>
    </row>
    <row r="33" customFormat="false" ht="27.95" hidden="false" customHeight="true" outlineLevel="0" collapsed="false">
      <c r="B33" s="62"/>
      <c r="D33" s="318"/>
      <c r="E33" s="16"/>
      <c r="F33" s="23"/>
      <c r="G33" s="319"/>
      <c r="H33" s="320"/>
      <c r="I33" s="325" t="s">
        <v>234</v>
      </c>
      <c r="J33" s="325"/>
      <c r="K33" s="322"/>
      <c r="L33" s="323"/>
      <c r="M33" s="324"/>
      <c r="N33" s="78"/>
      <c r="O33" s="78"/>
      <c r="P33" s="78"/>
      <c r="Q33" s="78"/>
      <c r="R33" s="78"/>
      <c r="S33" s="78"/>
      <c r="U33" s="62"/>
    </row>
    <row r="34" customFormat="false" ht="15" hidden="false" customHeight="true" outlineLevel="0" collapsed="false">
      <c r="B34" s="62"/>
      <c r="D34" s="318"/>
      <c r="E34" s="16"/>
      <c r="F34" s="23"/>
      <c r="G34" s="319"/>
      <c r="H34" s="320"/>
      <c r="I34" s="325" t="s">
        <v>235</v>
      </c>
      <c r="J34" s="325"/>
      <c r="K34" s="322"/>
      <c r="L34" s="323"/>
      <c r="M34" s="324"/>
      <c r="N34" s="78"/>
      <c r="O34" s="78"/>
      <c r="P34" s="78"/>
      <c r="Q34" s="78"/>
      <c r="R34" s="78"/>
      <c r="S34" s="78"/>
      <c r="U34" s="62"/>
    </row>
    <row r="35" customFormat="false" ht="27.95" hidden="false" customHeight="true" outlineLevel="0" collapsed="false">
      <c r="B35" s="62"/>
      <c r="D35" s="318"/>
      <c r="E35" s="16"/>
      <c r="F35" s="23"/>
      <c r="G35" s="319"/>
      <c r="H35" s="320"/>
      <c r="I35" s="325" t="s">
        <v>236</v>
      </c>
      <c r="J35" s="325"/>
      <c r="K35" s="322"/>
      <c r="L35" s="323"/>
      <c r="M35" s="324"/>
      <c r="N35" s="78"/>
      <c r="O35" s="78"/>
      <c r="P35" s="78"/>
      <c r="Q35" s="78"/>
      <c r="R35" s="78"/>
      <c r="S35" s="78"/>
      <c r="U35" s="62"/>
    </row>
    <row r="36" customFormat="false" ht="15" hidden="false" customHeight="true" outlineLevel="0" collapsed="false">
      <c r="B36" s="62"/>
      <c r="D36" s="318"/>
      <c r="E36" s="16"/>
      <c r="F36" s="23"/>
      <c r="G36" s="319"/>
      <c r="H36" s="320"/>
      <c r="I36" s="325" t="s">
        <v>237</v>
      </c>
      <c r="J36" s="325"/>
      <c r="K36" s="322"/>
      <c r="L36" s="323"/>
      <c r="M36" s="324"/>
      <c r="N36" s="78"/>
      <c r="O36" s="78"/>
      <c r="P36" s="78"/>
      <c r="Q36" s="78"/>
      <c r="R36" s="78"/>
      <c r="S36" s="78"/>
      <c r="U36" s="62"/>
    </row>
    <row r="37" customFormat="false" ht="15" hidden="false" customHeight="true" outlineLevel="0" collapsed="false">
      <c r="B37" s="62"/>
      <c r="D37" s="318"/>
      <c r="E37" s="16"/>
      <c r="F37" s="23"/>
      <c r="G37" s="319"/>
      <c r="H37" s="320"/>
      <c r="I37" s="325" t="s">
        <v>238</v>
      </c>
      <c r="J37" s="325"/>
      <c r="K37" s="322"/>
      <c r="L37" s="323"/>
      <c r="M37" s="324"/>
      <c r="N37" s="78"/>
      <c r="O37" s="78"/>
      <c r="P37" s="78"/>
      <c r="Q37" s="78"/>
      <c r="R37" s="78"/>
      <c r="S37" s="78"/>
      <c r="U37" s="62"/>
    </row>
    <row r="38" customFormat="false" ht="15" hidden="false" customHeight="true" outlineLevel="0" collapsed="false">
      <c r="B38" s="62"/>
      <c r="D38" s="318"/>
      <c r="E38" s="16"/>
      <c r="F38" s="23"/>
      <c r="G38" s="319"/>
      <c r="H38" s="320"/>
      <c r="I38" s="325" t="s">
        <v>239</v>
      </c>
      <c r="J38" s="325"/>
      <c r="K38" s="322"/>
      <c r="L38" s="323"/>
      <c r="M38" s="324"/>
      <c r="N38" s="78"/>
      <c r="O38" s="78"/>
      <c r="P38" s="78"/>
      <c r="Q38" s="78"/>
      <c r="R38" s="78"/>
      <c r="S38" s="78"/>
      <c r="U38" s="62"/>
    </row>
    <row r="39" customFormat="false" ht="15" hidden="false" customHeight="true" outlineLevel="0" collapsed="false">
      <c r="B39" s="62"/>
      <c r="D39" s="318"/>
      <c r="E39" s="16"/>
      <c r="F39" s="23"/>
      <c r="G39" s="319"/>
      <c r="H39" s="320"/>
      <c r="I39" s="325" t="s">
        <v>240</v>
      </c>
      <c r="J39" s="325"/>
      <c r="K39" s="322"/>
      <c r="L39" s="323"/>
      <c r="M39" s="324"/>
      <c r="N39" s="78"/>
      <c r="O39" s="78"/>
      <c r="P39" s="78"/>
      <c r="Q39" s="78"/>
      <c r="R39" s="78"/>
      <c r="S39" s="78"/>
      <c r="U39" s="62"/>
    </row>
    <row r="40" customFormat="false" ht="27.95" hidden="false" customHeight="true" outlineLevel="0" collapsed="false">
      <c r="B40" s="62"/>
      <c r="D40" s="326" t="s">
        <v>22</v>
      </c>
      <c r="E40" s="306" t="s">
        <v>23</v>
      </c>
      <c r="F40" s="31" t="n">
        <v>2</v>
      </c>
      <c r="G40" s="327" t="s">
        <v>114</v>
      </c>
      <c r="H40" s="82" t="s">
        <v>115</v>
      </c>
      <c r="I40" s="328" t="s">
        <v>241</v>
      </c>
      <c r="J40" s="328"/>
      <c r="K40" s="329" t="s">
        <v>64</v>
      </c>
      <c r="L40" s="330" t="s">
        <v>67</v>
      </c>
      <c r="M40" s="331" t="s">
        <v>67</v>
      </c>
      <c r="N40" s="86" t="s">
        <v>67</v>
      </c>
      <c r="O40" s="86"/>
      <c r="P40" s="86"/>
      <c r="Q40" s="86"/>
      <c r="R40" s="86"/>
      <c r="S40" s="86"/>
      <c r="U40" s="62"/>
    </row>
    <row r="41" customFormat="false" ht="15" hidden="false" customHeight="true" outlineLevel="0" collapsed="false">
      <c r="B41" s="62"/>
      <c r="D41" s="326"/>
      <c r="E41" s="306"/>
      <c r="F41" s="31"/>
      <c r="G41" s="327"/>
      <c r="H41" s="82"/>
      <c r="I41" s="332" t="s">
        <v>242</v>
      </c>
      <c r="J41" s="332"/>
      <c r="K41" s="329"/>
      <c r="L41" s="330"/>
      <c r="M41" s="331"/>
      <c r="N41" s="86"/>
      <c r="O41" s="86"/>
      <c r="P41" s="86"/>
      <c r="Q41" s="86"/>
      <c r="R41" s="86"/>
      <c r="S41" s="86"/>
      <c r="U41" s="62"/>
    </row>
    <row r="42" customFormat="false" ht="15" hidden="false" customHeight="true" outlineLevel="0" collapsed="false">
      <c r="B42" s="62"/>
      <c r="D42" s="326"/>
      <c r="E42" s="306"/>
      <c r="F42" s="31"/>
      <c r="G42" s="327"/>
      <c r="H42" s="82"/>
      <c r="I42" s="332" t="s">
        <v>243</v>
      </c>
      <c r="J42" s="332"/>
      <c r="K42" s="329"/>
      <c r="L42" s="330"/>
      <c r="M42" s="331"/>
      <c r="N42" s="86"/>
      <c r="O42" s="86"/>
      <c r="P42" s="86"/>
      <c r="Q42" s="86"/>
      <c r="R42" s="86"/>
      <c r="S42" s="86"/>
      <c r="U42" s="62"/>
    </row>
    <row r="43" customFormat="false" ht="15" hidden="false" customHeight="true" outlineLevel="0" collapsed="false">
      <c r="B43" s="62"/>
      <c r="D43" s="326"/>
      <c r="E43" s="306"/>
      <c r="F43" s="31"/>
      <c r="G43" s="327"/>
      <c r="H43" s="82"/>
      <c r="I43" s="332" t="s">
        <v>244</v>
      </c>
      <c r="J43" s="332"/>
      <c r="K43" s="329"/>
      <c r="L43" s="330"/>
      <c r="M43" s="331"/>
      <c r="N43" s="86"/>
      <c r="O43" s="86"/>
      <c r="P43" s="86"/>
      <c r="Q43" s="86"/>
      <c r="R43" s="86"/>
      <c r="S43" s="86"/>
      <c r="U43" s="62"/>
    </row>
    <row r="44" customFormat="false" ht="15" hidden="false" customHeight="true" outlineLevel="0" collapsed="false">
      <c r="B44" s="62"/>
      <c r="D44" s="333" t="s">
        <v>17</v>
      </c>
      <c r="E44" s="33" t="s">
        <v>18</v>
      </c>
      <c r="F44" s="31" t="n">
        <v>3</v>
      </c>
      <c r="G44" s="334" t="s">
        <v>63</v>
      </c>
      <c r="H44" s="89" t="s">
        <v>64</v>
      </c>
      <c r="I44" s="335" t="s">
        <v>245</v>
      </c>
      <c r="J44" s="335"/>
      <c r="K44" s="414" t="s">
        <v>246</v>
      </c>
      <c r="L44" s="415" t="s">
        <v>70</v>
      </c>
      <c r="M44" s="416" t="s">
        <v>247</v>
      </c>
      <c r="N44" s="335" t="s">
        <v>248</v>
      </c>
      <c r="O44" s="335"/>
      <c r="P44" s="335"/>
      <c r="Q44" s="335"/>
      <c r="R44" s="335"/>
      <c r="S44" s="335"/>
      <c r="U44" s="62"/>
    </row>
    <row r="45" customFormat="false" ht="15" hidden="false" customHeight="true" outlineLevel="0" collapsed="false">
      <c r="B45" s="62"/>
      <c r="D45" s="333"/>
      <c r="E45" s="33"/>
      <c r="F45" s="31"/>
      <c r="G45" s="334"/>
      <c r="H45" s="89"/>
      <c r="I45" s="338" t="s">
        <v>249</v>
      </c>
      <c r="J45" s="338"/>
      <c r="K45" s="414"/>
      <c r="L45" s="415"/>
      <c r="M45" s="416"/>
      <c r="N45" s="357" t="s">
        <v>250</v>
      </c>
      <c r="O45" s="357"/>
      <c r="P45" s="357"/>
      <c r="Q45" s="357"/>
      <c r="R45" s="357"/>
      <c r="S45" s="357"/>
      <c r="U45" s="62"/>
    </row>
    <row r="46" customFormat="false" ht="15" hidden="false" customHeight="true" outlineLevel="0" collapsed="false">
      <c r="B46" s="62"/>
      <c r="D46" s="362" t="s">
        <v>20</v>
      </c>
      <c r="E46" s="44" t="s">
        <v>21</v>
      </c>
      <c r="F46" s="340" t="n">
        <v>4</v>
      </c>
      <c r="G46" s="341" t="s">
        <v>63</v>
      </c>
      <c r="H46" s="341" t="s">
        <v>74</v>
      </c>
      <c r="I46" s="342" t="s">
        <v>251</v>
      </c>
      <c r="J46" s="342"/>
      <c r="K46" s="417" t="s">
        <v>64</v>
      </c>
      <c r="L46" s="344" t="s">
        <v>67</v>
      </c>
      <c r="M46" s="345" t="s">
        <v>67</v>
      </c>
      <c r="N46" s="346" t="s">
        <v>67</v>
      </c>
      <c r="O46" s="346"/>
      <c r="P46" s="346"/>
      <c r="Q46" s="346"/>
      <c r="R46" s="346"/>
      <c r="S46" s="346"/>
      <c r="U46" s="62"/>
    </row>
    <row r="47" customFormat="false" ht="15" hidden="false" customHeight="true" outlineLevel="0" collapsed="false">
      <c r="B47" s="62"/>
      <c r="D47" s="362"/>
      <c r="E47" s="44"/>
      <c r="F47" s="340"/>
      <c r="G47" s="341"/>
      <c r="H47" s="341"/>
      <c r="I47" s="348" t="s">
        <v>252</v>
      </c>
      <c r="J47" s="348"/>
      <c r="K47" s="417"/>
      <c r="L47" s="344"/>
      <c r="M47" s="345"/>
      <c r="N47" s="346"/>
      <c r="O47" s="346"/>
      <c r="P47" s="346"/>
      <c r="Q47" s="346"/>
      <c r="R47" s="346"/>
      <c r="S47" s="346"/>
      <c r="U47" s="62"/>
    </row>
    <row r="48" customFormat="false" ht="20.1" hidden="false" customHeight="true" outlineLevel="0" collapsed="false">
      <c r="B48" s="62"/>
      <c r="U48" s="62"/>
    </row>
    <row r="49" customFormat="false" ht="20.1" hidden="false" customHeight="true" outlineLevel="0" collapsed="false">
      <c r="B49" s="62"/>
      <c r="C49" s="101"/>
      <c r="D49" s="101"/>
      <c r="E49" s="102" t="str">
        <f aca="false">IF(OR(M30="-",M30= ""),H30,M30)</f>
        <v>Gaia Project</v>
      </c>
      <c r="F49" s="102"/>
      <c r="G49" s="102"/>
      <c r="H49" s="102"/>
      <c r="I49" s="102"/>
      <c r="J49" s="102"/>
      <c r="K49" s="102"/>
      <c r="L49" s="102"/>
      <c r="M49" s="102"/>
      <c r="N49" s="102"/>
      <c r="O49" s="103"/>
      <c r="P49" s="103"/>
      <c r="Q49" s="103"/>
      <c r="R49" s="103"/>
      <c r="S49" s="103"/>
      <c r="T49" s="101"/>
      <c r="U49" s="62"/>
    </row>
    <row r="50" customFormat="false" ht="50.1" hidden="false" customHeight="true" outlineLevel="0" collapsed="false">
      <c r="B50" s="62"/>
      <c r="C50" s="101"/>
      <c r="D50" s="103"/>
      <c r="E50" s="65" t="s">
        <v>53</v>
      </c>
      <c r="F50" s="104" t="s">
        <v>76</v>
      </c>
      <c r="G50" s="67" t="s">
        <v>77</v>
      </c>
      <c r="H50" s="66" t="s">
        <v>78</v>
      </c>
      <c r="I50" s="54" t="s">
        <v>79</v>
      </c>
      <c r="J50" s="66" t="s">
        <v>80</v>
      </c>
      <c r="K50" s="105" t="s">
        <v>81</v>
      </c>
      <c r="L50" s="66" t="s">
        <v>82</v>
      </c>
      <c r="M50" s="106" t="s">
        <v>83</v>
      </c>
      <c r="N50" s="67" t="s">
        <v>84</v>
      </c>
      <c r="O50" s="107" t="s">
        <v>85</v>
      </c>
      <c r="P50" s="108" t="s">
        <v>86</v>
      </c>
      <c r="Q50" s="108" t="s">
        <v>87</v>
      </c>
      <c r="R50" s="108" t="s">
        <v>88</v>
      </c>
      <c r="S50" s="103"/>
      <c r="T50" s="101"/>
      <c r="U50" s="62"/>
    </row>
    <row r="51" customFormat="false" ht="20.1" hidden="false" customHeight="true" outlineLevel="0" collapsed="false">
      <c r="B51" s="62"/>
      <c r="C51" s="101"/>
      <c r="D51" s="101"/>
      <c r="E51" s="380" t="s">
        <v>15</v>
      </c>
      <c r="F51" s="18" t="s">
        <v>16</v>
      </c>
      <c r="G51" s="250" t="n">
        <v>2</v>
      </c>
      <c r="H51" s="250" t="s">
        <v>253</v>
      </c>
      <c r="I51" s="250" t="n">
        <v>10</v>
      </c>
      <c r="J51" s="250" t="n">
        <v>136</v>
      </c>
      <c r="K51" s="250" t="s">
        <v>67</v>
      </c>
      <c r="L51" s="253" t="n">
        <f aca="false">IF(J51="",0,(J51/J55)*100)</f>
        <v>80.952380952381</v>
      </c>
      <c r="M51" s="250" t="n">
        <v>3</v>
      </c>
      <c r="N51" s="254" t="n">
        <v>1</v>
      </c>
      <c r="O51" s="115" t="n">
        <f aca="false">IF(M51=1,1,0)</f>
        <v>0</v>
      </c>
      <c r="P51" s="116" t="n">
        <f aca="false">IF(M51=2,1,0)</f>
        <v>0</v>
      </c>
      <c r="Q51" s="116" t="n">
        <f aca="false">IF(M51=3,1,0)</f>
        <v>1</v>
      </c>
      <c r="R51" s="117" t="n">
        <f aca="false">IF(M51=4,1,0)</f>
        <v>0</v>
      </c>
      <c r="S51" s="118"/>
      <c r="T51" s="101"/>
      <c r="U51" s="62"/>
    </row>
    <row r="52" customFormat="false" ht="20.1" hidden="false" customHeight="true" outlineLevel="0" collapsed="false">
      <c r="B52" s="62"/>
      <c r="C52" s="101"/>
      <c r="D52" s="101"/>
      <c r="E52" s="333" t="s">
        <v>22</v>
      </c>
      <c r="F52" s="32" t="s">
        <v>23</v>
      </c>
      <c r="G52" s="241" t="n">
        <v>1</v>
      </c>
      <c r="H52" s="241" t="s">
        <v>254</v>
      </c>
      <c r="I52" s="241" t="n">
        <v>-10</v>
      </c>
      <c r="J52" s="241" t="n">
        <v>125</v>
      </c>
      <c r="K52" s="241" t="s">
        <v>67</v>
      </c>
      <c r="L52" s="243" t="n">
        <f aca="false">IF(J52="",0,(J52/J55)*100)</f>
        <v>74.4047619047619</v>
      </c>
      <c r="M52" s="241" t="n">
        <v>4</v>
      </c>
      <c r="N52" s="244" t="n">
        <v>0</v>
      </c>
      <c r="O52" s="121" t="n">
        <f aca="false">IF(M52=1,1,0)</f>
        <v>0</v>
      </c>
      <c r="P52" s="122" t="n">
        <f aca="false">IF(M52=2,1,0)</f>
        <v>0</v>
      </c>
      <c r="Q52" s="122" t="n">
        <f aca="false">IF(M52=3,1,0)</f>
        <v>0</v>
      </c>
      <c r="R52" s="123" t="n">
        <f aca="false">IF(M52=4,1,0)</f>
        <v>1</v>
      </c>
      <c r="S52" s="118"/>
      <c r="T52" s="101"/>
      <c r="U52" s="62"/>
    </row>
    <row r="53" customFormat="false" ht="20.1" hidden="false" customHeight="true" outlineLevel="0" collapsed="false">
      <c r="B53" s="62"/>
      <c r="C53" s="101"/>
      <c r="D53" s="101"/>
      <c r="E53" s="333" t="s">
        <v>17</v>
      </c>
      <c r="F53" s="32" t="s">
        <v>19</v>
      </c>
      <c r="G53" s="241" t="n">
        <v>4</v>
      </c>
      <c r="H53" s="241" t="s">
        <v>255</v>
      </c>
      <c r="I53" s="241" t="n">
        <v>-16</v>
      </c>
      <c r="J53" s="241" t="n">
        <v>138</v>
      </c>
      <c r="K53" s="241" t="s">
        <v>67</v>
      </c>
      <c r="L53" s="243" t="n">
        <f aca="false">IF(J53="",0,(J53/J55)*100)</f>
        <v>82.1428571428571</v>
      </c>
      <c r="M53" s="241" t="n">
        <v>2</v>
      </c>
      <c r="N53" s="244" t="n">
        <v>3</v>
      </c>
      <c r="O53" s="121" t="n">
        <f aca="false">IF(M53=1,1,0)</f>
        <v>0</v>
      </c>
      <c r="P53" s="122" t="n">
        <f aca="false">IF(M53=2,1,0)</f>
        <v>1</v>
      </c>
      <c r="Q53" s="122" t="n">
        <f aca="false">IF(M53=3,1,0)</f>
        <v>0</v>
      </c>
      <c r="R53" s="123" t="n">
        <f aca="false">IF(M53=4,1,0)</f>
        <v>0</v>
      </c>
      <c r="S53" s="118"/>
      <c r="T53" s="101"/>
      <c r="U53" s="62"/>
    </row>
    <row r="54" customFormat="false" ht="20.1" hidden="false" customHeight="true" outlineLevel="0" collapsed="false">
      <c r="B54" s="62"/>
      <c r="C54" s="101"/>
      <c r="D54" s="124"/>
      <c r="E54" s="350" t="s">
        <v>20</v>
      </c>
      <c r="F54" s="294" t="s">
        <v>21</v>
      </c>
      <c r="G54" s="295" t="n">
        <v>3</v>
      </c>
      <c r="H54" s="295" t="s">
        <v>256</v>
      </c>
      <c r="I54" s="295" t="n">
        <v>-1</v>
      </c>
      <c r="J54" s="295" t="n">
        <v>168</v>
      </c>
      <c r="K54" s="295" t="s">
        <v>67</v>
      </c>
      <c r="L54" s="297" t="n">
        <f aca="false">IF(J54="",0,(J54/J55)*100)</f>
        <v>100</v>
      </c>
      <c r="M54" s="295" t="n">
        <v>1</v>
      </c>
      <c r="N54" s="298" t="n">
        <v>6</v>
      </c>
      <c r="O54" s="127" t="n">
        <f aca="false">IF(M54=1,1,0)</f>
        <v>1</v>
      </c>
      <c r="P54" s="128" t="n">
        <f aca="false">IF(M54=2,1,0)</f>
        <v>0</v>
      </c>
      <c r="Q54" s="128" t="n">
        <f aca="false">IF(M54=3,1,0)</f>
        <v>0</v>
      </c>
      <c r="R54" s="129" t="n">
        <f aca="false">IF(M54=4,1,0)</f>
        <v>0</v>
      </c>
      <c r="S54" s="118"/>
      <c r="T54" s="101"/>
      <c r="U54" s="62"/>
    </row>
    <row r="55" customFormat="false" ht="20.1" hidden="true" customHeight="true" outlineLevel="1" collapsed="false">
      <c r="B55" s="62"/>
      <c r="C55" s="101"/>
      <c r="D55" s="130"/>
      <c r="E55" s="130"/>
      <c r="F55" s="131"/>
      <c r="G55" s="131"/>
      <c r="H55" s="101"/>
      <c r="I55" s="132" t="s">
        <v>89</v>
      </c>
      <c r="J55" s="133" t="n">
        <f aca="false">MAX(J51:J54)</f>
        <v>168</v>
      </c>
      <c r="K55" s="134"/>
      <c r="L55" s="135"/>
      <c r="M55" s="101"/>
      <c r="N55" s="136" t="s">
        <v>90</v>
      </c>
      <c r="O55" s="137" t="n">
        <f aca="false">SUM(O51:O54)</f>
        <v>1</v>
      </c>
      <c r="P55" s="138" t="n">
        <f aca="false">SUM(P51:P54)</f>
        <v>1</v>
      </c>
      <c r="Q55" s="137" t="n">
        <f aca="false">SUM(Q51:Q54)</f>
        <v>1</v>
      </c>
      <c r="R55" s="137" t="n">
        <f aca="false">SUM(R51:R54)</f>
        <v>1</v>
      </c>
      <c r="S55" s="139"/>
      <c r="T55" s="101"/>
      <c r="U55" s="62"/>
    </row>
    <row r="56" customFormat="false" ht="20.1" hidden="false" customHeight="true" outlineLevel="0" collapsed="false">
      <c r="B56" s="62"/>
      <c r="C56" s="101"/>
      <c r="D56" s="101"/>
      <c r="E56" s="101"/>
      <c r="F56" s="140"/>
      <c r="G56" s="140"/>
      <c r="H56" s="103"/>
      <c r="I56" s="101"/>
      <c r="J56" s="101"/>
      <c r="K56" s="101"/>
      <c r="L56" s="101"/>
      <c r="M56" s="101"/>
      <c r="N56" s="101"/>
      <c r="O56" s="101"/>
      <c r="P56" s="101"/>
      <c r="Q56" s="101"/>
      <c r="R56" s="101"/>
      <c r="S56" s="101"/>
      <c r="T56" s="101"/>
      <c r="U56" s="62"/>
    </row>
    <row r="57" customFormat="false" ht="20.1" hidden="false" customHeight="true" outlineLevel="0" collapsed="false">
      <c r="B57" s="62"/>
      <c r="U57" s="62"/>
    </row>
    <row r="58" customFormat="false" ht="20.1" hidden="false" customHeight="true" outlineLevel="0" collapsed="false">
      <c r="B58" s="62"/>
      <c r="C58" s="141"/>
      <c r="D58" s="141"/>
      <c r="E58" s="142" t="str">
        <f aca="false">IF(OR(M40="-",M40= ""),H40,M40)</f>
        <v>Orakel von Delphi</v>
      </c>
      <c r="F58" s="142"/>
      <c r="G58" s="142"/>
      <c r="H58" s="142"/>
      <c r="I58" s="142"/>
      <c r="J58" s="142"/>
      <c r="K58" s="142"/>
      <c r="L58" s="142"/>
      <c r="M58" s="142"/>
      <c r="N58" s="142"/>
      <c r="O58" s="143"/>
      <c r="P58" s="143"/>
      <c r="Q58" s="143"/>
      <c r="R58" s="143"/>
      <c r="S58" s="143"/>
      <c r="T58" s="141"/>
      <c r="U58" s="62"/>
    </row>
    <row r="59" customFormat="false" ht="50.1" hidden="false" customHeight="true" outlineLevel="0" collapsed="false">
      <c r="B59" s="62"/>
      <c r="C59" s="141"/>
      <c r="D59" s="143"/>
      <c r="E59" s="65" t="s">
        <v>53</v>
      </c>
      <c r="F59" s="104" t="s">
        <v>76</v>
      </c>
      <c r="G59" s="67" t="s">
        <v>77</v>
      </c>
      <c r="H59" s="66" t="s">
        <v>78</v>
      </c>
      <c r="I59" s="54" t="s">
        <v>79</v>
      </c>
      <c r="J59" s="66" t="s">
        <v>80</v>
      </c>
      <c r="K59" s="105" t="s">
        <v>81</v>
      </c>
      <c r="L59" s="66" t="s">
        <v>82</v>
      </c>
      <c r="M59" s="106" t="s">
        <v>83</v>
      </c>
      <c r="N59" s="67" t="s">
        <v>84</v>
      </c>
      <c r="O59" s="107" t="s">
        <v>85</v>
      </c>
      <c r="P59" s="108" t="s">
        <v>86</v>
      </c>
      <c r="Q59" s="108" t="s">
        <v>87</v>
      </c>
      <c r="R59" s="108" t="s">
        <v>88</v>
      </c>
      <c r="S59" s="143"/>
      <c r="T59" s="141"/>
      <c r="U59" s="62"/>
    </row>
    <row r="60" customFormat="false" ht="30" hidden="false" customHeight="true" outlineLevel="0" collapsed="false">
      <c r="B60" s="62"/>
      <c r="C60" s="141"/>
      <c r="D60" s="141"/>
      <c r="E60" s="380" t="s">
        <v>15</v>
      </c>
      <c r="F60" s="18" t="s">
        <v>16</v>
      </c>
      <c r="G60" s="250" t="n">
        <v>1</v>
      </c>
      <c r="H60" s="251" t="s">
        <v>257</v>
      </c>
      <c r="I60" s="250" t="s">
        <v>67</v>
      </c>
      <c r="J60" s="251" t="s">
        <v>134</v>
      </c>
      <c r="K60" s="251" t="s">
        <v>67</v>
      </c>
      <c r="L60" s="253" t="n">
        <f aca="false">(L52+L69+L78)/3</f>
        <v>53.6904761904762</v>
      </c>
      <c r="M60" s="250" t="n">
        <v>4</v>
      </c>
      <c r="N60" s="254" t="n">
        <v>0</v>
      </c>
      <c r="O60" s="115" t="n">
        <f aca="false">IF(M60=1,1,0)</f>
        <v>0</v>
      </c>
      <c r="P60" s="116" t="n">
        <f aca="false">IF(M60=2,1,0)</f>
        <v>0</v>
      </c>
      <c r="Q60" s="116" t="n">
        <f aca="false">IF(M60=3,1,0)</f>
        <v>0</v>
      </c>
      <c r="R60" s="117" t="n">
        <f aca="false">IF(M60=4,1,0)</f>
        <v>1</v>
      </c>
      <c r="S60" s="147"/>
      <c r="T60" s="141"/>
      <c r="U60" s="62"/>
    </row>
    <row r="61" customFormat="false" ht="42" hidden="false" customHeight="true" outlineLevel="0" collapsed="false">
      <c r="B61" s="62"/>
      <c r="C61" s="141"/>
      <c r="D61" s="148"/>
      <c r="E61" s="333" t="s">
        <v>22</v>
      </c>
      <c r="F61" s="32" t="s">
        <v>23</v>
      </c>
      <c r="G61" s="241" t="n">
        <v>3</v>
      </c>
      <c r="H61" s="242" t="s">
        <v>258</v>
      </c>
      <c r="I61" s="241" t="s">
        <v>67</v>
      </c>
      <c r="J61" s="242" t="s">
        <v>129</v>
      </c>
      <c r="K61" s="242" t="s">
        <v>67</v>
      </c>
      <c r="L61" s="243" t="n">
        <f aca="false">(L53+L71+L80)/3</f>
        <v>81.1587301587302</v>
      </c>
      <c r="M61" s="241" t="n">
        <v>2</v>
      </c>
      <c r="N61" s="244" t="n">
        <v>3</v>
      </c>
      <c r="O61" s="121" t="n">
        <f aca="false">IF(M61=1,1,0)</f>
        <v>0</v>
      </c>
      <c r="P61" s="122" t="n">
        <f aca="false">IF(M61=2,1,0)</f>
        <v>1</v>
      </c>
      <c r="Q61" s="122" t="n">
        <f aca="false">IF(M61=3,1,0)</f>
        <v>0</v>
      </c>
      <c r="R61" s="123" t="n">
        <f aca="false">IF(M61=4,1,0)</f>
        <v>0</v>
      </c>
      <c r="S61" s="147"/>
      <c r="T61" s="141"/>
      <c r="U61" s="62"/>
    </row>
    <row r="62" customFormat="false" ht="42" hidden="false" customHeight="true" outlineLevel="0" collapsed="false">
      <c r="B62" s="62"/>
      <c r="C62" s="141"/>
      <c r="D62" s="141"/>
      <c r="E62" s="174" t="s">
        <v>17</v>
      </c>
      <c r="F62" s="175" t="s">
        <v>19</v>
      </c>
      <c r="G62" s="151" t="n">
        <v>4</v>
      </c>
      <c r="H62" s="152" t="s">
        <v>133</v>
      </c>
      <c r="I62" s="151" t="s">
        <v>67</v>
      </c>
      <c r="J62" s="152" t="s">
        <v>127</v>
      </c>
      <c r="K62" s="152" t="s">
        <v>67</v>
      </c>
      <c r="L62" s="153" t="n">
        <v>100</v>
      </c>
      <c r="M62" s="151" t="n">
        <v>1</v>
      </c>
      <c r="N62" s="154" t="n">
        <v>6</v>
      </c>
      <c r="O62" s="121" t="n">
        <f aca="false">IF(M62=1,1,0)</f>
        <v>1</v>
      </c>
      <c r="P62" s="122" t="n">
        <f aca="false">IF(M62=2,1,0)</f>
        <v>0</v>
      </c>
      <c r="Q62" s="122" t="n">
        <f aca="false">IF(M62=3,1,0)</f>
        <v>0</v>
      </c>
      <c r="R62" s="123" t="n">
        <f aca="false">IF(M62=4,1,0)</f>
        <v>0</v>
      </c>
      <c r="S62" s="147"/>
      <c r="T62" s="141"/>
      <c r="U62" s="62"/>
    </row>
    <row r="63" customFormat="false" ht="42" hidden="false" customHeight="true" outlineLevel="0" collapsed="false">
      <c r="B63" s="62"/>
      <c r="C63" s="141"/>
      <c r="D63" s="141"/>
      <c r="E63" s="362" t="s">
        <v>20</v>
      </c>
      <c r="F63" s="46" t="s">
        <v>21</v>
      </c>
      <c r="G63" s="245" t="n">
        <v>2</v>
      </c>
      <c r="H63" s="246" t="s">
        <v>259</v>
      </c>
      <c r="I63" s="245" t="s">
        <v>67</v>
      </c>
      <c r="J63" s="246" t="s">
        <v>260</v>
      </c>
      <c r="K63" s="245" t="s">
        <v>67</v>
      </c>
      <c r="L63" s="247" t="n">
        <f aca="false">(L51+L72+L81)/3</f>
        <v>74.5396825396825</v>
      </c>
      <c r="M63" s="245" t="n">
        <v>3</v>
      </c>
      <c r="N63" s="248" t="n">
        <v>1</v>
      </c>
      <c r="O63" s="127" t="n">
        <f aca="false">IF(M63=1,1,0)</f>
        <v>0</v>
      </c>
      <c r="P63" s="128" t="n">
        <f aca="false">IF(M63=2,1,0)</f>
        <v>0</v>
      </c>
      <c r="Q63" s="128" t="n">
        <f aca="false">IF(M63=3,1,0)</f>
        <v>1</v>
      </c>
      <c r="R63" s="129" t="n">
        <f aca="false">IF(M63=4,1,0)</f>
        <v>0</v>
      </c>
      <c r="S63" s="147"/>
      <c r="T63" s="141"/>
      <c r="U63" s="62"/>
    </row>
    <row r="64" customFormat="false" ht="20.1" hidden="true" customHeight="true" outlineLevel="1" collapsed="false">
      <c r="B64" s="62"/>
      <c r="C64" s="141"/>
      <c r="D64" s="141"/>
      <c r="E64" s="141"/>
      <c r="F64" s="157"/>
      <c r="G64" s="157"/>
      <c r="H64" s="141"/>
      <c r="I64" s="158" t="s">
        <v>89</v>
      </c>
      <c r="J64" s="133" t="n">
        <f aca="false">MAX(J60:J63)</f>
        <v>0</v>
      </c>
      <c r="K64" s="159"/>
      <c r="L64" s="147"/>
      <c r="M64" s="141"/>
      <c r="N64" s="136" t="s">
        <v>90</v>
      </c>
      <c r="O64" s="137" t="n">
        <f aca="false">SUM(O60:O63)</f>
        <v>1</v>
      </c>
      <c r="P64" s="138" t="n">
        <f aca="false">SUM(P60:P63)</f>
        <v>1</v>
      </c>
      <c r="Q64" s="137" t="n">
        <f aca="false">SUM(Q60:Q63)</f>
        <v>1</v>
      </c>
      <c r="R64" s="160" t="n">
        <f aca="false">SUM(R60:R63)</f>
        <v>1</v>
      </c>
      <c r="S64" s="161"/>
      <c r="T64" s="141"/>
      <c r="U64" s="62"/>
    </row>
    <row r="65" customFormat="false" ht="20.1" hidden="false" customHeight="true" outlineLevel="0" collapsed="false">
      <c r="B65" s="62"/>
      <c r="C65" s="141"/>
      <c r="D65" s="141"/>
      <c r="E65" s="141"/>
      <c r="F65" s="141"/>
      <c r="G65" s="141"/>
      <c r="H65" s="141"/>
      <c r="I65" s="141"/>
      <c r="J65" s="141"/>
      <c r="K65" s="141"/>
      <c r="L65" s="141"/>
      <c r="M65" s="141"/>
      <c r="N65" s="141"/>
      <c r="O65" s="141"/>
      <c r="P65" s="141"/>
      <c r="Q65" s="141"/>
      <c r="R65" s="141"/>
      <c r="S65" s="141"/>
      <c r="T65" s="141"/>
      <c r="U65" s="62"/>
    </row>
    <row r="66" customFormat="false" ht="20.1" hidden="false" customHeight="true" outlineLevel="0" collapsed="false">
      <c r="B66" s="62"/>
      <c r="D66" s="162"/>
      <c r="E66" s="162"/>
      <c r="F66" s="162"/>
      <c r="G66" s="162"/>
      <c r="H66" s="163"/>
      <c r="I66" s="162"/>
      <c r="J66" s="162"/>
      <c r="U66" s="62"/>
    </row>
    <row r="67" customFormat="false" ht="20.1" hidden="false" customHeight="true" outlineLevel="0" collapsed="false">
      <c r="B67" s="62"/>
      <c r="C67" s="164"/>
      <c r="D67" s="164"/>
      <c r="E67" s="165" t="str">
        <f aca="false">IF(OR(M44="-",M44= ""),H44,M44)</f>
        <v>Dungeon Lords</v>
      </c>
      <c r="F67" s="165"/>
      <c r="G67" s="165"/>
      <c r="H67" s="165"/>
      <c r="I67" s="165"/>
      <c r="J67" s="165"/>
      <c r="K67" s="165"/>
      <c r="L67" s="165"/>
      <c r="M67" s="165"/>
      <c r="N67" s="165"/>
      <c r="O67" s="166"/>
      <c r="P67" s="166"/>
      <c r="Q67" s="166"/>
      <c r="R67" s="166"/>
      <c r="S67" s="166"/>
      <c r="T67" s="164"/>
      <c r="U67" s="167"/>
      <c r="V67" s="168"/>
      <c r="W67" s="168"/>
    </row>
    <row r="68" customFormat="false" ht="50.1" hidden="false" customHeight="true" outlineLevel="0" collapsed="false">
      <c r="B68" s="62"/>
      <c r="C68" s="164"/>
      <c r="D68" s="166"/>
      <c r="E68" s="65" t="s">
        <v>53</v>
      </c>
      <c r="F68" s="104" t="s">
        <v>76</v>
      </c>
      <c r="G68" s="67" t="s">
        <v>77</v>
      </c>
      <c r="H68" s="66" t="s">
        <v>78</v>
      </c>
      <c r="I68" s="54" t="s">
        <v>79</v>
      </c>
      <c r="J68" s="66" t="s">
        <v>80</v>
      </c>
      <c r="K68" s="105" t="s">
        <v>81</v>
      </c>
      <c r="L68" s="66" t="s">
        <v>82</v>
      </c>
      <c r="M68" s="106" t="s">
        <v>83</v>
      </c>
      <c r="N68" s="67" t="s">
        <v>84</v>
      </c>
      <c r="O68" s="107" t="s">
        <v>85</v>
      </c>
      <c r="P68" s="108" t="s">
        <v>86</v>
      </c>
      <c r="Q68" s="108" t="s">
        <v>87</v>
      </c>
      <c r="R68" s="13" t="s">
        <v>88</v>
      </c>
      <c r="S68" s="166"/>
      <c r="T68" s="164"/>
      <c r="U68" s="167"/>
      <c r="V68" s="168"/>
      <c r="W68" s="168"/>
    </row>
    <row r="69" customFormat="false" ht="20.1" hidden="false" customHeight="true" outlineLevel="0" collapsed="false">
      <c r="B69" s="62"/>
      <c r="C69" s="164"/>
      <c r="D69" s="164"/>
      <c r="E69" s="380" t="s">
        <v>15</v>
      </c>
      <c r="F69" s="18" t="s">
        <v>16</v>
      </c>
      <c r="G69" s="250" t="n">
        <v>1</v>
      </c>
      <c r="H69" s="251" t="s">
        <v>67</v>
      </c>
      <c r="I69" s="250" t="n">
        <v>0</v>
      </c>
      <c r="J69" s="299" t="n">
        <v>10</v>
      </c>
      <c r="K69" s="250" t="s">
        <v>67</v>
      </c>
      <c r="L69" s="253" t="n">
        <f aca="false">IF(J69="",0,(J69/J73)*100)</f>
        <v>40</v>
      </c>
      <c r="M69" s="250" t="n">
        <v>4</v>
      </c>
      <c r="N69" s="254" t="n">
        <v>0</v>
      </c>
      <c r="O69" s="115" t="n">
        <f aca="false">IF(M69=1,1,0)</f>
        <v>0</v>
      </c>
      <c r="P69" s="116" t="n">
        <f aca="false">IF(M69=2,1,0)</f>
        <v>0</v>
      </c>
      <c r="Q69" s="116" t="n">
        <f aca="false">IF(M69=3,1,0)</f>
        <v>0</v>
      </c>
      <c r="R69" s="117" t="n">
        <f aca="false">IF(M69=4,1,0)</f>
        <v>1</v>
      </c>
      <c r="S69" s="170"/>
      <c r="T69" s="164"/>
      <c r="U69" s="62"/>
    </row>
    <row r="70" customFormat="false" ht="20.1" hidden="false" customHeight="true" outlineLevel="0" collapsed="false">
      <c r="B70" s="62"/>
      <c r="C70" s="164"/>
      <c r="D70" s="171"/>
      <c r="E70" s="174" t="s">
        <v>22</v>
      </c>
      <c r="F70" s="175" t="s">
        <v>23</v>
      </c>
      <c r="G70" s="151" t="n">
        <v>3</v>
      </c>
      <c r="H70" s="151" t="s">
        <v>67</v>
      </c>
      <c r="I70" s="151" t="n">
        <v>0</v>
      </c>
      <c r="J70" s="176" t="n">
        <v>25</v>
      </c>
      <c r="K70" s="151" t="s">
        <v>67</v>
      </c>
      <c r="L70" s="153" t="n">
        <f aca="false">IF(J70="",0,(J70/J73)*100)</f>
        <v>100</v>
      </c>
      <c r="M70" s="151" t="n">
        <v>1</v>
      </c>
      <c r="N70" s="154" t="n">
        <v>6</v>
      </c>
      <c r="O70" s="121" t="n">
        <f aca="false">IF(M70=1,1,0)</f>
        <v>1</v>
      </c>
      <c r="P70" s="122" t="n">
        <f aca="false">IF(M70=2,1,0)</f>
        <v>0</v>
      </c>
      <c r="Q70" s="122" t="n">
        <f aca="false">IF(M70=3,1,0)</f>
        <v>0</v>
      </c>
      <c r="R70" s="123" t="n">
        <f aca="false">IF(M70=4,1,0)</f>
        <v>0</v>
      </c>
      <c r="S70" s="170"/>
      <c r="T70" s="164"/>
      <c r="U70" s="173"/>
    </row>
    <row r="71" customFormat="false" ht="20.1" hidden="false" customHeight="true" outlineLevel="0" collapsed="false">
      <c r="B71" s="62"/>
      <c r="C71" s="164"/>
      <c r="D71" s="164"/>
      <c r="E71" s="333" t="s">
        <v>17</v>
      </c>
      <c r="F71" s="32" t="s">
        <v>19</v>
      </c>
      <c r="G71" s="241" t="n">
        <v>2</v>
      </c>
      <c r="H71" s="242" t="s">
        <v>67</v>
      </c>
      <c r="I71" s="241" t="n">
        <v>0</v>
      </c>
      <c r="J71" s="300" t="n">
        <v>22</v>
      </c>
      <c r="K71" s="241" t="s">
        <v>67</v>
      </c>
      <c r="L71" s="243" t="n">
        <f aca="false">IF(J71="",0,(J71/J73)*100)</f>
        <v>88</v>
      </c>
      <c r="M71" s="241" t="n">
        <v>2</v>
      </c>
      <c r="N71" s="244" t="n">
        <v>3</v>
      </c>
      <c r="O71" s="121" t="n">
        <f aca="false">IF(M71=1,1,0)</f>
        <v>0</v>
      </c>
      <c r="P71" s="122" t="n">
        <f aca="false">IF(M71=2,1,0)</f>
        <v>1</v>
      </c>
      <c r="Q71" s="122" t="n">
        <f aca="false">IF(M71=3,1,0)</f>
        <v>0</v>
      </c>
      <c r="R71" s="123" t="n">
        <f aca="false">IF(M71=4,1,0)</f>
        <v>0</v>
      </c>
      <c r="S71" s="170"/>
      <c r="T71" s="164"/>
      <c r="U71" s="173"/>
    </row>
    <row r="72" customFormat="false" ht="20.1" hidden="false" customHeight="true" outlineLevel="0" collapsed="false">
      <c r="B72" s="62"/>
      <c r="C72" s="164"/>
      <c r="D72" s="164"/>
      <c r="E72" s="362" t="s">
        <v>20</v>
      </c>
      <c r="F72" s="46" t="s">
        <v>21</v>
      </c>
      <c r="G72" s="245" t="n">
        <v>4</v>
      </c>
      <c r="H72" s="246" t="s">
        <v>67</v>
      </c>
      <c r="I72" s="245" t="n">
        <v>0</v>
      </c>
      <c r="J72" s="418" t="n">
        <v>19</v>
      </c>
      <c r="K72" s="245" t="s">
        <v>67</v>
      </c>
      <c r="L72" s="247" t="n">
        <f aca="false">IF(J72="",0,(J72/J73)*100)</f>
        <v>76</v>
      </c>
      <c r="M72" s="245" t="n">
        <v>3</v>
      </c>
      <c r="N72" s="248" t="n">
        <v>1</v>
      </c>
      <c r="O72" s="127" t="n">
        <f aca="false">IF(M72=1,1,0)</f>
        <v>0</v>
      </c>
      <c r="P72" s="128" t="n">
        <f aca="false">IF(M72=2,1,0)</f>
        <v>0</v>
      </c>
      <c r="Q72" s="128" t="n">
        <f aca="false">IF(M72=3,1,0)</f>
        <v>1</v>
      </c>
      <c r="R72" s="129" t="n">
        <f aca="false">IF(M72=4,1,0)</f>
        <v>0</v>
      </c>
      <c r="S72" s="170"/>
      <c r="T72" s="164"/>
      <c r="U72" s="173"/>
    </row>
    <row r="73" customFormat="false" ht="20.1" hidden="true" customHeight="true" outlineLevel="1" collapsed="false">
      <c r="B73" s="62"/>
      <c r="C73" s="164"/>
      <c r="D73" s="164"/>
      <c r="E73" s="164"/>
      <c r="F73" s="178"/>
      <c r="G73" s="178"/>
      <c r="H73" s="164"/>
      <c r="I73" s="179" t="s">
        <v>89</v>
      </c>
      <c r="J73" s="133" t="n">
        <f aca="false">MAX(J69:J72)</f>
        <v>25</v>
      </c>
      <c r="K73" s="180"/>
      <c r="L73" s="170"/>
      <c r="M73" s="164"/>
      <c r="N73" s="136"/>
      <c r="O73" s="137" t="n">
        <f aca="false">SUM(O69:O72)</f>
        <v>1</v>
      </c>
      <c r="P73" s="138" t="n">
        <f aca="false">SUM(P69:P72)</f>
        <v>1</v>
      </c>
      <c r="Q73" s="137" t="n">
        <f aca="false">SUM(Q69:Q72)</f>
        <v>1</v>
      </c>
      <c r="R73" s="160" t="n">
        <f aca="false">SUM(R69:R72)</f>
        <v>1</v>
      </c>
      <c r="S73" s="181"/>
      <c r="T73" s="164"/>
      <c r="U73" s="173"/>
    </row>
    <row r="74" customFormat="false" ht="20.1" hidden="false" customHeight="true" outlineLevel="0" collapsed="false">
      <c r="B74" s="62"/>
      <c r="C74" s="164"/>
      <c r="D74" s="164"/>
      <c r="E74" s="164"/>
      <c r="F74" s="164"/>
      <c r="G74" s="164"/>
      <c r="H74" s="164"/>
      <c r="I74" s="164"/>
      <c r="J74" s="164"/>
      <c r="K74" s="164"/>
      <c r="L74" s="164"/>
      <c r="M74" s="164"/>
      <c r="N74" s="164"/>
      <c r="O74" s="164"/>
      <c r="P74" s="164"/>
      <c r="Q74" s="164"/>
      <c r="R74" s="164"/>
      <c r="S74" s="164"/>
      <c r="T74" s="164"/>
      <c r="U74" s="173"/>
    </row>
    <row r="75" customFormat="false" ht="20.1" hidden="false" customHeight="true" outlineLevel="0" collapsed="false">
      <c r="B75" s="62"/>
      <c r="D75" s="162"/>
      <c r="E75" s="162"/>
      <c r="F75" s="162"/>
      <c r="G75" s="162"/>
      <c r="H75" s="163"/>
      <c r="I75" s="162"/>
      <c r="J75" s="162"/>
      <c r="K75" s="162"/>
      <c r="U75" s="62"/>
    </row>
    <row r="76" customFormat="false" ht="20.1" hidden="false" customHeight="true" outlineLevel="0" collapsed="false">
      <c r="B76" s="62"/>
      <c r="C76" s="182"/>
      <c r="D76" s="182"/>
      <c r="E76" s="183" t="str">
        <f aca="false">IF(OR(M46="-",M46= ""),H46,M46)</f>
        <v>Res Arcana</v>
      </c>
      <c r="F76" s="183"/>
      <c r="G76" s="183"/>
      <c r="H76" s="183"/>
      <c r="I76" s="183"/>
      <c r="J76" s="183"/>
      <c r="K76" s="183"/>
      <c r="L76" s="183"/>
      <c r="M76" s="183"/>
      <c r="N76" s="183"/>
      <c r="O76" s="184"/>
      <c r="P76" s="184"/>
      <c r="Q76" s="184"/>
      <c r="R76" s="184"/>
      <c r="S76" s="184"/>
      <c r="T76" s="182"/>
      <c r="U76" s="62"/>
    </row>
    <row r="77" customFormat="false" ht="50.1" hidden="false" customHeight="true" outlineLevel="0" collapsed="false">
      <c r="B77" s="62"/>
      <c r="C77" s="182"/>
      <c r="D77" s="184"/>
      <c r="E77" s="65" t="s">
        <v>53</v>
      </c>
      <c r="F77" s="104" t="s">
        <v>76</v>
      </c>
      <c r="G77" s="67" t="s">
        <v>77</v>
      </c>
      <c r="H77" s="66" t="s">
        <v>78</v>
      </c>
      <c r="I77" s="54" t="s">
        <v>79</v>
      </c>
      <c r="J77" s="66" t="s">
        <v>80</v>
      </c>
      <c r="K77" s="105" t="s">
        <v>81</v>
      </c>
      <c r="L77" s="66" t="s">
        <v>82</v>
      </c>
      <c r="M77" s="106" t="s">
        <v>83</v>
      </c>
      <c r="N77" s="67" t="s">
        <v>84</v>
      </c>
      <c r="O77" s="107" t="s">
        <v>85</v>
      </c>
      <c r="P77" s="108" t="s">
        <v>86</v>
      </c>
      <c r="Q77" s="108" t="s">
        <v>87</v>
      </c>
      <c r="R77" s="13" t="s">
        <v>88</v>
      </c>
      <c r="S77" s="184"/>
      <c r="T77" s="182"/>
      <c r="U77" s="62"/>
    </row>
    <row r="78" customFormat="false" ht="20.1" hidden="false" customHeight="true" outlineLevel="0" collapsed="false">
      <c r="B78" s="62"/>
      <c r="C78" s="182"/>
      <c r="D78" s="182"/>
      <c r="E78" s="380" t="s">
        <v>15</v>
      </c>
      <c r="F78" s="18" t="s">
        <v>16</v>
      </c>
      <c r="G78" s="250" t="n">
        <v>2</v>
      </c>
      <c r="H78" s="251" t="s">
        <v>95</v>
      </c>
      <c r="I78" s="250" t="n">
        <v>0</v>
      </c>
      <c r="J78" s="250" t="n">
        <v>7</v>
      </c>
      <c r="K78" s="250" t="s">
        <v>67</v>
      </c>
      <c r="L78" s="253" t="n">
        <f aca="false">IF(J78="",0,(J78/J82)*100)</f>
        <v>46.6666666666667</v>
      </c>
      <c r="M78" s="250" t="n">
        <v>4</v>
      </c>
      <c r="N78" s="254" t="n">
        <v>0</v>
      </c>
      <c r="O78" s="115" t="n">
        <f aca="false">IF(M78=1,1,0)</f>
        <v>0</v>
      </c>
      <c r="P78" s="116" t="n">
        <f aca="false">IF(M78=2,1,0)</f>
        <v>0</v>
      </c>
      <c r="Q78" s="116" t="n">
        <f aca="false">IF(M78=3,1,0)</f>
        <v>0</v>
      </c>
      <c r="R78" s="117" t="n">
        <f aca="false">IF(M78=4,1,0)</f>
        <v>1</v>
      </c>
      <c r="S78" s="185"/>
      <c r="T78" s="182"/>
      <c r="U78" s="62"/>
    </row>
    <row r="79" customFormat="false" ht="20.1" hidden="false" customHeight="true" outlineLevel="0" collapsed="false">
      <c r="B79" s="62"/>
      <c r="C79" s="182"/>
      <c r="D79" s="182"/>
      <c r="E79" s="174" t="s">
        <v>22</v>
      </c>
      <c r="F79" s="175" t="s">
        <v>23</v>
      </c>
      <c r="G79" s="151" t="n">
        <v>3</v>
      </c>
      <c r="H79" s="151" t="s">
        <v>261</v>
      </c>
      <c r="I79" s="151" t="n">
        <v>0</v>
      </c>
      <c r="J79" s="151" t="n">
        <v>15</v>
      </c>
      <c r="K79" s="151" t="s">
        <v>67</v>
      </c>
      <c r="L79" s="153" t="n">
        <f aca="false">IF(J79="",0,(J79/J82)*100)</f>
        <v>100</v>
      </c>
      <c r="M79" s="151" t="n">
        <v>1</v>
      </c>
      <c r="N79" s="154" t="n">
        <v>6</v>
      </c>
      <c r="O79" s="121" t="n">
        <f aca="false">IF(M79=1,1,0)</f>
        <v>1</v>
      </c>
      <c r="P79" s="122" t="n">
        <f aca="false">IF(M79=2,1,0)</f>
        <v>0</v>
      </c>
      <c r="Q79" s="122" t="n">
        <f aca="false">IF(M79=3,1,0)</f>
        <v>0</v>
      </c>
      <c r="R79" s="123" t="n">
        <f aca="false">IF(M79=4,1,0)</f>
        <v>0</v>
      </c>
      <c r="S79" s="185"/>
      <c r="T79" s="182"/>
      <c r="U79" s="62"/>
    </row>
    <row r="80" customFormat="false" ht="20.1" hidden="false" customHeight="true" outlineLevel="0" collapsed="false">
      <c r="B80" s="62"/>
      <c r="C80" s="182"/>
      <c r="D80" s="182"/>
      <c r="E80" s="333" t="s">
        <v>17</v>
      </c>
      <c r="F80" s="32" t="s">
        <v>18</v>
      </c>
      <c r="G80" s="241" t="n">
        <v>1</v>
      </c>
      <c r="H80" s="241" t="s">
        <v>262</v>
      </c>
      <c r="I80" s="241" t="n">
        <v>0</v>
      </c>
      <c r="J80" s="241" t="n">
        <v>11</v>
      </c>
      <c r="K80" s="241" t="s">
        <v>67</v>
      </c>
      <c r="L80" s="243" t="n">
        <f aca="false">IF(J80="",0,(J80/J82)*100)</f>
        <v>73.3333333333333</v>
      </c>
      <c r="M80" s="241" t="n">
        <v>2</v>
      </c>
      <c r="N80" s="244" t="n">
        <v>3</v>
      </c>
      <c r="O80" s="121" t="n">
        <f aca="false">IF(M80=1,1,0)</f>
        <v>0</v>
      </c>
      <c r="P80" s="122" t="n">
        <f aca="false">IF(M80=2,1,0)</f>
        <v>1</v>
      </c>
      <c r="Q80" s="122" t="n">
        <f aca="false">IF(M80=3,1,0)</f>
        <v>0</v>
      </c>
      <c r="R80" s="123" t="n">
        <f aca="false">IF(M80=4,1,0)</f>
        <v>0</v>
      </c>
      <c r="S80" s="185"/>
      <c r="T80" s="182"/>
      <c r="U80" s="62"/>
    </row>
    <row r="81" customFormat="false" ht="20.1" hidden="false" customHeight="true" outlineLevel="0" collapsed="false">
      <c r="B81" s="62"/>
      <c r="C81" s="182"/>
      <c r="D81" s="186"/>
      <c r="E81" s="362" t="s">
        <v>20</v>
      </c>
      <c r="F81" s="46" t="s">
        <v>21</v>
      </c>
      <c r="G81" s="245" t="n">
        <v>4</v>
      </c>
      <c r="H81" s="245" t="s">
        <v>263</v>
      </c>
      <c r="I81" s="245" t="n">
        <v>0</v>
      </c>
      <c r="J81" s="245" t="n">
        <v>10</v>
      </c>
      <c r="K81" s="245" t="s">
        <v>67</v>
      </c>
      <c r="L81" s="247" t="n">
        <f aca="false">IF(J81="",0,(J81/J82)*100)</f>
        <v>66.6666666666667</v>
      </c>
      <c r="M81" s="245" t="n">
        <v>3</v>
      </c>
      <c r="N81" s="248" t="n">
        <v>1</v>
      </c>
      <c r="O81" s="127" t="n">
        <f aca="false">IF(M81=1,1,0)</f>
        <v>0</v>
      </c>
      <c r="P81" s="128" t="n">
        <f aca="false">IF(M81=2,1,0)</f>
        <v>0</v>
      </c>
      <c r="Q81" s="128" t="n">
        <f aca="false">IF(M81=3,1,0)</f>
        <v>1</v>
      </c>
      <c r="R81" s="129" t="n">
        <f aca="false">IF(M81=4,1,0)</f>
        <v>0</v>
      </c>
      <c r="S81" s="185"/>
      <c r="T81" s="182"/>
      <c r="U81" s="62"/>
    </row>
    <row r="82" customFormat="false" ht="20.1" hidden="true" customHeight="true" outlineLevel="1" collapsed="false">
      <c r="B82" s="62"/>
      <c r="C82" s="182"/>
      <c r="D82" s="182"/>
      <c r="E82" s="182"/>
      <c r="F82" s="187"/>
      <c r="G82" s="187"/>
      <c r="H82" s="182"/>
      <c r="I82" s="158" t="s">
        <v>89</v>
      </c>
      <c r="J82" s="133" t="n">
        <f aca="false">MAX(J78:J81)</f>
        <v>15</v>
      </c>
      <c r="K82" s="188"/>
      <c r="L82" s="185"/>
      <c r="M82" s="182"/>
      <c r="N82" s="136" t="s">
        <v>90</v>
      </c>
      <c r="O82" s="137" t="n">
        <f aca="false">SUM(O78:O81)</f>
        <v>1</v>
      </c>
      <c r="P82" s="138" t="n">
        <f aca="false">SUM(P78:P81)</f>
        <v>1</v>
      </c>
      <c r="Q82" s="137" t="n">
        <f aca="false">SUM(Q78:Q81)</f>
        <v>1</v>
      </c>
      <c r="R82" s="160" t="n">
        <f aca="false">SUM(R78:R81)</f>
        <v>1</v>
      </c>
      <c r="S82" s="189"/>
      <c r="T82" s="182"/>
      <c r="U82" s="62"/>
    </row>
    <row r="83" customFormat="false" ht="20.1" hidden="false" customHeight="true" outlineLevel="0" collapsed="false">
      <c r="B83" s="62"/>
      <c r="C83" s="182"/>
      <c r="D83" s="182"/>
      <c r="E83" s="182"/>
      <c r="F83" s="182"/>
      <c r="G83" s="182"/>
      <c r="H83" s="182"/>
      <c r="I83" s="182"/>
      <c r="J83" s="182"/>
      <c r="K83" s="182"/>
      <c r="L83" s="182"/>
      <c r="M83" s="182"/>
      <c r="N83" s="182"/>
      <c r="O83" s="182"/>
      <c r="P83" s="182"/>
      <c r="Q83" s="182"/>
      <c r="R83" s="182"/>
      <c r="S83" s="182"/>
      <c r="T83" s="182"/>
      <c r="U83" s="62"/>
    </row>
    <row r="84" customFormat="false" ht="20.1" hidden="false" customHeight="true" outlineLevel="0" collapsed="false">
      <c r="B84" s="62"/>
      <c r="D84" s="5"/>
      <c r="E84" s="5"/>
      <c r="F84" s="5"/>
      <c r="G84" s="5"/>
      <c r="H84" s="5"/>
      <c r="I84" s="5"/>
      <c r="J84" s="5"/>
      <c r="U84" s="62"/>
    </row>
    <row r="85" customFormat="false" ht="30" hidden="false" customHeight="true" outlineLevel="0" collapsed="false">
      <c r="B85" s="62"/>
      <c r="C85" s="190"/>
      <c r="D85" s="191" t="s">
        <v>99</v>
      </c>
      <c r="E85" s="191"/>
      <c r="F85" s="191"/>
      <c r="G85" s="191"/>
      <c r="H85" s="191"/>
      <c r="I85" s="191"/>
      <c r="J85" s="191"/>
      <c r="K85" s="191"/>
      <c r="L85" s="191"/>
      <c r="M85" s="191"/>
      <c r="N85" s="191"/>
      <c r="O85" s="191"/>
      <c r="P85" s="191"/>
      <c r="Q85" s="191"/>
      <c r="R85" s="191"/>
      <c r="S85" s="191"/>
      <c r="T85" s="190"/>
      <c r="U85" s="62"/>
    </row>
    <row r="86" customFormat="false" ht="50.1" hidden="false" customHeight="true" outlineLevel="0" collapsed="false">
      <c r="B86" s="62"/>
      <c r="C86" s="190"/>
      <c r="D86" s="192" t="s">
        <v>53</v>
      </c>
      <c r="E86" s="193" t="s">
        <v>54</v>
      </c>
      <c r="F86" s="194" t="s">
        <v>84</v>
      </c>
      <c r="G86" s="195" t="s">
        <v>100</v>
      </c>
      <c r="H86" s="196" t="s">
        <v>101</v>
      </c>
      <c r="I86" s="196"/>
      <c r="J86" s="197" t="s">
        <v>102</v>
      </c>
      <c r="K86" s="198" t="s">
        <v>103</v>
      </c>
      <c r="L86" s="194" t="s">
        <v>104</v>
      </c>
      <c r="M86" s="198" t="s">
        <v>105</v>
      </c>
      <c r="N86" s="194" t="s">
        <v>106</v>
      </c>
      <c r="O86" s="199"/>
      <c r="P86" s="200"/>
      <c r="Q86" s="200"/>
      <c r="R86" s="200"/>
      <c r="S86" s="193" t="s">
        <v>107</v>
      </c>
      <c r="T86" s="190"/>
      <c r="U86" s="62"/>
    </row>
    <row r="87" customFormat="false" ht="20.1" hidden="false" customHeight="true" outlineLevel="0" collapsed="false">
      <c r="B87" s="62"/>
      <c r="C87" s="190"/>
      <c r="D87" s="407" t="s">
        <v>22</v>
      </c>
      <c r="E87" s="419" t="s">
        <v>23</v>
      </c>
      <c r="F87" s="203" t="n">
        <f aca="false">(K87*6+L87*3+M87*1+N87*0)</f>
        <v>15</v>
      </c>
      <c r="G87" s="203" t="n">
        <v>0</v>
      </c>
      <c r="H87" s="204" t="s">
        <v>67</v>
      </c>
      <c r="I87" s="204"/>
      <c r="J87" s="203" t="n">
        <f aca="false">F87+G87</f>
        <v>15</v>
      </c>
      <c r="K87" s="203" t="n">
        <v>2</v>
      </c>
      <c r="L87" s="203" t="n">
        <v>1</v>
      </c>
      <c r="M87" s="203" t="n">
        <v>0</v>
      </c>
      <c r="N87" s="203" t="n">
        <v>1</v>
      </c>
      <c r="O87" s="203"/>
      <c r="P87" s="203"/>
      <c r="Q87" s="203"/>
      <c r="R87" s="203"/>
      <c r="S87" s="205" t="n">
        <f aca="false">(L52+L61+L70+L79)/4</f>
        <v>88.890873015873</v>
      </c>
      <c r="T87" s="190"/>
      <c r="U87" s="62"/>
      <c r="W87" s="206"/>
      <c r="X87" s="206"/>
      <c r="Y87" s="206"/>
      <c r="Z87" s="206"/>
    </row>
    <row r="88" customFormat="false" ht="20.1" hidden="false" customHeight="true" outlineLevel="0" collapsed="false">
      <c r="B88" s="62"/>
      <c r="C88" s="190"/>
      <c r="D88" s="207" t="s">
        <v>17</v>
      </c>
      <c r="E88" s="420" t="s">
        <v>18</v>
      </c>
      <c r="F88" s="209" t="n">
        <f aca="false">(K88*6+L88*3+M88*1+N88*0)</f>
        <v>15</v>
      </c>
      <c r="G88" s="209" t="n">
        <v>0</v>
      </c>
      <c r="H88" s="210" t="s">
        <v>67</v>
      </c>
      <c r="I88" s="210"/>
      <c r="J88" s="209" t="n">
        <f aca="false">F88+G88</f>
        <v>15</v>
      </c>
      <c r="K88" s="209" t="n">
        <v>1</v>
      </c>
      <c r="L88" s="209" t="n">
        <v>3</v>
      </c>
      <c r="M88" s="209" t="n">
        <v>0</v>
      </c>
      <c r="N88" s="209" t="n">
        <v>0</v>
      </c>
      <c r="O88" s="209"/>
      <c r="P88" s="209"/>
      <c r="Q88" s="209"/>
      <c r="R88" s="209"/>
      <c r="S88" s="211" t="n">
        <f aca="false">(L53+L62+L71+L80)/4</f>
        <v>85.8690476190476</v>
      </c>
      <c r="T88" s="190"/>
      <c r="U88" s="62"/>
      <c r="W88" s="212"/>
      <c r="X88" s="212"/>
      <c r="Y88" s="212"/>
      <c r="Z88" s="212"/>
    </row>
    <row r="89" customFormat="false" ht="20.1" hidden="false" customHeight="true" outlineLevel="0" collapsed="false">
      <c r="B89" s="62"/>
      <c r="C89" s="190"/>
      <c r="D89" s="207" t="s">
        <v>20</v>
      </c>
      <c r="E89" s="420" t="s">
        <v>21</v>
      </c>
      <c r="F89" s="209" t="n">
        <f aca="false">(K89*6+L89*3+M89*1+N89*0)</f>
        <v>9</v>
      </c>
      <c r="G89" s="209" t="n">
        <v>0</v>
      </c>
      <c r="H89" s="210" t="s">
        <v>67</v>
      </c>
      <c r="I89" s="210"/>
      <c r="J89" s="209" t="n">
        <f aca="false">F89+G89</f>
        <v>9</v>
      </c>
      <c r="K89" s="209" t="n">
        <v>1</v>
      </c>
      <c r="L89" s="209" t="n">
        <v>0</v>
      </c>
      <c r="M89" s="209" t="n">
        <v>3</v>
      </c>
      <c r="N89" s="209" t="n">
        <v>0</v>
      </c>
      <c r="O89" s="209"/>
      <c r="P89" s="209"/>
      <c r="Q89" s="209"/>
      <c r="R89" s="209"/>
      <c r="S89" s="211" t="n">
        <f aca="false">(L54+L63+L72+L81)/4</f>
        <v>79.3015873015873</v>
      </c>
      <c r="T89" s="190"/>
      <c r="U89" s="62"/>
      <c r="W89" s="212"/>
      <c r="X89" s="212"/>
      <c r="Y89" s="212"/>
      <c r="Z89" s="212"/>
    </row>
    <row r="90" customFormat="false" ht="20.1" hidden="false" customHeight="true" outlineLevel="0" collapsed="false">
      <c r="B90" s="62"/>
      <c r="C90" s="190"/>
      <c r="D90" s="214" t="s">
        <v>15</v>
      </c>
      <c r="E90" s="421" t="s">
        <v>16</v>
      </c>
      <c r="F90" s="216" t="n">
        <f aca="false">(K90*6+L90*3+M90*1+N90*0)</f>
        <v>1</v>
      </c>
      <c r="G90" s="216" t="n">
        <v>0</v>
      </c>
      <c r="H90" s="217" t="s">
        <v>67</v>
      </c>
      <c r="I90" s="217"/>
      <c r="J90" s="216" t="n">
        <f aca="false">F90+G90</f>
        <v>1</v>
      </c>
      <c r="K90" s="216" t="n">
        <v>0</v>
      </c>
      <c r="L90" s="216" t="n">
        <v>0</v>
      </c>
      <c r="M90" s="216" t="n">
        <v>1</v>
      </c>
      <c r="N90" s="216" t="n">
        <v>3</v>
      </c>
      <c r="O90" s="216"/>
      <c r="P90" s="216"/>
      <c r="Q90" s="216"/>
      <c r="R90" s="216"/>
      <c r="S90" s="218" t="n">
        <f aca="false">(L51+L60+L69+L78)/4</f>
        <v>55.327380952381</v>
      </c>
      <c r="T90" s="190"/>
      <c r="U90" s="62"/>
      <c r="W90" s="212"/>
      <c r="X90" s="212"/>
      <c r="Y90" s="212"/>
      <c r="Z90" s="212"/>
      <c r="AB90" s="212"/>
      <c r="AC90" s="212"/>
      <c r="AD90" s="212"/>
      <c r="AE90" s="212"/>
    </row>
    <row r="91" customFormat="false" ht="20.1" hidden="false" customHeight="true" outlineLevel="0" collapsed="false">
      <c r="B91" s="62"/>
      <c r="C91" s="190"/>
      <c r="D91" s="422"/>
      <c r="E91" s="422"/>
      <c r="F91" s="275"/>
      <c r="G91" s="275"/>
      <c r="H91" s="423"/>
      <c r="I91" s="423"/>
      <c r="J91" s="275"/>
      <c r="K91" s="275"/>
      <c r="L91" s="275"/>
      <c r="M91" s="275"/>
      <c r="N91" s="275"/>
      <c r="O91" s="275"/>
      <c r="P91" s="275"/>
      <c r="Q91" s="275"/>
      <c r="R91" s="275"/>
      <c r="S91" s="424"/>
      <c r="T91" s="190"/>
      <c r="U91" s="62"/>
      <c r="W91" s="212"/>
      <c r="X91" s="212"/>
      <c r="Y91" s="212"/>
      <c r="Z91" s="212"/>
    </row>
    <row r="92" customFormat="false" ht="20.1" hidden="false" customHeight="true" outlineLevel="0" collapsed="false">
      <c r="B92" s="62"/>
      <c r="C92" s="62"/>
      <c r="D92" s="219"/>
      <c r="E92" s="219"/>
      <c r="F92" s="167"/>
      <c r="G92" s="167"/>
      <c r="H92" s="219"/>
      <c r="I92" s="219"/>
      <c r="J92" s="219"/>
      <c r="K92" s="62"/>
      <c r="L92" s="62"/>
      <c r="M92" s="62"/>
      <c r="N92" s="62"/>
      <c r="O92" s="62"/>
      <c r="P92" s="62"/>
      <c r="Q92" s="62"/>
      <c r="R92" s="62"/>
      <c r="S92" s="62"/>
      <c r="T92" s="62"/>
      <c r="U92" s="62"/>
    </row>
    <row r="93" customFormat="false" ht="20.1" hidden="false" customHeight="true" outlineLevel="0" collapsed="false">
      <c r="D93" s="220"/>
    </row>
    <row r="94" customFormat="false" ht="20.1" hidden="false" customHeight="true" outlineLevel="0" collapsed="false">
      <c r="D94" s="221"/>
    </row>
    <row r="95" customFormat="false" ht="20.1" hidden="false" customHeight="true" outlineLevel="0" collapsed="false">
      <c r="B95" s="62"/>
      <c r="C95" s="62"/>
      <c r="D95" s="63"/>
      <c r="E95" s="63"/>
      <c r="F95" s="63"/>
      <c r="G95" s="63"/>
      <c r="H95" s="62"/>
      <c r="I95" s="62"/>
      <c r="J95" s="62"/>
      <c r="K95" s="62"/>
      <c r="L95" s="62"/>
      <c r="M95" s="62"/>
      <c r="N95" s="62"/>
      <c r="O95" s="62"/>
      <c r="P95" s="62"/>
      <c r="Q95" s="62"/>
      <c r="R95" s="62"/>
      <c r="S95" s="62"/>
      <c r="T95" s="62"/>
      <c r="U95" s="62"/>
    </row>
    <row r="96" customFormat="false" ht="30" hidden="false" customHeight="true" outlineLevel="0" collapsed="false">
      <c r="B96" s="62"/>
      <c r="C96" s="64" t="s">
        <v>108</v>
      </c>
      <c r="D96" s="64"/>
      <c r="E96" s="64"/>
      <c r="F96" s="64"/>
      <c r="G96" s="64"/>
      <c r="H96" s="64"/>
      <c r="I96" s="64"/>
      <c r="J96" s="64"/>
      <c r="K96" s="64"/>
      <c r="L96" s="64"/>
      <c r="M96" s="64"/>
      <c r="N96" s="64"/>
      <c r="O96" s="64"/>
      <c r="P96" s="64"/>
      <c r="Q96" s="64"/>
      <c r="R96" s="64"/>
      <c r="S96" s="64"/>
      <c r="T96" s="64"/>
      <c r="U96" s="62"/>
    </row>
    <row r="97" customFormat="false" ht="20.1" hidden="false" customHeight="true" outlineLevel="0" collapsed="false">
      <c r="B97" s="62"/>
      <c r="U97" s="62"/>
    </row>
    <row r="98" customFormat="false" ht="20.1" hidden="false" customHeight="true" outlineLevel="0" collapsed="false">
      <c r="B98" s="62"/>
      <c r="D98" s="65" t="s">
        <v>53</v>
      </c>
      <c r="E98" s="66" t="s">
        <v>54</v>
      </c>
      <c r="F98" s="67" t="s">
        <v>11</v>
      </c>
      <c r="G98" s="223" t="s">
        <v>55</v>
      </c>
      <c r="H98" s="223"/>
      <c r="I98" s="223"/>
      <c r="J98" s="223"/>
      <c r="K98" s="66" t="s">
        <v>56</v>
      </c>
      <c r="L98" s="68" t="s">
        <v>57</v>
      </c>
      <c r="M98" s="68"/>
      <c r="N98" s="68"/>
      <c r="O98" s="68"/>
      <c r="P98" s="68"/>
      <c r="Q98" s="68"/>
      <c r="R98" s="68"/>
      <c r="S98" s="68"/>
      <c r="U98" s="62"/>
    </row>
    <row r="99" customFormat="false" ht="20.1" hidden="false" customHeight="true" outlineLevel="0" collapsed="false">
      <c r="B99" s="62"/>
      <c r="D99" s="65"/>
      <c r="E99" s="66"/>
      <c r="F99" s="66"/>
      <c r="G99" s="70" t="s">
        <v>58</v>
      </c>
      <c r="H99" s="69" t="s">
        <v>59</v>
      </c>
      <c r="I99" s="67" t="s">
        <v>60</v>
      </c>
      <c r="J99" s="67"/>
      <c r="K99" s="69" t="s">
        <v>61</v>
      </c>
      <c r="L99" s="224" t="s">
        <v>58</v>
      </c>
      <c r="M99" s="225" t="s">
        <v>62</v>
      </c>
      <c r="N99" s="67" t="s">
        <v>60</v>
      </c>
      <c r="O99" s="67"/>
      <c r="P99" s="67"/>
      <c r="Q99" s="67"/>
      <c r="R99" s="67"/>
      <c r="S99" s="67"/>
      <c r="U99" s="62"/>
    </row>
    <row r="100" customFormat="false" ht="15" hidden="false" customHeight="true" outlineLevel="0" collapsed="false">
      <c r="B100" s="62"/>
      <c r="D100" s="318" t="s">
        <v>12</v>
      </c>
      <c r="E100" s="18" t="s">
        <v>13</v>
      </c>
      <c r="F100" s="382" t="n">
        <v>1</v>
      </c>
      <c r="G100" s="72" t="s">
        <v>63</v>
      </c>
      <c r="H100" s="74" t="s">
        <v>264</v>
      </c>
      <c r="I100" s="321" t="s">
        <v>265</v>
      </c>
      <c r="J100" s="321"/>
      <c r="K100" s="351" t="s">
        <v>112</v>
      </c>
      <c r="L100" s="352" t="s">
        <v>67</v>
      </c>
      <c r="M100" s="324" t="s">
        <v>67</v>
      </c>
      <c r="N100" s="78" t="s">
        <v>67</v>
      </c>
      <c r="O100" s="78"/>
      <c r="P100" s="78"/>
      <c r="Q100" s="78"/>
      <c r="R100" s="78"/>
      <c r="S100" s="78"/>
      <c r="U100" s="62"/>
    </row>
    <row r="101" customFormat="false" ht="15" hidden="false" customHeight="true" outlineLevel="0" collapsed="false">
      <c r="B101" s="62"/>
      <c r="D101" s="318"/>
      <c r="E101" s="18"/>
      <c r="F101" s="382"/>
      <c r="G101" s="72"/>
      <c r="H101" s="74"/>
      <c r="I101" s="325" t="s">
        <v>266</v>
      </c>
      <c r="J101" s="325"/>
      <c r="K101" s="351"/>
      <c r="L101" s="352"/>
      <c r="M101" s="324"/>
      <c r="N101" s="78"/>
      <c r="O101" s="78"/>
      <c r="P101" s="78"/>
      <c r="Q101" s="78"/>
      <c r="R101" s="78"/>
      <c r="S101" s="78"/>
      <c r="U101" s="62"/>
    </row>
    <row r="102" customFormat="false" ht="15" hidden="false" customHeight="true" outlineLevel="0" collapsed="false">
      <c r="B102" s="62"/>
      <c r="D102" s="318"/>
      <c r="E102" s="18"/>
      <c r="F102" s="382"/>
      <c r="G102" s="72"/>
      <c r="H102" s="74"/>
      <c r="I102" s="325" t="s">
        <v>267</v>
      </c>
      <c r="J102" s="325"/>
      <c r="K102" s="351"/>
      <c r="L102" s="352"/>
      <c r="M102" s="324"/>
      <c r="N102" s="78"/>
      <c r="O102" s="78"/>
      <c r="P102" s="78"/>
      <c r="Q102" s="78"/>
      <c r="R102" s="78"/>
      <c r="S102" s="78"/>
      <c r="U102" s="62"/>
    </row>
    <row r="103" customFormat="false" ht="15" hidden="false" customHeight="true" outlineLevel="0" collapsed="false">
      <c r="B103" s="62"/>
      <c r="D103" s="318"/>
      <c r="E103" s="18"/>
      <c r="F103" s="382"/>
      <c r="G103" s="72"/>
      <c r="H103" s="74"/>
      <c r="I103" s="325" t="s">
        <v>268</v>
      </c>
      <c r="J103" s="325"/>
      <c r="K103" s="351"/>
      <c r="L103" s="352"/>
      <c r="M103" s="324"/>
      <c r="N103" s="78"/>
      <c r="O103" s="78"/>
      <c r="P103" s="78"/>
      <c r="Q103" s="78"/>
      <c r="R103" s="78"/>
      <c r="S103" s="78"/>
      <c r="U103" s="62"/>
    </row>
    <row r="104" customFormat="false" ht="15" hidden="false" customHeight="true" outlineLevel="0" collapsed="false">
      <c r="B104" s="62"/>
      <c r="D104" s="333" t="s">
        <v>24</v>
      </c>
      <c r="E104" s="33" t="s">
        <v>25</v>
      </c>
      <c r="F104" s="383" t="n">
        <v>2</v>
      </c>
      <c r="G104" s="80" t="s">
        <v>63</v>
      </c>
      <c r="H104" s="82" t="s">
        <v>112</v>
      </c>
      <c r="I104" s="328" t="s">
        <v>269</v>
      </c>
      <c r="J104" s="328"/>
      <c r="K104" s="353" t="s">
        <v>111</v>
      </c>
      <c r="L104" s="354" t="s">
        <v>67</v>
      </c>
      <c r="M104" s="331" t="s">
        <v>67</v>
      </c>
      <c r="N104" s="86" t="s">
        <v>67</v>
      </c>
      <c r="O104" s="86"/>
      <c r="P104" s="86"/>
      <c r="Q104" s="86"/>
      <c r="R104" s="86"/>
      <c r="S104" s="86"/>
      <c r="U104" s="62"/>
    </row>
    <row r="105" customFormat="false" ht="15" hidden="false" customHeight="true" outlineLevel="0" collapsed="false">
      <c r="B105" s="62"/>
      <c r="D105" s="333"/>
      <c r="E105" s="33"/>
      <c r="F105" s="383"/>
      <c r="G105" s="80"/>
      <c r="H105" s="82"/>
      <c r="I105" s="332" t="s">
        <v>270</v>
      </c>
      <c r="J105" s="332"/>
      <c r="K105" s="353"/>
      <c r="L105" s="354"/>
      <c r="M105" s="331"/>
      <c r="N105" s="86"/>
      <c r="O105" s="86"/>
      <c r="P105" s="86"/>
      <c r="Q105" s="86"/>
      <c r="R105" s="86"/>
      <c r="S105" s="86"/>
      <c r="U105" s="62"/>
    </row>
    <row r="106" customFormat="false" ht="15" hidden="false" customHeight="true" outlineLevel="0" collapsed="false">
      <c r="B106" s="62"/>
      <c r="D106" s="333"/>
      <c r="E106" s="33"/>
      <c r="F106" s="383"/>
      <c r="G106" s="80"/>
      <c r="H106" s="82"/>
      <c r="I106" s="332" t="s">
        <v>271</v>
      </c>
      <c r="J106" s="332"/>
      <c r="K106" s="353"/>
      <c r="L106" s="354"/>
      <c r="M106" s="331"/>
      <c r="N106" s="86"/>
      <c r="O106" s="86"/>
      <c r="P106" s="86"/>
      <c r="Q106" s="86"/>
      <c r="R106" s="86"/>
      <c r="S106" s="86"/>
      <c r="U106" s="62"/>
    </row>
    <row r="107" customFormat="false" ht="15" hidden="false" customHeight="true" outlineLevel="0" collapsed="false">
      <c r="B107" s="62"/>
      <c r="D107" s="326" t="s">
        <v>27</v>
      </c>
      <c r="E107" s="32" t="s">
        <v>28</v>
      </c>
      <c r="F107" s="383" t="n">
        <v>3</v>
      </c>
      <c r="G107" s="232" t="s">
        <v>114</v>
      </c>
      <c r="H107" s="355" t="s">
        <v>117</v>
      </c>
      <c r="I107" s="335" t="s">
        <v>190</v>
      </c>
      <c r="J107" s="335"/>
      <c r="K107" s="356" t="s">
        <v>111</v>
      </c>
      <c r="L107" s="354" t="s">
        <v>67</v>
      </c>
      <c r="M107" s="331" t="s">
        <v>67</v>
      </c>
      <c r="N107" s="86" t="s">
        <v>67</v>
      </c>
      <c r="O107" s="86"/>
      <c r="P107" s="86"/>
      <c r="Q107" s="86"/>
      <c r="R107" s="86"/>
      <c r="S107" s="86"/>
      <c r="U107" s="62"/>
    </row>
    <row r="108" customFormat="false" ht="15" hidden="false" customHeight="true" outlineLevel="0" collapsed="false">
      <c r="B108" s="62"/>
      <c r="D108" s="326"/>
      <c r="E108" s="32"/>
      <c r="F108" s="383"/>
      <c r="G108" s="232"/>
      <c r="H108" s="355"/>
      <c r="I108" s="338" t="s">
        <v>191</v>
      </c>
      <c r="J108" s="338"/>
      <c r="K108" s="356"/>
      <c r="L108" s="354"/>
      <c r="M108" s="331"/>
      <c r="N108" s="86"/>
      <c r="O108" s="86"/>
      <c r="P108" s="86"/>
      <c r="Q108" s="86"/>
      <c r="R108" s="86"/>
      <c r="S108" s="86"/>
      <c r="U108" s="62"/>
    </row>
    <row r="109" customFormat="false" ht="15" hidden="false" customHeight="true" outlineLevel="0" collapsed="false">
      <c r="B109" s="62"/>
      <c r="D109" s="326"/>
      <c r="E109" s="32"/>
      <c r="F109" s="383"/>
      <c r="G109" s="232"/>
      <c r="H109" s="355"/>
      <c r="I109" s="338" t="s">
        <v>192</v>
      </c>
      <c r="J109" s="338"/>
      <c r="K109" s="356"/>
      <c r="L109" s="354"/>
      <c r="M109" s="331"/>
      <c r="N109" s="86"/>
      <c r="O109" s="86"/>
      <c r="P109" s="86"/>
      <c r="Q109" s="86"/>
      <c r="R109" s="86"/>
      <c r="S109" s="86"/>
      <c r="U109" s="62"/>
    </row>
    <row r="110" customFormat="false" ht="15" hidden="false" customHeight="true" outlineLevel="0" collapsed="false">
      <c r="B110" s="62"/>
      <c r="D110" s="326"/>
      <c r="E110" s="32"/>
      <c r="F110" s="383"/>
      <c r="G110" s="232"/>
      <c r="H110" s="355"/>
      <c r="I110" s="357" t="s">
        <v>193</v>
      </c>
      <c r="J110" s="357"/>
      <c r="K110" s="356"/>
      <c r="L110" s="354"/>
      <c r="M110" s="331"/>
      <c r="N110" s="86"/>
      <c r="O110" s="86"/>
      <c r="P110" s="86"/>
      <c r="Q110" s="86"/>
      <c r="R110" s="86"/>
      <c r="S110" s="86"/>
      <c r="U110" s="62"/>
    </row>
    <row r="111" customFormat="false" ht="20.1" hidden="false" customHeight="true" outlineLevel="0" collapsed="false">
      <c r="B111" s="62"/>
      <c r="D111" s="234" t="s">
        <v>47</v>
      </c>
      <c r="E111" s="44" t="s">
        <v>48</v>
      </c>
      <c r="F111" s="396" t="n">
        <v>4</v>
      </c>
      <c r="G111" s="358" t="s">
        <v>63</v>
      </c>
      <c r="H111" s="95" t="s">
        <v>200</v>
      </c>
      <c r="I111" s="348" t="s">
        <v>201</v>
      </c>
      <c r="J111" s="348"/>
      <c r="K111" s="287" t="s">
        <v>111</v>
      </c>
      <c r="L111" s="98" t="s">
        <v>67</v>
      </c>
      <c r="M111" s="99" t="s">
        <v>67</v>
      </c>
      <c r="N111" s="239" t="s">
        <v>67</v>
      </c>
      <c r="O111" s="239"/>
      <c r="P111" s="239"/>
      <c r="Q111" s="239"/>
      <c r="R111" s="239"/>
      <c r="S111" s="239"/>
      <c r="U111" s="62"/>
    </row>
    <row r="112" customFormat="false" ht="20.1" hidden="false" customHeight="true" outlineLevel="0" collapsed="false">
      <c r="B112" s="62"/>
      <c r="U112" s="62"/>
    </row>
    <row r="113" customFormat="false" ht="20.1" hidden="false" customHeight="true" outlineLevel="0" collapsed="false">
      <c r="B113" s="62"/>
      <c r="C113" s="101"/>
      <c r="D113" s="101"/>
      <c r="E113" s="102" t="str">
        <f aca="false">IF(OR(L100="-",L100= ""),H100,L100)</f>
        <v>Teotihuacan: Die Stadt der Götter</v>
      </c>
      <c r="F113" s="102"/>
      <c r="G113" s="102"/>
      <c r="H113" s="102"/>
      <c r="I113" s="102"/>
      <c r="J113" s="102"/>
      <c r="K113" s="102"/>
      <c r="L113" s="102"/>
      <c r="M113" s="102"/>
      <c r="N113" s="102"/>
      <c r="O113" s="103"/>
      <c r="P113" s="103"/>
      <c r="Q113" s="103"/>
      <c r="R113" s="103"/>
      <c r="S113" s="103"/>
      <c r="T113" s="101"/>
      <c r="U113" s="62"/>
    </row>
    <row r="114" customFormat="false" ht="50.1" hidden="false" customHeight="true" outlineLevel="0" collapsed="false">
      <c r="B114" s="62"/>
      <c r="C114" s="101"/>
      <c r="D114" s="103"/>
      <c r="E114" s="65" t="s">
        <v>53</v>
      </c>
      <c r="F114" s="104" t="s">
        <v>76</v>
      </c>
      <c r="G114" s="67" t="s">
        <v>77</v>
      </c>
      <c r="H114" s="66" t="s">
        <v>78</v>
      </c>
      <c r="I114" s="54" t="s">
        <v>79</v>
      </c>
      <c r="J114" s="66" t="s">
        <v>80</v>
      </c>
      <c r="K114" s="105" t="s">
        <v>81</v>
      </c>
      <c r="L114" s="66" t="s">
        <v>82</v>
      </c>
      <c r="M114" s="106" t="s">
        <v>83</v>
      </c>
      <c r="N114" s="67" t="s">
        <v>84</v>
      </c>
      <c r="O114" s="107" t="s">
        <v>85</v>
      </c>
      <c r="P114" s="108" t="s">
        <v>86</v>
      </c>
      <c r="Q114" s="108" t="s">
        <v>87</v>
      </c>
      <c r="R114" s="13" t="s">
        <v>88</v>
      </c>
      <c r="S114" s="103"/>
      <c r="T114" s="101"/>
      <c r="U114" s="62"/>
    </row>
    <row r="115" customFormat="false" ht="20.1" hidden="false" customHeight="true" outlineLevel="0" collapsed="false">
      <c r="B115" s="62"/>
      <c r="C115" s="101"/>
      <c r="D115" s="124"/>
      <c r="E115" s="403" t="s">
        <v>12</v>
      </c>
      <c r="F115" s="110" t="s">
        <v>13</v>
      </c>
      <c r="G115" s="111" t="n">
        <v>4</v>
      </c>
      <c r="H115" s="111" t="s">
        <v>67</v>
      </c>
      <c r="I115" s="111" t="n">
        <v>0</v>
      </c>
      <c r="J115" s="111" t="n">
        <v>251</v>
      </c>
      <c r="K115" s="111" t="s">
        <v>67</v>
      </c>
      <c r="L115" s="113" t="n">
        <f aca="false">IF(J115="",0,(J115/J119)*100)</f>
        <v>100</v>
      </c>
      <c r="M115" s="111" t="n">
        <v>1</v>
      </c>
      <c r="N115" s="114" t="n">
        <v>6</v>
      </c>
      <c r="O115" s="115" t="n">
        <f aca="false">IF(M115=1,1,0)</f>
        <v>1</v>
      </c>
      <c r="P115" s="116" t="n">
        <f aca="false">IF(M115=2,1,0)</f>
        <v>0</v>
      </c>
      <c r="Q115" s="116" t="n">
        <f aca="false">IF(M115=3,1,0)</f>
        <v>0</v>
      </c>
      <c r="R115" s="117" t="n">
        <f aca="false">IF(M115=4,1,0)</f>
        <v>0</v>
      </c>
      <c r="S115" s="118"/>
      <c r="T115" s="101"/>
      <c r="U115" s="62"/>
    </row>
    <row r="116" customFormat="false" ht="20.1" hidden="false" customHeight="true" outlineLevel="0" collapsed="false">
      <c r="B116" s="62"/>
      <c r="C116" s="101"/>
      <c r="D116" s="101"/>
      <c r="E116" s="333" t="s">
        <v>24</v>
      </c>
      <c r="F116" s="33" t="s">
        <v>25</v>
      </c>
      <c r="G116" s="241" t="n">
        <v>2</v>
      </c>
      <c r="H116" s="241" t="s">
        <v>67</v>
      </c>
      <c r="I116" s="241" t="n">
        <v>0</v>
      </c>
      <c r="J116" s="241" t="n">
        <v>134</v>
      </c>
      <c r="K116" s="242" t="s">
        <v>67</v>
      </c>
      <c r="L116" s="243" t="n">
        <f aca="false">IF(J116="",0,(J116/J119)*100)</f>
        <v>53.3864541832669</v>
      </c>
      <c r="M116" s="241" t="n">
        <v>3</v>
      </c>
      <c r="N116" s="244" t="n">
        <v>1</v>
      </c>
      <c r="O116" s="121" t="n">
        <f aca="false">IF(M116=1,1,0)</f>
        <v>0</v>
      </c>
      <c r="P116" s="122" t="n">
        <f aca="false">IF(M116=2,1,0)</f>
        <v>0</v>
      </c>
      <c r="Q116" s="122" t="n">
        <f aca="false">IF(M116=3,1,0)</f>
        <v>1</v>
      </c>
      <c r="R116" s="123" t="n">
        <f aca="false">IF(M116=4,1,0)</f>
        <v>0</v>
      </c>
      <c r="S116" s="118"/>
      <c r="T116" s="101"/>
      <c r="U116" s="62"/>
    </row>
    <row r="117" customFormat="false" ht="20.1" hidden="false" customHeight="true" outlineLevel="0" collapsed="false">
      <c r="B117" s="62"/>
      <c r="C117" s="101"/>
      <c r="D117" s="101"/>
      <c r="E117" s="326" t="s">
        <v>27</v>
      </c>
      <c r="F117" s="32" t="s">
        <v>28</v>
      </c>
      <c r="G117" s="241" t="n">
        <v>1</v>
      </c>
      <c r="H117" s="241" t="s">
        <v>67</v>
      </c>
      <c r="I117" s="241" t="n">
        <v>0</v>
      </c>
      <c r="J117" s="241" t="n">
        <v>120</v>
      </c>
      <c r="K117" s="241" t="s">
        <v>67</v>
      </c>
      <c r="L117" s="243" t="n">
        <f aca="false">IF(J117="",0,(J117/J119)*100)</f>
        <v>47.808764940239</v>
      </c>
      <c r="M117" s="241" t="n">
        <v>4</v>
      </c>
      <c r="N117" s="244" t="n">
        <v>0</v>
      </c>
      <c r="O117" s="121" t="n">
        <f aca="false">IF(M117=1,1,0)</f>
        <v>0</v>
      </c>
      <c r="P117" s="122" t="n">
        <f aca="false">IF(M117=2,1,0)</f>
        <v>0</v>
      </c>
      <c r="Q117" s="122" t="n">
        <f aca="false">IF(M117=3,1,0)</f>
        <v>0</v>
      </c>
      <c r="R117" s="123" t="n">
        <f aca="false">IF(M117=4,1,0)</f>
        <v>1</v>
      </c>
      <c r="S117" s="118"/>
      <c r="T117" s="101"/>
      <c r="U117" s="62"/>
    </row>
    <row r="118" customFormat="false" ht="20.1" hidden="false" customHeight="true" outlineLevel="0" collapsed="false">
      <c r="B118" s="62"/>
      <c r="C118" s="101"/>
      <c r="D118" s="101"/>
      <c r="E118" s="349" t="s">
        <v>47</v>
      </c>
      <c r="F118" s="44" t="s">
        <v>48</v>
      </c>
      <c r="G118" s="245" t="n">
        <v>3</v>
      </c>
      <c r="H118" s="246" t="s">
        <v>67</v>
      </c>
      <c r="I118" s="245" t="n">
        <v>0</v>
      </c>
      <c r="J118" s="245" t="n">
        <v>210</v>
      </c>
      <c r="K118" s="246" t="s">
        <v>67</v>
      </c>
      <c r="L118" s="247" t="n">
        <f aca="false">IF(J118="",0,(J118/J119)*100)</f>
        <v>83.6653386454183</v>
      </c>
      <c r="M118" s="245" t="n">
        <v>2</v>
      </c>
      <c r="N118" s="248" t="n">
        <v>3</v>
      </c>
      <c r="O118" s="127" t="n">
        <f aca="false">IF(M118=1,1,0)</f>
        <v>0</v>
      </c>
      <c r="P118" s="128" t="n">
        <f aca="false">IF(M118=2,1,0)</f>
        <v>1</v>
      </c>
      <c r="Q118" s="128" t="n">
        <f aca="false">IF(M118=3,1,0)</f>
        <v>0</v>
      </c>
      <c r="R118" s="129" t="n">
        <f aca="false">IF(M118=4,1,0)</f>
        <v>0</v>
      </c>
      <c r="S118" s="118"/>
      <c r="T118" s="101"/>
      <c r="U118" s="62"/>
    </row>
    <row r="119" customFormat="false" ht="20.1" hidden="true" customHeight="true" outlineLevel="1" collapsed="false">
      <c r="B119" s="62"/>
      <c r="C119" s="101"/>
      <c r="D119" s="124"/>
      <c r="E119" s="124"/>
      <c r="F119" s="131"/>
      <c r="G119" s="131"/>
      <c r="H119" s="101"/>
      <c r="I119" s="179" t="s">
        <v>89</v>
      </c>
      <c r="J119" s="133" t="n">
        <f aca="false">MAX(J115:J118)</f>
        <v>251</v>
      </c>
      <c r="K119" s="249"/>
      <c r="L119" s="139"/>
      <c r="M119" s="101"/>
      <c r="N119" s="136" t="s">
        <v>90</v>
      </c>
      <c r="O119" s="137" t="n">
        <f aca="false">SUM(O115:O118)</f>
        <v>1</v>
      </c>
      <c r="P119" s="138" t="n">
        <f aca="false">SUM(P115:P118)</f>
        <v>1</v>
      </c>
      <c r="Q119" s="137" t="n">
        <f aca="false">SUM(Q115:Q118)</f>
        <v>1</v>
      </c>
      <c r="R119" s="160" t="n">
        <f aca="false">SUM(R115:R118)</f>
        <v>1</v>
      </c>
      <c r="S119" s="139"/>
      <c r="T119" s="101"/>
      <c r="U119" s="62"/>
    </row>
    <row r="120" customFormat="false" ht="20.1" hidden="false" customHeight="true" outlineLevel="0" collapsed="false">
      <c r="B120" s="62"/>
      <c r="C120" s="101"/>
      <c r="D120" s="101"/>
      <c r="E120" s="101"/>
      <c r="F120" s="101"/>
      <c r="G120" s="101"/>
      <c r="H120" s="101"/>
      <c r="I120" s="101"/>
      <c r="J120" s="101"/>
      <c r="K120" s="101"/>
      <c r="L120" s="101"/>
      <c r="M120" s="101"/>
      <c r="N120" s="101"/>
      <c r="O120" s="101"/>
      <c r="P120" s="101"/>
      <c r="Q120" s="101"/>
      <c r="R120" s="101"/>
      <c r="S120" s="101"/>
      <c r="T120" s="101"/>
      <c r="U120" s="62"/>
    </row>
    <row r="121" customFormat="false" ht="20.1" hidden="false" customHeight="true" outlineLevel="0" collapsed="false">
      <c r="B121" s="62"/>
      <c r="U121" s="62"/>
    </row>
    <row r="122" customFormat="false" ht="20.1" hidden="false" customHeight="true" outlineLevel="0" collapsed="false">
      <c r="B122" s="62"/>
      <c r="C122" s="141"/>
      <c r="D122" s="141"/>
      <c r="E122" s="142" t="str">
        <f aca="false">IF(OR(L104="-",L104= ""),H104,L104)</f>
        <v>Marco Polo II: Im Auftrag des Khan</v>
      </c>
      <c r="F122" s="142"/>
      <c r="G122" s="142"/>
      <c r="H122" s="142"/>
      <c r="I122" s="142"/>
      <c r="J122" s="142"/>
      <c r="K122" s="142"/>
      <c r="L122" s="142"/>
      <c r="M122" s="142"/>
      <c r="N122" s="142"/>
      <c r="O122" s="143"/>
      <c r="P122" s="143"/>
      <c r="Q122" s="143"/>
      <c r="R122" s="143"/>
      <c r="S122" s="143"/>
      <c r="T122" s="141"/>
      <c r="U122" s="62"/>
    </row>
    <row r="123" customFormat="false" ht="50.1" hidden="false" customHeight="true" outlineLevel="0" collapsed="false">
      <c r="B123" s="62"/>
      <c r="C123" s="141"/>
      <c r="D123" s="143"/>
      <c r="E123" s="65" t="s">
        <v>53</v>
      </c>
      <c r="F123" s="104" t="s">
        <v>76</v>
      </c>
      <c r="G123" s="67" t="s">
        <v>77</v>
      </c>
      <c r="H123" s="66" t="s">
        <v>78</v>
      </c>
      <c r="I123" s="54" t="s">
        <v>79</v>
      </c>
      <c r="J123" s="66" t="s">
        <v>80</v>
      </c>
      <c r="K123" s="105" t="s">
        <v>81</v>
      </c>
      <c r="L123" s="66" t="s">
        <v>82</v>
      </c>
      <c r="M123" s="106" t="s">
        <v>83</v>
      </c>
      <c r="N123" s="67" t="s">
        <v>84</v>
      </c>
      <c r="O123" s="107" t="s">
        <v>85</v>
      </c>
      <c r="P123" s="108" t="s">
        <v>86</v>
      </c>
      <c r="Q123" s="108" t="s">
        <v>87</v>
      </c>
      <c r="R123" s="13" t="s">
        <v>88</v>
      </c>
      <c r="S123" s="143"/>
      <c r="T123" s="141"/>
      <c r="U123" s="62"/>
    </row>
    <row r="124" customFormat="false" ht="20.1" hidden="false" customHeight="true" outlineLevel="0" collapsed="false">
      <c r="B124" s="62"/>
      <c r="C124" s="141"/>
      <c r="D124" s="148"/>
      <c r="E124" s="380" t="s">
        <v>12</v>
      </c>
      <c r="F124" s="18" t="s">
        <v>13</v>
      </c>
      <c r="G124" s="250" t="n">
        <v>1</v>
      </c>
      <c r="H124" s="251" t="s">
        <v>122</v>
      </c>
      <c r="I124" s="250" t="n">
        <v>0</v>
      </c>
      <c r="J124" s="251" t="n">
        <v>108</v>
      </c>
      <c r="K124" s="252" t="s">
        <v>272</v>
      </c>
      <c r="L124" s="253" t="n">
        <f aca="false">IF(J124="",0,(J124/J128)*100)</f>
        <v>71.0526315789474</v>
      </c>
      <c r="M124" s="250" t="n">
        <v>3</v>
      </c>
      <c r="N124" s="254" t="n">
        <v>1</v>
      </c>
      <c r="O124" s="115" t="n">
        <f aca="false">IF(M124=1,1,0)</f>
        <v>0</v>
      </c>
      <c r="P124" s="116" t="n">
        <f aca="false">IF(M124=2,1,0)</f>
        <v>0</v>
      </c>
      <c r="Q124" s="116" t="n">
        <f aca="false">IF(M124=3,1,0)</f>
        <v>1</v>
      </c>
      <c r="R124" s="117" t="n">
        <f aca="false">IF(M124=4,1,0)</f>
        <v>0</v>
      </c>
      <c r="S124" s="147"/>
      <c r="T124" s="141"/>
      <c r="U124" s="62"/>
    </row>
    <row r="125" customFormat="false" ht="20.1" hidden="false" customHeight="true" outlineLevel="0" collapsed="false">
      <c r="B125" s="62"/>
      <c r="C125" s="141"/>
      <c r="D125" s="141"/>
      <c r="E125" s="333" t="s">
        <v>24</v>
      </c>
      <c r="F125" s="33" t="s">
        <v>25</v>
      </c>
      <c r="G125" s="241" t="n">
        <v>3</v>
      </c>
      <c r="H125" s="242" t="s">
        <v>273</v>
      </c>
      <c r="I125" s="241" t="n">
        <v>0</v>
      </c>
      <c r="J125" s="242" t="n">
        <v>136</v>
      </c>
      <c r="K125" s="242" t="s">
        <v>67</v>
      </c>
      <c r="L125" s="243" t="n">
        <f aca="false">IF(J125="",0,(J125/J128)*100)</f>
        <v>89.4736842105263</v>
      </c>
      <c r="M125" s="241" t="n">
        <v>2</v>
      </c>
      <c r="N125" s="244" t="n">
        <v>3</v>
      </c>
      <c r="O125" s="121" t="n">
        <f aca="false">IF(M125=1,1,0)</f>
        <v>0</v>
      </c>
      <c r="P125" s="122" t="n">
        <f aca="false">IF(M125=2,1,0)</f>
        <v>1</v>
      </c>
      <c r="Q125" s="122" t="n">
        <f aca="false">IF(M125=3,1,0)</f>
        <v>0</v>
      </c>
      <c r="R125" s="123" t="n">
        <f aca="false">IF(M125=4,1,0)</f>
        <v>0</v>
      </c>
      <c r="S125" s="147"/>
      <c r="T125" s="141"/>
      <c r="U125" s="62"/>
    </row>
    <row r="126" customFormat="false" ht="20.1" hidden="false" customHeight="true" outlineLevel="0" collapsed="false">
      <c r="B126" s="62"/>
      <c r="C126" s="141"/>
      <c r="D126" s="148"/>
      <c r="E126" s="326" t="s">
        <v>27</v>
      </c>
      <c r="F126" s="32" t="s">
        <v>28</v>
      </c>
      <c r="G126" s="241" t="n">
        <v>4</v>
      </c>
      <c r="H126" s="242" t="s">
        <v>274</v>
      </c>
      <c r="I126" s="241" t="n">
        <v>0</v>
      </c>
      <c r="J126" s="242" t="n">
        <v>108</v>
      </c>
      <c r="K126" s="255" t="s">
        <v>275</v>
      </c>
      <c r="L126" s="243" t="n">
        <f aca="false">IF(J126="",0,(J126/J128)*100)</f>
        <v>71.0526315789474</v>
      </c>
      <c r="M126" s="241" t="n">
        <v>4</v>
      </c>
      <c r="N126" s="244" t="n">
        <v>0</v>
      </c>
      <c r="O126" s="121" t="n">
        <f aca="false">IF(M126=1,1,0)</f>
        <v>0</v>
      </c>
      <c r="P126" s="122" t="n">
        <f aca="false">IF(M126=2,1,0)</f>
        <v>0</v>
      </c>
      <c r="Q126" s="122" t="n">
        <f aca="false">IF(M126=3,1,0)</f>
        <v>0</v>
      </c>
      <c r="R126" s="123" t="n">
        <f aca="false">IF(M126=4,1,0)</f>
        <v>1</v>
      </c>
      <c r="S126" s="147"/>
      <c r="T126" s="141"/>
      <c r="U126" s="62"/>
    </row>
    <row r="127" customFormat="false" ht="20.1" hidden="false" customHeight="true" outlineLevel="0" collapsed="false">
      <c r="B127" s="62"/>
      <c r="C127" s="141"/>
      <c r="D127" s="141"/>
      <c r="E127" s="350" t="s">
        <v>47</v>
      </c>
      <c r="F127" s="294" t="s">
        <v>48</v>
      </c>
      <c r="G127" s="295" t="n">
        <v>2</v>
      </c>
      <c r="H127" s="296" t="s">
        <v>124</v>
      </c>
      <c r="I127" s="295" t="n">
        <v>0</v>
      </c>
      <c r="J127" s="296" t="n">
        <v>152</v>
      </c>
      <c r="K127" s="296" t="s">
        <v>67</v>
      </c>
      <c r="L127" s="297" t="n">
        <f aca="false">IF(J127="",0,(J127/J128)*100)</f>
        <v>100</v>
      </c>
      <c r="M127" s="295" t="n">
        <v>1</v>
      </c>
      <c r="N127" s="298" t="n">
        <v>6</v>
      </c>
      <c r="O127" s="127" t="n">
        <f aca="false">IF(M127=1,1,0)</f>
        <v>1</v>
      </c>
      <c r="P127" s="128" t="n">
        <f aca="false">IF(M127=2,1,0)</f>
        <v>0</v>
      </c>
      <c r="Q127" s="128" t="n">
        <f aca="false">IF(M127=3,1,0)</f>
        <v>0</v>
      </c>
      <c r="R127" s="129" t="n">
        <f aca="false">IF(M127=4,1,0)</f>
        <v>0</v>
      </c>
      <c r="S127" s="147"/>
      <c r="T127" s="141"/>
      <c r="U127" s="62"/>
    </row>
    <row r="128" customFormat="false" ht="20.1" hidden="true" customHeight="true" outlineLevel="1" collapsed="false">
      <c r="B128" s="62"/>
      <c r="C128" s="141"/>
      <c r="D128" s="141"/>
      <c r="E128" s="141"/>
      <c r="F128" s="157"/>
      <c r="G128" s="157"/>
      <c r="H128" s="141"/>
      <c r="I128" s="179" t="s">
        <v>89</v>
      </c>
      <c r="J128" s="133" t="n">
        <f aca="false">MAX(J124:J127)</f>
        <v>152</v>
      </c>
      <c r="K128" s="159"/>
      <c r="L128" s="147"/>
      <c r="M128" s="141"/>
      <c r="N128" s="136" t="s">
        <v>90</v>
      </c>
      <c r="O128" s="137" t="n">
        <f aca="false">SUM(O124:O127)</f>
        <v>1</v>
      </c>
      <c r="P128" s="138" t="n">
        <f aca="false">SUM(P124:P127)</f>
        <v>1</v>
      </c>
      <c r="Q128" s="137" t="n">
        <f aca="false">SUM(Q124:Q127)</f>
        <v>1</v>
      </c>
      <c r="R128" s="160" t="n">
        <f aca="false">SUM(R124:R127)</f>
        <v>1</v>
      </c>
      <c r="S128" s="161"/>
      <c r="T128" s="141"/>
      <c r="U128" s="62"/>
    </row>
    <row r="129" customFormat="false" ht="20.1" hidden="false" customHeight="true" outlineLevel="0" collapsed="false">
      <c r="B129" s="62"/>
      <c r="C129" s="141"/>
      <c r="D129" s="141"/>
      <c r="E129" s="141"/>
      <c r="F129" s="141"/>
      <c r="G129" s="141"/>
      <c r="H129" s="141"/>
      <c r="I129" s="141"/>
      <c r="J129" s="141"/>
      <c r="K129" s="141"/>
      <c r="L129" s="141"/>
      <c r="M129" s="141"/>
      <c r="N129" s="141"/>
      <c r="O129" s="141"/>
      <c r="P129" s="141"/>
      <c r="Q129" s="141"/>
      <c r="R129" s="141"/>
      <c r="S129" s="141"/>
      <c r="T129" s="141"/>
      <c r="U129" s="62"/>
    </row>
    <row r="130" customFormat="false" ht="20.1" hidden="false" customHeight="true" outlineLevel="0" collapsed="false">
      <c r="B130" s="62"/>
      <c r="D130" s="162"/>
      <c r="E130" s="162"/>
      <c r="F130" s="162"/>
      <c r="G130" s="162"/>
      <c r="H130" s="163"/>
      <c r="I130" s="162"/>
      <c r="J130" s="162"/>
      <c r="U130" s="62"/>
    </row>
    <row r="131" customFormat="false" ht="20.1" hidden="false" customHeight="true" outlineLevel="0" collapsed="false">
      <c r="B131" s="62"/>
      <c r="C131" s="164"/>
      <c r="D131" s="164"/>
      <c r="E131" s="165" t="str">
        <f aca="false">IF(OR(L107="-",L107= ""),H107,L107)</f>
        <v>Rajas of the Ganges</v>
      </c>
      <c r="F131" s="165"/>
      <c r="G131" s="165"/>
      <c r="H131" s="165"/>
      <c r="I131" s="165"/>
      <c r="J131" s="165"/>
      <c r="K131" s="165"/>
      <c r="L131" s="165"/>
      <c r="M131" s="165"/>
      <c r="N131" s="165"/>
      <c r="O131" s="166"/>
      <c r="P131" s="166"/>
      <c r="Q131" s="166"/>
      <c r="R131" s="166"/>
      <c r="S131" s="166"/>
      <c r="T131" s="164"/>
      <c r="U131" s="167"/>
    </row>
    <row r="132" customFormat="false" ht="50.1" hidden="false" customHeight="true" outlineLevel="0" collapsed="false">
      <c r="B132" s="62"/>
      <c r="C132" s="164"/>
      <c r="D132" s="166"/>
      <c r="E132" s="65" t="s">
        <v>53</v>
      </c>
      <c r="F132" s="104" t="s">
        <v>76</v>
      </c>
      <c r="G132" s="67" t="s">
        <v>77</v>
      </c>
      <c r="H132" s="66" t="s">
        <v>78</v>
      </c>
      <c r="I132" s="54" t="s">
        <v>79</v>
      </c>
      <c r="J132" s="66" t="s">
        <v>80</v>
      </c>
      <c r="K132" s="105" t="s">
        <v>81</v>
      </c>
      <c r="L132" s="66" t="s">
        <v>82</v>
      </c>
      <c r="M132" s="106" t="s">
        <v>83</v>
      </c>
      <c r="N132" s="67" t="s">
        <v>84</v>
      </c>
      <c r="O132" s="107" t="s">
        <v>85</v>
      </c>
      <c r="P132" s="108" t="s">
        <v>86</v>
      </c>
      <c r="Q132" s="108" t="s">
        <v>87</v>
      </c>
      <c r="R132" s="13" t="s">
        <v>88</v>
      </c>
      <c r="S132" s="166"/>
      <c r="T132" s="164"/>
      <c r="U132" s="167"/>
    </row>
    <row r="133" customFormat="false" ht="20.1" hidden="false" customHeight="true" outlineLevel="0" collapsed="false">
      <c r="B133" s="62"/>
      <c r="C133" s="164"/>
      <c r="D133" s="171"/>
      <c r="E133" s="380" t="s">
        <v>12</v>
      </c>
      <c r="F133" s="18" t="s">
        <v>13</v>
      </c>
      <c r="G133" s="250" t="n">
        <v>2</v>
      </c>
      <c r="H133" s="251" t="s">
        <v>67</v>
      </c>
      <c r="I133" s="250" t="n">
        <v>-59</v>
      </c>
      <c r="J133" s="251" t="n">
        <v>-11</v>
      </c>
      <c r="K133" s="253" t="s">
        <v>67</v>
      </c>
      <c r="L133" s="253" t="n">
        <f aca="false">($I$135-J133)/($I$135-$J$136)*100</f>
        <v>74.6031746031746</v>
      </c>
      <c r="M133" s="250" t="n">
        <v>3</v>
      </c>
      <c r="N133" s="254" t="n">
        <v>1</v>
      </c>
      <c r="O133" s="115" t="n">
        <f aca="false">IF(M133=1,1,0)</f>
        <v>0</v>
      </c>
      <c r="P133" s="116" t="n">
        <f aca="false">IF(M133=2,1,0)</f>
        <v>0</v>
      </c>
      <c r="Q133" s="116" t="n">
        <f aca="false">IF(M133=3,1,0)</f>
        <v>1</v>
      </c>
      <c r="R133" s="117" t="n">
        <f aca="false">IF(M133=4,1,0)</f>
        <v>0</v>
      </c>
      <c r="S133" s="170"/>
      <c r="T133" s="164"/>
      <c r="U133" s="62"/>
    </row>
    <row r="134" customFormat="false" ht="20.1" hidden="false" customHeight="true" outlineLevel="0" collapsed="false">
      <c r="B134" s="62"/>
      <c r="C134" s="164"/>
      <c r="D134" s="164"/>
      <c r="E134" s="333" t="s">
        <v>24</v>
      </c>
      <c r="F134" s="33" t="s">
        <v>26</v>
      </c>
      <c r="G134" s="241" t="n">
        <v>1</v>
      </c>
      <c r="H134" s="242" t="s">
        <v>67</v>
      </c>
      <c r="I134" s="241" t="n">
        <v>-59</v>
      </c>
      <c r="J134" s="242" t="n">
        <v>-21</v>
      </c>
      <c r="K134" s="256" t="s">
        <v>67</v>
      </c>
      <c r="L134" s="243" t="n">
        <f aca="false">($I$135-J134)/($I$135-$J$136)*100</f>
        <v>58.7301587301587</v>
      </c>
      <c r="M134" s="241" t="n">
        <v>4</v>
      </c>
      <c r="N134" s="244" t="n">
        <v>0</v>
      </c>
      <c r="O134" s="121" t="n">
        <f aca="false">IF(M134=1,1,0)</f>
        <v>0</v>
      </c>
      <c r="P134" s="122" t="n">
        <f aca="false">IF(M134=2,1,0)</f>
        <v>0</v>
      </c>
      <c r="Q134" s="122" t="n">
        <f aca="false">IF(M134=3,1,0)</f>
        <v>0</v>
      </c>
      <c r="R134" s="123" t="n">
        <f aca="false">IF(M134=4,1,0)</f>
        <v>1</v>
      </c>
      <c r="S134" s="170"/>
      <c r="T134" s="164"/>
      <c r="U134" s="173"/>
    </row>
    <row r="135" customFormat="false" ht="20.1" hidden="false" customHeight="true" outlineLevel="0" collapsed="false">
      <c r="B135" s="62"/>
      <c r="C135" s="164"/>
      <c r="D135" s="164"/>
      <c r="E135" s="326" t="s">
        <v>27</v>
      </c>
      <c r="F135" s="32" t="s">
        <v>28</v>
      </c>
      <c r="G135" s="241" t="n">
        <v>4</v>
      </c>
      <c r="H135" s="242" t="s">
        <v>67</v>
      </c>
      <c r="I135" s="241" t="n">
        <v>-58</v>
      </c>
      <c r="J135" s="242" t="n">
        <v>-7</v>
      </c>
      <c r="K135" s="256" t="s">
        <v>67</v>
      </c>
      <c r="L135" s="243" t="n">
        <f aca="false">($I$135-J135)/($I$135-$J$136)*100</f>
        <v>80.952380952381</v>
      </c>
      <c r="M135" s="241" t="n">
        <v>2</v>
      </c>
      <c r="N135" s="244" t="n">
        <v>3</v>
      </c>
      <c r="O135" s="121" t="n">
        <f aca="false">IF(M135=1,1,0)</f>
        <v>0</v>
      </c>
      <c r="P135" s="122" t="n">
        <f aca="false">IF(M135=2,1,0)</f>
        <v>1</v>
      </c>
      <c r="Q135" s="122" t="n">
        <f aca="false">IF(M135=3,1,0)</f>
        <v>0</v>
      </c>
      <c r="R135" s="123" t="n">
        <f aca="false">IF(M135=4,1,0)</f>
        <v>0</v>
      </c>
      <c r="S135" s="170"/>
      <c r="T135" s="164"/>
      <c r="U135" s="173"/>
    </row>
    <row r="136" customFormat="false" ht="20.1" hidden="false" customHeight="true" outlineLevel="0" collapsed="false">
      <c r="B136" s="62"/>
      <c r="C136" s="164"/>
      <c r="D136" s="164"/>
      <c r="E136" s="350" t="s">
        <v>47</v>
      </c>
      <c r="F136" s="294" t="s">
        <v>48</v>
      </c>
      <c r="G136" s="295" t="n">
        <v>3</v>
      </c>
      <c r="H136" s="296" t="s">
        <v>67</v>
      </c>
      <c r="I136" s="295" t="n">
        <v>-58</v>
      </c>
      <c r="J136" s="296" t="n">
        <v>5</v>
      </c>
      <c r="K136" s="297" t="s">
        <v>67</v>
      </c>
      <c r="L136" s="297" t="n">
        <f aca="false">($I$135-J136)/($I$135-$J$136)*100</f>
        <v>100</v>
      </c>
      <c r="M136" s="295" t="n">
        <v>1</v>
      </c>
      <c r="N136" s="298" t="n">
        <v>6</v>
      </c>
      <c r="O136" s="127" t="n">
        <f aca="false">IF(M136=1,1,0)</f>
        <v>1</v>
      </c>
      <c r="P136" s="128" t="n">
        <f aca="false">IF(M136=2,1,0)</f>
        <v>0</v>
      </c>
      <c r="Q136" s="128" t="n">
        <f aca="false">IF(M136=3,1,0)</f>
        <v>0</v>
      </c>
      <c r="R136" s="129" t="n">
        <f aca="false">IF(M136=4,1,0)</f>
        <v>0</v>
      </c>
      <c r="S136" s="170"/>
      <c r="T136" s="164"/>
      <c r="U136" s="173"/>
    </row>
    <row r="137" customFormat="false" ht="20.1" hidden="true" customHeight="true" outlineLevel="1" collapsed="false">
      <c r="B137" s="62"/>
      <c r="C137" s="164"/>
      <c r="D137" s="164"/>
      <c r="E137" s="164"/>
      <c r="F137" s="178"/>
      <c r="G137" s="178"/>
      <c r="H137" s="164"/>
      <c r="I137" s="179" t="s">
        <v>89</v>
      </c>
      <c r="J137" s="133" t="n">
        <f aca="false">MAX(J133:J136)</f>
        <v>5</v>
      </c>
      <c r="K137" s="180"/>
      <c r="L137" s="170"/>
      <c r="M137" s="164"/>
      <c r="N137" s="136" t="s">
        <v>90</v>
      </c>
      <c r="O137" s="137" t="n">
        <f aca="false">SUM(O133:O136)</f>
        <v>1</v>
      </c>
      <c r="P137" s="138" t="n">
        <f aca="false">SUM(P133:P136)</f>
        <v>1</v>
      </c>
      <c r="Q137" s="137" t="n">
        <f aca="false">SUM(Q133:Q136)</f>
        <v>1</v>
      </c>
      <c r="R137" s="160" t="n">
        <f aca="false">SUM(R133:R136)</f>
        <v>1</v>
      </c>
      <c r="S137" s="181"/>
      <c r="T137" s="164"/>
      <c r="U137" s="173"/>
    </row>
    <row r="138" customFormat="false" ht="20.1" hidden="false" customHeight="true" outlineLevel="0" collapsed="false">
      <c r="B138" s="62"/>
      <c r="C138" s="164"/>
      <c r="D138" s="164"/>
      <c r="E138" s="164"/>
      <c r="F138" s="164"/>
      <c r="G138" s="164"/>
      <c r="H138" s="164"/>
      <c r="I138" s="164"/>
      <c r="J138" s="164"/>
      <c r="K138" s="164"/>
      <c r="L138" s="164"/>
      <c r="M138" s="164"/>
      <c r="N138" s="164"/>
      <c r="O138" s="164"/>
      <c r="P138" s="164"/>
      <c r="Q138" s="164"/>
      <c r="R138" s="164"/>
      <c r="S138" s="164"/>
      <c r="T138" s="164"/>
      <c r="U138" s="173"/>
    </row>
    <row r="139" customFormat="false" ht="20.1" hidden="false" customHeight="true" outlineLevel="0" collapsed="false">
      <c r="B139" s="62"/>
      <c r="D139" s="162"/>
      <c r="E139" s="162"/>
      <c r="F139" s="162"/>
      <c r="G139" s="162"/>
      <c r="H139" s="163"/>
      <c r="I139" s="162"/>
      <c r="J139" s="162"/>
      <c r="K139" s="162"/>
      <c r="U139" s="62"/>
    </row>
    <row r="140" customFormat="false" ht="20.1" hidden="false" customHeight="true" outlineLevel="0" collapsed="false">
      <c r="B140" s="62"/>
      <c r="C140" s="182"/>
      <c r="D140" s="182"/>
      <c r="E140" s="183" t="str">
        <f aca="false">IF(OR(L111="-",L111= ""),H111,L111)</f>
        <v>La Granja</v>
      </c>
      <c r="F140" s="183"/>
      <c r="G140" s="183"/>
      <c r="H140" s="183"/>
      <c r="I140" s="183"/>
      <c r="J140" s="183"/>
      <c r="K140" s="183"/>
      <c r="L140" s="183"/>
      <c r="M140" s="183"/>
      <c r="N140" s="183"/>
      <c r="O140" s="184"/>
      <c r="P140" s="184"/>
      <c r="Q140" s="184"/>
      <c r="R140" s="184"/>
      <c r="S140" s="184"/>
      <c r="T140" s="182"/>
      <c r="U140" s="62"/>
    </row>
    <row r="141" customFormat="false" ht="50.1" hidden="false" customHeight="true" outlineLevel="0" collapsed="false">
      <c r="B141" s="62"/>
      <c r="C141" s="182"/>
      <c r="D141" s="184"/>
      <c r="E141" s="65" t="s">
        <v>53</v>
      </c>
      <c r="F141" s="104" t="s">
        <v>76</v>
      </c>
      <c r="G141" s="67" t="s">
        <v>77</v>
      </c>
      <c r="H141" s="66" t="s">
        <v>78</v>
      </c>
      <c r="I141" s="54" t="s">
        <v>79</v>
      </c>
      <c r="J141" s="66" t="s">
        <v>80</v>
      </c>
      <c r="K141" s="105" t="s">
        <v>81</v>
      </c>
      <c r="L141" s="66" t="s">
        <v>82</v>
      </c>
      <c r="M141" s="106" t="s">
        <v>83</v>
      </c>
      <c r="N141" s="67" t="s">
        <v>84</v>
      </c>
      <c r="O141" s="107" t="s">
        <v>85</v>
      </c>
      <c r="P141" s="108" t="s">
        <v>86</v>
      </c>
      <c r="Q141" s="108" t="s">
        <v>87</v>
      </c>
      <c r="R141" s="13" t="s">
        <v>88</v>
      </c>
      <c r="S141" s="184"/>
      <c r="T141" s="182"/>
      <c r="U141" s="62"/>
    </row>
    <row r="142" customFormat="false" ht="20.1" hidden="false" customHeight="true" outlineLevel="0" collapsed="false">
      <c r="B142" s="62"/>
      <c r="C142" s="182"/>
      <c r="D142" s="182"/>
      <c r="E142" s="403" t="s">
        <v>12</v>
      </c>
      <c r="F142" s="110" t="s">
        <v>13</v>
      </c>
      <c r="G142" s="111" t="n">
        <v>4</v>
      </c>
      <c r="H142" s="111" t="s">
        <v>67</v>
      </c>
      <c r="I142" s="111" t="n">
        <v>0</v>
      </c>
      <c r="J142" s="111" t="n">
        <v>85</v>
      </c>
      <c r="K142" s="111" t="s">
        <v>67</v>
      </c>
      <c r="L142" s="113" t="n">
        <f aca="false">IF(J142="",0,(J142/J146)*100)</f>
        <v>100</v>
      </c>
      <c r="M142" s="111" t="n">
        <v>1</v>
      </c>
      <c r="N142" s="114" t="n">
        <v>6</v>
      </c>
      <c r="O142" s="115" t="n">
        <f aca="false">IF(M142=1,1,0)</f>
        <v>1</v>
      </c>
      <c r="P142" s="116" t="n">
        <f aca="false">IF(M142=2,1,0)</f>
        <v>0</v>
      </c>
      <c r="Q142" s="116" t="n">
        <f aca="false">IF(M142=3,1,0)</f>
        <v>0</v>
      </c>
      <c r="R142" s="117" t="n">
        <f aca="false">IF(M142=4,1,0)</f>
        <v>0</v>
      </c>
      <c r="S142" s="185"/>
      <c r="T142" s="182"/>
      <c r="U142" s="62"/>
    </row>
    <row r="143" customFormat="false" ht="20.1" hidden="false" customHeight="true" outlineLevel="0" collapsed="false">
      <c r="B143" s="62"/>
      <c r="C143" s="182"/>
      <c r="D143" s="182"/>
      <c r="E143" s="333" t="s">
        <v>24</v>
      </c>
      <c r="F143" s="33" t="s">
        <v>25</v>
      </c>
      <c r="G143" s="241" t="n">
        <v>3</v>
      </c>
      <c r="H143" s="241" t="s">
        <v>67</v>
      </c>
      <c r="I143" s="241" t="n">
        <v>0</v>
      </c>
      <c r="J143" s="241" t="n">
        <v>76</v>
      </c>
      <c r="K143" s="242" t="s">
        <v>276</v>
      </c>
      <c r="L143" s="243" t="n">
        <f aca="false">IF(J143="",0,(J143/J146)*100)</f>
        <v>89.4117647058824</v>
      </c>
      <c r="M143" s="241" t="n">
        <v>3</v>
      </c>
      <c r="N143" s="244" t="n">
        <v>0.5</v>
      </c>
      <c r="O143" s="121" t="n">
        <f aca="false">IF(M143=1,1,0)</f>
        <v>0</v>
      </c>
      <c r="P143" s="122" t="n">
        <f aca="false">IF(M143=2,1,0)</f>
        <v>0</v>
      </c>
      <c r="Q143" s="122" t="n">
        <f aca="false">IF(M143=3,1,0)</f>
        <v>1</v>
      </c>
      <c r="R143" s="123" t="n">
        <f aca="false">IF(M143=4,1,0)</f>
        <v>0</v>
      </c>
      <c r="S143" s="185"/>
      <c r="T143" s="182"/>
      <c r="U143" s="62"/>
    </row>
    <row r="144" customFormat="false" ht="20.1" hidden="false" customHeight="true" outlineLevel="0" collapsed="false">
      <c r="B144" s="62"/>
      <c r="C144" s="182"/>
      <c r="D144" s="182"/>
      <c r="E144" s="326" t="s">
        <v>27</v>
      </c>
      <c r="F144" s="32" t="s">
        <v>28</v>
      </c>
      <c r="G144" s="241" t="n">
        <v>2</v>
      </c>
      <c r="H144" s="241" t="s">
        <v>67</v>
      </c>
      <c r="I144" s="241" t="n">
        <v>0</v>
      </c>
      <c r="J144" s="241" t="n">
        <v>76</v>
      </c>
      <c r="K144" s="241" t="s">
        <v>276</v>
      </c>
      <c r="L144" s="243" t="n">
        <f aca="false">IF(J144="",0,(J144/J146)*100)</f>
        <v>89.4117647058824</v>
      </c>
      <c r="M144" s="241" t="n">
        <v>3</v>
      </c>
      <c r="N144" s="244" t="n">
        <v>0.5</v>
      </c>
      <c r="O144" s="121" t="n">
        <f aca="false">IF(M144=1,1,0)</f>
        <v>0</v>
      </c>
      <c r="P144" s="122" t="n">
        <f aca="false">IF(M144=2,1,0)</f>
        <v>0</v>
      </c>
      <c r="Q144" s="122" t="n">
        <f aca="false">IF(M144=3,1,0)</f>
        <v>1</v>
      </c>
      <c r="R144" s="123" t="n">
        <f aca="false">IF(M144=4,1,0)</f>
        <v>0</v>
      </c>
      <c r="S144" s="185"/>
      <c r="T144" s="182"/>
      <c r="U144" s="62"/>
    </row>
    <row r="145" customFormat="false" ht="20.1" hidden="false" customHeight="true" outlineLevel="0" collapsed="false">
      <c r="B145" s="62"/>
      <c r="C145" s="182"/>
      <c r="D145" s="186"/>
      <c r="E145" s="349" t="s">
        <v>47</v>
      </c>
      <c r="F145" s="44" t="s">
        <v>48</v>
      </c>
      <c r="G145" s="245" t="n">
        <v>1</v>
      </c>
      <c r="H145" s="245" t="s">
        <v>67</v>
      </c>
      <c r="I145" s="245" t="n">
        <v>0</v>
      </c>
      <c r="J145" s="245" t="n">
        <v>84</v>
      </c>
      <c r="K145" s="246" t="s">
        <v>67</v>
      </c>
      <c r="L145" s="247" t="n">
        <f aca="false">IF(J145="",0,(J145/J146)*100)</f>
        <v>98.8235294117647</v>
      </c>
      <c r="M145" s="245" t="n">
        <v>2</v>
      </c>
      <c r="N145" s="248" t="n">
        <v>3</v>
      </c>
      <c r="O145" s="127" t="n">
        <f aca="false">IF(M145=1,1,0)</f>
        <v>0</v>
      </c>
      <c r="P145" s="128" t="n">
        <f aca="false">IF(M145=2,1,0)</f>
        <v>1</v>
      </c>
      <c r="Q145" s="128" t="n">
        <f aca="false">IF(M145=3,1,0)</f>
        <v>0</v>
      </c>
      <c r="R145" s="129" t="n">
        <f aca="false">IF(M145=4,1,0)</f>
        <v>0</v>
      </c>
      <c r="S145" s="185"/>
      <c r="T145" s="182"/>
      <c r="U145" s="62"/>
    </row>
    <row r="146" customFormat="false" ht="20.1" hidden="true" customHeight="true" outlineLevel="1" collapsed="false">
      <c r="B146" s="62"/>
      <c r="C146" s="182"/>
      <c r="D146" s="182"/>
      <c r="E146" s="182"/>
      <c r="F146" s="187"/>
      <c r="G146" s="187"/>
      <c r="H146" s="182"/>
      <c r="I146" s="179" t="s">
        <v>89</v>
      </c>
      <c r="J146" s="133" t="n">
        <f aca="false">MAX(J142:J145)</f>
        <v>85</v>
      </c>
      <c r="K146" s="188"/>
      <c r="L146" s="185"/>
      <c r="M146" s="182"/>
      <c r="N146" s="136" t="s">
        <v>90</v>
      </c>
      <c r="O146" s="137" t="n">
        <f aca="false">SUM(O142:O145)</f>
        <v>1</v>
      </c>
      <c r="P146" s="138" t="n">
        <f aca="false">SUM(P142:P145)</f>
        <v>1</v>
      </c>
      <c r="Q146" s="137" t="n">
        <f aca="false">SUM(Q142:Q145)</f>
        <v>2</v>
      </c>
      <c r="R146" s="160" t="n">
        <f aca="false">SUM(R142:R145)</f>
        <v>0</v>
      </c>
      <c r="S146" s="189"/>
      <c r="T146" s="182"/>
      <c r="U146" s="62"/>
    </row>
    <row r="147" customFormat="false" ht="20.1" hidden="false" customHeight="true" outlineLevel="0" collapsed="false">
      <c r="B147" s="62"/>
      <c r="C147" s="182"/>
      <c r="D147" s="182"/>
      <c r="E147" s="182"/>
      <c r="F147" s="182"/>
      <c r="G147" s="182"/>
      <c r="H147" s="182"/>
      <c r="I147" s="182"/>
      <c r="J147" s="182"/>
      <c r="K147" s="182"/>
      <c r="L147" s="182"/>
      <c r="M147" s="182"/>
      <c r="N147" s="182"/>
      <c r="O147" s="182"/>
      <c r="P147" s="182"/>
      <c r="Q147" s="182"/>
      <c r="R147" s="182"/>
      <c r="S147" s="182"/>
      <c r="T147" s="182"/>
      <c r="U147" s="62"/>
    </row>
    <row r="148" customFormat="false" ht="20.1" hidden="false" customHeight="true" outlineLevel="0" collapsed="false">
      <c r="B148" s="62"/>
      <c r="D148" s="5"/>
      <c r="E148" s="5"/>
      <c r="F148" s="5"/>
      <c r="G148" s="5"/>
      <c r="H148" s="5"/>
      <c r="I148" s="5"/>
      <c r="J148" s="5"/>
      <c r="U148" s="62"/>
    </row>
    <row r="149" customFormat="false" ht="30" hidden="false" customHeight="true" outlineLevel="0" collapsed="false">
      <c r="B149" s="62"/>
      <c r="C149" s="190"/>
      <c r="D149" s="191" t="s">
        <v>135</v>
      </c>
      <c r="E149" s="191"/>
      <c r="F149" s="191"/>
      <c r="G149" s="191"/>
      <c r="H149" s="191"/>
      <c r="I149" s="191"/>
      <c r="J149" s="191"/>
      <c r="K149" s="191"/>
      <c r="L149" s="191"/>
      <c r="M149" s="191"/>
      <c r="N149" s="191"/>
      <c r="O149" s="191"/>
      <c r="P149" s="191"/>
      <c r="Q149" s="191"/>
      <c r="R149" s="191"/>
      <c r="S149" s="191"/>
      <c r="T149" s="190"/>
      <c r="U149" s="62"/>
    </row>
    <row r="150" customFormat="false" ht="50.1" hidden="false" customHeight="true" outlineLevel="0" collapsed="false">
      <c r="B150" s="62"/>
      <c r="C150" s="190"/>
      <c r="D150" s="192" t="s">
        <v>53</v>
      </c>
      <c r="E150" s="193" t="s">
        <v>54</v>
      </c>
      <c r="F150" s="194" t="s">
        <v>84</v>
      </c>
      <c r="G150" s="195" t="s">
        <v>100</v>
      </c>
      <c r="H150" s="196" t="s">
        <v>101</v>
      </c>
      <c r="I150" s="196"/>
      <c r="J150" s="197" t="s">
        <v>102</v>
      </c>
      <c r="K150" s="198" t="s">
        <v>103</v>
      </c>
      <c r="L150" s="194" t="s">
        <v>104</v>
      </c>
      <c r="M150" s="198" t="s">
        <v>105</v>
      </c>
      <c r="N150" s="194" t="s">
        <v>106</v>
      </c>
      <c r="O150" s="199"/>
      <c r="P150" s="200"/>
      <c r="Q150" s="200"/>
      <c r="R150" s="200"/>
      <c r="S150" s="193" t="s">
        <v>107</v>
      </c>
      <c r="T150" s="190"/>
      <c r="U150" s="62"/>
    </row>
    <row r="151" customFormat="false" ht="20.1" hidden="false" customHeight="true" outlineLevel="0" collapsed="false">
      <c r="B151" s="62"/>
      <c r="C151" s="190"/>
      <c r="D151" s="425" t="s">
        <v>47</v>
      </c>
      <c r="E151" s="302" t="s">
        <v>48</v>
      </c>
      <c r="F151" s="258" t="n">
        <f aca="false">K151*6+L151*3+M151*1+N151*0</f>
        <v>18</v>
      </c>
      <c r="G151" s="259" t="n">
        <v>0</v>
      </c>
      <c r="H151" s="259" t="s">
        <v>67</v>
      </c>
      <c r="I151" s="259"/>
      <c r="J151" s="258" t="n">
        <f aca="false">F151+G151</f>
        <v>18</v>
      </c>
      <c r="K151" s="258" t="n">
        <v>2</v>
      </c>
      <c r="L151" s="258" t="n">
        <v>2</v>
      </c>
      <c r="M151" s="258" t="n">
        <v>0</v>
      </c>
      <c r="N151" s="258" t="n">
        <v>0</v>
      </c>
      <c r="O151" s="260"/>
      <c r="P151" s="259"/>
      <c r="Q151" s="259"/>
      <c r="R151" s="259"/>
      <c r="S151" s="261" t="n">
        <f aca="false">(L118++L127+L136+L145)/4</f>
        <v>95.6222170142958</v>
      </c>
      <c r="T151" s="190"/>
      <c r="U151" s="62"/>
    </row>
    <row r="152" customFormat="false" ht="20.1" hidden="false" customHeight="true" outlineLevel="0" collapsed="false">
      <c r="B152" s="62"/>
      <c r="C152" s="190"/>
      <c r="D152" s="207" t="s">
        <v>12</v>
      </c>
      <c r="E152" s="420" t="s">
        <v>13</v>
      </c>
      <c r="F152" s="262" t="n">
        <f aca="false">K152*6+L152*3+M152*1+N152*0</f>
        <v>14</v>
      </c>
      <c r="G152" s="263" t="n">
        <v>0</v>
      </c>
      <c r="H152" s="263" t="s">
        <v>67</v>
      </c>
      <c r="I152" s="263"/>
      <c r="J152" s="262" t="n">
        <f aca="false">F152+G152</f>
        <v>14</v>
      </c>
      <c r="K152" s="262" t="n">
        <v>2</v>
      </c>
      <c r="L152" s="262" t="n">
        <v>0</v>
      </c>
      <c r="M152" s="262" t="n">
        <v>2</v>
      </c>
      <c r="N152" s="262" t="n">
        <v>0</v>
      </c>
      <c r="O152" s="264"/>
      <c r="P152" s="263"/>
      <c r="Q152" s="263"/>
      <c r="R152" s="263"/>
      <c r="S152" s="265" t="n">
        <f aca="false">(L115+L124+L133+L142)/4</f>
        <v>86.4139515455305</v>
      </c>
      <c r="T152" s="190"/>
      <c r="U152" s="62"/>
      <c r="Y152" s="266"/>
      <c r="Z152" s="266"/>
      <c r="AA152" s="267"/>
      <c r="AB152" s="267"/>
      <c r="AC152" s="268"/>
      <c r="AD152" s="268"/>
      <c r="AE152" s="268"/>
    </row>
    <row r="153" customFormat="false" ht="20.1" hidden="false" customHeight="true" outlineLevel="0" collapsed="false">
      <c r="B153" s="62"/>
      <c r="C153" s="190"/>
      <c r="D153" s="207" t="s">
        <v>24</v>
      </c>
      <c r="E153" s="208" t="s">
        <v>25</v>
      </c>
      <c r="F153" s="426" t="n">
        <f aca="false">K153*6+L153*3+M153*1+N153*0</f>
        <v>4.5</v>
      </c>
      <c r="G153" s="263" t="n">
        <v>0</v>
      </c>
      <c r="H153" s="263" t="s">
        <v>67</v>
      </c>
      <c r="I153" s="263"/>
      <c r="J153" s="426" t="n">
        <f aca="false">F153+G153</f>
        <v>4.5</v>
      </c>
      <c r="K153" s="262" t="n">
        <v>0</v>
      </c>
      <c r="L153" s="262" t="n">
        <v>1</v>
      </c>
      <c r="M153" s="426" t="n">
        <v>1.5</v>
      </c>
      <c r="N153" s="426" t="n">
        <v>1.5</v>
      </c>
      <c r="O153" s="264"/>
      <c r="P153" s="263"/>
      <c r="Q153" s="263"/>
      <c r="R153" s="263"/>
      <c r="S153" s="265" t="n">
        <f aca="false">(L116+L125+L134+L143)/4</f>
        <v>72.7505154574586</v>
      </c>
      <c r="T153" s="190"/>
      <c r="U153" s="62"/>
    </row>
    <row r="154" customFormat="false" ht="20.1" hidden="false" customHeight="true" outlineLevel="0" collapsed="false">
      <c r="B154" s="62"/>
      <c r="C154" s="190"/>
      <c r="D154" s="427" t="s">
        <v>27</v>
      </c>
      <c r="E154" s="421" t="s">
        <v>28</v>
      </c>
      <c r="F154" s="428" t="n">
        <f aca="false">K154*6+L154*3+M154*1+N154*0</f>
        <v>3.5</v>
      </c>
      <c r="G154" s="272" t="n">
        <v>0</v>
      </c>
      <c r="H154" s="272" t="s">
        <v>67</v>
      </c>
      <c r="I154" s="272"/>
      <c r="J154" s="428" t="n">
        <f aca="false">F154+G154</f>
        <v>3.5</v>
      </c>
      <c r="K154" s="271" t="n">
        <v>0</v>
      </c>
      <c r="L154" s="271" t="n">
        <v>1</v>
      </c>
      <c r="M154" s="428" t="n">
        <v>0.5</v>
      </c>
      <c r="N154" s="428" t="n">
        <v>2.5</v>
      </c>
      <c r="O154" s="273"/>
      <c r="P154" s="272"/>
      <c r="Q154" s="272"/>
      <c r="R154" s="272"/>
      <c r="S154" s="274" t="n">
        <f aca="false">(L117+L126+L135+L144)/4</f>
        <v>72.3063855443624</v>
      </c>
      <c r="T154" s="190"/>
      <c r="U154" s="62"/>
    </row>
    <row r="155" customFormat="false" ht="20.1" hidden="false" customHeight="true" outlineLevel="0" collapsed="false">
      <c r="B155" s="62"/>
      <c r="C155" s="190"/>
      <c r="D155" s="422"/>
      <c r="E155" s="422"/>
      <c r="F155" s="429"/>
      <c r="G155" s="377"/>
      <c r="H155" s="430"/>
      <c r="I155" s="430"/>
      <c r="J155" s="429"/>
      <c r="K155" s="429"/>
      <c r="L155" s="429"/>
      <c r="M155" s="429"/>
      <c r="N155" s="429"/>
      <c r="O155" s="376"/>
      <c r="P155" s="377"/>
      <c r="Q155" s="377"/>
      <c r="R155" s="377"/>
      <c r="S155" s="408"/>
      <c r="T155" s="190"/>
      <c r="U155" s="62"/>
    </row>
    <row r="156" customFormat="false" ht="20.1" hidden="false" customHeight="true" outlineLevel="0" collapsed="false">
      <c r="B156" s="62"/>
      <c r="C156" s="62"/>
      <c r="D156" s="219"/>
      <c r="E156" s="219"/>
      <c r="F156" s="167"/>
      <c r="G156" s="167"/>
      <c r="H156" s="219"/>
      <c r="I156" s="219"/>
      <c r="J156" s="219"/>
      <c r="K156" s="62"/>
      <c r="L156" s="62"/>
      <c r="M156" s="62"/>
      <c r="N156" s="62"/>
      <c r="O156" s="62"/>
      <c r="P156" s="62"/>
      <c r="Q156" s="62"/>
      <c r="R156" s="62"/>
      <c r="S156" s="62"/>
      <c r="T156" s="62"/>
      <c r="U156" s="62"/>
    </row>
    <row r="157" customFormat="false" ht="20.1" hidden="false" customHeight="true" outlineLevel="0" collapsed="false"/>
    <row r="158" customFormat="false" ht="20.1" hidden="false" customHeight="true" outlineLevel="0" collapsed="false"/>
    <row r="159" customFormat="false" ht="20.1" hidden="false" customHeight="true" outlineLevel="0" collapsed="false">
      <c r="B159" s="62"/>
      <c r="C159" s="62"/>
      <c r="D159" s="63"/>
      <c r="E159" s="63"/>
      <c r="F159" s="63"/>
      <c r="G159" s="63"/>
      <c r="H159" s="62"/>
      <c r="I159" s="62"/>
      <c r="J159" s="62"/>
      <c r="K159" s="62"/>
      <c r="L159" s="62"/>
      <c r="M159" s="62"/>
      <c r="N159" s="62"/>
      <c r="O159" s="62"/>
      <c r="P159" s="62"/>
      <c r="Q159" s="62"/>
      <c r="R159" s="62"/>
      <c r="S159" s="62"/>
      <c r="T159" s="62"/>
      <c r="U159" s="62"/>
    </row>
    <row r="160" customFormat="false" ht="30" hidden="false" customHeight="true" outlineLevel="0" collapsed="false">
      <c r="B160" s="62"/>
      <c r="C160" s="64" t="s">
        <v>136</v>
      </c>
      <c r="D160" s="64"/>
      <c r="E160" s="64"/>
      <c r="F160" s="64"/>
      <c r="G160" s="64"/>
      <c r="H160" s="64"/>
      <c r="I160" s="64"/>
      <c r="J160" s="64"/>
      <c r="K160" s="64"/>
      <c r="L160" s="64"/>
      <c r="M160" s="64"/>
      <c r="N160" s="64"/>
      <c r="O160" s="64"/>
      <c r="P160" s="64"/>
      <c r="Q160" s="64"/>
      <c r="R160" s="64"/>
      <c r="S160" s="64"/>
      <c r="T160" s="64"/>
      <c r="U160" s="62"/>
    </row>
    <row r="161" customFormat="false" ht="20.1" hidden="false" customHeight="true" outlineLevel="0" collapsed="false">
      <c r="B161" s="62"/>
      <c r="U161" s="62"/>
    </row>
    <row r="162" customFormat="false" ht="20.1" hidden="false" customHeight="true" outlineLevel="0" collapsed="false">
      <c r="B162" s="62"/>
      <c r="D162" s="65" t="s">
        <v>53</v>
      </c>
      <c r="E162" s="66" t="s">
        <v>54</v>
      </c>
      <c r="F162" s="67" t="s">
        <v>11</v>
      </c>
      <c r="G162" s="223" t="s">
        <v>55</v>
      </c>
      <c r="H162" s="223"/>
      <c r="I162" s="223"/>
      <c r="J162" s="223"/>
      <c r="K162" s="66" t="s">
        <v>56</v>
      </c>
      <c r="L162" s="68" t="s">
        <v>57</v>
      </c>
      <c r="M162" s="68"/>
      <c r="N162" s="68"/>
      <c r="O162" s="68"/>
      <c r="P162" s="68"/>
      <c r="Q162" s="68"/>
      <c r="R162" s="68"/>
      <c r="S162" s="68"/>
      <c r="U162" s="62"/>
    </row>
    <row r="163" customFormat="false" ht="20.1" hidden="false" customHeight="true" outlineLevel="0" collapsed="false">
      <c r="B163" s="62"/>
      <c r="D163" s="65"/>
      <c r="E163" s="66"/>
      <c r="F163" s="66"/>
      <c r="G163" s="70" t="s">
        <v>58</v>
      </c>
      <c r="H163" s="69" t="s">
        <v>59</v>
      </c>
      <c r="I163" s="67" t="s">
        <v>60</v>
      </c>
      <c r="J163" s="67"/>
      <c r="K163" s="69" t="s">
        <v>61</v>
      </c>
      <c r="L163" s="224" t="s">
        <v>58</v>
      </c>
      <c r="M163" s="225" t="s">
        <v>62</v>
      </c>
      <c r="N163" s="67" t="s">
        <v>60</v>
      </c>
      <c r="O163" s="67"/>
      <c r="P163" s="67"/>
      <c r="Q163" s="67"/>
      <c r="R163" s="67"/>
      <c r="S163" s="67"/>
      <c r="U163" s="62"/>
    </row>
    <row r="164" customFormat="false" ht="27.95" hidden="false" customHeight="true" outlineLevel="0" collapsed="false">
      <c r="B164" s="62"/>
      <c r="D164" s="318" t="s">
        <v>31</v>
      </c>
      <c r="E164" s="18" t="s">
        <v>32</v>
      </c>
      <c r="F164" s="23" t="n">
        <v>1</v>
      </c>
      <c r="G164" s="72" t="s">
        <v>114</v>
      </c>
      <c r="H164" s="74" t="s">
        <v>115</v>
      </c>
      <c r="I164" s="321" t="s">
        <v>241</v>
      </c>
      <c r="J164" s="321"/>
      <c r="K164" s="431" t="s">
        <v>111</v>
      </c>
      <c r="L164" s="323" t="s">
        <v>67</v>
      </c>
      <c r="M164" s="324" t="s">
        <v>67</v>
      </c>
      <c r="N164" s="78" t="s">
        <v>67</v>
      </c>
      <c r="O164" s="78"/>
      <c r="P164" s="78"/>
      <c r="Q164" s="78"/>
      <c r="R164" s="78"/>
      <c r="S164" s="78"/>
      <c r="U164" s="62"/>
    </row>
    <row r="165" customFormat="false" ht="15" hidden="false" customHeight="true" outlineLevel="0" collapsed="false">
      <c r="B165" s="62"/>
      <c r="D165" s="318"/>
      <c r="E165" s="18"/>
      <c r="F165" s="23"/>
      <c r="G165" s="72"/>
      <c r="H165" s="74"/>
      <c r="I165" s="325" t="s">
        <v>242</v>
      </c>
      <c r="J165" s="325"/>
      <c r="K165" s="431"/>
      <c r="L165" s="323"/>
      <c r="M165" s="324"/>
      <c r="N165" s="78"/>
      <c r="O165" s="78"/>
      <c r="P165" s="78"/>
      <c r="Q165" s="78"/>
      <c r="R165" s="78"/>
      <c r="S165" s="78"/>
      <c r="U165" s="62"/>
    </row>
    <row r="166" customFormat="false" ht="15" hidden="false" customHeight="true" outlineLevel="0" collapsed="false">
      <c r="B166" s="62"/>
      <c r="D166" s="318"/>
      <c r="E166" s="18"/>
      <c r="F166" s="23"/>
      <c r="G166" s="72"/>
      <c r="H166" s="74"/>
      <c r="I166" s="325" t="s">
        <v>243</v>
      </c>
      <c r="J166" s="325"/>
      <c r="K166" s="431"/>
      <c r="L166" s="323"/>
      <c r="M166" s="324"/>
      <c r="N166" s="78"/>
      <c r="O166" s="78"/>
      <c r="P166" s="78"/>
      <c r="Q166" s="78"/>
      <c r="R166" s="78"/>
      <c r="S166" s="78"/>
      <c r="U166" s="62"/>
    </row>
    <row r="167" customFormat="false" ht="15" hidden="false" customHeight="true" outlineLevel="0" collapsed="false">
      <c r="B167" s="62"/>
      <c r="D167" s="318"/>
      <c r="E167" s="18"/>
      <c r="F167" s="23"/>
      <c r="G167" s="72"/>
      <c r="H167" s="74"/>
      <c r="I167" s="325" t="s">
        <v>244</v>
      </c>
      <c r="J167" s="325"/>
      <c r="K167" s="431"/>
      <c r="L167" s="323"/>
      <c r="M167" s="324"/>
      <c r="N167" s="78"/>
      <c r="O167" s="78"/>
      <c r="P167" s="78"/>
      <c r="Q167" s="78"/>
      <c r="R167" s="78"/>
      <c r="S167" s="78"/>
      <c r="U167" s="62"/>
    </row>
    <row r="168" customFormat="false" ht="27.95" hidden="false" customHeight="true" outlineLevel="0" collapsed="false">
      <c r="B168" s="62"/>
      <c r="D168" s="333" t="s">
        <v>39</v>
      </c>
      <c r="E168" s="33" t="s">
        <v>40</v>
      </c>
      <c r="F168" s="31" t="n">
        <v>2</v>
      </c>
      <c r="G168" s="80" t="s">
        <v>63</v>
      </c>
      <c r="H168" s="82" t="s">
        <v>277</v>
      </c>
      <c r="I168" s="328" t="s">
        <v>278</v>
      </c>
      <c r="J168" s="328"/>
      <c r="K168" s="353" t="s">
        <v>111</v>
      </c>
      <c r="L168" s="330" t="s">
        <v>67</v>
      </c>
      <c r="M168" s="331" t="s">
        <v>67</v>
      </c>
      <c r="N168" s="86" t="s">
        <v>67</v>
      </c>
      <c r="O168" s="86"/>
      <c r="P168" s="86"/>
      <c r="Q168" s="86"/>
      <c r="R168" s="86"/>
      <c r="S168" s="86"/>
      <c r="U168" s="62"/>
    </row>
    <row r="169" customFormat="false" ht="15" hidden="false" customHeight="true" outlineLevel="0" collapsed="false">
      <c r="B169" s="62"/>
      <c r="D169" s="333"/>
      <c r="E169" s="33"/>
      <c r="F169" s="31"/>
      <c r="G169" s="80"/>
      <c r="H169" s="82"/>
      <c r="I169" s="332" t="s">
        <v>279</v>
      </c>
      <c r="J169" s="332"/>
      <c r="K169" s="353"/>
      <c r="L169" s="330"/>
      <c r="M169" s="331"/>
      <c r="N169" s="86"/>
      <c r="O169" s="86"/>
      <c r="P169" s="86"/>
      <c r="Q169" s="86"/>
      <c r="R169" s="86"/>
      <c r="S169" s="86"/>
      <c r="U169" s="62"/>
    </row>
    <row r="170" customFormat="false" ht="15" hidden="false" customHeight="true" outlineLevel="0" collapsed="false">
      <c r="B170" s="62"/>
      <c r="D170" s="333"/>
      <c r="E170" s="33"/>
      <c r="F170" s="31"/>
      <c r="G170" s="80"/>
      <c r="H170" s="82"/>
      <c r="I170" s="332" t="s">
        <v>280</v>
      </c>
      <c r="J170" s="332"/>
      <c r="K170" s="353"/>
      <c r="L170" s="330"/>
      <c r="M170" s="331"/>
      <c r="N170" s="86"/>
      <c r="O170" s="86"/>
      <c r="P170" s="86"/>
      <c r="Q170" s="86"/>
      <c r="R170" s="86"/>
      <c r="S170" s="86"/>
      <c r="U170" s="62"/>
    </row>
    <row r="171" customFormat="false" ht="27.95" hidden="false" customHeight="true" outlineLevel="0" collapsed="false">
      <c r="B171" s="62"/>
      <c r="D171" s="432" t="s">
        <v>37</v>
      </c>
      <c r="E171" s="433" t="s">
        <v>38</v>
      </c>
      <c r="F171" s="36" t="n">
        <v>3</v>
      </c>
      <c r="G171" s="434" t="s">
        <v>63</v>
      </c>
      <c r="H171" s="435" t="s">
        <v>281</v>
      </c>
      <c r="I171" s="93" t="s">
        <v>282</v>
      </c>
      <c r="J171" s="93"/>
      <c r="K171" s="436" t="s">
        <v>115</v>
      </c>
      <c r="L171" s="437" t="s">
        <v>67</v>
      </c>
      <c r="M171" s="438" t="s">
        <v>67</v>
      </c>
      <c r="N171" s="439" t="s">
        <v>67</v>
      </c>
      <c r="O171" s="439"/>
      <c r="P171" s="439"/>
      <c r="Q171" s="439"/>
      <c r="R171" s="439"/>
      <c r="S171" s="439"/>
      <c r="U171" s="62"/>
    </row>
    <row r="172" customFormat="false" ht="15" hidden="false" customHeight="true" outlineLevel="0" collapsed="false">
      <c r="B172" s="62"/>
      <c r="D172" s="349" t="s">
        <v>29</v>
      </c>
      <c r="E172" s="44" t="s">
        <v>30</v>
      </c>
      <c r="F172" s="50" t="n">
        <v>4</v>
      </c>
      <c r="G172" s="358" t="s">
        <v>63</v>
      </c>
      <c r="H172" s="440" t="s">
        <v>213</v>
      </c>
      <c r="I172" s="342" t="s">
        <v>214</v>
      </c>
      <c r="J172" s="342"/>
      <c r="K172" s="441" t="s">
        <v>111</v>
      </c>
      <c r="L172" s="442" t="s">
        <v>67</v>
      </c>
      <c r="M172" s="345" t="s">
        <v>67</v>
      </c>
      <c r="N172" s="239" t="s">
        <v>67</v>
      </c>
      <c r="O172" s="239"/>
      <c r="P172" s="239"/>
      <c r="Q172" s="239"/>
      <c r="R172" s="239"/>
      <c r="S172" s="239"/>
      <c r="U172" s="62"/>
    </row>
    <row r="173" customFormat="false" ht="15" hidden="false" customHeight="true" outlineLevel="0" collapsed="false">
      <c r="B173" s="62"/>
      <c r="D173" s="349"/>
      <c r="E173" s="44"/>
      <c r="F173" s="50"/>
      <c r="G173" s="358"/>
      <c r="H173" s="440"/>
      <c r="I173" s="347" t="s">
        <v>215</v>
      </c>
      <c r="J173" s="347"/>
      <c r="K173" s="441"/>
      <c r="L173" s="442"/>
      <c r="M173" s="345"/>
      <c r="N173" s="345"/>
      <c r="O173" s="239"/>
      <c r="P173" s="239"/>
      <c r="Q173" s="239"/>
      <c r="R173" s="239"/>
      <c r="S173" s="239"/>
      <c r="U173" s="62"/>
    </row>
    <row r="174" customFormat="false" ht="15" hidden="false" customHeight="true" outlineLevel="0" collapsed="false">
      <c r="B174" s="62"/>
      <c r="D174" s="349"/>
      <c r="E174" s="44"/>
      <c r="F174" s="50"/>
      <c r="G174" s="358"/>
      <c r="H174" s="440"/>
      <c r="I174" s="348" t="s">
        <v>216</v>
      </c>
      <c r="J174" s="348"/>
      <c r="K174" s="441"/>
      <c r="L174" s="442"/>
      <c r="M174" s="345"/>
      <c r="N174" s="345"/>
      <c r="O174" s="239"/>
      <c r="P174" s="239"/>
      <c r="Q174" s="239"/>
      <c r="R174" s="239"/>
      <c r="S174" s="239"/>
      <c r="U174" s="62"/>
    </row>
    <row r="175" customFormat="false" ht="20.1" hidden="false" customHeight="true" outlineLevel="0" collapsed="false">
      <c r="B175" s="62"/>
      <c r="U175" s="62"/>
    </row>
    <row r="176" customFormat="false" ht="20.1" hidden="false" customHeight="true" outlineLevel="0" collapsed="false">
      <c r="B176" s="62"/>
      <c r="C176" s="101"/>
      <c r="D176" s="101"/>
      <c r="E176" s="102" t="str">
        <f aca="false">IF(OR(L164="-",L164= ""),H164,L164)</f>
        <v>Orakel von Delphi</v>
      </c>
      <c r="F176" s="102"/>
      <c r="G176" s="102"/>
      <c r="H176" s="102"/>
      <c r="I176" s="102"/>
      <c r="J176" s="102"/>
      <c r="K176" s="102"/>
      <c r="L176" s="102"/>
      <c r="M176" s="102"/>
      <c r="N176" s="102"/>
      <c r="O176" s="103"/>
      <c r="P176" s="103"/>
      <c r="Q176" s="103"/>
      <c r="R176" s="103"/>
      <c r="S176" s="103"/>
      <c r="T176" s="101"/>
      <c r="U176" s="62"/>
    </row>
    <row r="177" customFormat="false" ht="50.1" hidden="false" customHeight="true" outlineLevel="0" collapsed="false">
      <c r="B177" s="62"/>
      <c r="C177" s="101"/>
      <c r="D177" s="103"/>
      <c r="E177" s="65" t="s">
        <v>53</v>
      </c>
      <c r="F177" s="104" t="s">
        <v>76</v>
      </c>
      <c r="G177" s="67" t="s">
        <v>77</v>
      </c>
      <c r="H177" s="66" t="s">
        <v>78</v>
      </c>
      <c r="I177" s="54" t="s">
        <v>79</v>
      </c>
      <c r="J177" s="66" t="s">
        <v>80</v>
      </c>
      <c r="K177" s="105" t="s">
        <v>81</v>
      </c>
      <c r="L177" s="66" t="s">
        <v>82</v>
      </c>
      <c r="M177" s="106" t="s">
        <v>83</v>
      </c>
      <c r="N177" s="67" t="s">
        <v>84</v>
      </c>
      <c r="O177" s="107" t="s">
        <v>85</v>
      </c>
      <c r="P177" s="108" t="s">
        <v>86</v>
      </c>
      <c r="Q177" s="108" t="s">
        <v>87</v>
      </c>
      <c r="R177" s="13" t="s">
        <v>88</v>
      </c>
      <c r="S177" s="103"/>
      <c r="T177" s="101"/>
      <c r="U177" s="62"/>
    </row>
    <row r="178" customFormat="false" ht="30" hidden="false" customHeight="true" outlineLevel="0" collapsed="false">
      <c r="B178" s="62"/>
      <c r="C178" s="101"/>
      <c r="D178" s="124"/>
      <c r="E178" s="318" t="s">
        <v>31</v>
      </c>
      <c r="F178" s="16" t="s">
        <v>32</v>
      </c>
      <c r="G178" s="250" t="n">
        <v>4</v>
      </c>
      <c r="H178" s="250" t="s">
        <v>257</v>
      </c>
      <c r="I178" s="250" t="s">
        <v>67</v>
      </c>
      <c r="J178" s="251" t="s">
        <v>134</v>
      </c>
      <c r="K178" s="250" t="s">
        <v>67</v>
      </c>
      <c r="L178" s="253" t="n">
        <f aca="false">(L190+L199+L205)/3</f>
        <v>58.0989059249929</v>
      </c>
      <c r="M178" s="250" t="n">
        <v>4</v>
      </c>
      <c r="N178" s="254" t="n">
        <v>0</v>
      </c>
      <c r="O178" s="115" t="n">
        <f aca="false">IF(M178=1,1,0)</f>
        <v>0</v>
      </c>
      <c r="P178" s="116" t="n">
        <f aca="false">IF(M178=2,1,0)</f>
        <v>0</v>
      </c>
      <c r="Q178" s="116" t="n">
        <f aca="false">IF(M178=3,1,0)</f>
        <v>0</v>
      </c>
      <c r="R178" s="117" t="n">
        <f aca="false">IF(M178=4,1,0)</f>
        <v>1</v>
      </c>
      <c r="S178" s="118"/>
      <c r="T178" s="101"/>
      <c r="U178" s="62"/>
    </row>
    <row r="179" customFormat="false" ht="42" hidden="false" customHeight="true" outlineLevel="0" collapsed="false">
      <c r="B179" s="62"/>
      <c r="C179" s="101"/>
      <c r="D179" s="101"/>
      <c r="E179" s="326" t="s">
        <v>39</v>
      </c>
      <c r="F179" s="33" t="s">
        <v>40</v>
      </c>
      <c r="G179" s="241" t="n">
        <v>1</v>
      </c>
      <c r="H179" s="241" t="s">
        <v>128</v>
      </c>
      <c r="I179" s="241" t="s">
        <v>67</v>
      </c>
      <c r="J179" s="242" t="s">
        <v>127</v>
      </c>
      <c r="K179" s="242" t="s">
        <v>283</v>
      </c>
      <c r="L179" s="243" t="n">
        <f aca="false">(L189+L196+L208)/3</f>
        <v>80.6096077835208</v>
      </c>
      <c r="M179" s="241" t="n">
        <v>2</v>
      </c>
      <c r="N179" s="244" t="n">
        <v>3</v>
      </c>
      <c r="O179" s="121" t="n">
        <f aca="false">IF(M179=1,1,0)</f>
        <v>0</v>
      </c>
      <c r="P179" s="122" t="n">
        <f aca="false">IF(M179=2,1,0)</f>
        <v>1</v>
      </c>
      <c r="Q179" s="122" t="n">
        <f aca="false">IF(M179=3,1,0)</f>
        <v>0</v>
      </c>
      <c r="R179" s="123" t="n">
        <f aca="false">IF(M179=4,1,0)</f>
        <v>0</v>
      </c>
      <c r="S179" s="118"/>
      <c r="T179" s="101"/>
      <c r="U179" s="62"/>
    </row>
    <row r="180" customFormat="false" ht="42" hidden="false" customHeight="true" outlineLevel="0" collapsed="false">
      <c r="B180" s="62"/>
      <c r="C180" s="101"/>
      <c r="D180" s="101"/>
      <c r="E180" s="174" t="s">
        <v>37</v>
      </c>
      <c r="F180" s="175" t="s">
        <v>38</v>
      </c>
      <c r="G180" s="151" t="n">
        <v>3</v>
      </c>
      <c r="H180" s="151" t="s">
        <v>133</v>
      </c>
      <c r="I180" s="151" t="s">
        <v>67</v>
      </c>
      <c r="J180" s="152" t="s">
        <v>127</v>
      </c>
      <c r="K180" s="152" t="s">
        <v>284</v>
      </c>
      <c r="L180" s="153" t="n">
        <v>100</v>
      </c>
      <c r="M180" s="151" t="n">
        <v>1</v>
      </c>
      <c r="N180" s="154" t="n">
        <v>6</v>
      </c>
      <c r="O180" s="121" t="n">
        <f aca="false">IF(M180=1,1,0)</f>
        <v>1</v>
      </c>
      <c r="P180" s="122" t="n">
        <f aca="false">IF(M180=2,1,0)</f>
        <v>0</v>
      </c>
      <c r="Q180" s="122" t="n">
        <f aca="false">IF(M180=3,1,0)</f>
        <v>0</v>
      </c>
      <c r="R180" s="123" t="n">
        <f aca="false">IF(M180=4,1,0)</f>
        <v>0</v>
      </c>
      <c r="S180" s="118"/>
      <c r="T180" s="101"/>
      <c r="U180" s="62"/>
    </row>
    <row r="181" customFormat="false" ht="42" hidden="false" customHeight="true" outlineLevel="0" collapsed="false">
      <c r="B181" s="62"/>
      <c r="C181" s="101"/>
      <c r="D181" s="101"/>
      <c r="E181" s="349" t="s">
        <v>29</v>
      </c>
      <c r="F181" s="44" t="s">
        <v>30</v>
      </c>
      <c r="G181" s="245" t="n">
        <v>2</v>
      </c>
      <c r="H181" s="246" t="s">
        <v>259</v>
      </c>
      <c r="I181" s="245" t="s">
        <v>67</v>
      </c>
      <c r="J181" s="246" t="s">
        <v>127</v>
      </c>
      <c r="K181" s="246" t="s">
        <v>285</v>
      </c>
      <c r="L181" s="247" t="n">
        <f aca="false">(L187+L197+L206)/3</f>
        <v>69.3323584627933</v>
      </c>
      <c r="M181" s="245" t="n">
        <v>3</v>
      </c>
      <c r="N181" s="248" t="n">
        <v>1</v>
      </c>
      <c r="O181" s="127" t="n">
        <f aca="false">IF(M181=1,1,0)</f>
        <v>0</v>
      </c>
      <c r="P181" s="128" t="n">
        <f aca="false">IF(M181=2,1,0)</f>
        <v>0</v>
      </c>
      <c r="Q181" s="128" t="n">
        <f aca="false">IF(M181=3,1,0)</f>
        <v>1</v>
      </c>
      <c r="R181" s="129" t="n">
        <f aca="false">IF(M181=4,1,0)</f>
        <v>0</v>
      </c>
      <c r="S181" s="118"/>
      <c r="T181" s="101"/>
      <c r="U181" s="62"/>
    </row>
    <row r="182" customFormat="false" ht="20.1" hidden="true" customHeight="true" outlineLevel="1" collapsed="false">
      <c r="B182" s="62"/>
      <c r="C182" s="101"/>
      <c r="D182" s="124"/>
      <c r="E182" s="124"/>
      <c r="F182" s="131"/>
      <c r="G182" s="131"/>
      <c r="H182" s="101"/>
      <c r="I182" s="179" t="s">
        <v>89</v>
      </c>
      <c r="J182" s="133" t="n">
        <f aca="false">MAX(J178:J181)</f>
        <v>0</v>
      </c>
      <c r="K182" s="249"/>
      <c r="L182" s="139"/>
      <c r="M182" s="101"/>
      <c r="N182" s="136" t="s">
        <v>90</v>
      </c>
      <c r="O182" s="137" t="n">
        <f aca="false">SUM(O178:O181)</f>
        <v>1</v>
      </c>
      <c r="P182" s="138" t="n">
        <f aca="false">SUM(P178:P181)</f>
        <v>1</v>
      </c>
      <c r="Q182" s="137" t="n">
        <f aca="false">SUM(Q178:Q181)</f>
        <v>1</v>
      </c>
      <c r="R182" s="160" t="n">
        <f aca="false">SUM(R178:R181)</f>
        <v>1</v>
      </c>
      <c r="S182" s="139"/>
      <c r="T182" s="101"/>
      <c r="U182" s="62"/>
    </row>
    <row r="183" customFormat="false" ht="20.1" hidden="false" customHeight="true" outlineLevel="0" collapsed="false">
      <c r="B183" s="62"/>
      <c r="C183" s="101"/>
      <c r="D183" s="101"/>
      <c r="E183" s="101"/>
      <c r="F183" s="101"/>
      <c r="G183" s="101"/>
      <c r="H183" s="101"/>
      <c r="I183" s="101"/>
      <c r="J183" s="101"/>
      <c r="K183" s="101"/>
      <c r="L183" s="101"/>
      <c r="M183" s="101"/>
      <c r="N183" s="101"/>
      <c r="O183" s="101"/>
      <c r="P183" s="101"/>
      <c r="Q183" s="101"/>
      <c r="R183" s="101"/>
      <c r="S183" s="101"/>
      <c r="T183" s="101"/>
      <c r="U183" s="62"/>
    </row>
    <row r="184" customFormat="false" ht="20.1" hidden="false" customHeight="true" outlineLevel="0" collapsed="false">
      <c r="B184" s="62"/>
      <c r="U184" s="62"/>
    </row>
    <row r="185" customFormat="false" ht="20.1" hidden="false" customHeight="true" outlineLevel="0" collapsed="false">
      <c r="B185" s="62"/>
      <c r="C185" s="141"/>
      <c r="D185" s="141"/>
      <c r="E185" s="142" t="str">
        <f aca="false">IF(OR(L168="-",L168= ""),H168,L168)</f>
        <v>Parks</v>
      </c>
      <c r="F185" s="142"/>
      <c r="G185" s="142"/>
      <c r="H185" s="142"/>
      <c r="I185" s="142"/>
      <c r="J185" s="142"/>
      <c r="K185" s="142"/>
      <c r="L185" s="142"/>
      <c r="M185" s="142"/>
      <c r="N185" s="142"/>
      <c r="O185" s="143"/>
      <c r="P185" s="143"/>
      <c r="Q185" s="143"/>
      <c r="R185" s="143"/>
      <c r="S185" s="143"/>
      <c r="T185" s="141"/>
      <c r="U185" s="62"/>
    </row>
    <row r="186" customFormat="false" ht="50.1" hidden="false" customHeight="true" outlineLevel="0" collapsed="false">
      <c r="B186" s="62"/>
      <c r="C186" s="141"/>
      <c r="D186" s="143"/>
      <c r="E186" s="65" t="s">
        <v>53</v>
      </c>
      <c r="F186" s="104" t="s">
        <v>76</v>
      </c>
      <c r="G186" s="67" t="s">
        <v>77</v>
      </c>
      <c r="H186" s="66" t="s">
        <v>78</v>
      </c>
      <c r="I186" s="54" t="s">
        <v>79</v>
      </c>
      <c r="J186" s="66" t="s">
        <v>80</v>
      </c>
      <c r="K186" s="105" t="s">
        <v>81</v>
      </c>
      <c r="L186" s="66" t="s">
        <v>82</v>
      </c>
      <c r="M186" s="106" t="s">
        <v>83</v>
      </c>
      <c r="N186" s="67" t="s">
        <v>84</v>
      </c>
      <c r="O186" s="107" t="s">
        <v>85</v>
      </c>
      <c r="P186" s="108" t="s">
        <v>86</v>
      </c>
      <c r="Q186" s="108" t="s">
        <v>87</v>
      </c>
      <c r="R186" s="13" t="s">
        <v>88</v>
      </c>
      <c r="S186" s="143"/>
      <c r="T186" s="141"/>
      <c r="U186" s="62"/>
    </row>
    <row r="187" customFormat="false" ht="20.1" hidden="false" customHeight="true" outlineLevel="0" collapsed="false">
      <c r="B187" s="62"/>
      <c r="C187" s="141"/>
      <c r="D187" s="148"/>
      <c r="E187" s="318" t="s">
        <v>31</v>
      </c>
      <c r="F187" s="16" t="s">
        <v>32</v>
      </c>
      <c r="G187" s="250" t="n">
        <v>4</v>
      </c>
      <c r="H187" s="251" t="s">
        <v>67</v>
      </c>
      <c r="I187" s="250" t="n">
        <v>0</v>
      </c>
      <c r="J187" s="251" t="n">
        <v>32</v>
      </c>
      <c r="K187" s="252" t="s">
        <v>286</v>
      </c>
      <c r="L187" s="253" t="n">
        <f aca="false">IF(J187="",0,(J187/J191)*100)</f>
        <v>82.051282051282</v>
      </c>
      <c r="M187" s="250" t="n">
        <v>3</v>
      </c>
      <c r="N187" s="254" t="n">
        <v>1</v>
      </c>
      <c r="O187" s="115" t="n">
        <f aca="false">IF(M187=1,1,0)</f>
        <v>0</v>
      </c>
      <c r="P187" s="116" t="n">
        <f aca="false">IF(M187=2,1,0)</f>
        <v>0</v>
      </c>
      <c r="Q187" s="116" t="n">
        <f aca="false">IF(M187=3,1,0)</f>
        <v>1</v>
      </c>
      <c r="R187" s="117" t="n">
        <f aca="false">IF(M187=4,1,0)</f>
        <v>0</v>
      </c>
      <c r="S187" s="147"/>
      <c r="T187" s="141"/>
      <c r="U187" s="62"/>
    </row>
    <row r="188" customFormat="false" ht="20.1" hidden="false" customHeight="true" outlineLevel="0" collapsed="false">
      <c r="B188" s="62"/>
      <c r="C188" s="141"/>
      <c r="D188" s="141"/>
      <c r="E188" s="174" t="s">
        <v>39</v>
      </c>
      <c r="F188" s="175" t="s">
        <v>40</v>
      </c>
      <c r="G188" s="151" t="n">
        <v>1</v>
      </c>
      <c r="H188" s="152" t="s">
        <v>67</v>
      </c>
      <c r="I188" s="151" t="n">
        <v>0</v>
      </c>
      <c r="J188" s="152" t="n">
        <v>39</v>
      </c>
      <c r="K188" s="152" t="s">
        <v>67</v>
      </c>
      <c r="L188" s="153" t="n">
        <f aca="false">IF(J188="",0,(J188/J191)*100)</f>
        <v>100</v>
      </c>
      <c r="M188" s="151" t="n">
        <v>1</v>
      </c>
      <c r="N188" s="154" t="n">
        <v>6</v>
      </c>
      <c r="O188" s="121" t="n">
        <f aca="false">IF(M188=1,1,0)</f>
        <v>1</v>
      </c>
      <c r="P188" s="122" t="n">
        <f aca="false">IF(M188=2,1,0)</f>
        <v>0</v>
      </c>
      <c r="Q188" s="122" t="n">
        <f aca="false">IF(M188=3,1,0)</f>
        <v>0</v>
      </c>
      <c r="R188" s="123" t="n">
        <f aca="false">IF(M188=4,1,0)</f>
        <v>0</v>
      </c>
      <c r="S188" s="147"/>
      <c r="T188" s="141"/>
      <c r="U188" s="62"/>
    </row>
    <row r="189" customFormat="false" ht="20.1" hidden="false" customHeight="true" outlineLevel="0" collapsed="false">
      <c r="B189" s="62"/>
      <c r="C189" s="141"/>
      <c r="D189" s="148"/>
      <c r="E189" s="326" t="s">
        <v>37</v>
      </c>
      <c r="F189" s="33" t="s">
        <v>38</v>
      </c>
      <c r="G189" s="241" t="n">
        <v>2</v>
      </c>
      <c r="H189" s="242" t="s">
        <v>67</v>
      </c>
      <c r="I189" s="241" t="n">
        <v>0</v>
      </c>
      <c r="J189" s="242" t="n">
        <v>33</v>
      </c>
      <c r="K189" s="255" t="s">
        <v>67</v>
      </c>
      <c r="L189" s="243" t="n">
        <f aca="false">IF(J189="",0,(J189/J191)*100)</f>
        <v>84.6153846153846</v>
      </c>
      <c r="M189" s="241" t="n">
        <v>2</v>
      </c>
      <c r="N189" s="244" t="n">
        <v>3</v>
      </c>
      <c r="O189" s="121" t="n">
        <f aca="false">IF(M189=1,1,0)</f>
        <v>0</v>
      </c>
      <c r="P189" s="122" t="n">
        <f aca="false">IF(M189=2,1,0)</f>
        <v>1</v>
      </c>
      <c r="Q189" s="122" t="n">
        <f aca="false">IF(M189=3,1,0)</f>
        <v>0</v>
      </c>
      <c r="R189" s="123" t="n">
        <f aca="false">IF(M189=4,1,0)</f>
        <v>0</v>
      </c>
      <c r="S189" s="147"/>
      <c r="T189" s="141"/>
      <c r="U189" s="62"/>
    </row>
    <row r="190" customFormat="false" ht="20.1" hidden="false" customHeight="true" outlineLevel="0" collapsed="false">
      <c r="B190" s="62"/>
      <c r="C190" s="141"/>
      <c r="D190" s="141"/>
      <c r="E190" s="349" t="s">
        <v>29</v>
      </c>
      <c r="F190" s="44" t="s">
        <v>30</v>
      </c>
      <c r="G190" s="245" t="n">
        <v>3</v>
      </c>
      <c r="H190" s="246" t="s">
        <v>67</v>
      </c>
      <c r="I190" s="245" t="n">
        <v>0</v>
      </c>
      <c r="J190" s="246" t="n">
        <v>32</v>
      </c>
      <c r="K190" s="246" t="s">
        <v>287</v>
      </c>
      <c r="L190" s="247" t="n">
        <f aca="false">IF(J190="",0,(J190/J191)*100)</f>
        <v>82.051282051282</v>
      </c>
      <c r="M190" s="245" t="n">
        <v>4</v>
      </c>
      <c r="N190" s="248" t="n">
        <v>0</v>
      </c>
      <c r="O190" s="127" t="n">
        <f aca="false">IF(M190=1,1,0)</f>
        <v>0</v>
      </c>
      <c r="P190" s="128" t="n">
        <f aca="false">IF(M190=2,1,0)</f>
        <v>0</v>
      </c>
      <c r="Q190" s="128" t="n">
        <f aca="false">IF(M190=3,1,0)</f>
        <v>0</v>
      </c>
      <c r="R190" s="129" t="n">
        <f aca="false">IF(M190=4,1,0)</f>
        <v>1</v>
      </c>
      <c r="S190" s="147"/>
      <c r="T190" s="141"/>
      <c r="U190" s="62"/>
    </row>
    <row r="191" customFormat="false" ht="20.1" hidden="true" customHeight="true" outlineLevel="1" collapsed="false">
      <c r="B191" s="62"/>
      <c r="C191" s="141"/>
      <c r="D191" s="141"/>
      <c r="E191" s="141"/>
      <c r="F191" s="157"/>
      <c r="G191" s="157"/>
      <c r="H191" s="141"/>
      <c r="I191" s="179" t="s">
        <v>89</v>
      </c>
      <c r="J191" s="133" t="n">
        <f aca="false">MAX(J187:J190)</f>
        <v>39</v>
      </c>
      <c r="K191" s="159"/>
      <c r="L191" s="147"/>
      <c r="M191" s="141"/>
      <c r="N191" s="136" t="s">
        <v>90</v>
      </c>
      <c r="O191" s="137" t="n">
        <f aca="false">SUM(O187:O190)</f>
        <v>1</v>
      </c>
      <c r="P191" s="138" t="n">
        <f aca="false">SUM(P187:P190)</f>
        <v>1</v>
      </c>
      <c r="Q191" s="137" t="n">
        <f aca="false">SUM(Q187:Q190)</f>
        <v>1</v>
      </c>
      <c r="R191" s="160" t="n">
        <f aca="false">SUM(R187:R190)</f>
        <v>1</v>
      </c>
      <c r="S191" s="161"/>
      <c r="T191" s="141"/>
      <c r="U191" s="62"/>
    </row>
    <row r="192" customFormat="false" ht="20.1" hidden="false" customHeight="true" outlineLevel="0" collapsed="false">
      <c r="B192" s="62"/>
      <c r="C192" s="141"/>
      <c r="D192" s="141"/>
      <c r="E192" s="141"/>
      <c r="F192" s="141"/>
      <c r="G192" s="141"/>
      <c r="H192" s="141"/>
      <c r="I192" s="141"/>
      <c r="J192" s="141"/>
      <c r="K192" s="141"/>
      <c r="L192" s="141"/>
      <c r="M192" s="141"/>
      <c r="N192" s="141"/>
      <c r="O192" s="141"/>
      <c r="P192" s="141"/>
      <c r="Q192" s="141"/>
      <c r="R192" s="141"/>
      <c r="S192" s="141"/>
      <c r="T192" s="141"/>
      <c r="U192" s="62"/>
    </row>
    <row r="193" customFormat="false" ht="20.1" hidden="false" customHeight="true" outlineLevel="0" collapsed="false">
      <c r="B193" s="62"/>
      <c r="D193" s="162"/>
      <c r="E193" s="162"/>
      <c r="F193" s="162"/>
      <c r="G193" s="162"/>
      <c r="H193" s="163"/>
      <c r="I193" s="162"/>
      <c r="J193" s="162"/>
      <c r="U193" s="62"/>
    </row>
    <row r="194" customFormat="false" ht="20.1" hidden="false" customHeight="true" outlineLevel="0" collapsed="false">
      <c r="B194" s="62"/>
      <c r="C194" s="164"/>
      <c r="D194" s="164"/>
      <c r="E194" s="165" t="str">
        <f aca="false">IF(OR(L171="-",L171= ""),H171,L171)</f>
        <v>Tapestry</v>
      </c>
      <c r="F194" s="165"/>
      <c r="G194" s="165"/>
      <c r="H194" s="165"/>
      <c r="I194" s="165"/>
      <c r="J194" s="165"/>
      <c r="K194" s="165"/>
      <c r="L194" s="165"/>
      <c r="M194" s="165"/>
      <c r="N194" s="165"/>
      <c r="O194" s="166"/>
      <c r="P194" s="166"/>
      <c r="Q194" s="166"/>
      <c r="R194" s="166"/>
      <c r="S194" s="166"/>
      <c r="T194" s="164"/>
      <c r="U194" s="167"/>
    </row>
    <row r="195" customFormat="false" ht="50.1" hidden="false" customHeight="true" outlineLevel="0" collapsed="false">
      <c r="B195" s="62"/>
      <c r="C195" s="164"/>
      <c r="D195" s="166"/>
      <c r="E195" s="65" t="s">
        <v>53</v>
      </c>
      <c r="F195" s="104" t="s">
        <v>76</v>
      </c>
      <c r="G195" s="67" t="s">
        <v>77</v>
      </c>
      <c r="H195" s="66" t="s">
        <v>78</v>
      </c>
      <c r="I195" s="54" t="s">
        <v>79</v>
      </c>
      <c r="J195" s="66" t="s">
        <v>80</v>
      </c>
      <c r="K195" s="105" t="s">
        <v>81</v>
      </c>
      <c r="L195" s="66" t="s">
        <v>82</v>
      </c>
      <c r="M195" s="106" t="s">
        <v>83</v>
      </c>
      <c r="N195" s="67" t="s">
        <v>84</v>
      </c>
      <c r="O195" s="107" t="s">
        <v>85</v>
      </c>
      <c r="P195" s="108" t="s">
        <v>86</v>
      </c>
      <c r="Q195" s="108" t="s">
        <v>87</v>
      </c>
      <c r="R195" s="13" t="s">
        <v>88</v>
      </c>
      <c r="S195" s="166"/>
      <c r="T195" s="164"/>
      <c r="U195" s="167"/>
    </row>
    <row r="196" customFormat="false" ht="20.1" hidden="false" customHeight="true" outlineLevel="0" collapsed="false">
      <c r="B196" s="62"/>
      <c r="C196" s="164"/>
      <c r="D196" s="171"/>
      <c r="E196" s="318" t="s">
        <v>31</v>
      </c>
      <c r="F196" s="16" t="s">
        <v>32</v>
      </c>
      <c r="G196" s="250" t="n">
        <v>4</v>
      </c>
      <c r="H196" s="251" t="s">
        <v>288</v>
      </c>
      <c r="I196" s="250" t="n">
        <v>0</v>
      </c>
      <c r="J196" s="251" t="n">
        <v>208</v>
      </c>
      <c r="K196" s="253" t="s">
        <v>67</v>
      </c>
      <c r="L196" s="253" t="n">
        <f aca="false">IF(J196="",0,(J196/J200)*100)</f>
        <v>82.2134387351779</v>
      </c>
      <c r="M196" s="250" t="n">
        <v>2</v>
      </c>
      <c r="N196" s="254" t="n">
        <v>3</v>
      </c>
      <c r="O196" s="115" t="n">
        <f aca="false">IF(M196=1,1,0)</f>
        <v>0</v>
      </c>
      <c r="P196" s="116" t="n">
        <f aca="false">IF(M196=2,1,0)</f>
        <v>1</v>
      </c>
      <c r="Q196" s="116" t="n">
        <f aca="false">IF(M196=3,1,0)</f>
        <v>0</v>
      </c>
      <c r="R196" s="117" t="n">
        <f aca="false">IF(M196=4,1,0)</f>
        <v>0</v>
      </c>
      <c r="S196" s="170"/>
      <c r="T196" s="164"/>
      <c r="U196" s="62"/>
    </row>
    <row r="197" customFormat="false" ht="20.1" hidden="false" customHeight="true" outlineLevel="0" collapsed="false">
      <c r="B197" s="62"/>
      <c r="C197" s="164"/>
      <c r="D197" s="164"/>
      <c r="E197" s="326" t="s">
        <v>39</v>
      </c>
      <c r="F197" s="33" t="s">
        <v>40</v>
      </c>
      <c r="G197" s="241" t="n">
        <v>3</v>
      </c>
      <c r="H197" s="242" t="s">
        <v>289</v>
      </c>
      <c r="I197" s="241" t="n">
        <v>0</v>
      </c>
      <c r="J197" s="242" t="n">
        <v>156</v>
      </c>
      <c r="K197" s="256" t="s">
        <v>67</v>
      </c>
      <c r="L197" s="243" t="n">
        <f aca="false">IF(J197="",0,(J197/J200)*100)</f>
        <v>61.6600790513834</v>
      </c>
      <c r="M197" s="241" t="n">
        <v>3</v>
      </c>
      <c r="N197" s="244" t="n">
        <v>1</v>
      </c>
      <c r="O197" s="121" t="n">
        <f aca="false">IF(M197=1,1,0)</f>
        <v>0</v>
      </c>
      <c r="P197" s="122" t="n">
        <f aca="false">IF(M197=2,1,0)</f>
        <v>0</v>
      </c>
      <c r="Q197" s="122" t="n">
        <f aca="false">IF(M197=3,1,0)</f>
        <v>1</v>
      </c>
      <c r="R197" s="123" t="n">
        <f aca="false">IF(M197=4,1,0)</f>
        <v>0</v>
      </c>
      <c r="S197" s="170"/>
      <c r="T197" s="164"/>
      <c r="U197" s="173"/>
    </row>
    <row r="198" customFormat="false" ht="20.1" hidden="false" customHeight="true" outlineLevel="0" collapsed="false">
      <c r="B198" s="62"/>
      <c r="C198" s="164"/>
      <c r="D198" s="164"/>
      <c r="E198" s="174" t="s">
        <v>37</v>
      </c>
      <c r="F198" s="175" t="s">
        <v>38</v>
      </c>
      <c r="G198" s="151" t="n">
        <v>2</v>
      </c>
      <c r="H198" s="152" t="s">
        <v>290</v>
      </c>
      <c r="I198" s="151" t="n">
        <v>0</v>
      </c>
      <c r="J198" s="152" t="n">
        <v>253</v>
      </c>
      <c r="K198" s="443" t="s">
        <v>67</v>
      </c>
      <c r="L198" s="153" t="n">
        <f aca="false">IF(J198="",0,(J198/J200)*100)</f>
        <v>100</v>
      </c>
      <c r="M198" s="151" t="n">
        <v>1</v>
      </c>
      <c r="N198" s="154" t="n">
        <v>6</v>
      </c>
      <c r="O198" s="121" t="n">
        <f aca="false">IF(M198=1,1,0)</f>
        <v>1</v>
      </c>
      <c r="P198" s="122" t="n">
        <f aca="false">IF(M198=2,1,0)</f>
        <v>0</v>
      </c>
      <c r="Q198" s="122" t="n">
        <f aca="false">IF(M198=3,1,0)</f>
        <v>0</v>
      </c>
      <c r="R198" s="123" t="n">
        <f aca="false">IF(M198=4,1,0)</f>
        <v>0</v>
      </c>
      <c r="S198" s="170"/>
      <c r="T198" s="164"/>
      <c r="U198" s="173"/>
    </row>
    <row r="199" customFormat="false" ht="20.1" hidden="false" customHeight="true" outlineLevel="0" collapsed="false">
      <c r="B199" s="62"/>
      <c r="C199" s="164"/>
      <c r="D199" s="164"/>
      <c r="E199" s="349" t="s">
        <v>29</v>
      </c>
      <c r="F199" s="44" t="s">
        <v>30</v>
      </c>
      <c r="G199" s="245" t="n">
        <v>1</v>
      </c>
      <c r="H199" s="246" t="s">
        <v>291</v>
      </c>
      <c r="I199" s="245" t="n">
        <v>0</v>
      </c>
      <c r="J199" s="246" t="n">
        <v>137</v>
      </c>
      <c r="K199" s="247" t="s">
        <v>67</v>
      </c>
      <c r="L199" s="247" t="n">
        <f aca="false">IF(J199="",0,(J199/J200)*100)</f>
        <v>54.1501976284585</v>
      </c>
      <c r="M199" s="245" t="n">
        <v>4</v>
      </c>
      <c r="N199" s="248" t="n">
        <v>0</v>
      </c>
      <c r="O199" s="127" t="n">
        <f aca="false">IF(M199=1,1,0)</f>
        <v>0</v>
      </c>
      <c r="P199" s="128" t="n">
        <f aca="false">IF(M199=2,1,0)</f>
        <v>0</v>
      </c>
      <c r="Q199" s="128" t="n">
        <f aca="false">IF(M199=3,1,0)</f>
        <v>0</v>
      </c>
      <c r="R199" s="129" t="n">
        <f aca="false">IF(M199=4,1,0)</f>
        <v>1</v>
      </c>
      <c r="S199" s="170"/>
      <c r="T199" s="164"/>
      <c r="U199" s="173"/>
    </row>
    <row r="200" customFormat="false" ht="20.1" hidden="true" customHeight="true" outlineLevel="1" collapsed="false">
      <c r="B200" s="62"/>
      <c r="C200" s="164"/>
      <c r="D200" s="164"/>
      <c r="E200" s="164"/>
      <c r="F200" s="178"/>
      <c r="G200" s="178"/>
      <c r="H200" s="164"/>
      <c r="I200" s="179" t="s">
        <v>89</v>
      </c>
      <c r="J200" s="133" t="n">
        <f aca="false">MAX(J196:J199)</f>
        <v>253</v>
      </c>
      <c r="K200" s="180"/>
      <c r="L200" s="170"/>
      <c r="M200" s="164"/>
      <c r="N200" s="136" t="s">
        <v>90</v>
      </c>
      <c r="O200" s="137" t="n">
        <f aca="false">SUM(O196:O199)</f>
        <v>1</v>
      </c>
      <c r="P200" s="138" t="n">
        <f aca="false">SUM(P196:P199)</f>
        <v>1</v>
      </c>
      <c r="Q200" s="137" t="n">
        <f aca="false">SUM(Q196:Q199)</f>
        <v>1</v>
      </c>
      <c r="R200" s="160" t="n">
        <f aca="false">SUM(R196:R199)</f>
        <v>1</v>
      </c>
      <c r="S200" s="181"/>
      <c r="T200" s="164"/>
      <c r="U200" s="173"/>
    </row>
    <row r="201" customFormat="false" ht="20.1" hidden="false" customHeight="true" outlineLevel="0" collapsed="false">
      <c r="B201" s="62"/>
      <c r="C201" s="164"/>
      <c r="D201" s="164"/>
      <c r="E201" s="164"/>
      <c r="F201" s="164"/>
      <c r="G201" s="164"/>
      <c r="H201" s="164"/>
      <c r="I201" s="164"/>
      <c r="J201" s="164"/>
      <c r="K201" s="164"/>
      <c r="L201" s="164"/>
      <c r="M201" s="164"/>
      <c r="N201" s="164"/>
      <c r="O201" s="164"/>
      <c r="P201" s="164"/>
      <c r="Q201" s="164"/>
      <c r="R201" s="164"/>
      <c r="S201" s="164"/>
      <c r="T201" s="164"/>
      <c r="U201" s="173"/>
    </row>
    <row r="202" customFormat="false" ht="20.1" hidden="false" customHeight="true" outlineLevel="0" collapsed="false">
      <c r="B202" s="62"/>
      <c r="D202" s="162"/>
      <c r="E202" s="162"/>
      <c r="F202" s="162"/>
      <c r="G202" s="162"/>
      <c r="H202" s="163"/>
      <c r="I202" s="162"/>
      <c r="J202" s="162"/>
      <c r="K202" s="162"/>
      <c r="U202" s="62"/>
    </row>
    <row r="203" customFormat="false" ht="20.1" hidden="false" customHeight="true" outlineLevel="0" collapsed="false">
      <c r="B203" s="62"/>
      <c r="C203" s="182"/>
      <c r="D203" s="182"/>
      <c r="E203" s="183" t="str">
        <f aca="false">IF(OR(L172="-",L172= ""),H172,L172)</f>
        <v>Azul</v>
      </c>
      <c r="F203" s="183"/>
      <c r="G203" s="183"/>
      <c r="H203" s="183"/>
      <c r="I203" s="183"/>
      <c r="J203" s="183"/>
      <c r="K203" s="183"/>
      <c r="L203" s="183"/>
      <c r="M203" s="183"/>
      <c r="N203" s="183"/>
      <c r="O203" s="184"/>
      <c r="P203" s="184"/>
      <c r="Q203" s="184"/>
      <c r="R203" s="184"/>
      <c r="S203" s="184"/>
      <c r="T203" s="182"/>
      <c r="U203" s="62"/>
    </row>
    <row r="204" customFormat="false" ht="50.1" hidden="false" customHeight="true" outlineLevel="0" collapsed="false">
      <c r="B204" s="62"/>
      <c r="C204" s="182"/>
      <c r="D204" s="184"/>
      <c r="E204" s="65" t="s">
        <v>53</v>
      </c>
      <c r="F204" s="104" t="s">
        <v>76</v>
      </c>
      <c r="G204" s="67" t="s">
        <v>77</v>
      </c>
      <c r="H204" s="66" t="s">
        <v>78</v>
      </c>
      <c r="I204" s="54" t="s">
        <v>79</v>
      </c>
      <c r="J204" s="66" t="s">
        <v>80</v>
      </c>
      <c r="K204" s="105" t="s">
        <v>81</v>
      </c>
      <c r="L204" s="66" t="s">
        <v>82</v>
      </c>
      <c r="M204" s="106" t="s">
        <v>83</v>
      </c>
      <c r="N204" s="67" t="s">
        <v>84</v>
      </c>
      <c r="O204" s="107" t="s">
        <v>85</v>
      </c>
      <c r="P204" s="108" t="s">
        <v>86</v>
      </c>
      <c r="Q204" s="108" t="s">
        <v>87</v>
      </c>
      <c r="R204" s="13" t="s">
        <v>88</v>
      </c>
      <c r="S204" s="184"/>
      <c r="T204" s="182"/>
      <c r="U204" s="62"/>
    </row>
    <row r="205" customFormat="false" ht="20.1" hidden="false" customHeight="true" outlineLevel="0" collapsed="false">
      <c r="B205" s="62"/>
      <c r="C205" s="182"/>
      <c r="D205" s="182"/>
      <c r="E205" s="318" t="s">
        <v>31</v>
      </c>
      <c r="F205" s="16" t="s">
        <v>32</v>
      </c>
      <c r="G205" s="250" t="n">
        <v>3</v>
      </c>
      <c r="H205" s="250" t="s">
        <v>67</v>
      </c>
      <c r="I205" s="250" t="n">
        <v>0</v>
      </c>
      <c r="J205" s="250" t="n">
        <v>32</v>
      </c>
      <c r="K205" s="250" t="s">
        <v>67</v>
      </c>
      <c r="L205" s="253" t="n">
        <f aca="false">IF(J205="",0,(J205/J209)*100)</f>
        <v>38.0952380952381</v>
      </c>
      <c r="M205" s="250" t="n">
        <v>4</v>
      </c>
      <c r="N205" s="254" t="n">
        <v>0</v>
      </c>
      <c r="O205" s="115" t="n">
        <f aca="false">IF(M205=1,1,0)</f>
        <v>0</v>
      </c>
      <c r="P205" s="116" t="n">
        <f aca="false">IF(M205=2,1,0)</f>
        <v>0</v>
      </c>
      <c r="Q205" s="116" t="n">
        <f aca="false">IF(M205=3,1,0)</f>
        <v>0</v>
      </c>
      <c r="R205" s="117" t="n">
        <f aca="false">IF(M205=4,1,0)</f>
        <v>1</v>
      </c>
      <c r="S205" s="185"/>
      <c r="T205" s="182"/>
      <c r="U205" s="62"/>
    </row>
    <row r="206" customFormat="false" ht="20.1" hidden="false" customHeight="true" outlineLevel="0" collapsed="false">
      <c r="B206" s="62"/>
      <c r="C206" s="182"/>
      <c r="D206" s="182"/>
      <c r="E206" s="326" t="s">
        <v>39</v>
      </c>
      <c r="F206" s="33" t="s">
        <v>40</v>
      </c>
      <c r="G206" s="241" t="n">
        <v>2</v>
      </c>
      <c r="H206" s="241" t="s">
        <v>67</v>
      </c>
      <c r="I206" s="241" t="n">
        <v>0</v>
      </c>
      <c r="J206" s="241" t="n">
        <v>54</v>
      </c>
      <c r="K206" s="242" t="s">
        <v>67</v>
      </c>
      <c r="L206" s="243" t="n">
        <f aca="false">IF(J206="",0,(J206/J209)*100)</f>
        <v>64.2857142857143</v>
      </c>
      <c r="M206" s="241" t="n">
        <v>3</v>
      </c>
      <c r="N206" s="244" t="n">
        <v>1</v>
      </c>
      <c r="O206" s="121" t="n">
        <f aca="false">IF(M206=1,1,0)</f>
        <v>0</v>
      </c>
      <c r="P206" s="122" t="n">
        <f aca="false">IF(M206=2,1,0)</f>
        <v>0</v>
      </c>
      <c r="Q206" s="122" t="n">
        <f aca="false">IF(M206=3,1,0)</f>
        <v>1</v>
      </c>
      <c r="R206" s="123" t="n">
        <f aca="false">IF(M206=4,1,0)</f>
        <v>0</v>
      </c>
      <c r="S206" s="185"/>
      <c r="T206" s="182"/>
      <c r="U206" s="62"/>
    </row>
    <row r="207" customFormat="false" ht="20.1" hidden="false" customHeight="true" outlineLevel="0" collapsed="false">
      <c r="B207" s="62"/>
      <c r="C207" s="182"/>
      <c r="D207" s="182"/>
      <c r="E207" s="174" t="s">
        <v>37</v>
      </c>
      <c r="F207" s="175" t="s">
        <v>38</v>
      </c>
      <c r="G207" s="151" t="n">
        <v>4</v>
      </c>
      <c r="H207" s="151" t="s">
        <v>67</v>
      </c>
      <c r="I207" s="151" t="n">
        <v>0</v>
      </c>
      <c r="J207" s="151" t="n">
        <v>84</v>
      </c>
      <c r="K207" s="151" t="s">
        <v>67</v>
      </c>
      <c r="L207" s="153" t="n">
        <f aca="false">IF(J207="",0,(J207/J209)*100)</f>
        <v>100</v>
      </c>
      <c r="M207" s="151" t="n">
        <v>1</v>
      </c>
      <c r="N207" s="154" t="n">
        <v>6</v>
      </c>
      <c r="O207" s="121" t="n">
        <f aca="false">IF(M207=1,1,0)</f>
        <v>1</v>
      </c>
      <c r="P207" s="122" t="n">
        <f aca="false">IF(M207=2,1,0)</f>
        <v>0</v>
      </c>
      <c r="Q207" s="122" t="n">
        <f aca="false">IF(M207=3,1,0)</f>
        <v>0</v>
      </c>
      <c r="R207" s="123" t="n">
        <f aca="false">IF(M207=4,1,0)</f>
        <v>0</v>
      </c>
      <c r="S207" s="185"/>
      <c r="T207" s="182"/>
      <c r="U207" s="62"/>
    </row>
    <row r="208" customFormat="false" ht="20.1" hidden="false" customHeight="true" outlineLevel="0" collapsed="false">
      <c r="B208" s="62"/>
      <c r="C208" s="182"/>
      <c r="D208" s="186"/>
      <c r="E208" s="349" t="s">
        <v>29</v>
      </c>
      <c r="F208" s="44" t="s">
        <v>30</v>
      </c>
      <c r="G208" s="245" t="n">
        <v>1</v>
      </c>
      <c r="H208" s="245" t="s">
        <v>67</v>
      </c>
      <c r="I208" s="245" t="n">
        <v>0</v>
      </c>
      <c r="J208" s="245" t="n">
        <v>63</v>
      </c>
      <c r="K208" s="246" t="s">
        <v>67</v>
      </c>
      <c r="L208" s="247" t="n">
        <f aca="false">IF(J208="",0,(J208/J209)*100)</f>
        <v>75</v>
      </c>
      <c r="M208" s="245" t="n">
        <v>2</v>
      </c>
      <c r="N208" s="248" t="n">
        <v>3</v>
      </c>
      <c r="O208" s="127" t="n">
        <f aca="false">IF(M208=1,1,0)</f>
        <v>0</v>
      </c>
      <c r="P208" s="128" t="n">
        <f aca="false">IF(M208=2,1,0)</f>
        <v>1</v>
      </c>
      <c r="Q208" s="128" t="n">
        <f aca="false">IF(M208=3,1,0)</f>
        <v>0</v>
      </c>
      <c r="R208" s="129" t="n">
        <f aca="false">IF(M208=4,1,0)</f>
        <v>0</v>
      </c>
      <c r="S208" s="185"/>
      <c r="T208" s="182"/>
      <c r="U208" s="62"/>
    </row>
    <row r="209" customFormat="false" ht="20.1" hidden="true" customHeight="true" outlineLevel="1" collapsed="false">
      <c r="B209" s="62"/>
      <c r="C209" s="182"/>
      <c r="D209" s="182"/>
      <c r="E209" s="182"/>
      <c r="F209" s="187"/>
      <c r="G209" s="187"/>
      <c r="H209" s="182"/>
      <c r="I209" s="179" t="s">
        <v>89</v>
      </c>
      <c r="J209" s="133" t="n">
        <f aca="false">MAX(J205:J208)</f>
        <v>84</v>
      </c>
      <c r="K209" s="188"/>
      <c r="L209" s="185"/>
      <c r="M209" s="182"/>
      <c r="N209" s="136" t="s">
        <v>90</v>
      </c>
      <c r="O209" s="137" t="n">
        <f aca="false">SUM(O205:O208)</f>
        <v>1</v>
      </c>
      <c r="P209" s="138" t="n">
        <f aca="false">SUM(P205:P208)</f>
        <v>1</v>
      </c>
      <c r="Q209" s="137" t="n">
        <f aca="false">SUM(Q205:Q208)</f>
        <v>1</v>
      </c>
      <c r="R209" s="160" t="n">
        <f aca="false">SUM(R205:R208)</f>
        <v>1</v>
      </c>
      <c r="S209" s="189"/>
      <c r="T209" s="182"/>
      <c r="U209" s="62"/>
    </row>
    <row r="210" customFormat="false" ht="20.1" hidden="false" customHeight="true" outlineLevel="0" collapsed="false">
      <c r="B210" s="62"/>
      <c r="C210" s="182"/>
      <c r="D210" s="182"/>
      <c r="E210" s="182"/>
      <c r="F210" s="182"/>
      <c r="G210" s="182"/>
      <c r="H210" s="182"/>
      <c r="I210" s="182"/>
      <c r="J210" s="182"/>
      <c r="K210" s="182"/>
      <c r="L210" s="182"/>
      <c r="M210" s="182"/>
      <c r="N210" s="182"/>
      <c r="O210" s="182"/>
      <c r="P210" s="182"/>
      <c r="Q210" s="182"/>
      <c r="R210" s="182"/>
      <c r="S210" s="182"/>
      <c r="T210" s="182"/>
      <c r="U210" s="62"/>
    </row>
    <row r="211" customFormat="false" ht="20.1" hidden="false" customHeight="true" outlineLevel="0" collapsed="false">
      <c r="B211" s="62"/>
      <c r="D211" s="5"/>
      <c r="E211" s="5"/>
      <c r="F211" s="5"/>
      <c r="G211" s="5"/>
      <c r="H211" s="5"/>
      <c r="I211" s="5"/>
      <c r="J211" s="5"/>
      <c r="U211" s="62"/>
    </row>
    <row r="212" customFormat="false" ht="30" hidden="false" customHeight="true" outlineLevel="0" collapsed="false">
      <c r="B212" s="62"/>
      <c r="C212" s="190"/>
      <c r="D212" s="191" t="s">
        <v>149</v>
      </c>
      <c r="E212" s="191"/>
      <c r="F212" s="191"/>
      <c r="G212" s="191"/>
      <c r="H212" s="191"/>
      <c r="I212" s="191"/>
      <c r="J212" s="191"/>
      <c r="K212" s="191"/>
      <c r="L212" s="191"/>
      <c r="M212" s="191"/>
      <c r="N212" s="191"/>
      <c r="O212" s="191"/>
      <c r="P212" s="191"/>
      <c r="Q212" s="191"/>
      <c r="R212" s="191"/>
      <c r="S212" s="191"/>
      <c r="T212" s="190"/>
      <c r="U212" s="62"/>
    </row>
    <row r="213" customFormat="false" ht="50.1" hidden="false" customHeight="true" outlineLevel="0" collapsed="false">
      <c r="B213" s="62"/>
      <c r="C213" s="190"/>
      <c r="D213" s="192" t="s">
        <v>53</v>
      </c>
      <c r="E213" s="193" t="s">
        <v>54</v>
      </c>
      <c r="F213" s="194" t="s">
        <v>84</v>
      </c>
      <c r="G213" s="195" t="s">
        <v>100</v>
      </c>
      <c r="H213" s="196" t="s">
        <v>101</v>
      </c>
      <c r="I213" s="196"/>
      <c r="J213" s="197" t="s">
        <v>102</v>
      </c>
      <c r="K213" s="198" t="s">
        <v>103</v>
      </c>
      <c r="L213" s="194" t="s">
        <v>104</v>
      </c>
      <c r="M213" s="198" t="s">
        <v>105</v>
      </c>
      <c r="N213" s="194" t="s">
        <v>106</v>
      </c>
      <c r="O213" s="199"/>
      <c r="P213" s="200"/>
      <c r="Q213" s="200"/>
      <c r="R213" s="200"/>
      <c r="S213" s="193" t="s">
        <v>107</v>
      </c>
      <c r="T213" s="190"/>
      <c r="U213" s="62"/>
    </row>
    <row r="214" customFormat="false" ht="20.1" hidden="false" customHeight="true" outlineLevel="0" collapsed="false">
      <c r="B214" s="62"/>
      <c r="C214" s="190"/>
      <c r="D214" s="425" t="s">
        <v>37</v>
      </c>
      <c r="E214" s="302" t="s">
        <v>38</v>
      </c>
      <c r="F214" s="258" t="n">
        <f aca="false">K214*6+L214*3+M214*1+N214*0</f>
        <v>21</v>
      </c>
      <c r="G214" s="259" t="n">
        <v>0</v>
      </c>
      <c r="H214" s="259" t="s">
        <v>67</v>
      </c>
      <c r="I214" s="259"/>
      <c r="J214" s="258" t="n">
        <f aca="false">F214+G214</f>
        <v>21</v>
      </c>
      <c r="K214" s="258" t="n">
        <v>3</v>
      </c>
      <c r="L214" s="258" t="n">
        <v>1</v>
      </c>
      <c r="M214" s="258" t="n">
        <v>0</v>
      </c>
      <c r="N214" s="258" t="n">
        <v>0</v>
      </c>
      <c r="O214" s="260"/>
      <c r="P214" s="259"/>
      <c r="Q214" s="259"/>
      <c r="R214" s="259"/>
      <c r="S214" s="261" t="n">
        <f aca="false">(L180+L189+L198+L207)/4</f>
        <v>96.1538461538462</v>
      </c>
      <c r="T214" s="190"/>
      <c r="U214" s="62"/>
    </row>
    <row r="215" customFormat="false" ht="20.1" hidden="false" customHeight="true" outlineLevel="0" collapsed="false">
      <c r="B215" s="62"/>
      <c r="C215" s="190"/>
      <c r="D215" s="444" t="s">
        <v>39</v>
      </c>
      <c r="E215" s="208" t="s">
        <v>40</v>
      </c>
      <c r="F215" s="262" t="n">
        <f aca="false">K215*6+L215*3+M215*1+N215*0</f>
        <v>11</v>
      </c>
      <c r="G215" s="263" t="n">
        <v>0</v>
      </c>
      <c r="H215" s="263" t="s">
        <v>67</v>
      </c>
      <c r="I215" s="263"/>
      <c r="J215" s="262" t="n">
        <f aca="false">F215+G215</f>
        <v>11</v>
      </c>
      <c r="K215" s="262" t="n">
        <v>1</v>
      </c>
      <c r="L215" s="262" t="n">
        <v>1</v>
      </c>
      <c r="M215" s="262" t="n">
        <v>2</v>
      </c>
      <c r="N215" s="262" t="n">
        <v>0</v>
      </c>
      <c r="O215" s="264"/>
      <c r="P215" s="263"/>
      <c r="Q215" s="263"/>
      <c r="R215" s="263"/>
      <c r="S215" s="265" t="n">
        <f aca="false">(L179+L188+L197+L206)/4</f>
        <v>76.6388502801546</v>
      </c>
      <c r="T215" s="190"/>
      <c r="U215" s="62"/>
      <c r="Y215" s="266"/>
      <c r="Z215" s="266"/>
      <c r="AA215" s="267"/>
      <c r="AB215" s="267"/>
      <c r="AC215" s="268"/>
      <c r="AD215" s="268"/>
      <c r="AE215" s="268"/>
    </row>
    <row r="216" customFormat="false" ht="20.1" hidden="false" customHeight="true" outlineLevel="0" collapsed="false">
      <c r="B216" s="62"/>
      <c r="C216" s="190"/>
      <c r="D216" s="444" t="s">
        <v>29</v>
      </c>
      <c r="E216" s="208" t="s">
        <v>30</v>
      </c>
      <c r="F216" s="262" t="n">
        <f aca="false">K216*6+L216*3+M216*1+N216*0</f>
        <v>4</v>
      </c>
      <c r="G216" s="263" t="n">
        <v>0</v>
      </c>
      <c r="H216" s="263" t="s">
        <v>67</v>
      </c>
      <c r="I216" s="263"/>
      <c r="J216" s="262" t="n">
        <f aca="false">F216+G216</f>
        <v>4</v>
      </c>
      <c r="K216" s="262" t="n">
        <v>0</v>
      </c>
      <c r="L216" s="262" t="n">
        <v>1</v>
      </c>
      <c r="M216" s="262" t="n">
        <v>1</v>
      </c>
      <c r="N216" s="262" t="n">
        <v>2</v>
      </c>
      <c r="O216" s="264"/>
      <c r="P216" s="263"/>
      <c r="Q216" s="263"/>
      <c r="R216" s="263"/>
      <c r="S216" s="265" t="n">
        <f aca="false">(L181++L190+L199+L208)/4</f>
        <v>70.1334595356335</v>
      </c>
      <c r="T216" s="190"/>
      <c r="U216" s="62"/>
    </row>
    <row r="217" customFormat="false" ht="20.1" hidden="false" customHeight="true" outlineLevel="0" collapsed="false">
      <c r="B217" s="62"/>
      <c r="C217" s="190"/>
      <c r="D217" s="427" t="s">
        <v>31</v>
      </c>
      <c r="E217" s="215" t="s">
        <v>32</v>
      </c>
      <c r="F217" s="271" t="n">
        <f aca="false">K217*6+L217*3+M217*1+N217*0</f>
        <v>4</v>
      </c>
      <c r="G217" s="272" t="n">
        <v>0</v>
      </c>
      <c r="H217" s="272" t="s">
        <v>67</v>
      </c>
      <c r="I217" s="272"/>
      <c r="J217" s="271" t="n">
        <f aca="false">F217+G217</f>
        <v>4</v>
      </c>
      <c r="K217" s="271" t="n">
        <v>0</v>
      </c>
      <c r="L217" s="271" t="n">
        <v>1</v>
      </c>
      <c r="M217" s="271" t="n">
        <v>1</v>
      </c>
      <c r="N217" s="271" t="n">
        <v>2</v>
      </c>
      <c r="O217" s="273"/>
      <c r="P217" s="272"/>
      <c r="Q217" s="272"/>
      <c r="R217" s="272"/>
      <c r="S217" s="274" t="n">
        <f aca="false">(L178+L187+L196+L205)/4</f>
        <v>65.1147162016727</v>
      </c>
      <c r="T217" s="190"/>
      <c r="U217" s="62"/>
    </row>
    <row r="218" customFormat="false" ht="20.1" hidden="false" customHeight="true" outlineLevel="0" collapsed="false">
      <c r="B218" s="62"/>
      <c r="C218" s="190"/>
      <c r="D218" s="445"/>
      <c r="E218" s="445"/>
      <c r="F218" s="429"/>
      <c r="G218" s="377"/>
      <c r="H218" s="430"/>
      <c r="I218" s="430"/>
      <c r="J218" s="429"/>
      <c r="K218" s="429"/>
      <c r="L218" s="429"/>
      <c r="M218" s="429"/>
      <c r="N218" s="429"/>
      <c r="O218" s="376"/>
      <c r="P218" s="377"/>
      <c r="Q218" s="377"/>
      <c r="R218" s="377"/>
      <c r="S218" s="408"/>
      <c r="T218" s="190"/>
      <c r="U218" s="62"/>
    </row>
    <row r="219" customFormat="false" ht="20.1" hidden="false" customHeight="true" outlineLevel="0" collapsed="false">
      <c r="B219" s="62"/>
      <c r="C219" s="62"/>
      <c r="D219" s="219"/>
      <c r="E219" s="219"/>
      <c r="F219" s="167"/>
      <c r="G219" s="167"/>
      <c r="H219" s="219"/>
      <c r="I219" s="219"/>
      <c r="J219" s="219"/>
      <c r="K219" s="62"/>
      <c r="L219" s="62"/>
      <c r="M219" s="62"/>
      <c r="N219" s="62"/>
      <c r="O219" s="62"/>
      <c r="P219" s="62"/>
      <c r="Q219" s="62"/>
      <c r="R219" s="62"/>
      <c r="S219" s="62"/>
      <c r="T219" s="62"/>
      <c r="U219" s="62"/>
    </row>
    <row r="220" customFormat="false" ht="20.1" hidden="false" customHeight="true" outlineLevel="0" collapsed="false"/>
    <row r="221" customFormat="false" ht="20.1" hidden="false" customHeight="true" outlineLevel="0" collapsed="false"/>
    <row r="222" customFormat="false" ht="20.1" hidden="false" customHeight="true" outlineLevel="0" collapsed="false">
      <c r="B222" s="62"/>
      <c r="C222" s="62"/>
      <c r="D222" s="63"/>
      <c r="E222" s="63"/>
      <c r="F222" s="63"/>
      <c r="G222" s="63"/>
      <c r="H222" s="62"/>
      <c r="I222" s="62"/>
      <c r="J222" s="62"/>
      <c r="K222" s="62"/>
      <c r="L222" s="62"/>
      <c r="M222" s="62"/>
      <c r="N222" s="62"/>
      <c r="O222" s="62"/>
      <c r="P222" s="62"/>
      <c r="Q222" s="62"/>
      <c r="R222" s="62"/>
      <c r="S222" s="62"/>
      <c r="T222" s="62"/>
      <c r="U222" s="62"/>
    </row>
    <row r="223" customFormat="false" ht="30" hidden="false" customHeight="true" outlineLevel="0" collapsed="false">
      <c r="B223" s="62"/>
      <c r="C223" s="64" t="s">
        <v>208</v>
      </c>
      <c r="D223" s="64"/>
      <c r="E223" s="64"/>
      <c r="F223" s="64"/>
      <c r="G223" s="64"/>
      <c r="H223" s="64"/>
      <c r="I223" s="64"/>
      <c r="J223" s="64"/>
      <c r="K223" s="64"/>
      <c r="L223" s="64"/>
      <c r="M223" s="64"/>
      <c r="N223" s="64"/>
      <c r="O223" s="64"/>
      <c r="P223" s="64"/>
      <c r="Q223" s="64"/>
      <c r="R223" s="64"/>
      <c r="S223" s="64"/>
      <c r="T223" s="64"/>
      <c r="U223" s="62"/>
    </row>
    <row r="224" customFormat="false" ht="20.1" hidden="false" customHeight="true" outlineLevel="0" collapsed="false">
      <c r="B224" s="62"/>
      <c r="U224" s="62"/>
    </row>
    <row r="225" customFormat="false" ht="20.1" hidden="false" customHeight="true" outlineLevel="0" collapsed="false">
      <c r="B225" s="62"/>
      <c r="D225" s="226" t="s">
        <v>53</v>
      </c>
      <c r="E225" s="68" t="s">
        <v>137</v>
      </c>
      <c r="F225" s="226" t="s">
        <v>11</v>
      </c>
      <c r="G225" s="68" t="s">
        <v>55</v>
      </c>
      <c r="H225" s="68"/>
      <c r="I225" s="68"/>
      <c r="J225" s="68"/>
      <c r="K225" s="66" t="s">
        <v>56</v>
      </c>
      <c r="L225" s="68" t="s">
        <v>57</v>
      </c>
      <c r="M225" s="68"/>
      <c r="N225" s="68"/>
      <c r="O225" s="68"/>
      <c r="P225" s="68"/>
      <c r="Q225" s="68"/>
      <c r="R225" s="68"/>
      <c r="S225" s="68"/>
      <c r="U225" s="62"/>
    </row>
    <row r="226" customFormat="false" ht="20.1" hidden="false" customHeight="true" outlineLevel="0" collapsed="false">
      <c r="B226" s="62"/>
      <c r="D226" s="226"/>
      <c r="E226" s="68"/>
      <c r="F226" s="226"/>
      <c r="G226" s="70" t="s">
        <v>58</v>
      </c>
      <c r="H226" s="69" t="s">
        <v>59</v>
      </c>
      <c r="I226" s="226" t="s">
        <v>60</v>
      </c>
      <c r="J226" s="226"/>
      <c r="K226" s="69" t="s">
        <v>61</v>
      </c>
      <c r="L226" s="224" t="s">
        <v>58</v>
      </c>
      <c r="M226" s="225" t="s">
        <v>62</v>
      </c>
      <c r="N226" s="226" t="s">
        <v>60</v>
      </c>
      <c r="O226" s="226"/>
      <c r="P226" s="226"/>
      <c r="Q226" s="226"/>
      <c r="R226" s="226"/>
      <c r="S226" s="226"/>
      <c r="U226" s="62"/>
    </row>
    <row r="227" customFormat="false" ht="20.1" hidden="false" customHeight="true" outlineLevel="0" collapsed="false">
      <c r="B227" s="62"/>
      <c r="D227" s="380" t="s">
        <v>45</v>
      </c>
      <c r="E227" s="381" t="s">
        <v>46</v>
      </c>
      <c r="F227" s="382" t="n">
        <v>1</v>
      </c>
      <c r="G227" s="227" t="s">
        <v>63</v>
      </c>
      <c r="H227" s="228" t="s">
        <v>209</v>
      </c>
      <c r="I227" s="277" t="s">
        <v>292</v>
      </c>
      <c r="J227" s="277"/>
      <c r="K227" s="229" t="s">
        <v>111</v>
      </c>
      <c r="L227" s="76" t="s">
        <v>67</v>
      </c>
      <c r="M227" s="77" t="s">
        <v>67</v>
      </c>
      <c r="N227" s="78" t="s">
        <v>67</v>
      </c>
      <c r="O227" s="78"/>
      <c r="P227" s="78"/>
      <c r="Q227" s="78"/>
      <c r="R227" s="78"/>
      <c r="S227" s="78"/>
      <c r="U227" s="62"/>
    </row>
    <row r="228" customFormat="false" ht="30" hidden="false" customHeight="true" outlineLevel="0" collapsed="false">
      <c r="B228" s="62"/>
      <c r="D228" s="326" t="s">
        <v>43</v>
      </c>
      <c r="E228" s="34" t="s">
        <v>44</v>
      </c>
      <c r="F228" s="31" t="n">
        <v>2</v>
      </c>
      <c r="G228" s="80" t="s">
        <v>63</v>
      </c>
      <c r="H228" s="384" t="s">
        <v>109</v>
      </c>
      <c r="I228" s="328" t="s">
        <v>197</v>
      </c>
      <c r="J228" s="328"/>
      <c r="K228" s="385" t="s">
        <v>111</v>
      </c>
      <c r="L228" s="354" t="s">
        <v>67</v>
      </c>
      <c r="M228" s="331" t="s">
        <v>67</v>
      </c>
      <c r="N228" s="86" t="s">
        <v>67</v>
      </c>
      <c r="O228" s="86"/>
      <c r="P228" s="86"/>
      <c r="Q228" s="86"/>
      <c r="R228" s="86"/>
      <c r="S228" s="86"/>
      <c r="U228" s="62"/>
    </row>
    <row r="229" customFormat="false" ht="15" hidden="false" customHeight="true" outlineLevel="0" collapsed="false">
      <c r="B229" s="62"/>
      <c r="D229" s="326"/>
      <c r="E229" s="34"/>
      <c r="F229" s="31"/>
      <c r="G229" s="80"/>
      <c r="H229" s="384"/>
      <c r="I229" s="332" t="s">
        <v>212</v>
      </c>
      <c r="J229" s="332"/>
      <c r="K229" s="385"/>
      <c r="L229" s="354"/>
      <c r="M229" s="331"/>
      <c r="N229" s="86"/>
      <c r="O229" s="86"/>
      <c r="P229" s="86"/>
      <c r="Q229" s="86"/>
      <c r="R229" s="86"/>
      <c r="S229" s="86"/>
      <c r="U229" s="62"/>
    </row>
    <row r="230" customFormat="false" ht="15" hidden="false" customHeight="true" outlineLevel="0" collapsed="false">
      <c r="B230" s="62"/>
      <c r="D230" s="326"/>
      <c r="E230" s="34"/>
      <c r="F230" s="31"/>
      <c r="G230" s="80"/>
      <c r="H230" s="384"/>
      <c r="I230" s="361" t="s">
        <v>199</v>
      </c>
      <c r="J230" s="361"/>
      <c r="K230" s="385"/>
      <c r="L230" s="354"/>
      <c r="M230" s="331"/>
      <c r="N230" s="86"/>
      <c r="O230" s="86"/>
      <c r="P230" s="86"/>
      <c r="Q230" s="86"/>
      <c r="R230" s="86"/>
      <c r="S230" s="86"/>
      <c r="U230" s="62"/>
    </row>
    <row r="231" customFormat="false" ht="30" hidden="false" customHeight="true" outlineLevel="0" collapsed="false">
      <c r="B231" s="62"/>
      <c r="D231" s="432" t="s">
        <v>43</v>
      </c>
      <c r="E231" s="446" t="s">
        <v>44</v>
      </c>
      <c r="F231" s="36" t="n">
        <v>3</v>
      </c>
      <c r="G231" s="434" t="s">
        <v>63</v>
      </c>
      <c r="H231" s="447" t="s">
        <v>154</v>
      </c>
      <c r="I231" s="335" t="s">
        <v>293</v>
      </c>
      <c r="J231" s="335"/>
      <c r="K231" s="386"/>
      <c r="L231" s="387"/>
      <c r="M231" s="388"/>
      <c r="N231" s="389"/>
      <c r="O231" s="389"/>
      <c r="P231" s="389"/>
      <c r="Q231" s="389"/>
      <c r="R231" s="389"/>
      <c r="S231" s="389"/>
      <c r="U231" s="62"/>
    </row>
    <row r="232" customFormat="false" ht="15" hidden="false" customHeight="true" outlineLevel="0" collapsed="false">
      <c r="B232" s="62"/>
      <c r="D232" s="362" t="s">
        <v>45</v>
      </c>
      <c r="E232" s="45" t="s">
        <v>46</v>
      </c>
      <c r="F232" s="50" t="n">
        <v>4</v>
      </c>
      <c r="G232" s="358" t="s">
        <v>63</v>
      </c>
      <c r="H232" s="440" t="s">
        <v>217</v>
      </c>
      <c r="I232" s="342" t="s">
        <v>218</v>
      </c>
      <c r="J232" s="342"/>
      <c r="K232" s="397"/>
      <c r="L232" s="387"/>
      <c r="M232" s="388"/>
      <c r="N232" s="389"/>
      <c r="O232" s="389"/>
      <c r="P232" s="389"/>
      <c r="Q232" s="389"/>
      <c r="R232" s="389"/>
      <c r="S232" s="389"/>
      <c r="U232" s="62"/>
    </row>
    <row r="233" customFormat="false" ht="15" hidden="false" customHeight="true" outlineLevel="0" collapsed="false">
      <c r="B233" s="62"/>
      <c r="D233" s="362"/>
      <c r="E233" s="45"/>
      <c r="F233" s="50"/>
      <c r="G233" s="358"/>
      <c r="H233" s="440"/>
      <c r="I233" s="348" t="s">
        <v>219</v>
      </c>
      <c r="J233" s="348"/>
      <c r="K233" s="398"/>
      <c r="L233" s="399"/>
      <c r="M233" s="400"/>
      <c r="N233" s="401"/>
      <c r="O233" s="401"/>
      <c r="P233" s="401"/>
      <c r="Q233" s="401"/>
      <c r="R233" s="401"/>
      <c r="S233" s="402"/>
      <c r="U233" s="62"/>
    </row>
    <row r="234" customFormat="false" ht="20.1" hidden="false" customHeight="true" outlineLevel="0" collapsed="false">
      <c r="B234" s="62"/>
      <c r="U234" s="62"/>
    </row>
    <row r="235" customFormat="false" ht="20.1" hidden="false" customHeight="true" outlineLevel="0" collapsed="false">
      <c r="B235" s="62"/>
      <c r="C235" s="101"/>
      <c r="D235" s="101"/>
      <c r="E235" s="102" t="str">
        <f aca="false">IF(OR(L227="-",L227= ""),H227,L227)</f>
        <v>Patchwork</v>
      </c>
      <c r="F235" s="102"/>
      <c r="G235" s="102"/>
      <c r="H235" s="102"/>
      <c r="I235" s="102"/>
      <c r="J235" s="102"/>
      <c r="K235" s="102"/>
      <c r="L235" s="102"/>
      <c r="M235" s="102"/>
      <c r="N235" s="102"/>
      <c r="O235" s="103"/>
      <c r="P235" s="103"/>
      <c r="Q235" s="103"/>
      <c r="R235" s="103"/>
      <c r="S235" s="103"/>
      <c r="T235" s="101"/>
      <c r="U235" s="62"/>
    </row>
    <row r="236" customFormat="false" ht="50.1" hidden="false" customHeight="true" outlineLevel="0" collapsed="false">
      <c r="B236" s="62"/>
      <c r="C236" s="101"/>
      <c r="D236" s="103"/>
      <c r="E236" s="65" t="s">
        <v>53</v>
      </c>
      <c r="F236" s="104" t="s">
        <v>76</v>
      </c>
      <c r="G236" s="67" t="s">
        <v>77</v>
      </c>
      <c r="H236" s="66" t="s">
        <v>78</v>
      </c>
      <c r="I236" s="54" t="s">
        <v>79</v>
      </c>
      <c r="J236" s="66" t="s">
        <v>80</v>
      </c>
      <c r="K236" s="105" t="s">
        <v>81</v>
      </c>
      <c r="L236" s="66" t="s">
        <v>82</v>
      </c>
      <c r="M236" s="106" t="s">
        <v>83</v>
      </c>
      <c r="N236" s="67" t="s">
        <v>84</v>
      </c>
      <c r="O236" s="107" t="s">
        <v>85</v>
      </c>
      <c r="P236" s="108" t="s">
        <v>86</v>
      </c>
      <c r="Q236" s="103"/>
      <c r="R236" s="103"/>
      <c r="S236" s="103"/>
      <c r="T236" s="101"/>
      <c r="U236" s="62"/>
    </row>
    <row r="237" customFormat="false" ht="20.1" hidden="false" customHeight="true" outlineLevel="0" collapsed="false">
      <c r="B237" s="62"/>
      <c r="C237" s="101"/>
      <c r="D237" s="124"/>
      <c r="E237" s="318" t="s">
        <v>45</v>
      </c>
      <c r="F237" s="16" t="s">
        <v>46</v>
      </c>
      <c r="G237" s="250" t="n">
        <v>2</v>
      </c>
      <c r="H237" s="250" t="s">
        <v>67</v>
      </c>
      <c r="I237" s="250" t="n">
        <v>0</v>
      </c>
      <c r="J237" s="250" t="n">
        <v>6</v>
      </c>
      <c r="K237" s="250" t="s">
        <v>67</v>
      </c>
      <c r="L237" s="253" t="n">
        <f aca="false">IF(J237="",0,(J237/J239)*100)</f>
        <v>75</v>
      </c>
      <c r="M237" s="250" t="n">
        <v>2</v>
      </c>
      <c r="N237" s="254" t="n">
        <v>0</v>
      </c>
      <c r="O237" s="116" t="n">
        <f aca="false">IF(M237=1,1,0)</f>
        <v>0</v>
      </c>
      <c r="P237" s="117" t="n">
        <f aca="false">IF(M237=2,1,0)</f>
        <v>1</v>
      </c>
      <c r="Q237" s="118"/>
      <c r="R237" s="118"/>
      <c r="S237" s="118"/>
      <c r="T237" s="101"/>
      <c r="U237" s="62"/>
    </row>
    <row r="238" customFormat="false" ht="20.1" hidden="false" customHeight="true" outlineLevel="0" collapsed="false">
      <c r="B238" s="62"/>
      <c r="C238" s="101"/>
      <c r="D238" s="101"/>
      <c r="E238" s="293" t="s">
        <v>43</v>
      </c>
      <c r="F238" s="294" t="s">
        <v>44</v>
      </c>
      <c r="G238" s="295" t="n">
        <v>1</v>
      </c>
      <c r="H238" s="295" t="s">
        <v>67</v>
      </c>
      <c r="I238" s="295" t="n">
        <v>0</v>
      </c>
      <c r="J238" s="295" t="n">
        <v>8</v>
      </c>
      <c r="K238" s="296" t="s">
        <v>67</v>
      </c>
      <c r="L238" s="297" t="n">
        <f aca="false">IF(J238="",0,(J238/J239)*100)</f>
        <v>100</v>
      </c>
      <c r="M238" s="295" t="n">
        <v>1</v>
      </c>
      <c r="N238" s="298" t="n">
        <v>6</v>
      </c>
      <c r="O238" s="128" t="n">
        <f aca="false">IF(M238=1,1,0)</f>
        <v>1</v>
      </c>
      <c r="P238" s="129" t="n">
        <f aca="false">IF(M238=2,1,0)</f>
        <v>0</v>
      </c>
      <c r="Q238" s="118"/>
      <c r="R238" s="118"/>
      <c r="S238" s="118"/>
      <c r="T238" s="101"/>
      <c r="U238" s="62"/>
    </row>
    <row r="239" customFormat="false" ht="20.1" hidden="true" customHeight="true" outlineLevel="1" collapsed="false">
      <c r="B239" s="62"/>
      <c r="C239" s="101"/>
      <c r="D239" s="124"/>
      <c r="E239" s="124"/>
      <c r="F239" s="448"/>
      <c r="G239" s="448"/>
      <c r="H239" s="101"/>
      <c r="I239" s="179" t="s">
        <v>89</v>
      </c>
      <c r="J239" s="133" t="n">
        <f aca="false">MAX(J237:J238)</f>
        <v>8</v>
      </c>
      <c r="K239" s="249"/>
      <c r="L239" s="139"/>
      <c r="M239" s="101"/>
      <c r="N239" s="136" t="s">
        <v>90</v>
      </c>
      <c r="O239" s="137" t="n">
        <f aca="false">SUM(O237:O238)</f>
        <v>1</v>
      </c>
      <c r="P239" s="160" t="n">
        <f aca="false">SUM(P237:P238)</f>
        <v>1</v>
      </c>
      <c r="Q239" s="139"/>
      <c r="R239" s="139"/>
      <c r="S239" s="139"/>
      <c r="T239" s="101"/>
      <c r="U239" s="62"/>
    </row>
    <row r="240" customFormat="false" ht="20.1" hidden="false" customHeight="true" outlineLevel="0" collapsed="false">
      <c r="B240" s="62"/>
      <c r="C240" s="101"/>
      <c r="D240" s="101"/>
      <c r="E240" s="101"/>
      <c r="F240" s="101"/>
      <c r="G240" s="101"/>
      <c r="H240" s="101"/>
      <c r="I240" s="101"/>
      <c r="J240" s="101"/>
      <c r="K240" s="101"/>
      <c r="L240" s="101"/>
      <c r="M240" s="101"/>
      <c r="N240" s="101"/>
      <c r="O240" s="101"/>
      <c r="P240" s="101"/>
      <c r="Q240" s="101"/>
      <c r="R240" s="101"/>
      <c r="S240" s="101"/>
      <c r="T240" s="101"/>
      <c r="U240" s="62"/>
    </row>
    <row r="241" customFormat="false" ht="20.1" hidden="false" customHeight="true" outlineLevel="0" collapsed="false">
      <c r="B241" s="62"/>
      <c r="U241" s="62"/>
    </row>
    <row r="242" customFormat="false" ht="20.1" hidden="false" customHeight="true" outlineLevel="0" collapsed="false">
      <c r="B242" s="62"/>
      <c r="C242" s="141"/>
      <c r="D242" s="141"/>
      <c r="E242" s="142" t="str">
        <f aca="false">IF(OR(L228="-",L228= ""),H228,L228)</f>
        <v>Die Burgen von Burgund</v>
      </c>
      <c r="F242" s="142"/>
      <c r="G242" s="142"/>
      <c r="H242" s="142"/>
      <c r="I242" s="142"/>
      <c r="J242" s="142"/>
      <c r="K242" s="142"/>
      <c r="L242" s="142"/>
      <c r="M242" s="142"/>
      <c r="N242" s="142"/>
      <c r="O242" s="143"/>
      <c r="P242" s="143"/>
      <c r="Q242" s="143"/>
      <c r="R242" s="143"/>
      <c r="S242" s="143"/>
      <c r="T242" s="141"/>
      <c r="U242" s="62"/>
    </row>
    <row r="243" customFormat="false" ht="50.1" hidden="false" customHeight="true" outlineLevel="0" collapsed="false">
      <c r="B243" s="62"/>
      <c r="C243" s="141"/>
      <c r="D243" s="143"/>
      <c r="E243" s="65" t="s">
        <v>53</v>
      </c>
      <c r="F243" s="104" t="s">
        <v>76</v>
      </c>
      <c r="G243" s="67" t="s">
        <v>77</v>
      </c>
      <c r="H243" s="66" t="s">
        <v>78</v>
      </c>
      <c r="I243" s="54" t="s">
        <v>79</v>
      </c>
      <c r="J243" s="66" t="s">
        <v>80</v>
      </c>
      <c r="K243" s="105" t="s">
        <v>81</v>
      </c>
      <c r="L243" s="66" t="s">
        <v>82</v>
      </c>
      <c r="M243" s="106" t="s">
        <v>83</v>
      </c>
      <c r="N243" s="67" t="s">
        <v>84</v>
      </c>
      <c r="O243" s="107" t="s">
        <v>85</v>
      </c>
      <c r="P243" s="108" t="s">
        <v>86</v>
      </c>
      <c r="Q243" s="143"/>
      <c r="R243" s="143"/>
      <c r="S243" s="143"/>
      <c r="T243" s="141"/>
      <c r="U243" s="62"/>
    </row>
    <row r="244" customFormat="false" ht="20.1" hidden="false" customHeight="true" outlineLevel="0" collapsed="false">
      <c r="B244" s="62"/>
      <c r="C244" s="141"/>
      <c r="D244" s="148"/>
      <c r="E244" s="318" t="s">
        <v>45</v>
      </c>
      <c r="F244" s="16" t="s">
        <v>46</v>
      </c>
      <c r="G244" s="250" t="n">
        <v>1</v>
      </c>
      <c r="H244" s="251" t="s">
        <v>120</v>
      </c>
      <c r="I244" s="250" t="n">
        <v>0</v>
      </c>
      <c r="J244" s="251" t="n">
        <v>180</v>
      </c>
      <c r="K244" s="252" t="s">
        <v>67</v>
      </c>
      <c r="L244" s="253" t="n">
        <f aca="false">IF(J244="",0,(J244/J246)*100)</f>
        <v>87.8048780487805</v>
      </c>
      <c r="M244" s="250" t="n">
        <v>2</v>
      </c>
      <c r="N244" s="254" t="n">
        <v>0</v>
      </c>
      <c r="O244" s="116" t="n">
        <f aca="false">IF(M244=1,1,0)</f>
        <v>0</v>
      </c>
      <c r="P244" s="117" t="n">
        <f aca="false">IF(M244=2,1,0)</f>
        <v>1</v>
      </c>
      <c r="Q244" s="147"/>
      <c r="R244" s="147"/>
      <c r="S244" s="147"/>
      <c r="T244" s="141"/>
      <c r="U244" s="62"/>
    </row>
    <row r="245" customFormat="false" ht="20.1" hidden="false" customHeight="true" outlineLevel="0" collapsed="false">
      <c r="B245" s="62"/>
      <c r="C245" s="141"/>
      <c r="D245" s="141"/>
      <c r="E245" s="293" t="s">
        <v>43</v>
      </c>
      <c r="F245" s="294" t="s">
        <v>44</v>
      </c>
      <c r="G245" s="295" t="n">
        <v>2</v>
      </c>
      <c r="H245" s="296" t="s">
        <v>204</v>
      </c>
      <c r="I245" s="295" t="n">
        <v>0</v>
      </c>
      <c r="J245" s="296" t="n">
        <v>205</v>
      </c>
      <c r="K245" s="296" t="s">
        <v>67</v>
      </c>
      <c r="L245" s="297" t="n">
        <f aca="false">IF(J245="",0,(J245/J246)*100)</f>
        <v>100</v>
      </c>
      <c r="M245" s="295" t="n">
        <v>1</v>
      </c>
      <c r="N245" s="298" t="n">
        <v>6</v>
      </c>
      <c r="O245" s="128" t="n">
        <f aca="false">IF(M245=1,1,0)</f>
        <v>1</v>
      </c>
      <c r="P245" s="129" t="n">
        <f aca="false">IF(M245=2,1,0)</f>
        <v>0</v>
      </c>
      <c r="Q245" s="147"/>
      <c r="R245" s="147"/>
      <c r="S245" s="147"/>
      <c r="T245" s="141"/>
      <c r="U245" s="62"/>
    </row>
    <row r="246" customFormat="false" ht="20.1" hidden="true" customHeight="true" outlineLevel="1" collapsed="false">
      <c r="B246" s="62"/>
      <c r="C246" s="141"/>
      <c r="D246" s="141"/>
      <c r="E246" s="141"/>
      <c r="F246" s="449"/>
      <c r="G246" s="449"/>
      <c r="H246" s="141"/>
      <c r="I246" s="179" t="s">
        <v>89</v>
      </c>
      <c r="J246" s="133" t="n">
        <f aca="false">MAX(J244:J245)</f>
        <v>205</v>
      </c>
      <c r="K246" s="159"/>
      <c r="L246" s="147"/>
      <c r="M246" s="141"/>
      <c r="N246" s="136" t="s">
        <v>90</v>
      </c>
      <c r="O246" s="137" t="n">
        <f aca="false">SUM(O244:O245)</f>
        <v>1</v>
      </c>
      <c r="P246" s="160" t="n">
        <f aca="false">SUM(P244:P245)</f>
        <v>1</v>
      </c>
      <c r="Q246" s="161"/>
      <c r="R246" s="161"/>
      <c r="S246" s="161"/>
      <c r="T246" s="141"/>
      <c r="U246" s="62"/>
    </row>
    <row r="247" customFormat="false" ht="20.1" hidden="false" customHeight="true" outlineLevel="0" collapsed="false">
      <c r="B247" s="62"/>
      <c r="C247" s="141"/>
      <c r="D247" s="141"/>
      <c r="E247" s="141"/>
      <c r="F247" s="141"/>
      <c r="G247" s="141"/>
      <c r="H247" s="141"/>
      <c r="I247" s="141"/>
      <c r="J247" s="141"/>
      <c r="K247" s="141"/>
      <c r="L247" s="141"/>
      <c r="M247" s="141"/>
      <c r="N247" s="141"/>
      <c r="O247" s="141"/>
      <c r="P247" s="141"/>
      <c r="Q247" s="141"/>
      <c r="R247" s="141"/>
      <c r="S247" s="141"/>
      <c r="T247" s="141"/>
      <c r="U247" s="62"/>
    </row>
    <row r="248" customFormat="false" ht="20.1" hidden="false" customHeight="true" outlineLevel="0" collapsed="false">
      <c r="B248" s="62"/>
      <c r="D248" s="162"/>
      <c r="E248" s="162"/>
      <c r="F248" s="162"/>
      <c r="G248" s="162"/>
      <c r="H248" s="163"/>
      <c r="I248" s="162"/>
      <c r="J248" s="162"/>
      <c r="U248" s="62"/>
    </row>
    <row r="249" customFormat="false" ht="20.1" hidden="false" customHeight="true" outlineLevel="0" collapsed="false">
      <c r="B249" s="62"/>
      <c r="C249" s="164"/>
      <c r="D249" s="164"/>
      <c r="E249" s="165" t="str">
        <f aca="false">IF(OR(L231="-",L231= ""),H231,L231)</f>
        <v>Auf den Spuren von Marco Polo</v>
      </c>
      <c r="F249" s="165"/>
      <c r="G249" s="165"/>
      <c r="H249" s="165"/>
      <c r="I249" s="165"/>
      <c r="J249" s="165"/>
      <c r="K249" s="165"/>
      <c r="L249" s="165"/>
      <c r="M249" s="165"/>
      <c r="N249" s="165"/>
      <c r="O249" s="166"/>
      <c r="P249" s="166"/>
      <c r="Q249" s="166"/>
      <c r="R249" s="166"/>
      <c r="S249" s="166"/>
      <c r="T249" s="164"/>
      <c r="U249" s="167"/>
    </row>
    <row r="250" customFormat="false" ht="50.1" hidden="false" customHeight="true" outlineLevel="0" collapsed="false">
      <c r="B250" s="62"/>
      <c r="C250" s="164"/>
      <c r="D250" s="166"/>
      <c r="E250" s="65" t="s">
        <v>53</v>
      </c>
      <c r="F250" s="104" t="s">
        <v>76</v>
      </c>
      <c r="G250" s="67" t="s">
        <v>77</v>
      </c>
      <c r="H250" s="66" t="s">
        <v>78</v>
      </c>
      <c r="I250" s="54" t="s">
        <v>79</v>
      </c>
      <c r="J250" s="66" t="s">
        <v>80</v>
      </c>
      <c r="K250" s="105" t="s">
        <v>81</v>
      </c>
      <c r="L250" s="66" t="s">
        <v>82</v>
      </c>
      <c r="M250" s="106" t="s">
        <v>83</v>
      </c>
      <c r="N250" s="67" t="s">
        <v>84</v>
      </c>
      <c r="O250" s="107" t="s">
        <v>85</v>
      </c>
      <c r="P250" s="108" t="s">
        <v>86</v>
      </c>
      <c r="Q250" s="166"/>
      <c r="R250" s="166"/>
      <c r="S250" s="166"/>
      <c r="T250" s="164"/>
      <c r="U250" s="167"/>
    </row>
    <row r="251" customFormat="false" ht="20.1" hidden="false" customHeight="true" outlineLevel="0" collapsed="false">
      <c r="B251" s="62"/>
      <c r="C251" s="164"/>
      <c r="D251" s="171"/>
      <c r="E251" s="318" t="s">
        <v>45</v>
      </c>
      <c r="F251" s="16" t="s">
        <v>46</v>
      </c>
      <c r="G251" s="250" t="n">
        <v>1</v>
      </c>
      <c r="H251" s="251" t="s">
        <v>164</v>
      </c>
      <c r="I251" s="250" t="n">
        <v>0</v>
      </c>
      <c r="J251" s="251" t="n">
        <v>72</v>
      </c>
      <c r="K251" s="250" t="s">
        <v>67</v>
      </c>
      <c r="L251" s="253" t="n">
        <f aca="false">IF(J251="",0,(J251/J253)*100)</f>
        <v>88.8888888888889</v>
      </c>
      <c r="M251" s="250" t="n">
        <v>2</v>
      </c>
      <c r="N251" s="254" t="n">
        <v>0</v>
      </c>
      <c r="O251" s="116" t="n">
        <f aca="false">IF(M251=1,1,0)</f>
        <v>0</v>
      </c>
      <c r="P251" s="117" t="n">
        <f aca="false">IF(M251=2,1,0)</f>
        <v>1</v>
      </c>
      <c r="Q251" s="170"/>
      <c r="R251" s="170"/>
      <c r="S251" s="170"/>
      <c r="T251" s="164"/>
      <c r="U251" s="62"/>
    </row>
    <row r="252" customFormat="false" ht="20.1" hidden="false" customHeight="true" outlineLevel="0" collapsed="false">
      <c r="B252" s="62"/>
      <c r="C252" s="164"/>
      <c r="D252" s="164"/>
      <c r="E252" s="293" t="s">
        <v>43</v>
      </c>
      <c r="F252" s="294" t="s">
        <v>44</v>
      </c>
      <c r="G252" s="295" t="n">
        <v>2</v>
      </c>
      <c r="H252" s="296" t="s">
        <v>163</v>
      </c>
      <c r="I252" s="295" t="n">
        <v>0</v>
      </c>
      <c r="J252" s="296" t="n">
        <v>81</v>
      </c>
      <c r="K252" s="296" t="s">
        <v>67</v>
      </c>
      <c r="L252" s="297" t="n">
        <f aca="false">IF(J252="",0,(J252/J253)*100)</f>
        <v>100</v>
      </c>
      <c r="M252" s="295" t="n">
        <v>1</v>
      </c>
      <c r="N252" s="298" t="n">
        <v>6</v>
      </c>
      <c r="O252" s="128" t="n">
        <f aca="false">IF(M252=1,1,0)</f>
        <v>1</v>
      </c>
      <c r="P252" s="129" t="n">
        <f aca="false">IF(M252=2,1,0)</f>
        <v>0</v>
      </c>
      <c r="Q252" s="170"/>
      <c r="R252" s="170"/>
      <c r="S252" s="170"/>
      <c r="T252" s="164"/>
      <c r="U252" s="173"/>
    </row>
    <row r="253" customFormat="false" ht="20.1" hidden="true" customHeight="true" outlineLevel="1" collapsed="false">
      <c r="B253" s="62"/>
      <c r="C253" s="164"/>
      <c r="D253" s="164"/>
      <c r="E253" s="164"/>
      <c r="F253" s="450"/>
      <c r="G253" s="450"/>
      <c r="H253" s="164"/>
      <c r="I253" s="179" t="s">
        <v>89</v>
      </c>
      <c r="J253" s="133" t="n">
        <f aca="false">MAX(J251:J252)</f>
        <v>81</v>
      </c>
      <c r="K253" s="180"/>
      <c r="L253" s="170"/>
      <c r="M253" s="164"/>
      <c r="N253" s="136" t="s">
        <v>90</v>
      </c>
      <c r="O253" s="137" t="n">
        <f aca="false">SUM(O251:O252)</f>
        <v>1</v>
      </c>
      <c r="P253" s="160" t="n">
        <f aca="false">SUM(P251:P252)</f>
        <v>1</v>
      </c>
      <c r="Q253" s="181"/>
      <c r="R253" s="181"/>
      <c r="S253" s="181"/>
      <c r="T253" s="164"/>
      <c r="U253" s="173"/>
    </row>
    <row r="254" customFormat="false" ht="20.1" hidden="false" customHeight="true" outlineLevel="0" collapsed="false">
      <c r="B254" s="62"/>
      <c r="C254" s="164"/>
      <c r="D254" s="164"/>
      <c r="E254" s="164"/>
      <c r="F254" s="164"/>
      <c r="G254" s="164"/>
      <c r="H254" s="164"/>
      <c r="I254" s="164"/>
      <c r="J254" s="164"/>
      <c r="K254" s="164"/>
      <c r="L254" s="164"/>
      <c r="M254" s="164"/>
      <c r="N254" s="164"/>
      <c r="O254" s="164"/>
      <c r="P254" s="164"/>
      <c r="Q254" s="164"/>
      <c r="R254" s="164"/>
      <c r="S254" s="164"/>
      <c r="T254" s="164"/>
      <c r="U254" s="173"/>
    </row>
    <row r="255" customFormat="false" ht="20.1" hidden="false" customHeight="true" outlineLevel="0" collapsed="false">
      <c r="B255" s="62"/>
      <c r="D255" s="162"/>
      <c r="E255" s="162"/>
      <c r="F255" s="162"/>
      <c r="G255" s="162"/>
      <c r="H255" s="163"/>
      <c r="I255" s="162"/>
      <c r="J255" s="162"/>
      <c r="K255" s="162"/>
      <c r="U255" s="62"/>
    </row>
    <row r="256" customFormat="false" ht="20.1" hidden="false" customHeight="true" outlineLevel="0" collapsed="false">
      <c r="B256" s="62"/>
      <c r="C256" s="182"/>
      <c r="D256" s="182"/>
      <c r="E256" s="183" t="str">
        <f aca="false">IF(OR(L232="-",L232= ""),H232,L232)</f>
        <v>Dice Hospital</v>
      </c>
      <c r="F256" s="183"/>
      <c r="G256" s="183"/>
      <c r="H256" s="183"/>
      <c r="I256" s="183"/>
      <c r="J256" s="183"/>
      <c r="K256" s="183"/>
      <c r="L256" s="183"/>
      <c r="M256" s="183"/>
      <c r="N256" s="183"/>
      <c r="O256" s="184"/>
      <c r="P256" s="184"/>
      <c r="Q256" s="184"/>
      <c r="R256" s="184"/>
      <c r="S256" s="184"/>
      <c r="T256" s="182"/>
      <c r="U256" s="62"/>
    </row>
    <row r="257" customFormat="false" ht="50.1" hidden="false" customHeight="true" outlineLevel="0" collapsed="false">
      <c r="B257" s="62"/>
      <c r="C257" s="182"/>
      <c r="D257" s="184"/>
      <c r="E257" s="65" t="s">
        <v>53</v>
      </c>
      <c r="F257" s="104" t="s">
        <v>76</v>
      </c>
      <c r="G257" s="67" t="s">
        <v>77</v>
      </c>
      <c r="H257" s="66" t="s">
        <v>78</v>
      </c>
      <c r="I257" s="54" t="s">
        <v>79</v>
      </c>
      <c r="J257" s="66" t="s">
        <v>80</v>
      </c>
      <c r="K257" s="105" t="s">
        <v>81</v>
      </c>
      <c r="L257" s="66" t="s">
        <v>82</v>
      </c>
      <c r="M257" s="106" t="s">
        <v>83</v>
      </c>
      <c r="N257" s="67" t="s">
        <v>84</v>
      </c>
      <c r="O257" s="107" t="s">
        <v>85</v>
      </c>
      <c r="P257" s="108" t="s">
        <v>86</v>
      </c>
      <c r="Q257" s="184"/>
      <c r="R257" s="184"/>
      <c r="S257" s="184"/>
      <c r="T257" s="182"/>
      <c r="U257" s="62"/>
    </row>
    <row r="258" customFormat="false" ht="20.1" hidden="false" customHeight="true" outlineLevel="0" collapsed="false">
      <c r="B258" s="62"/>
      <c r="C258" s="182"/>
      <c r="D258" s="182"/>
      <c r="E258" s="318" t="s">
        <v>45</v>
      </c>
      <c r="F258" s="16" t="s">
        <v>46</v>
      </c>
      <c r="G258" s="250" t="n">
        <v>2</v>
      </c>
      <c r="H258" s="250" t="s">
        <v>221</v>
      </c>
      <c r="I258" s="250" t="n">
        <v>0</v>
      </c>
      <c r="J258" s="250" t="n">
        <v>37</v>
      </c>
      <c r="K258" s="250" t="s">
        <v>67</v>
      </c>
      <c r="L258" s="253" t="n">
        <f aca="false">IF(J258="",0,(J258/J260)*100)</f>
        <v>75.5102040816327</v>
      </c>
      <c r="M258" s="250" t="n">
        <v>2</v>
      </c>
      <c r="N258" s="254" t="n">
        <v>0</v>
      </c>
      <c r="O258" s="116" t="n">
        <f aca="false">IF(M258=1,1,0)</f>
        <v>0</v>
      </c>
      <c r="P258" s="117" t="n">
        <f aca="false">IF(M258=2,1,0)</f>
        <v>1</v>
      </c>
      <c r="Q258" s="185"/>
      <c r="R258" s="185"/>
      <c r="S258" s="185"/>
      <c r="T258" s="182"/>
      <c r="U258" s="62"/>
    </row>
    <row r="259" customFormat="false" ht="20.1" hidden="false" customHeight="true" outlineLevel="0" collapsed="false">
      <c r="B259" s="62"/>
      <c r="C259" s="182"/>
      <c r="D259" s="182"/>
      <c r="E259" s="293" t="s">
        <v>43</v>
      </c>
      <c r="F259" s="294" t="s">
        <v>44</v>
      </c>
      <c r="G259" s="295" t="n">
        <v>1</v>
      </c>
      <c r="H259" s="295" t="s">
        <v>294</v>
      </c>
      <c r="I259" s="295" t="n">
        <v>0</v>
      </c>
      <c r="J259" s="295" t="n">
        <v>49</v>
      </c>
      <c r="K259" s="296" t="s">
        <v>67</v>
      </c>
      <c r="L259" s="297" t="n">
        <f aca="false">IF(J259="",0,(J259/J260)*100)</f>
        <v>100</v>
      </c>
      <c r="M259" s="295" t="n">
        <v>1</v>
      </c>
      <c r="N259" s="298" t="n">
        <v>6</v>
      </c>
      <c r="O259" s="128" t="n">
        <f aca="false">IF(M259=1,1,0)</f>
        <v>1</v>
      </c>
      <c r="P259" s="129" t="n">
        <f aca="false">IF(M259=2,1,0)</f>
        <v>0</v>
      </c>
      <c r="Q259" s="185"/>
      <c r="R259" s="185"/>
      <c r="S259" s="185"/>
      <c r="T259" s="182"/>
      <c r="U259" s="62"/>
    </row>
    <row r="260" customFormat="false" ht="20.1" hidden="true" customHeight="true" outlineLevel="1" collapsed="false">
      <c r="B260" s="62"/>
      <c r="C260" s="182"/>
      <c r="D260" s="182"/>
      <c r="E260" s="182"/>
      <c r="F260" s="451"/>
      <c r="G260" s="451"/>
      <c r="H260" s="182"/>
      <c r="I260" s="179" t="s">
        <v>89</v>
      </c>
      <c r="J260" s="133" t="n">
        <f aca="false">MAX(J258:J259)</f>
        <v>49</v>
      </c>
      <c r="K260" s="188"/>
      <c r="L260" s="185"/>
      <c r="M260" s="182"/>
      <c r="N260" s="136" t="s">
        <v>90</v>
      </c>
      <c r="O260" s="137" t="n">
        <f aca="false">SUM(O258:O259)</f>
        <v>1</v>
      </c>
      <c r="P260" s="160" t="n">
        <f aca="false">SUM(P258:P259)</f>
        <v>1</v>
      </c>
      <c r="Q260" s="189"/>
      <c r="R260" s="189"/>
      <c r="S260" s="189"/>
      <c r="T260" s="182"/>
      <c r="U260" s="62"/>
    </row>
    <row r="261" customFormat="false" ht="20.1" hidden="false" customHeight="true" outlineLevel="0" collapsed="false">
      <c r="B261" s="62"/>
      <c r="C261" s="182"/>
      <c r="D261" s="182"/>
      <c r="E261" s="182"/>
      <c r="F261" s="182"/>
      <c r="G261" s="182"/>
      <c r="H261" s="182"/>
      <c r="I261" s="182"/>
      <c r="J261" s="182"/>
      <c r="K261" s="182"/>
      <c r="L261" s="182"/>
      <c r="M261" s="182"/>
      <c r="N261" s="182"/>
      <c r="O261" s="182"/>
      <c r="P261" s="182"/>
      <c r="Q261" s="182"/>
      <c r="R261" s="182"/>
      <c r="S261" s="182"/>
      <c r="T261" s="182"/>
      <c r="U261" s="62"/>
    </row>
    <row r="262" customFormat="false" ht="20.1" hidden="false" customHeight="true" outlineLevel="0" collapsed="false">
      <c r="B262" s="62"/>
      <c r="D262" s="5"/>
      <c r="E262" s="5"/>
      <c r="F262" s="5"/>
      <c r="G262" s="5"/>
      <c r="H262" s="5"/>
      <c r="I262" s="5"/>
      <c r="J262" s="5"/>
      <c r="U262" s="62"/>
    </row>
    <row r="263" customFormat="false" ht="30" hidden="false" customHeight="true" outlineLevel="0" collapsed="false">
      <c r="B263" s="62"/>
      <c r="C263" s="190"/>
      <c r="D263" s="371"/>
      <c r="E263" s="191" t="s">
        <v>166</v>
      </c>
      <c r="F263" s="191"/>
      <c r="G263" s="191"/>
      <c r="H263" s="191"/>
      <c r="I263" s="191"/>
      <c r="J263" s="191"/>
      <c r="K263" s="191"/>
      <c r="L263" s="191"/>
      <c r="M263" s="191"/>
      <c r="N263" s="191"/>
      <c r="O263" s="371"/>
      <c r="P263" s="371"/>
      <c r="Q263" s="371"/>
      <c r="R263" s="371"/>
      <c r="S263" s="371"/>
      <c r="T263" s="190"/>
      <c r="U263" s="62"/>
    </row>
    <row r="264" customFormat="false" ht="50.1" hidden="false" customHeight="true" outlineLevel="0" collapsed="false">
      <c r="B264" s="62"/>
      <c r="C264" s="190"/>
      <c r="D264" s="190"/>
      <c r="E264" s="192" t="s">
        <v>53</v>
      </c>
      <c r="F264" s="193" t="s">
        <v>150</v>
      </c>
      <c r="G264" s="194" t="s">
        <v>84</v>
      </c>
      <c r="H264" s="195" t="s">
        <v>100</v>
      </c>
      <c r="I264" s="452" t="s">
        <v>101</v>
      </c>
      <c r="J264" s="452"/>
      <c r="K264" s="197" t="s">
        <v>102</v>
      </c>
      <c r="L264" s="198" t="s">
        <v>103</v>
      </c>
      <c r="M264" s="194" t="s">
        <v>104</v>
      </c>
      <c r="N264" s="193" t="s">
        <v>107</v>
      </c>
      <c r="O264" s="372"/>
      <c r="P264" s="373"/>
      <c r="Q264" s="373"/>
      <c r="R264" s="373"/>
      <c r="S264" s="372"/>
      <c r="T264" s="190"/>
      <c r="U264" s="62"/>
    </row>
    <row r="265" customFormat="false" ht="20.1" hidden="false" customHeight="true" outlineLevel="0" collapsed="false">
      <c r="B265" s="62"/>
      <c r="C265" s="190"/>
      <c r="D265" s="190"/>
      <c r="E265" s="425" t="s">
        <v>43</v>
      </c>
      <c r="F265" s="302" t="s">
        <v>44</v>
      </c>
      <c r="G265" s="258" t="n">
        <f aca="false">L265*6+M265*0</f>
        <v>24</v>
      </c>
      <c r="H265" s="259" t="n">
        <v>0</v>
      </c>
      <c r="I265" s="259" t="s">
        <v>67</v>
      </c>
      <c r="J265" s="259"/>
      <c r="K265" s="258" t="n">
        <f aca="false">G265+H265</f>
        <v>24</v>
      </c>
      <c r="L265" s="258" t="n">
        <v>4</v>
      </c>
      <c r="M265" s="258" t="n">
        <v>0</v>
      </c>
      <c r="N265" s="261" t="n">
        <f aca="false">(L237+L244+L251+L258)/4</f>
        <v>81.8009927548255</v>
      </c>
      <c r="O265" s="376"/>
      <c r="P265" s="377"/>
      <c r="Q265" s="377"/>
      <c r="R265" s="377"/>
      <c r="S265" s="408"/>
      <c r="T265" s="190"/>
      <c r="U265" s="62"/>
    </row>
    <row r="266" customFormat="false" ht="20.1" hidden="false" customHeight="true" outlineLevel="0" collapsed="false">
      <c r="B266" s="62"/>
      <c r="C266" s="190"/>
      <c r="D266" s="190"/>
      <c r="E266" s="270" t="s">
        <v>45</v>
      </c>
      <c r="F266" s="215" t="s">
        <v>46</v>
      </c>
      <c r="G266" s="271" t="n">
        <f aca="false">L266*6+M266*0</f>
        <v>0</v>
      </c>
      <c r="H266" s="272" t="n">
        <v>0</v>
      </c>
      <c r="I266" s="272" t="s">
        <v>67</v>
      </c>
      <c r="J266" s="272"/>
      <c r="K266" s="271" t="n">
        <f aca="false">G266+H266</f>
        <v>0</v>
      </c>
      <c r="L266" s="271" t="n">
        <v>0</v>
      </c>
      <c r="M266" s="271" t="n">
        <v>4</v>
      </c>
      <c r="N266" s="274" t="n">
        <f aca="false">(L238+L245+L252+L259)/4</f>
        <v>100</v>
      </c>
      <c r="O266" s="376"/>
      <c r="P266" s="377"/>
      <c r="Q266" s="377"/>
      <c r="R266" s="377"/>
      <c r="S266" s="408"/>
      <c r="T266" s="190"/>
      <c r="U266" s="62"/>
    </row>
    <row r="267" customFormat="false" ht="20.1" hidden="false" customHeight="true" outlineLevel="0" collapsed="false">
      <c r="B267" s="62"/>
      <c r="C267" s="190"/>
      <c r="D267" s="190"/>
      <c r="E267" s="190"/>
      <c r="F267" s="275"/>
      <c r="G267" s="275"/>
      <c r="H267" s="275"/>
      <c r="I267" s="275"/>
      <c r="J267" s="275"/>
      <c r="K267" s="275"/>
      <c r="L267" s="275"/>
      <c r="M267" s="275"/>
      <c r="N267" s="275"/>
      <c r="O267" s="275"/>
      <c r="P267" s="275"/>
      <c r="Q267" s="275"/>
      <c r="R267" s="275"/>
      <c r="S267" s="275"/>
      <c r="T267" s="190"/>
      <c r="U267" s="62"/>
    </row>
    <row r="268" customFormat="false" ht="20.1" hidden="false" customHeight="true" outlineLevel="0" collapsed="false">
      <c r="B268" s="62"/>
      <c r="C268" s="62"/>
      <c r="D268" s="219"/>
      <c r="E268" s="219"/>
      <c r="F268" s="167"/>
      <c r="G268" s="167"/>
      <c r="H268" s="219"/>
      <c r="I268" s="219"/>
      <c r="J268" s="219"/>
      <c r="K268" s="62"/>
      <c r="L268" s="62"/>
      <c r="M268" s="62"/>
      <c r="N268" s="62"/>
      <c r="O268" s="62"/>
      <c r="P268" s="62"/>
      <c r="Q268" s="62"/>
      <c r="R268" s="62"/>
      <c r="S268" s="62"/>
      <c r="T268" s="62"/>
      <c r="U268" s="62"/>
    </row>
  </sheetData>
  <mergeCells count="276">
    <mergeCell ref="A1:N2"/>
    <mergeCell ref="B4:I4"/>
    <mergeCell ref="K4:M4"/>
    <mergeCell ref="B5:C5"/>
    <mergeCell ref="B6:C6"/>
    <mergeCell ref="L6:L9"/>
    <mergeCell ref="B7:C7"/>
    <mergeCell ref="B8:C8"/>
    <mergeCell ref="B9:C9"/>
    <mergeCell ref="B10:C10"/>
    <mergeCell ref="L10:L13"/>
    <mergeCell ref="B11:C11"/>
    <mergeCell ref="B12:C12"/>
    <mergeCell ref="B13:C13"/>
    <mergeCell ref="B14:C14"/>
    <mergeCell ref="L14:L17"/>
    <mergeCell ref="B15:C15"/>
    <mergeCell ref="B16:C16"/>
    <mergeCell ref="B17:C17"/>
    <mergeCell ref="B18:C18"/>
    <mergeCell ref="L18:L19"/>
    <mergeCell ref="B19:C19"/>
    <mergeCell ref="K20:L20"/>
    <mergeCell ref="B21:H21"/>
    <mergeCell ref="B22:C22"/>
    <mergeCell ref="B23:C23"/>
    <mergeCell ref="C26:T26"/>
    <mergeCell ref="D28:D29"/>
    <mergeCell ref="E28:E29"/>
    <mergeCell ref="F28:F29"/>
    <mergeCell ref="G28:J28"/>
    <mergeCell ref="L28:S28"/>
    <mergeCell ref="I29:J29"/>
    <mergeCell ref="N29:S29"/>
    <mergeCell ref="D30:D39"/>
    <mergeCell ref="E30:E39"/>
    <mergeCell ref="F30:F39"/>
    <mergeCell ref="G30:G39"/>
    <mergeCell ref="H30:H39"/>
    <mergeCell ref="I30:J30"/>
    <mergeCell ref="K30:K39"/>
    <mergeCell ref="L30:L39"/>
    <mergeCell ref="M30:M39"/>
    <mergeCell ref="N30:S39"/>
    <mergeCell ref="I31:J31"/>
    <mergeCell ref="I32:J32"/>
    <mergeCell ref="I33:J33"/>
    <mergeCell ref="I34:J34"/>
    <mergeCell ref="I35:J35"/>
    <mergeCell ref="I36:J36"/>
    <mergeCell ref="I37:J37"/>
    <mergeCell ref="I38:J38"/>
    <mergeCell ref="I39:J39"/>
    <mergeCell ref="D40:D43"/>
    <mergeCell ref="E40:E43"/>
    <mergeCell ref="F40:F43"/>
    <mergeCell ref="G40:G43"/>
    <mergeCell ref="H40:H43"/>
    <mergeCell ref="I40:J40"/>
    <mergeCell ref="K40:K43"/>
    <mergeCell ref="L40:L43"/>
    <mergeCell ref="M40:M43"/>
    <mergeCell ref="N40:S43"/>
    <mergeCell ref="I41:J41"/>
    <mergeCell ref="I42:J42"/>
    <mergeCell ref="I43:J43"/>
    <mergeCell ref="D44:D45"/>
    <mergeCell ref="E44:E45"/>
    <mergeCell ref="F44:F45"/>
    <mergeCell ref="G44:G45"/>
    <mergeCell ref="H44:H45"/>
    <mergeCell ref="I44:J44"/>
    <mergeCell ref="K44:K45"/>
    <mergeCell ref="L44:L45"/>
    <mergeCell ref="M44:M45"/>
    <mergeCell ref="N44:S44"/>
    <mergeCell ref="I45:J45"/>
    <mergeCell ref="N45:S45"/>
    <mergeCell ref="D46:D47"/>
    <mergeCell ref="E46:E47"/>
    <mergeCell ref="F46:F47"/>
    <mergeCell ref="G46:G47"/>
    <mergeCell ref="H46:H47"/>
    <mergeCell ref="I46:J46"/>
    <mergeCell ref="K46:K47"/>
    <mergeCell ref="L46:L47"/>
    <mergeCell ref="M46:M47"/>
    <mergeCell ref="N46:S47"/>
    <mergeCell ref="I47:J47"/>
    <mergeCell ref="E49:N49"/>
    <mergeCell ref="F55:G55"/>
    <mergeCell ref="F56:G56"/>
    <mergeCell ref="E58:N58"/>
    <mergeCell ref="F64:G64"/>
    <mergeCell ref="E67:N67"/>
    <mergeCell ref="F73:G73"/>
    <mergeCell ref="E76:N76"/>
    <mergeCell ref="F82:G82"/>
    <mergeCell ref="D85:S85"/>
    <mergeCell ref="H86:I86"/>
    <mergeCell ref="H87:I87"/>
    <mergeCell ref="H88:I88"/>
    <mergeCell ref="H89:I89"/>
    <mergeCell ref="H90:I90"/>
    <mergeCell ref="H91:I91"/>
    <mergeCell ref="C96:T96"/>
    <mergeCell ref="D98:D99"/>
    <mergeCell ref="E98:E99"/>
    <mergeCell ref="F98:F99"/>
    <mergeCell ref="G98:J98"/>
    <mergeCell ref="L98:S98"/>
    <mergeCell ref="I99:J99"/>
    <mergeCell ref="N99:S99"/>
    <mergeCell ref="D100:D103"/>
    <mergeCell ref="E100:E103"/>
    <mergeCell ref="F100:F103"/>
    <mergeCell ref="G100:G103"/>
    <mergeCell ref="H100:H103"/>
    <mergeCell ref="I100:J100"/>
    <mergeCell ref="K100:K103"/>
    <mergeCell ref="L100:L103"/>
    <mergeCell ref="M100:M103"/>
    <mergeCell ref="N100:S103"/>
    <mergeCell ref="I101:J101"/>
    <mergeCell ref="I102:J102"/>
    <mergeCell ref="I103:J103"/>
    <mergeCell ref="D104:D106"/>
    <mergeCell ref="E104:E106"/>
    <mergeCell ref="F104:F106"/>
    <mergeCell ref="G104:G106"/>
    <mergeCell ref="H104:H106"/>
    <mergeCell ref="I104:J104"/>
    <mergeCell ref="K104:K106"/>
    <mergeCell ref="L104:L106"/>
    <mergeCell ref="M104:M106"/>
    <mergeCell ref="N104:S106"/>
    <mergeCell ref="I105:J105"/>
    <mergeCell ref="I106:J106"/>
    <mergeCell ref="D107:D110"/>
    <mergeCell ref="E107:E110"/>
    <mergeCell ref="F107:F110"/>
    <mergeCell ref="G107:G110"/>
    <mergeCell ref="H107:H110"/>
    <mergeCell ref="I107:J107"/>
    <mergeCell ref="K107:K110"/>
    <mergeCell ref="L107:L110"/>
    <mergeCell ref="M107:M110"/>
    <mergeCell ref="N107:S110"/>
    <mergeCell ref="I108:J108"/>
    <mergeCell ref="I109:J109"/>
    <mergeCell ref="I110:J110"/>
    <mergeCell ref="I111:J111"/>
    <mergeCell ref="N111:S111"/>
    <mergeCell ref="E113:N113"/>
    <mergeCell ref="F119:G119"/>
    <mergeCell ref="E122:N122"/>
    <mergeCell ref="F128:G128"/>
    <mergeCell ref="E131:N131"/>
    <mergeCell ref="F137:G137"/>
    <mergeCell ref="E140:N140"/>
    <mergeCell ref="F146:G146"/>
    <mergeCell ref="D149:S149"/>
    <mergeCell ref="H150:I150"/>
    <mergeCell ref="H151:I151"/>
    <mergeCell ref="H152:I152"/>
    <mergeCell ref="Y152:Z152"/>
    <mergeCell ref="H153:I153"/>
    <mergeCell ref="H154:I154"/>
    <mergeCell ref="H155:I155"/>
    <mergeCell ref="C160:T160"/>
    <mergeCell ref="D162:D163"/>
    <mergeCell ref="E162:E163"/>
    <mergeCell ref="F162:F163"/>
    <mergeCell ref="G162:J162"/>
    <mergeCell ref="L162:S162"/>
    <mergeCell ref="I163:J163"/>
    <mergeCell ref="N163:S163"/>
    <mergeCell ref="D164:D167"/>
    <mergeCell ref="E164:E167"/>
    <mergeCell ref="F164:F167"/>
    <mergeCell ref="G164:G167"/>
    <mergeCell ref="H164:H167"/>
    <mergeCell ref="I164:J164"/>
    <mergeCell ref="K164:K167"/>
    <mergeCell ref="L164:L167"/>
    <mergeCell ref="M164:M167"/>
    <mergeCell ref="N164:S167"/>
    <mergeCell ref="I165:J165"/>
    <mergeCell ref="I166:J166"/>
    <mergeCell ref="I167:J167"/>
    <mergeCell ref="D168:D170"/>
    <mergeCell ref="E168:E170"/>
    <mergeCell ref="F168:F170"/>
    <mergeCell ref="G168:G170"/>
    <mergeCell ref="H168:H170"/>
    <mergeCell ref="I168:J168"/>
    <mergeCell ref="K168:K170"/>
    <mergeCell ref="L168:L170"/>
    <mergeCell ref="M168:M170"/>
    <mergeCell ref="N168:S170"/>
    <mergeCell ref="I169:J169"/>
    <mergeCell ref="I170:J170"/>
    <mergeCell ref="I171:J171"/>
    <mergeCell ref="N171:S171"/>
    <mergeCell ref="D172:D174"/>
    <mergeCell ref="E172:E174"/>
    <mergeCell ref="F172:F174"/>
    <mergeCell ref="G172:G174"/>
    <mergeCell ref="H172:H174"/>
    <mergeCell ref="I172:J172"/>
    <mergeCell ref="K172:K174"/>
    <mergeCell ref="L172:L174"/>
    <mergeCell ref="M172:M174"/>
    <mergeCell ref="N172:S174"/>
    <mergeCell ref="I173:J173"/>
    <mergeCell ref="I174:J174"/>
    <mergeCell ref="E176:N176"/>
    <mergeCell ref="F182:G182"/>
    <mergeCell ref="E185:N185"/>
    <mergeCell ref="F191:G191"/>
    <mergeCell ref="E194:N194"/>
    <mergeCell ref="F200:G200"/>
    <mergeCell ref="E203:N203"/>
    <mergeCell ref="F209:G209"/>
    <mergeCell ref="D212:S212"/>
    <mergeCell ref="H213:I213"/>
    <mergeCell ref="H214:I214"/>
    <mergeCell ref="H215:I215"/>
    <mergeCell ref="Y215:Z215"/>
    <mergeCell ref="H216:I216"/>
    <mergeCell ref="H217:I217"/>
    <mergeCell ref="H218:I218"/>
    <mergeCell ref="C223:T223"/>
    <mergeCell ref="D225:D226"/>
    <mergeCell ref="E225:E226"/>
    <mergeCell ref="F225:F226"/>
    <mergeCell ref="G225:J225"/>
    <mergeCell ref="L225:S225"/>
    <mergeCell ref="I226:J226"/>
    <mergeCell ref="N226:S226"/>
    <mergeCell ref="I227:J227"/>
    <mergeCell ref="N227:S227"/>
    <mergeCell ref="D228:D230"/>
    <mergeCell ref="E228:E230"/>
    <mergeCell ref="F228:F230"/>
    <mergeCell ref="G228:G230"/>
    <mergeCell ref="H228:H230"/>
    <mergeCell ref="I228:J228"/>
    <mergeCell ref="K228:K230"/>
    <mergeCell ref="L228:L230"/>
    <mergeCell ref="M228:M230"/>
    <mergeCell ref="N228:S230"/>
    <mergeCell ref="I229:J229"/>
    <mergeCell ref="I230:J230"/>
    <mergeCell ref="I231:J231"/>
    <mergeCell ref="N231:S231"/>
    <mergeCell ref="D232:D233"/>
    <mergeCell ref="E232:E233"/>
    <mergeCell ref="F232:F233"/>
    <mergeCell ref="G232:G233"/>
    <mergeCell ref="H232:H233"/>
    <mergeCell ref="I232:J232"/>
    <mergeCell ref="N232:S232"/>
    <mergeCell ref="I233:J233"/>
    <mergeCell ref="E235:N235"/>
    <mergeCell ref="F239:G239"/>
    <mergeCell ref="E242:N242"/>
    <mergeCell ref="F246:G246"/>
    <mergeCell ref="E249:N249"/>
    <mergeCell ref="F253:G253"/>
    <mergeCell ref="E256:N256"/>
    <mergeCell ref="F260:G260"/>
    <mergeCell ref="E263:N263"/>
    <mergeCell ref="I264:J264"/>
    <mergeCell ref="I265:J265"/>
    <mergeCell ref="I266:J266"/>
  </mergeCells>
  <conditionalFormatting sqref="I18 B11:I12 B6:I7 B8:C10 B13:C14 B15:I16 B17:C18 B19">
    <cfRule type="expression" priority="2" aboveAverage="0" equalAverage="0" bottom="0" percent="0" rank="0" text="" dxfId="52">
      <formula>$I6="Nein"</formula>
    </cfRule>
    <cfRule type="expression" priority="3" aboveAverage="0" equalAverage="0" bottom="0" percent="0" rank="0" text="" dxfId="53">
      <formula>$I6="Ja"</formula>
    </cfRule>
  </conditionalFormatting>
  <conditionalFormatting sqref="D18:H18">
    <cfRule type="expression" priority="4" aboveAverage="0" equalAverage="0" bottom="0" percent="0" rank="0" text="" dxfId="54">
      <formula>$I18="Nein"</formula>
    </cfRule>
    <cfRule type="expression" priority="5" aboveAverage="0" equalAverage="0" bottom="0" percent="0" rank="0" text="" dxfId="55">
      <formula>$I18="Ja"</formula>
    </cfRule>
  </conditionalFormatting>
  <conditionalFormatting sqref="D23:H23">
    <cfRule type="expression" priority="6" aboveAverage="0" equalAverage="0" bottom="0" percent="0" rank="0" text="" dxfId="56">
      <formula>$I23="Nein"</formula>
    </cfRule>
    <cfRule type="expression" priority="7" aboveAverage="0" equalAverage="0" bottom="0" percent="0" rank="0" text="" dxfId="57">
      <formula>$I23="Ja"</formula>
    </cfRule>
  </conditionalFormatting>
  <conditionalFormatting sqref="D227:E228">
    <cfRule type="expression" priority="8" aboveAverage="0" equalAverage="0" bottom="0" percent="0" rank="0" text="" dxfId="58">
      <formula>$J227="Ja"</formula>
    </cfRule>
    <cfRule type="expression" priority="9" aboveAverage="0" equalAverage="0" bottom="0" percent="0" rank="0" text="" dxfId="59">
      <formula>$J227="Nein"</formula>
    </cfRule>
  </conditionalFormatting>
  <conditionalFormatting sqref="D9:I9">
    <cfRule type="expression" priority="10" aboveAverage="0" equalAverage="0" bottom="0" percent="0" rank="0" text="" dxfId="60">
      <formula>$I9="Nein"</formula>
    </cfRule>
    <cfRule type="expression" priority="11" aboveAverage="0" equalAverage="0" bottom="0" percent="0" rank="0" text="" dxfId="61">
      <formula>$I9="Ja"</formula>
    </cfRule>
  </conditionalFormatting>
  <conditionalFormatting sqref="D10:I10">
    <cfRule type="expression" priority="12" aboveAverage="0" equalAverage="0" bottom="0" percent="0" rank="0" text="" dxfId="62">
      <formula>$I10="Nein"</formula>
    </cfRule>
    <cfRule type="expression" priority="13" aboveAverage="0" equalAverage="0" bottom="0" percent="0" rank="0" text="" dxfId="63">
      <formula>$I10="Ja"</formula>
    </cfRule>
  </conditionalFormatting>
  <conditionalFormatting sqref="D8:I8">
    <cfRule type="expression" priority="14" aboveAverage="0" equalAverage="0" bottom="0" percent="0" rank="0" text="" dxfId="64">
      <formula>$I8="Nein"</formula>
    </cfRule>
    <cfRule type="expression" priority="15" aboveAverage="0" equalAverage="0" bottom="0" percent="0" rank="0" text="" dxfId="65">
      <formula>$I8="Ja"</formula>
    </cfRule>
  </conditionalFormatting>
  <conditionalFormatting sqref="D20:I20">
    <cfRule type="expression" priority="16" aboveAverage="0" equalAverage="0" bottom="0" percent="0" rank="0" text="" dxfId="66">
      <formula>$I20="Nein"</formula>
    </cfRule>
    <cfRule type="expression" priority="17" aboveAverage="0" equalAverage="0" bottom="0" percent="0" rank="0" text="" dxfId="67">
      <formula>$I20="Ja"</formula>
    </cfRule>
  </conditionalFormatting>
  <conditionalFormatting sqref="D13:I13">
    <cfRule type="expression" priority="18" aboveAverage="0" equalAverage="0" bottom="0" percent="0" rank="0" text="" dxfId="68">
      <formula>$I13="Nein"</formula>
    </cfRule>
    <cfRule type="expression" priority="19" aboveAverage="0" equalAverage="0" bottom="0" percent="0" rank="0" text="" dxfId="69">
      <formula>$I13="Ja"</formula>
    </cfRule>
  </conditionalFormatting>
  <conditionalFormatting sqref="D17:I17">
    <cfRule type="expression" priority="20" aboveAverage="0" equalAverage="0" bottom="0" percent="0" rank="0" text="" dxfId="70">
      <formula>$I17="Nein"</formula>
    </cfRule>
    <cfRule type="expression" priority="21" aboveAverage="0" equalAverage="0" bottom="0" percent="0" rank="0" text="" dxfId="71">
      <formula>$I17="Ja"</formula>
    </cfRule>
  </conditionalFormatting>
  <conditionalFormatting sqref="D14:I14">
    <cfRule type="expression" priority="22" aboveAverage="0" equalAverage="0" bottom="0" percent="0" rank="0" text="" dxfId="72">
      <formula>$I14="Nein"</formula>
    </cfRule>
    <cfRule type="expression" priority="23" aboveAverage="0" equalAverage="0" bottom="0" percent="0" rank="0" text="" dxfId="73">
      <formula>$I14="Ja"</formula>
    </cfRule>
  </conditionalFormatting>
  <conditionalFormatting sqref="D19:I19">
    <cfRule type="expression" priority="24" aboveAverage="0" equalAverage="0" bottom="0" percent="0" rank="0" text="" dxfId="74">
      <formula>$I19="Nein"</formula>
    </cfRule>
    <cfRule type="expression" priority="25" aboveAverage="0" equalAverage="0" bottom="0" percent="0" rank="0" text="" dxfId="75">
      <formula>$I19="Ja"</formula>
    </cfRule>
  </conditionalFormatting>
  <conditionalFormatting sqref="E51:F52">
    <cfRule type="expression" priority="26" aboveAverage="0" equalAverage="0" bottom="0" percent="0" rank="0" text="" dxfId="76">
      <formula>$I51="Nein"</formula>
    </cfRule>
    <cfRule type="expression" priority="27" aboveAverage="0" equalAverage="0" bottom="0" percent="0" rank="0" text="" dxfId="77">
      <formula>$I51="Ja"</formula>
    </cfRule>
  </conditionalFormatting>
  <conditionalFormatting sqref="E54:F54">
    <cfRule type="expression" priority="28" aboveAverage="0" equalAverage="0" bottom="0" percent="0" rank="0" text="" dxfId="78">
      <formula>$I54="Nein"</formula>
    </cfRule>
    <cfRule type="expression" priority="29" aboveAverage="0" equalAverage="0" bottom="0" percent="0" rank="0" text="" dxfId="79">
      <formula>$I54="Ja"</formula>
    </cfRule>
  </conditionalFormatting>
  <conditionalFormatting sqref="E53:F53">
    <cfRule type="expression" priority="30" aboveAverage="0" equalAverage="0" bottom="0" percent="0" rank="0" text="" dxfId="80">
      <formula>$I53="Nein"</formula>
    </cfRule>
    <cfRule type="expression" priority="31" aboveAverage="0" equalAverage="0" bottom="0" percent="0" rank="0" text="" dxfId="81">
      <formula>$I53="Ja"</formula>
    </cfRule>
  </conditionalFormatting>
  <conditionalFormatting sqref="E60:F61">
    <cfRule type="expression" priority="32" aboveAverage="0" equalAverage="0" bottom="0" percent="0" rank="0" text="" dxfId="82">
      <formula>$I60="Nein"</formula>
    </cfRule>
    <cfRule type="expression" priority="33" aboveAverage="0" equalAverage="0" bottom="0" percent="0" rank="0" text="" dxfId="83">
      <formula>$I60="Ja"</formula>
    </cfRule>
  </conditionalFormatting>
  <conditionalFormatting sqref="E63:F63">
    <cfRule type="expression" priority="34" aboveAverage="0" equalAverage="0" bottom="0" percent="0" rank="0" text="" dxfId="84">
      <formula>$I63="Nein"</formula>
    </cfRule>
    <cfRule type="expression" priority="35" aboveAverage="0" equalAverage="0" bottom="0" percent="0" rank="0" text="" dxfId="85">
      <formula>$I63="Ja"</formula>
    </cfRule>
  </conditionalFormatting>
  <conditionalFormatting sqref="E62:F62">
    <cfRule type="expression" priority="36" aboveAverage="0" equalAverage="0" bottom="0" percent="0" rank="0" text="" dxfId="86">
      <formula>$I62="Nein"</formula>
    </cfRule>
    <cfRule type="expression" priority="37" aboveAverage="0" equalAverage="0" bottom="0" percent="0" rank="0" text="" dxfId="87">
      <formula>$I62="Ja"</formula>
    </cfRule>
  </conditionalFormatting>
  <conditionalFormatting sqref="E69:F70">
    <cfRule type="expression" priority="38" aboveAverage="0" equalAverage="0" bottom="0" percent="0" rank="0" text="" dxfId="88">
      <formula>$I69="Nein"</formula>
    </cfRule>
    <cfRule type="expression" priority="39" aboveAverage="0" equalAverage="0" bottom="0" percent="0" rank="0" text="" dxfId="89">
      <formula>$I69="Ja"</formula>
    </cfRule>
  </conditionalFormatting>
  <conditionalFormatting sqref="E72:F72">
    <cfRule type="expression" priority="40" aboveAverage="0" equalAverage="0" bottom="0" percent="0" rank="0" text="" dxfId="90">
      <formula>$I72="Nein"</formula>
    </cfRule>
    <cfRule type="expression" priority="41" aboveAverage="0" equalAverage="0" bottom="0" percent="0" rank="0" text="" dxfId="91">
      <formula>$I72="Ja"</formula>
    </cfRule>
  </conditionalFormatting>
  <conditionalFormatting sqref="E71:F71">
    <cfRule type="expression" priority="42" aboveAverage="0" equalAverage="0" bottom="0" percent="0" rank="0" text="" dxfId="92">
      <formula>$I71="Nein"</formula>
    </cfRule>
    <cfRule type="expression" priority="43" aboveAverage="0" equalAverage="0" bottom="0" percent="0" rank="0" text="" dxfId="93">
      <formula>$I71="Ja"</formula>
    </cfRule>
  </conditionalFormatting>
  <conditionalFormatting sqref="E78:F79">
    <cfRule type="expression" priority="44" aboveAverage="0" equalAverage="0" bottom="0" percent="0" rank="0" text="" dxfId="94">
      <formula>$I78="Nein"</formula>
    </cfRule>
    <cfRule type="expression" priority="45" aboveAverage="0" equalAverage="0" bottom="0" percent="0" rank="0" text="" dxfId="95">
      <formula>$I78="Ja"</formula>
    </cfRule>
  </conditionalFormatting>
  <conditionalFormatting sqref="E81:F81">
    <cfRule type="expression" priority="46" aboveAverage="0" equalAverage="0" bottom="0" percent="0" rank="0" text="" dxfId="96">
      <formula>$I81="Nein"</formula>
    </cfRule>
    <cfRule type="expression" priority="47" aboveAverage="0" equalAverage="0" bottom="0" percent="0" rank="0" text="" dxfId="97">
      <formula>$I81="Ja"</formula>
    </cfRule>
  </conditionalFormatting>
  <conditionalFormatting sqref="E80:F80">
    <cfRule type="expression" priority="48" aboveAverage="0" equalAverage="0" bottom="0" percent="0" rank="0" text="" dxfId="98">
      <formula>$I80="Nein"</formula>
    </cfRule>
    <cfRule type="expression" priority="49" aboveAverage="0" equalAverage="0" bottom="0" percent="0" rank="0" text="" dxfId="99">
      <formula>$I80="Ja"</formula>
    </cfRule>
  </conditionalFormatting>
  <conditionalFormatting sqref="D87:E88">
    <cfRule type="expression" priority="50" aboveAverage="0" equalAverage="0" bottom="0" percent="0" rank="0" text="" dxfId="100">
      <formula>$I87="Nein"</formula>
    </cfRule>
    <cfRule type="expression" priority="51" aboveAverage="0" equalAverage="0" bottom="0" percent="0" rank="0" text="" dxfId="101">
      <formula>$I87="Ja"</formula>
    </cfRule>
  </conditionalFormatting>
  <conditionalFormatting sqref="D89:E89">
    <cfRule type="expression" priority="52" aboveAverage="0" equalAverage="0" bottom="0" percent="0" rank="0" text="" dxfId="102">
      <formula>$I89="Nein"</formula>
    </cfRule>
    <cfRule type="expression" priority="53" aboveAverage="0" equalAverage="0" bottom="0" percent="0" rank="0" text="" dxfId="103">
      <formula>$I89="Ja"</formula>
    </cfRule>
  </conditionalFormatting>
  <conditionalFormatting sqref="E116:F117">
    <cfRule type="expression" priority="54" aboveAverage="0" equalAverage="0" bottom="0" percent="0" rank="0" text="" dxfId="104">
      <formula>$I116="Nein"</formula>
    </cfRule>
    <cfRule type="expression" priority="55" aboveAverage="0" equalAverage="0" bottom="0" percent="0" rank="0" text="" dxfId="105">
      <formula>$I116="Ja"</formula>
    </cfRule>
  </conditionalFormatting>
  <conditionalFormatting sqref="E115:F115">
    <cfRule type="expression" priority="56" aboveAverage="0" equalAverage="0" bottom="0" percent="0" rank="0" text="" dxfId="106">
      <formula>$I115="Nein"</formula>
    </cfRule>
    <cfRule type="expression" priority="57" aboveAverage="0" equalAverage="0" bottom="0" percent="0" rank="0" text="" dxfId="107">
      <formula>$I115="Ja"</formula>
    </cfRule>
  </conditionalFormatting>
  <conditionalFormatting sqref="E118:F118">
    <cfRule type="expression" priority="58" aboveAverage="0" equalAverage="0" bottom="0" percent="0" rank="0" text="" dxfId="108">
      <formula>$I118="Nein"</formula>
    </cfRule>
    <cfRule type="expression" priority="59" aboveAverage="0" equalAverage="0" bottom="0" percent="0" rank="0" text="" dxfId="109">
      <formula>$I118="Ja"</formula>
    </cfRule>
  </conditionalFormatting>
  <conditionalFormatting sqref="E125:F126">
    <cfRule type="expression" priority="60" aboveAverage="0" equalAverage="0" bottom="0" percent="0" rank="0" text="" dxfId="110">
      <formula>$I125="Nein"</formula>
    </cfRule>
    <cfRule type="expression" priority="61" aboveAverage="0" equalAverage="0" bottom="0" percent="0" rank="0" text="" dxfId="111">
      <formula>$I125="Ja"</formula>
    </cfRule>
  </conditionalFormatting>
  <conditionalFormatting sqref="E124:F124">
    <cfRule type="expression" priority="62" aboveAverage="0" equalAverage="0" bottom="0" percent="0" rank="0" text="" dxfId="112">
      <formula>$I124="Nein"</formula>
    </cfRule>
    <cfRule type="expression" priority="63" aboveAverage="0" equalAverage="0" bottom="0" percent="0" rank="0" text="" dxfId="113">
      <formula>$I124="Ja"</formula>
    </cfRule>
  </conditionalFormatting>
  <conditionalFormatting sqref="E127:F127">
    <cfRule type="expression" priority="64" aboveAverage="0" equalAverage="0" bottom="0" percent="0" rank="0" text="" dxfId="114">
      <formula>$I127="Nein"</formula>
    </cfRule>
    <cfRule type="expression" priority="65" aboveAverage="0" equalAverage="0" bottom="0" percent="0" rank="0" text="" dxfId="115">
      <formula>$I127="Ja"</formula>
    </cfRule>
  </conditionalFormatting>
  <conditionalFormatting sqref="E134:F135">
    <cfRule type="expression" priority="66" aboveAverage="0" equalAverage="0" bottom="0" percent="0" rank="0" text="" dxfId="116">
      <formula>$I134="Nein"</formula>
    </cfRule>
    <cfRule type="expression" priority="67" aboveAverage="0" equalAverage="0" bottom="0" percent="0" rank="0" text="" dxfId="117">
      <formula>$I134="Ja"</formula>
    </cfRule>
  </conditionalFormatting>
  <conditionalFormatting sqref="E133:F133">
    <cfRule type="expression" priority="68" aboveAverage="0" equalAverage="0" bottom="0" percent="0" rank="0" text="" dxfId="118">
      <formula>$I133="Nein"</formula>
    </cfRule>
    <cfRule type="expression" priority="69" aboveAverage="0" equalAverage="0" bottom="0" percent="0" rank="0" text="" dxfId="119">
      <formula>$I133="Ja"</formula>
    </cfRule>
  </conditionalFormatting>
  <conditionalFormatting sqref="E136:F136">
    <cfRule type="expression" priority="70" aboveAverage="0" equalAverage="0" bottom="0" percent="0" rank="0" text="" dxfId="120">
      <formula>$I136="Nein"</formula>
    </cfRule>
    <cfRule type="expression" priority="71" aboveAverage="0" equalAverage="0" bottom="0" percent="0" rank="0" text="" dxfId="121">
      <formula>$I136="Ja"</formula>
    </cfRule>
  </conditionalFormatting>
  <conditionalFormatting sqref="E143:F144">
    <cfRule type="expression" priority="72" aboveAverage="0" equalAverage="0" bottom="0" percent="0" rank="0" text="" dxfId="122">
      <formula>$I143="Nein"</formula>
    </cfRule>
    <cfRule type="expression" priority="73" aboveAverage="0" equalAverage="0" bottom="0" percent="0" rank="0" text="" dxfId="123">
      <formula>$I143="Ja"</formula>
    </cfRule>
  </conditionalFormatting>
  <conditionalFormatting sqref="E142:F142">
    <cfRule type="expression" priority="74" aboveAverage="0" equalAverage="0" bottom="0" percent="0" rank="0" text="" dxfId="124">
      <formula>$I142="Nein"</formula>
    </cfRule>
    <cfRule type="expression" priority="75" aboveAverage="0" equalAverage="0" bottom="0" percent="0" rank="0" text="" dxfId="125">
      <formula>$I142="Ja"</formula>
    </cfRule>
  </conditionalFormatting>
  <conditionalFormatting sqref="E145:F145">
    <cfRule type="expression" priority="76" aboveAverage="0" equalAverage="0" bottom="0" percent="0" rank="0" text="" dxfId="126">
      <formula>$I145="Nein"</formula>
    </cfRule>
    <cfRule type="expression" priority="77" aboveAverage="0" equalAverage="0" bottom="0" percent="0" rank="0" text="" dxfId="127">
      <formula>$I145="Ja"</formula>
    </cfRule>
  </conditionalFormatting>
  <conditionalFormatting sqref="D153:E153">
    <cfRule type="expression" priority="78" aboveAverage="0" equalAverage="0" bottom="0" percent="0" rank="0" text="" dxfId="128">
      <formula>$I153="Nein"</formula>
    </cfRule>
    <cfRule type="expression" priority="79" aboveAverage="0" equalAverage="0" bottom="0" percent="0" rank="0" text="" dxfId="129">
      <formula>$I153="Ja"</formula>
    </cfRule>
  </conditionalFormatting>
  <conditionalFormatting sqref="E179:F180">
    <cfRule type="expression" priority="80" aboveAverage="0" equalAverage="0" bottom="0" percent="0" rank="0" text="" dxfId="130">
      <formula>$I179="Nein"</formula>
    </cfRule>
    <cfRule type="expression" priority="81" aboveAverage="0" equalAverage="0" bottom="0" percent="0" rank="0" text="" dxfId="131">
      <formula>$I179="Ja"</formula>
    </cfRule>
  </conditionalFormatting>
  <conditionalFormatting sqref="E181:F181">
    <cfRule type="expression" priority="82" aboveAverage="0" equalAverage="0" bottom="0" percent="0" rank="0" text="" dxfId="132">
      <formula>$I181="Nein"</formula>
    </cfRule>
    <cfRule type="expression" priority="83" aboveAverage="0" equalAverage="0" bottom="0" percent="0" rank="0" text="" dxfId="133">
      <formula>$I181="Ja"</formula>
    </cfRule>
  </conditionalFormatting>
  <conditionalFormatting sqref="E178:F178">
    <cfRule type="expression" priority="84" aboveAverage="0" equalAverage="0" bottom="0" percent="0" rank="0" text="" dxfId="134">
      <formula>$I178="Nein"</formula>
    </cfRule>
    <cfRule type="expression" priority="85" aboveAverage="0" equalAverage="0" bottom="0" percent="0" rank="0" text="" dxfId="135">
      <formula>$I178="Ja"</formula>
    </cfRule>
  </conditionalFormatting>
  <conditionalFormatting sqref="E188:F189">
    <cfRule type="expression" priority="86" aboveAverage="0" equalAverage="0" bottom="0" percent="0" rank="0" text="" dxfId="136">
      <formula>$I188="Nein"</formula>
    </cfRule>
    <cfRule type="expression" priority="87" aboveAverage="0" equalAverage="0" bottom="0" percent="0" rank="0" text="" dxfId="137">
      <formula>$I188="Ja"</formula>
    </cfRule>
  </conditionalFormatting>
  <conditionalFormatting sqref="E190:F190">
    <cfRule type="expression" priority="88" aboveAverage="0" equalAverage="0" bottom="0" percent="0" rank="0" text="" dxfId="138">
      <formula>$I190="Nein"</formula>
    </cfRule>
    <cfRule type="expression" priority="89" aboveAverage="0" equalAverage="0" bottom="0" percent="0" rank="0" text="" dxfId="139">
      <formula>$I190="Ja"</formula>
    </cfRule>
  </conditionalFormatting>
  <conditionalFormatting sqref="E187:F187">
    <cfRule type="expression" priority="90" aboveAverage="0" equalAverage="0" bottom="0" percent="0" rank="0" text="" dxfId="140">
      <formula>$I187="Nein"</formula>
    </cfRule>
    <cfRule type="expression" priority="91" aboveAverage="0" equalAverage="0" bottom="0" percent="0" rank="0" text="" dxfId="141">
      <formula>$I187="Ja"</formula>
    </cfRule>
  </conditionalFormatting>
  <conditionalFormatting sqref="E197:F198">
    <cfRule type="expression" priority="92" aboveAverage="0" equalAverage="0" bottom="0" percent="0" rank="0" text="" dxfId="142">
      <formula>$I197="Nein"</formula>
    </cfRule>
    <cfRule type="expression" priority="93" aboveAverage="0" equalAverage="0" bottom="0" percent="0" rank="0" text="" dxfId="143">
      <formula>$I197="Ja"</formula>
    </cfRule>
  </conditionalFormatting>
  <conditionalFormatting sqref="E199:F199">
    <cfRule type="expression" priority="94" aboveAverage="0" equalAverage="0" bottom="0" percent="0" rank="0" text="" dxfId="144">
      <formula>$I199="Nein"</formula>
    </cfRule>
    <cfRule type="expression" priority="95" aboveAverage="0" equalAverage="0" bottom="0" percent="0" rank="0" text="" dxfId="145">
      <formula>$I199="Ja"</formula>
    </cfRule>
  </conditionalFormatting>
  <conditionalFormatting sqref="E196:F196">
    <cfRule type="expression" priority="96" aboveAverage="0" equalAverage="0" bottom="0" percent="0" rank="0" text="" dxfId="146">
      <formula>$I196="Nein"</formula>
    </cfRule>
    <cfRule type="expression" priority="97" aboveAverage="0" equalAverage="0" bottom="0" percent="0" rank="0" text="" dxfId="147">
      <formula>$I196="Ja"</formula>
    </cfRule>
  </conditionalFormatting>
  <conditionalFormatting sqref="E206:F207">
    <cfRule type="expression" priority="98" aboveAverage="0" equalAverage="0" bottom="0" percent="0" rank="0" text="" dxfId="148">
      <formula>$I206="Nein"</formula>
    </cfRule>
    <cfRule type="expression" priority="99" aboveAverage="0" equalAverage="0" bottom="0" percent="0" rank="0" text="" dxfId="149">
      <formula>$I206="Ja"</formula>
    </cfRule>
  </conditionalFormatting>
  <conditionalFormatting sqref="E208:F208">
    <cfRule type="expression" priority="100" aboveAverage="0" equalAverage="0" bottom="0" percent="0" rank="0" text="" dxfId="150">
      <formula>$I208="Nein"</formula>
    </cfRule>
    <cfRule type="expression" priority="101" aboveAverage="0" equalAverage="0" bottom="0" percent="0" rank="0" text="" dxfId="151">
      <formula>$I208="Ja"</formula>
    </cfRule>
  </conditionalFormatting>
  <conditionalFormatting sqref="E205:F205">
    <cfRule type="expression" priority="102" aboveAverage="0" equalAverage="0" bottom="0" percent="0" rank="0" text="" dxfId="152">
      <formula>$I205="Nein"</formula>
    </cfRule>
    <cfRule type="expression" priority="103" aboveAverage="0" equalAverage="0" bottom="0" percent="0" rank="0" text="" dxfId="153">
      <formula>$I205="Ja"</formula>
    </cfRule>
  </conditionalFormatting>
  <conditionalFormatting sqref="D215:E215">
    <cfRule type="expression" priority="104" aboveAverage="0" equalAverage="0" bottom="0" percent="0" rank="0" text="" dxfId="154">
      <formula>$I215="Nein"</formula>
    </cfRule>
    <cfRule type="expression" priority="105" aboveAverage="0" equalAverage="0" bottom="0" percent="0" rank="0" text="" dxfId="155">
      <formula>$I215="Ja"</formula>
    </cfRule>
  </conditionalFormatting>
  <conditionalFormatting sqref="E237:F237">
    <cfRule type="expression" priority="106" aboveAverage="0" equalAverage="0" bottom="0" percent="0" rank="0" text="" dxfId="156">
      <formula>$I237="Nein"</formula>
    </cfRule>
    <cfRule type="expression" priority="107" aboveAverage="0" equalAverage="0" bottom="0" percent="0" rank="0" text="" dxfId="157">
      <formula>$I237="Ja"</formula>
    </cfRule>
  </conditionalFormatting>
  <conditionalFormatting sqref="E238:F238">
    <cfRule type="expression" priority="108" aboveAverage="0" equalAverage="0" bottom="0" percent="0" rank="0" text="" dxfId="158">
      <formula>$I238="Nein"</formula>
    </cfRule>
    <cfRule type="expression" priority="109" aboveAverage="0" equalAverage="0" bottom="0" percent="0" rank="0" text="" dxfId="159">
      <formula>$I238="Ja"</formula>
    </cfRule>
  </conditionalFormatting>
  <conditionalFormatting sqref="E244:F244">
    <cfRule type="expression" priority="110" aboveAverage="0" equalAverage="0" bottom="0" percent="0" rank="0" text="" dxfId="160">
      <formula>$I244="Nein"</formula>
    </cfRule>
    <cfRule type="expression" priority="111" aboveAverage="0" equalAverage="0" bottom="0" percent="0" rank="0" text="" dxfId="161">
      <formula>$I244="Ja"</formula>
    </cfRule>
  </conditionalFormatting>
  <conditionalFormatting sqref="E245:F245">
    <cfRule type="expression" priority="112" aboveAverage="0" equalAverage="0" bottom="0" percent="0" rank="0" text="" dxfId="162">
      <formula>$I245="Nein"</formula>
    </cfRule>
    <cfRule type="expression" priority="113" aboveAverage="0" equalAverage="0" bottom="0" percent="0" rank="0" text="" dxfId="163">
      <formula>$I245="Ja"</formula>
    </cfRule>
  </conditionalFormatting>
  <conditionalFormatting sqref="E251:F251">
    <cfRule type="expression" priority="114" aboveAverage="0" equalAverage="0" bottom="0" percent="0" rank="0" text="" dxfId="164">
      <formula>$I251="Nein"</formula>
    </cfRule>
    <cfRule type="expression" priority="115" aboveAverage="0" equalAverage="0" bottom="0" percent="0" rank="0" text="" dxfId="165">
      <formula>$I251="Ja"</formula>
    </cfRule>
  </conditionalFormatting>
  <conditionalFormatting sqref="E252:F252">
    <cfRule type="expression" priority="116" aboveAverage="0" equalAverage="0" bottom="0" percent="0" rank="0" text="" dxfId="166">
      <formula>$I252="Nein"</formula>
    </cfRule>
    <cfRule type="expression" priority="117" aboveAverage="0" equalAverage="0" bottom="0" percent="0" rank="0" text="" dxfId="167">
      <formula>$I252="Ja"</formula>
    </cfRule>
  </conditionalFormatting>
  <conditionalFormatting sqref="E258:F258">
    <cfRule type="expression" priority="118" aboveAverage="0" equalAverage="0" bottom="0" percent="0" rank="0" text="" dxfId="168">
      <formula>$I258="Nein"</formula>
    </cfRule>
    <cfRule type="expression" priority="119" aboveAverage="0" equalAverage="0" bottom="0" percent="0" rank="0" text="" dxfId="169">
      <formula>$I258="Ja"</formula>
    </cfRule>
  </conditionalFormatting>
  <conditionalFormatting sqref="E259:F259">
    <cfRule type="expression" priority="120" aboveAverage="0" equalAverage="0" bottom="0" percent="0" rank="0" text="" dxfId="170">
      <formula>$I259="Nein"</formula>
    </cfRule>
    <cfRule type="expression" priority="121" aboveAverage="0" equalAverage="0" bottom="0" percent="0" rank="0" text="" dxfId="171">
      <formula>$I259="Ja"</formula>
    </cfRule>
  </conditionalFormatting>
  <conditionalFormatting sqref="E265:F265">
    <cfRule type="expression" priority="122" aboveAverage="0" equalAverage="0" bottom="0" percent="0" rank="0" text="" dxfId="172">
      <formula>$I265="Nein"</formula>
    </cfRule>
    <cfRule type="expression" priority="123" aboveAverage="0" equalAverage="0" bottom="0" percent="0" rank="0" text="" dxfId="173">
      <formula>$I265="Ja"</formula>
    </cfRule>
  </conditionalFormatting>
  <conditionalFormatting sqref="E266:F266">
    <cfRule type="expression" priority="124" aboveAverage="0" equalAverage="0" bottom="0" percent="0" rank="0" text="" dxfId="174">
      <formula>$I266="Nein"</formula>
    </cfRule>
    <cfRule type="expression" priority="125" aboveAverage="0" equalAverage="0" bottom="0" percent="0" rank="0" text="" dxfId="175">
      <formula>$I266="Ja"</formula>
    </cfRule>
  </conditionalFormatting>
  <conditionalFormatting sqref="D214:E214">
    <cfRule type="expression" priority="126" aboveAverage="0" equalAverage="0" bottom="0" percent="0" rank="0" text="" dxfId="176">
      <formula>$I214="Nein"</formula>
    </cfRule>
    <cfRule type="expression" priority="127" aboveAverage="0" equalAverage="0" bottom="0" percent="0" rank="0" text="" dxfId="177">
      <formula>$I214="Ja"</formula>
    </cfRule>
  </conditionalFormatting>
  <conditionalFormatting sqref="D218:E218">
    <cfRule type="expression" priority="128" aboveAverage="0" equalAverage="0" bottom="0" percent="0" rank="0" text="" dxfId="178">
      <formula>$I218="Nein"</formula>
    </cfRule>
    <cfRule type="expression" priority="129" aboveAverage="0" equalAverage="0" bottom="0" percent="0" rank="0" text="" dxfId="179">
      <formula>$I218="Ja"</formula>
    </cfRule>
  </conditionalFormatting>
  <conditionalFormatting sqref="D217:E217">
    <cfRule type="expression" priority="130" aboveAverage="0" equalAverage="0" bottom="0" percent="0" rank="0" text="" dxfId="180">
      <formula>$I217="Nein"</formula>
    </cfRule>
    <cfRule type="expression" priority="131" aboveAverage="0" equalAverage="0" bottom="0" percent="0" rank="0" text="" dxfId="181">
      <formula>$I217="Ja"</formula>
    </cfRule>
  </conditionalFormatting>
  <conditionalFormatting sqref="D216:E216">
    <cfRule type="expression" priority="132" aboveAverage="0" equalAverage="0" bottom="0" percent="0" rank="0" text="" dxfId="182">
      <formula>$I216="Nein"</formula>
    </cfRule>
    <cfRule type="expression" priority="133" aboveAverage="0" equalAverage="0" bottom="0" percent="0" rank="0" text="" dxfId="183">
      <formula>$I216="Ja"</formula>
    </cfRule>
  </conditionalFormatting>
  <conditionalFormatting sqref="D91:E91">
    <cfRule type="expression" priority="134" aboveAverage="0" equalAverage="0" bottom="0" percent="0" rank="0" text="" dxfId="184">
      <formula>$I91="Nein"</formula>
    </cfRule>
    <cfRule type="expression" priority="135" aboveAverage="0" equalAverage="0" bottom="0" percent="0" rank="0" text="" dxfId="185">
      <formula>$I91="Ja"</formula>
    </cfRule>
  </conditionalFormatting>
  <conditionalFormatting sqref="D89:E89">
    <cfRule type="expression" priority="136" aboveAverage="0" equalAverage="0" bottom="0" percent="0" rank="0" text="" dxfId="186">
      <formula>$I89="Nein"</formula>
    </cfRule>
    <cfRule type="expression" priority="137" aboveAverage="0" equalAverage="0" bottom="0" percent="0" rank="0" text="" dxfId="187">
      <formula>$I89="Ja"</formula>
    </cfRule>
  </conditionalFormatting>
  <conditionalFormatting sqref="D88:E88">
    <cfRule type="expression" priority="138" aboveAverage="0" equalAverage="0" bottom="0" percent="0" rank="0" text="" dxfId="188">
      <formula>$I88="Nein"</formula>
    </cfRule>
    <cfRule type="expression" priority="139" aboveAverage="0" equalAverage="0" bottom="0" percent="0" rank="0" text="" dxfId="189">
      <formula>$I88="Ja"</formula>
    </cfRule>
  </conditionalFormatting>
  <conditionalFormatting sqref="D90:E90">
    <cfRule type="expression" priority="140" aboveAverage="0" equalAverage="0" bottom="0" percent="0" rank="0" text="" dxfId="190">
      <formula>$I90="Nein"</formula>
    </cfRule>
    <cfRule type="expression" priority="141" aboveAverage="0" equalAverage="0" bottom="0" percent="0" rank="0" text="" dxfId="191">
      <formula>$I90="Ja"</formula>
    </cfRule>
  </conditionalFormatting>
  <conditionalFormatting sqref="D155:E155">
    <cfRule type="expression" priority="142" aboveAverage="0" equalAverage="0" bottom="0" percent="0" rank="0" text="" dxfId="192">
      <formula>$I155="Nein"</formula>
    </cfRule>
    <cfRule type="expression" priority="143" aboveAverage="0" equalAverage="0" bottom="0" percent="0" rank="0" text="" dxfId="193">
      <formula>$I155="Ja"</formula>
    </cfRule>
  </conditionalFormatting>
  <conditionalFormatting sqref="D151:E151">
    <cfRule type="expression" priority="144" aboveAverage="0" equalAverage="0" bottom="0" percent="0" rank="0" text="" dxfId="194">
      <formula>$I151="Nein"</formula>
    </cfRule>
    <cfRule type="expression" priority="145" aboveAverage="0" equalAverage="0" bottom="0" percent="0" rank="0" text="" dxfId="195">
      <formula>$I151="Ja"</formula>
    </cfRule>
  </conditionalFormatting>
  <conditionalFormatting sqref="D154:E154">
    <cfRule type="expression" priority="146" aboveAverage="0" equalAverage="0" bottom="0" percent="0" rank="0" text="" dxfId="196">
      <formula>$I154="Nein"</formula>
    </cfRule>
    <cfRule type="expression" priority="147" aboveAverage="0" equalAverage="0" bottom="0" percent="0" rank="0" text="" dxfId="197">
      <formula>$I154="Ja"</formula>
    </cfRule>
  </conditionalFormatting>
  <conditionalFormatting sqref="D152:E152">
    <cfRule type="expression" priority="148" aboveAverage="0" equalAverage="0" bottom="0" percent="0" rank="0" text="" dxfId="198">
      <formula>$I152="Nein"</formula>
    </cfRule>
    <cfRule type="expression" priority="149" aboveAverage="0" equalAverage="0" bottom="0" percent="0" rank="0" text="" dxfId="199">
      <formula>$I152="Ja"</formula>
    </cfRule>
  </conditionalFormatting>
  <dataValidations count="1">
    <dataValidation allowBlank="true" operator="between" showDropDown="false" showErrorMessage="true" showInputMessage="true" sqref="I6:I20 O23"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202"/>
  <sheetViews>
    <sheetView showFormulas="false" showGridLines="false" showRowColHeaders="true" showZeros="true" rightToLeft="false" tabSelected="false" showOutlineSymbols="true" defaultGridColor="true" view="normal" topLeftCell="A195" colorId="64" zoomScale="100" zoomScaleNormal="100" zoomScalePageLayoutView="100" workbookViewId="0">
      <selection pane="topLeft" activeCell="C155" activeCellId="0" sqref="C155"/>
    </sheetView>
  </sheetViews>
  <sheetFormatPr defaultColWidth="11.43359375" defaultRowHeight="15" zeroHeight="false" outlineLevelRow="1" outlineLevelCol="1"/>
  <cols>
    <col collapsed="false" customWidth="true" hidden="false" outlineLevel="0" max="3" min="1" style="1" width="3.71"/>
    <col collapsed="false" customWidth="true" hidden="false" outlineLevel="0" max="14" min="4" style="1" width="20.71"/>
    <col collapsed="false" customWidth="true" hidden="true" outlineLevel="1" max="18" min="15" style="1" width="20.71"/>
    <col collapsed="false" customWidth="true" hidden="false" outlineLevel="0" max="19" min="19" style="1" width="20.71"/>
    <col collapsed="false" customWidth="true" hidden="false" outlineLevel="0" max="21" min="20" style="1" width="3.71"/>
    <col collapsed="false" customWidth="true" hidden="false" outlineLevel="0" max="22" min="22" style="1" width="15.88"/>
    <col collapsed="false" customWidth="true" hidden="false" outlineLevel="0" max="24" min="23" style="1" width="20.71"/>
    <col collapsed="false" customWidth="false" hidden="false" outlineLevel="0" max="1024" min="25" style="1" width="11.42"/>
  </cols>
  <sheetData>
    <row r="1" customFormat="false" ht="15" hidden="false" customHeight="false" outlineLevel="0" collapsed="false">
      <c r="A1" s="2" t="s">
        <v>295</v>
      </c>
      <c r="B1" s="2"/>
      <c r="C1" s="2"/>
      <c r="D1" s="2"/>
      <c r="E1" s="2"/>
      <c r="F1" s="2"/>
      <c r="G1" s="2"/>
      <c r="H1" s="2"/>
      <c r="I1" s="2"/>
      <c r="J1" s="2"/>
      <c r="K1" s="2"/>
      <c r="L1" s="2"/>
      <c r="M1" s="2"/>
      <c r="N1" s="2"/>
    </row>
    <row r="2" customFormat="false" ht="15" hidden="false" customHeight="false" outlineLevel="0" collapsed="false">
      <c r="A2" s="2"/>
      <c r="B2" s="2"/>
      <c r="C2" s="2"/>
      <c r="D2" s="2"/>
      <c r="E2" s="2"/>
      <c r="F2" s="2"/>
      <c r="G2" s="2"/>
      <c r="H2" s="2"/>
      <c r="I2" s="2"/>
      <c r="J2" s="2"/>
      <c r="K2" s="2"/>
      <c r="L2" s="2"/>
      <c r="M2" s="2"/>
      <c r="N2" s="2"/>
    </row>
    <row r="3" customFormat="false" ht="20.1" hidden="false" customHeight="true" outlineLevel="0" collapsed="false"/>
    <row r="4" customFormat="false" ht="15.75" hidden="false" customHeight="false" outlineLevel="0" collapsed="false">
      <c r="B4" s="3" t="s">
        <v>296</v>
      </c>
      <c r="C4" s="3"/>
      <c r="D4" s="3"/>
      <c r="E4" s="3"/>
      <c r="F4" s="3"/>
      <c r="G4" s="3"/>
      <c r="H4" s="3"/>
      <c r="I4" s="3"/>
      <c r="K4" s="3" t="s">
        <v>2</v>
      </c>
      <c r="L4" s="3"/>
      <c r="M4" s="3"/>
      <c r="P4" s="4"/>
      <c r="Q4" s="4"/>
      <c r="R4" s="4"/>
      <c r="S4" s="5"/>
      <c r="T4" s="4"/>
      <c r="U4" s="4"/>
      <c r="V4" s="4"/>
      <c r="W4" s="4"/>
    </row>
    <row r="5" customFormat="false" ht="50.1" hidden="false" customHeight="true" outlineLevel="0" collapsed="false">
      <c r="B5" s="54" t="s">
        <v>297</v>
      </c>
      <c r="C5" s="54"/>
      <c r="D5" s="303" t="s">
        <v>4</v>
      </c>
      <c r="E5" s="9" t="s">
        <v>5</v>
      </c>
      <c r="F5" s="9" t="s">
        <v>6</v>
      </c>
      <c r="G5" s="57" t="s">
        <v>7</v>
      </c>
      <c r="H5" s="57" t="s">
        <v>8</v>
      </c>
      <c r="I5" s="9" t="s">
        <v>298</v>
      </c>
      <c r="K5" s="11" t="s">
        <v>4</v>
      </c>
      <c r="L5" s="12" t="s">
        <v>10</v>
      </c>
      <c r="M5" s="13" t="s">
        <v>11</v>
      </c>
      <c r="P5" s="5"/>
      <c r="R5" s="4"/>
      <c r="S5" s="4"/>
      <c r="T5" s="4"/>
      <c r="U5" s="5"/>
      <c r="V5" s="5"/>
    </row>
    <row r="6" customFormat="false" ht="20.1" hidden="false" customHeight="true" outlineLevel="0" collapsed="false">
      <c r="B6" s="14" t="n">
        <v>1</v>
      </c>
      <c r="C6" s="14"/>
      <c r="D6" s="18" t="s">
        <v>17</v>
      </c>
      <c r="E6" s="18" t="s">
        <v>18</v>
      </c>
      <c r="F6" s="18" t="s">
        <v>19</v>
      </c>
      <c r="G6" s="18" t="s">
        <v>19</v>
      </c>
      <c r="H6" s="18" t="s">
        <v>19</v>
      </c>
      <c r="I6" s="304" t="s">
        <v>14</v>
      </c>
      <c r="K6" s="21" t="str">
        <f aca="false">D6</f>
        <v>Judith Fulterer</v>
      </c>
      <c r="L6" s="22" t="n">
        <v>1</v>
      </c>
      <c r="M6" s="23" t="n">
        <v>1</v>
      </c>
      <c r="P6" s="24"/>
      <c r="U6" s="24"/>
      <c r="V6" s="24"/>
    </row>
    <row r="7" customFormat="false" ht="20.1" hidden="false" customHeight="true" outlineLevel="0" collapsed="false">
      <c r="B7" s="25" t="n">
        <v>2</v>
      </c>
      <c r="C7" s="25"/>
      <c r="D7" s="32" t="s">
        <v>20</v>
      </c>
      <c r="E7" s="32" t="s">
        <v>21</v>
      </c>
      <c r="F7" s="32" t="s">
        <v>21</v>
      </c>
      <c r="G7" s="32" t="s">
        <v>21</v>
      </c>
      <c r="H7" s="32" t="s">
        <v>21</v>
      </c>
      <c r="I7" s="305" t="s">
        <v>36</v>
      </c>
      <c r="K7" s="30" t="str">
        <f aca="false">D7</f>
        <v>Andreas Micke</v>
      </c>
      <c r="L7" s="22"/>
      <c r="M7" s="31" t="n">
        <v>2</v>
      </c>
      <c r="P7" s="24"/>
      <c r="U7" s="24"/>
      <c r="V7" s="24"/>
    </row>
    <row r="8" customFormat="false" ht="20.1" hidden="false" customHeight="true" outlineLevel="0" collapsed="false">
      <c r="B8" s="25" t="n">
        <v>3</v>
      </c>
      <c r="C8" s="25"/>
      <c r="D8" s="32" t="s">
        <v>12</v>
      </c>
      <c r="E8" s="32" t="s">
        <v>13</v>
      </c>
      <c r="F8" s="32" t="s">
        <v>13</v>
      </c>
      <c r="G8" s="32" t="s">
        <v>13</v>
      </c>
      <c r="H8" s="32" t="s">
        <v>13</v>
      </c>
      <c r="I8" s="305" t="s">
        <v>14</v>
      </c>
      <c r="K8" s="30" t="str">
        <f aca="false">D8</f>
        <v>Jonas Röhrig</v>
      </c>
      <c r="L8" s="22"/>
      <c r="M8" s="31" t="n">
        <v>3</v>
      </c>
      <c r="P8" s="24"/>
      <c r="U8" s="24"/>
      <c r="V8" s="24"/>
    </row>
    <row r="9" customFormat="false" ht="20.1" hidden="false" customHeight="true" outlineLevel="0" collapsed="false">
      <c r="B9" s="25" t="n">
        <v>4</v>
      </c>
      <c r="C9" s="25"/>
      <c r="D9" s="32" t="s">
        <v>15</v>
      </c>
      <c r="E9" s="32" t="s">
        <v>16</v>
      </c>
      <c r="F9" s="32" t="s">
        <v>16</v>
      </c>
      <c r="G9" s="32" t="s">
        <v>16</v>
      </c>
      <c r="H9" s="32" t="s">
        <v>16</v>
      </c>
      <c r="I9" s="305" t="s">
        <v>14</v>
      </c>
      <c r="K9" s="35" t="str">
        <f aca="false">D9</f>
        <v>Devid Fulterer</v>
      </c>
      <c r="L9" s="22"/>
      <c r="M9" s="36" t="n">
        <v>4</v>
      </c>
      <c r="P9" s="24"/>
      <c r="U9" s="24"/>
      <c r="V9" s="24"/>
    </row>
    <row r="10" customFormat="false" ht="20.1" hidden="false" customHeight="true" outlineLevel="0" collapsed="false">
      <c r="B10" s="25" t="n">
        <v>5</v>
      </c>
      <c r="C10" s="25"/>
      <c r="D10" s="33" t="s">
        <v>37</v>
      </c>
      <c r="E10" s="33" t="s">
        <v>38</v>
      </c>
      <c r="F10" s="34" t="s">
        <v>35</v>
      </c>
      <c r="G10" s="32" t="s">
        <v>35</v>
      </c>
      <c r="H10" s="32" t="s">
        <v>35</v>
      </c>
      <c r="I10" s="305" t="s">
        <v>36</v>
      </c>
      <c r="K10" s="21" t="str">
        <f aca="false">D10</f>
        <v>Bea Kittner</v>
      </c>
      <c r="L10" s="37" t="n">
        <v>2</v>
      </c>
      <c r="M10" s="23" t="n">
        <v>1</v>
      </c>
      <c r="P10" s="24"/>
      <c r="U10" s="24"/>
      <c r="V10" s="24"/>
    </row>
    <row r="11" customFormat="false" ht="20.1" hidden="false" customHeight="true" outlineLevel="0" collapsed="false">
      <c r="B11" s="25" t="n">
        <v>6</v>
      </c>
      <c r="C11" s="25"/>
      <c r="D11" s="33" t="s">
        <v>39</v>
      </c>
      <c r="E11" s="33" t="s">
        <v>40</v>
      </c>
      <c r="F11" s="34" t="s">
        <v>40</v>
      </c>
      <c r="G11" s="32" t="s">
        <v>40</v>
      </c>
      <c r="H11" s="32" t="s">
        <v>40</v>
      </c>
      <c r="I11" s="305" t="s">
        <v>14</v>
      </c>
      <c r="K11" s="30" t="str">
        <f aca="false">D11</f>
        <v>Markus Hagenauer</v>
      </c>
      <c r="L11" s="37"/>
      <c r="M11" s="31" t="n">
        <v>2</v>
      </c>
      <c r="P11" s="24"/>
      <c r="U11" s="24"/>
      <c r="V11" s="24"/>
    </row>
    <row r="12" customFormat="false" ht="20.1" hidden="false" customHeight="true" outlineLevel="0" collapsed="false">
      <c r="B12" s="25" t="n">
        <v>7</v>
      </c>
      <c r="C12" s="25"/>
      <c r="D12" s="33" t="s">
        <v>29</v>
      </c>
      <c r="E12" s="33" t="s">
        <v>30</v>
      </c>
      <c r="F12" s="34" t="s">
        <v>30</v>
      </c>
      <c r="G12" s="32" t="s">
        <v>30</v>
      </c>
      <c r="H12" s="32" t="s">
        <v>30</v>
      </c>
      <c r="I12" s="305" t="s">
        <v>14</v>
      </c>
      <c r="K12" s="30" t="str">
        <f aca="false">D12</f>
        <v>Kai Maibaum</v>
      </c>
      <c r="L12" s="37"/>
      <c r="M12" s="31" t="n">
        <v>3</v>
      </c>
      <c r="P12" s="24"/>
      <c r="U12" s="24"/>
      <c r="V12" s="24"/>
    </row>
    <row r="13" customFormat="false" ht="20.1" hidden="false" customHeight="true" outlineLevel="0" collapsed="false">
      <c r="B13" s="25" t="n">
        <v>8</v>
      </c>
      <c r="C13" s="25"/>
      <c r="D13" s="33" t="s">
        <v>27</v>
      </c>
      <c r="E13" s="32" t="s">
        <v>28</v>
      </c>
      <c r="F13" s="306" t="s">
        <v>28</v>
      </c>
      <c r="G13" s="32" t="s">
        <v>28</v>
      </c>
      <c r="H13" s="32" t="s">
        <v>28</v>
      </c>
      <c r="I13" s="305" t="s">
        <v>36</v>
      </c>
      <c r="K13" s="35" t="str">
        <f aca="false">D13</f>
        <v>Pauline Schätzle</v>
      </c>
      <c r="L13" s="37"/>
      <c r="M13" s="36" t="n">
        <v>4</v>
      </c>
      <c r="P13" s="24"/>
      <c r="U13" s="24"/>
      <c r="V13" s="24"/>
    </row>
    <row r="14" customFormat="false" ht="20.1" hidden="false" customHeight="true" outlineLevel="0" collapsed="false">
      <c r="B14" s="25" t="n">
        <v>9</v>
      </c>
      <c r="C14" s="25"/>
      <c r="D14" s="33" t="s">
        <v>31</v>
      </c>
      <c r="E14" s="33" t="s">
        <v>32</v>
      </c>
      <c r="F14" s="34" t="s">
        <v>32</v>
      </c>
      <c r="G14" s="32" t="s">
        <v>32</v>
      </c>
      <c r="H14" s="32" t="s">
        <v>32</v>
      </c>
      <c r="I14" s="305" t="s">
        <v>36</v>
      </c>
      <c r="K14" s="21" t="str">
        <f aca="false">D14</f>
        <v>Daniel Zimmermann</v>
      </c>
      <c r="L14" s="22" t="n">
        <v>3</v>
      </c>
      <c r="M14" s="23" t="n">
        <v>1</v>
      </c>
      <c r="P14" s="24"/>
      <c r="U14" s="24"/>
      <c r="V14" s="24"/>
    </row>
    <row r="15" customFormat="false" ht="20.1" hidden="false" customHeight="true" outlineLevel="0" collapsed="false">
      <c r="B15" s="25" t="n">
        <v>10</v>
      </c>
      <c r="C15" s="25"/>
      <c r="D15" s="26" t="s">
        <v>43</v>
      </c>
      <c r="E15" s="33" t="s">
        <v>44</v>
      </c>
      <c r="F15" s="34" t="s">
        <v>44</v>
      </c>
      <c r="G15" s="32" t="s">
        <v>44</v>
      </c>
      <c r="H15" s="28" t="s">
        <v>44</v>
      </c>
      <c r="I15" s="29" t="s">
        <v>14</v>
      </c>
      <c r="K15" s="30" t="str">
        <f aca="false">D15</f>
        <v>Fabian Spaniol</v>
      </c>
      <c r="L15" s="22"/>
      <c r="M15" s="31" t="n">
        <v>2</v>
      </c>
      <c r="P15" s="24"/>
      <c r="U15" s="24"/>
      <c r="V15" s="24"/>
    </row>
    <row r="16" customFormat="false" ht="20.1" hidden="false" customHeight="true" outlineLevel="0" collapsed="false">
      <c r="B16" s="42" t="n">
        <v>11</v>
      </c>
      <c r="C16" s="42"/>
      <c r="D16" s="44" t="s">
        <v>45</v>
      </c>
      <c r="E16" s="44" t="s">
        <v>46</v>
      </c>
      <c r="F16" s="45" t="s">
        <v>46</v>
      </c>
      <c r="G16" s="46" t="s">
        <v>35</v>
      </c>
      <c r="H16" s="46" t="s">
        <v>35</v>
      </c>
      <c r="I16" s="309" t="s">
        <v>36</v>
      </c>
      <c r="K16" s="49" t="str">
        <f aca="false">D16</f>
        <v>Florian Spiß</v>
      </c>
      <c r="L16" s="22"/>
      <c r="M16" s="50" t="n">
        <v>3</v>
      </c>
      <c r="P16" s="24"/>
      <c r="U16" s="24"/>
      <c r="V16" s="24"/>
    </row>
    <row r="17" customFormat="false" ht="20.1" hidden="false" customHeight="true" outlineLevel="0" collapsed="false">
      <c r="D17" s="310"/>
      <c r="E17" s="310"/>
      <c r="F17" s="311"/>
      <c r="G17" s="162"/>
      <c r="H17" s="162"/>
      <c r="I17" s="310"/>
      <c r="K17" s="51" t="s">
        <v>299</v>
      </c>
      <c r="L17" s="51"/>
      <c r="M17" s="52" t="n">
        <f aca="false">ROWS(M6:M16)</f>
        <v>11</v>
      </c>
      <c r="O17" s="4"/>
      <c r="P17" s="4"/>
      <c r="R17" s="4"/>
      <c r="S17" s="4"/>
      <c r="T17" s="4"/>
      <c r="U17" s="4"/>
    </row>
    <row r="18" customFormat="false" ht="15.75" hidden="false" customHeight="false" outlineLevel="0" collapsed="false">
      <c r="B18" s="3" t="s">
        <v>300</v>
      </c>
      <c r="C18" s="3"/>
      <c r="D18" s="3"/>
      <c r="E18" s="3"/>
      <c r="F18" s="3"/>
      <c r="G18" s="3"/>
      <c r="H18" s="3"/>
      <c r="L18" s="53"/>
      <c r="M18" s="53"/>
      <c r="N18" s="53"/>
      <c r="O18" s="5"/>
      <c r="P18" s="4"/>
      <c r="Q18" s="4"/>
      <c r="S18" s="4"/>
      <c r="T18" s="4"/>
      <c r="U18" s="4"/>
      <c r="V18" s="4"/>
    </row>
    <row r="19" customFormat="false" ht="30.75" hidden="false" customHeight="true" outlineLevel="0" collapsed="false">
      <c r="B19" s="54" t="s">
        <v>51</v>
      </c>
      <c r="C19" s="54"/>
      <c r="D19" s="55" t="s">
        <v>4</v>
      </c>
      <c r="E19" s="9" t="s">
        <v>5</v>
      </c>
      <c r="F19" s="9" t="s">
        <v>6</v>
      </c>
      <c r="G19" s="57" t="s">
        <v>7</v>
      </c>
      <c r="H19" s="57" t="s">
        <v>8</v>
      </c>
      <c r="L19" s="53"/>
      <c r="M19" s="53"/>
      <c r="N19" s="53"/>
      <c r="O19" s="5"/>
      <c r="P19" s="4"/>
      <c r="Q19" s="4"/>
      <c r="S19" s="4"/>
      <c r="T19" s="4"/>
      <c r="U19" s="4"/>
      <c r="V19" s="4"/>
    </row>
    <row r="20" customFormat="false" ht="20.1" hidden="false" customHeight="true" outlineLevel="0" collapsed="false">
      <c r="B20" s="58" t="n">
        <v>1</v>
      </c>
      <c r="C20" s="58"/>
      <c r="D20" s="453" t="s">
        <v>33</v>
      </c>
      <c r="E20" s="454" t="s">
        <v>34</v>
      </c>
      <c r="F20" s="455" t="s">
        <v>35</v>
      </c>
      <c r="G20" s="454" t="s">
        <v>35</v>
      </c>
      <c r="H20" s="316" t="s">
        <v>35</v>
      </c>
      <c r="O20" s="29" t="s">
        <v>36</v>
      </c>
      <c r="P20" s="4"/>
      <c r="Q20" s="4"/>
      <c r="S20" s="4"/>
      <c r="T20" s="4"/>
      <c r="U20" s="4"/>
      <c r="V20" s="4"/>
    </row>
    <row r="21" customFormat="false" ht="20.1" hidden="false" customHeight="true" outlineLevel="0" collapsed="false">
      <c r="M21" s="53"/>
      <c r="N21" s="53"/>
      <c r="O21" s="53"/>
      <c r="P21" s="5"/>
      <c r="Q21" s="4"/>
      <c r="R21" s="4"/>
      <c r="T21" s="4"/>
      <c r="U21" s="4"/>
      <c r="V21" s="4"/>
      <c r="W21" s="4"/>
    </row>
    <row r="22" customFormat="false" ht="20.1" hidden="false" customHeight="true" outlineLevel="0" collapsed="false">
      <c r="B22" s="62"/>
      <c r="C22" s="62"/>
      <c r="D22" s="63"/>
      <c r="E22" s="63"/>
      <c r="F22" s="63"/>
      <c r="G22" s="63"/>
      <c r="H22" s="62"/>
      <c r="I22" s="62"/>
      <c r="J22" s="62"/>
      <c r="K22" s="62"/>
      <c r="L22" s="62"/>
      <c r="M22" s="62"/>
      <c r="N22" s="62"/>
      <c r="O22" s="62"/>
      <c r="P22" s="62"/>
      <c r="Q22" s="62"/>
      <c r="R22" s="62"/>
      <c r="S22" s="62"/>
      <c r="T22" s="62"/>
      <c r="U22" s="62"/>
    </row>
    <row r="23" customFormat="false" ht="30" hidden="false" customHeight="true" outlineLevel="0" collapsed="false">
      <c r="B23" s="62"/>
      <c r="C23" s="64" t="s">
        <v>52</v>
      </c>
      <c r="D23" s="64"/>
      <c r="E23" s="64"/>
      <c r="F23" s="64"/>
      <c r="G23" s="64"/>
      <c r="H23" s="64"/>
      <c r="I23" s="64"/>
      <c r="J23" s="64"/>
      <c r="K23" s="64"/>
      <c r="L23" s="64"/>
      <c r="M23" s="64"/>
      <c r="N23" s="64"/>
      <c r="O23" s="64"/>
      <c r="P23" s="64"/>
      <c r="Q23" s="64"/>
      <c r="R23" s="64"/>
      <c r="S23" s="64"/>
      <c r="T23" s="64"/>
      <c r="U23" s="62"/>
    </row>
    <row r="24" customFormat="false" ht="20.1" hidden="false" customHeight="true" outlineLevel="0" collapsed="false">
      <c r="B24" s="62"/>
      <c r="U24" s="62"/>
    </row>
    <row r="25" customFormat="false" ht="20.1" hidden="false" customHeight="true" outlineLevel="0" collapsed="false">
      <c r="B25" s="62"/>
      <c r="D25" s="65" t="s">
        <v>53</v>
      </c>
      <c r="E25" s="66" t="s">
        <v>54</v>
      </c>
      <c r="F25" s="67" t="s">
        <v>11</v>
      </c>
      <c r="G25" s="66" t="s">
        <v>55</v>
      </c>
      <c r="H25" s="66"/>
      <c r="I25" s="66"/>
      <c r="J25" s="66"/>
      <c r="K25" s="66" t="s">
        <v>56</v>
      </c>
      <c r="L25" s="68" t="s">
        <v>57</v>
      </c>
      <c r="M25" s="68"/>
      <c r="N25" s="68"/>
      <c r="O25" s="68"/>
      <c r="P25" s="68"/>
      <c r="Q25" s="68"/>
      <c r="R25" s="68"/>
      <c r="S25" s="68"/>
      <c r="U25" s="62"/>
    </row>
    <row r="26" customFormat="false" ht="20.1" hidden="false" customHeight="true" outlineLevel="0" collapsed="false">
      <c r="B26" s="62"/>
      <c r="D26" s="65"/>
      <c r="E26" s="66"/>
      <c r="F26" s="66"/>
      <c r="G26" s="317" t="s">
        <v>58</v>
      </c>
      <c r="H26" s="317" t="s">
        <v>59</v>
      </c>
      <c r="I26" s="226" t="s">
        <v>60</v>
      </c>
      <c r="J26" s="226"/>
      <c r="K26" s="69" t="s">
        <v>61</v>
      </c>
      <c r="L26" s="69" t="s">
        <v>58</v>
      </c>
      <c r="M26" s="70" t="s">
        <v>62</v>
      </c>
      <c r="N26" s="67" t="s">
        <v>60</v>
      </c>
      <c r="O26" s="67"/>
      <c r="P26" s="67"/>
      <c r="Q26" s="67"/>
      <c r="R26" s="67"/>
      <c r="S26" s="67"/>
      <c r="U26" s="62"/>
    </row>
    <row r="27" customFormat="false" ht="20.1" hidden="false" customHeight="true" outlineLevel="0" collapsed="false">
      <c r="B27" s="62"/>
      <c r="D27" s="456" t="s">
        <v>17</v>
      </c>
      <c r="E27" s="457" t="s">
        <v>18</v>
      </c>
      <c r="F27" s="308" t="n">
        <v>1</v>
      </c>
      <c r="G27" s="458" t="s">
        <v>63</v>
      </c>
      <c r="H27" s="459" t="s">
        <v>301</v>
      </c>
      <c r="I27" s="321" t="s">
        <v>67</v>
      </c>
      <c r="J27" s="321"/>
      <c r="K27" s="460" t="s">
        <v>302</v>
      </c>
      <c r="L27" s="461" t="s">
        <v>67</v>
      </c>
      <c r="M27" s="462" t="s">
        <v>67</v>
      </c>
      <c r="N27" s="463" t="s">
        <v>67</v>
      </c>
      <c r="O27" s="463"/>
      <c r="P27" s="463"/>
      <c r="Q27" s="463"/>
      <c r="R27" s="463"/>
      <c r="S27" s="463"/>
      <c r="U27" s="62"/>
    </row>
    <row r="28" customFormat="false" ht="27.95" hidden="false" customHeight="true" outlineLevel="0" collapsed="false">
      <c r="B28" s="62"/>
      <c r="D28" s="326" t="s">
        <v>20</v>
      </c>
      <c r="E28" s="306" t="s">
        <v>21</v>
      </c>
      <c r="F28" s="31" t="n">
        <v>2</v>
      </c>
      <c r="G28" s="327" t="s">
        <v>63</v>
      </c>
      <c r="H28" s="82" t="s">
        <v>303</v>
      </c>
      <c r="I28" s="328" t="s">
        <v>304</v>
      </c>
      <c r="J28" s="328"/>
      <c r="K28" s="464" t="s">
        <v>111</v>
      </c>
      <c r="L28" s="330" t="s">
        <v>67</v>
      </c>
      <c r="M28" s="331" t="s">
        <v>67</v>
      </c>
      <c r="N28" s="86" t="s">
        <v>67</v>
      </c>
      <c r="O28" s="86"/>
      <c r="P28" s="86"/>
      <c r="Q28" s="86"/>
      <c r="R28" s="86"/>
      <c r="S28" s="86"/>
      <c r="U28" s="62"/>
    </row>
    <row r="29" customFormat="false" ht="15" hidden="false" customHeight="true" outlineLevel="0" collapsed="false">
      <c r="B29" s="62"/>
      <c r="D29" s="326"/>
      <c r="E29" s="306"/>
      <c r="F29" s="31"/>
      <c r="G29" s="327"/>
      <c r="H29" s="82"/>
      <c r="I29" s="332" t="s">
        <v>305</v>
      </c>
      <c r="J29" s="332"/>
      <c r="K29" s="464"/>
      <c r="L29" s="330"/>
      <c r="M29" s="331"/>
      <c r="N29" s="86"/>
      <c r="O29" s="86"/>
      <c r="P29" s="86"/>
      <c r="Q29" s="86"/>
      <c r="R29" s="86"/>
      <c r="S29" s="86"/>
      <c r="U29" s="62"/>
    </row>
    <row r="30" customFormat="false" ht="15" hidden="false" customHeight="true" outlineLevel="0" collapsed="false">
      <c r="B30" s="62"/>
      <c r="D30" s="326"/>
      <c r="E30" s="306"/>
      <c r="F30" s="31"/>
      <c r="G30" s="327"/>
      <c r="H30" s="82"/>
      <c r="I30" s="332" t="s">
        <v>306</v>
      </c>
      <c r="J30" s="332"/>
      <c r="K30" s="464"/>
      <c r="L30" s="330"/>
      <c r="M30" s="331"/>
      <c r="N30" s="86"/>
      <c r="O30" s="86"/>
      <c r="P30" s="86"/>
      <c r="Q30" s="86"/>
      <c r="R30" s="86"/>
      <c r="S30" s="86"/>
      <c r="U30" s="62"/>
    </row>
    <row r="31" customFormat="false" ht="15" hidden="false" customHeight="true" outlineLevel="0" collapsed="false">
      <c r="B31" s="62"/>
      <c r="D31" s="326"/>
      <c r="E31" s="306"/>
      <c r="F31" s="31"/>
      <c r="G31" s="327"/>
      <c r="H31" s="82"/>
      <c r="I31" s="332" t="s">
        <v>307</v>
      </c>
      <c r="J31" s="332"/>
      <c r="K31" s="464"/>
      <c r="L31" s="330"/>
      <c r="M31" s="331"/>
      <c r="N31" s="86"/>
      <c r="O31" s="86"/>
      <c r="P31" s="86"/>
      <c r="Q31" s="86"/>
      <c r="R31" s="86"/>
      <c r="S31" s="86"/>
      <c r="U31" s="62"/>
    </row>
    <row r="32" customFormat="false" ht="15" hidden="false" customHeight="true" outlineLevel="0" collapsed="false">
      <c r="B32" s="62"/>
      <c r="D32" s="326"/>
      <c r="E32" s="306"/>
      <c r="F32" s="31"/>
      <c r="G32" s="327"/>
      <c r="H32" s="82"/>
      <c r="I32" s="332" t="s">
        <v>308</v>
      </c>
      <c r="J32" s="332"/>
      <c r="K32" s="464"/>
      <c r="L32" s="330"/>
      <c r="M32" s="331"/>
      <c r="N32" s="86"/>
      <c r="O32" s="86"/>
      <c r="P32" s="86"/>
      <c r="Q32" s="86"/>
      <c r="R32" s="86"/>
      <c r="S32" s="86"/>
      <c r="U32" s="62"/>
    </row>
    <row r="33" customFormat="false" ht="60" hidden="false" customHeight="true" outlineLevel="0" collapsed="false">
      <c r="B33" s="62"/>
      <c r="D33" s="326"/>
      <c r="E33" s="306"/>
      <c r="F33" s="31"/>
      <c r="G33" s="327"/>
      <c r="H33" s="82"/>
      <c r="I33" s="332" t="s">
        <v>309</v>
      </c>
      <c r="J33" s="332"/>
      <c r="K33" s="464"/>
      <c r="L33" s="330"/>
      <c r="M33" s="331"/>
      <c r="N33" s="86"/>
      <c r="O33" s="86"/>
      <c r="P33" s="86"/>
      <c r="Q33" s="86"/>
      <c r="R33" s="86"/>
      <c r="S33" s="86"/>
      <c r="U33" s="62"/>
    </row>
    <row r="34" customFormat="false" ht="30" hidden="false" customHeight="true" outlineLevel="0" collapsed="false">
      <c r="B34" s="62"/>
      <c r="D34" s="40" t="s">
        <v>12</v>
      </c>
      <c r="E34" s="465" t="s">
        <v>13</v>
      </c>
      <c r="F34" s="36" t="n">
        <v>3</v>
      </c>
      <c r="G34" s="466" t="s">
        <v>63</v>
      </c>
      <c r="H34" s="467" t="s">
        <v>310</v>
      </c>
      <c r="I34" s="335" t="s">
        <v>311</v>
      </c>
      <c r="J34" s="335"/>
      <c r="K34" s="468" t="s">
        <v>111</v>
      </c>
      <c r="L34" s="437"/>
      <c r="M34" s="438"/>
      <c r="N34" s="469"/>
      <c r="O34" s="469"/>
      <c r="P34" s="469"/>
      <c r="Q34" s="469"/>
      <c r="R34" s="469"/>
      <c r="S34" s="469"/>
      <c r="U34" s="62"/>
    </row>
    <row r="35" customFormat="false" ht="20.1" hidden="false" customHeight="true" outlineLevel="0" collapsed="false">
      <c r="B35" s="62"/>
      <c r="D35" s="49" t="s">
        <v>15</v>
      </c>
      <c r="E35" s="44" t="s">
        <v>16</v>
      </c>
      <c r="F35" s="340" t="n">
        <v>4</v>
      </c>
      <c r="G35" s="341" t="s">
        <v>63</v>
      </c>
      <c r="H35" s="341" t="s">
        <v>302</v>
      </c>
      <c r="I35" s="286" t="s">
        <v>67</v>
      </c>
      <c r="J35" s="286"/>
      <c r="K35" s="343" t="s">
        <v>111</v>
      </c>
      <c r="L35" s="344" t="s">
        <v>67</v>
      </c>
      <c r="M35" s="345" t="s">
        <v>67</v>
      </c>
      <c r="N35" s="346" t="s">
        <v>67</v>
      </c>
      <c r="O35" s="346"/>
      <c r="P35" s="346"/>
      <c r="Q35" s="346"/>
      <c r="R35" s="346"/>
      <c r="S35" s="346"/>
      <c r="U35" s="62"/>
    </row>
    <row r="36" customFormat="false" ht="20.1" hidden="false" customHeight="true" outlineLevel="0" collapsed="false">
      <c r="B36" s="62"/>
      <c r="U36" s="62"/>
    </row>
    <row r="37" customFormat="false" ht="20.1" hidden="false" customHeight="true" outlineLevel="0" collapsed="false">
      <c r="B37" s="62"/>
      <c r="C37" s="101"/>
      <c r="D37" s="101"/>
      <c r="E37" s="102" t="str">
        <f aca="false">IF(OR(M27="-",M27= ""),H27,M27)</f>
        <v>Madeira</v>
      </c>
      <c r="F37" s="102"/>
      <c r="G37" s="102"/>
      <c r="H37" s="102"/>
      <c r="I37" s="102"/>
      <c r="J37" s="102"/>
      <c r="K37" s="102"/>
      <c r="L37" s="102"/>
      <c r="M37" s="102"/>
      <c r="N37" s="102"/>
      <c r="O37" s="103"/>
      <c r="P37" s="103"/>
      <c r="Q37" s="103"/>
      <c r="R37" s="103"/>
      <c r="S37" s="103"/>
      <c r="T37" s="101"/>
      <c r="U37" s="62"/>
    </row>
    <row r="38" customFormat="false" ht="50.1" hidden="false" customHeight="true" outlineLevel="0" collapsed="false">
      <c r="B38" s="62"/>
      <c r="C38" s="101"/>
      <c r="D38" s="103"/>
      <c r="E38" s="65" t="s">
        <v>53</v>
      </c>
      <c r="F38" s="104" t="s">
        <v>76</v>
      </c>
      <c r="G38" s="67" t="s">
        <v>77</v>
      </c>
      <c r="H38" s="66" t="s">
        <v>78</v>
      </c>
      <c r="I38" s="54" t="s">
        <v>79</v>
      </c>
      <c r="J38" s="66" t="s">
        <v>80</v>
      </c>
      <c r="K38" s="105" t="s">
        <v>81</v>
      </c>
      <c r="L38" s="66" t="s">
        <v>82</v>
      </c>
      <c r="M38" s="106" t="s">
        <v>83</v>
      </c>
      <c r="N38" s="67" t="s">
        <v>84</v>
      </c>
      <c r="O38" s="107" t="s">
        <v>85</v>
      </c>
      <c r="P38" s="108" t="s">
        <v>86</v>
      </c>
      <c r="Q38" s="108" t="s">
        <v>87</v>
      </c>
      <c r="R38" s="108" t="s">
        <v>88</v>
      </c>
      <c r="S38" s="103"/>
      <c r="T38" s="101"/>
      <c r="U38" s="62"/>
    </row>
    <row r="39" customFormat="false" ht="20.1" hidden="false" customHeight="true" outlineLevel="0" collapsed="false">
      <c r="B39" s="62"/>
      <c r="C39" s="101"/>
      <c r="D39" s="101"/>
      <c r="E39" s="403" t="s">
        <v>17</v>
      </c>
      <c r="F39" s="110" t="s">
        <v>18</v>
      </c>
      <c r="G39" s="111" t="n">
        <v>2</v>
      </c>
      <c r="H39" s="111" t="s">
        <v>67</v>
      </c>
      <c r="I39" s="111" t="n">
        <v>0</v>
      </c>
      <c r="J39" s="111" t="n">
        <v>99</v>
      </c>
      <c r="K39" s="111" t="s">
        <v>67</v>
      </c>
      <c r="L39" s="113" t="n">
        <f aca="false">IF(J39="",0,(J39/J43)*100)</f>
        <v>100</v>
      </c>
      <c r="M39" s="111" t="n">
        <v>1</v>
      </c>
      <c r="N39" s="114" t="n">
        <v>6</v>
      </c>
      <c r="O39" s="115" t="n">
        <f aca="false">IF(M39=1,1,0)</f>
        <v>1</v>
      </c>
      <c r="P39" s="116" t="n">
        <f aca="false">IF(M39=2,1,0)</f>
        <v>0</v>
      </c>
      <c r="Q39" s="116" t="n">
        <f aca="false">IF(M39=3,1,0)</f>
        <v>0</v>
      </c>
      <c r="R39" s="117" t="n">
        <f aca="false">IF(M39=4,1,0)</f>
        <v>0</v>
      </c>
      <c r="S39" s="118"/>
      <c r="T39" s="101"/>
      <c r="U39" s="62"/>
    </row>
    <row r="40" customFormat="false" ht="20.1" hidden="false" customHeight="true" outlineLevel="0" collapsed="false">
      <c r="B40" s="62"/>
      <c r="C40" s="101"/>
      <c r="D40" s="101"/>
      <c r="E40" s="326" t="s">
        <v>20</v>
      </c>
      <c r="F40" s="33" t="s">
        <v>21</v>
      </c>
      <c r="G40" s="241" t="n">
        <v>3</v>
      </c>
      <c r="H40" s="241" t="s">
        <v>67</v>
      </c>
      <c r="I40" s="241" t="n">
        <v>0</v>
      </c>
      <c r="J40" s="241" t="n">
        <v>24</v>
      </c>
      <c r="K40" s="241" t="s">
        <v>67</v>
      </c>
      <c r="L40" s="243" t="n">
        <f aca="false">IF(J40="",0,(J40/J43)*100)</f>
        <v>24.2424242424242</v>
      </c>
      <c r="M40" s="241" t="n">
        <v>4</v>
      </c>
      <c r="N40" s="244" t="n">
        <v>0</v>
      </c>
      <c r="O40" s="121" t="n">
        <f aca="false">IF(M40=1,1,0)</f>
        <v>0</v>
      </c>
      <c r="P40" s="122" t="n">
        <f aca="false">IF(M40=2,1,0)</f>
        <v>0</v>
      </c>
      <c r="Q40" s="122" t="n">
        <f aca="false">IF(M40=3,1,0)</f>
        <v>0</v>
      </c>
      <c r="R40" s="123" t="n">
        <f aca="false">IF(M40=4,1,0)</f>
        <v>1</v>
      </c>
      <c r="S40" s="118"/>
      <c r="T40" s="101"/>
      <c r="U40" s="62"/>
    </row>
    <row r="41" customFormat="false" ht="20.1" hidden="false" customHeight="true" outlineLevel="0" collapsed="false">
      <c r="B41" s="62"/>
      <c r="C41" s="101"/>
      <c r="D41" s="101"/>
      <c r="E41" s="326" t="s">
        <v>12</v>
      </c>
      <c r="F41" s="33" t="s">
        <v>13</v>
      </c>
      <c r="G41" s="241" t="n">
        <v>1</v>
      </c>
      <c r="H41" s="241" t="s">
        <v>67</v>
      </c>
      <c r="I41" s="241" t="n">
        <v>0</v>
      </c>
      <c r="J41" s="241" t="n">
        <v>72</v>
      </c>
      <c r="K41" s="241" t="s">
        <v>67</v>
      </c>
      <c r="L41" s="243" t="n">
        <f aca="false">IF(J41="",0,(J41/J43)*100)</f>
        <v>72.7272727272727</v>
      </c>
      <c r="M41" s="241" t="n">
        <v>3</v>
      </c>
      <c r="N41" s="244" t="n">
        <v>1</v>
      </c>
      <c r="O41" s="121" t="n">
        <f aca="false">IF(M41=1,1,0)</f>
        <v>0</v>
      </c>
      <c r="P41" s="122" t="n">
        <f aca="false">IF(M41=2,1,0)</f>
        <v>0</v>
      </c>
      <c r="Q41" s="122" t="n">
        <f aca="false">IF(M41=3,1,0)</f>
        <v>1</v>
      </c>
      <c r="R41" s="123" t="n">
        <f aca="false">IF(M41=4,1,0)</f>
        <v>0</v>
      </c>
      <c r="S41" s="118"/>
      <c r="T41" s="101"/>
      <c r="U41" s="62"/>
    </row>
    <row r="42" customFormat="false" ht="20.1" hidden="false" customHeight="true" outlineLevel="0" collapsed="false">
      <c r="B42" s="62"/>
      <c r="C42" s="101"/>
      <c r="D42" s="124"/>
      <c r="E42" s="349" t="s">
        <v>15</v>
      </c>
      <c r="F42" s="44" t="s">
        <v>16</v>
      </c>
      <c r="G42" s="245" t="n">
        <v>4</v>
      </c>
      <c r="H42" s="245" t="s">
        <v>67</v>
      </c>
      <c r="I42" s="245" t="n">
        <v>0</v>
      </c>
      <c r="J42" s="245" t="n">
        <v>88</v>
      </c>
      <c r="K42" s="245" t="s">
        <v>67</v>
      </c>
      <c r="L42" s="247" t="n">
        <f aca="false">IF(J42="",0,(J42/J43)*100)</f>
        <v>88.8888888888889</v>
      </c>
      <c r="M42" s="245" t="n">
        <v>2</v>
      </c>
      <c r="N42" s="248" t="n">
        <v>3</v>
      </c>
      <c r="O42" s="127" t="n">
        <f aca="false">IF(M42=1,1,0)</f>
        <v>0</v>
      </c>
      <c r="P42" s="128" t="n">
        <f aca="false">IF(M42=2,1,0)</f>
        <v>1</v>
      </c>
      <c r="Q42" s="128" t="n">
        <f aca="false">IF(M42=3,1,0)</f>
        <v>0</v>
      </c>
      <c r="R42" s="129" t="n">
        <f aca="false">IF(M42=4,1,0)</f>
        <v>0</v>
      </c>
      <c r="S42" s="118"/>
      <c r="T42" s="101"/>
      <c r="U42" s="62"/>
    </row>
    <row r="43" customFormat="false" ht="20.1" hidden="true" customHeight="true" outlineLevel="1" collapsed="false">
      <c r="B43" s="62"/>
      <c r="C43" s="101"/>
      <c r="D43" s="130"/>
      <c r="E43" s="130"/>
      <c r="F43" s="131"/>
      <c r="G43" s="131"/>
      <c r="H43" s="101"/>
      <c r="I43" s="132" t="s">
        <v>89</v>
      </c>
      <c r="J43" s="133" t="n">
        <f aca="false">MAX(J39:J42)</f>
        <v>99</v>
      </c>
      <c r="K43" s="134"/>
      <c r="L43" s="135"/>
      <c r="M43" s="101"/>
      <c r="N43" s="136" t="s">
        <v>90</v>
      </c>
      <c r="O43" s="137" t="n">
        <f aca="false">SUM(O39:O42)</f>
        <v>1</v>
      </c>
      <c r="P43" s="138" t="n">
        <f aca="false">SUM(P39:P42)</f>
        <v>1</v>
      </c>
      <c r="Q43" s="137" t="n">
        <f aca="false">SUM(Q39:Q42)</f>
        <v>1</v>
      </c>
      <c r="R43" s="137" t="n">
        <f aca="false">SUM(R39:R42)</f>
        <v>1</v>
      </c>
      <c r="S43" s="139"/>
      <c r="T43" s="101"/>
      <c r="U43" s="62"/>
    </row>
    <row r="44" customFormat="false" ht="20.1" hidden="false" customHeight="true" outlineLevel="0" collapsed="false">
      <c r="B44" s="62"/>
      <c r="C44" s="101"/>
      <c r="D44" s="101"/>
      <c r="E44" s="101"/>
      <c r="F44" s="140"/>
      <c r="G44" s="140"/>
      <c r="H44" s="103"/>
      <c r="I44" s="101"/>
      <c r="J44" s="101"/>
      <c r="K44" s="101"/>
      <c r="L44" s="101"/>
      <c r="M44" s="101"/>
      <c r="N44" s="101"/>
      <c r="O44" s="101"/>
      <c r="P44" s="101"/>
      <c r="Q44" s="101"/>
      <c r="R44" s="101"/>
      <c r="S44" s="101"/>
      <c r="T44" s="101"/>
      <c r="U44" s="62"/>
    </row>
    <row r="45" customFormat="false" ht="20.1" hidden="false" customHeight="true" outlineLevel="0" collapsed="false">
      <c r="B45" s="62"/>
      <c r="U45" s="62"/>
    </row>
    <row r="46" customFormat="false" ht="20.1" hidden="false" customHeight="true" outlineLevel="0" collapsed="false">
      <c r="B46" s="62"/>
      <c r="C46" s="141"/>
      <c r="D46" s="141"/>
      <c r="E46" s="142" t="str">
        <f aca="false">IF(OR(M28="-",M28= ""),H28,M28)</f>
        <v>Clans of Caledonia</v>
      </c>
      <c r="F46" s="142"/>
      <c r="G46" s="142"/>
      <c r="H46" s="142"/>
      <c r="I46" s="142"/>
      <c r="J46" s="142"/>
      <c r="K46" s="142"/>
      <c r="L46" s="142"/>
      <c r="M46" s="142"/>
      <c r="N46" s="142"/>
      <c r="O46" s="143"/>
      <c r="P46" s="143"/>
      <c r="Q46" s="143"/>
      <c r="R46" s="143"/>
      <c r="S46" s="143"/>
      <c r="T46" s="141"/>
      <c r="U46" s="62"/>
    </row>
    <row r="47" customFormat="false" ht="50.1" hidden="false" customHeight="true" outlineLevel="0" collapsed="false">
      <c r="B47" s="62"/>
      <c r="C47" s="141"/>
      <c r="D47" s="143"/>
      <c r="E47" s="65" t="s">
        <v>53</v>
      </c>
      <c r="F47" s="104" t="s">
        <v>76</v>
      </c>
      <c r="G47" s="67" t="s">
        <v>77</v>
      </c>
      <c r="H47" s="66" t="s">
        <v>78</v>
      </c>
      <c r="I47" s="54" t="s">
        <v>79</v>
      </c>
      <c r="J47" s="66" t="s">
        <v>80</v>
      </c>
      <c r="K47" s="105" t="s">
        <v>81</v>
      </c>
      <c r="L47" s="66" t="s">
        <v>82</v>
      </c>
      <c r="M47" s="106" t="s">
        <v>83</v>
      </c>
      <c r="N47" s="67" t="s">
        <v>84</v>
      </c>
      <c r="O47" s="107" t="s">
        <v>85</v>
      </c>
      <c r="P47" s="108" t="s">
        <v>86</v>
      </c>
      <c r="Q47" s="108" t="s">
        <v>87</v>
      </c>
      <c r="R47" s="108" t="s">
        <v>88</v>
      </c>
      <c r="S47" s="143"/>
      <c r="T47" s="141"/>
      <c r="U47" s="62"/>
    </row>
    <row r="48" customFormat="false" ht="20.1" hidden="false" customHeight="true" outlineLevel="0" collapsed="false">
      <c r="B48" s="62"/>
      <c r="C48" s="141"/>
      <c r="D48" s="141"/>
      <c r="E48" s="318" t="s">
        <v>17</v>
      </c>
      <c r="F48" s="16" t="s">
        <v>18</v>
      </c>
      <c r="G48" s="250" t="n">
        <v>2</v>
      </c>
      <c r="H48" s="251" t="s">
        <v>312</v>
      </c>
      <c r="I48" s="250" t="n">
        <v>-12</v>
      </c>
      <c r="J48" s="251" t="n">
        <v>116</v>
      </c>
      <c r="K48" s="251" t="s">
        <v>67</v>
      </c>
      <c r="L48" s="253" t="n">
        <f aca="false">IF(J48="",0,(J48/J52)*100)</f>
        <v>83.453237410072</v>
      </c>
      <c r="M48" s="250" t="n">
        <v>4</v>
      </c>
      <c r="N48" s="254" t="n">
        <v>0</v>
      </c>
      <c r="O48" s="115" t="n">
        <f aca="false">IF(M48=1,1,0)</f>
        <v>0</v>
      </c>
      <c r="P48" s="116" t="n">
        <f aca="false">IF(M48=2,1,0)</f>
        <v>0</v>
      </c>
      <c r="Q48" s="116" t="n">
        <f aca="false">IF(M48=3,1,0)</f>
        <v>0</v>
      </c>
      <c r="R48" s="117" t="n">
        <f aca="false">IF(M48=4,1,0)</f>
        <v>1</v>
      </c>
      <c r="S48" s="147"/>
      <c r="T48" s="141"/>
      <c r="U48" s="62"/>
    </row>
    <row r="49" customFormat="false" ht="20.1" hidden="false" customHeight="true" outlineLevel="0" collapsed="false">
      <c r="B49" s="62"/>
      <c r="C49" s="141"/>
      <c r="D49" s="148"/>
      <c r="E49" s="326" t="s">
        <v>20</v>
      </c>
      <c r="F49" s="33" t="s">
        <v>21</v>
      </c>
      <c r="G49" s="241" t="n">
        <v>1</v>
      </c>
      <c r="H49" s="242" t="s">
        <v>313</v>
      </c>
      <c r="I49" s="241" t="n">
        <v>-14</v>
      </c>
      <c r="J49" s="242" t="n">
        <v>131</v>
      </c>
      <c r="K49" s="242" t="s">
        <v>67</v>
      </c>
      <c r="L49" s="243" t="n">
        <f aca="false">IF(J49="",0,(J49/J52)*100)</f>
        <v>94.2446043165468</v>
      </c>
      <c r="M49" s="241" t="n">
        <v>3</v>
      </c>
      <c r="N49" s="244" t="n">
        <v>1</v>
      </c>
      <c r="O49" s="121" t="n">
        <f aca="false">IF(M49=1,1,0)</f>
        <v>0</v>
      </c>
      <c r="P49" s="122" t="n">
        <f aca="false">IF(M49=2,1,0)</f>
        <v>0</v>
      </c>
      <c r="Q49" s="122" t="n">
        <f aca="false">IF(M49=3,1,0)</f>
        <v>1</v>
      </c>
      <c r="R49" s="123" t="n">
        <f aca="false">IF(M49=4,1,0)</f>
        <v>0</v>
      </c>
      <c r="S49" s="147"/>
      <c r="T49" s="141"/>
      <c r="U49" s="62"/>
    </row>
    <row r="50" customFormat="false" ht="20.1" hidden="false" customHeight="true" outlineLevel="0" collapsed="false">
      <c r="B50" s="62"/>
      <c r="C50" s="141"/>
      <c r="D50" s="141"/>
      <c r="E50" s="326" t="s">
        <v>12</v>
      </c>
      <c r="F50" s="33" t="s">
        <v>13</v>
      </c>
      <c r="G50" s="241" t="n">
        <v>3</v>
      </c>
      <c r="H50" s="242" t="s">
        <v>314</v>
      </c>
      <c r="I50" s="241" t="n">
        <v>0</v>
      </c>
      <c r="J50" s="242" t="n">
        <v>135</v>
      </c>
      <c r="K50" s="242" t="s">
        <v>67</v>
      </c>
      <c r="L50" s="243" t="n">
        <f aca="false">IF(J50="",0,(J50/J52)*100)</f>
        <v>97.1223021582734</v>
      </c>
      <c r="M50" s="241" t="n">
        <v>2</v>
      </c>
      <c r="N50" s="244" t="n">
        <v>3</v>
      </c>
      <c r="O50" s="121" t="n">
        <f aca="false">IF(M50=1,1,0)</f>
        <v>0</v>
      </c>
      <c r="P50" s="122" t="n">
        <f aca="false">IF(M50=2,1,0)</f>
        <v>1</v>
      </c>
      <c r="Q50" s="122" t="n">
        <f aca="false">IF(M50=3,1,0)</f>
        <v>0</v>
      </c>
      <c r="R50" s="123" t="n">
        <f aca="false">IF(M50=4,1,0)</f>
        <v>0</v>
      </c>
      <c r="S50" s="147"/>
      <c r="T50" s="141"/>
      <c r="U50" s="62"/>
    </row>
    <row r="51" customFormat="false" ht="20.1" hidden="false" customHeight="true" outlineLevel="0" collapsed="false">
      <c r="B51" s="62"/>
      <c r="C51" s="141"/>
      <c r="D51" s="141"/>
      <c r="E51" s="350" t="s">
        <v>15</v>
      </c>
      <c r="F51" s="294" t="s">
        <v>16</v>
      </c>
      <c r="G51" s="295" t="n">
        <v>4</v>
      </c>
      <c r="H51" s="296" t="s">
        <v>315</v>
      </c>
      <c r="I51" s="295" t="n">
        <v>-6</v>
      </c>
      <c r="J51" s="296" t="n">
        <v>139</v>
      </c>
      <c r="K51" s="295" t="s">
        <v>67</v>
      </c>
      <c r="L51" s="297" t="n">
        <f aca="false">IF(J51="",0,(J51/J52)*100)</f>
        <v>100</v>
      </c>
      <c r="M51" s="295" t="n">
        <v>1</v>
      </c>
      <c r="N51" s="298" t="n">
        <v>6</v>
      </c>
      <c r="O51" s="127" t="n">
        <f aca="false">IF(M51=1,1,0)</f>
        <v>1</v>
      </c>
      <c r="P51" s="128" t="n">
        <f aca="false">IF(M51=2,1,0)</f>
        <v>0</v>
      </c>
      <c r="Q51" s="128" t="n">
        <f aca="false">IF(M51=3,1,0)</f>
        <v>0</v>
      </c>
      <c r="R51" s="129" t="n">
        <f aca="false">IF(M51=4,1,0)</f>
        <v>0</v>
      </c>
      <c r="S51" s="147"/>
      <c r="T51" s="141"/>
      <c r="U51" s="62"/>
    </row>
    <row r="52" customFormat="false" ht="20.1" hidden="true" customHeight="true" outlineLevel="1" collapsed="false">
      <c r="B52" s="62"/>
      <c r="C52" s="141"/>
      <c r="D52" s="141"/>
      <c r="E52" s="141"/>
      <c r="F52" s="157"/>
      <c r="G52" s="157"/>
      <c r="H52" s="141"/>
      <c r="I52" s="158" t="s">
        <v>89</v>
      </c>
      <c r="J52" s="133" t="n">
        <f aca="false">MAX(J48:J51)</f>
        <v>139</v>
      </c>
      <c r="K52" s="159"/>
      <c r="L52" s="147"/>
      <c r="M52" s="141"/>
      <c r="N52" s="136" t="s">
        <v>90</v>
      </c>
      <c r="O52" s="137" t="n">
        <f aca="false">SUM(O48:O51)</f>
        <v>1</v>
      </c>
      <c r="P52" s="138" t="n">
        <f aca="false">SUM(P48:P51)</f>
        <v>1</v>
      </c>
      <c r="Q52" s="137" t="n">
        <f aca="false">SUM(Q48:Q51)</f>
        <v>1</v>
      </c>
      <c r="R52" s="160" t="n">
        <f aca="false">SUM(R48:R51)</f>
        <v>1</v>
      </c>
      <c r="S52" s="161"/>
      <c r="T52" s="141"/>
      <c r="U52" s="62"/>
    </row>
    <row r="53" customFormat="false" ht="20.1" hidden="false" customHeight="true" outlineLevel="0" collapsed="false">
      <c r="B53" s="62"/>
      <c r="C53" s="141"/>
      <c r="D53" s="141"/>
      <c r="E53" s="141"/>
      <c r="F53" s="141"/>
      <c r="G53" s="141"/>
      <c r="H53" s="141"/>
      <c r="I53" s="141"/>
      <c r="J53" s="141"/>
      <c r="K53" s="141"/>
      <c r="L53" s="141"/>
      <c r="M53" s="141"/>
      <c r="N53" s="141"/>
      <c r="O53" s="141"/>
      <c r="P53" s="141"/>
      <c r="Q53" s="141"/>
      <c r="R53" s="141"/>
      <c r="S53" s="141"/>
      <c r="T53" s="141"/>
      <c r="U53" s="62"/>
    </row>
    <row r="54" customFormat="false" ht="20.1" hidden="false" customHeight="true" outlineLevel="0" collapsed="false">
      <c r="B54" s="62"/>
      <c r="D54" s="162"/>
      <c r="E54" s="162"/>
      <c r="F54" s="162"/>
      <c r="G54" s="162"/>
      <c r="H54" s="163"/>
      <c r="I54" s="162"/>
      <c r="J54" s="162"/>
      <c r="U54" s="62"/>
    </row>
    <row r="55" customFormat="false" ht="20.1" hidden="false" customHeight="true" outlineLevel="0" collapsed="false">
      <c r="B55" s="62"/>
      <c r="C55" s="164"/>
      <c r="D55" s="164"/>
      <c r="E55" s="165" t="str">
        <f aca="false">IF(OR(M34="-",M34= ""),H34,M34)</f>
        <v>Tzolk'in</v>
      </c>
      <c r="F55" s="165"/>
      <c r="G55" s="165"/>
      <c r="H55" s="165"/>
      <c r="I55" s="165"/>
      <c r="J55" s="165"/>
      <c r="K55" s="165"/>
      <c r="L55" s="165"/>
      <c r="M55" s="165"/>
      <c r="N55" s="165"/>
      <c r="O55" s="166"/>
      <c r="P55" s="166"/>
      <c r="Q55" s="166"/>
      <c r="R55" s="166"/>
      <c r="S55" s="166"/>
      <c r="T55" s="164"/>
      <c r="U55" s="167"/>
      <c r="V55" s="168"/>
      <c r="W55" s="168"/>
    </row>
    <row r="56" customFormat="false" ht="50.1" hidden="false" customHeight="true" outlineLevel="0" collapsed="false">
      <c r="B56" s="62"/>
      <c r="C56" s="164"/>
      <c r="D56" s="166"/>
      <c r="E56" s="65" t="s">
        <v>53</v>
      </c>
      <c r="F56" s="104" t="s">
        <v>76</v>
      </c>
      <c r="G56" s="67" t="s">
        <v>77</v>
      </c>
      <c r="H56" s="66" t="s">
        <v>78</v>
      </c>
      <c r="I56" s="54" t="s">
        <v>79</v>
      </c>
      <c r="J56" s="66" t="s">
        <v>80</v>
      </c>
      <c r="K56" s="105" t="s">
        <v>81</v>
      </c>
      <c r="L56" s="66" t="s">
        <v>82</v>
      </c>
      <c r="M56" s="106" t="s">
        <v>83</v>
      </c>
      <c r="N56" s="67" t="s">
        <v>84</v>
      </c>
      <c r="O56" s="107" t="s">
        <v>85</v>
      </c>
      <c r="P56" s="108" t="s">
        <v>86</v>
      </c>
      <c r="Q56" s="108" t="s">
        <v>87</v>
      </c>
      <c r="R56" s="13" t="s">
        <v>88</v>
      </c>
      <c r="S56" s="166"/>
      <c r="T56" s="164"/>
      <c r="U56" s="167"/>
      <c r="V56" s="168"/>
      <c r="W56" s="168"/>
    </row>
    <row r="57" customFormat="false" ht="20.1" hidden="false" customHeight="true" outlineLevel="0" collapsed="false">
      <c r="B57" s="62"/>
      <c r="C57" s="164"/>
      <c r="D57" s="164"/>
      <c r="E57" s="318" t="s">
        <v>17</v>
      </c>
      <c r="F57" s="16" t="s">
        <v>18</v>
      </c>
      <c r="G57" s="250" t="n">
        <v>1</v>
      </c>
      <c r="H57" s="251" t="s">
        <v>67</v>
      </c>
      <c r="I57" s="250" t="n">
        <v>0</v>
      </c>
      <c r="J57" s="299" t="n">
        <v>72</v>
      </c>
      <c r="K57" s="250" t="s">
        <v>67</v>
      </c>
      <c r="L57" s="253" t="n">
        <f aca="false">IF(J57="",0,(J57/J61)*100)</f>
        <v>62.6086956521739</v>
      </c>
      <c r="M57" s="250" t="n">
        <v>2</v>
      </c>
      <c r="N57" s="254" t="n">
        <v>3</v>
      </c>
      <c r="O57" s="115" t="n">
        <f aca="false">IF(M57=1,1,0)</f>
        <v>0</v>
      </c>
      <c r="P57" s="116" t="n">
        <f aca="false">IF(M57=2,1,0)</f>
        <v>1</v>
      </c>
      <c r="Q57" s="116" t="n">
        <f aca="false">IF(M57=3,1,0)</f>
        <v>0</v>
      </c>
      <c r="R57" s="117" t="n">
        <f aca="false">IF(M57=4,1,0)</f>
        <v>0</v>
      </c>
      <c r="S57" s="170"/>
      <c r="T57" s="164"/>
      <c r="U57" s="62"/>
    </row>
    <row r="58" customFormat="false" ht="20.1" hidden="false" customHeight="true" outlineLevel="0" collapsed="false">
      <c r="B58" s="62"/>
      <c r="C58" s="164"/>
      <c r="D58" s="171"/>
      <c r="E58" s="326" t="s">
        <v>20</v>
      </c>
      <c r="F58" s="33" t="s">
        <v>21</v>
      </c>
      <c r="G58" s="241" t="n">
        <v>3</v>
      </c>
      <c r="H58" s="241" t="s">
        <v>67</v>
      </c>
      <c r="I58" s="241" t="n">
        <v>0</v>
      </c>
      <c r="J58" s="300" t="n">
        <v>49</v>
      </c>
      <c r="K58" s="241" t="s">
        <v>67</v>
      </c>
      <c r="L58" s="243" t="n">
        <f aca="false">IF(J58="",0,(J58/J61)*100)</f>
        <v>42.6086956521739</v>
      </c>
      <c r="M58" s="241" t="n">
        <v>4</v>
      </c>
      <c r="N58" s="244" t="n">
        <v>0</v>
      </c>
      <c r="O58" s="121" t="n">
        <f aca="false">IF(M58=1,1,0)</f>
        <v>0</v>
      </c>
      <c r="P58" s="122" t="n">
        <f aca="false">IF(M58=2,1,0)</f>
        <v>0</v>
      </c>
      <c r="Q58" s="122" t="n">
        <f aca="false">IF(M58=3,1,0)</f>
        <v>0</v>
      </c>
      <c r="R58" s="123" t="n">
        <f aca="false">IF(M58=4,1,0)</f>
        <v>1</v>
      </c>
      <c r="S58" s="170"/>
      <c r="T58" s="164"/>
      <c r="U58" s="173"/>
    </row>
    <row r="59" customFormat="false" ht="20.1" hidden="false" customHeight="true" outlineLevel="0" collapsed="false">
      <c r="B59" s="62"/>
      <c r="C59" s="164"/>
      <c r="D59" s="164"/>
      <c r="E59" s="174" t="s">
        <v>12</v>
      </c>
      <c r="F59" s="175" t="s">
        <v>13</v>
      </c>
      <c r="G59" s="151" t="n">
        <v>2</v>
      </c>
      <c r="H59" s="152" t="s">
        <v>67</v>
      </c>
      <c r="I59" s="151" t="n">
        <v>0</v>
      </c>
      <c r="J59" s="176" t="n">
        <v>115</v>
      </c>
      <c r="K59" s="151" t="s">
        <v>67</v>
      </c>
      <c r="L59" s="153" t="n">
        <f aca="false">IF(J59="",0,(J59/J61)*100)</f>
        <v>100</v>
      </c>
      <c r="M59" s="151" t="n">
        <v>1</v>
      </c>
      <c r="N59" s="154" t="n">
        <v>6</v>
      </c>
      <c r="O59" s="121" t="n">
        <f aca="false">IF(M59=1,1,0)</f>
        <v>1</v>
      </c>
      <c r="P59" s="122" t="n">
        <f aca="false">IF(M59=2,1,0)</f>
        <v>0</v>
      </c>
      <c r="Q59" s="122" t="n">
        <f aca="false">IF(M59=3,1,0)</f>
        <v>0</v>
      </c>
      <c r="R59" s="123" t="n">
        <f aca="false">IF(M59=4,1,0)</f>
        <v>0</v>
      </c>
      <c r="S59" s="170"/>
      <c r="T59" s="164"/>
      <c r="U59" s="173"/>
    </row>
    <row r="60" customFormat="false" ht="20.1" hidden="false" customHeight="true" outlineLevel="0" collapsed="false">
      <c r="B60" s="62"/>
      <c r="C60" s="164"/>
      <c r="D60" s="164"/>
      <c r="E60" s="349" t="s">
        <v>15</v>
      </c>
      <c r="F60" s="44" t="s">
        <v>16</v>
      </c>
      <c r="G60" s="245" t="n">
        <v>4</v>
      </c>
      <c r="H60" s="246" t="s">
        <v>67</v>
      </c>
      <c r="I60" s="245" t="n">
        <v>0</v>
      </c>
      <c r="J60" s="418" t="n">
        <v>56</v>
      </c>
      <c r="K60" s="245" t="s">
        <v>67</v>
      </c>
      <c r="L60" s="247" t="n">
        <f aca="false">IF(J60="",0,(J60/J61)*100)</f>
        <v>48.695652173913</v>
      </c>
      <c r="M60" s="245" t="n">
        <v>3</v>
      </c>
      <c r="N60" s="248" t="n">
        <v>1</v>
      </c>
      <c r="O60" s="127" t="n">
        <f aca="false">IF(M60=1,1,0)</f>
        <v>0</v>
      </c>
      <c r="P60" s="128" t="n">
        <f aca="false">IF(M60=2,1,0)</f>
        <v>0</v>
      </c>
      <c r="Q60" s="128" t="n">
        <f aca="false">IF(M60=3,1,0)</f>
        <v>1</v>
      </c>
      <c r="R60" s="129" t="n">
        <f aca="false">IF(M60=4,1,0)</f>
        <v>0</v>
      </c>
      <c r="S60" s="170"/>
      <c r="T60" s="164"/>
      <c r="U60" s="173"/>
    </row>
    <row r="61" customFormat="false" ht="20.1" hidden="true" customHeight="true" outlineLevel="1" collapsed="false">
      <c r="B61" s="62"/>
      <c r="C61" s="164"/>
      <c r="D61" s="164"/>
      <c r="E61" s="164"/>
      <c r="F61" s="178"/>
      <c r="G61" s="178"/>
      <c r="H61" s="164"/>
      <c r="I61" s="179" t="s">
        <v>89</v>
      </c>
      <c r="J61" s="133" t="n">
        <f aca="false">MAX(J57:J60)</f>
        <v>115</v>
      </c>
      <c r="K61" s="180"/>
      <c r="L61" s="170"/>
      <c r="M61" s="164"/>
      <c r="N61" s="136"/>
      <c r="O61" s="137" t="n">
        <f aca="false">SUM(O57:O60)</f>
        <v>1</v>
      </c>
      <c r="P61" s="138" t="n">
        <f aca="false">SUM(P57:P60)</f>
        <v>1</v>
      </c>
      <c r="Q61" s="137" t="n">
        <f aca="false">SUM(Q57:Q60)</f>
        <v>1</v>
      </c>
      <c r="R61" s="160" t="n">
        <f aca="false">SUM(R57:R60)</f>
        <v>1</v>
      </c>
      <c r="S61" s="181"/>
      <c r="T61" s="164"/>
      <c r="U61" s="173"/>
    </row>
    <row r="62" customFormat="false" ht="20.1" hidden="false" customHeight="true" outlineLevel="0" collapsed="false">
      <c r="B62" s="62"/>
      <c r="C62" s="164"/>
      <c r="D62" s="164"/>
      <c r="E62" s="164"/>
      <c r="F62" s="164"/>
      <c r="G62" s="164"/>
      <c r="H62" s="164"/>
      <c r="I62" s="164"/>
      <c r="J62" s="164"/>
      <c r="K62" s="164"/>
      <c r="L62" s="164"/>
      <c r="M62" s="164"/>
      <c r="N62" s="164"/>
      <c r="O62" s="164"/>
      <c r="P62" s="164"/>
      <c r="Q62" s="164"/>
      <c r="R62" s="164"/>
      <c r="S62" s="164"/>
      <c r="T62" s="164"/>
      <c r="U62" s="173"/>
    </row>
    <row r="63" customFormat="false" ht="20.1" hidden="false" customHeight="true" outlineLevel="0" collapsed="false">
      <c r="B63" s="62"/>
      <c r="D63" s="162"/>
      <c r="E63" s="162"/>
      <c r="F63" s="162"/>
      <c r="G63" s="162"/>
      <c r="H63" s="163"/>
      <c r="I63" s="162"/>
      <c r="J63" s="162"/>
      <c r="K63" s="162"/>
      <c r="U63" s="62"/>
    </row>
    <row r="64" customFormat="false" ht="20.1" hidden="false" customHeight="true" outlineLevel="0" collapsed="false">
      <c r="B64" s="62"/>
      <c r="C64" s="182"/>
      <c r="D64" s="182"/>
      <c r="E64" s="183" t="str">
        <f aca="false">IF(OR(M35="-",M35= ""),H35,M35)</f>
        <v>Can't Stop</v>
      </c>
      <c r="F64" s="183"/>
      <c r="G64" s="183"/>
      <c r="H64" s="183"/>
      <c r="I64" s="183"/>
      <c r="J64" s="183"/>
      <c r="K64" s="183"/>
      <c r="L64" s="183"/>
      <c r="M64" s="183"/>
      <c r="N64" s="183"/>
      <c r="O64" s="184"/>
      <c r="P64" s="184"/>
      <c r="Q64" s="184"/>
      <c r="R64" s="184"/>
      <c r="S64" s="184"/>
      <c r="T64" s="182"/>
      <c r="U64" s="62"/>
    </row>
    <row r="65" customFormat="false" ht="50.1" hidden="false" customHeight="true" outlineLevel="0" collapsed="false">
      <c r="B65" s="62"/>
      <c r="C65" s="182"/>
      <c r="D65" s="184"/>
      <c r="E65" s="65" t="s">
        <v>53</v>
      </c>
      <c r="F65" s="104" t="s">
        <v>76</v>
      </c>
      <c r="G65" s="67" t="s">
        <v>77</v>
      </c>
      <c r="H65" s="66" t="s">
        <v>78</v>
      </c>
      <c r="I65" s="54" t="s">
        <v>79</v>
      </c>
      <c r="J65" s="66" t="s">
        <v>80</v>
      </c>
      <c r="K65" s="105" t="s">
        <v>81</v>
      </c>
      <c r="L65" s="66" t="s">
        <v>82</v>
      </c>
      <c r="M65" s="106" t="s">
        <v>83</v>
      </c>
      <c r="N65" s="67" t="s">
        <v>84</v>
      </c>
      <c r="O65" s="107" t="s">
        <v>85</v>
      </c>
      <c r="P65" s="108" t="s">
        <v>86</v>
      </c>
      <c r="Q65" s="108" t="s">
        <v>87</v>
      </c>
      <c r="R65" s="13" t="s">
        <v>88</v>
      </c>
      <c r="S65" s="184"/>
      <c r="T65" s="182"/>
      <c r="U65" s="62"/>
    </row>
    <row r="66" customFormat="false" ht="20.1" hidden="false" customHeight="true" outlineLevel="0" collapsed="false">
      <c r="B66" s="62"/>
      <c r="C66" s="182"/>
      <c r="D66" s="182"/>
      <c r="E66" s="403" t="s">
        <v>17</v>
      </c>
      <c r="F66" s="110" t="s">
        <v>18</v>
      </c>
      <c r="G66" s="111" t="n">
        <v>4</v>
      </c>
      <c r="H66" s="111" t="s">
        <v>67</v>
      </c>
      <c r="I66" s="111" t="n">
        <v>0</v>
      </c>
      <c r="J66" s="111" t="n">
        <v>3</v>
      </c>
      <c r="K66" s="111" t="s">
        <v>67</v>
      </c>
      <c r="L66" s="113" t="n">
        <f aca="false">IF(J66="",0,(J66/J70)*100)</f>
        <v>100</v>
      </c>
      <c r="M66" s="111" t="n">
        <v>1</v>
      </c>
      <c r="N66" s="114" t="n">
        <v>6</v>
      </c>
      <c r="O66" s="115" t="n">
        <f aca="false">IF(M66=1,1,0)</f>
        <v>1</v>
      </c>
      <c r="P66" s="116" t="n">
        <f aca="false">IF(M66=2,1,0)</f>
        <v>0</v>
      </c>
      <c r="Q66" s="116" t="n">
        <f aca="false">IF(M66=3,1,0)</f>
        <v>0</v>
      </c>
      <c r="R66" s="117" t="n">
        <f aca="false">IF(M66=4,1,0)</f>
        <v>0</v>
      </c>
      <c r="S66" s="185"/>
      <c r="T66" s="182"/>
      <c r="U66" s="62"/>
    </row>
    <row r="67" customFormat="false" ht="20.1" hidden="false" customHeight="true" outlineLevel="0" collapsed="false">
      <c r="B67" s="62"/>
      <c r="C67" s="182"/>
      <c r="D67" s="182"/>
      <c r="E67" s="326" t="s">
        <v>20</v>
      </c>
      <c r="F67" s="33" t="s">
        <v>21</v>
      </c>
      <c r="G67" s="241" t="n">
        <v>2</v>
      </c>
      <c r="H67" s="241" t="s">
        <v>67</v>
      </c>
      <c r="I67" s="241" t="n">
        <v>0</v>
      </c>
      <c r="J67" s="241" t="n">
        <v>1</v>
      </c>
      <c r="K67" s="241" t="s">
        <v>67</v>
      </c>
      <c r="L67" s="243" t="n">
        <f aca="false">IF(J67="",0,(J67/J70)*100)</f>
        <v>33.3333333333333</v>
      </c>
      <c r="M67" s="241" t="n">
        <v>2</v>
      </c>
      <c r="N67" s="244" t="n">
        <v>2</v>
      </c>
      <c r="O67" s="121" t="n">
        <f aca="false">IF(M67=1,1,0)</f>
        <v>0</v>
      </c>
      <c r="P67" s="122" t="n">
        <f aca="false">IF(M67=2,1,0)</f>
        <v>1</v>
      </c>
      <c r="Q67" s="122" t="n">
        <f aca="false">IF(M67=3,1,0)</f>
        <v>0</v>
      </c>
      <c r="R67" s="123" t="n">
        <f aca="false">IF(M67=4,1,0)</f>
        <v>0</v>
      </c>
      <c r="S67" s="185"/>
      <c r="T67" s="182"/>
      <c r="U67" s="62"/>
    </row>
    <row r="68" customFormat="false" ht="20.1" hidden="false" customHeight="true" outlineLevel="0" collapsed="false">
      <c r="B68" s="62"/>
      <c r="C68" s="182"/>
      <c r="D68" s="182"/>
      <c r="E68" s="326" t="s">
        <v>12</v>
      </c>
      <c r="F68" s="33" t="s">
        <v>13</v>
      </c>
      <c r="G68" s="241" t="n">
        <v>3</v>
      </c>
      <c r="H68" s="241" t="s">
        <v>67</v>
      </c>
      <c r="I68" s="241" t="n">
        <v>0</v>
      </c>
      <c r="J68" s="241" t="n">
        <v>1</v>
      </c>
      <c r="K68" s="241" t="s">
        <v>67</v>
      </c>
      <c r="L68" s="243" t="n">
        <f aca="false">IF(J68="",0,(J68/J70)*100)</f>
        <v>33.3333333333333</v>
      </c>
      <c r="M68" s="241" t="n">
        <v>2</v>
      </c>
      <c r="N68" s="244" t="n">
        <v>2</v>
      </c>
      <c r="O68" s="121" t="n">
        <f aca="false">IF(M68=1,1,0)</f>
        <v>0</v>
      </c>
      <c r="P68" s="122" t="n">
        <f aca="false">IF(M68=2,1,0)</f>
        <v>1</v>
      </c>
      <c r="Q68" s="122" t="n">
        <f aca="false">IF(M68=3,1,0)</f>
        <v>0</v>
      </c>
      <c r="R68" s="123" t="n">
        <f aca="false">IF(M68=4,1,0)</f>
        <v>0</v>
      </c>
      <c r="S68" s="185"/>
      <c r="T68" s="182"/>
      <c r="U68" s="62"/>
    </row>
    <row r="69" customFormat="false" ht="20.1" hidden="false" customHeight="true" outlineLevel="0" collapsed="false">
      <c r="B69" s="62"/>
      <c r="C69" s="182"/>
      <c r="D69" s="186"/>
      <c r="E69" s="349" t="s">
        <v>15</v>
      </c>
      <c r="F69" s="44" t="s">
        <v>16</v>
      </c>
      <c r="G69" s="245" t="n">
        <v>1</v>
      </c>
      <c r="H69" s="245" t="s">
        <v>67</v>
      </c>
      <c r="I69" s="245" t="n">
        <v>0</v>
      </c>
      <c r="J69" s="245" t="n">
        <v>0</v>
      </c>
      <c r="K69" s="245" t="s">
        <v>67</v>
      </c>
      <c r="L69" s="247" t="n">
        <f aca="false">IF(J69="",0,(J69/J70)*100)</f>
        <v>0</v>
      </c>
      <c r="M69" s="245" t="n">
        <v>4</v>
      </c>
      <c r="N69" s="248" t="n">
        <v>0</v>
      </c>
      <c r="O69" s="127" t="n">
        <f aca="false">IF(M69=1,1,0)</f>
        <v>0</v>
      </c>
      <c r="P69" s="128" t="n">
        <f aca="false">IF(M69=2,1,0)</f>
        <v>0</v>
      </c>
      <c r="Q69" s="128" t="n">
        <f aca="false">IF(M69=3,1,0)</f>
        <v>0</v>
      </c>
      <c r="R69" s="129" t="n">
        <f aca="false">IF(M69=4,1,0)</f>
        <v>1</v>
      </c>
      <c r="S69" s="185"/>
      <c r="T69" s="182"/>
      <c r="U69" s="62"/>
    </row>
    <row r="70" customFormat="false" ht="20.1" hidden="true" customHeight="true" outlineLevel="1" collapsed="false">
      <c r="B70" s="62"/>
      <c r="C70" s="182"/>
      <c r="D70" s="182"/>
      <c r="E70" s="182"/>
      <c r="F70" s="187"/>
      <c r="G70" s="187"/>
      <c r="H70" s="182"/>
      <c r="I70" s="158" t="s">
        <v>89</v>
      </c>
      <c r="J70" s="133" t="n">
        <f aca="false">MAX(J66:J69)</f>
        <v>3</v>
      </c>
      <c r="K70" s="188"/>
      <c r="L70" s="185"/>
      <c r="M70" s="182"/>
      <c r="N70" s="136" t="s">
        <v>90</v>
      </c>
      <c r="O70" s="137" t="n">
        <f aca="false">SUM(O66:O69)</f>
        <v>1</v>
      </c>
      <c r="P70" s="138" t="n">
        <f aca="false">SUM(P66:P69)</f>
        <v>2</v>
      </c>
      <c r="Q70" s="137" t="n">
        <f aca="false">SUM(Q66:Q69)</f>
        <v>0</v>
      </c>
      <c r="R70" s="160" t="n">
        <f aca="false">SUM(R66:R69)</f>
        <v>1</v>
      </c>
      <c r="S70" s="189"/>
      <c r="T70" s="182"/>
      <c r="U70" s="62"/>
    </row>
    <row r="71" customFormat="false" ht="20.1" hidden="false" customHeight="true" outlineLevel="0" collapsed="false">
      <c r="B71" s="62"/>
      <c r="C71" s="182"/>
      <c r="D71" s="182"/>
      <c r="E71" s="182"/>
      <c r="F71" s="182"/>
      <c r="G71" s="182"/>
      <c r="H71" s="182"/>
      <c r="I71" s="182"/>
      <c r="J71" s="182"/>
      <c r="K71" s="182"/>
      <c r="L71" s="182"/>
      <c r="M71" s="182"/>
      <c r="N71" s="182"/>
      <c r="O71" s="182"/>
      <c r="P71" s="182"/>
      <c r="Q71" s="182"/>
      <c r="R71" s="182"/>
      <c r="S71" s="182"/>
      <c r="T71" s="182"/>
      <c r="U71" s="62"/>
    </row>
    <row r="72" customFormat="false" ht="20.1" hidden="false" customHeight="true" outlineLevel="0" collapsed="false">
      <c r="B72" s="62"/>
      <c r="D72" s="5"/>
      <c r="E72" s="5"/>
      <c r="F72" s="5"/>
      <c r="G72" s="5"/>
      <c r="H72" s="5"/>
      <c r="I72" s="5"/>
      <c r="J72" s="5"/>
      <c r="U72" s="62"/>
    </row>
    <row r="73" customFormat="false" ht="30" hidden="false" customHeight="true" outlineLevel="0" collapsed="false">
      <c r="B73" s="62"/>
      <c r="C73" s="190"/>
      <c r="D73" s="191" t="s">
        <v>99</v>
      </c>
      <c r="E73" s="191"/>
      <c r="F73" s="191"/>
      <c r="G73" s="191"/>
      <c r="H73" s="191"/>
      <c r="I73" s="191"/>
      <c r="J73" s="191"/>
      <c r="K73" s="191"/>
      <c r="L73" s="191"/>
      <c r="M73" s="191"/>
      <c r="N73" s="191"/>
      <c r="O73" s="191"/>
      <c r="P73" s="191"/>
      <c r="Q73" s="191"/>
      <c r="R73" s="191"/>
      <c r="S73" s="191"/>
      <c r="T73" s="190"/>
      <c r="U73" s="62"/>
    </row>
    <row r="74" customFormat="false" ht="50.1" hidden="false" customHeight="true" outlineLevel="0" collapsed="false">
      <c r="B74" s="62"/>
      <c r="C74" s="190"/>
      <c r="D74" s="192" t="s">
        <v>53</v>
      </c>
      <c r="E74" s="193" t="s">
        <v>54</v>
      </c>
      <c r="F74" s="194" t="s">
        <v>84</v>
      </c>
      <c r="G74" s="195" t="s">
        <v>100</v>
      </c>
      <c r="H74" s="196" t="s">
        <v>101</v>
      </c>
      <c r="I74" s="196"/>
      <c r="J74" s="197" t="s">
        <v>102</v>
      </c>
      <c r="K74" s="198" t="s">
        <v>103</v>
      </c>
      <c r="L74" s="194" t="s">
        <v>104</v>
      </c>
      <c r="M74" s="198" t="s">
        <v>105</v>
      </c>
      <c r="N74" s="194" t="s">
        <v>106</v>
      </c>
      <c r="O74" s="199"/>
      <c r="P74" s="200"/>
      <c r="Q74" s="200"/>
      <c r="R74" s="200"/>
      <c r="S74" s="193" t="s">
        <v>107</v>
      </c>
      <c r="T74" s="190"/>
      <c r="U74" s="62"/>
    </row>
    <row r="75" customFormat="false" ht="20.1" hidden="false" customHeight="true" outlineLevel="0" collapsed="false">
      <c r="B75" s="62"/>
      <c r="C75" s="190"/>
      <c r="D75" s="425" t="s">
        <v>17</v>
      </c>
      <c r="E75" s="302" t="s">
        <v>18</v>
      </c>
      <c r="F75" s="203" t="n">
        <f aca="false">(K75*6+L75*3+M75*1+N75*0)</f>
        <v>15</v>
      </c>
      <c r="G75" s="203" t="n">
        <v>0</v>
      </c>
      <c r="H75" s="204" t="s">
        <v>67</v>
      </c>
      <c r="I75" s="204"/>
      <c r="J75" s="203" t="n">
        <f aca="false">F75+G75</f>
        <v>15</v>
      </c>
      <c r="K75" s="203" t="n">
        <v>2</v>
      </c>
      <c r="L75" s="203" t="n">
        <v>1</v>
      </c>
      <c r="M75" s="203" t="n">
        <v>0</v>
      </c>
      <c r="N75" s="203" t="n">
        <v>1</v>
      </c>
      <c r="O75" s="203"/>
      <c r="P75" s="203"/>
      <c r="Q75" s="203"/>
      <c r="R75" s="203"/>
      <c r="S75" s="205" t="n">
        <f aca="false">(L39+L48+L57+L66)/4</f>
        <v>86.5154832655615</v>
      </c>
      <c r="T75" s="190"/>
      <c r="U75" s="62"/>
      <c r="W75" s="206"/>
      <c r="X75" s="206"/>
      <c r="Y75" s="206"/>
      <c r="Z75" s="206"/>
    </row>
    <row r="76" customFormat="false" ht="20.1" hidden="false" customHeight="true" outlineLevel="0" collapsed="false">
      <c r="B76" s="62"/>
      <c r="C76" s="190"/>
      <c r="D76" s="444" t="s">
        <v>12</v>
      </c>
      <c r="E76" s="208" t="s">
        <v>13</v>
      </c>
      <c r="F76" s="209" t="n">
        <f aca="false">(K76*6+L76*3+M76*1+N76*0)</f>
        <v>12</v>
      </c>
      <c r="G76" s="209" t="n">
        <v>0</v>
      </c>
      <c r="H76" s="210" t="s">
        <v>67</v>
      </c>
      <c r="I76" s="210"/>
      <c r="J76" s="209" t="n">
        <f aca="false">F76+G76</f>
        <v>12</v>
      </c>
      <c r="K76" s="209" t="n">
        <v>1</v>
      </c>
      <c r="L76" s="209" t="n">
        <v>1.5</v>
      </c>
      <c r="M76" s="209" t="n">
        <v>1.5</v>
      </c>
      <c r="N76" s="209" t="n">
        <v>0</v>
      </c>
      <c r="O76" s="209"/>
      <c r="P76" s="209"/>
      <c r="Q76" s="209"/>
      <c r="R76" s="209"/>
      <c r="S76" s="211" t="n">
        <f aca="false">(L41+L50+L59+L68)/4</f>
        <v>75.7957270547198</v>
      </c>
      <c r="T76" s="190"/>
      <c r="U76" s="62"/>
      <c r="W76" s="212"/>
      <c r="X76" s="212"/>
      <c r="Y76" s="212"/>
      <c r="Z76" s="212"/>
    </row>
    <row r="77" customFormat="false" ht="20.1" hidden="false" customHeight="true" outlineLevel="0" collapsed="false">
      <c r="B77" s="62"/>
      <c r="C77" s="190"/>
      <c r="D77" s="444" t="s">
        <v>15</v>
      </c>
      <c r="E77" s="208" t="s">
        <v>16</v>
      </c>
      <c r="F77" s="209" t="n">
        <f aca="false">(K77*6+L77*3+M77*1+N77*0)</f>
        <v>10</v>
      </c>
      <c r="G77" s="209" t="n">
        <v>0</v>
      </c>
      <c r="H77" s="210" t="s">
        <v>67</v>
      </c>
      <c r="I77" s="210"/>
      <c r="J77" s="209" t="n">
        <f aca="false">F77+G77</f>
        <v>10</v>
      </c>
      <c r="K77" s="209" t="n">
        <v>1</v>
      </c>
      <c r="L77" s="209" t="n">
        <v>1</v>
      </c>
      <c r="M77" s="209" t="n">
        <v>1</v>
      </c>
      <c r="N77" s="209" t="n">
        <v>1</v>
      </c>
      <c r="O77" s="209"/>
      <c r="P77" s="209"/>
      <c r="Q77" s="209"/>
      <c r="R77" s="209"/>
      <c r="S77" s="211" t="n">
        <f aca="false">(L42+L51+L60+L69)/4</f>
        <v>59.3961352657005</v>
      </c>
      <c r="T77" s="190"/>
      <c r="U77" s="62"/>
      <c r="W77" s="212"/>
      <c r="X77" s="212"/>
      <c r="Y77" s="212"/>
      <c r="Z77" s="212"/>
    </row>
    <row r="78" customFormat="false" ht="20.1" hidden="false" customHeight="true" outlineLevel="0" collapsed="false">
      <c r="B78" s="62"/>
      <c r="C78" s="190"/>
      <c r="D78" s="427" t="s">
        <v>20</v>
      </c>
      <c r="E78" s="215" t="s">
        <v>21</v>
      </c>
      <c r="F78" s="216" t="n">
        <f aca="false">(K78*6+L78*3+M78*1+N78*0)</f>
        <v>3</v>
      </c>
      <c r="G78" s="216" t="n">
        <v>0</v>
      </c>
      <c r="H78" s="217" t="s">
        <v>67</v>
      </c>
      <c r="I78" s="217"/>
      <c r="J78" s="216" t="n">
        <f aca="false">F78+G78</f>
        <v>3</v>
      </c>
      <c r="K78" s="216" t="n">
        <v>0</v>
      </c>
      <c r="L78" s="216" t="n">
        <v>0.5</v>
      </c>
      <c r="M78" s="216" t="n">
        <v>1.5</v>
      </c>
      <c r="N78" s="216" t="n">
        <v>2</v>
      </c>
      <c r="O78" s="216"/>
      <c r="P78" s="216"/>
      <c r="Q78" s="216"/>
      <c r="R78" s="216"/>
      <c r="S78" s="218" t="n">
        <f aca="false">(L40+L49+L58+L67)/4</f>
        <v>48.6072643861196</v>
      </c>
      <c r="T78" s="190"/>
      <c r="U78" s="62"/>
      <c r="W78" s="212"/>
      <c r="X78" s="212"/>
      <c r="Y78" s="212"/>
      <c r="Z78" s="212"/>
      <c r="AB78" s="212"/>
      <c r="AC78" s="212"/>
      <c r="AD78" s="212"/>
      <c r="AE78" s="212"/>
    </row>
    <row r="79" customFormat="false" ht="20.1" hidden="false" customHeight="true" outlineLevel="0" collapsed="false">
      <c r="B79" s="62"/>
      <c r="C79" s="190"/>
      <c r="D79" s="422"/>
      <c r="E79" s="422"/>
      <c r="F79" s="275"/>
      <c r="G79" s="275"/>
      <c r="H79" s="423"/>
      <c r="I79" s="423"/>
      <c r="J79" s="275"/>
      <c r="K79" s="275"/>
      <c r="L79" s="275"/>
      <c r="M79" s="275"/>
      <c r="N79" s="275"/>
      <c r="O79" s="275"/>
      <c r="P79" s="275"/>
      <c r="Q79" s="275"/>
      <c r="R79" s="275"/>
      <c r="S79" s="424"/>
      <c r="T79" s="190"/>
      <c r="U79" s="62"/>
      <c r="W79" s="212"/>
      <c r="X79" s="212"/>
      <c r="Y79" s="212"/>
      <c r="Z79" s="212"/>
    </row>
    <row r="80" customFormat="false" ht="20.1" hidden="false" customHeight="true" outlineLevel="0" collapsed="false">
      <c r="B80" s="62"/>
      <c r="C80" s="62"/>
      <c r="D80" s="219"/>
      <c r="E80" s="219"/>
      <c r="F80" s="167"/>
      <c r="G80" s="167"/>
      <c r="H80" s="219"/>
      <c r="I80" s="219"/>
      <c r="J80" s="219"/>
      <c r="K80" s="62"/>
      <c r="L80" s="62"/>
      <c r="M80" s="62"/>
      <c r="N80" s="62"/>
      <c r="O80" s="62"/>
      <c r="P80" s="62"/>
      <c r="Q80" s="62"/>
      <c r="R80" s="62"/>
      <c r="S80" s="62"/>
      <c r="T80" s="62"/>
      <c r="U80" s="62"/>
    </row>
    <row r="81" customFormat="false" ht="20.1" hidden="false" customHeight="true" outlineLevel="0" collapsed="false">
      <c r="D81" s="220"/>
    </row>
    <row r="82" customFormat="false" ht="20.1" hidden="false" customHeight="true" outlineLevel="0" collapsed="false">
      <c r="D82" s="221"/>
    </row>
    <row r="83" customFormat="false" ht="20.1" hidden="false" customHeight="true" outlineLevel="0" collapsed="false">
      <c r="B83" s="62"/>
      <c r="C83" s="62"/>
      <c r="D83" s="63"/>
      <c r="E83" s="63"/>
      <c r="F83" s="63"/>
      <c r="G83" s="63"/>
      <c r="H83" s="62"/>
      <c r="I83" s="62"/>
      <c r="J83" s="62"/>
      <c r="K83" s="62"/>
      <c r="L83" s="62"/>
      <c r="M83" s="62"/>
      <c r="N83" s="62"/>
      <c r="O83" s="62"/>
      <c r="P83" s="62"/>
      <c r="Q83" s="62"/>
      <c r="R83" s="62"/>
      <c r="S83" s="62"/>
      <c r="T83" s="62"/>
      <c r="U83" s="62"/>
    </row>
    <row r="84" customFormat="false" ht="30" hidden="false" customHeight="true" outlineLevel="0" collapsed="false">
      <c r="B84" s="62"/>
      <c r="C84" s="64" t="s">
        <v>108</v>
      </c>
      <c r="D84" s="64"/>
      <c r="E84" s="64"/>
      <c r="F84" s="64"/>
      <c r="G84" s="64"/>
      <c r="H84" s="64"/>
      <c r="I84" s="64"/>
      <c r="J84" s="64"/>
      <c r="K84" s="64"/>
      <c r="L84" s="64"/>
      <c r="M84" s="64"/>
      <c r="N84" s="64"/>
      <c r="O84" s="64"/>
      <c r="P84" s="64"/>
      <c r="Q84" s="64"/>
      <c r="R84" s="64"/>
      <c r="S84" s="64"/>
      <c r="T84" s="64"/>
      <c r="U84" s="62"/>
    </row>
    <row r="85" customFormat="false" ht="20.1" hidden="false" customHeight="true" outlineLevel="0" collapsed="false">
      <c r="B85" s="62"/>
      <c r="U85" s="62"/>
    </row>
    <row r="86" customFormat="false" ht="20.1" hidden="false" customHeight="true" outlineLevel="0" collapsed="false">
      <c r="B86" s="62"/>
      <c r="D86" s="65" t="s">
        <v>53</v>
      </c>
      <c r="E86" s="66" t="s">
        <v>54</v>
      </c>
      <c r="F86" s="67" t="s">
        <v>11</v>
      </c>
      <c r="G86" s="223" t="s">
        <v>55</v>
      </c>
      <c r="H86" s="223"/>
      <c r="I86" s="223"/>
      <c r="J86" s="223"/>
      <c r="K86" s="66" t="s">
        <v>56</v>
      </c>
      <c r="L86" s="68" t="s">
        <v>57</v>
      </c>
      <c r="M86" s="68"/>
      <c r="N86" s="68"/>
      <c r="O86" s="68"/>
      <c r="P86" s="68"/>
      <c r="Q86" s="68"/>
      <c r="R86" s="68"/>
      <c r="S86" s="68"/>
      <c r="U86" s="62"/>
    </row>
    <row r="87" customFormat="false" ht="20.1" hidden="false" customHeight="true" outlineLevel="0" collapsed="false">
      <c r="B87" s="62"/>
      <c r="D87" s="65"/>
      <c r="E87" s="66"/>
      <c r="F87" s="66"/>
      <c r="G87" s="70" t="s">
        <v>58</v>
      </c>
      <c r="H87" s="69" t="s">
        <v>59</v>
      </c>
      <c r="I87" s="67" t="s">
        <v>60</v>
      </c>
      <c r="J87" s="67"/>
      <c r="K87" s="69" t="s">
        <v>61</v>
      </c>
      <c r="L87" s="224" t="s">
        <v>58</v>
      </c>
      <c r="M87" s="225" t="s">
        <v>62</v>
      </c>
      <c r="N87" s="67" t="s">
        <v>60</v>
      </c>
      <c r="O87" s="67"/>
      <c r="P87" s="67"/>
      <c r="Q87" s="67"/>
      <c r="R87" s="67"/>
      <c r="S87" s="67"/>
      <c r="U87" s="62"/>
    </row>
    <row r="88" customFormat="false" ht="27.95" hidden="false" customHeight="true" outlineLevel="0" collapsed="false">
      <c r="B88" s="62"/>
      <c r="D88" s="318" t="s">
        <v>37</v>
      </c>
      <c r="E88" s="18" t="s">
        <v>38</v>
      </c>
      <c r="F88" s="382" t="n">
        <v>1</v>
      </c>
      <c r="G88" s="72" t="s">
        <v>114</v>
      </c>
      <c r="H88" s="74" t="s">
        <v>115</v>
      </c>
      <c r="I88" s="321" t="s">
        <v>241</v>
      </c>
      <c r="J88" s="321"/>
      <c r="K88" s="431" t="s">
        <v>111</v>
      </c>
      <c r="L88" s="323" t="s">
        <v>67</v>
      </c>
      <c r="M88" s="324" t="s">
        <v>67</v>
      </c>
      <c r="N88" s="78" t="s">
        <v>67</v>
      </c>
      <c r="O88" s="78"/>
      <c r="P88" s="78"/>
      <c r="Q88" s="78"/>
      <c r="R88" s="78"/>
      <c r="S88" s="78"/>
      <c r="U88" s="62"/>
    </row>
    <row r="89" customFormat="false" ht="15" hidden="false" customHeight="true" outlineLevel="0" collapsed="false">
      <c r="B89" s="62"/>
      <c r="D89" s="318"/>
      <c r="E89" s="18"/>
      <c r="F89" s="382"/>
      <c r="G89" s="72"/>
      <c r="H89" s="74"/>
      <c r="I89" s="325" t="s">
        <v>242</v>
      </c>
      <c r="J89" s="325"/>
      <c r="K89" s="431"/>
      <c r="L89" s="323"/>
      <c r="M89" s="324"/>
      <c r="N89" s="78"/>
      <c r="O89" s="78"/>
      <c r="P89" s="78"/>
      <c r="Q89" s="78"/>
      <c r="R89" s="78"/>
      <c r="S89" s="78"/>
      <c r="U89" s="62"/>
    </row>
    <row r="90" customFormat="false" ht="15" hidden="false" customHeight="true" outlineLevel="0" collapsed="false">
      <c r="B90" s="62"/>
      <c r="D90" s="318"/>
      <c r="E90" s="18"/>
      <c r="F90" s="382"/>
      <c r="G90" s="72"/>
      <c r="H90" s="74"/>
      <c r="I90" s="325" t="s">
        <v>243</v>
      </c>
      <c r="J90" s="325"/>
      <c r="K90" s="431"/>
      <c r="L90" s="323"/>
      <c r="M90" s="324"/>
      <c r="N90" s="78"/>
      <c r="O90" s="78"/>
      <c r="P90" s="78"/>
      <c r="Q90" s="78"/>
      <c r="R90" s="78"/>
      <c r="S90" s="78"/>
      <c r="U90" s="62"/>
    </row>
    <row r="91" customFormat="false" ht="15" hidden="false" customHeight="true" outlineLevel="0" collapsed="false">
      <c r="B91" s="62"/>
      <c r="D91" s="318"/>
      <c r="E91" s="18"/>
      <c r="F91" s="382"/>
      <c r="G91" s="72"/>
      <c r="H91" s="74"/>
      <c r="I91" s="325" t="s">
        <v>244</v>
      </c>
      <c r="J91" s="325"/>
      <c r="K91" s="431"/>
      <c r="L91" s="323"/>
      <c r="M91" s="324"/>
      <c r="N91" s="78"/>
      <c r="O91" s="78"/>
      <c r="P91" s="78"/>
      <c r="Q91" s="78"/>
      <c r="R91" s="78"/>
      <c r="S91" s="78"/>
      <c r="U91" s="62"/>
    </row>
    <row r="92" customFormat="false" ht="27.95" hidden="false" customHeight="true" outlineLevel="0" collapsed="false">
      <c r="B92" s="62"/>
      <c r="D92" s="333" t="s">
        <v>39</v>
      </c>
      <c r="E92" s="33" t="s">
        <v>40</v>
      </c>
      <c r="F92" s="383" t="n">
        <v>2</v>
      </c>
      <c r="G92" s="80" t="s">
        <v>63</v>
      </c>
      <c r="H92" s="82" t="s">
        <v>277</v>
      </c>
      <c r="I92" s="328" t="s">
        <v>278</v>
      </c>
      <c r="J92" s="328"/>
      <c r="K92" s="353" t="s">
        <v>111</v>
      </c>
      <c r="L92" s="330" t="s">
        <v>67</v>
      </c>
      <c r="M92" s="331" t="s">
        <v>67</v>
      </c>
      <c r="N92" s="86" t="s">
        <v>67</v>
      </c>
      <c r="O92" s="86"/>
      <c r="P92" s="86"/>
      <c r="Q92" s="86"/>
      <c r="R92" s="86"/>
      <c r="S92" s="86"/>
      <c r="U92" s="62"/>
    </row>
    <row r="93" customFormat="false" ht="15" hidden="false" customHeight="true" outlineLevel="0" collapsed="false">
      <c r="B93" s="62"/>
      <c r="D93" s="333"/>
      <c r="E93" s="33"/>
      <c r="F93" s="383"/>
      <c r="G93" s="80"/>
      <c r="H93" s="82"/>
      <c r="I93" s="332" t="s">
        <v>279</v>
      </c>
      <c r="J93" s="332"/>
      <c r="K93" s="353"/>
      <c r="L93" s="330"/>
      <c r="M93" s="331"/>
      <c r="N93" s="86"/>
      <c r="O93" s="86"/>
      <c r="P93" s="86"/>
      <c r="Q93" s="86"/>
      <c r="R93" s="86"/>
      <c r="S93" s="86"/>
      <c r="U93" s="62"/>
    </row>
    <row r="94" customFormat="false" ht="15" hidden="false" customHeight="true" outlineLevel="0" collapsed="false">
      <c r="B94" s="62"/>
      <c r="D94" s="333"/>
      <c r="E94" s="33"/>
      <c r="F94" s="383"/>
      <c r="G94" s="80"/>
      <c r="H94" s="82"/>
      <c r="I94" s="332" t="s">
        <v>280</v>
      </c>
      <c r="J94" s="332"/>
      <c r="K94" s="353"/>
      <c r="L94" s="330"/>
      <c r="M94" s="331"/>
      <c r="N94" s="86"/>
      <c r="O94" s="86"/>
      <c r="P94" s="86"/>
      <c r="Q94" s="86"/>
      <c r="R94" s="86"/>
      <c r="S94" s="86"/>
      <c r="U94" s="62"/>
    </row>
    <row r="95" customFormat="false" ht="15" hidden="false" customHeight="true" outlineLevel="0" collapsed="false">
      <c r="B95" s="62"/>
      <c r="D95" s="326" t="s">
        <v>29</v>
      </c>
      <c r="E95" s="32" t="s">
        <v>30</v>
      </c>
      <c r="F95" s="383" t="n">
        <v>3</v>
      </c>
      <c r="G95" s="232" t="s">
        <v>63</v>
      </c>
      <c r="H95" s="355" t="s">
        <v>68</v>
      </c>
      <c r="I95" s="335" t="s">
        <v>316</v>
      </c>
      <c r="J95" s="335"/>
      <c r="K95" s="356" t="s">
        <v>111</v>
      </c>
      <c r="L95" s="330" t="s">
        <v>67</v>
      </c>
      <c r="M95" s="331" t="s">
        <v>67</v>
      </c>
      <c r="N95" s="86" t="s">
        <v>67</v>
      </c>
      <c r="O95" s="86"/>
      <c r="P95" s="86"/>
      <c r="Q95" s="86"/>
      <c r="R95" s="86"/>
      <c r="S95" s="86"/>
      <c r="U95" s="62"/>
    </row>
    <row r="96" customFormat="false" ht="27.95" hidden="false" customHeight="true" outlineLevel="0" collapsed="false">
      <c r="B96" s="62"/>
      <c r="D96" s="326"/>
      <c r="E96" s="32"/>
      <c r="F96" s="383"/>
      <c r="G96" s="232"/>
      <c r="H96" s="355"/>
      <c r="I96" s="338" t="s">
        <v>317</v>
      </c>
      <c r="J96" s="338"/>
      <c r="K96" s="356"/>
      <c r="L96" s="330"/>
      <c r="M96" s="331"/>
      <c r="N96" s="86"/>
      <c r="O96" s="86"/>
      <c r="P96" s="86"/>
      <c r="Q96" s="86"/>
      <c r="R96" s="86"/>
      <c r="S96" s="86"/>
      <c r="U96" s="62"/>
    </row>
    <row r="97" customFormat="false" ht="15" hidden="false" customHeight="true" outlineLevel="0" collapsed="false">
      <c r="B97" s="62"/>
      <c r="D97" s="326"/>
      <c r="E97" s="32"/>
      <c r="F97" s="383"/>
      <c r="G97" s="232"/>
      <c r="H97" s="355"/>
      <c r="I97" s="338" t="s">
        <v>318</v>
      </c>
      <c r="J97" s="338"/>
      <c r="K97" s="356"/>
      <c r="L97" s="330"/>
      <c r="M97" s="331"/>
      <c r="N97" s="86"/>
      <c r="O97" s="86"/>
      <c r="P97" s="86"/>
      <c r="Q97" s="86"/>
      <c r="R97" s="86"/>
      <c r="S97" s="86"/>
      <c r="U97" s="62"/>
    </row>
    <row r="98" customFormat="false" ht="15" hidden="false" customHeight="true" outlineLevel="0" collapsed="false">
      <c r="B98" s="62"/>
      <c r="D98" s="326"/>
      <c r="E98" s="32"/>
      <c r="F98" s="383"/>
      <c r="G98" s="232"/>
      <c r="H98" s="355"/>
      <c r="I98" s="338" t="s">
        <v>319</v>
      </c>
      <c r="J98" s="338"/>
      <c r="K98" s="356"/>
      <c r="L98" s="330"/>
      <c r="M98" s="331"/>
      <c r="N98" s="86"/>
      <c r="O98" s="86"/>
      <c r="P98" s="86"/>
      <c r="Q98" s="86"/>
      <c r="R98" s="86"/>
      <c r="S98" s="86"/>
      <c r="U98" s="62"/>
    </row>
    <row r="99" customFormat="false" ht="15" hidden="false" customHeight="true" outlineLevel="0" collapsed="false">
      <c r="B99" s="62"/>
      <c r="D99" s="326"/>
      <c r="E99" s="32"/>
      <c r="F99" s="383"/>
      <c r="G99" s="232"/>
      <c r="H99" s="355"/>
      <c r="I99" s="338" t="s">
        <v>320</v>
      </c>
      <c r="J99" s="338"/>
      <c r="K99" s="356"/>
      <c r="L99" s="330"/>
      <c r="M99" s="331"/>
      <c r="N99" s="86"/>
      <c r="O99" s="86"/>
      <c r="P99" s="86"/>
      <c r="Q99" s="86"/>
      <c r="R99" s="86"/>
      <c r="S99" s="86"/>
      <c r="U99" s="62"/>
    </row>
    <row r="100" customFormat="false" ht="15" hidden="false" customHeight="true" outlineLevel="0" collapsed="false">
      <c r="B100" s="62"/>
      <c r="D100" s="326"/>
      <c r="E100" s="32"/>
      <c r="F100" s="383"/>
      <c r="G100" s="232"/>
      <c r="H100" s="355"/>
      <c r="I100" s="338" t="s">
        <v>321</v>
      </c>
      <c r="J100" s="338"/>
      <c r="K100" s="356"/>
      <c r="L100" s="330"/>
      <c r="M100" s="331"/>
      <c r="N100" s="86"/>
      <c r="O100" s="86"/>
      <c r="P100" s="86"/>
      <c r="Q100" s="86"/>
      <c r="R100" s="86"/>
      <c r="S100" s="86"/>
      <c r="U100" s="62"/>
    </row>
    <row r="101" customFormat="false" ht="15" hidden="false" customHeight="true" outlineLevel="0" collapsed="false">
      <c r="B101" s="62"/>
      <c r="D101" s="326"/>
      <c r="E101" s="32"/>
      <c r="F101" s="383"/>
      <c r="G101" s="232"/>
      <c r="H101" s="355"/>
      <c r="I101" s="338" t="s">
        <v>322</v>
      </c>
      <c r="J101" s="338"/>
      <c r="K101" s="356"/>
      <c r="L101" s="330"/>
      <c r="M101" s="331"/>
      <c r="N101" s="86"/>
      <c r="O101" s="86"/>
      <c r="P101" s="86"/>
      <c r="Q101" s="86"/>
      <c r="R101" s="86"/>
      <c r="S101" s="86"/>
      <c r="U101" s="62"/>
    </row>
    <row r="102" customFormat="false" ht="15" hidden="false" customHeight="true" outlineLevel="0" collapsed="false">
      <c r="B102" s="62"/>
      <c r="D102" s="326"/>
      <c r="E102" s="32"/>
      <c r="F102" s="383"/>
      <c r="G102" s="232"/>
      <c r="H102" s="355"/>
      <c r="I102" s="338" t="s">
        <v>323</v>
      </c>
      <c r="J102" s="338"/>
      <c r="K102" s="356"/>
      <c r="L102" s="330"/>
      <c r="M102" s="331"/>
      <c r="N102" s="86"/>
      <c r="O102" s="86"/>
      <c r="P102" s="86"/>
      <c r="Q102" s="86"/>
      <c r="R102" s="86"/>
      <c r="S102" s="86"/>
      <c r="U102" s="62"/>
    </row>
    <row r="103" customFormat="false" ht="15" hidden="false" customHeight="true" outlineLevel="0" collapsed="false">
      <c r="B103" s="62"/>
      <c r="D103" s="349" t="s">
        <v>27</v>
      </c>
      <c r="E103" s="44" t="s">
        <v>28</v>
      </c>
      <c r="F103" s="396" t="n">
        <v>4</v>
      </c>
      <c r="G103" s="358" t="s">
        <v>114</v>
      </c>
      <c r="H103" s="96" t="s">
        <v>117</v>
      </c>
      <c r="I103" s="342" t="s">
        <v>190</v>
      </c>
      <c r="J103" s="342"/>
      <c r="K103" s="441" t="s">
        <v>111</v>
      </c>
      <c r="L103" s="442" t="s">
        <v>67</v>
      </c>
      <c r="M103" s="345" t="s">
        <v>67</v>
      </c>
      <c r="N103" s="239" t="s">
        <v>67</v>
      </c>
      <c r="O103" s="239"/>
      <c r="P103" s="239"/>
      <c r="Q103" s="239"/>
      <c r="R103" s="239"/>
      <c r="S103" s="239"/>
      <c r="U103" s="62"/>
    </row>
    <row r="104" customFormat="false" ht="15" hidden="false" customHeight="true" outlineLevel="0" collapsed="false">
      <c r="B104" s="62"/>
      <c r="D104" s="349"/>
      <c r="E104" s="44"/>
      <c r="F104" s="396"/>
      <c r="G104" s="358"/>
      <c r="H104" s="96"/>
      <c r="I104" s="347" t="s">
        <v>191</v>
      </c>
      <c r="J104" s="347"/>
      <c r="K104" s="441"/>
      <c r="L104" s="442"/>
      <c r="M104" s="345"/>
      <c r="N104" s="345"/>
      <c r="O104" s="239"/>
      <c r="P104" s="239"/>
      <c r="Q104" s="239"/>
      <c r="R104" s="239"/>
      <c r="S104" s="239"/>
      <c r="U104" s="62"/>
    </row>
    <row r="105" customFormat="false" ht="15" hidden="false" customHeight="true" outlineLevel="0" collapsed="false">
      <c r="B105" s="62"/>
      <c r="D105" s="349"/>
      <c r="E105" s="44"/>
      <c r="F105" s="396"/>
      <c r="G105" s="358"/>
      <c r="H105" s="96"/>
      <c r="I105" s="347" t="s">
        <v>192</v>
      </c>
      <c r="J105" s="347"/>
      <c r="K105" s="441"/>
      <c r="L105" s="442"/>
      <c r="M105" s="345"/>
      <c r="N105" s="345"/>
      <c r="O105" s="239"/>
      <c r="P105" s="239"/>
      <c r="Q105" s="239"/>
      <c r="R105" s="239"/>
      <c r="S105" s="239"/>
      <c r="U105" s="62"/>
    </row>
    <row r="106" customFormat="false" ht="15" hidden="false" customHeight="true" outlineLevel="0" collapsed="false">
      <c r="B106" s="62"/>
      <c r="D106" s="349"/>
      <c r="E106" s="44"/>
      <c r="F106" s="396"/>
      <c r="G106" s="358"/>
      <c r="H106" s="96"/>
      <c r="I106" s="348" t="s">
        <v>193</v>
      </c>
      <c r="J106" s="348"/>
      <c r="K106" s="441"/>
      <c r="L106" s="442"/>
      <c r="M106" s="345"/>
      <c r="N106" s="345"/>
      <c r="O106" s="239"/>
      <c r="P106" s="239"/>
      <c r="Q106" s="239"/>
      <c r="R106" s="239"/>
      <c r="S106" s="239"/>
      <c r="U106" s="62"/>
    </row>
    <row r="107" customFormat="false" ht="20.1" hidden="false" customHeight="true" outlineLevel="0" collapsed="false">
      <c r="B107" s="62"/>
      <c r="U107" s="62"/>
    </row>
    <row r="108" customFormat="false" ht="20.1" hidden="false" customHeight="true" outlineLevel="0" collapsed="false">
      <c r="B108" s="62"/>
      <c r="C108" s="101"/>
      <c r="D108" s="101"/>
      <c r="E108" s="102" t="str">
        <f aca="false">IF(OR(L88="-",L88= ""),H88,L88)</f>
        <v>Orakel von Delphi</v>
      </c>
      <c r="F108" s="102"/>
      <c r="G108" s="102"/>
      <c r="H108" s="102"/>
      <c r="I108" s="102"/>
      <c r="J108" s="102"/>
      <c r="K108" s="102"/>
      <c r="L108" s="102"/>
      <c r="M108" s="102"/>
      <c r="N108" s="102"/>
      <c r="O108" s="103"/>
      <c r="P108" s="103"/>
      <c r="Q108" s="103"/>
      <c r="R108" s="103"/>
      <c r="S108" s="103"/>
      <c r="T108" s="101"/>
      <c r="U108" s="62"/>
    </row>
    <row r="109" customFormat="false" ht="50.1" hidden="false" customHeight="true" outlineLevel="0" collapsed="false">
      <c r="B109" s="62"/>
      <c r="C109" s="101"/>
      <c r="D109" s="103"/>
      <c r="E109" s="65" t="s">
        <v>53</v>
      </c>
      <c r="F109" s="104" t="s">
        <v>76</v>
      </c>
      <c r="G109" s="67" t="s">
        <v>77</v>
      </c>
      <c r="H109" s="66" t="s">
        <v>78</v>
      </c>
      <c r="I109" s="54" t="s">
        <v>79</v>
      </c>
      <c r="J109" s="66" t="s">
        <v>80</v>
      </c>
      <c r="K109" s="105" t="s">
        <v>81</v>
      </c>
      <c r="L109" s="66" t="s">
        <v>82</v>
      </c>
      <c r="M109" s="106" t="s">
        <v>83</v>
      </c>
      <c r="N109" s="67" t="s">
        <v>84</v>
      </c>
      <c r="O109" s="107" t="s">
        <v>85</v>
      </c>
      <c r="P109" s="108" t="s">
        <v>86</v>
      </c>
      <c r="Q109" s="108" t="s">
        <v>87</v>
      </c>
      <c r="R109" s="13" t="s">
        <v>88</v>
      </c>
      <c r="S109" s="103"/>
      <c r="T109" s="101"/>
      <c r="U109" s="62"/>
    </row>
    <row r="110" customFormat="false" ht="45" hidden="false" customHeight="false" outlineLevel="0" collapsed="false">
      <c r="B110" s="62"/>
      <c r="C110" s="101"/>
      <c r="D110" s="124"/>
      <c r="E110" s="318" t="s">
        <v>37</v>
      </c>
      <c r="F110" s="16" t="s">
        <v>38</v>
      </c>
      <c r="G110" s="250" t="n">
        <v>4</v>
      </c>
      <c r="H110" s="250" t="s">
        <v>128</v>
      </c>
      <c r="I110" s="250" t="s">
        <v>67</v>
      </c>
      <c r="J110" s="251" t="s">
        <v>324</v>
      </c>
      <c r="K110" s="250" t="s">
        <v>67</v>
      </c>
      <c r="L110" s="253" t="n">
        <f aca="false">(L121+L130+L138)/3</f>
        <v>79.1098484848485</v>
      </c>
      <c r="M110" s="250" t="n">
        <v>3</v>
      </c>
      <c r="N110" s="254" t="n">
        <v>1</v>
      </c>
      <c r="O110" s="115" t="n">
        <f aca="false">IF(M110=1,1,0)</f>
        <v>0</v>
      </c>
      <c r="P110" s="116" t="n">
        <f aca="false">IF(M110=2,1,0)</f>
        <v>0</v>
      </c>
      <c r="Q110" s="116" t="n">
        <f aca="false">IF(M110=3,1,0)</f>
        <v>1</v>
      </c>
      <c r="R110" s="117" t="n">
        <f aca="false">IF(M110=4,1,0)</f>
        <v>0</v>
      </c>
      <c r="S110" s="118"/>
      <c r="T110" s="101"/>
      <c r="U110" s="62"/>
    </row>
    <row r="111" customFormat="false" ht="30" hidden="false" customHeight="false" outlineLevel="0" collapsed="false">
      <c r="B111" s="62"/>
      <c r="C111" s="101"/>
      <c r="D111" s="101"/>
      <c r="E111" s="326" t="s">
        <v>39</v>
      </c>
      <c r="F111" s="33" t="s">
        <v>40</v>
      </c>
      <c r="G111" s="241" t="n">
        <v>3</v>
      </c>
      <c r="H111" s="241" t="s">
        <v>126</v>
      </c>
      <c r="I111" s="241" t="s">
        <v>67</v>
      </c>
      <c r="J111" s="242" t="s">
        <v>325</v>
      </c>
      <c r="K111" s="242" t="s">
        <v>67</v>
      </c>
      <c r="L111" s="243" t="n">
        <f aca="false">(L120+L129+L139)/3</f>
        <v>66.3938492063492</v>
      </c>
      <c r="M111" s="241" t="n">
        <v>4</v>
      </c>
      <c r="N111" s="244" t="n">
        <v>0</v>
      </c>
      <c r="O111" s="121" t="n">
        <f aca="false">IF(M111=1,1,0)</f>
        <v>0</v>
      </c>
      <c r="P111" s="122" t="n">
        <f aca="false">IF(M111=2,1,0)</f>
        <v>0</v>
      </c>
      <c r="Q111" s="122" t="n">
        <f aca="false">IF(M111=3,1,0)</f>
        <v>0</v>
      </c>
      <c r="R111" s="123" t="n">
        <f aca="false">IF(M111=4,1,0)</f>
        <v>1</v>
      </c>
      <c r="S111" s="118"/>
      <c r="T111" s="101"/>
      <c r="U111" s="62"/>
    </row>
    <row r="112" customFormat="false" ht="45" hidden="false" customHeight="false" outlineLevel="0" collapsed="false">
      <c r="B112" s="62"/>
      <c r="C112" s="101"/>
      <c r="D112" s="101"/>
      <c r="E112" s="326" t="s">
        <v>29</v>
      </c>
      <c r="F112" s="33" t="s">
        <v>30</v>
      </c>
      <c r="G112" s="241" t="n">
        <v>1</v>
      </c>
      <c r="H112" s="241" t="s">
        <v>259</v>
      </c>
      <c r="I112" s="241" t="s">
        <v>67</v>
      </c>
      <c r="J112" s="242" t="s">
        <v>326</v>
      </c>
      <c r="K112" s="241" t="s">
        <v>284</v>
      </c>
      <c r="L112" s="243" t="n">
        <v>100</v>
      </c>
      <c r="M112" s="241" t="n">
        <v>2</v>
      </c>
      <c r="N112" s="244" t="n">
        <v>3</v>
      </c>
      <c r="O112" s="121" t="n">
        <f aca="false">IF(M112=1,1,0)</f>
        <v>0</v>
      </c>
      <c r="P112" s="122" t="n">
        <f aca="false">IF(M112=2,1,0)</f>
        <v>1</v>
      </c>
      <c r="Q112" s="122" t="n">
        <f aca="false">IF(M112=3,1,0)</f>
        <v>0</v>
      </c>
      <c r="R112" s="123" t="n">
        <f aca="false">IF(M112=4,1,0)</f>
        <v>0</v>
      </c>
      <c r="S112" s="118"/>
      <c r="T112" s="101"/>
      <c r="U112" s="62"/>
    </row>
    <row r="113" customFormat="false" ht="45.75" hidden="false" customHeight="false" outlineLevel="0" collapsed="false">
      <c r="B113" s="62"/>
      <c r="C113" s="101"/>
      <c r="D113" s="101"/>
      <c r="E113" s="350" t="s">
        <v>27</v>
      </c>
      <c r="F113" s="294" t="s">
        <v>28</v>
      </c>
      <c r="G113" s="295" t="n">
        <v>2</v>
      </c>
      <c r="H113" s="296" t="s">
        <v>258</v>
      </c>
      <c r="I113" s="295" t="s">
        <v>67</v>
      </c>
      <c r="J113" s="296" t="s">
        <v>326</v>
      </c>
      <c r="K113" s="296" t="s">
        <v>327</v>
      </c>
      <c r="L113" s="297" t="n">
        <v>100</v>
      </c>
      <c r="M113" s="295" t="n">
        <v>1</v>
      </c>
      <c r="N113" s="298" t="n">
        <v>6</v>
      </c>
      <c r="O113" s="127" t="n">
        <f aca="false">IF(M113=1,1,0)</f>
        <v>1</v>
      </c>
      <c r="P113" s="128" t="n">
        <f aca="false">IF(M113=2,1,0)</f>
        <v>0</v>
      </c>
      <c r="Q113" s="128" t="n">
        <f aca="false">IF(M113=3,1,0)</f>
        <v>0</v>
      </c>
      <c r="R113" s="129" t="n">
        <f aca="false">IF(M113=4,1,0)</f>
        <v>0</v>
      </c>
      <c r="S113" s="118"/>
      <c r="T113" s="101"/>
      <c r="U113" s="62"/>
    </row>
    <row r="114" customFormat="false" ht="20.1" hidden="true" customHeight="true" outlineLevel="1" collapsed="false">
      <c r="B114" s="62"/>
      <c r="C114" s="101"/>
      <c r="D114" s="124"/>
      <c r="E114" s="124"/>
      <c r="F114" s="131"/>
      <c r="G114" s="131"/>
      <c r="H114" s="101"/>
      <c r="I114" s="179" t="s">
        <v>89</v>
      </c>
      <c r="J114" s="133" t="n">
        <f aca="false">MAX(J110:J113)</f>
        <v>0</v>
      </c>
      <c r="K114" s="249"/>
      <c r="L114" s="139"/>
      <c r="M114" s="101"/>
      <c r="N114" s="136" t="s">
        <v>90</v>
      </c>
      <c r="O114" s="137" t="n">
        <f aca="false">SUM(O110:O113)</f>
        <v>1</v>
      </c>
      <c r="P114" s="138" t="n">
        <f aca="false">SUM(P110:P113)</f>
        <v>1</v>
      </c>
      <c r="Q114" s="137" t="n">
        <f aca="false">SUM(Q110:Q113)</f>
        <v>1</v>
      </c>
      <c r="R114" s="160" t="n">
        <f aca="false">SUM(R110:R113)</f>
        <v>1</v>
      </c>
      <c r="S114" s="139"/>
      <c r="T114" s="101"/>
      <c r="U114" s="62"/>
    </row>
    <row r="115" customFormat="false" ht="20.1" hidden="false" customHeight="true" outlineLevel="0" collapsed="false">
      <c r="B115" s="62"/>
      <c r="C115" s="101"/>
      <c r="D115" s="101"/>
      <c r="E115" s="101"/>
      <c r="F115" s="101"/>
      <c r="G115" s="101"/>
      <c r="H115" s="101"/>
      <c r="I115" s="101"/>
      <c r="J115" s="101"/>
      <c r="K115" s="101"/>
      <c r="L115" s="101"/>
      <c r="M115" s="101"/>
      <c r="N115" s="101"/>
      <c r="O115" s="101"/>
      <c r="P115" s="101"/>
      <c r="Q115" s="101"/>
      <c r="R115" s="101"/>
      <c r="S115" s="101"/>
      <c r="T115" s="101"/>
      <c r="U115" s="62"/>
    </row>
    <row r="116" customFormat="false" ht="20.1" hidden="false" customHeight="true" outlineLevel="0" collapsed="false">
      <c r="B116" s="62"/>
      <c r="U116" s="62"/>
    </row>
    <row r="117" customFormat="false" ht="20.1" hidden="false" customHeight="true" outlineLevel="0" collapsed="false">
      <c r="B117" s="62"/>
      <c r="C117" s="141"/>
      <c r="D117" s="141"/>
      <c r="E117" s="142" t="str">
        <f aca="false">IF(OR(L92="-",L92= ""),H92,L92)</f>
        <v>Parks</v>
      </c>
      <c r="F117" s="142"/>
      <c r="G117" s="142"/>
      <c r="H117" s="142"/>
      <c r="I117" s="142"/>
      <c r="J117" s="142"/>
      <c r="K117" s="142"/>
      <c r="L117" s="142"/>
      <c r="M117" s="142"/>
      <c r="N117" s="142"/>
      <c r="O117" s="143"/>
      <c r="P117" s="143"/>
      <c r="Q117" s="143"/>
      <c r="R117" s="143"/>
      <c r="S117" s="143"/>
      <c r="T117" s="141"/>
      <c r="U117" s="62"/>
    </row>
    <row r="118" customFormat="false" ht="50.1" hidden="false" customHeight="true" outlineLevel="0" collapsed="false">
      <c r="B118" s="62"/>
      <c r="C118" s="141"/>
      <c r="D118" s="143"/>
      <c r="E118" s="65" t="s">
        <v>53</v>
      </c>
      <c r="F118" s="104" t="s">
        <v>76</v>
      </c>
      <c r="G118" s="67" t="s">
        <v>77</v>
      </c>
      <c r="H118" s="66" t="s">
        <v>78</v>
      </c>
      <c r="I118" s="54" t="s">
        <v>79</v>
      </c>
      <c r="J118" s="66" t="s">
        <v>80</v>
      </c>
      <c r="K118" s="105" t="s">
        <v>81</v>
      </c>
      <c r="L118" s="66" t="s">
        <v>82</v>
      </c>
      <c r="M118" s="106" t="s">
        <v>83</v>
      </c>
      <c r="N118" s="67" t="s">
        <v>84</v>
      </c>
      <c r="O118" s="107" t="s">
        <v>85</v>
      </c>
      <c r="P118" s="108" t="s">
        <v>86</v>
      </c>
      <c r="Q118" s="108" t="s">
        <v>87</v>
      </c>
      <c r="R118" s="13" t="s">
        <v>88</v>
      </c>
      <c r="S118" s="143"/>
      <c r="T118" s="141"/>
      <c r="U118" s="62"/>
    </row>
    <row r="119" customFormat="false" ht="20.1" hidden="false" customHeight="true" outlineLevel="0" collapsed="false">
      <c r="B119" s="62"/>
      <c r="C119" s="141"/>
      <c r="D119" s="148"/>
      <c r="E119" s="403" t="s">
        <v>37</v>
      </c>
      <c r="F119" s="110" t="s">
        <v>38</v>
      </c>
      <c r="G119" s="111" t="n">
        <v>2</v>
      </c>
      <c r="H119" s="112" t="s">
        <v>67</v>
      </c>
      <c r="I119" s="111" t="n">
        <v>0</v>
      </c>
      <c r="J119" s="112" t="n">
        <v>35</v>
      </c>
      <c r="K119" s="406" t="s">
        <v>328</v>
      </c>
      <c r="L119" s="113" t="n">
        <f aca="false">IF(J119="",0,(J119/J123)*100)</f>
        <v>100</v>
      </c>
      <c r="M119" s="111" t="n">
        <v>1</v>
      </c>
      <c r="N119" s="114" t="n">
        <v>6</v>
      </c>
      <c r="O119" s="115" t="n">
        <f aca="false">IF(M119=1,1,0)</f>
        <v>1</v>
      </c>
      <c r="P119" s="116" t="n">
        <f aca="false">IF(M119=2,1,0)</f>
        <v>0</v>
      </c>
      <c r="Q119" s="116" t="n">
        <f aca="false">IF(M119=3,1,0)</f>
        <v>0</v>
      </c>
      <c r="R119" s="117" t="n">
        <f aca="false">IF(M119=4,1,0)</f>
        <v>0</v>
      </c>
      <c r="S119" s="147"/>
      <c r="T119" s="141"/>
      <c r="U119" s="62"/>
    </row>
    <row r="120" customFormat="false" ht="20.1" hidden="false" customHeight="true" outlineLevel="0" collapsed="false">
      <c r="B120" s="62"/>
      <c r="C120" s="141"/>
      <c r="D120" s="141"/>
      <c r="E120" s="326" t="s">
        <v>39</v>
      </c>
      <c r="F120" s="33" t="s">
        <v>40</v>
      </c>
      <c r="G120" s="241" t="n">
        <v>3</v>
      </c>
      <c r="H120" s="242" t="s">
        <v>67</v>
      </c>
      <c r="I120" s="241" t="n">
        <v>0</v>
      </c>
      <c r="J120" s="242" t="n">
        <v>33</v>
      </c>
      <c r="K120" s="242" t="s">
        <v>67</v>
      </c>
      <c r="L120" s="243" t="n">
        <f aca="false">IF(J120="",0,(J120/J123)*100)</f>
        <v>94.2857142857143</v>
      </c>
      <c r="M120" s="241" t="n">
        <v>4</v>
      </c>
      <c r="N120" s="244" t="n">
        <v>0</v>
      </c>
      <c r="O120" s="121" t="n">
        <f aca="false">IF(M120=1,1,0)</f>
        <v>0</v>
      </c>
      <c r="P120" s="122" t="n">
        <f aca="false">IF(M120=2,1,0)</f>
        <v>0</v>
      </c>
      <c r="Q120" s="122" t="n">
        <f aca="false">IF(M120=3,1,0)</f>
        <v>0</v>
      </c>
      <c r="R120" s="123" t="n">
        <f aca="false">IF(M120=4,1,0)</f>
        <v>1</v>
      </c>
      <c r="S120" s="147"/>
      <c r="T120" s="141"/>
      <c r="U120" s="62"/>
    </row>
    <row r="121" customFormat="false" ht="20.1" hidden="false" customHeight="true" outlineLevel="0" collapsed="false">
      <c r="B121" s="62"/>
      <c r="C121" s="141"/>
      <c r="D121" s="148"/>
      <c r="E121" s="326" t="s">
        <v>29</v>
      </c>
      <c r="F121" s="33" t="s">
        <v>30</v>
      </c>
      <c r="G121" s="241" t="n">
        <v>4</v>
      </c>
      <c r="H121" s="242" t="s">
        <v>67</v>
      </c>
      <c r="I121" s="241" t="n">
        <v>0</v>
      </c>
      <c r="J121" s="242" t="n">
        <v>35</v>
      </c>
      <c r="K121" s="255" t="s">
        <v>287</v>
      </c>
      <c r="L121" s="243" t="n">
        <f aca="false">IF(J121="",0,(J121/J123)*100)</f>
        <v>100</v>
      </c>
      <c r="M121" s="241" t="n">
        <v>3</v>
      </c>
      <c r="N121" s="244" t="n">
        <v>1</v>
      </c>
      <c r="O121" s="121" t="n">
        <f aca="false">IF(M121=1,1,0)</f>
        <v>0</v>
      </c>
      <c r="P121" s="122" t="n">
        <f aca="false">IF(M121=2,1,0)</f>
        <v>0</v>
      </c>
      <c r="Q121" s="122" t="n">
        <f aca="false">IF(M121=3,1,0)</f>
        <v>1</v>
      </c>
      <c r="R121" s="123" t="n">
        <f aca="false">IF(M121=4,1,0)</f>
        <v>0</v>
      </c>
      <c r="S121" s="147"/>
      <c r="T121" s="141"/>
      <c r="U121" s="62"/>
    </row>
    <row r="122" customFormat="false" ht="20.1" hidden="false" customHeight="true" outlineLevel="0" collapsed="false">
      <c r="B122" s="62"/>
      <c r="C122" s="141"/>
      <c r="D122" s="141"/>
      <c r="E122" s="349" t="s">
        <v>27</v>
      </c>
      <c r="F122" s="44" t="s">
        <v>28</v>
      </c>
      <c r="G122" s="245" t="n">
        <v>1</v>
      </c>
      <c r="H122" s="246" t="s">
        <v>67</v>
      </c>
      <c r="I122" s="245" t="n">
        <v>0</v>
      </c>
      <c r="J122" s="246" t="n">
        <v>35</v>
      </c>
      <c r="K122" s="246" t="s">
        <v>329</v>
      </c>
      <c r="L122" s="247" t="n">
        <f aca="false">IF(J122="",0,(J122/J123)*100)</f>
        <v>100</v>
      </c>
      <c r="M122" s="245" t="n">
        <v>2</v>
      </c>
      <c r="N122" s="248" t="n">
        <v>3</v>
      </c>
      <c r="O122" s="127" t="n">
        <f aca="false">IF(M122=1,1,0)</f>
        <v>0</v>
      </c>
      <c r="P122" s="128" t="n">
        <f aca="false">IF(M122=2,1,0)</f>
        <v>1</v>
      </c>
      <c r="Q122" s="128" t="n">
        <f aca="false">IF(M122=3,1,0)</f>
        <v>0</v>
      </c>
      <c r="R122" s="129" t="n">
        <f aca="false">IF(M122=4,1,0)</f>
        <v>0</v>
      </c>
      <c r="S122" s="147"/>
      <c r="T122" s="141"/>
      <c r="U122" s="62"/>
    </row>
    <row r="123" customFormat="false" ht="20.1" hidden="true" customHeight="true" outlineLevel="1" collapsed="false">
      <c r="B123" s="62"/>
      <c r="C123" s="141"/>
      <c r="D123" s="141"/>
      <c r="E123" s="141"/>
      <c r="F123" s="157"/>
      <c r="G123" s="157"/>
      <c r="H123" s="141"/>
      <c r="I123" s="179" t="s">
        <v>89</v>
      </c>
      <c r="J123" s="133" t="n">
        <f aca="false">MAX(J119:J122)</f>
        <v>35</v>
      </c>
      <c r="K123" s="159"/>
      <c r="L123" s="147"/>
      <c r="M123" s="141"/>
      <c r="N123" s="136" t="s">
        <v>90</v>
      </c>
      <c r="O123" s="137" t="n">
        <f aca="false">SUM(O119:O122)</f>
        <v>1</v>
      </c>
      <c r="P123" s="138" t="n">
        <f aca="false">SUM(P119:P122)</f>
        <v>1</v>
      </c>
      <c r="Q123" s="137" t="n">
        <f aca="false">SUM(Q119:Q122)</f>
        <v>1</v>
      </c>
      <c r="R123" s="160" t="n">
        <f aca="false">SUM(R119:R122)</f>
        <v>1</v>
      </c>
      <c r="S123" s="161"/>
      <c r="T123" s="141"/>
      <c r="U123" s="62"/>
    </row>
    <row r="124" customFormat="false" ht="20.1" hidden="false" customHeight="true" outlineLevel="0" collapsed="false">
      <c r="B124" s="62"/>
      <c r="C124" s="141"/>
      <c r="D124" s="141"/>
      <c r="E124" s="141"/>
      <c r="F124" s="141"/>
      <c r="G124" s="141"/>
      <c r="H124" s="141"/>
      <c r="I124" s="141"/>
      <c r="J124" s="141"/>
      <c r="K124" s="141"/>
      <c r="L124" s="141"/>
      <c r="M124" s="141"/>
      <c r="N124" s="141"/>
      <c r="O124" s="141"/>
      <c r="P124" s="141"/>
      <c r="Q124" s="141"/>
      <c r="R124" s="141"/>
      <c r="S124" s="141"/>
      <c r="T124" s="141"/>
      <c r="U124" s="62"/>
    </row>
    <row r="125" customFormat="false" ht="20.1" hidden="false" customHeight="true" outlineLevel="0" collapsed="false">
      <c r="B125" s="62"/>
      <c r="D125" s="162"/>
      <c r="E125" s="162"/>
      <c r="F125" s="162"/>
      <c r="G125" s="162"/>
      <c r="H125" s="163"/>
      <c r="I125" s="162"/>
      <c r="J125" s="162"/>
      <c r="U125" s="62"/>
    </row>
    <row r="126" customFormat="false" ht="20.1" hidden="false" customHeight="true" outlineLevel="0" collapsed="false">
      <c r="B126" s="62"/>
      <c r="C126" s="164"/>
      <c r="D126" s="164"/>
      <c r="E126" s="165" t="str">
        <f aca="false">IF(OR(L95="-",L95= ""),H95,L95)</f>
        <v>Terra Mystica</v>
      </c>
      <c r="F126" s="165"/>
      <c r="G126" s="165"/>
      <c r="H126" s="165"/>
      <c r="I126" s="165"/>
      <c r="J126" s="165"/>
      <c r="K126" s="165"/>
      <c r="L126" s="165"/>
      <c r="M126" s="165"/>
      <c r="N126" s="165"/>
      <c r="O126" s="166"/>
      <c r="P126" s="166"/>
      <c r="Q126" s="166"/>
      <c r="R126" s="166"/>
      <c r="S126" s="166"/>
      <c r="T126" s="164"/>
      <c r="U126" s="167"/>
    </row>
    <row r="127" customFormat="false" ht="50.1" hidden="false" customHeight="true" outlineLevel="0" collapsed="false">
      <c r="B127" s="62"/>
      <c r="C127" s="164"/>
      <c r="D127" s="166"/>
      <c r="E127" s="65" t="s">
        <v>53</v>
      </c>
      <c r="F127" s="104" t="s">
        <v>76</v>
      </c>
      <c r="G127" s="67" t="s">
        <v>77</v>
      </c>
      <c r="H127" s="66" t="s">
        <v>78</v>
      </c>
      <c r="I127" s="54" t="s">
        <v>79</v>
      </c>
      <c r="J127" s="66" t="s">
        <v>80</v>
      </c>
      <c r="K127" s="105" t="s">
        <v>81</v>
      </c>
      <c r="L127" s="66" t="s">
        <v>82</v>
      </c>
      <c r="M127" s="106" t="s">
        <v>83</v>
      </c>
      <c r="N127" s="67" t="s">
        <v>84</v>
      </c>
      <c r="O127" s="107" t="s">
        <v>85</v>
      </c>
      <c r="P127" s="108" t="s">
        <v>86</v>
      </c>
      <c r="Q127" s="108" t="s">
        <v>87</v>
      </c>
      <c r="R127" s="13" t="s">
        <v>88</v>
      </c>
      <c r="S127" s="166"/>
      <c r="T127" s="164"/>
      <c r="U127" s="167"/>
    </row>
    <row r="128" customFormat="false" ht="20.1" hidden="false" customHeight="true" outlineLevel="0" collapsed="false">
      <c r="B128" s="62"/>
      <c r="C128" s="164"/>
      <c r="D128" s="171"/>
      <c r="E128" s="403" t="s">
        <v>37</v>
      </c>
      <c r="F128" s="110" t="s">
        <v>38</v>
      </c>
      <c r="G128" s="111" t="n">
        <v>1</v>
      </c>
      <c r="H128" s="112" t="s">
        <v>159</v>
      </c>
      <c r="I128" s="111" t="n">
        <v>23</v>
      </c>
      <c r="J128" s="112" t="n">
        <v>165</v>
      </c>
      <c r="K128" s="113" t="s">
        <v>67</v>
      </c>
      <c r="L128" s="113" t="n">
        <f aca="false">IF(J128="",0,(J128/J132)*100)</f>
        <v>100</v>
      </c>
      <c r="M128" s="111" t="n">
        <v>1</v>
      </c>
      <c r="N128" s="114" t="n">
        <v>6</v>
      </c>
      <c r="O128" s="115" t="n">
        <f aca="false">IF(M128=1,1,0)</f>
        <v>1</v>
      </c>
      <c r="P128" s="116" t="n">
        <f aca="false">IF(M128=2,1,0)</f>
        <v>0</v>
      </c>
      <c r="Q128" s="116" t="n">
        <f aca="false">IF(M128=3,1,0)</f>
        <v>0</v>
      </c>
      <c r="R128" s="117" t="n">
        <f aca="false">IF(M128=4,1,0)</f>
        <v>0</v>
      </c>
      <c r="S128" s="170"/>
      <c r="T128" s="164"/>
      <c r="U128" s="62"/>
    </row>
    <row r="129" customFormat="false" ht="20.1" hidden="false" customHeight="true" outlineLevel="0" collapsed="false">
      <c r="B129" s="62"/>
      <c r="C129" s="164"/>
      <c r="D129" s="164"/>
      <c r="E129" s="326" t="s">
        <v>39</v>
      </c>
      <c r="F129" s="33" t="s">
        <v>40</v>
      </c>
      <c r="G129" s="241" t="n">
        <v>4</v>
      </c>
      <c r="H129" s="242" t="s">
        <v>330</v>
      </c>
      <c r="I129" s="241" t="n">
        <v>40</v>
      </c>
      <c r="J129" s="242" t="n">
        <v>88</v>
      </c>
      <c r="K129" s="256" t="s">
        <v>67</v>
      </c>
      <c r="L129" s="243" t="n">
        <f aca="false">IF(J129="",0,(J129/J132)*100)</f>
        <v>53.3333333333333</v>
      </c>
      <c r="M129" s="241" t="n">
        <v>4</v>
      </c>
      <c r="N129" s="244" t="n">
        <v>0</v>
      </c>
      <c r="O129" s="121" t="n">
        <f aca="false">IF(M129=1,1,0)</f>
        <v>0</v>
      </c>
      <c r="P129" s="122" t="n">
        <f aca="false">IF(M129=2,1,0)</f>
        <v>0</v>
      </c>
      <c r="Q129" s="122" t="n">
        <f aca="false">IF(M129=3,1,0)</f>
        <v>0</v>
      </c>
      <c r="R129" s="123" t="n">
        <f aca="false">IF(M129=4,1,0)</f>
        <v>1</v>
      </c>
      <c r="S129" s="170"/>
      <c r="T129" s="164"/>
      <c r="U129" s="173"/>
    </row>
    <row r="130" customFormat="false" ht="20.1" hidden="false" customHeight="true" outlineLevel="0" collapsed="false">
      <c r="B130" s="62"/>
      <c r="C130" s="164"/>
      <c r="D130" s="164"/>
      <c r="E130" s="326" t="s">
        <v>29</v>
      </c>
      <c r="F130" s="33" t="s">
        <v>30</v>
      </c>
      <c r="G130" s="241" t="n">
        <v>3</v>
      </c>
      <c r="H130" s="242" t="s">
        <v>161</v>
      </c>
      <c r="I130" s="241" t="n">
        <v>38</v>
      </c>
      <c r="J130" s="242" t="n">
        <v>108</v>
      </c>
      <c r="K130" s="256" t="s">
        <v>67</v>
      </c>
      <c r="L130" s="243" t="n">
        <f aca="false">IF(J130="",0,(J130/J132)*100)</f>
        <v>65.4545454545455</v>
      </c>
      <c r="M130" s="241" t="n">
        <v>3</v>
      </c>
      <c r="N130" s="244" t="n">
        <v>1</v>
      </c>
      <c r="O130" s="121" t="n">
        <f aca="false">IF(M130=1,1,0)</f>
        <v>0</v>
      </c>
      <c r="P130" s="122" t="n">
        <f aca="false">IF(M130=2,1,0)</f>
        <v>0</v>
      </c>
      <c r="Q130" s="122" t="n">
        <f aca="false">IF(M130=3,1,0)</f>
        <v>1</v>
      </c>
      <c r="R130" s="123" t="n">
        <f aca="false">IF(M130=4,1,0)</f>
        <v>0</v>
      </c>
      <c r="S130" s="170"/>
      <c r="T130" s="164"/>
      <c r="U130" s="173"/>
    </row>
    <row r="131" customFormat="false" ht="20.1" hidden="false" customHeight="true" outlineLevel="0" collapsed="false">
      <c r="B131" s="62"/>
      <c r="C131" s="164"/>
      <c r="D131" s="164"/>
      <c r="E131" s="349" t="s">
        <v>27</v>
      </c>
      <c r="F131" s="44" t="s">
        <v>28</v>
      </c>
      <c r="G131" s="245" t="n">
        <v>2</v>
      </c>
      <c r="H131" s="246" t="s">
        <v>91</v>
      </c>
      <c r="I131" s="245" t="n">
        <v>33</v>
      </c>
      <c r="J131" s="246" t="n">
        <v>150</v>
      </c>
      <c r="K131" s="247" t="s">
        <v>67</v>
      </c>
      <c r="L131" s="247" t="n">
        <f aca="false">IF(J131="",0,(J131/J132)*100)</f>
        <v>90.9090909090909</v>
      </c>
      <c r="M131" s="245" t="n">
        <v>2</v>
      </c>
      <c r="N131" s="248" t="n">
        <v>3</v>
      </c>
      <c r="O131" s="127" t="n">
        <f aca="false">IF(M131=1,1,0)</f>
        <v>0</v>
      </c>
      <c r="P131" s="128" t="n">
        <f aca="false">IF(M131=2,1,0)</f>
        <v>1</v>
      </c>
      <c r="Q131" s="128" t="n">
        <f aca="false">IF(M131=3,1,0)</f>
        <v>0</v>
      </c>
      <c r="R131" s="129" t="n">
        <f aca="false">IF(M131=4,1,0)</f>
        <v>0</v>
      </c>
      <c r="S131" s="170"/>
      <c r="T131" s="164"/>
      <c r="U131" s="173"/>
    </row>
    <row r="132" customFormat="false" ht="20.1" hidden="true" customHeight="true" outlineLevel="1" collapsed="false">
      <c r="B132" s="62"/>
      <c r="C132" s="164"/>
      <c r="D132" s="164"/>
      <c r="E132" s="164"/>
      <c r="F132" s="178"/>
      <c r="G132" s="178"/>
      <c r="H132" s="164"/>
      <c r="I132" s="179" t="s">
        <v>89</v>
      </c>
      <c r="J132" s="133" t="n">
        <f aca="false">MAX(J128:J131)</f>
        <v>165</v>
      </c>
      <c r="K132" s="180"/>
      <c r="L132" s="170"/>
      <c r="M132" s="164"/>
      <c r="N132" s="136" t="s">
        <v>90</v>
      </c>
      <c r="O132" s="137" t="n">
        <f aca="false">SUM(O128:O131)</f>
        <v>1</v>
      </c>
      <c r="P132" s="138" t="n">
        <f aca="false">SUM(P128:P131)</f>
        <v>1</v>
      </c>
      <c r="Q132" s="137" t="n">
        <f aca="false">SUM(Q128:Q131)</f>
        <v>1</v>
      </c>
      <c r="R132" s="160" t="n">
        <f aca="false">SUM(R128:R131)</f>
        <v>1</v>
      </c>
      <c r="S132" s="181"/>
      <c r="T132" s="164"/>
      <c r="U132" s="173"/>
    </row>
    <row r="133" customFormat="false" ht="20.1" hidden="false" customHeight="true" outlineLevel="0" collapsed="false">
      <c r="B133" s="62"/>
      <c r="C133" s="164"/>
      <c r="D133" s="164"/>
      <c r="E133" s="164"/>
      <c r="F133" s="164"/>
      <c r="G133" s="164"/>
      <c r="H133" s="164"/>
      <c r="I133" s="164"/>
      <c r="J133" s="164"/>
      <c r="K133" s="164"/>
      <c r="L133" s="164"/>
      <c r="M133" s="164"/>
      <c r="N133" s="164"/>
      <c r="O133" s="164"/>
      <c r="P133" s="164"/>
      <c r="Q133" s="164"/>
      <c r="R133" s="164"/>
      <c r="S133" s="164"/>
      <c r="T133" s="164"/>
      <c r="U133" s="173"/>
    </row>
    <row r="134" customFormat="false" ht="20.1" hidden="false" customHeight="true" outlineLevel="0" collapsed="false">
      <c r="B134" s="62"/>
      <c r="D134" s="162"/>
      <c r="E134" s="162"/>
      <c r="F134" s="162"/>
      <c r="G134" s="162"/>
      <c r="H134" s="163"/>
      <c r="I134" s="162"/>
      <c r="J134" s="162"/>
      <c r="K134" s="162"/>
      <c r="U134" s="62"/>
    </row>
    <row r="135" customFormat="false" ht="20.1" hidden="false" customHeight="true" outlineLevel="0" collapsed="false">
      <c r="B135" s="62"/>
      <c r="C135" s="182"/>
      <c r="D135" s="182"/>
      <c r="E135" s="183" t="str">
        <f aca="false">IF(OR(L103="-",L103= ""),H103,L103)</f>
        <v>Rajas of the Ganges</v>
      </c>
      <c r="F135" s="183"/>
      <c r="G135" s="183"/>
      <c r="H135" s="183"/>
      <c r="I135" s="183"/>
      <c r="J135" s="183"/>
      <c r="K135" s="183"/>
      <c r="L135" s="183"/>
      <c r="M135" s="183"/>
      <c r="N135" s="183"/>
      <c r="O135" s="184"/>
      <c r="P135" s="184"/>
      <c r="Q135" s="184"/>
      <c r="R135" s="184"/>
      <c r="S135" s="184"/>
      <c r="T135" s="182"/>
      <c r="U135" s="62"/>
    </row>
    <row r="136" customFormat="false" ht="50.1" hidden="false" customHeight="true" outlineLevel="0" collapsed="false">
      <c r="B136" s="62"/>
      <c r="C136" s="182"/>
      <c r="D136" s="184"/>
      <c r="E136" s="65" t="s">
        <v>53</v>
      </c>
      <c r="F136" s="104" t="s">
        <v>76</v>
      </c>
      <c r="G136" s="67" t="s">
        <v>77</v>
      </c>
      <c r="H136" s="66" t="s">
        <v>78</v>
      </c>
      <c r="I136" s="54" t="s">
        <v>79</v>
      </c>
      <c r="J136" s="66" t="s">
        <v>80</v>
      </c>
      <c r="K136" s="105" t="s">
        <v>81</v>
      </c>
      <c r="L136" s="66" t="s">
        <v>82</v>
      </c>
      <c r="M136" s="106" t="s">
        <v>83</v>
      </c>
      <c r="N136" s="67" t="s">
        <v>84</v>
      </c>
      <c r="O136" s="107" t="s">
        <v>85</v>
      </c>
      <c r="P136" s="108" t="s">
        <v>86</v>
      </c>
      <c r="Q136" s="108" t="s">
        <v>87</v>
      </c>
      <c r="R136" s="13" t="s">
        <v>88</v>
      </c>
      <c r="S136" s="184"/>
      <c r="T136" s="182"/>
      <c r="U136" s="62"/>
    </row>
    <row r="137" customFormat="false" ht="20.1" hidden="false" customHeight="true" outlineLevel="0" collapsed="false">
      <c r="B137" s="62"/>
      <c r="C137" s="182"/>
      <c r="D137" s="182"/>
      <c r="E137" s="403" t="s">
        <v>37</v>
      </c>
      <c r="F137" s="110" t="s">
        <v>38</v>
      </c>
      <c r="G137" s="111" t="n">
        <v>4</v>
      </c>
      <c r="H137" s="111" t="s">
        <v>67</v>
      </c>
      <c r="I137" s="111" t="n">
        <v>-58</v>
      </c>
      <c r="J137" s="111" t="n">
        <v>6</v>
      </c>
      <c r="K137" s="111" t="s">
        <v>67</v>
      </c>
      <c r="L137" s="113" t="n">
        <f aca="false">($I$137-J137)/($I$137-$J$137)*100</f>
        <v>100</v>
      </c>
      <c r="M137" s="111" t="n">
        <v>1</v>
      </c>
      <c r="N137" s="114" t="n">
        <v>6</v>
      </c>
      <c r="O137" s="115" t="n">
        <f aca="false">IF(M137=1,1,0)</f>
        <v>1</v>
      </c>
      <c r="P137" s="116" t="n">
        <f aca="false">IF(M137=2,1,0)</f>
        <v>0</v>
      </c>
      <c r="Q137" s="116" t="n">
        <f aca="false">IF(M137=3,1,0)</f>
        <v>0</v>
      </c>
      <c r="R137" s="117" t="n">
        <f aca="false">IF(M137=4,1,0)</f>
        <v>0</v>
      </c>
      <c r="S137" s="185"/>
      <c r="T137" s="182"/>
      <c r="U137" s="62"/>
    </row>
    <row r="138" customFormat="false" ht="20.1" hidden="false" customHeight="true" outlineLevel="0" collapsed="false">
      <c r="B138" s="62"/>
      <c r="C138" s="182"/>
      <c r="D138" s="182"/>
      <c r="E138" s="326" t="s">
        <v>39</v>
      </c>
      <c r="F138" s="33" t="s">
        <v>40</v>
      </c>
      <c r="G138" s="241" t="n">
        <v>2</v>
      </c>
      <c r="H138" s="241" t="s">
        <v>67</v>
      </c>
      <c r="I138" s="241" t="n">
        <v>-59</v>
      </c>
      <c r="J138" s="241" t="n">
        <v>-12</v>
      </c>
      <c r="K138" s="242" t="s">
        <v>67</v>
      </c>
      <c r="L138" s="243" t="n">
        <f aca="false">($I$137-J138)/($I$137-$J$137)*100</f>
        <v>71.875</v>
      </c>
      <c r="M138" s="241" t="n">
        <v>3</v>
      </c>
      <c r="N138" s="244" t="n">
        <v>1</v>
      </c>
      <c r="O138" s="121" t="n">
        <f aca="false">IF(M138=1,1,0)</f>
        <v>0</v>
      </c>
      <c r="P138" s="122" t="n">
        <f aca="false">IF(M138=2,1,0)</f>
        <v>0</v>
      </c>
      <c r="Q138" s="122" t="n">
        <f aca="false">IF(M138=3,1,0)</f>
        <v>1</v>
      </c>
      <c r="R138" s="123" t="n">
        <f aca="false">IF(M138=4,1,0)</f>
        <v>0</v>
      </c>
      <c r="S138" s="185"/>
      <c r="T138" s="182"/>
      <c r="U138" s="62"/>
    </row>
    <row r="139" customFormat="false" ht="20.1" hidden="false" customHeight="true" outlineLevel="0" collapsed="false">
      <c r="B139" s="62"/>
      <c r="C139" s="182"/>
      <c r="D139" s="182"/>
      <c r="E139" s="326" t="s">
        <v>29</v>
      </c>
      <c r="F139" s="33" t="s">
        <v>30</v>
      </c>
      <c r="G139" s="241" t="n">
        <v>3</v>
      </c>
      <c r="H139" s="241" t="s">
        <v>67</v>
      </c>
      <c r="I139" s="241" t="n">
        <v>-58</v>
      </c>
      <c r="J139" s="241" t="n">
        <v>-25</v>
      </c>
      <c r="K139" s="241" t="s">
        <v>67</v>
      </c>
      <c r="L139" s="243" t="n">
        <f aca="false">($I$137-J139)/($I$137-$J$137)*100</f>
        <v>51.5625</v>
      </c>
      <c r="M139" s="241" t="n">
        <v>4</v>
      </c>
      <c r="N139" s="244" t="n">
        <v>0</v>
      </c>
      <c r="O139" s="121" t="n">
        <f aca="false">IF(M139=1,1,0)</f>
        <v>0</v>
      </c>
      <c r="P139" s="122" t="n">
        <f aca="false">IF(M139=2,1,0)</f>
        <v>0</v>
      </c>
      <c r="Q139" s="122" t="n">
        <f aca="false">IF(M139=3,1,0)</f>
        <v>0</v>
      </c>
      <c r="R139" s="123" t="n">
        <f aca="false">IF(M139=4,1,0)</f>
        <v>1</v>
      </c>
      <c r="S139" s="185"/>
      <c r="T139" s="182"/>
      <c r="U139" s="62"/>
    </row>
    <row r="140" customFormat="false" ht="20.1" hidden="false" customHeight="true" outlineLevel="0" collapsed="false">
      <c r="B140" s="62"/>
      <c r="C140" s="182"/>
      <c r="D140" s="186"/>
      <c r="E140" s="349" t="s">
        <v>27</v>
      </c>
      <c r="F140" s="44" t="s">
        <v>28</v>
      </c>
      <c r="G140" s="245" t="n">
        <v>1</v>
      </c>
      <c r="H140" s="245" t="s">
        <v>67</v>
      </c>
      <c r="I140" s="245" t="n">
        <v>-59</v>
      </c>
      <c r="J140" s="245" t="n">
        <v>2</v>
      </c>
      <c r="K140" s="246" t="s">
        <v>67</v>
      </c>
      <c r="L140" s="247" t="n">
        <f aca="false">($I$137-J140)/($I$137-$J$137)*100</f>
        <v>93.75</v>
      </c>
      <c r="M140" s="245" t="n">
        <v>2</v>
      </c>
      <c r="N140" s="248" t="n">
        <v>3</v>
      </c>
      <c r="O140" s="127" t="n">
        <f aca="false">IF(M140=1,1,0)</f>
        <v>0</v>
      </c>
      <c r="P140" s="128" t="n">
        <f aca="false">IF(M140=2,1,0)</f>
        <v>1</v>
      </c>
      <c r="Q140" s="128" t="n">
        <f aca="false">IF(M140=3,1,0)</f>
        <v>0</v>
      </c>
      <c r="R140" s="129" t="n">
        <f aca="false">IF(M140=4,1,0)</f>
        <v>0</v>
      </c>
      <c r="S140" s="185"/>
      <c r="T140" s="182"/>
      <c r="U140" s="62"/>
    </row>
    <row r="141" customFormat="false" ht="20.1" hidden="true" customHeight="true" outlineLevel="1" collapsed="false">
      <c r="B141" s="62"/>
      <c r="C141" s="182"/>
      <c r="D141" s="182"/>
      <c r="E141" s="182"/>
      <c r="F141" s="187"/>
      <c r="G141" s="187"/>
      <c r="H141" s="182"/>
      <c r="I141" s="179" t="s">
        <v>89</v>
      </c>
      <c r="J141" s="133" t="n">
        <f aca="false">MAX(J137:J140)</f>
        <v>6</v>
      </c>
      <c r="K141" s="188"/>
      <c r="L141" s="185"/>
      <c r="M141" s="182"/>
      <c r="N141" s="136" t="s">
        <v>90</v>
      </c>
      <c r="O141" s="137" t="n">
        <f aca="false">SUM(O137:O140)</f>
        <v>1</v>
      </c>
      <c r="P141" s="138" t="n">
        <f aca="false">SUM(P137:P140)</f>
        <v>1</v>
      </c>
      <c r="Q141" s="137" t="n">
        <f aca="false">SUM(Q137:Q140)</f>
        <v>1</v>
      </c>
      <c r="R141" s="160" t="n">
        <f aca="false">SUM(R137:R140)</f>
        <v>1</v>
      </c>
      <c r="S141" s="189"/>
      <c r="T141" s="182"/>
      <c r="U141" s="62"/>
    </row>
    <row r="142" customFormat="false" ht="20.1" hidden="false" customHeight="true" outlineLevel="0" collapsed="false">
      <c r="B142" s="62"/>
      <c r="C142" s="182"/>
      <c r="D142" s="182"/>
      <c r="E142" s="182"/>
      <c r="F142" s="182"/>
      <c r="G142" s="182"/>
      <c r="H142" s="182"/>
      <c r="I142" s="182"/>
      <c r="J142" s="182"/>
      <c r="K142" s="182"/>
      <c r="L142" s="182"/>
      <c r="M142" s="182"/>
      <c r="N142" s="182"/>
      <c r="O142" s="182"/>
      <c r="P142" s="182"/>
      <c r="Q142" s="182"/>
      <c r="R142" s="182"/>
      <c r="S142" s="182"/>
      <c r="T142" s="182"/>
      <c r="U142" s="62"/>
    </row>
    <row r="143" customFormat="false" ht="20.1" hidden="false" customHeight="true" outlineLevel="0" collapsed="false">
      <c r="B143" s="62"/>
      <c r="D143" s="5"/>
      <c r="E143" s="5"/>
      <c r="F143" s="5"/>
      <c r="G143" s="5"/>
      <c r="H143" s="5"/>
      <c r="I143" s="5"/>
      <c r="J143" s="5"/>
      <c r="U143" s="62"/>
    </row>
    <row r="144" customFormat="false" ht="30" hidden="false" customHeight="true" outlineLevel="0" collapsed="false">
      <c r="B144" s="62"/>
      <c r="C144" s="190"/>
      <c r="D144" s="191" t="s">
        <v>135</v>
      </c>
      <c r="E144" s="191"/>
      <c r="F144" s="191"/>
      <c r="G144" s="191"/>
      <c r="H144" s="191"/>
      <c r="I144" s="191"/>
      <c r="J144" s="191"/>
      <c r="K144" s="191"/>
      <c r="L144" s="191"/>
      <c r="M144" s="191"/>
      <c r="N144" s="191"/>
      <c r="O144" s="191"/>
      <c r="P144" s="191"/>
      <c r="Q144" s="191"/>
      <c r="R144" s="191"/>
      <c r="S144" s="191"/>
      <c r="T144" s="190"/>
      <c r="U144" s="62"/>
    </row>
    <row r="145" customFormat="false" ht="50.1" hidden="false" customHeight="true" outlineLevel="0" collapsed="false">
      <c r="B145" s="62"/>
      <c r="C145" s="190"/>
      <c r="D145" s="192" t="s">
        <v>53</v>
      </c>
      <c r="E145" s="193" t="s">
        <v>54</v>
      </c>
      <c r="F145" s="194" t="s">
        <v>84</v>
      </c>
      <c r="G145" s="195" t="s">
        <v>100</v>
      </c>
      <c r="H145" s="196" t="s">
        <v>101</v>
      </c>
      <c r="I145" s="196"/>
      <c r="J145" s="197" t="s">
        <v>102</v>
      </c>
      <c r="K145" s="198" t="s">
        <v>103</v>
      </c>
      <c r="L145" s="194" t="s">
        <v>104</v>
      </c>
      <c r="M145" s="198" t="s">
        <v>105</v>
      </c>
      <c r="N145" s="194" t="s">
        <v>106</v>
      </c>
      <c r="O145" s="199"/>
      <c r="P145" s="200"/>
      <c r="Q145" s="200"/>
      <c r="R145" s="200"/>
      <c r="S145" s="193" t="s">
        <v>107</v>
      </c>
      <c r="T145" s="190"/>
      <c r="U145" s="62"/>
    </row>
    <row r="146" customFormat="false" ht="20.1" hidden="false" customHeight="true" outlineLevel="0" collapsed="false">
      <c r="B146" s="62"/>
      <c r="C146" s="190"/>
      <c r="D146" s="425" t="s">
        <v>37</v>
      </c>
      <c r="E146" s="302" t="s">
        <v>38</v>
      </c>
      <c r="F146" s="258" t="n">
        <f aca="false">K146*6+L146*3+M146*1+N146*0</f>
        <v>19</v>
      </c>
      <c r="G146" s="259" t="n">
        <v>0</v>
      </c>
      <c r="H146" s="259" t="s">
        <v>67</v>
      </c>
      <c r="I146" s="259"/>
      <c r="J146" s="258" t="n">
        <f aca="false">F146+G146</f>
        <v>19</v>
      </c>
      <c r="K146" s="258" t="n">
        <v>3</v>
      </c>
      <c r="L146" s="258" t="n">
        <v>0</v>
      </c>
      <c r="M146" s="258" t="n">
        <v>1</v>
      </c>
      <c r="N146" s="258" t="n">
        <v>0</v>
      </c>
      <c r="O146" s="260"/>
      <c r="P146" s="259"/>
      <c r="Q146" s="259"/>
      <c r="R146" s="259"/>
      <c r="S146" s="261" t="n">
        <f aca="false">(L110++L119+L128+L137)/4</f>
        <v>94.7774621212121</v>
      </c>
      <c r="T146" s="190"/>
      <c r="U146" s="62"/>
    </row>
    <row r="147" customFormat="false" ht="20.1" hidden="false" customHeight="true" outlineLevel="0" collapsed="false">
      <c r="B147" s="62"/>
      <c r="C147" s="190"/>
      <c r="D147" s="444" t="s">
        <v>27</v>
      </c>
      <c r="E147" s="208" t="s">
        <v>28</v>
      </c>
      <c r="F147" s="262" t="n">
        <f aca="false">K147*6+L147*3+M147*1+N147*0</f>
        <v>15</v>
      </c>
      <c r="G147" s="263" t="n">
        <v>0</v>
      </c>
      <c r="H147" s="263" t="s">
        <v>67</v>
      </c>
      <c r="I147" s="263"/>
      <c r="J147" s="262" t="n">
        <f aca="false">F147+G147</f>
        <v>15</v>
      </c>
      <c r="K147" s="262" t="n">
        <v>1</v>
      </c>
      <c r="L147" s="262" t="n">
        <v>3</v>
      </c>
      <c r="M147" s="262" t="n">
        <v>0</v>
      </c>
      <c r="N147" s="262" t="n">
        <v>0</v>
      </c>
      <c r="O147" s="264"/>
      <c r="P147" s="263"/>
      <c r="Q147" s="263"/>
      <c r="R147" s="263"/>
      <c r="S147" s="265" t="n">
        <f aca="false">(L113+L122+L131+L140)/4</f>
        <v>96.1647727272727</v>
      </c>
      <c r="T147" s="190"/>
      <c r="U147" s="62"/>
      <c r="Y147" s="266"/>
      <c r="Z147" s="266"/>
      <c r="AA147" s="267"/>
      <c r="AB147" s="267"/>
      <c r="AC147" s="268"/>
      <c r="AD147" s="268"/>
      <c r="AE147" s="268"/>
    </row>
    <row r="148" customFormat="false" ht="20.1" hidden="false" customHeight="true" outlineLevel="0" collapsed="false">
      <c r="B148" s="62"/>
      <c r="C148" s="190"/>
      <c r="D148" s="444" t="s">
        <v>29</v>
      </c>
      <c r="E148" s="208" t="s">
        <v>30</v>
      </c>
      <c r="F148" s="262" t="n">
        <f aca="false">K148*6+L148*3+M148*1+N148*0</f>
        <v>5</v>
      </c>
      <c r="G148" s="263" t="n">
        <v>0</v>
      </c>
      <c r="H148" s="263" t="s">
        <v>67</v>
      </c>
      <c r="I148" s="263"/>
      <c r="J148" s="262" t="n">
        <f aca="false">F148+G148</f>
        <v>5</v>
      </c>
      <c r="K148" s="262" t="n">
        <v>0</v>
      </c>
      <c r="L148" s="262" t="n">
        <v>1</v>
      </c>
      <c r="M148" s="262" t="n">
        <v>2</v>
      </c>
      <c r="N148" s="262" t="n">
        <v>1</v>
      </c>
      <c r="O148" s="264"/>
      <c r="P148" s="263"/>
      <c r="Q148" s="263"/>
      <c r="R148" s="263"/>
      <c r="S148" s="265" t="n">
        <f aca="false">(L112+L121+L130+L139)/4</f>
        <v>79.2542613636364</v>
      </c>
      <c r="T148" s="190"/>
      <c r="U148" s="62"/>
    </row>
    <row r="149" customFormat="false" ht="20.1" hidden="false" customHeight="true" outlineLevel="0" collapsed="false">
      <c r="B149" s="62"/>
      <c r="C149" s="190"/>
      <c r="D149" s="427" t="s">
        <v>39</v>
      </c>
      <c r="E149" s="215" t="s">
        <v>40</v>
      </c>
      <c r="F149" s="271" t="n">
        <f aca="false">K149*6+L149*3+M149*1+N149*0</f>
        <v>1</v>
      </c>
      <c r="G149" s="272" t="n">
        <v>0</v>
      </c>
      <c r="H149" s="272" t="s">
        <v>67</v>
      </c>
      <c r="I149" s="272"/>
      <c r="J149" s="271" t="n">
        <f aca="false">F149+G149</f>
        <v>1</v>
      </c>
      <c r="K149" s="271" t="n">
        <v>0</v>
      </c>
      <c r="L149" s="271" t="n">
        <v>0</v>
      </c>
      <c r="M149" s="271" t="n">
        <v>1</v>
      </c>
      <c r="N149" s="271" t="n">
        <v>3</v>
      </c>
      <c r="O149" s="273"/>
      <c r="P149" s="272"/>
      <c r="Q149" s="272"/>
      <c r="R149" s="272"/>
      <c r="S149" s="274" t="n">
        <f aca="false">(L111+L120+L129+L138)/4</f>
        <v>71.4719742063492</v>
      </c>
      <c r="T149" s="190"/>
      <c r="U149" s="62"/>
    </row>
    <row r="150" customFormat="false" ht="20.1" hidden="false" customHeight="true" outlineLevel="0" collapsed="false">
      <c r="B150" s="62"/>
      <c r="C150" s="190"/>
      <c r="D150" s="422"/>
      <c r="E150" s="422"/>
      <c r="F150" s="429"/>
      <c r="G150" s="377"/>
      <c r="H150" s="430"/>
      <c r="I150" s="430"/>
      <c r="J150" s="429"/>
      <c r="K150" s="429"/>
      <c r="L150" s="429"/>
      <c r="M150" s="429"/>
      <c r="N150" s="429"/>
      <c r="O150" s="376"/>
      <c r="P150" s="377"/>
      <c r="Q150" s="377"/>
      <c r="R150" s="377"/>
      <c r="S150" s="408"/>
      <c r="T150" s="190"/>
      <c r="U150" s="62"/>
    </row>
    <row r="151" customFormat="false" ht="20.1" hidden="false" customHeight="true" outlineLevel="0" collapsed="false">
      <c r="B151" s="62"/>
      <c r="C151" s="62"/>
      <c r="D151" s="219"/>
      <c r="E151" s="219"/>
      <c r="F151" s="167"/>
      <c r="G151" s="167"/>
      <c r="H151" s="219"/>
      <c r="I151" s="219"/>
      <c r="J151" s="219"/>
      <c r="K151" s="62"/>
      <c r="L151" s="62"/>
      <c r="M151" s="62"/>
      <c r="N151" s="62"/>
      <c r="O151" s="62"/>
      <c r="P151" s="62"/>
      <c r="Q151" s="62"/>
      <c r="R151" s="62"/>
      <c r="S151" s="62"/>
      <c r="T151" s="62"/>
      <c r="U151" s="62"/>
    </row>
    <row r="152" customFormat="false" ht="20.1" hidden="false" customHeight="true" outlineLevel="0" collapsed="false"/>
    <row r="153" customFormat="false" ht="20.1" hidden="false" customHeight="true" outlineLevel="0" collapsed="false"/>
    <row r="154" customFormat="false" ht="20.1" hidden="false" customHeight="true" outlineLevel="0" collapsed="false">
      <c r="B154" s="62"/>
      <c r="C154" s="62"/>
      <c r="D154" s="63"/>
      <c r="E154" s="63"/>
      <c r="F154" s="63"/>
      <c r="G154" s="63"/>
      <c r="H154" s="62"/>
      <c r="I154" s="62"/>
      <c r="J154" s="62"/>
      <c r="K154" s="62"/>
      <c r="L154" s="62"/>
      <c r="M154" s="62"/>
      <c r="N154" s="62"/>
      <c r="O154" s="62"/>
      <c r="P154" s="62"/>
      <c r="Q154" s="62"/>
      <c r="R154" s="62"/>
      <c r="S154" s="62"/>
      <c r="T154" s="62"/>
      <c r="U154" s="62"/>
    </row>
    <row r="155" customFormat="false" ht="30" hidden="false" customHeight="true" outlineLevel="0" collapsed="false">
      <c r="B155" s="62"/>
      <c r="C155" s="64" t="s">
        <v>205</v>
      </c>
      <c r="D155" s="64"/>
      <c r="E155" s="64"/>
      <c r="F155" s="64"/>
      <c r="G155" s="64"/>
      <c r="H155" s="64"/>
      <c r="I155" s="64"/>
      <c r="J155" s="64"/>
      <c r="K155" s="64"/>
      <c r="L155" s="64"/>
      <c r="M155" s="64"/>
      <c r="N155" s="64"/>
      <c r="O155" s="64"/>
      <c r="P155" s="64"/>
      <c r="Q155" s="64"/>
      <c r="R155" s="64"/>
      <c r="S155" s="64"/>
      <c r="T155" s="64"/>
      <c r="U155" s="62"/>
    </row>
    <row r="156" customFormat="false" ht="20.1" hidden="false" customHeight="true" outlineLevel="0" collapsed="false">
      <c r="B156" s="62"/>
      <c r="U156" s="62"/>
    </row>
    <row r="157" customFormat="false" ht="20.1" hidden="false" customHeight="true" outlineLevel="0" collapsed="false">
      <c r="B157" s="62"/>
      <c r="D157" s="65" t="s">
        <v>53</v>
      </c>
      <c r="E157" s="66" t="s">
        <v>137</v>
      </c>
      <c r="F157" s="67" t="s">
        <v>11</v>
      </c>
      <c r="G157" s="68" t="s">
        <v>55</v>
      </c>
      <c r="H157" s="68"/>
      <c r="I157" s="68"/>
      <c r="J157" s="68"/>
      <c r="K157" s="66" t="s">
        <v>56</v>
      </c>
      <c r="L157" s="68" t="s">
        <v>57</v>
      </c>
      <c r="M157" s="68"/>
      <c r="N157" s="68"/>
      <c r="O157" s="68"/>
      <c r="P157" s="68"/>
      <c r="Q157" s="68"/>
      <c r="R157" s="68"/>
      <c r="S157" s="68"/>
      <c r="U157" s="62"/>
    </row>
    <row r="158" customFormat="false" ht="20.1" hidden="false" customHeight="true" outlineLevel="0" collapsed="false">
      <c r="B158" s="62"/>
      <c r="D158" s="65"/>
      <c r="E158" s="66"/>
      <c r="F158" s="66"/>
      <c r="G158" s="70" t="s">
        <v>58</v>
      </c>
      <c r="H158" s="69" t="s">
        <v>59</v>
      </c>
      <c r="I158" s="67" t="s">
        <v>60</v>
      </c>
      <c r="J158" s="67"/>
      <c r="K158" s="69" t="s">
        <v>61</v>
      </c>
      <c r="L158" s="224" t="s">
        <v>58</v>
      </c>
      <c r="M158" s="225" t="s">
        <v>62</v>
      </c>
      <c r="N158" s="67" t="s">
        <v>60</v>
      </c>
      <c r="O158" s="67"/>
      <c r="P158" s="67"/>
      <c r="Q158" s="67"/>
      <c r="R158" s="67"/>
      <c r="S158" s="67"/>
      <c r="U158" s="62"/>
    </row>
    <row r="159" customFormat="false" ht="30" hidden="false" customHeight="true" outlineLevel="0" collapsed="false">
      <c r="B159" s="62"/>
      <c r="D159" s="318" t="s">
        <v>31</v>
      </c>
      <c r="E159" s="359" t="s">
        <v>32</v>
      </c>
      <c r="F159" s="23" t="n">
        <v>1</v>
      </c>
      <c r="G159" s="72" t="s">
        <v>63</v>
      </c>
      <c r="H159" s="470" t="s">
        <v>331</v>
      </c>
      <c r="I159" s="321" t="s">
        <v>67</v>
      </c>
      <c r="J159" s="321"/>
      <c r="K159" s="471" t="s">
        <v>111</v>
      </c>
      <c r="L159" s="324" t="s">
        <v>67</v>
      </c>
      <c r="M159" s="324" t="s">
        <v>67</v>
      </c>
      <c r="N159" s="78" t="s">
        <v>67</v>
      </c>
      <c r="O159" s="78"/>
      <c r="P159" s="78"/>
      <c r="Q159" s="78"/>
      <c r="R159" s="78"/>
      <c r="S159" s="78"/>
      <c r="U159" s="62"/>
    </row>
    <row r="160" s="472" customFormat="true" ht="15" hidden="false" customHeight="true" outlineLevel="0" collapsed="false">
      <c r="B160" s="473"/>
      <c r="D160" s="474" t="s">
        <v>43</v>
      </c>
      <c r="E160" s="34" t="s">
        <v>44</v>
      </c>
      <c r="F160" s="475" t="n">
        <v>2</v>
      </c>
      <c r="G160" s="476" t="s">
        <v>63</v>
      </c>
      <c r="H160" s="82" t="s">
        <v>68</v>
      </c>
      <c r="I160" s="328" t="s">
        <v>316</v>
      </c>
      <c r="J160" s="328"/>
      <c r="K160" s="477" t="s">
        <v>111</v>
      </c>
      <c r="L160" s="478" t="s">
        <v>67</v>
      </c>
      <c r="M160" s="478" t="s">
        <v>67</v>
      </c>
      <c r="N160" s="337" t="s">
        <v>67</v>
      </c>
      <c r="O160" s="337"/>
      <c r="P160" s="337"/>
      <c r="Q160" s="337"/>
      <c r="R160" s="337"/>
      <c r="S160" s="337"/>
      <c r="U160" s="473"/>
    </row>
    <row r="161" s="472" customFormat="true" ht="27.95" hidden="false" customHeight="true" outlineLevel="0" collapsed="false">
      <c r="B161" s="473"/>
      <c r="D161" s="474"/>
      <c r="E161" s="34"/>
      <c r="F161" s="475"/>
      <c r="G161" s="476"/>
      <c r="H161" s="82"/>
      <c r="I161" s="332" t="s">
        <v>332</v>
      </c>
      <c r="J161" s="332"/>
      <c r="K161" s="477"/>
      <c r="L161" s="478"/>
      <c r="M161" s="478"/>
      <c r="N161" s="337"/>
      <c r="O161" s="337"/>
      <c r="P161" s="337"/>
      <c r="Q161" s="337"/>
      <c r="R161" s="337"/>
      <c r="S161" s="337"/>
      <c r="U161" s="473"/>
    </row>
    <row r="162" s="472" customFormat="true" ht="15" hidden="false" customHeight="true" outlineLevel="0" collapsed="false">
      <c r="B162" s="473"/>
      <c r="D162" s="474"/>
      <c r="E162" s="34"/>
      <c r="F162" s="475"/>
      <c r="G162" s="476"/>
      <c r="H162" s="82"/>
      <c r="I162" s="332" t="s">
        <v>333</v>
      </c>
      <c r="J162" s="332"/>
      <c r="K162" s="477"/>
      <c r="L162" s="478"/>
      <c r="M162" s="478"/>
      <c r="N162" s="337"/>
      <c r="O162" s="337"/>
      <c r="P162" s="337"/>
      <c r="Q162" s="337"/>
      <c r="R162" s="337"/>
      <c r="S162" s="337"/>
      <c r="U162" s="473"/>
    </row>
    <row r="163" s="472" customFormat="true" ht="15" hidden="false" customHeight="true" outlineLevel="0" collapsed="false">
      <c r="B163" s="473"/>
      <c r="D163" s="474"/>
      <c r="E163" s="34"/>
      <c r="F163" s="475"/>
      <c r="G163" s="476"/>
      <c r="H163" s="82"/>
      <c r="I163" s="332" t="s">
        <v>318</v>
      </c>
      <c r="J163" s="332"/>
      <c r="K163" s="477"/>
      <c r="L163" s="478"/>
      <c r="M163" s="478"/>
      <c r="N163" s="337"/>
      <c r="O163" s="337"/>
      <c r="P163" s="337"/>
      <c r="Q163" s="337"/>
      <c r="R163" s="337"/>
      <c r="S163" s="337"/>
      <c r="U163" s="473"/>
    </row>
    <row r="164" s="472" customFormat="true" ht="15" hidden="false" customHeight="true" outlineLevel="0" collapsed="false">
      <c r="B164" s="473"/>
      <c r="D164" s="474"/>
      <c r="E164" s="34"/>
      <c r="F164" s="475"/>
      <c r="G164" s="476"/>
      <c r="H164" s="82"/>
      <c r="I164" s="332" t="s">
        <v>319</v>
      </c>
      <c r="J164" s="332"/>
      <c r="K164" s="477"/>
      <c r="L164" s="478"/>
      <c r="M164" s="478"/>
      <c r="N164" s="337"/>
      <c r="O164" s="337"/>
      <c r="P164" s="337"/>
      <c r="Q164" s="337"/>
      <c r="R164" s="337"/>
      <c r="S164" s="337"/>
      <c r="U164" s="473"/>
    </row>
    <row r="165" s="472" customFormat="true" ht="15" hidden="false" customHeight="true" outlineLevel="0" collapsed="false">
      <c r="B165" s="473"/>
      <c r="D165" s="474"/>
      <c r="E165" s="34"/>
      <c r="F165" s="475"/>
      <c r="G165" s="476"/>
      <c r="H165" s="82"/>
      <c r="I165" s="332" t="s">
        <v>320</v>
      </c>
      <c r="J165" s="332"/>
      <c r="K165" s="477"/>
      <c r="L165" s="478"/>
      <c r="M165" s="478"/>
      <c r="N165" s="337"/>
      <c r="O165" s="337"/>
      <c r="P165" s="337"/>
      <c r="Q165" s="337"/>
      <c r="R165" s="337"/>
      <c r="S165" s="337"/>
      <c r="U165" s="473"/>
    </row>
    <row r="166" s="472" customFormat="true" ht="15" hidden="false" customHeight="true" outlineLevel="0" collapsed="false">
      <c r="B166" s="473"/>
      <c r="D166" s="474"/>
      <c r="E166" s="34"/>
      <c r="F166" s="475"/>
      <c r="G166" s="476"/>
      <c r="H166" s="82"/>
      <c r="I166" s="332" t="s">
        <v>321</v>
      </c>
      <c r="J166" s="332"/>
      <c r="K166" s="477"/>
      <c r="L166" s="478"/>
      <c r="M166" s="478"/>
      <c r="N166" s="337"/>
      <c r="O166" s="337"/>
      <c r="P166" s="337"/>
      <c r="Q166" s="337"/>
      <c r="R166" s="337"/>
      <c r="S166" s="337"/>
      <c r="U166" s="473"/>
    </row>
    <row r="167" s="472" customFormat="true" ht="15" hidden="false" customHeight="true" outlineLevel="0" collapsed="false">
      <c r="B167" s="473"/>
      <c r="D167" s="474"/>
      <c r="E167" s="34"/>
      <c r="F167" s="475"/>
      <c r="G167" s="476"/>
      <c r="H167" s="82"/>
      <c r="I167" s="332" t="s">
        <v>322</v>
      </c>
      <c r="J167" s="332"/>
      <c r="K167" s="477"/>
      <c r="L167" s="478"/>
      <c r="M167" s="478"/>
      <c r="N167" s="337"/>
      <c r="O167" s="337"/>
      <c r="P167" s="337"/>
      <c r="Q167" s="337"/>
      <c r="R167" s="337"/>
      <c r="S167" s="337"/>
      <c r="U167" s="473"/>
    </row>
    <row r="168" s="472" customFormat="true" ht="15" hidden="false" customHeight="true" outlineLevel="0" collapsed="false">
      <c r="B168" s="473"/>
      <c r="D168" s="474"/>
      <c r="E168" s="34"/>
      <c r="F168" s="475"/>
      <c r="G168" s="476"/>
      <c r="H168" s="82"/>
      <c r="I168" s="332" t="s">
        <v>323</v>
      </c>
      <c r="J168" s="332"/>
      <c r="K168" s="477"/>
      <c r="L168" s="478"/>
      <c r="M168" s="478"/>
      <c r="N168" s="337"/>
      <c r="O168" s="337"/>
      <c r="P168" s="337"/>
      <c r="Q168" s="337"/>
      <c r="R168" s="337"/>
      <c r="S168" s="337"/>
      <c r="U168" s="473"/>
    </row>
    <row r="169" customFormat="false" ht="15" hidden="false" customHeight="true" outlineLevel="0" collapsed="false">
      <c r="B169" s="62"/>
      <c r="D169" s="362" t="s">
        <v>45</v>
      </c>
      <c r="E169" s="45" t="s">
        <v>46</v>
      </c>
      <c r="F169" s="50" t="n">
        <v>3</v>
      </c>
      <c r="G169" s="364" t="s">
        <v>63</v>
      </c>
      <c r="H169" s="479" t="s">
        <v>334</v>
      </c>
      <c r="I169" s="335" t="s">
        <v>335</v>
      </c>
      <c r="J169" s="335"/>
      <c r="K169" s="480" t="s">
        <v>111</v>
      </c>
      <c r="L169" s="345" t="s">
        <v>67</v>
      </c>
      <c r="M169" s="345" t="s">
        <v>67</v>
      </c>
      <c r="N169" s="239" t="s">
        <v>67</v>
      </c>
      <c r="O169" s="239"/>
      <c r="P169" s="239"/>
      <c r="Q169" s="239"/>
      <c r="R169" s="239"/>
      <c r="S169" s="239"/>
      <c r="U169" s="62"/>
    </row>
    <row r="170" customFormat="false" ht="27.95" hidden="false" customHeight="true" outlineLevel="0" collapsed="false">
      <c r="B170" s="62"/>
      <c r="D170" s="362"/>
      <c r="E170" s="45"/>
      <c r="F170" s="50"/>
      <c r="G170" s="364"/>
      <c r="H170" s="479"/>
      <c r="I170" s="481" t="s">
        <v>336</v>
      </c>
      <c r="J170" s="481"/>
      <c r="K170" s="480"/>
      <c r="L170" s="345"/>
      <c r="M170" s="345"/>
      <c r="N170" s="345"/>
      <c r="O170" s="239"/>
      <c r="P170" s="239"/>
      <c r="Q170" s="239"/>
      <c r="R170" s="239"/>
      <c r="S170" s="239"/>
      <c r="U170" s="62"/>
    </row>
    <row r="171" customFormat="false" ht="20.1" hidden="false" customHeight="true" outlineLevel="0" collapsed="false">
      <c r="B171" s="62"/>
      <c r="U171" s="62"/>
    </row>
    <row r="172" customFormat="false" ht="20.1" hidden="false" customHeight="true" outlineLevel="0" collapsed="false">
      <c r="B172" s="62"/>
      <c r="C172" s="101"/>
      <c r="D172" s="101"/>
      <c r="E172" s="102" t="str">
        <f aca="false">IF(OR(L159="-",L159= ""),H159,L159)</f>
        <v>The Ruhr: A Story of Coal Trade</v>
      </c>
      <c r="F172" s="102"/>
      <c r="G172" s="102"/>
      <c r="H172" s="102"/>
      <c r="I172" s="102"/>
      <c r="J172" s="102"/>
      <c r="K172" s="102"/>
      <c r="L172" s="102"/>
      <c r="M172" s="102"/>
      <c r="N172" s="102"/>
      <c r="O172" s="103"/>
      <c r="P172" s="103"/>
      <c r="Q172" s="103"/>
      <c r="R172" s="103"/>
      <c r="S172" s="103"/>
      <c r="T172" s="101"/>
      <c r="U172" s="62"/>
    </row>
    <row r="173" customFormat="false" ht="50.1" hidden="false" customHeight="true" outlineLevel="0" collapsed="false">
      <c r="B173" s="62"/>
      <c r="C173" s="101"/>
      <c r="D173" s="103"/>
      <c r="E173" s="65" t="s">
        <v>53</v>
      </c>
      <c r="F173" s="104" t="s">
        <v>76</v>
      </c>
      <c r="G173" s="67" t="s">
        <v>77</v>
      </c>
      <c r="H173" s="66" t="s">
        <v>78</v>
      </c>
      <c r="I173" s="54" t="s">
        <v>79</v>
      </c>
      <c r="J173" s="66" t="s">
        <v>80</v>
      </c>
      <c r="K173" s="105" t="s">
        <v>81</v>
      </c>
      <c r="L173" s="66" t="s">
        <v>82</v>
      </c>
      <c r="M173" s="106" t="s">
        <v>83</v>
      </c>
      <c r="N173" s="67" t="s">
        <v>84</v>
      </c>
      <c r="O173" s="107" t="s">
        <v>85</v>
      </c>
      <c r="P173" s="108" t="s">
        <v>86</v>
      </c>
      <c r="Q173" s="108" t="s">
        <v>87</v>
      </c>
      <c r="R173" s="103"/>
      <c r="S173" s="103"/>
      <c r="T173" s="101"/>
      <c r="U173" s="62"/>
    </row>
    <row r="174" customFormat="false" ht="20.1" hidden="false" customHeight="true" outlineLevel="0" collapsed="false">
      <c r="B174" s="62"/>
      <c r="C174" s="101"/>
      <c r="D174" s="124"/>
      <c r="E174" s="403" t="s">
        <v>31</v>
      </c>
      <c r="F174" s="110" t="s">
        <v>32</v>
      </c>
      <c r="G174" s="111" t="n">
        <v>2</v>
      </c>
      <c r="H174" s="111" t="s">
        <v>67</v>
      </c>
      <c r="I174" s="111" t="n">
        <v>0</v>
      </c>
      <c r="J174" s="111" t="n">
        <v>33</v>
      </c>
      <c r="K174" s="111" t="s">
        <v>67</v>
      </c>
      <c r="L174" s="113" t="n">
        <f aca="false">IF(J174="",0,(J174/J177)*100)</f>
        <v>100</v>
      </c>
      <c r="M174" s="111" t="n">
        <v>1</v>
      </c>
      <c r="N174" s="114" t="n">
        <v>6</v>
      </c>
      <c r="O174" s="115" t="n">
        <f aca="false">IF(M174=1,1,0)</f>
        <v>1</v>
      </c>
      <c r="P174" s="116" t="n">
        <f aca="false">IF(M174=2,1,0)</f>
        <v>0</v>
      </c>
      <c r="Q174" s="117" t="n">
        <f aca="false">IF(M174=3,1,0)</f>
        <v>0</v>
      </c>
      <c r="R174" s="118"/>
      <c r="S174" s="118"/>
      <c r="T174" s="101"/>
      <c r="U174" s="62"/>
    </row>
    <row r="175" customFormat="false" ht="20.1" hidden="false" customHeight="true" outlineLevel="0" collapsed="false">
      <c r="B175" s="62"/>
      <c r="C175" s="101"/>
      <c r="D175" s="101"/>
      <c r="E175" s="79" t="s">
        <v>43</v>
      </c>
      <c r="F175" s="33" t="s">
        <v>44</v>
      </c>
      <c r="G175" s="241" t="n">
        <v>3</v>
      </c>
      <c r="H175" s="241" t="s">
        <v>67</v>
      </c>
      <c r="I175" s="241" t="n">
        <v>0</v>
      </c>
      <c r="J175" s="241" t="n">
        <v>22</v>
      </c>
      <c r="K175" s="242" t="s">
        <v>67</v>
      </c>
      <c r="L175" s="243" t="n">
        <f aca="false">IF(J175="",0,(J175/J177)*100)</f>
        <v>66.6666666666667</v>
      </c>
      <c r="M175" s="241" t="n">
        <v>2</v>
      </c>
      <c r="N175" s="244" t="n">
        <v>3</v>
      </c>
      <c r="O175" s="121" t="n">
        <f aca="false">IF(M175=1,1,0)</f>
        <v>0</v>
      </c>
      <c r="P175" s="122" t="n">
        <f aca="false">IF(M175=2,1,0)</f>
        <v>1</v>
      </c>
      <c r="Q175" s="123" t="n">
        <f aca="false">IF(M175=3,1,0)</f>
        <v>0</v>
      </c>
      <c r="R175" s="118"/>
      <c r="S175" s="118"/>
      <c r="T175" s="101"/>
      <c r="U175" s="62"/>
    </row>
    <row r="176" customFormat="false" ht="20.1" hidden="false" customHeight="true" outlineLevel="0" collapsed="false">
      <c r="B176" s="62"/>
      <c r="C176" s="101"/>
      <c r="D176" s="101"/>
      <c r="E176" s="349" t="s">
        <v>45</v>
      </c>
      <c r="F176" s="44" t="s">
        <v>46</v>
      </c>
      <c r="G176" s="245" t="n">
        <v>1</v>
      </c>
      <c r="H176" s="245" t="s">
        <v>67</v>
      </c>
      <c r="I176" s="245" t="n">
        <v>0</v>
      </c>
      <c r="J176" s="245" t="n">
        <v>17</v>
      </c>
      <c r="K176" s="245" t="s">
        <v>67</v>
      </c>
      <c r="L176" s="247" t="n">
        <f aca="false">IF(J176="",0,(J176/J177)*100)</f>
        <v>51.5151515151515</v>
      </c>
      <c r="M176" s="245" t="n">
        <v>3</v>
      </c>
      <c r="N176" s="248" t="n">
        <v>0</v>
      </c>
      <c r="O176" s="127" t="n">
        <f aca="false">IF(M176=1,1,0)</f>
        <v>0</v>
      </c>
      <c r="P176" s="128" t="n">
        <f aca="false">IF(M176=2,1,0)</f>
        <v>0</v>
      </c>
      <c r="Q176" s="129" t="n">
        <f aca="false">IF(M176=3,1,0)</f>
        <v>1</v>
      </c>
      <c r="R176" s="118"/>
      <c r="S176" s="118"/>
      <c r="T176" s="101"/>
      <c r="U176" s="62"/>
    </row>
    <row r="177" customFormat="false" ht="20.1" hidden="true" customHeight="true" outlineLevel="1" collapsed="false">
      <c r="B177" s="62"/>
      <c r="C177" s="101"/>
      <c r="D177" s="124"/>
      <c r="E177" s="124"/>
      <c r="F177" s="131"/>
      <c r="G177" s="131"/>
      <c r="H177" s="101"/>
      <c r="I177" s="179" t="s">
        <v>89</v>
      </c>
      <c r="J177" s="133" t="n">
        <f aca="false">MAX(J174:J176)</f>
        <v>33</v>
      </c>
      <c r="K177" s="249"/>
      <c r="L177" s="139"/>
      <c r="M177" s="101"/>
      <c r="N177" s="136" t="s">
        <v>90</v>
      </c>
      <c r="O177" s="137" t="n">
        <f aca="false">SUM(O174:O176)</f>
        <v>1</v>
      </c>
      <c r="P177" s="138" t="n">
        <f aca="false">SUM(P174:P176)</f>
        <v>1</v>
      </c>
      <c r="Q177" s="137" t="n">
        <f aca="false">SUM(Q174:Q176)</f>
        <v>1</v>
      </c>
      <c r="R177" s="160" t="n">
        <f aca="false">SUM(R174:R176)</f>
        <v>0</v>
      </c>
      <c r="S177" s="139"/>
      <c r="T177" s="101"/>
      <c r="U177" s="62"/>
    </row>
    <row r="178" customFormat="false" ht="20.1" hidden="false" customHeight="true" outlineLevel="0" collapsed="false">
      <c r="B178" s="62"/>
      <c r="C178" s="101"/>
      <c r="D178" s="101"/>
      <c r="E178" s="101"/>
      <c r="F178" s="101"/>
      <c r="G178" s="101"/>
      <c r="H178" s="101"/>
      <c r="I178" s="101"/>
      <c r="J178" s="101"/>
      <c r="K178" s="101"/>
      <c r="L178" s="101"/>
      <c r="M178" s="101"/>
      <c r="N178" s="101"/>
      <c r="O178" s="101"/>
      <c r="P178" s="101"/>
      <c r="Q178" s="101"/>
      <c r="R178" s="101"/>
      <c r="S178" s="101"/>
      <c r="T178" s="101"/>
      <c r="U178" s="62"/>
    </row>
    <row r="179" customFormat="false" ht="20.1" hidden="false" customHeight="true" outlineLevel="0" collapsed="false">
      <c r="B179" s="62"/>
      <c r="U179" s="62"/>
    </row>
    <row r="180" customFormat="false" ht="20.1" hidden="false" customHeight="true" outlineLevel="0" collapsed="false">
      <c r="B180" s="62"/>
      <c r="C180" s="141"/>
      <c r="D180" s="141"/>
      <c r="E180" s="142" t="str">
        <f aca="false">IF(OR(L160="-",L160= ""),H160,L160)</f>
        <v>Terra Mystica</v>
      </c>
      <c r="F180" s="142"/>
      <c r="G180" s="142"/>
      <c r="H180" s="142"/>
      <c r="I180" s="142"/>
      <c r="J180" s="142"/>
      <c r="K180" s="142"/>
      <c r="L180" s="142"/>
      <c r="M180" s="142"/>
      <c r="N180" s="142"/>
      <c r="O180" s="143"/>
      <c r="P180" s="143"/>
      <c r="Q180" s="143"/>
      <c r="R180" s="143"/>
      <c r="S180" s="143"/>
      <c r="T180" s="141"/>
      <c r="U180" s="62"/>
    </row>
    <row r="181" customFormat="false" ht="50.1" hidden="false" customHeight="true" outlineLevel="0" collapsed="false">
      <c r="B181" s="62"/>
      <c r="C181" s="141"/>
      <c r="D181" s="143"/>
      <c r="E181" s="65" t="s">
        <v>53</v>
      </c>
      <c r="F181" s="104" t="s">
        <v>76</v>
      </c>
      <c r="G181" s="67" t="s">
        <v>77</v>
      </c>
      <c r="H181" s="66" t="s">
        <v>78</v>
      </c>
      <c r="I181" s="54" t="s">
        <v>79</v>
      </c>
      <c r="J181" s="66" t="s">
        <v>80</v>
      </c>
      <c r="K181" s="105" t="s">
        <v>81</v>
      </c>
      <c r="L181" s="66" t="s">
        <v>82</v>
      </c>
      <c r="M181" s="106" t="s">
        <v>83</v>
      </c>
      <c r="N181" s="67" t="s">
        <v>84</v>
      </c>
      <c r="O181" s="107" t="s">
        <v>85</v>
      </c>
      <c r="P181" s="108" t="s">
        <v>86</v>
      </c>
      <c r="Q181" s="108" t="s">
        <v>87</v>
      </c>
      <c r="R181" s="143"/>
      <c r="S181" s="143"/>
      <c r="T181" s="141"/>
      <c r="U181" s="62"/>
    </row>
    <row r="182" customFormat="false" ht="20.1" hidden="false" customHeight="true" outlineLevel="0" collapsed="false">
      <c r="B182" s="62"/>
      <c r="C182" s="141"/>
      <c r="D182" s="148"/>
      <c r="E182" s="318" t="s">
        <v>31</v>
      </c>
      <c r="F182" s="16" t="s">
        <v>32</v>
      </c>
      <c r="G182" s="251" t="n">
        <v>1</v>
      </c>
      <c r="H182" s="250" t="s">
        <v>160</v>
      </c>
      <c r="I182" s="250" t="n">
        <v>20</v>
      </c>
      <c r="J182" s="250" t="n">
        <v>117</v>
      </c>
      <c r="K182" s="251" t="s">
        <v>67</v>
      </c>
      <c r="L182" s="253" t="n">
        <f aca="false">IF(J182="",0,(J182/J185)*100)</f>
        <v>78</v>
      </c>
      <c r="M182" s="250" t="n">
        <v>3</v>
      </c>
      <c r="N182" s="254" t="n">
        <v>0</v>
      </c>
      <c r="O182" s="115" t="n">
        <f aca="false">IF(M182=1,1,0)</f>
        <v>0</v>
      </c>
      <c r="P182" s="116" t="n">
        <f aca="false">IF(M182=2,1,0)</f>
        <v>0</v>
      </c>
      <c r="Q182" s="117" t="n">
        <f aca="false">IF(M182=3,1,0)</f>
        <v>1</v>
      </c>
      <c r="R182" s="147"/>
      <c r="S182" s="147"/>
      <c r="T182" s="141"/>
      <c r="U182" s="62"/>
    </row>
    <row r="183" customFormat="false" ht="20.1" hidden="false" customHeight="true" outlineLevel="0" collapsed="false">
      <c r="B183" s="62"/>
      <c r="C183" s="141"/>
      <c r="D183" s="141"/>
      <c r="E183" s="149" t="s">
        <v>43</v>
      </c>
      <c r="F183" s="175" t="s">
        <v>44</v>
      </c>
      <c r="G183" s="151" t="n">
        <v>3</v>
      </c>
      <c r="H183" s="151" t="s">
        <v>161</v>
      </c>
      <c r="I183" s="151" t="n">
        <v>20</v>
      </c>
      <c r="J183" s="151" t="n">
        <v>150</v>
      </c>
      <c r="K183" s="152" t="s">
        <v>67</v>
      </c>
      <c r="L183" s="153" t="n">
        <f aca="false">IF(J183="",0,(J183/J185)*100)</f>
        <v>100</v>
      </c>
      <c r="M183" s="151" t="n">
        <v>1</v>
      </c>
      <c r="N183" s="154" t="n">
        <v>6</v>
      </c>
      <c r="O183" s="121" t="n">
        <f aca="false">IF(M183=1,1,0)</f>
        <v>1</v>
      </c>
      <c r="P183" s="122" t="n">
        <f aca="false">IF(M183=2,1,0)</f>
        <v>0</v>
      </c>
      <c r="Q183" s="123" t="n">
        <f aca="false">IF(M183=3,1,0)</f>
        <v>0</v>
      </c>
      <c r="R183" s="147"/>
      <c r="S183" s="147"/>
      <c r="T183" s="141"/>
      <c r="U183" s="62"/>
    </row>
    <row r="184" customFormat="false" ht="20.1" hidden="false" customHeight="true" outlineLevel="0" collapsed="false">
      <c r="B184" s="62"/>
      <c r="C184" s="141"/>
      <c r="D184" s="148"/>
      <c r="E184" s="349" t="s">
        <v>45</v>
      </c>
      <c r="F184" s="44" t="s">
        <v>46</v>
      </c>
      <c r="G184" s="245" t="n">
        <v>2</v>
      </c>
      <c r="H184" s="245" t="s">
        <v>159</v>
      </c>
      <c r="I184" s="245" t="n">
        <v>15</v>
      </c>
      <c r="J184" s="245" t="n">
        <v>122</v>
      </c>
      <c r="K184" s="246" t="s">
        <v>67</v>
      </c>
      <c r="L184" s="247" t="n">
        <f aca="false">IF(J184="",0,(J184/J185)*100)</f>
        <v>81.3333333333333</v>
      </c>
      <c r="M184" s="245" t="n">
        <v>2</v>
      </c>
      <c r="N184" s="248" t="n">
        <v>3</v>
      </c>
      <c r="O184" s="127" t="n">
        <f aca="false">IF(M184=1,1,0)</f>
        <v>0</v>
      </c>
      <c r="P184" s="128" t="n">
        <f aca="false">IF(M184=2,1,0)</f>
        <v>1</v>
      </c>
      <c r="Q184" s="129" t="n">
        <f aca="false">IF(M184=3,1,0)</f>
        <v>0</v>
      </c>
      <c r="R184" s="147"/>
      <c r="S184" s="147"/>
      <c r="T184" s="141"/>
      <c r="U184" s="62"/>
    </row>
    <row r="185" customFormat="false" ht="20.1" hidden="true" customHeight="true" outlineLevel="1" collapsed="false">
      <c r="B185" s="62"/>
      <c r="C185" s="141"/>
      <c r="D185" s="141"/>
      <c r="E185" s="141"/>
      <c r="F185" s="157"/>
      <c r="G185" s="157"/>
      <c r="H185" s="141"/>
      <c r="I185" s="179" t="s">
        <v>89</v>
      </c>
      <c r="J185" s="133" t="n">
        <f aca="false">MAX(J182:J184)</f>
        <v>150</v>
      </c>
      <c r="K185" s="159"/>
      <c r="L185" s="147"/>
      <c r="M185" s="141"/>
      <c r="N185" s="136" t="s">
        <v>90</v>
      </c>
      <c r="O185" s="137" t="n">
        <f aca="false">SUM(O182:O184)</f>
        <v>1</v>
      </c>
      <c r="P185" s="138" t="n">
        <f aca="false">SUM(P182:P184)</f>
        <v>1</v>
      </c>
      <c r="Q185" s="137" t="n">
        <f aca="false">SUM(Q182:Q184)</f>
        <v>1</v>
      </c>
      <c r="R185" s="160" t="n">
        <f aca="false">SUM(R182:R184)</f>
        <v>0</v>
      </c>
      <c r="S185" s="161"/>
      <c r="T185" s="141"/>
      <c r="U185" s="62"/>
    </row>
    <row r="186" customFormat="false" ht="20.1" hidden="false" customHeight="true" outlineLevel="0" collapsed="false">
      <c r="B186" s="62"/>
      <c r="C186" s="141"/>
      <c r="D186" s="141"/>
      <c r="E186" s="141"/>
      <c r="F186" s="141"/>
      <c r="G186" s="141"/>
      <c r="H186" s="141"/>
      <c r="I186" s="141"/>
      <c r="J186" s="141"/>
      <c r="K186" s="141"/>
      <c r="L186" s="141"/>
      <c r="M186" s="141"/>
      <c r="N186" s="141"/>
      <c r="O186" s="141"/>
      <c r="P186" s="141"/>
      <c r="Q186" s="141"/>
      <c r="R186" s="141"/>
      <c r="S186" s="141"/>
      <c r="T186" s="141"/>
      <c r="U186" s="62"/>
    </row>
    <row r="187" customFormat="false" ht="20.1" hidden="false" customHeight="true" outlineLevel="0" collapsed="false">
      <c r="B187" s="62"/>
      <c r="D187" s="162"/>
      <c r="E187" s="162"/>
      <c r="F187" s="162"/>
      <c r="G187" s="162"/>
      <c r="H187" s="163"/>
      <c r="I187" s="162"/>
      <c r="J187" s="162"/>
      <c r="U187" s="62"/>
    </row>
    <row r="188" customFormat="false" ht="20.1" hidden="false" customHeight="true" outlineLevel="0" collapsed="false">
      <c r="B188" s="62"/>
      <c r="C188" s="164"/>
      <c r="D188" s="164"/>
      <c r="E188" s="165" t="str">
        <f aca="false">IF(OR(L169="-",L169= ""),H169,L169)</f>
        <v>7 Wonders</v>
      </c>
      <c r="F188" s="165"/>
      <c r="G188" s="165"/>
      <c r="H188" s="165"/>
      <c r="I188" s="165"/>
      <c r="J188" s="165"/>
      <c r="K188" s="165"/>
      <c r="L188" s="165"/>
      <c r="M188" s="165"/>
      <c r="N188" s="165"/>
      <c r="O188" s="166"/>
      <c r="P188" s="166"/>
      <c r="Q188" s="166"/>
      <c r="R188" s="166"/>
      <c r="S188" s="166"/>
      <c r="T188" s="164"/>
      <c r="U188" s="167"/>
    </row>
    <row r="189" customFormat="false" ht="50.1" hidden="false" customHeight="true" outlineLevel="0" collapsed="false">
      <c r="B189" s="62"/>
      <c r="C189" s="164"/>
      <c r="D189" s="166"/>
      <c r="E189" s="65" t="s">
        <v>53</v>
      </c>
      <c r="F189" s="104" t="s">
        <v>76</v>
      </c>
      <c r="G189" s="67" t="s">
        <v>77</v>
      </c>
      <c r="H189" s="66" t="s">
        <v>78</v>
      </c>
      <c r="I189" s="54" t="s">
        <v>79</v>
      </c>
      <c r="J189" s="66" t="s">
        <v>80</v>
      </c>
      <c r="K189" s="105" t="s">
        <v>81</v>
      </c>
      <c r="L189" s="66" t="s">
        <v>82</v>
      </c>
      <c r="M189" s="106" t="s">
        <v>83</v>
      </c>
      <c r="N189" s="67" t="s">
        <v>84</v>
      </c>
      <c r="O189" s="107" t="s">
        <v>85</v>
      </c>
      <c r="P189" s="108" t="s">
        <v>86</v>
      </c>
      <c r="Q189" s="108" t="s">
        <v>87</v>
      </c>
      <c r="R189" s="166"/>
      <c r="S189" s="166"/>
      <c r="T189" s="164"/>
      <c r="U189" s="167"/>
    </row>
    <row r="190" customFormat="false" ht="20.1" hidden="false" customHeight="true" outlineLevel="0" collapsed="false">
      <c r="B190" s="62"/>
      <c r="C190" s="164"/>
      <c r="D190" s="171"/>
      <c r="E190" s="318" t="s">
        <v>31</v>
      </c>
      <c r="F190" s="16" t="s">
        <v>32</v>
      </c>
      <c r="G190" s="250" t="s">
        <v>67</v>
      </c>
      <c r="H190" s="250" t="s">
        <v>337</v>
      </c>
      <c r="I190" s="250" t="n">
        <v>1</v>
      </c>
      <c r="J190" s="250" t="n">
        <v>48</v>
      </c>
      <c r="K190" s="250" t="s">
        <v>67</v>
      </c>
      <c r="L190" s="253" t="n">
        <f aca="false">IF(J190="",0,(J190/J193)*100)</f>
        <v>90.5660377358491</v>
      </c>
      <c r="M190" s="250" t="n">
        <v>3</v>
      </c>
      <c r="N190" s="254" t="n">
        <v>0</v>
      </c>
      <c r="O190" s="116" t="n">
        <f aca="false">IF(M190=1,1,0)</f>
        <v>0</v>
      </c>
      <c r="P190" s="116" t="n">
        <f aca="false">IF(M190=2,1,0)</f>
        <v>0</v>
      </c>
      <c r="Q190" s="117" t="n">
        <f aca="false">IF(M190=3,1,0)</f>
        <v>1</v>
      </c>
      <c r="R190" s="170"/>
      <c r="S190" s="170"/>
      <c r="T190" s="164"/>
      <c r="U190" s="62"/>
    </row>
    <row r="191" customFormat="false" ht="20.1" hidden="false" customHeight="true" outlineLevel="0" collapsed="false">
      <c r="B191" s="62"/>
      <c r="C191" s="164"/>
      <c r="D191" s="164"/>
      <c r="E191" s="149" t="s">
        <v>43</v>
      </c>
      <c r="F191" s="175" t="s">
        <v>44</v>
      </c>
      <c r="G191" s="151" t="s">
        <v>67</v>
      </c>
      <c r="H191" s="151" t="s">
        <v>338</v>
      </c>
      <c r="I191" s="151" t="n">
        <v>1</v>
      </c>
      <c r="J191" s="151" t="n">
        <v>53</v>
      </c>
      <c r="K191" s="152" t="s">
        <v>67</v>
      </c>
      <c r="L191" s="153" t="n">
        <f aca="false">IF(J191="",0,(J191/J193)*100)</f>
        <v>100</v>
      </c>
      <c r="M191" s="151" t="n">
        <v>1</v>
      </c>
      <c r="N191" s="154" t="n">
        <v>6</v>
      </c>
      <c r="O191" s="122" t="n">
        <f aca="false">IF(M191=1,1,0)</f>
        <v>1</v>
      </c>
      <c r="P191" s="122" t="n">
        <f aca="false">IF(M191=2,1,0)</f>
        <v>0</v>
      </c>
      <c r="Q191" s="123" t="n">
        <f aca="false">IF(M191=3,1,0)</f>
        <v>0</v>
      </c>
      <c r="R191" s="170"/>
      <c r="S191" s="170"/>
      <c r="T191" s="164"/>
      <c r="U191" s="173"/>
    </row>
    <row r="192" customFormat="false" ht="20.1" hidden="false" customHeight="true" outlineLevel="0" collapsed="false">
      <c r="B192" s="62"/>
      <c r="C192" s="164"/>
      <c r="D192" s="164"/>
      <c r="E192" s="349" t="s">
        <v>45</v>
      </c>
      <c r="F192" s="44" t="s">
        <v>46</v>
      </c>
      <c r="G192" s="245" t="s">
        <v>67</v>
      </c>
      <c r="H192" s="245" t="s">
        <v>339</v>
      </c>
      <c r="I192" s="245" t="n">
        <v>1</v>
      </c>
      <c r="J192" s="245" t="n">
        <v>51</v>
      </c>
      <c r="K192" s="245" t="s">
        <v>67</v>
      </c>
      <c r="L192" s="247" t="n">
        <f aca="false">IF(J192="",0,(J192/J193)*100)</f>
        <v>96.2264150943396</v>
      </c>
      <c r="M192" s="245" t="n">
        <v>2</v>
      </c>
      <c r="N192" s="248" t="n">
        <v>3</v>
      </c>
      <c r="O192" s="128" t="n">
        <f aca="false">IF(M192=1,1,0)</f>
        <v>0</v>
      </c>
      <c r="P192" s="128" t="n">
        <f aca="false">IF(M192=2,1,0)</f>
        <v>1</v>
      </c>
      <c r="Q192" s="129" t="n">
        <f aca="false">IF(M192=3,1,0)</f>
        <v>0</v>
      </c>
      <c r="R192" s="170"/>
      <c r="S192" s="170"/>
      <c r="T192" s="164"/>
      <c r="U192" s="173"/>
    </row>
    <row r="193" customFormat="false" ht="20.1" hidden="true" customHeight="true" outlineLevel="1" collapsed="false">
      <c r="B193" s="62"/>
      <c r="C193" s="164"/>
      <c r="D193" s="164"/>
      <c r="E193" s="164"/>
      <c r="F193" s="178"/>
      <c r="G193" s="178"/>
      <c r="H193" s="164"/>
      <c r="I193" s="179" t="s">
        <v>89</v>
      </c>
      <c r="J193" s="133" t="n">
        <f aca="false">MAX(J190:J192)</f>
        <v>53</v>
      </c>
      <c r="K193" s="180"/>
      <c r="L193" s="170"/>
      <c r="M193" s="164"/>
      <c r="N193" s="136" t="s">
        <v>90</v>
      </c>
      <c r="O193" s="137" t="n">
        <f aca="false">SUM(O190:O192)</f>
        <v>1</v>
      </c>
      <c r="P193" s="138" t="n">
        <f aca="false">SUM(P190:P192)</f>
        <v>1</v>
      </c>
      <c r="Q193" s="137" t="n">
        <f aca="false">SUM(Q190:Q192)</f>
        <v>1</v>
      </c>
      <c r="R193" s="160" t="n">
        <f aca="false">SUM(R190:R192)</f>
        <v>0</v>
      </c>
      <c r="S193" s="181"/>
      <c r="T193" s="164"/>
      <c r="U193" s="173"/>
    </row>
    <row r="194" customFormat="false" ht="20.1" hidden="false" customHeight="true" outlineLevel="0" collapsed="false">
      <c r="B194" s="62"/>
      <c r="C194" s="164"/>
      <c r="D194" s="164"/>
      <c r="E194" s="164"/>
      <c r="F194" s="164"/>
      <c r="G194" s="164"/>
      <c r="H194" s="164"/>
      <c r="I194" s="164"/>
      <c r="J194" s="164"/>
      <c r="K194" s="164"/>
      <c r="L194" s="164"/>
      <c r="M194" s="164"/>
      <c r="N194" s="164"/>
      <c r="O194" s="164"/>
      <c r="P194" s="164"/>
      <c r="Q194" s="164"/>
      <c r="R194" s="164"/>
      <c r="S194" s="164"/>
      <c r="T194" s="164"/>
      <c r="U194" s="173"/>
    </row>
    <row r="195" customFormat="false" ht="20.1" hidden="false" customHeight="true" outlineLevel="0" collapsed="false">
      <c r="B195" s="62"/>
      <c r="D195" s="162"/>
      <c r="E195" s="162"/>
      <c r="F195" s="162"/>
      <c r="G195" s="162"/>
      <c r="H195" s="163"/>
      <c r="I195" s="162"/>
      <c r="J195" s="162"/>
      <c r="K195" s="162"/>
      <c r="U195" s="62"/>
    </row>
    <row r="196" customFormat="false" ht="30" hidden="false" customHeight="true" outlineLevel="0" collapsed="false">
      <c r="B196" s="62"/>
      <c r="C196" s="190"/>
      <c r="D196" s="191" t="s">
        <v>149</v>
      </c>
      <c r="E196" s="191"/>
      <c r="F196" s="191"/>
      <c r="G196" s="191"/>
      <c r="H196" s="191"/>
      <c r="I196" s="191"/>
      <c r="J196" s="191"/>
      <c r="K196" s="191"/>
      <c r="L196" s="191"/>
      <c r="M196" s="191"/>
      <c r="N196" s="191"/>
      <c r="O196" s="371"/>
      <c r="P196" s="371"/>
      <c r="Q196" s="371"/>
      <c r="R196" s="371"/>
      <c r="S196" s="371"/>
      <c r="T196" s="190"/>
      <c r="U196" s="62"/>
    </row>
    <row r="197" customFormat="false" ht="50.1" hidden="false" customHeight="true" outlineLevel="0" collapsed="false">
      <c r="B197" s="62"/>
      <c r="C197" s="190"/>
      <c r="D197" s="192" t="s">
        <v>53</v>
      </c>
      <c r="E197" s="193" t="s">
        <v>150</v>
      </c>
      <c r="F197" s="194" t="s">
        <v>84</v>
      </c>
      <c r="G197" s="195" t="s">
        <v>100</v>
      </c>
      <c r="H197" s="196" t="s">
        <v>101</v>
      </c>
      <c r="I197" s="196"/>
      <c r="J197" s="197" t="s">
        <v>102</v>
      </c>
      <c r="K197" s="198" t="s">
        <v>103</v>
      </c>
      <c r="L197" s="194" t="s">
        <v>104</v>
      </c>
      <c r="M197" s="198" t="s">
        <v>105</v>
      </c>
      <c r="N197" s="193" t="s">
        <v>107</v>
      </c>
      <c r="O197" s="372"/>
      <c r="P197" s="373"/>
      <c r="Q197" s="373"/>
      <c r="R197" s="373"/>
      <c r="S197" s="190"/>
      <c r="T197" s="190"/>
      <c r="U197" s="62"/>
    </row>
    <row r="198" customFormat="false" ht="20.1" hidden="false" customHeight="true" outlineLevel="0" collapsed="false">
      <c r="B198" s="62"/>
      <c r="C198" s="190"/>
      <c r="D198" s="201" t="s">
        <v>43</v>
      </c>
      <c r="E198" s="302" t="s">
        <v>44</v>
      </c>
      <c r="F198" s="258" t="n">
        <f aca="false">K198*6+L198*3+M198*0</f>
        <v>15</v>
      </c>
      <c r="G198" s="259" t="n">
        <v>0</v>
      </c>
      <c r="H198" s="482" t="s">
        <v>67</v>
      </c>
      <c r="I198" s="482"/>
      <c r="J198" s="258" t="n">
        <f aca="false">F198+G198</f>
        <v>15</v>
      </c>
      <c r="K198" s="258" t="n">
        <v>2</v>
      </c>
      <c r="L198" s="258" t="n">
        <v>1</v>
      </c>
      <c r="M198" s="258" t="n">
        <v>0</v>
      </c>
      <c r="N198" s="261" t="n">
        <f aca="false">(L175+L183+L191)/3</f>
        <v>88.8888888888889</v>
      </c>
      <c r="O198" s="376"/>
      <c r="P198" s="377"/>
      <c r="Q198" s="377"/>
      <c r="R198" s="377"/>
      <c r="S198" s="190"/>
      <c r="T198" s="190"/>
      <c r="U198" s="62"/>
    </row>
    <row r="199" customFormat="false" ht="20.1" hidden="false" customHeight="true" outlineLevel="0" collapsed="false">
      <c r="B199" s="62"/>
      <c r="C199" s="190"/>
      <c r="D199" s="444" t="s">
        <v>31</v>
      </c>
      <c r="E199" s="208" t="s">
        <v>32</v>
      </c>
      <c r="F199" s="262" t="n">
        <f aca="false">K199*6+L199*3+M199*0</f>
        <v>6</v>
      </c>
      <c r="G199" s="263" t="n">
        <v>0</v>
      </c>
      <c r="H199" s="263" t="s">
        <v>67</v>
      </c>
      <c r="I199" s="263"/>
      <c r="J199" s="262" t="n">
        <f aca="false">F199+G199</f>
        <v>6</v>
      </c>
      <c r="K199" s="262" t="n">
        <v>1</v>
      </c>
      <c r="L199" s="262" t="n">
        <v>0</v>
      </c>
      <c r="M199" s="262" t="n">
        <v>2</v>
      </c>
      <c r="N199" s="265" t="n">
        <f aca="false">(L174+L182+L190)/3</f>
        <v>89.5220125786164</v>
      </c>
      <c r="O199" s="376"/>
      <c r="P199" s="377"/>
      <c r="Q199" s="377"/>
      <c r="R199" s="377"/>
      <c r="S199" s="190"/>
      <c r="T199" s="190"/>
      <c r="U199" s="62"/>
    </row>
    <row r="200" customFormat="false" ht="20.1" hidden="false" customHeight="true" outlineLevel="0" collapsed="false">
      <c r="B200" s="62"/>
      <c r="C200" s="190"/>
      <c r="D200" s="427" t="s">
        <v>45</v>
      </c>
      <c r="E200" s="215" t="s">
        <v>46</v>
      </c>
      <c r="F200" s="271" t="n">
        <f aca="false">K200*6+L200*3+M200*0</f>
        <v>6</v>
      </c>
      <c r="G200" s="272" t="n">
        <v>0</v>
      </c>
      <c r="H200" s="272" t="s">
        <v>67</v>
      </c>
      <c r="I200" s="272"/>
      <c r="J200" s="271" t="n">
        <f aca="false">F200+G200</f>
        <v>6</v>
      </c>
      <c r="K200" s="271" t="n">
        <v>0</v>
      </c>
      <c r="L200" s="271" t="n">
        <v>2</v>
      </c>
      <c r="M200" s="271" t="n">
        <v>1</v>
      </c>
      <c r="N200" s="274" t="n">
        <f aca="false">(L176+L184+L192)/3</f>
        <v>76.3582999809415</v>
      </c>
      <c r="O200" s="376"/>
      <c r="P200" s="377"/>
      <c r="Q200" s="377"/>
      <c r="R200" s="377"/>
      <c r="S200" s="190"/>
      <c r="T200" s="190"/>
      <c r="U200" s="62"/>
    </row>
    <row r="201" customFormat="false" ht="20.1" hidden="false" customHeight="true" outlineLevel="0" collapsed="false">
      <c r="B201" s="62"/>
      <c r="C201" s="190"/>
      <c r="D201" s="190"/>
      <c r="E201" s="190"/>
      <c r="F201" s="190"/>
      <c r="G201" s="190"/>
      <c r="H201" s="190"/>
      <c r="I201" s="190"/>
      <c r="J201" s="190"/>
      <c r="K201" s="190"/>
      <c r="L201" s="190"/>
      <c r="M201" s="190"/>
      <c r="N201" s="190"/>
      <c r="O201" s="190"/>
      <c r="P201" s="190"/>
      <c r="Q201" s="190"/>
      <c r="R201" s="190"/>
      <c r="S201" s="190"/>
      <c r="T201" s="190"/>
      <c r="U201" s="62"/>
    </row>
    <row r="202" customFormat="false" ht="20.1" hidden="false" customHeight="true" outlineLevel="0" collapsed="false">
      <c r="B202" s="62"/>
      <c r="C202" s="62"/>
      <c r="D202" s="219"/>
      <c r="E202" s="219"/>
      <c r="F202" s="167"/>
      <c r="G202" s="167"/>
      <c r="H202" s="219"/>
      <c r="I202" s="219"/>
      <c r="J202" s="219"/>
      <c r="K202" s="62"/>
      <c r="L202" s="62"/>
      <c r="M202" s="62"/>
      <c r="N202" s="62"/>
      <c r="O202" s="62"/>
      <c r="P202" s="62"/>
      <c r="Q202" s="62"/>
      <c r="R202" s="62"/>
      <c r="S202" s="62"/>
      <c r="T202" s="62"/>
      <c r="U202" s="62"/>
    </row>
  </sheetData>
  <mergeCells count="196">
    <mergeCell ref="A1:N2"/>
    <mergeCell ref="B4:I4"/>
    <mergeCell ref="K4:M4"/>
    <mergeCell ref="B5:C5"/>
    <mergeCell ref="B6:C6"/>
    <mergeCell ref="L6:L9"/>
    <mergeCell ref="B7:C7"/>
    <mergeCell ref="B8:C8"/>
    <mergeCell ref="B9:C9"/>
    <mergeCell ref="B10:C10"/>
    <mergeCell ref="L10:L13"/>
    <mergeCell ref="B11:C11"/>
    <mergeCell ref="B12:C12"/>
    <mergeCell ref="B13:C13"/>
    <mergeCell ref="B14:C14"/>
    <mergeCell ref="L14:L16"/>
    <mergeCell ref="B15:C15"/>
    <mergeCell ref="B16:C16"/>
    <mergeCell ref="K17:L17"/>
    <mergeCell ref="B18:H18"/>
    <mergeCell ref="B19:C19"/>
    <mergeCell ref="B20:C20"/>
    <mergeCell ref="C23:T23"/>
    <mergeCell ref="D25:D26"/>
    <mergeCell ref="E25:E26"/>
    <mergeCell ref="F25:F26"/>
    <mergeCell ref="G25:J25"/>
    <mergeCell ref="L25:S25"/>
    <mergeCell ref="I26:J26"/>
    <mergeCell ref="N26:S26"/>
    <mergeCell ref="I27:J27"/>
    <mergeCell ref="N27:S27"/>
    <mergeCell ref="D28:D33"/>
    <mergeCell ref="E28:E33"/>
    <mergeCell ref="F28:F33"/>
    <mergeCell ref="G28:G33"/>
    <mergeCell ref="H28:H33"/>
    <mergeCell ref="I28:J28"/>
    <mergeCell ref="K28:K33"/>
    <mergeCell ref="L28:L33"/>
    <mergeCell ref="M28:M33"/>
    <mergeCell ref="N28:S33"/>
    <mergeCell ref="I29:J29"/>
    <mergeCell ref="I30:J30"/>
    <mergeCell ref="I31:J31"/>
    <mergeCell ref="I32:J32"/>
    <mergeCell ref="I33:J33"/>
    <mergeCell ref="I34:J34"/>
    <mergeCell ref="N34:S34"/>
    <mergeCell ref="I35:J35"/>
    <mergeCell ref="N35:S35"/>
    <mergeCell ref="E37:N37"/>
    <mergeCell ref="F43:G43"/>
    <mergeCell ref="F44:G44"/>
    <mergeCell ref="E46:N46"/>
    <mergeCell ref="F52:G52"/>
    <mergeCell ref="E55:N55"/>
    <mergeCell ref="F61:G61"/>
    <mergeCell ref="E64:N64"/>
    <mergeCell ref="F70:G70"/>
    <mergeCell ref="D73:S73"/>
    <mergeCell ref="H74:I74"/>
    <mergeCell ref="H75:I75"/>
    <mergeCell ref="H76:I76"/>
    <mergeCell ref="H77:I77"/>
    <mergeCell ref="H78:I78"/>
    <mergeCell ref="H79:I79"/>
    <mergeCell ref="C84:T84"/>
    <mergeCell ref="D86:D87"/>
    <mergeCell ref="E86:E87"/>
    <mergeCell ref="F86:F87"/>
    <mergeCell ref="G86:J86"/>
    <mergeCell ref="L86:S86"/>
    <mergeCell ref="I87:J87"/>
    <mergeCell ref="N87:S87"/>
    <mergeCell ref="D88:D91"/>
    <mergeCell ref="E88:E91"/>
    <mergeCell ref="F88:F91"/>
    <mergeCell ref="G88:G91"/>
    <mergeCell ref="H88:H91"/>
    <mergeCell ref="I88:J88"/>
    <mergeCell ref="K88:K91"/>
    <mergeCell ref="L88:L91"/>
    <mergeCell ref="M88:M91"/>
    <mergeCell ref="N88:S91"/>
    <mergeCell ref="I89:J89"/>
    <mergeCell ref="I90:J90"/>
    <mergeCell ref="I91:J91"/>
    <mergeCell ref="D92:D94"/>
    <mergeCell ref="E92:E94"/>
    <mergeCell ref="F92:F94"/>
    <mergeCell ref="G92:G94"/>
    <mergeCell ref="H92:H94"/>
    <mergeCell ref="I92:J92"/>
    <mergeCell ref="K92:K94"/>
    <mergeCell ref="L92:L94"/>
    <mergeCell ref="M92:M94"/>
    <mergeCell ref="N92:S94"/>
    <mergeCell ref="I93:J93"/>
    <mergeCell ref="I94:J94"/>
    <mergeCell ref="D95:D102"/>
    <mergeCell ref="E95:E102"/>
    <mergeCell ref="F95:F102"/>
    <mergeCell ref="G95:G102"/>
    <mergeCell ref="H95:H102"/>
    <mergeCell ref="I95:J95"/>
    <mergeCell ref="K95:K102"/>
    <mergeCell ref="L95:L102"/>
    <mergeCell ref="M95:M102"/>
    <mergeCell ref="N95:S102"/>
    <mergeCell ref="I96:J96"/>
    <mergeCell ref="I97:J97"/>
    <mergeCell ref="I98:J98"/>
    <mergeCell ref="I99:J99"/>
    <mergeCell ref="I100:J100"/>
    <mergeCell ref="I101:J101"/>
    <mergeCell ref="I102:J102"/>
    <mergeCell ref="D103:D106"/>
    <mergeCell ref="E103:E106"/>
    <mergeCell ref="F103:F106"/>
    <mergeCell ref="G103:G106"/>
    <mergeCell ref="H103:H106"/>
    <mergeCell ref="I103:J103"/>
    <mergeCell ref="K103:K106"/>
    <mergeCell ref="L103:L106"/>
    <mergeCell ref="M103:M106"/>
    <mergeCell ref="N103:S106"/>
    <mergeCell ref="I104:J104"/>
    <mergeCell ref="I105:J105"/>
    <mergeCell ref="I106:J106"/>
    <mergeCell ref="E108:N108"/>
    <mergeCell ref="F114:G114"/>
    <mergeCell ref="E117:N117"/>
    <mergeCell ref="F123:G123"/>
    <mergeCell ref="E126:N126"/>
    <mergeCell ref="F132:G132"/>
    <mergeCell ref="E135:N135"/>
    <mergeCell ref="F141:G141"/>
    <mergeCell ref="D144:S144"/>
    <mergeCell ref="H145:I145"/>
    <mergeCell ref="H146:I146"/>
    <mergeCell ref="H147:I147"/>
    <mergeCell ref="Y147:Z147"/>
    <mergeCell ref="H148:I148"/>
    <mergeCell ref="H149:I149"/>
    <mergeCell ref="H150:I150"/>
    <mergeCell ref="C155:T155"/>
    <mergeCell ref="D157:D158"/>
    <mergeCell ref="E157:E158"/>
    <mergeCell ref="F157:F158"/>
    <mergeCell ref="G157:J157"/>
    <mergeCell ref="L157:S157"/>
    <mergeCell ref="I158:J158"/>
    <mergeCell ref="N158:S158"/>
    <mergeCell ref="I159:J159"/>
    <mergeCell ref="N159:S159"/>
    <mergeCell ref="D160:D168"/>
    <mergeCell ref="E160:E168"/>
    <mergeCell ref="F160:F168"/>
    <mergeCell ref="G160:G168"/>
    <mergeCell ref="H160:H168"/>
    <mergeCell ref="I160:J160"/>
    <mergeCell ref="K160:K168"/>
    <mergeCell ref="L160:L168"/>
    <mergeCell ref="M160:M168"/>
    <mergeCell ref="N160:S168"/>
    <mergeCell ref="I161:J161"/>
    <mergeCell ref="I162:J162"/>
    <mergeCell ref="I163:J163"/>
    <mergeCell ref="I164:J164"/>
    <mergeCell ref="I165:J165"/>
    <mergeCell ref="I166:J166"/>
    <mergeCell ref="I167:J167"/>
    <mergeCell ref="I168:J168"/>
    <mergeCell ref="D169:D170"/>
    <mergeCell ref="E169:E170"/>
    <mergeCell ref="F169:F170"/>
    <mergeCell ref="G169:G170"/>
    <mergeCell ref="H169:H170"/>
    <mergeCell ref="I169:J169"/>
    <mergeCell ref="K169:K170"/>
    <mergeCell ref="L169:L170"/>
    <mergeCell ref="M169:M170"/>
    <mergeCell ref="N169:S170"/>
    <mergeCell ref="I170:J170"/>
    <mergeCell ref="E172:N172"/>
    <mergeCell ref="F177:G177"/>
    <mergeCell ref="E180:N180"/>
    <mergeCell ref="F185:G185"/>
    <mergeCell ref="E188:N188"/>
    <mergeCell ref="F193:G193"/>
    <mergeCell ref="D196:N196"/>
    <mergeCell ref="H197:I197"/>
    <mergeCell ref="H198:I198"/>
    <mergeCell ref="H199:I199"/>
    <mergeCell ref="H200:I200"/>
  </mergeCells>
  <conditionalFormatting sqref="B6:C10 B11:I11 B12:C16">
    <cfRule type="expression" priority="2" aboveAverage="0" equalAverage="0" bottom="0" percent="0" rank="0" text="" dxfId="200">
      <formula>$I6="Nein"</formula>
    </cfRule>
    <cfRule type="expression" priority="3" aboveAverage="0" equalAverage="0" bottom="0" percent="0" rank="0" text="" dxfId="201">
      <formula>$I6="Ja"</formula>
    </cfRule>
  </conditionalFormatting>
  <conditionalFormatting sqref="D17:I17">
    <cfRule type="expression" priority="4" aboveAverage="0" equalAverage="0" bottom="0" percent="0" rank="0" text="" dxfId="202">
      <formula>$I17="Nein"</formula>
    </cfRule>
    <cfRule type="expression" priority="5" aboveAverage="0" equalAverage="0" bottom="0" percent="0" rank="0" text="" dxfId="203">
      <formula>$I17="Ja"</formula>
    </cfRule>
  </conditionalFormatting>
  <conditionalFormatting sqref="D14:I14">
    <cfRule type="expression" priority="6" aboveAverage="0" equalAverage="0" bottom="0" percent="0" rank="0" text="" dxfId="204">
      <formula>$I14="Nein"</formula>
    </cfRule>
    <cfRule type="expression" priority="7" aboveAverage="0" equalAverage="0" bottom="0" percent="0" rank="0" text="" dxfId="205">
      <formula>$I14="Ja"</formula>
    </cfRule>
  </conditionalFormatting>
  <conditionalFormatting sqref="D79:E79">
    <cfRule type="expression" priority="8" aboveAverage="0" equalAverage="0" bottom="0" percent="0" rank="0" text="" dxfId="206">
      <formula>$I79="Nein"</formula>
    </cfRule>
    <cfRule type="expression" priority="9" aboveAverage="0" equalAverage="0" bottom="0" percent="0" rank="0" text="" dxfId="207">
      <formula>$I79="Ja"</formula>
    </cfRule>
  </conditionalFormatting>
  <conditionalFormatting sqref="D150:E150">
    <cfRule type="expression" priority="10" aboveAverage="0" equalAverage="0" bottom="0" percent="0" rank="0" text="" dxfId="208">
      <formula>$I150="Nein"</formula>
    </cfRule>
    <cfRule type="expression" priority="11" aboveAverage="0" equalAverage="0" bottom="0" percent="0" rank="0" text="" dxfId="209">
      <formula>$I150="Ja"</formula>
    </cfRule>
  </conditionalFormatting>
  <conditionalFormatting sqref="D7:I7">
    <cfRule type="expression" priority="12" aboveAverage="0" equalAverage="0" bottom="0" percent="0" rank="0" text="" dxfId="210">
      <formula>$I7="Nein"</formula>
    </cfRule>
    <cfRule type="expression" priority="13" aboveAverage="0" equalAverage="0" bottom="0" percent="0" rank="0" text="" dxfId="211">
      <formula>$I7="Ja"</formula>
    </cfRule>
  </conditionalFormatting>
  <conditionalFormatting sqref="D9:I9">
    <cfRule type="expression" priority="14" aboveAverage="0" equalAverage="0" bottom="0" percent="0" rank="0" text="" dxfId="212">
      <formula>$I9="Nein"</formula>
    </cfRule>
    <cfRule type="expression" priority="15" aboveAverage="0" equalAverage="0" bottom="0" percent="0" rank="0" text="" dxfId="213">
      <formula>$I9="Ja"</formula>
    </cfRule>
  </conditionalFormatting>
  <conditionalFormatting sqref="D6:I6">
    <cfRule type="expression" priority="16" aboveAverage="0" equalAverage="0" bottom="0" percent="0" rank="0" text="" dxfId="214">
      <formula>$I6="Nein"</formula>
    </cfRule>
    <cfRule type="expression" priority="17" aboveAverage="0" equalAverage="0" bottom="0" percent="0" rank="0" text="" dxfId="215">
      <formula>$I6="Ja"</formula>
    </cfRule>
  </conditionalFormatting>
  <conditionalFormatting sqref="D8:I8">
    <cfRule type="expression" priority="18" aboveAverage="0" equalAverage="0" bottom="0" percent="0" rank="0" text="" dxfId="216">
      <formula>$I8="Nein"</formula>
    </cfRule>
    <cfRule type="expression" priority="19" aboveAverage="0" equalAverage="0" bottom="0" percent="0" rank="0" text="" dxfId="217">
      <formula>$I8="Ja"</formula>
    </cfRule>
  </conditionalFormatting>
  <conditionalFormatting sqref="D10:I10">
    <cfRule type="expression" priority="20" aboveAverage="0" equalAverage="0" bottom="0" percent="0" rank="0" text="" dxfId="218">
      <formula>$I10="Nein"</formula>
    </cfRule>
    <cfRule type="expression" priority="21" aboveAverage="0" equalAverage="0" bottom="0" percent="0" rank="0" text="" dxfId="219">
      <formula>$I10="Ja"</formula>
    </cfRule>
  </conditionalFormatting>
  <conditionalFormatting sqref="D13:I13">
    <cfRule type="expression" priority="22" aboveAverage="0" equalAverage="0" bottom="0" percent="0" rank="0" text="" dxfId="220">
      <formula>$I13="Nein"</formula>
    </cfRule>
    <cfRule type="expression" priority="23" aboveAverage="0" equalAverage="0" bottom="0" percent="0" rank="0" text="" dxfId="221">
      <formula>$I13="Ja"</formula>
    </cfRule>
  </conditionalFormatting>
  <conditionalFormatting sqref="D12:I12">
    <cfRule type="expression" priority="24" aboveAverage="0" equalAverage="0" bottom="0" percent="0" rank="0" text="" dxfId="222">
      <formula>$I12="Nein"</formula>
    </cfRule>
    <cfRule type="expression" priority="25" aboveAverage="0" equalAverage="0" bottom="0" percent="0" rank="0" text="" dxfId="223">
      <formula>$I12="Ja"</formula>
    </cfRule>
  </conditionalFormatting>
  <conditionalFormatting sqref="D15:I15">
    <cfRule type="expression" priority="26" aboveAverage="0" equalAverage="0" bottom="0" percent="0" rank="0" text="" dxfId="224">
      <formula>$I15="Nein"</formula>
    </cfRule>
    <cfRule type="expression" priority="27" aboveAverage="0" equalAverage="0" bottom="0" percent="0" rank="0" text="" dxfId="225">
      <formula>$I15="Ja"</formula>
    </cfRule>
  </conditionalFormatting>
  <conditionalFormatting sqref="I16">
    <cfRule type="expression" priority="28" aboveAverage="0" equalAverage="0" bottom="0" percent="0" rank="0" text="" dxfId="226">
      <formula>$I16="Nein"</formula>
    </cfRule>
    <cfRule type="expression" priority="29" aboveAverage="0" equalAverage="0" bottom="0" percent="0" rank="0" text="" dxfId="227">
      <formula>$I16="Ja"</formula>
    </cfRule>
  </conditionalFormatting>
  <conditionalFormatting sqref="D16:H16">
    <cfRule type="expression" priority="30" aboveAverage="0" equalAverage="0" bottom="0" percent="0" rank="0" text="" dxfId="228">
      <formula>$I16="Nein"</formula>
    </cfRule>
    <cfRule type="expression" priority="31" aboveAverage="0" equalAverage="0" bottom="0" percent="0" rank="0" text="" dxfId="229">
      <formula>$I16="Ja"</formula>
    </cfRule>
  </conditionalFormatting>
  <conditionalFormatting sqref="D20:H20">
    <cfRule type="expression" priority="32" aboveAverage="0" equalAverage="0" bottom="0" percent="0" rank="0" text="" dxfId="230">
      <formula>$I20="Nein"</formula>
    </cfRule>
    <cfRule type="expression" priority="33" aboveAverage="0" equalAverage="0" bottom="0" percent="0" rank="0" text="" dxfId="231">
      <formula>$I20="Ja"</formula>
    </cfRule>
  </conditionalFormatting>
  <conditionalFormatting sqref="E40:F40">
    <cfRule type="expression" priority="34" aboveAverage="0" equalAverage="0" bottom="0" percent="0" rank="0" text="" dxfId="232">
      <formula>$I40="Nein"</formula>
    </cfRule>
    <cfRule type="expression" priority="35" aboveAverage="0" equalAverage="0" bottom="0" percent="0" rank="0" text="" dxfId="233">
      <formula>$I40="Ja"</formula>
    </cfRule>
  </conditionalFormatting>
  <conditionalFormatting sqref="E42:F42">
    <cfRule type="expression" priority="36" aboveAverage="0" equalAverage="0" bottom="0" percent="0" rank="0" text="" dxfId="234">
      <formula>$I42="Nein"</formula>
    </cfRule>
    <cfRule type="expression" priority="37" aboveAverage="0" equalAverage="0" bottom="0" percent="0" rank="0" text="" dxfId="235">
      <formula>$I42="Ja"</formula>
    </cfRule>
  </conditionalFormatting>
  <conditionalFormatting sqref="E39:F39">
    <cfRule type="expression" priority="38" aboveAverage="0" equalAverage="0" bottom="0" percent="0" rank="0" text="" dxfId="236">
      <formula>$I39="Nein"</formula>
    </cfRule>
    <cfRule type="expression" priority="39" aboveAverage="0" equalAverage="0" bottom="0" percent="0" rank="0" text="" dxfId="237">
      <formula>$I39="Ja"</formula>
    </cfRule>
  </conditionalFormatting>
  <conditionalFormatting sqref="E41:F41">
    <cfRule type="expression" priority="40" aboveAverage="0" equalAverage="0" bottom="0" percent="0" rank="0" text="" dxfId="238">
      <formula>$I41="Nein"</formula>
    </cfRule>
    <cfRule type="expression" priority="41" aboveAverage="0" equalAverage="0" bottom="0" percent="0" rank="0" text="" dxfId="239">
      <formula>$I41="Ja"</formula>
    </cfRule>
  </conditionalFormatting>
  <conditionalFormatting sqref="E49:F49">
    <cfRule type="expression" priority="42" aboveAverage="0" equalAverage="0" bottom="0" percent="0" rank="0" text="" dxfId="240">
      <formula>$I49="Nein"</formula>
    </cfRule>
    <cfRule type="expression" priority="43" aboveAverage="0" equalAverage="0" bottom="0" percent="0" rank="0" text="" dxfId="241">
      <formula>$I49="Ja"</formula>
    </cfRule>
  </conditionalFormatting>
  <conditionalFormatting sqref="E51:F51">
    <cfRule type="expression" priority="44" aboveAverage="0" equalAverage="0" bottom="0" percent="0" rank="0" text="" dxfId="242">
      <formula>$I51="Nein"</formula>
    </cfRule>
    <cfRule type="expression" priority="45" aboveAverage="0" equalAverage="0" bottom="0" percent="0" rank="0" text="" dxfId="243">
      <formula>$I51="Ja"</formula>
    </cfRule>
  </conditionalFormatting>
  <conditionalFormatting sqref="E48:F48">
    <cfRule type="expression" priority="46" aboveAverage="0" equalAverage="0" bottom="0" percent="0" rank="0" text="" dxfId="244">
      <formula>$I48="Nein"</formula>
    </cfRule>
    <cfRule type="expression" priority="47" aboveAverage="0" equalAverage="0" bottom="0" percent="0" rank="0" text="" dxfId="245">
      <formula>$I48="Ja"</formula>
    </cfRule>
  </conditionalFormatting>
  <conditionalFormatting sqref="E50:F50">
    <cfRule type="expression" priority="48" aboveAverage="0" equalAverage="0" bottom="0" percent="0" rank="0" text="" dxfId="246">
      <formula>$I50="Nein"</formula>
    </cfRule>
    <cfRule type="expression" priority="49" aboveAverage="0" equalAverage="0" bottom="0" percent="0" rank="0" text="" dxfId="247">
      <formula>$I50="Ja"</formula>
    </cfRule>
  </conditionalFormatting>
  <conditionalFormatting sqref="E58:F58">
    <cfRule type="expression" priority="50" aboveAverage="0" equalAverage="0" bottom="0" percent="0" rank="0" text="" dxfId="248">
      <formula>$I58="Nein"</formula>
    </cfRule>
    <cfRule type="expression" priority="51" aboveAverage="0" equalAverage="0" bottom="0" percent="0" rank="0" text="" dxfId="249">
      <formula>$I58="Ja"</formula>
    </cfRule>
  </conditionalFormatting>
  <conditionalFormatting sqref="E60:F60">
    <cfRule type="expression" priority="52" aboveAverage="0" equalAverage="0" bottom="0" percent="0" rank="0" text="" dxfId="250">
      <formula>$I60="Nein"</formula>
    </cfRule>
    <cfRule type="expression" priority="53" aboveAverage="0" equalAverage="0" bottom="0" percent="0" rank="0" text="" dxfId="251">
      <formula>$I60="Ja"</formula>
    </cfRule>
  </conditionalFormatting>
  <conditionalFormatting sqref="E57:F57">
    <cfRule type="expression" priority="54" aboveAverage="0" equalAverage="0" bottom="0" percent="0" rank="0" text="" dxfId="252">
      <formula>$I57="Nein"</formula>
    </cfRule>
    <cfRule type="expression" priority="55" aboveAverage="0" equalAverage="0" bottom="0" percent="0" rank="0" text="" dxfId="253">
      <formula>$I57="Ja"</formula>
    </cfRule>
  </conditionalFormatting>
  <conditionalFormatting sqref="E59:F59">
    <cfRule type="expression" priority="56" aboveAverage="0" equalAverage="0" bottom="0" percent="0" rank="0" text="" dxfId="254">
      <formula>$I59="Nein"</formula>
    </cfRule>
    <cfRule type="expression" priority="57" aboveAverage="0" equalAverage="0" bottom="0" percent="0" rank="0" text="" dxfId="255">
      <formula>$I59="Ja"</formula>
    </cfRule>
  </conditionalFormatting>
  <conditionalFormatting sqref="E67:F67">
    <cfRule type="expression" priority="58" aboveAverage="0" equalAverage="0" bottom="0" percent="0" rank="0" text="" dxfId="256">
      <formula>$I67="Nein"</formula>
    </cfRule>
    <cfRule type="expression" priority="59" aboveAverage="0" equalAverage="0" bottom="0" percent="0" rank="0" text="" dxfId="257">
      <formula>$I67="Ja"</formula>
    </cfRule>
  </conditionalFormatting>
  <conditionalFormatting sqref="E69:F69">
    <cfRule type="expression" priority="60" aboveAverage="0" equalAverage="0" bottom="0" percent="0" rank="0" text="" dxfId="258">
      <formula>$I69="Nein"</formula>
    </cfRule>
    <cfRule type="expression" priority="61" aboveAverage="0" equalAverage="0" bottom="0" percent="0" rank="0" text="" dxfId="259">
      <formula>$I69="Ja"</formula>
    </cfRule>
  </conditionalFormatting>
  <conditionalFormatting sqref="E66:F66">
    <cfRule type="expression" priority="62" aboveAverage="0" equalAverage="0" bottom="0" percent="0" rank="0" text="" dxfId="260">
      <formula>$I66="Nein"</formula>
    </cfRule>
    <cfRule type="expression" priority="63" aboveAverage="0" equalAverage="0" bottom="0" percent="0" rank="0" text="" dxfId="261">
      <formula>$I66="Ja"</formula>
    </cfRule>
  </conditionalFormatting>
  <conditionalFormatting sqref="E68:F68">
    <cfRule type="expression" priority="64" aboveAverage="0" equalAverage="0" bottom="0" percent="0" rank="0" text="" dxfId="262">
      <formula>$I68="Nein"</formula>
    </cfRule>
    <cfRule type="expression" priority="65" aboveAverage="0" equalAverage="0" bottom="0" percent="0" rank="0" text="" dxfId="263">
      <formula>$I68="Ja"</formula>
    </cfRule>
  </conditionalFormatting>
  <conditionalFormatting sqref="D75:E75">
    <cfRule type="expression" priority="66" aboveAverage="0" equalAverage="0" bottom="0" percent="0" rank="0" text="" dxfId="264">
      <formula>$I75="Nein"</formula>
    </cfRule>
    <cfRule type="expression" priority="67" aboveAverage="0" equalAverage="0" bottom="0" percent="0" rank="0" text="" dxfId="265">
      <formula>$I75="Ja"</formula>
    </cfRule>
  </conditionalFormatting>
  <conditionalFormatting sqref="D76:E76">
    <cfRule type="expression" priority="68" aboveAverage="0" equalAverage="0" bottom="0" percent="0" rank="0" text="" dxfId="266">
      <formula>$I76="Nein"</formula>
    </cfRule>
    <cfRule type="expression" priority="69" aboveAverage="0" equalAverage="0" bottom="0" percent="0" rank="0" text="" dxfId="267">
      <formula>$I76="Ja"</formula>
    </cfRule>
  </conditionalFormatting>
  <conditionalFormatting sqref="D77:E77">
    <cfRule type="expression" priority="70" aboveAverage="0" equalAverage="0" bottom="0" percent="0" rank="0" text="" dxfId="268">
      <formula>$I77="Nein"</formula>
    </cfRule>
    <cfRule type="expression" priority="71" aboveAverage="0" equalAverage="0" bottom="0" percent="0" rank="0" text="" dxfId="269">
      <formula>$I77="Ja"</formula>
    </cfRule>
  </conditionalFormatting>
  <conditionalFormatting sqref="D78:E78">
    <cfRule type="expression" priority="72" aboveAverage="0" equalAverage="0" bottom="0" percent="0" rank="0" text="" dxfId="270">
      <formula>$I78="Nein"</formula>
    </cfRule>
    <cfRule type="expression" priority="73" aboveAverage="0" equalAverage="0" bottom="0" percent="0" rank="0" text="" dxfId="271">
      <formula>$I78="Ja"</formula>
    </cfRule>
  </conditionalFormatting>
  <conditionalFormatting sqref="E111:F111">
    <cfRule type="expression" priority="74" aboveAverage="0" equalAverage="0" bottom="0" percent="0" rank="0" text="" dxfId="272">
      <formula>$I111="Nein"</formula>
    </cfRule>
    <cfRule type="expression" priority="75" aboveAverage="0" equalAverage="0" bottom="0" percent="0" rank="0" text="" dxfId="273">
      <formula>$I111="Ja"</formula>
    </cfRule>
  </conditionalFormatting>
  <conditionalFormatting sqref="E110:F110">
    <cfRule type="expression" priority="76" aboveAverage="0" equalAverage="0" bottom="0" percent="0" rank="0" text="" dxfId="274">
      <formula>$I110="Nein"</formula>
    </cfRule>
    <cfRule type="expression" priority="77" aboveAverage="0" equalAverage="0" bottom="0" percent="0" rank="0" text="" dxfId="275">
      <formula>$I110="Ja"</formula>
    </cfRule>
  </conditionalFormatting>
  <conditionalFormatting sqref="E113:F113">
    <cfRule type="expression" priority="78" aboveAverage="0" equalAverage="0" bottom="0" percent="0" rank="0" text="" dxfId="276">
      <formula>$I113="Nein"</formula>
    </cfRule>
    <cfRule type="expression" priority="79" aboveAverage="0" equalAverage="0" bottom="0" percent="0" rank="0" text="" dxfId="277">
      <formula>$I113="Ja"</formula>
    </cfRule>
  </conditionalFormatting>
  <conditionalFormatting sqref="E112:F112">
    <cfRule type="expression" priority="80" aboveAverage="0" equalAverage="0" bottom="0" percent="0" rank="0" text="" dxfId="278">
      <formula>$I112="Nein"</formula>
    </cfRule>
    <cfRule type="expression" priority="81" aboveAverage="0" equalAverage="0" bottom="0" percent="0" rank="0" text="" dxfId="279">
      <formula>$I112="Ja"</formula>
    </cfRule>
  </conditionalFormatting>
  <conditionalFormatting sqref="E120:F120">
    <cfRule type="expression" priority="82" aboveAverage="0" equalAverage="0" bottom="0" percent="0" rank="0" text="" dxfId="280">
      <formula>$I120="Nein"</formula>
    </cfRule>
    <cfRule type="expression" priority="83" aboveAverage="0" equalAverage="0" bottom="0" percent="0" rank="0" text="" dxfId="281">
      <formula>$I120="Ja"</formula>
    </cfRule>
  </conditionalFormatting>
  <conditionalFormatting sqref="E119:F119">
    <cfRule type="expression" priority="84" aboveAverage="0" equalAverage="0" bottom="0" percent="0" rank="0" text="" dxfId="282">
      <formula>$I119="Nein"</formula>
    </cfRule>
    <cfRule type="expression" priority="85" aboveAverage="0" equalAverage="0" bottom="0" percent="0" rank="0" text="" dxfId="283">
      <formula>$I119="Ja"</formula>
    </cfRule>
  </conditionalFormatting>
  <conditionalFormatting sqref="E122:F122">
    <cfRule type="expression" priority="86" aboveAverage="0" equalAverage="0" bottom="0" percent="0" rank="0" text="" dxfId="284">
      <formula>$I122="Nein"</formula>
    </cfRule>
    <cfRule type="expression" priority="87" aboveAverage="0" equalAverage="0" bottom="0" percent="0" rank="0" text="" dxfId="285">
      <formula>$I122="Ja"</formula>
    </cfRule>
  </conditionalFormatting>
  <conditionalFormatting sqref="E121:F121">
    <cfRule type="expression" priority="88" aboveAverage="0" equalAverage="0" bottom="0" percent="0" rank="0" text="" dxfId="286">
      <formula>$I121="Nein"</formula>
    </cfRule>
    <cfRule type="expression" priority="89" aboveAverage="0" equalAverage="0" bottom="0" percent="0" rank="0" text="" dxfId="287">
      <formula>$I121="Ja"</formula>
    </cfRule>
  </conditionalFormatting>
  <conditionalFormatting sqref="E129:F129">
    <cfRule type="expression" priority="90" aboveAverage="0" equalAverage="0" bottom="0" percent="0" rank="0" text="" dxfId="288">
      <formula>$I129="Nein"</formula>
    </cfRule>
    <cfRule type="expression" priority="91" aboveAverage="0" equalAverage="0" bottom="0" percent="0" rank="0" text="" dxfId="289">
      <formula>$I129="Ja"</formula>
    </cfRule>
  </conditionalFormatting>
  <conditionalFormatting sqref="E128:F128">
    <cfRule type="expression" priority="92" aboveAverage="0" equalAverage="0" bottom="0" percent="0" rank="0" text="" dxfId="290">
      <formula>$I128="Nein"</formula>
    </cfRule>
    <cfRule type="expression" priority="93" aboveAverage="0" equalAverage="0" bottom="0" percent="0" rank="0" text="" dxfId="291">
      <formula>$I128="Ja"</formula>
    </cfRule>
  </conditionalFormatting>
  <conditionalFormatting sqref="E131:F131">
    <cfRule type="expression" priority="94" aboveAverage="0" equalAverage="0" bottom="0" percent="0" rank="0" text="" dxfId="292">
      <formula>$I131="Nein"</formula>
    </cfRule>
    <cfRule type="expression" priority="95" aboveAverage="0" equalAverage="0" bottom="0" percent="0" rank="0" text="" dxfId="293">
      <formula>$I131="Ja"</formula>
    </cfRule>
  </conditionalFormatting>
  <conditionalFormatting sqref="E130:F130">
    <cfRule type="expression" priority="96" aboveAverage="0" equalAverage="0" bottom="0" percent="0" rank="0" text="" dxfId="294">
      <formula>$I130="Nein"</formula>
    </cfRule>
    <cfRule type="expression" priority="97" aboveAverage="0" equalAverage="0" bottom="0" percent="0" rank="0" text="" dxfId="295">
      <formula>$I130="Ja"</formula>
    </cfRule>
  </conditionalFormatting>
  <conditionalFormatting sqref="E138:F138">
    <cfRule type="expression" priority="98" aboveAverage="0" equalAverage="0" bottom="0" percent="0" rank="0" text="" dxfId="296">
      <formula>$I138="Nein"</formula>
    </cfRule>
    <cfRule type="expression" priority="99" aboveAverage="0" equalAverage="0" bottom="0" percent="0" rank="0" text="" dxfId="297">
      <formula>$I138="Ja"</formula>
    </cfRule>
  </conditionalFormatting>
  <conditionalFormatting sqref="E137:F137">
    <cfRule type="expression" priority="100" aboveAverage="0" equalAverage="0" bottom="0" percent="0" rank="0" text="" dxfId="298">
      <formula>$I137="Nein"</formula>
    </cfRule>
    <cfRule type="expression" priority="101" aboveAverage="0" equalAverage="0" bottom="0" percent="0" rank="0" text="" dxfId="299">
      <formula>$I137="Ja"</formula>
    </cfRule>
  </conditionalFormatting>
  <conditionalFormatting sqref="E140:F140">
    <cfRule type="expression" priority="102" aboveAverage="0" equalAverage="0" bottom="0" percent="0" rank="0" text="" dxfId="300">
      <formula>$I140="Nein"</formula>
    </cfRule>
    <cfRule type="expression" priority="103" aboveAverage="0" equalAverage="0" bottom="0" percent="0" rank="0" text="" dxfId="301">
      <formula>$I140="Ja"</formula>
    </cfRule>
  </conditionalFormatting>
  <conditionalFormatting sqref="E139:F139">
    <cfRule type="expression" priority="104" aboveAverage="0" equalAverage="0" bottom="0" percent="0" rank="0" text="" dxfId="302">
      <formula>$I139="Nein"</formula>
    </cfRule>
    <cfRule type="expression" priority="105" aboveAverage="0" equalAverage="0" bottom="0" percent="0" rank="0" text="" dxfId="303">
      <formula>$I139="Ja"</formula>
    </cfRule>
  </conditionalFormatting>
  <conditionalFormatting sqref="D146:E146">
    <cfRule type="expression" priority="106" aboveAverage="0" equalAverage="0" bottom="0" percent="0" rank="0" text="" dxfId="304">
      <formula>$I146="Nein"</formula>
    </cfRule>
    <cfRule type="expression" priority="107" aboveAverage="0" equalAverage="0" bottom="0" percent="0" rank="0" text="" dxfId="305">
      <formula>$I146="Ja"</formula>
    </cfRule>
  </conditionalFormatting>
  <conditionalFormatting sqref="D147:E147">
    <cfRule type="expression" priority="108" aboveAverage="0" equalAverage="0" bottom="0" percent="0" rank="0" text="" dxfId="306">
      <formula>$I147="Nein"</formula>
    </cfRule>
    <cfRule type="expression" priority="109" aboveAverage="0" equalAverage="0" bottom="0" percent="0" rank="0" text="" dxfId="307">
      <formula>$I147="Ja"</formula>
    </cfRule>
  </conditionalFormatting>
  <conditionalFormatting sqref="D148:E148">
    <cfRule type="expression" priority="110" aboveAverage="0" equalAverage="0" bottom="0" percent="0" rank="0" text="" dxfId="308">
      <formula>$I148="Nein"</formula>
    </cfRule>
    <cfRule type="expression" priority="111" aboveAverage="0" equalAverage="0" bottom="0" percent="0" rank="0" text="" dxfId="309">
      <formula>$I148="Ja"</formula>
    </cfRule>
  </conditionalFormatting>
  <conditionalFormatting sqref="D149:E149">
    <cfRule type="expression" priority="112" aboveAverage="0" equalAverage="0" bottom="0" percent="0" rank="0" text="" dxfId="310">
      <formula>$I149="Nein"</formula>
    </cfRule>
    <cfRule type="expression" priority="113" aboveAverage="0" equalAverage="0" bottom="0" percent="0" rank="0" text="" dxfId="311">
      <formula>$I149="Ja"</formula>
    </cfRule>
  </conditionalFormatting>
  <conditionalFormatting sqref="D160:E160 D169:E169">
    <cfRule type="expression" priority="114" aboveAverage="0" equalAverage="0" bottom="0" percent="0" rank="0" text="" dxfId="312">
      <formula>$J160="Ja"</formula>
    </cfRule>
    <cfRule type="expression" priority="115" aboveAverage="0" equalAverage="0" bottom="0" percent="0" rank="0" text="" dxfId="313">
      <formula>$J160="Nein"</formula>
    </cfRule>
  </conditionalFormatting>
  <conditionalFormatting sqref="D159:E159">
    <cfRule type="expression" priority="116" aboveAverage="0" equalAverage="0" bottom="0" percent="0" rank="0" text="" dxfId="314">
      <formula>$J159="Ja"</formula>
    </cfRule>
    <cfRule type="expression" priority="117" aboveAverage="0" equalAverage="0" bottom="0" percent="0" rank="0" text="" dxfId="315">
      <formula>$J159="Nein"</formula>
    </cfRule>
  </conditionalFormatting>
  <conditionalFormatting sqref="E174:F174">
    <cfRule type="expression" priority="118" aboveAverage="0" equalAverage="0" bottom="0" percent="0" rank="0" text="" dxfId="316">
      <formula>$I174="Nein"</formula>
    </cfRule>
    <cfRule type="expression" priority="119" aboveAverage="0" equalAverage="0" bottom="0" percent="0" rank="0" text="" dxfId="317">
      <formula>$I174="Ja"</formula>
    </cfRule>
  </conditionalFormatting>
  <conditionalFormatting sqref="E175:F175">
    <cfRule type="expression" priority="120" aboveAverage="0" equalAverage="0" bottom="0" percent="0" rank="0" text="" dxfId="318">
      <formula>$I175="Nein"</formula>
    </cfRule>
    <cfRule type="expression" priority="121" aboveAverage="0" equalAverage="0" bottom="0" percent="0" rank="0" text="" dxfId="319">
      <formula>$I175="Ja"</formula>
    </cfRule>
  </conditionalFormatting>
  <conditionalFormatting sqref="E176:F176">
    <cfRule type="expression" priority="122" aboveAverage="0" equalAverage="0" bottom="0" percent="0" rank="0" text="" dxfId="320">
      <formula>$I176="Nein"</formula>
    </cfRule>
    <cfRule type="expression" priority="123" aboveAverage="0" equalAverage="0" bottom="0" percent="0" rank="0" text="" dxfId="321">
      <formula>$I176="Ja"</formula>
    </cfRule>
  </conditionalFormatting>
  <conditionalFormatting sqref="E182:F182">
    <cfRule type="expression" priority="124" aboveAverage="0" equalAverage="0" bottom="0" percent="0" rank="0" text="" dxfId="322">
      <formula>$I182="Nein"</formula>
    </cfRule>
    <cfRule type="expression" priority="125" aboveAverage="0" equalAverage="0" bottom="0" percent="0" rank="0" text="" dxfId="323">
      <formula>$I182="Ja"</formula>
    </cfRule>
  </conditionalFormatting>
  <conditionalFormatting sqref="E183:F183">
    <cfRule type="expression" priority="126" aboveAverage="0" equalAverage="0" bottom="0" percent="0" rank="0" text="" dxfId="324">
      <formula>$I183="Nein"</formula>
    </cfRule>
    <cfRule type="expression" priority="127" aboveAverage="0" equalAverage="0" bottom="0" percent="0" rank="0" text="" dxfId="325">
      <formula>$I183="Ja"</formula>
    </cfRule>
  </conditionalFormatting>
  <conditionalFormatting sqref="E184:F184">
    <cfRule type="expression" priority="128" aboveAverage="0" equalAverage="0" bottom="0" percent="0" rank="0" text="" dxfId="326">
      <formula>$I184="Nein"</formula>
    </cfRule>
    <cfRule type="expression" priority="129" aboveAverage="0" equalAverage="0" bottom="0" percent="0" rank="0" text="" dxfId="327">
      <formula>$I184="Ja"</formula>
    </cfRule>
  </conditionalFormatting>
  <conditionalFormatting sqref="E190:F190">
    <cfRule type="expression" priority="130" aboveAverage="0" equalAverage="0" bottom="0" percent="0" rank="0" text="" dxfId="328">
      <formula>$I190="Nein"</formula>
    </cfRule>
    <cfRule type="expression" priority="131" aboveAverage="0" equalAverage="0" bottom="0" percent="0" rank="0" text="" dxfId="329">
      <formula>$I190="Ja"</formula>
    </cfRule>
  </conditionalFormatting>
  <conditionalFormatting sqref="E191:F191">
    <cfRule type="expression" priority="132" aboveAverage="0" equalAverage="0" bottom="0" percent="0" rank="0" text="" dxfId="330">
      <formula>$I191="Nein"</formula>
    </cfRule>
    <cfRule type="expression" priority="133" aboveAverage="0" equalAverage="0" bottom="0" percent="0" rank="0" text="" dxfId="331">
      <formula>$I191="Ja"</formula>
    </cfRule>
  </conditionalFormatting>
  <conditionalFormatting sqref="E192:F192">
    <cfRule type="expression" priority="134" aboveAverage="0" equalAverage="0" bottom="0" percent="0" rank="0" text="" dxfId="332">
      <formula>$I192="Nein"</formula>
    </cfRule>
    <cfRule type="expression" priority="135" aboveAverage="0" equalAverage="0" bottom="0" percent="0" rank="0" text="" dxfId="333">
      <formula>$I192="Ja"</formula>
    </cfRule>
  </conditionalFormatting>
  <conditionalFormatting sqref="D198:E198">
    <cfRule type="expression" priority="136" aboveAverage="0" equalAverage="0" bottom="0" percent="0" rank="0" text="" dxfId="334">
      <formula>$I198="Nein"</formula>
    </cfRule>
    <cfRule type="expression" priority="137" aboveAverage="0" equalAverage="0" bottom="0" percent="0" rank="0" text="" dxfId="335">
      <formula>$I198="Ja"</formula>
    </cfRule>
  </conditionalFormatting>
  <conditionalFormatting sqref="D199:E199">
    <cfRule type="expression" priority="138" aboveAverage="0" equalAverage="0" bottom="0" percent="0" rank="0" text="" dxfId="336">
      <formula>$I199="Nein"</formula>
    </cfRule>
    <cfRule type="expression" priority="139" aboveAverage="0" equalAverage="0" bottom="0" percent="0" rank="0" text="" dxfId="337">
      <formula>$I199="Ja"</formula>
    </cfRule>
  </conditionalFormatting>
  <conditionalFormatting sqref="D200:E200">
    <cfRule type="expression" priority="140" aboveAverage="0" equalAverage="0" bottom="0" percent="0" rank="0" text="" dxfId="338">
      <formula>$I200="Nein"</formula>
    </cfRule>
    <cfRule type="expression" priority="141" aboveAverage="0" equalAverage="0" bottom="0" percent="0" rank="0" text="" dxfId="339">
      <formula>$I200="Ja"</formula>
    </cfRule>
  </conditionalFormatting>
  <dataValidations count="1">
    <dataValidation allowBlank="true" operator="between" showDropDown="false" showErrorMessage="true" showInputMessage="true" sqref="I6:I17 O20"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142"/>
  <sheetViews>
    <sheetView showFormulas="false" showGridLines="false" showRowColHeaders="true" showZeros="true" rightToLeft="false" tabSelected="false" showOutlineSymbols="true" defaultGridColor="true" view="normal" topLeftCell="A61" colorId="64" zoomScale="100" zoomScaleNormal="100" zoomScalePageLayoutView="100" workbookViewId="0">
      <selection pane="topLeft" activeCell="C85" activeCellId="0" sqref="C85"/>
    </sheetView>
  </sheetViews>
  <sheetFormatPr defaultColWidth="11.43359375" defaultRowHeight="15" zeroHeight="false" outlineLevelRow="1" outlineLevelCol="1"/>
  <cols>
    <col collapsed="false" customWidth="true" hidden="false" outlineLevel="0" max="3" min="1" style="1" width="3.71"/>
    <col collapsed="false" customWidth="true" hidden="false" outlineLevel="0" max="14" min="4" style="1" width="20.71"/>
    <col collapsed="false" customWidth="true" hidden="true" outlineLevel="1" max="18" min="15" style="1" width="20.71"/>
    <col collapsed="false" customWidth="true" hidden="false" outlineLevel="0" max="19" min="19" style="1" width="20.71"/>
    <col collapsed="false" customWidth="true" hidden="false" outlineLevel="0" max="21" min="20" style="1" width="3.71"/>
    <col collapsed="false" customWidth="true" hidden="false" outlineLevel="0" max="22" min="22" style="1" width="15.88"/>
    <col collapsed="false" customWidth="true" hidden="false" outlineLevel="0" max="24" min="23" style="1" width="20.71"/>
    <col collapsed="false" customWidth="false" hidden="false" outlineLevel="0" max="1024" min="25" style="1" width="11.42"/>
  </cols>
  <sheetData>
    <row r="1" customFormat="false" ht="15" hidden="false" customHeight="false" outlineLevel="0" collapsed="false">
      <c r="A1" s="2" t="s">
        <v>340</v>
      </c>
      <c r="B1" s="2"/>
      <c r="C1" s="2"/>
      <c r="D1" s="2"/>
      <c r="E1" s="2"/>
      <c r="F1" s="2"/>
      <c r="G1" s="2"/>
      <c r="H1" s="2"/>
      <c r="I1" s="2"/>
      <c r="J1" s="2"/>
      <c r="K1" s="2"/>
      <c r="L1" s="2"/>
      <c r="M1" s="2"/>
      <c r="N1" s="2"/>
    </row>
    <row r="2" customFormat="false" ht="15" hidden="false" customHeight="false" outlineLevel="0" collapsed="false">
      <c r="A2" s="2"/>
      <c r="B2" s="2"/>
      <c r="C2" s="2"/>
      <c r="D2" s="2"/>
      <c r="E2" s="2"/>
      <c r="F2" s="2"/>
      <c r="G2" s="2"/>
      <c r="H2" s="2"/>
      <c r="I2" s="2"/>
      <c r="J2" s="2"/>
      <c r="K2" s="2"/>
      <c r="L2" s="2"/>
      <c r="M2" s="2"/>
      <c r="N2" s="2"/>
    </row>
    <row r="3" customFormat="false" ht="20.1" hidden="false" customHeight="true" outlineLevel="0" collapsed="false"/>
    <row r="4" customFormat="false" ht="15.75" hidden="false" customHeight="false" outlineLevel="0" collapsed="false">
      <c r="B4" s="3" t="s">
        <v>341</v>
      </c>
      <c r="C4" s="3"/>
      <c r="D4" s="3"/>
      <c r="E4" s="3"/>
      <c r="F4" s="3"/>
      <c r="G4" s="3"/>
      <c r="H4" s="3"/>
      <c r="I4" s="3"/>
      <c r="K4" s="3" t="s">
        <v>2</v>
      </c>
      <c r="L4" s="3"/>
      <c r="M4" s="3"/>
      <c r="P4" s="4"/>
      <c r="Q4" s="4"/>
      <c r="R4" s="4"/>
      <c r="S4" s="5"/>
      <c r="T4" s="4"/>
      <c r="U4" s="4"/>
      <c r="V4" s="4"/>
      <c r="W4" s="4"/>
    </row>
    <row r="5" customFormat="false" ht="50.1" hidden="false" customHeight="true" outlineLevel="0" collapsed="false">
      <c r="B5" s="54" t="s">
        <v>342</v>
      </c>
      <c r="C5" s="54"/>
      <c r="D5" s="303" t="s">
        <v>4</v>
      </c>
      <c r="E5" s="9" t="s">
        <v>5</v>
      </c>
      <c r="F5" s="9" t="s">
        <v>6</v>
      </c>
      <c r="G5" s="57" t="s">
        <v>7</v>
      </c>
      <c r="H5" s="57" t="s">
        <v>8</v>
      </c>
      <c r="I5" s="9" t="s">
        <v>343</v>
      </c>
      <c r="K5" s="11" t="s">
        <v>4</v>
      </c>
      <c r="L5" s="12" t="s">
        <v>10</v>
      </c>
      <c r="M5" s="13" t="s">
        <v>11</v>
      </c>
      <c r="P5" s="5"/>
      <c r="R5" s="4"/>
      <c r="S5" s="4"/>
      <c r="T5" s="4"/>
      <c r="U5" s="5"/>
      <c r="V5" s="5"/>
    </row>
    <row r="6" customFormat="false" ht="20.1" hidden="false" customHeight="true" outlineLevel="0" collapsed="false">
      <c r="B6" s="14" t="n">
        <v>1</v>
      </c>
      <c r="C6" s="14"/>
      <c r="D6" s="18" t="s">
        <v>17</v>
      </c>
      <c r="E6" s="18" t="s">
        <v>18</v>
      </c>
      <c r="F6" s="18" t="s">
        <v>19</v>
      </c>
      <c r="G6" s="18" t="s">
        <v>19</v>
      </c>
      <c r="H6" s="18" t="s">
        <v>19</v>
      </c>
      <c r="I6" s="304" t="s">
        <v>14</v>
      </c>
      <c r="K6" s="21" t="str">
        <f aca="false">D6</f>
        <v>Judith Fulterer</v>
      </c>
      <c r="L6" s="22" t="n">
        <v>1</v>
      </c>
      <c r="M6" s="23" t="n">
        <v>1</v>
      </c>
      <c r="P6" s="24"/>
      <c r="U6" s="24"/>
      <c r="V6" s="24"/>
    </row>
    <row r="7" customFormat="false" ht="20.1" hidden="false" customHeight="true" outlineLevel="0" collapsed="false">
      <c r="B7" s="25" t="n">
        <v>2</v>
      </c>
      <c r="C7" s="25"/>
      <c r="D7" s="32" t="s">
        <v>12</v>
      </c>
      <c r="E7" s="32" t="s">
        <v>13</v>
      </c>
      <c r="F7" s="32" t="s">
        <v>13</v>
      </c>
      <c r="G7" s="32" t="s">
        <v>13</v>
      </c>
      <c r="H7" s="32" t="s">
        <v>13</v>
      </c>
      <c r="I7" s="305" t="s">
        <v>14</v>
      </c>
      <c r="K7" s="30" t="str">
        <f aca="false">D7</f>
        <v>Jonas Röhrig</v>
      </c>
      <c r="L7" s="22"/>
      <c r="M7" s="31" t="n">
        <v>2</v>
      </c>
      <c r="P7" s="24"/>
      <c r="U7" s="24"/>
      <c r="V7" s="24"/>
    </row>
    <row r="8" customFormat="false" ht="20.1" hidden="false" customHeight="true" outlineLevel="0" collapsed="false">
      <c r="B8" s="25" t="n">
        <v>3</v>
      </c>
      <c r="C8" s="25"/>
      <c r="D8" s="32" t="s">
        <v>15</v>
      </c>
      <c r="E8" s="32" t="s">
        <v>16</v>
      </c>
      <c r="F8" s="32" t="s">
        <v>16</v>
      </c>
      <c r="G8" s="32" t="s">
        <v>16</v>
      </c>
      <c r="H8" s="32" t="s">
        <v>16</v>
      </c>
      <c r="I8" s="305" t="s">
        <v>14</v>
      </c>
      <c r="K8" s="30" t="str">
        <f aca="false">D8</f>
        <v>Devid Fulterer</v>
      </c>
      <c r="L8" s="22"/>
      <c r="M8" s="31" t="n">
        <v>3</v>
      </c>
      <c r="P8" s="24"/>
      <c r="U8" s="24"/>
      <c r="V8" s="24"/>
    </row>
    <row r="9" customFormat="false" ht="20.1" hidden="false" customHeight="true" outlineLevel="0" collapsed="false">
      <c r="B9" s="25" t="n">
        <v>4</v>
      </c>
      <c r="C9" s="25"/>
      <c r="D9" s="33" t="s">
        <v>37</v>
      </c>
      <c r="E9" s="33" t="s">
        <v>38</v>
      </c>
      <c r="F9" s="34" t="s">
        <v>35</v>
      </c>
      <c r="G9" s="32" t="s">
        <v>35</v>
      </c>
      <c r="H9" s="32" t="s">
        <v>35</v>
      </c>
      <c r="I9" s="305" t="s">
        <v>14</v>
      </c>
      <c r="K9" s="35" t="str">
        <f aca="false">D9</f>
        <v>Bea Kittner</v>
      </c>
      <c r="L9" s="22"/>
      <c r="M9" s="36" t="n">
        <v>4</v>
      </c>
      <c r="P9" s="24"/>
      <c r="U9" s="24"/>
      <c r="V9" s="24"/>
    </row>
    <row r="10" customFormat="false" ht="20.1" hidden="false" customHeight="true" outlineLevel="0" collapsed="false">
      <c r="B10" s="25" t="n">
        <v>5</v>
      </c>
      <c r="C10" s="25"/>
      <c r="D10" s="33" t="s">
        <v>29</v>
      </c>
      <c r="E10" s="33" t="s">
        <v>30</v>
      </c>
      <c r="F10" s="34" t="s">
        <v>30</v>
      </c>
      <c r="G10" s="32" t="s">
        <v>30</v>
      </c>
      <c r="H10" s="32" t="s">
        <v>30</v>
      </c>
      <c r="I10" s="305" t="s">
        <v>14</v>
      </c>
      <c r="K10" s="21" t="str">
        <f aca="false">D10</f>
        <v>Kai Maibaum</v>
      </c>
      <c r="L10" s="22" t="n">
        <v>2</v>
      </c>
      <c r="M10" s="23" t="n">
        <v>1</v>
      </c>
      <c r="P10" s="24"/>
      <c r="U10" s="24"/>
      <c r="V10" s="24"/>
    </row>
    <row r="11" customFormat="false" ht="20.1" hidden="false" customHeight="true" outlineLevel="0" collapsed="false">
      <c r="B11" s="25" t="n">
        <v>6</v>
      </c>
      <c r="C11" s="25"/>
      <c r="D11" s="26" t="s">
        <v>43</v>
      </c>
      <c r="E11" s="33" t="s">
        <v>44</v>
      </c>
      <c r="F11" s="34" t="s">
        <v>44</v>
      </c>
      <c r="G11" s="32" t="s">
        <v>44</v>
      </c>
      <c r="H11" s="28" t="s">
        <v>44</v>
      </c>
      <c r="I11" s="29" t="s">
        <v>14</v>
      </c>
      <c r="K11" s="30" t="str">
        <f aca="false">D11</f>
        <v>Fabian Spaniol</v>
      </c>
      <c r="L11" s="22"/>
      <c r="M11" s="31" t="n">
        <v>2</v>
      </c>
      <c r="P11" s="24"/>
      <c r="U11" s="24"/>
      <c r="V11" s="24"/>
    </row>
    <row r="12" customFormat="false" ht="20.1" hidden="false" customHeight="true" outlineLevel="0" collapsed="false">
      <c r="B12" s="25" t="n">
        <v>7</v>
      </c>
      <c r="C12" s="25"/>
      <c r="D12" s="33" t="s">
        <v>39</v>
      </c>
      <c r="E12" s="33" t="s">
        <v>40</v>
      </c>
      <c r="F12" s="34" t="s">
        <v>40</v>
      </c>
      <c r="G12" s="32" t="s">
        <v>40</v>
      </c>
      <c r="H12" s="32" t="s">
        <v>40</v>
      </c>
      <c r="I12" s="305" t="s">
        <v>14</v>
      </c>
      <c r="K12" s="30" t="str">
        <f aca="false">D12</f>
        <v>Markus Hagenauer</v>
      </c>
      <c r="L12" s="22"/>
      <c r="M12" s="31" t="n">
        <v>3</v>
      </c>
      <c r="P12" s="24"/>
      <c r="U12" s="24"/>
      <c r="V12" s="24"/>
    </row>
    <row r="13" customFormat="false" ht="20.1" hidden="false" customHeight="true" outlineLevel="0" collapsed="false">
      <c r="B13" s="42" t="n">
        <v>8</v>
      </c>
      <c r="C13" s="42"/>
      <c r="D13" s="43" t="s">
        <v>33</v>
      </c>
      <c r="E13" s="47" t="s">
        <v>34</v>
      </c>
      <c r="F13" s="363" t="s">
        <v>35</v>
      </c>
      <c r="G13" s="47" t="s">
        <v>35</v>
      </c>
      <c r="H13" s="47" t="s">
        <v>35</v>
      </c>
      <c r="I13" s="309" t="s">
        <v>14</v>
      </c>
      <c r="K13" s="483" t="str">
        <f aca="false">D13</f>
        <v>Marc Lambrecht</v>
      </c>
      <c r="L13" s="22"/>
      <c r="M13" s="50" t="n">
        <v>4</v>
      </c>
      <c r="P13" s="24"/>
      <c r="U13" s="24"/>
      <c r="V13" s="24"/>
    </row>
    <row r="14" customFormat="false" ht="20.1" hidden="false" customHeight="true" outlineLevel="0" collapsed="false">
      <c r="D14" s="310"/>
      <c r="E14" s="310"/>
      <c r="F14" s="311"/>
      <c r="G14" s="162"/>
      <c r="H14" s="162"/>
      <c r="I14" s="310"/>
      <c r="K14" s="51" t="s">
        <v>344</v>
      </c>
      <c r="L14" s="51"/>
      <c r="M14" s="52" t="n">
        <f aca="false">ROWS(M6:M13)</f>
        <v>8</v>
      </c>
      <c r="O14" s="4"/>
      <c r="P14" s="4"/>
      <c r="R14" s="4"/>
      <c r="S14" s="4"/>
      <c r="T14" s="4"/>
      <c r="U14" s="4"/>
    </row>
    <row r="15" customFormat="false" ht="15.75" hidden="false" customHeight="false" outlineLevel="0" collapsed="false">
      <c r="B15" s="3" t="s">
        <v>345</v>
      </c>
      <c r="C15" s="3"/>
      <c r="D15" s="3"/>
      <c r="E15" s="3"/>
      <c r="F15" s="3"/>
      <c r="G15" s="3"/>
      <c r="H15" s="3"/>
      <c r="L15" s="53"/>
      <c r="M15" s="53"/>
      <c r="N15" s="53"/>
      <c r="O15" s="5"/>
      <c r="P15" s="4"/>
      <c r="Q15" s="4"/>
      <c r="S15" s="4"/>
      <c r="T15" s="4"/>
      <c r="U15" s="4"/>
      <c r="V15" s="4"/>
    </row>
    <row r="16" customFormat="false" ht="30.75" hidden="false" customHeight="true" outlineLevel="0" collapsed="false">
      <c r="B16" s="54" t="s">
        <v>51</v>
      </c>
      <c r="C16" s="54"/>
      <c r="D16" s="55" t="s">
        <v>4</v>
      </c>
      <c r="E16" s="9" t="s">
        <v>5</v>
      </c>
      <c r="F16" s="9" t="s">
        <v>6</v>
      </c>
      <c r="G16" s="57" t="s">
        <v>7</v>
      </c>
      <c r="H16" s="57" t="s">
        <v>8</v>
      </c>
      <c r="L16" s="53"/>
      <c r="M16" s="53"/>
      <c r="N16" s="53"/>
      <c r="O16" s="5"/>
      <c r="P16" s="4"/>
      <c r="Q16" s="4"/>
      <c r="S16" s="4"/>
      <c r="T16" s="4"/>
      <c r="U16" s="4"/>
      <c r="V16" s="4"/>
    </row>
    <row r="17" customFormat="false" ht="20.1" hidden="false" customHeight="true" outlineLevel="0" collapsed="false">
      <c r="B17" s="484" t="n">
        <v>1</v>
      </c>
      <c r="C17" s="484"/>
      <c r="D17" s="18" t="s">
        <v>24</v>
      </c>
      <c r="E17" s="16" t="s">
        <v>25</v>
      </c>
      <c r="F17" s="17" t="s">
        <v>26</v>
      </c>
      <c r="G17" s="18" t="s">
        <v>26</v>
      </c>
      <c r="H17" s="485" t="s">
        <v>25</v>
      </c>
      <c r="O17" s="29" t="s">
        <v>36</v>
      </c>
      <c r="P17" s="4"/>
      <c r="Q17" s="4"/>
      <c r="S17" s="4"/>
      <c r="T17" s="4"/>
      <c r="U17" s="4"/>
      <c r="V17" s="4"/>
    </row>
    <row r="18" customFormat="false" ht="20.1" hidden="false" customHeight="true" outlineLevel="0" collapsed="false">
      <c r="B18" s="486" t="n">
        <v>2</v>
      </c>
      <c r="C18" s="486"/>
      <c r="D18" s="46" t="s">
        <v>22</v>
      </c>
      <c r="E18" s="46" t="s">
        <v>23</v>
      </c>
      <c r="F18" s="46" t="s">
        <v>23</v>
      </c>
      <c r="G18" s="46" t="s">
        <v>23</v>
      </c>
      <c r="H18" s="487" t="s">
        <v>23</v>
      </c>
      <c r="O18" s="488"/>
      <c r="P18" s="4"/>
      <c r="Q18" s="4"/>
      <c r="S18" s="4"/>
      <c r="T18" s="4"/>
      <c r="U18" s="4"/>
      <c r="V18" s="4"/>
    </row>
    <row r="19" customFormat="false" ht="20.1" hidden="false" customHeight="true" outlineLevel="0" collapsed="false">
      <c r="M19" s="53"/>
      <c r="N19" s="53"/>
      <c r="O19" s="53"/>
      <c r="P19" s="5"/>
      <c r="Q19" s="4"/>
      <c r="R19" s="4"/>
      <c r="T19" s="4"/>
      <c r="U19" s="4"/>
      <c r="V19" s="4"/>
      <c r="W19" s="4"/>
    </row>
    <row r="20" customFormat="false" ht="20.1" hidden="false" customHeight="true" outlineLevel="0" collapsed="false">
      <c r="B20" s="62"/>
      <c r="C20" s="62"/>
      <c r="D20" s="63"/>
      <c r="E20" s="63"/>
      <c r="F20" s="63"/>
      <c r="G20" s="63"/>
      <c r="H20" s="62"/>
      <c r="I20" s="62"/>
      <c r="J20" s="62"/>
      <c r="K20" s="62"/>
      <c r="L20" s="62"/>
      <c r="M20" s="62"/>
      <c r="N20" s="62"/>
      <c r="O20" s="62"/>
      <c r="P20" s="62"/>
      <c r="Q20" s="62"/>
      <c r="R20" s="62"/>
      <c r="S20" s="62"/>
      <c r="T20" s="62"/>
      <c r="U20" s="62"/>
    </row>
    <row r="21" customFormat="false" ht="30" hidden="false" customHeight="true" outlineLevel="0" collapsed="false">
      <c r="B21" s="62"/>
      <c r="C21" s="64" t="s">
        <v>52</v>
      </c>
      <c r="D21" s="64"/>
      <c r="E21" s="64"/>
      <c r="F21" s="64"/>
      <c r="G21" s="64"/>
      <c r="H21" s="64"/>
      <c r="I21" s="64"/>
      <c r="J21" s="64"/>
      <c r="K21" s="64"/>
      <c r="L21" s="64"/>
      <c r="M21" s="64"/>
      <c r="N21" s="64"/>
      <c r="O21" s="64"/>
      <c r="P21" s="64"/>
      <c r="Q21" s="64"/>
      <c r="R21" s="64"/>
      <c r="S21" s="64"/>
      <c r="T21" s="64"/>
      <c r="U21" s="62"/>
    </row>
    <row r="22" customFormat="false" ht="20.1" hidden="false" customHeight="true" outlineLevel="0" collapsed="false">
      <c r="B22" s="62"/>
      <c r="U22" s="62"/>
    </row>
    <row r="23" customFormat="false" ht="20.1" hidden="false" customHeight="true" outlineLevel="0" collapsed="false">
      <c r="B23" s="62"/>
      <c r="D23" s="65" t="s">
        <v>53</v>
      </c>
      <c r="E23" s="66" t="s">
        <v>54</v>
      </c>
      <c r="F23" s="67" t="s">
        <v>11</v>
      </c>
      <c r="G23" s="66" t="s">
        <v>55</v>
      </c>
      <c r="H23" s="66"/>
      <c r="I23" s="66"/>
      <c r="J23" s="66"/>
      <c r="K23" s="66" t="s">
        <v>56</v>
      </c>
      <c r="L23" s="68" t="s">
        <v>57</v>
      </c>
      <c r="M23" s="68"/>
      <c r="N23" s="68"/>
      <c r="O23" s="68"/>
      <c r="P23" s="68"/>
      <c r="Q23" s="68"/>
      <c r="R23" s="68"/>
      <c r="S23" s="68"/>
      <c r="U23" s="62"/>
    </row>
    <row r="24" customFormat="false" ht="20.1" hidden="false" customHeight="true" outlineLevel="0" collapsed="false">
      <c r="B24" s="62"/>
      <c r="D24" s="65"/>
      <c r="E24" s="66"/>
      <c r="F24" s="66"/>
      <c r="G24" s="69" t="s">
        <v>58</v>
      </c>
      <c r="H24" s="69" t="s">
        <v>59</v>
      </c>
      <c r="I24" s="67" t="s">
        <v>60</v>
      </c>
      <c r="J24" s="67"/>
      <c r="K24" s="69" t="s">
        <v>61</v>
      </c>
      <c r="L24" s="69" t="s">
        <v>58</v>
      </c>
      <c r="M24" s="70" t="s">
        <v>62</v>
      </c>
      <c r="N24" s="67" t="s">
        <v>60</v>
      </c>
      <c r="O24" s="67"/>
      <c r="P24" s="67"/>
      <c r="Q24" s="67"/>
      <c r="R24" s="67"/>
      <c r="S24" s="67"/>
      <c r="U24" s="62"/>
    </row>
    <row r="25" customFormat="false" ht="15" hidden="false" customHeight="true" outlineLevel="0" collapsed="false">
      <c r="B25" s="62"/>
      <c r="D25" s="318" t="s">
        <v>17</v>
      </c>
      <c r="E25" s="16" t="s">
        <v>18</v>
      </c>
      <c r="F25" s="382" t="n">
        <v>1</v>
      </c>
      <c r="G25" s="72" t="s">
        <v>63</v>
      </c>
      <c r="H25" s="489" t="s">
        <v>178</v>
      </c>
      <c r="I25" s="321" t="s">
        <v>346</v>
      </c>
      <c r="J25" s="321"/>
      <c r="K25" s="490" t="s">
        <v>347</v>
      </c>
      <c r="L25" s="323" t="s">
        <v>67</v>
      </c>
      <c r="M25" s="324" t="s">
        <v>67</v>
      </c>
      <c r="N25" s="78" t="s">
        <v>67</v>
      </c>
      <c r="O25" s="78"/>
      <c r="P25" s="78"/>
      <c r="Q25" s="78"/>
      <c r="R25" s="78"/>
      <c r="S25" s="78"/>
      <c r="U25" s="62"/>
    </row>
    <row r="26" customFormat="false" ht="15" hidden="false" customHeight="true" outlineLevel="0" collapsed="false">
      <c r="B26" s="62"/>
      <c r="D26" s="318"/>
      <c r="E26" s="16"/>
      <c r="F26" s="382"/>
      <c r="G26" s="72"/>
      <c r="H26" s="489"/>
      <c r="I26" s="325" t="s">
        <v>348</v>
      </c>
      <c r="J26" s="325"/>
      <c r="K26" s="490"/>
      <c r="L26" s="323"/>
      <c r="M26" s="324"/>
      <c r="N26" s="78"/>
      <c r="O26" s="78"/>
      <c r="P26" s="78"/>
      <c r="Q26" s="78"/>
      <c r="R26" s="78"/>
      <c r="S26" s="78"/>
      <c r="U26" s="62"/>
    </row>
    <row r="27" customFormat="false" ht="15" hidden="false" customHeight="true" outlineLevel="0" collapsed="false">
      <c r="B27" s="62"/>
      <c r="D27" s="318"/>
      <c r="E27" s="16"/>
      <c r="F27" s="382"/>
      <c r="G27" s="72"/>
      <c r="H27" s="489"/>
      <c r="I27" s="360" t="s">
        <v>349</v>
      </c>
      <c r="J27" s="360"/>
      <c r="K27" s="490"/>
      <c r="L27" s="323"/>
      <c r="M27" s="324"/>
      <c r="N27" s="78"/>
      <c r="O27" s="78"/>
      <c r="P27" s="78"/>
      <c r="Q27" s="78"/>
      <c r="R27" s="78"/>
      <c r="S27" s="78"/>
      <c r="U27" s="62"/>
    </row>
    <row r="28" customFormat="false" ht="15" hidden="false" customHeight="true" outlineLevel="0" collapsed="false">
      <c r="B28" s="62"/>
      <c r="D28" s="326" t="s">
        <v>12</v>
      </c>
      <c r="E28" s="306" t="s">
        <v>13</v>
      </c>
      <c r="F28" s="383" t="n">
        <v>2</v>
      </c>
      <c r="G28" s="80" t="s">
        <v>70</v>
      </c>
      <c r="H28" s="384" t="s">
        <v>247</v>
      </c>
      <c r="I28" s="328" t="s">
        <v>248</v>
      </c>
      <c r="J28" s="328"/>
      <c r="K28" s="464" t="s">
        <v>111</v>
      </c>
      <c r="L28" s="327" t="s">
        <v>63</v>
      </c>
      <c r="M28" s="82" t="s">
        <v>350</v>
      </c>
      <c r="N28" s="328" t="s">
        <v>351</v>
      </c>
      <c r="O28" s="328"/>
      <c r="P28" s="328"/>
      <c r="Q28" s="328"/>
      <c r="R28" s="328"/>
      <c r="S28" s="328"/>
      <c r="U28" s="62"/>
    </row>
    <row r="29" customFormat="false" ht="15" hidden="false" customHeight="true" outlineLevel="0" collapsed="false">
      <c r="B29" s="62"/>
      <c r="D29" s="326"/>
      <c r="E29" s="306"/>
      <c r="F29" s="383"/>
      <c r="G29" s="80"/>
      <c r="H29" s="384"/>
      <c r="I29" s="361" t="s">
        <v>250</v>
      </c>
      <c r="J29" s="361"/>
      <c r="K29" s="464"/>
      <c r="L29" s="327"/>
      <c r="M29" s="82"/>
      <c r="N29" s="361" t="s">
        <v>352</v>
      </c>
      <c r="O29" s="361"/>
      <c r="P29" s="361"/>
      <c r="Q29" s="361"/>
      <c r="R29" s="361"/>
      <c r="S29" s="361"/>
      <c r="U29" s="62"/>
    </row>
    <row r="30" customFormat="false" ht="15" hidden="false" customHeight="true" outlineLevel="0" collapsed="false">
      <c r="B30" s="62"/>
      <c r="D30" s="333" t="s">
        <v>15</v>
      </c>
      <c r="E30" s="33" t="s">
        <v>16</v>
      </c>
      <c r="F30" s="383" t="n">
        <v>3</v>
      </c>
      <c r="G30" s="87" t="s">
        <v>63</v>
      </c>
      <c r="H30" s="89" t="s">
        <v>112</v>
      </c>
      <c r="I30" s="335" t="s">
        <v>269</v>
      </c>
      <c r="J30" s="335"/>
      <c r="K30" s="336" t="s">
        <v>247</v>
      </c>
      <c r="L30" s="330" t="s">
        <v>67</v>
      </c>
      <c r="M30" s="331" t="s">
        <v>67</v>
      </c>
      <c r="N30" s="337" t="s">
        <v>67</v>
      </c>
      <c r="O30" s="337"/>
      <c r="P30" s="337"/>
      <c r="Q30" s="337"/>
      <c r="R30" s="337"/>
      <c r="S30" s="337"/>
      <c r="U30" s="62"/>
    </row>
    <row r="31" customFormat="false" ht="15" hidden="false" customHeight="true" outlineLevel="0" collapsed="false">
      <c r="B31" s="62"/>
      <c r="D31" s="333"/>
      <c r="E31" s="33"/>
      <c r="F31" s="383"/>
      <c r="G31" s="87"/>
      <c r="H31" s="89"/>
      <c r="I31" s="338" t="s">
        <v>270</v>
      </c>
      <c r="J31" s="338"/>
      <c r="K31" s="336"/>
      <c r="L31" s="330"/>
      <c r="M31" s="331"/>
      <c r="N31" s="337"/>
      <c r="O31" s="337"/>
      <c r="P31" s="337"/>
      <c r="Q31" s="337"/>
      <c r="R31" s="337"/>
      <c r="S31" s="337"/>
      <c r="U31" s="62"/>
    </row>
    <row r="32" customFormat="false" ht="15" hidden="false" customHeight="true" outlineLevel="0" collapsed="false">
      <c r="B32" s="62"/>
      <c r="D32" s="333"/>
      <c r="E32" s="33"/>
      <c r="F32" s="383"/>
      <c r="G32" s="87"/>
      <c r="H32" s="89"/>
      <c r="I32" s="357" t="s">
        <v>353</v>
      </c>
      <c r="J32" s="357"/>
      <c r="K32" s="336"/>
      <c r="L32" s="330"/>
      <c r="M32" s="331"/>
      <c r="N32" s="337"/>
      <c r="O32" s="337"/>
      <c r="P32" s="337"/>
      <c r="Q32" s="337"/>
      <c r="R32" s="337"/>
      <c r="S32" s="337"/>
      <c r="U32" s="62"/>
    </row>
    <row r="33" customFormat="false" ht="27.95" hidden="false" customHeight="true" outlineLevel="0" collapsed="false">
      <c r="B33" s="62"/>
      <c r="D33" s="362" t="s">
        <v>37</v>
      </c>
      <c r="E33" s="44" t="s">
        <v>38</v>
      </c>
      <c r="F33" s="396" t="n">
        <v>4</v>
      </c>
      <c r="G33" s="491" t="s">
        <v>63</v>
      </c>
      <c r="H33" s="96" t="s">
        <v>281</v>
      </c>
      <c r="I33" s="342" t="s">
        <v>282</v>
      </c>
      <c r="J33" s="342"/>
      <c r="K33" s="492" t="s">
        <v>247</v>
      </c>
      <c r="L33" s="442" t="s">
        <v>67</v>
      </c>
      <c r="M33" s="345" t="s">
        <v>67</v>
      </c>
      <c r="N33" s="100" t="s">
        <v>67</v>
      </c>
      <c r="O33" s="100"/>
      <c r="P33" s="100"/>
      <c r="Q33" s="100"/>
      <c r="R33" s="100"/>
      <c r="S33" s="100"/>
      <c r="U33" s="62"/>
    </row>
    <row r="34" customFormat="false" ht="15" hidden="false" customHeight="true" outlineLevel="0" collapsed="false">
      <c r="B34" s="62"/>
      <c r="D34" s="362"/>
      <c r="E34" s="44"/>
      <c r="F34" s="396"/>
      <c r="G34" s="491"/>
      <c r="H34" s="96"/>
      <c r="I34" s="347" t="s">
        <v>354</v>
      </c>
      <c r="J34" s="347"/>
      <c r="K34" s="492"/>
      <c r="L34" s="442"/>
      <c r="M34" s="345"/>
      <c r="N34" s="100"/>
      <c r="O34" s="100"/>
      <c r="P34" s="100"/>
      <c r="Q34" s="100"/>
      <c r="R34" s="100"/>
      <c r="S34" s="100"/>
      <c r="U34" s="62"/>
    </row>
    <row r="35" customFormat="false" ht="15" hidden="false" customHeight="true" outlineLevel="0" collapsed="false">
      <c r="B35" s="62"/>
      <c r="D35" s="362"/>
      <c r="E35" s="44"/>
      <c r="F35" s="396"/>
      <c r="G35" s="491"/>
      <c r="H35" s="96"/>
      <c r="I35" s="347" t="s">
        <v>355</v>
      </c>
      <c r="J35" s="347"/>
      <c r="K35" s="492"/>
      <c r="L35" s="442"/>
      <c r="M35" s="345"/>
      <c r="N35" s="100"/>
      <c r="O35" s="100"/>
      <c r="P35" s="100"/>
      <c r="Q35" s="100"/>
      <c r="R35" s="100"/>
      <c r="S35" s="100"/>
      <c r="U35" s="62"/>
    </row>
    <row r="36" customFormat="false" ht="15" hidden="false" customHeight="true" outlineLevel="0" collapsed="false">
      <c r="B36" s="62"/>
      <c r="D36" s="362"/>
      <c r="E36" s="44"/>
      <c r="F36" s="396"/>
      <c r="G36" s="491"/>
      <c r="H36" s="96"/>
      <c r="I36" s="348" t="s">
        <v>356</v>
      </c>
      <c r="J36" s="348"/>
      <c r="K36" s="492"/>
      <c r="L36" s="442"/>
      <c r="M36" s="345"/>
      <c r="N36" s="100"/>
      <c r="O36" s="100"/>
      <c r="P36" s="100"/>
      <c r="Q36" s="100"/>
      <c r="R36" s="100"/>
      <c r="S36" s="100"/>
      <c r="U36" s="62"/>
    </row>
    <row r="37" customFormat="false" ht="20.1" hidden="false" customHeight="true" outlineLevel="0" collapsed="false">
      <c r="B37" s="62"/>
      <c r="U37" s="62"/>
    </row>
    <row r="38" customFormat="false" ht="20.1" hidden="false" customHeight="true" outlineLevel="0" collapsed="false">
      <c r="B38" s="62"/>
      <c r="C38" s="101"/>
      <c r="D38" s="101"/>
      <c r="E38" s="102" t="str">
        <f aca="false">IF(OR(M25="-",M25= ""),H25,M25)</f>
        <v>Ein Fest für Odin</v>
      </c>
      <c r="F38" s="102"/>
      <c r="G38" s="102"/>
      <c r="H38" s="102"/>
      <c r="I38" s="102"/>
      <c r="J38" s="102"/>
      <c r="K38" s="102"/>
      <c r="L38" s="102"/>
      <c r="M38" s="102"/>
      <c r="N38" s="102"/>
      <c r="O38" s="103"/>
      <c r="P38" s="103"/>
      <c r="Q38" s="103"/>
      <c r="R38" s="103"/>
      <c r="S38" s="103"/>
      <c r="T38" s="101"/>
      <c r="U38" s="62"/>
    </row>
    <row r="39" customFormat="false" ht="50.1" hidden="false" customHeight="true" outlineLevel="0" collapsed="false">
      <c r="B39" s="62"/>
      <c r="C39" s="101"/>
      <c r="D39" s="103"/>
      <c r="E39" s="65" t="s">
        <v>53</v>
      </c>
      <c r="F39" s="104" t="s">
        <v>76</v>
      </c>
      <c r="G39" s="67" t="s">
        <v>77</v>
      </c>
      <c r="H39" s="66" t="s">
        <v>78</v>
      </c>
      <c r="I39" s="54" t="s">
        <v>79</v>
      </c>
      <c r="J39" s="66" t="s">
        <v>80</v>
      </c>
      <c r="K39" s="105" t="s">
        <v>81</v>
      </c>
      <c r="L39" s="66" t="s">
        <v>82</v>
      </c>
      <c r="M39" s="106" t="s">
        <v>83</v>
      </c>
      <c r="N39" s="67" t="s">
        <v>84</v>
      </c>
      <c r="O39" s="107" t="s">
        <v>85</v>
      </c>
      <c r="P39" s="108" t="s">
        <v>86</v>
      </c>
      <c r="Q39" s="108" t="s">
        <v>87</v>
      </c>
      <c r="R39" s="108" t="s">
        <v>88</v>
      </c>
      <c r="S39" s="103"/>
      <c r="T39" s="101"/>
      <c r="U39" s="62"/>
    </row>
    <row r="40" customFormat="false" ht="20.1" hidden="false" customHeight="true" outlineLevel="0" collapsed="false">
      <c r="B40" s="62"/>
      <c r="C40" s="101"/>
      <c r="D40" s="101"/>
      <c r="E40" s="380" t="s">
        <v>17</v>
      </c>
      <c r="F40" s="18" t="s">
        <v>18</v>
      </c>
      <c r="G40" s="250" t="n">
        <v>1</v>
      </c>
      <c r="H40" s="250" t="s">
        <v>67</v>
      </c>
      <c r="I40" s="250" t="n">
        <v>-86</v>
      </c>
      <c r="J40" s="250" t="n">
        <v>74</v>
      </c>
      <c r="K40" s="250" t="s">
        <v>67</v>
      </c>
      <c r="L40" s="253" t="n">
        <f aca="false">IF(J40="",0,(J40/J44)*100)</f>
        <v>97.3684210526316</v>
      </c>
      <c r="M40" s="250" t="n">
        <v>2</v>
      </c>
      <c r="N40" s="254" t="n">
        <v>2</v>
      </c>
      <c r="O40" s="115" t="n">
        <f aca="false">IF(M40=1,1,0)</f>
        <v>0</v>
      </c>
      <c r="P40" s="116" t="n">
        <f aca="false">IF(M40=2,1,0)</f>
        <v>1</v>
      </c>
      <c r="Q40" s="116" t="n">
        <f aca="false">IF(M40=3,1,0)</f>
        <v>0</v>
      </c>
      <c r="R40" s="117" t="n">
        <f aca="false">IF(M40=4,1,0)</f>
        <v>0</v>
      </c>
      <c r="S40" s="118"/>
      <c r="T40" s="101"/>
      <c r="U40" s="62"/>
    </row>
    <row r="41" customFormat="false" ht="20.1" hidden="false" customHeight="true" outlineLevel="0" collapsed="false">
      <c r="B41" s="62"/>
      <c r="C41" s="101"/>
      <c r="D41" s="101"/>
      <c r="E41" s="333" t="s">
        <v>12</v>
      </c>
      <c r="F41" s="32" t="s">
        <v>13</v>
      </c>
      <c r="G41" s="241" t="n">
        <v>2</v>
      </c>
      <c r="H41" s="241" t="s">
        <v>67</v>
      </c>
      <c r="I41" s="241" t="n">
        <v>-86</v>
      </c>
      <c r="J41" s="241" t="n">
        <v>74</v>
      </c>
      <c r="K41" s="241" t="s">
        <v>67</v>
      </c>
      <c r="L41" s="243" t="n">
        <f aca="false">IF(J41="",0,(J41/J44)*100)</f>
        <v>97.3684210526316</v>
      </c>
      <c r="M41" s="241" t="n">
        <v>2</v>
      </c>
      <c r="N41" s="244" t="n">
        <v>2</v>
      </c>
      <c r="O41" s="121" t="n">
        <f aca="false">IF(M41=1,1,0)</f>
        <v>0</v>
      </c>
      <c r="P41" s="122" t="n">
        <f aca="false">IF(M41=2,1,0)</f>
        <v>1</v>
      </c>
      <c r="Q41" s="122" t="n">
        <f aca="false">IF(M41=3,1,0)</f>
        <v>0</v>
      </c>
      <c r="R41" s="123" t="n">
        <f aca="false">IF(M41=4,1,0)</f>
        <v>0</v>
      </c>
      <c r="S41" s="118"/>
      <c r="T41" s="101"/>
      <c r="U41" s="62"/>
    </row>
    <row r="42" customFormat="false" ht="20.1" hidden="false" customHeight="true" outlineLevel="0" collapsed="false">
      <c r="B42" s="62"/>
      <c r="C42" s="101"/>
      <c r="D42" s="101"/>
      <c r="E42" s="174" t="s">
        <v>15</v>
      </c>
      <c r="F42" s="175" t="s">
        <v>16</v>
      </c>
      <c r="G42" s="151" t="n">
        <v>4</v>
      </c>
      <c r="H42" s="151" t="s">
        <v>67</v>
      </c>
      <c r="I42" s="151" t="n">
        <v>-86</v>
      </c>
      <c r="J42" s="151" t="n">
        <v>76</v>
      </c>
      <c r="K42" s="151" t="s">
        <v>67</v>
      </c>
      <c r="L42" s="153" t="n">
        <f aca="false">IF(J42="",0,(J42/J44)*100)</f>
        <v>100</v>
      </c>
      <c r="M42" s="151" t="n">
        <v>1</v>
      </c>
      <c r="N42" s="154" t="n">
        <v>6</v>
      </c>
      <c r="O42" s="121" t="n">
        <f aca="false">IF(M42=1,1,0)</f>
        <v>1</v>
      </c>
      <c r="P42" s="122" t="n">
        <f aca="false">IF(M42=2,1,0)</f>
        <v>0</v>
      </c>
      <c r="Q42" s="122" t="n">
        <f aca="false">IF(M42=3,1,0)</f>
        <v>0</v>
      </c>
      <c r="R42" s="123" t="n">
        <f aca="false">IF(M42=4,1,0)</f>
        <v>0</v>
      </c>
      <c r="S42" s="118"/>
      <c r="T42" s="101"/>
      <c r="U42" s="62"/>
    </row>
    <row r="43" customFormat="false" ht="20.1" hidden="false" customHeight="true" outlineLevel="0" collapsed="false">
      <c r="B43" s="62"/>
      <c r="C43" s="101"/>
      <c r="D43" s="124"/>
      <c r="E43" s="349" t="s">
        <v>37</v>
      </c>
      <c r="F43" s="44" t="s">
        <v>38</v>
      </c>
      <c r="G43" s="245" t="n">
        <v>3</v>
      </c>
      <c r="H43" s="245" t="s">
        <v>67</v>
      </c>
      <c r="I43" s="245" t="n">
        <v>-86</v>
      </c>
      <c r="J43" s="245" t="n">
        <v>10</v>
      </c>
      <c r="K43" s="245" t="s">
        <v>67</v>
      </c>
      <c r="L43" s="247" t="n">
        <f aca="false">IF(J43="",0,(J43/J44)*100)</f>
        <v>13.1578947368421</v>
      </c>
      <c r="M43" s="245" t="n">
        <v>4</v>
      </c>
      <c r="N43" s="248" t="n">
        <v>0</v>
      </c>
      <c r="O43" s="127" t="n">
        <f aca="false">IF(M43=1,1,0)</f>
        <v>0</v>
      </c>
      <c r="P43" s="128" t="n">
        <f aca="false">IF(M43=2,1,0)</f>
        <v>0</v>
      </c>
      <c r="Q43" s="128" t="n">
        <f aca="false">IF(M43=3,1,0)</f>
        <v>0</v>
      </c>
      <c r="R43" s="129" t="n">
        <f aca="false">IF(M43=4,1,0)</f>
        <v>1</v>
      </c>
      <c r="S43" s="118"/>
      <c r="T43" s="101"/>
      <c r="U43" s="62"/>
    </row>
    <row r="44" customFormat="false" ht="20.1" hidden="true" customHeight="true" outlineLevel="1" collapsed="false">
      <c r="B44" s="62"/>
      <c r="C44" s="101"/>
      <c r="D44" s="130"/>
      <c r="E44" s="130"/>
      <c r="F44" s="131"/>
      <c r="G44" s="131"/>
      <c r="H44" s="101"/>
      <c r="I44" s="132" t="s">
        <v>89</v>
      </c>
      <c r="J44" s="133" t="n">
        <f aca="false">MAX(J40:J43)</f>
        <v>76</v>
      </c>
      <c r="K44" s="134"/>
      <c r="L44" s="135"/>
      <c r="M44" s="101"/>
      <c r="N44" s="136" t="s">
        <v>90</v>
      </c>
      <c r="O44" s="137" t="n">
        <f aca="false">SUM(O40:O43)</f>
        <v>1</v>
      </c>
      <c r="P44" s="138" t="n">
        <f aca="false">SUM(P40:P43)</f>
        <v>2</v>
      </c>
      <c r="Q44" s="137" t="n">
        <f aca="false">SUM(Q40:Q43)</f>
        <v>0</v>
      </c>
      <c r="R44" s="137" t="n">
        <f aca="false">SUM(R40:R43)</f>
        <v>1</v>
      </c>
      <c r="S44" s="139"/>
      <c r="T44" s="101"/>
      <c r="U44" s="62"/>
    </row>
    <row r="45" customFormat="false" ht="20.1" hidden="false" customHeight="true" outlineLevel="0" collapsed="false">
      <c r="B45" s="62"/>
      <c r="C45" s="101"/>
      <c r="D45" s="101"/>
      <c r="E45" s="101"/>
      <c r="F45" s="140"/>
      <c r="G45" s="140"/>
      <c r="H45" s="103"/>
      <c r="I45" s="101"/>
      <c r="J45" s="101"/>
      <c r="K45" s="101"/>
      <c r="L45" s="101"/>
      <c r="M45" s="101"/>
      <c r="N45" s="101"/>
      <c r="O45" s="101"/>
      <c r="P45" s="101"/>
      <c r="Q45" s="101"/>
      <c r="R45" s="101"/>
      <c r="S45" s="101"/>
      <c r="T45" s="101"/>
      <c r="U45" s="62"/>
    </row>
    <row r="46" customFormat="false" ht="20.1" hidden="false" customHeight="true" outlineLevel="0" collapsed="false">
      <c r="B46" s="62"/>
      <c r="U46" s="62"/>
    </row>
    <row r="47" customFormat="false" ht="20.1" hidden="false" customHeight="true" outlineLevel="0" collapsed="false">
      <c r="B47" s="62"/>
      <c r="C47" s="141"/>
      <c r="D47" s="141"/>
      <c r="E47" s="142" t="str">
        <f aca="false">IF(OR(M28="-",M28= ""),H28,M28)</f>
        <v>Viticulture</v>
      </c>
      <c r="F47" s="142"/>
      <c r="G47" s="142"/>
      <c r="H47" s="142"/>
      <c r="I47" s="142"/>
      <c r="J47" s="142"/>
      <c r="K47" s="142"/>
      <c r="L47" s="142"/>
      <c r="M47" s="142"/>
      <c r="N47" s="142"/>
      <c r="O47" s="143"/>
      <c r="P47" s="143"/>
      <c r="Q47" s="143"/>
      <c r="R47" s="143"/>
      <c r="S47" s="143"/>
      <c r="T47" s="141"/>
      <c r="U47" s="62"/>
    </row>
    <row r="48" customFormat="false" ht="50.1" hidden="false" customHeight="true" outlineLevel="0" collapsed="false">
      <c r="B48" s="62"/>
      <c r="C48" s="141"/>
      <c r="D48" s="143"/>
      <c r="E48" s="65" t="s">
        <v>53</v>
      </c>
      <c r="F48" s="104" t="s">
        <v>76</v>
      </c>
      <c r="G48" s="67" t="s">
        <v>77</v>
      </c>
      <c r="H48" s="66" t="s">
        <v>78</v>
      </c>
      <c r="I48" s="54" t="s">
        <v>79</v>
      </c>
      <c r="J48" s="66" t="s">
        <v>80</v>
      </c>
      <c r="K48" s="105" t="s">
        <v>81</v>
      </c>
      <c r="L48" s="66" t="s">
        <v>82</v>
      </c>
      <c r="M48" s="106" t="s">
        <v>83</v>
      </c>
      <c r="N48" s="67" t="s">
        <v>84</v>
      </c>
      <c r="O48" s="107" t="s">
        <v>85</v>
      </c>
      <c r="P48" s="108" t="s">
        <v>86</v>
      </c>
      <c r="Q48" s="108" t="s">
        <v>87</v>
      </c>
      <c r="R48" s="108" t="s">
        <v>88</v>
      </c>
      <c r="S48" s="143"/>
      <c r="T48" s="141"/>
      <c r="U48" s="62"/>
    </row>
    <row r="49" customFormat="false" ht="27.95" hidden="false" customHeight="true" outlineLevel="0" collapsed="false">
      <c r="B49" s="62"/>
      <c r="C49" s="141"/>
      <c r="D49" s="141"/>
      <c r="E49" s="380" t="s">
        <v>17</v>
      </c>
      <c r="F49" s="18" t="s">
        <v>18</v>
      </c>
      <c r="G49" s="250" t="n">
        <v>1</v>
      </c>
      <c r="H49" s="251" t="s">
        <v>357</v>
      </c>
      <c r="I49" s="250" t="n">
        <v>0</v>
      </c>
      <c r="J49" s="251" t="n">
        <v>8</v>
      </c>
      <c r="K49" s="251" t="s">
        <v>67</v>
      </c>
      <c r="L49" s="253" t="n">
        <f aca="false">IF(J49="",0,(J49/J53)*100)</f>
        <v>40</v>
      </c>
      <c r="M49" s="250" t="n">
        <v>4</v>
      </c>
      <c r="N49" s="254" t="n">
        <v>0</v>
      </c>
      <c r="O49" s="115" t="n">
        <f aca="false">IF(M49=1,1,0)</f>
        <v>0</v>
      </c>
      <c r="P49" s="116" t="n">
        <f aca="false">IF(M49=2,1,0)</f>
        <v>0</v>
      </c>
      <c r="Q49" s="116" t="n">
        <f aca="false">IF(M49=3,1,0)</f>
        <v>0</v>
      </c>
      <c r="R49" s="117" t="n">
        <f aca="false">IF(M49=4,1,0)</f>
        <v>1</v>
      </c>
      <c r="S49" s="147"/>
      <c r="T49" s="141"/>
      <c r="U49" s="62"/>
    </row>
    <row r="50" customFormat="false" ht="27.95" hidden="false" customHeight="true" outlineLevel="0" collapsed="false">
      <c r="B50" s="62"/>
      <c r="C50" s="141"/>
      <c r="D50" s="148"/>
      <c r="E50" s="174" t="s">
        <v>12</v>
      </c>
      <c r="F50" s="175" t="s">
        <v>13</v>
      </c>
      <c r="G50" s="151" t="n">
        <v>2</v>
      </c>
      <c r="H50" s="152" t="s">
        <v>358</v>
      </c>
      <c r="I50" s="151" t="n">
        <v>0</v>
      </c>
      <c r="J50" s="152" t="n">
        <v>20</v>
      </c>
      <c r="K50" s="152" t="s">
        <v>67</v>
      </c>
      <c r="L50" s="153" t="n">
        <f aca="false">IF(J50="",0,(J50/J53)*100)</f>
        <v>100</v>
      </c>
      <c r="M50" s="151" t="n">
        <v>1</v>
      </c>
      <c r="N50" s="154" t="n">
        <v>6</v>
      </c>
      <c r="O50" s="121" t="n">
        <f aca="false">IF(M50=1,1,0)</f>
        <v>1</v>
      </c>
      <c r="P50" s="122" t="n">
        <f aca="false">IF(M50=2,1,0)</f>
        <v>0</v>
      </c>
      <c r="Q50" s="122" t="n">
        <f aca="false">IF(M50=3,1,0)</f>
        <v>0</v>
      </c>
      <c r="R50" s="123" t="n">
        <f aca="false">IF(M50=4,1,0)</f>
        <v>0</v>
      </c>
      <c r="S50" s="147"/>
      <c r="T50" s="141"/>
      <c r="U50" s="62"/>
    </row>
    <row r="51" customFormat="false" ht="27.95" hidden="false" customHeight="true" outlineLevel="0" collapsed="false">
      <c r="B51" s="62"/>
      <c r="C51" s="141"/>
      <c r="D51" s="141"/>
      <c r="E51" s="333" t="s">
        <v>15</v>
      </c>
      <c r="F51" s="32" t="s">
        <v>16</v>
      </c>
      <c r="G51" s="241" t="n">
        <v>4</v>
      </c>
      <c r="H51" s="242" t="s">
        <v>359</v>
      </c>
      <c r="I51" s="241" t="n">
        <v>0</v>
      </c>
      <c r="J51" s="242" t="n">
        <v>10</v>
      </c>
      <c r="K51" s="242" t="s">
        <v>360</v>
      </c>
      <c r="L51" s="243" t="n">
        <f aca="false">IF(J51="",0,(J51/J53)*100)</f>
        <v>50</v>
      </c>
      <c r="M51" s="241" t="n">
        <v>3</v>
      </c>
      <c r="N51" s="244" t="n">
        <v>1</v>
      </c>
      <c r="O51" s="121" t="n">
        <f aca="false">IF(M51=1,1,0)</f>
        <v>0</v>
      </c>
      <c r="P51" s="122" t="n">
        <f aca="false">IF(M51=2,1,0)</f>
        <v>0</v>
      </c>
      <c r="Q51" s="122" t="n">
        <f aca="false">IF(M51=3,1,0)</f>
        <v>1</v>
      </c>
      <c r="R51" s="123" t="n">
        <f aca="false">IF(M51=4,1,0)</f>
        <v>0</v>
      </c>
      <c r="S51" s="147"/>
      <c r="T51" s="141"/>
      <c r="U51" s="62"/>
    </row>
    <row r="52" customFormat="false" ht="27.95" hidden="false" customHeight="true" outlineLevel="0" collapsed="false">
      <c r="B52" s="62"/>
      <c r="C52" s="141"/>
      <c r="D52" s="141"/>
      <c r="E52" s="349" t="s">
        <v>37</v>
      </c>
      <c r="F52" s="44" t="s">
        <v>38</v>
      </c>
      <c r="G52" s="245" t="n">
        <v>3</v>
      </c>
      <c r="H52" s="246" t="s">
        <v>361</v>
      </c>
      <c r="I52" s="245" t="n">
        <v>0</v>
      </c>
      <c r="J52" s="246" t="n">
        <v>10</v>
      </c>
      <c r="K52" s="245" t="s">
        <v>362</v>
      </c>
      <c r="L52" s="247" t="n">
        <f aca="false">IF(J52="",0,(J52/J53)*100)</f>
        <v>50</v>
      </c>
      <c r="M52" s="245" t="n">
        <v>2</v>
      </c>
      <c r="N52" s="248" t="n">
        <v>3</v>
      </c>
      <c r="O52" s="127" t="n">
        <f aca="false">IF(M52=1,1,0)</f>
        <v>0</v>
      </c>
      <c r="P52" s="128" t="n">
        <f aca="false">IF(M52=2,1,0)</f>
        <v>1</v>
      </c>
      <c r="Q52" s="128" t="n">
        <f aca="false">IF(M52=3,1,0)</f>
        <v>0</v>
      </c>
      <c r="R52" s="129" t="n">
        <f aca="false">IF(M52=4,1,0)</f>
        <v>0</v>
      </c>
      <c r="S52" s="147"/>
      <c r="T52" s="141"/>
      <c r="U52" s="62"/>
    </row>
    <row r="53" customFormat="false" ht="20.1" hidden="true" customHeight="true" outlineLevel="1" collapsed="false">
      <c r="B53" s="62"/>
      <c r="C53" s="141"/>
      <c r="D53" s="141"/>
      <c r="E53" s="141"/>
      <c r="F53" s="157"/>
      <c r="G53" s="157"/>
      <c r="H53" s="141"/>
      <c r="I53" s="158" t="s">
        <v>89</v>
      </c>
      <c r="J53" s="133" t="n">
        <f aca="false">MAX(J49:J52)</f>
        <v>20</v>
      </c>
      <c r="K53" s="159"/>
      <c r="L53" s="147"/>
      <c r="M53" s="141"/>
      <c r="N53" s="136" t="s">
        <v>90</v>
      </c>
      <c r="O53" s="137" t="n">
        <f aca="false">SUM(O49:O52)</f>
        <v>1</v>
      </c>
      <c r="P53" s="138" t="n">
        <f aca="false">SUM(P49:P52)</f>
        <v>1</v>
      </c>
      <c r="Q53" s="137" t="n">
        <f aca="false">SUM(Q49:Q52)</f>
        <v>1</v>
      </c>
      <c r="R53" s="160" t="n">
        <f aca="false">SUM(R49:R52)</f>
        <v>1</v>
      </c>
      <c r="S53" s="161"/>
      <c r="T53" s="141"/>
      <c r="U53" s="62"/>
    </row>
    <row r="54" customFormat="false" ht="20.1" hidden="false" customHeight="true" outlineLevel="0" collapsed="false">
      <c r="B54" s="62"/>
      <c r="C54" s="141"/>
      <c r="D54" s="141"/>
      <c r="E54" s="141"/>
      <c r="F54" s="141"/>
      <c r="G54" s="141"/>
      <c r="H54" s="141"/>
      <c r="I54" s="141"/>
      <c r="J54" s="141"/>
      <c r="K54" s="141"/>
      <c r="L54" s="141"/>
      <c r="M54" s="141"/>
      <c r="N54" s="141"/>
      <c r="O54" s="141"/>
      <c r="P54" s="141"/>
      <c r="Q54" s="141"/>
      <c r="R54" s="141"/>
      <c r="S54" s="141"/>
      <c r="T54" s="141"/>
      <c r="U54" s="62"/>
    </row>
    <row r="55" customFormat="false" ht="20.1" hidden="false" customHeight="true" outlineLevel="0" collapsed="false">
      <c r="B55" s="62"/>
      <c r="D55" s="162"/>
      <c r="E55" s="162"/>
      <c r="F55" s="162"/>
      <c r="G55" s="162"/>
      <c r="H55" s="163"/>
      <c r="I55" s="162"/>
      <c r="J55" s="162"/>
      <c r="U55" s="62"/>
    </row>
    <row r="56" customFormat="false" ht="20.1" hidden="false" customHeight="true" outlineLevel="0" collapsed="false">
      <c r="B56" s="62"/>
      <c r="C56" s="164"/>
      <c r="D56" s="164"/>
      <c r="E56" s="165" t="str">
        <f aca="false">IF(OR(M30="-",M30= ""),H30,M30)</f>
        <v>Marco Polo II: Im Auftrag des Khan</v>
      </c>
      <c r="F56" s="165"/>
      <c r="G56" s="165"/>
      <c r="H56" s="165"/>
      <c r="I56" s="165"/>
      <c r="J56" s="165"/>
      <c r="K56" s="165"/>
      <c r="L56" s="165"/>
      <c r="M56" s="165"/>
      <c r="N56" s="165"/>
      <c r="O56" s="166"/>
      <c r="P56" s="166"/>
      <c r="Q56" s="166"/>
      <c r="R56" s="166"/>
      <c r="S56" s="166"/>
      <c r="T56" s="164"/>
      <c r="U56" s="167"/>
      <c r="V56" s="168"/>
      <c r="W56" s="168"/>
    </row>
    <row r="57" customFormat="false" ht="50.1" hidden="false" customHeight="true" outlineLevel="0" collapsed="false">
      <c r="B57" s="62"/>
      <c r="C57" s="164"/>
      <c r="D57" s="166"/>
      <c r="E57" s="65" t="s">
        <v>53</v>
      </c>
      <c r="F57" s="104" t="s">
        <v>76</v>
      </c>
      <c r="G57" s="67" t="s">
        <v>77</v>
      </c>
      <c r="H57" s="66" t="s">
        <v>78</v>
      </c>
      <c r="I57" s="54" t="s">
        <v>79</v>
      </c>
      <c r="J57" s="66" t="s">
        <v>80</v>
      </c>
      <c r="K57" s="105" t="s">
        <v>81</v>
      </c>
      <c r="L57" s="66" t="s">
        <v>82</v>
      </c>
      <c r="M57" s="106" t="s">
        <v>83</v>
      </c>
      <c r="N57" s="67" t="s">
        <v>84</v>
      </c>
      <c r="O57" s="107" t="s">
        <v>85</v>
      </c>
      <c r="P57" s="108" t="s">
        <v>86</v>
      </c>
      <c r="Q57" s="108" t="s">
        <v>87</v>
      </c>
      <c r="R57" s="13" t="s">
        <v>88</v>
      </c>
      <c r="S57" s="166"/>
      <c r="T57" s="164"/>
      <c r="U57" s="167"/>
      <c r="V57" s="168"/>
      <c r="W57" s="168"/>
    </row>
    <row r="58" customFormat="false" ht="20.1" hidden="false" customHeight="true" outlineLevel="0" collapsed="false">
      <c r="B58" s="62"/>
      <c r="C58" s="164"/>
      <c r="D58" s="164"/>
      <c r="E58" s="403" t="s">
        <v>17</v>
      </c>
      <c r="F58" s="110" t="s">
        <v>18</v>
      </c>
      <c r="G58" s="111" t="n">
        <v>1</v>
      </c>
      <c r="H58" s="112" t="s">
        <v>363</v>
      </c>
      <c r="I58" s="111" t="n">
        <v>0</v>
      </c>
      <c r="J58" s="493" t="n">
        <v>160</v>
      </c>
      <c r="K58" s="111" t="s">
        <v>67</v>
      </c>
      <c r="L58" s="113" t="n">
        <f aca="false">IF(J58="",0,(J58/J62)*100)</f>
        <v>100</v>
      </c>
      <c r="M58" s="111" t="n">
        <v>1</v>
      </c>
      <c r="N58" s="114" t="n">
        <v>6</v>
      </c>
      <c r="O58" s="115" t="n">
        <f aca="false">IF(M58=1,1,0)</f>
        <v>1</v>
      </c>
      <c r="P58" s="116" t="n">
        <f aca="false">IF(M58=2,1,0)</f>
        <v>0</v>
      </c>
      <c r="Q58" s="116" t="n">
        <f aca="false">IF(M58=3,1,0)</f>
        <v>0</v>
      </c>
      <c r="R58" s="117" t="n">
        <f aca="false">IF(M58=4,1,0)</f>
        <v>0</v>
      </c>
      <c r="S58" s="170"/>
      <c r="T58" s="164"/>
      <c r="U58" s="62"/>
    </row>
    <row r="59" customFormat="false" ht="20.1" hidden="false" customHeight="true" outlineLevel="0" collapsed="false">
      <c r="B59" s="62"/>
      <c r="C59" s="164"/>
      <c r="D59" s="171"/>
      <c r="E59" s="333" t="s">
        <v>12</v>
      </c>
      <c r="F59" s="32" t="s">
        <v>13</v>
      </c>
      <c r="G59" s="241" t="n">
        <v>2</v>
      </c>
      <c r="H59" s="241" t="s">
        <v>122</v>
      </c>
      <c r="I59" s="241" t="n">
        <v>0</v>
      </c>
      <c r="J59" s="300" t="n">
        <v>95</v>
      </c>
      <c r="K59" s="241" t="s">
        <v>67</v>
      </c>
      <c r="L59" s="243" t="n">
        <f aca="false">IF(J59="",0,(J59/J62)*100)</f>
        <v>59.375</v>
      </c>
      <c r="M59" s="241" t="n">
        <v>4</v>
      </c>
      <c r="N59" s="244" t="n">
        <v>0</v>
      </c>
      <c r="O59" s="121" t="n">
        <f aca="false">IF(M59=1,1,0)</f>
        <v>0</v>
      </c>
      <c r="P59" s="122" t="n">
        <f aca="false">IF(M59=2,1,0)</f>
        <v>0</v>
      </c>
      <c r="Q59" s="122" t="n">
        <f aca="false">IF(M59=3,1,0)</f>
        <v>0</v>
      </c>
      <c r="R59" s="123" t="n">
        <f aca="false">IF(M59=4,1,0)</f>
        <v>1</v>
      </c>
      <c r="S59" s="170"/>
      <c r="T59" s="164"/>
      <c r="U59" s="173"/>
    </row>
    <row r="60" customFormat="false" ht="20.1" hidden="false" customHeight="true" outlineLevel="0" collapsed="false">
      <c r="B60" s="62"/>
      <c r="C60" s="164"/>
      <c r="D60" s="164"/>
      <c r="E60" s="333" t="s">
        <v>15</v>
      </c>
      <c r="F60" s="32" t="s">
        <v>16</v>
      </c>
      <c r="G60" s="241" t="n">
        <v>4</v>
      </c>
      <c r="H60" s="242" t="s">
        <v>123</v>
      </c>
      <c r="I60" s="241" t="n">
        <v>0</v>
      </c>
      <c r="J60" s="300" t="n">
        <v>134</v>
      </c>
      <c r="K60" s="241" t="s">
        <v>67</v>
      </c>
      <c r="L60" s="243" t="n">
        <f aca="false">IF(J60="",0,(J60/J62)*100)</f>
        <v>83.75</v>
      </c>
      <c r="M60" s="241" t="n">
        <v>2</v>
      </c>
      <c r="N60" s="244" t="n">
        <v>3</v>
      </c>
      <c r="O60" s="121" t="n">
        <f aca="false">IF(M60=1,1,0)</f>
        <v>0</v>
      </c>
      <c r="P60" s="122" t="n">
        <f aca="false">IF(M60=2,1,0)</f>
        <v>1</v>
      </c>
      <c r="Q60" s="122" t="n">
        <f aca="false">IF(M60=3,1,0)</f>
        <v>0</v>
      </c>
      <c r="R60" s="123" t="n">
        <f aca="false">IF(M60=4,1,0)</f>
        <v>0</v>
      </c>
      <c r="S60" s="170"/>
      <c r="T60" s="164"/>
      <c r="U60" s="173"/>
    </row>
    <row r="61" customFormat="false" ht="20.1" hidden="false" customHeight="true" outlineLevel="0" collapsed="false">
      <c r="B61" s="62"/>
      <c r="C61" s="164"/>
      <c r="D61" s="164"/>
      <c r="E61" s="349" t="s">
        <v>37</v>
      </c>
      <c r="F61" s="44" t="s">
        <v>38</v>
      </c>
      <c r="G61" s="245" t="n">
        <v>3</v>
      </c>
      <c r="H61" s="246" t="s">
        <v>274</v>
      </c>
      <c r="I61" s="245" t="n">
        <v>0</v>
      </c>
      <c r="J61" s="418" t="n">
        <v>118</v>
      </c>
      <c r="K61" s="245" t="s">
        <v>67</v>
      </c>
      <c r="L61" s="247" t="n">
        <f aca="false">IF(J61="",0,(J61/J62)*100)</f>
        <v>73.75</v>
      </c>
      <c r="M61" s="245" t="n">
        <v>3</v>
      </c>
      <c r="N61" s="248" t="n">
        <v>1</v>
      </c>
      <c r="O61" s="127" t="n">
        <f aca="false">IF(M61=1,1,0)</f>
        <v>0</v>
      </c>
      <c r="P61" s="128" t="n">
        <f aca="false">IF(M61=2,1,0)</f>
        <v>0</v>
      </c>
      <c r="Q61" s="128" t="n">
        <f aca="false">IF(M61=3,1,0)</f>
        <v>1</v>
      </c>
      <c r="R61" s="129" t="n">
        <f aca="false">IF(M61=4,1,0)</f>
        <v>0</v>
      </c>
      <c r="S61" s="170"/>
      <c r="T61" s="164"/>
      <c r="U61" s="173"/>
    </row>
    <row r="62" customFormat="false" ht="20.1" hidden="true" customHeight="true" outlineLevel="1" collapsed="false">
      <c r="B62" s="62"/>
      <c r="C62" s="164"/>
      <c r="D62" s="164"/>
      <c r="E62" s="164"/>
      <c r="F62" s="178"/>
      <c r="G62" s="178"/>
      <c r="H62" s="164"/>
      <c r="I62" s="179" t="s">
        <v>89</v>
      </c>
      <c r="J62" s="133" t="n">
        <f aca="false">MAX(J58:J61)</f>
        <v>160</v>
      </c>
      <c r="K62" s="180"/>
      <c r="L62" s="170"/>
      <c r="M62" s="164"/>
      <c r="N62" s="136"/>
      <c r="O62" s="137" t="n">
        <f aca="false">SUM(O58:O61)</f>
        <v>1</v>
      </c>
      <c r="P62" s="138" t="n">
        <f aca="false">SUM(P58:P61)</f>
        <v>1</v>
      </c>
      <c r="Q62" s="137" t="n">
        <f aca="false">SUM(Q58:Q61)</f>
        <v>1</v>
      </c>
      <c r="R62" s="160" t="n">
        <f aca="false">SUM(R58:R61)</f>
        <v>1</v>
      </c>
      <c r="S62" s="181"/>
      <c r="T62" s="164"/>
      <c r="U62" s="173"/>
    </row>
    <row r="63" customFormat="false" ht="20.1" hidden="false" customHeight="true" outlineLevel="0" collapsed="false">
      <c r="B63" s="62"/>
      <c r="C63" s="164"/>
      <c r="D63" s="164"/>
      <c r="E63" s="164"/>
      <c r="F63" s="164"/>
      <c r="G63" s="164"/>
      <c r="H63" s="164"/>
      <c r="I63" s="164"/>
      <c r="J63" s="164"/>
      <c r="K63" s="164"/>
      <c r="L63" s="164"/>
      <c r="M63" s="164"/>
      <c r="N63" s="164"/>
      <c r="O63" s="164"/>
      <c r="P63" s="164"/>
      <c r="Q63" s="164"/>
      <c r="R63" s="164"/>
      <c r="S63" s="164"/>
      <c r="T63" s="164"/>
      <c r="U63" s="173"/>
    </row>
    <row r="64" customFormat="false" ht="20.1" hidden="false" customHeight="true" outlineLevel="0" collapsed="false">
      <c r="B64" s="62"/>
      <c r="D64" s="162"/>
      <c r="E64" s="162"/>
      <c r="F64" s="162"/>
      <c r="G64" s="162"/>
      <c r="H64" s="163"/>
      <c r="I64" s="162"/>
      <c r="J64" s="162"/>
      <c r="K64" s="162"/>
      <c r="U64" s="62"/>
    </row>
    <row r="65" customFormat="false" ht="20.1" hidden="false" customHeight="true" outlineLevel="0" collapsed="false">
      <c r="B65" s="62"/>
      <c r="C65" s="182"/>
      <c r="D65" s="182"/>
      <c r="E65" s="183" t="str">
        <f aca="false">IF(OR(M33="-",M33= ""),H33,M33)</f>
        <v>Tapestry</v>
      </c>
      <c r="F65" s="183"/>
      <c r="G65" s="183"/>
      <c r="H65" s="183"/>
      <c r="I65" s="183"/>
      <c r="J65" s="183"/>
      <c r="K65" s="183"/>
      <c r="L65" s="183"/>
      <c r="M65" s="183"/>
      <c r="N65" s="183"/>
      <c r="O65" s="184"/>
      <c r="P65" s="184"/>
      <c r="Q65" s="184"/>
      <c r="R65" s="184"/>
      <c r="S65" s="184"/>
      <c r="T65" s="182"/>
      <c r="U65" s="62"/>
    </row>
    <row r="66" customFormat="false" ht="50.1" hidden="false" customHeight="true" outlineLevel="0" collapsed="false">
      <c r="B66" s="62"/>
      <c r="C66" s="182"/>
      <c r="D66" s="184"/>
      <c r="E66" s="65" t="s">
        <v>53</v>
      </c>
      <c r="F66" s="104" t="s">
        <v>76</v>
      </c>
      <c r="G66" s="67" t="s">
        <v>77</v>
      </c>
      <c r="H66" s="66" t="s">
        <v>78</v>
      </c>
      <c r="I66" s="54" t="s">
        <v>79</v>
      </c>
      <c r="J66" s="66" t="s">
        <v>80</v>
      </c>
      <c r="K66" s="105" t="s">
        <v>81</v>
      </c>
      <c r="L66" s="66" t="s">
        <v>82</v>
      </c>
      <c r="M66" s="106" t="s">
        <v>83</v>
      </c>
      <c r="N66" s="67" t="s">
        <v>84</v>
      </c>
      <c r="O66" s="107" t="s">
        <v>85</v>
      </c>
      <c r="P66" s="108" t="s">
        <v>86</v>
      </c>
      <c r="Q66" s="108" t="s">
        <v>87</v>
      </c>
      <c r="R66" s="13" t="s">
        <v>88</v>
      </c>
      <c r="S66" s="184"/>
      <c r="T66" s="182"/>
      <c r="U66" s="62"/>
    </row>
    <row r="67" customFormat="false" ht="20.1" hidden="false" customHeight="true" outlineLevel="0" collapsed="false">
      <c r="B67" s="62"/>
      <c r="C67" s="182"/>
      <c r="D67" s="182"/>
      <c r="E67" s="380" t="s">
        <v>17</v>
      </c>
      <c r="F67" s="18" t="s">
        <v>18</v>
      </c>
      <c r="G67" s="250" t="n">
        <v>1</v>
      </c>
      <c r="H67" s="250" t="s">
        <v>289</v>
      </c>
      <c r="I67" s="250" t="n">
        <v>0</v>
      </c>
      <c r="J67" s="250" t="n">
        <v>202</v>
      </c>
      <c r="K67" s="250" t="s">
        <v>67</v>
      </c>
      <c r="L67" s="253" t="n">
        <f aca="false">IF(J67="",0,(J67/J71)*100)</f>
        <v>84.1666666666667</v>
      </c>
      <c r="M67" s="250" t="n">
        <v>2</v>
      </c>
      <c r="N67" s="254" t="n">
        <v>3</v>
      </c>
      <c r="O67" s="115" t="n">
        <f aca="false">IF(M67=1,1,0)</f>
        <v>0</v>
      </c>
      <c r="P67" s="116" t="n">
        <f aca="false">IF(M67=2,1,0)</f>
        <v>1</v>
      </c>
      <c r="Q67" s="116" t="n">
        <f aca="false">IF(M67=3,1,0)</f>
        <v>0</v>
      </c>
      <c r="R67" s="117" t="n">
        <f aca="false">IF(M67=4,1,0)</f>
        <v>0</v>
      </c>
      <c r="S67" s="185"/>
      <c r="T67" s="182"/>
      <c r="U67" s="62"/>
    </row>
    <row r="68" customFormat="false" ht="20.1" hidden="false" customHeight="true" outlineLevel="0" collapsed="false">
      <c r="B68" s="62"/>
      <c r="C68" s="182"/>
      <c r="D68" s="182"/>
      <c r="E68" s="174" t="s">
        <v>12</v>
      </c>
      <c r="F68" s="175" t="s">
        <v>13</v>
      </c>
      <c r="G68" s="151" t="n">
        <v>3</v>
      </c>
      <c r="H68" s="151" t="s">
        <v>364</v>
      </c>
      <c r="I68" s="151" t="n">
        <v>30</v>
      </c>
      <c r="J68" s="151" t="n">
        <v>240</v>
      </c>
      <c r="K68" s="151" t="s">
        <v>67</v>
      </c>
      <c r="L68" s="153" t="n">
        <f aca="false">IF(J68="",0,(J68/J71)*100)</f>
        <v>100</v>
      </c>
      <c r="M68" s="151" t="n">
        <v>1</v>
      </c>
      <c r="N68" s="154" t="n">
        <v>6</v>
      </c>
      <c r="O68" s="121" t="n">
        <f aca="false">IF(M68=1,1,0)</f>
        <v>1</v>
      </c>
      <c r="P68" s="122" t="n">
        <f aca="false">IF(M68=2,1,0)</f>
        <v>0</v>
      </c>
      <c r="Q68" s="122" t="n">
        <f aca="false">IF(M68=3,1,0)</f>
        <v>0</v>
      </c>
      <c r="R68" s="123" t="n">
        <f aca="false">IF(M68=4,1,0)</f>
        <v>0</v>
      </c>
      <c r="S68" s="185"/>
      <c r="T68" s="182"/>
      <c r="U68" s="62"/>
    </row>
    <row r="69" customFormat="false" ht="20.1" hidden="false" customHeight="true" outlineLevel="0" collapsed="false">
      <c r="B69" s="62"/>
      <c r="C69" s="182"/>
      <c r="D69" s="182"/>
      <c r="E69" s="333" t="s">
        <v>15</v>
      </c>
      <c r="F69" s="32" t="s">
        <v>16</v>
      </c>
      <c r="G69" s="241" t="n">
        <v>4</v>
      </c>
      <c r="H69" s="241" t="s">
        <v>161</v>
      </c>
      <c r="I69" s="241" t="n">
        <v>0</v>
      </c>
      <c r="J69" s="241" t="n">
        <v>181</v>
      </c>
      <c r="K69" s="241" t="s">
        <v>67</v>
      </c>
      <c r="L69" s="243" t="n">
        <f aca="false">IF(J69="",0,(J69/J71)*100)</f>
        <v>75.4166666666667</v>
      </c>
      <c r="M69" s="241" t="n">
        <v>3</v>
      </c>
      <c r="N69" s="244" t="n">
        <v>1</v>
      </c>
      <c r="O69" s="121" t="n">
        <f aca="false">IF(M69=1,1,0)</f>
        <v>0</v>
      </c>
      <c r="P69" s="122" t="n">
        <f aca="false">IF(M69=2,1,0)</f>
        <v>0</v>
      </c>
      <c r="Q69" s="122" t="n">
        <f aca="false">IF(M69=3,1,0)</f>
        <v>1</v>
      </c>
      <c r="R69" s="123" t="n">
        <f aca="false">IF(M69=4,1,0)</f>
        <v>0</v>
      </c>
      <c r="S69" s="185"/>
      <c r="T69" s="182"/>
      <c r="U69" s="62"/>
    </row>
    <row r="70" customFormat="false" ht="20.1" hidden="false" customHeight="true" outlineLevel="0" collapsed="false">
      <c r="B70" s="62"/>
      <c r="C70" s="182"/>
      <c r="D70" s="186"/>
      <c r="E70" s="349" t="s">
        <v>37</v>
      </c>
      <c r="F70" s="44" t="s">
        <v>38</v>
      </c>
      <c r="G70" s="245" t="n">
        <v>2</v>
      </c>
      <c r="H70" s="245" t="s">
        <v>365</v>
      </c>
      <c r="I70" s="245" t="n">
        <v>0</v>
      </c>
      <c r="J70" s="245" t="n">
        <v>166</v>
      </c>
      <c r="K70" s="245" t="s">
        <v>67</v>
      </c>
      <c r="L70" s="247" t="n">
        <f aca="false">IF(J70="",0,(J70/J71)*100)</f>
        <v>69.1666666666667</v>
      </c>
      <c r="M70" s="245" t="n">
        <v>4</v>
      </c>
      <c r="N70" s="248" t="n">
        <v>0</v>
      </c>
      <c r="O70" s="127" t="n">
        <f aca="false">IF(M70=1,1,0)</f>
        <v>0</v>
      </c>
      <c r="P70" s="128" t="n">
        <f aca="false">IF(M70=2,1,0)</f>
        <v>0</v>
      </c>
      <c r="Q70" s="128" t="n">
        <f aca="false">IF(M70=3,1,0)</f>
        <v>0</v>
      </c>
      <c r="R70" s="129" t="n">
        <f aca="false">IF(M70=4,1,0)</f>
        <v>1</v>
      </c>
      <c r="S70" s="185"/>
      <c r="T70" s="182"/>
      <c r="U70" s="62"/>
    </row>
    <row r="71" customFormat="false" ht="20.1" hidden="true" customHeight="true" outlineLevel="1" collapsed="false">
      <c r="B71" s="62"/>
      <c r="C71" s="182"/>
      <c r="D71" s="182"/>
      <c r="E71" s="182"/>
      <c r="F71" s="187"/>
      <c r="G71" s="187"/>
      <c r="H71" s="182"/>
      <c r="I71" s="158" t="s">
        <v>89</v>
      </c>
      <c r="J71" s="133" t="n">
        <f aca="false">MAX(J67:J70)</f>
        <v>240</v>
      </c>
      <c r="K71" s="188"/>
      <c r="L71" s="185"/>
      <c r="M71" s="182"/>
      <c r="N71" s="136" t="s">
        <v>90</v>
      </c>
      <c r="O71" s="137" t="n">
        <f aca="false">SUM(O67:O70)</f>
        <v>1</v>
      </c>
      <c r="P71" s="138" t="n">
        <f aca="false">SUM(P67:P70)</f>
        <v>1</v>
      </c>
      <c r="Q71" s="137" t="n">
        <f aca="false">SUM(Q67:Q70)</f>
        <v>1</v>
      </c>
      <c r="R71" s="160" t="n">
        <f aca="false">SUM(R67:R70)</f>
        <v>1</v>
      </c>
      <c r="S71" s="189"/>
      <c r="T71" s="182"/>
      <c r="U71" s="62"/>
    </row>
    <row r="72" customFormat="false" ht="20.1" hidden="false" customHeight="true" outlineLevel="0" collapsed="false">
      <c r="B72" s="62"/>
      <c r="C72" s="182"/>
      <c r="D72" s="182"/>
      <c r="E72" s="182"/>
      <c r="F72" s="182"/>
      <c r="G72" s="182"/>
      <c r="H72" s="182"/>
      <c r="I72" s="182"/>
      <c r="J72" s="182"/>
      <c r="K72" s="182"/>
      <c r="L72" s="182"/>
      <c r="M72" s="182"/>
      <c r="N72" s="182"/>
      <c r="O72" s="182"/>
      <c r="P72" s="182"/>
      <c r="Q72" s="182"/>
      <c r="R72" s="182"/>
      <c r="S72" s="182"/>
      <c r="T72" s="182"/>
      <c r="U72" s="62"/>
    </row>
    <row r="73" customFormat="false" ht="20.1" hidden="false" customHeight="true" outlineLevel="0" collapsed="false">
      <c r="B73" s="62"/>
      <c r="D73" s="5"/>
      <c r="E73" s="5"/>
      <c r="F73" s="5"/>
      <c r="G73" s="5"/>
      <c r="H73" s="5"/>
      <c r="I73" s="5"/>
      <c r="J73" s="5"/>
      <c r="U73" s="62"/>
    </row>
    <row r="74" customFormat="false" ht="30" hidden="false" customHeight="true" outlineLevel="0" collapsed="false">
      <c r="B74" s="62"/>
      <c r="C74" s="190"/>
      <c r="D74" s="191" t="s">
        <v>99</v>
      </c>
      <c r="E74" s="191"/>
      <c r="F74" s="191"/>
      <c r="G74" s="191"/>
      <c r="H74" s="191"/>
      <c r="I74" s="191"/>
      <c r="J74" s="191"/>
      <c r="K74" s="191"/>
      <c r="L74" s="191"/>
      <c r="M74" s="191"/>
      <c r="N74" s="191"/>
      <c r="O74" s="191"/>
      <c r="P74" s="191"/>
      <c r="Q74" s="191"/>
      <c r="R74" s="191"/>
      <c r="S74" s="191"/>
      <c r="T74" s="190"/>
      <c r="U74" s="62"/>
    </row>
    <row r="75" customFormat="false" ht="50.1" hidden="false" customHeight="true" outlineLevel="0" collapsed="false">
      <c r="B75" s="62"/>
      <c r="C75" s="190"/>
      <c r="D75" s="192" t="s">
        <v>53</v>
      </c>
      <c r="E75" s="193" t="s">
        <v>54</v>
      </c>
      <c r="F75" s="194" t="s">
        <v>84</v>
      </c>
      <c r="G75" s="195" t="s">
        <v>100</v>
      </c>
      <c r="H75" s="196" t="s">
        <v>101</v>
      </c>
      <c r="I75" s="196"/>
      <c r="J75" s="197" t="s">
        <v>102</v>
      </c>
      <c r="K75" s="198" t="s">
        <v>103</v>
      </c>
      <c r="L75" s="194" t="s">
        <v>104</v>
      </c>
      <c r="M75" s="198" t="s">
        <v>105</v>
      </c>
      <c r="N75" s="194" t="s">
        <v>106</v>
      </c>
      <c r="O75" s="199"/>
      <c r="P75" s="200"/>
      <c r="Q75" s="200"/>
      <c r="R75" s="200"/>
      <c r="S75" s="193" t="s">
        <v>107</v>
      </c>
      <c r="T75" s="190"/>
      <c r="U75" s="62"/>
    </row>
    <row r="76" customFormat="false" ht="20.1" hidden="false" customHeight="true" outlineLevel="0" collapsed="false">
      <c r="B76" s="62"/>
      <c r="C76" s="190"/>
      <c r="D76" s="407" t="s">
        <v>12</v>
      </c>
      <c r="E76" s="419" t="s">
        <v>13</v>
      </c>
      <c r="F76" s="203" t="n">
        <f aca="false">(K76*6+L76*3+M76*1+N76*0)</f>
        <v>14</v>
      </c>
      <c r="G76" s="203" t="n">
        <v>0</v>
      </c>
      <c r="H76" s="204" t="s">
        <v>67</v>
      </c>
      <c r="I76" s="204"/>
      <c r="J76" s="203" t="n">
        <f aca="false">F76+G76</f>
        <v>14</v>
      </c>
      <c r="K76" s="203" t="n">
        <v>2</v>
      </c>
      <c r="L76" s="203" t="n">
        <v>0.5</v>
      </c>
      <c r="M76" s="203" t="n">
        <v>0.5</v>
      </c>
      <c r="N76" s="203" t="n">
        <v>1</v>
      </c>
      <c r="O76" s="203"/>
      <c r="P76" s="203"/>
      <c r="Q76" s="203"/>
      <c r="R76" s="203"/>
      <c r="S76" s="205" t="n">
        <f aca="false">(L41+L50+L59+L68)/4</f>
        <v>89.1858552631579</v>
      </c>
      <c r="T76" s="190"/>
      <c r="U76" s="62"/>
      <c r="W76" s="206"/>
      <c r="X76" s="206"/>
      <c r="Y76" s="206"/>
      <c r="Z76" s="206"/>
    </row>
    <row r="77" customFormat="false" ht="20.1" hidden="false" customHeight="true" outlineLevel="0" collapsed="false">
      <c r="B77" s="62"/>
      <c r="C77" s="190"/>
      <c r="D77" s="207" t="s">
        <v>17</v>
      </c>
      <c r="E77" s="420" t="s">
        <v>18</v>
      </c>
      <c r="F77" s="209" t="n">
        <f aca="false">(K77*6+L77*3+M77*1+N77*0)</f>
        <v>11</v>
      </c>
      <c r="G77" s="209" t="n">
        <v>0</v>
      </c>
      <c r="H77" s="210" t="s">
        <v>67</v>
      </c>
      <c r="I77" s="210"/>
      <c r="J77" s="209" t="n">
        <f aca="false">F77+G77</f>
        <v>11</v>
      </c>
      <c r="K77" s="209" t="n">
        <v>1</v>
      </c>
      <c r="L77" s="209" t="n">
        <v>1.5</v>
      </c>
      <c r="M77" s="209" t="n">
        <v>0.5</v>
      </c>
      <c r="N77" s="209" t="n">
        <v>1</v>
      </c>
      <c r="O77" s="209"/>
      <c r="P77" s="209"/>
      <c r="Q77" s="209"/>
      <c r="R77" s="209"/>
      <c r="S77" s="211" t="n">
        <f aca="false">(L40+L49+L58+L67)/4</f>
        <v>80.3837719298246</v>
      </c>
      <c r="T77" s="190"/>
      <c r="U77" s="62"/>
      <c r="W77" s="212"/>
      <c r="X77" s="212"/>
      <c r="Y77" s="212"/>
      <c r="Z77" s="212"/>
    </row>
    <row r="78" customFormat="false" ht="20.1" hidden="false" customHeight="true" outlineLevel="0" collapsed="false">
      <c r="B78" s="62"/>
      <c r="C78" s="190"/>
      <c r="D78" s="207" t="s">
        <v>15</v>
      </c>
      <c r="E78" s="420" t="s">
        <v>16</v>
      </c>
      <c r="F78" s="209" t="n">
        <f aca="false">(K78*6+L78*3+M78*1+N78*0)</f>
        <v>11</v>
      </c>
      <c r="G78" s="209" t="n">
        <v>0</v>
      </c>
      <c r="H78" s="210" t="s">
        <v>67</v>
      </c>
      <c r="I78" s="210"/>
      <c r="J78" s="209" t="n">
        <f aca="false">F78+G78</f>
        <v>11</v>
      </c>
      <c r="K78" s="209" t="n">
        <v>1</v>
      </c>
      <c r="L78" s="209" t="n">
        <v>1</v>
      </c>
      <c r="M78" s="209" t="n">
        <v>2</v>
      </c>
      <c r="N78" s="209" t="n">
        <v>0</v>
      </c>
      <c r="O78" s="209"/>
      <c r="P78" s="209"/>
      <c r="Q78" s="209"/>
      <c r="R78" s="209"/>
      <c r="S78" s="211" t="n">
        <f aca="false">(L42+L51+L60+L69)/4</f>
        <v>77.2916666666667</v>
      </c>
      <c r="T78" s="190"/>
      <c r="U78" s="62"/>
      <c r="W78" s="212"/>
      <c r="X78" s="212"/>
      <c r="Y78" s="212"/>
      <c r="Z78" s="212"/>
    </row>
    <row r="79" customFormat="false" ht="20.1" hidden="false" customHeight="true" outlineLevel="0" collapsed="false">
      <c r="B79" s="62"/>
      <c r="C79" s="190"/>
      <c r="D79" s="427" t="s">
        <v>37</v>
      </c>
      <c r="E79" s="215" t="s">
        <v>38</v>
      </c>
      <c r="F79" s="216" t="n">
        <f aca="false">(K79*6+L79*3+M79*1+N79*0)</f>
        <v>4</v>
      </c>
      <c r="G79" s="216" t="n">
        <v>0</v>
      </c>
      <c r="H79" s="217" t="s">
        <v>67</v>
      </c>
      <c r="I79" s="217"/>
      <c r="J79" s="216" t="n">
        <f aca="false">F79+G79</f>
        <v>4</v>
      </c>
      <c r="K79" s="216" t="n">
        <v>0</v>
      </c>
      <c r="L79" s="216" t="n">
        <v>1</v>
      </c>
      <c r="M79" s="216" t="n">
        <v>1</v>
      </c>
      <c r="N79" s="216" t="n">
        <v>2</v>
      </c>
      <c r="O79" s="216"/>
      <c r="P79" s="216"/>
      <c r="Q79" s="216"/>
      <c r="R79" s="216"/>
      <c r="S79" s="218" t="n">
        <f aca="false">(L43+L52+L61+L70)/4</f>
        <v>51.5186403508772</v>
      </c>
      <c r="T79" s="190"/>
      <c r="U79" s="62"/>
      <c r="W79" s="212"/>
      <c r="X79" s="212"/>
      <c r="Y79" s="212"/>
      <c r="Z79" s="212"/>
      <c r="AB79" s="212"/>
      <c r="AC79" s="212"/>
      <c r="AD79" s="212"/>
      <c r="AE79" s="212"/>
    </row>
    <row r="80" customFormat="false" ht="20.1" hidden="false" customHeight="true" outlineLevel="0" collapsed="false">
      <c r="B80" s="62"/>
      <c r="C80" s="190"/>
      <c r="D80" s="422"/>
      <c r="E80" s="422"/>
      <c r="F80" s="275"/>
      <c r="G80" s="275"/>
      <c r="H80" s="423"/>
      <c r="I80" s="423"/>
      <c r="J80" s="275"/>
      <c r="K80" s="275"/>
      <c r="L80" s="275"/>
      <c r="M80" s="275"/>
      <c r="N80" s="275"/>
      <c r="O80" s="275"/>
      <c r="P80" s="275"/>
      <c r="Q80" s="275"/>
      <c r="R80" s="275"/>
      <c r="S80" s="424"/>
      <c r="T80" s="190"/>
      <c r="U80" s="62"/>
      <c r="W80" s="212"/>
      <c r="X80" s="212"/>
      <c r="Y80" s="212"/>
      <c r="Z80" s="212"/>
    </row>
    <row r="81" customFormat="false" ht="20.1" hidden="false" customHeight="true" outlineLevel="0" collapsed="false">
      <c r="B81" s="62"/>
      <c r="C81" s="62"/>
      <c r="D81" s="219"/>
      <c r="E81" s="219"/>
      <c r="F81" s="167"/>
      <c r="G81" s="167"/>
      <c r="H81" s="219"/>
      <c r="I81" s="219"/>
      <c r="J81" s="219"/>
      <c r="K81" s="62"/>
      <c r="L81" s="62"/>
      <c r="M81" s="62"/>
      <c r="N81" s="62"/>
      <c r="O81" s="62"/>
      <c r="P81" s="62"/>
      <c r="Q81" s="62"/>
      <c r="R81" s="62"/>
      <c r="S81" s="62"/>
      <c r="T81" s="62"/>
      <c r="U81" s="62"/>
    </row>
    <row r="82" customFormat="false" ht="20.1" hidden="false" customHeight="true" outlineLevel="0" collapsed="false">
      <c r="D82" s="220"/>
    </row>
    <row r="83" customFormat="false" ht="20.1" hidden="false" customHeight="true" outlineLevel="0" collapsed="false">
      <c r="D83" s="221"/>
    </row>
    <row r="84" customFormat="false" ht="20.1" hidden="false" customHeight="true" outlineLevel="0" collapsed="false">
      <c r="B84" s="62"/>
      <c r="C84" s="62"/>
      <c r="D84" s="63"/>
      <c r="E84" s="63"/>
      <c r="F84" s="63"/>
      <c r="G84" s="63"/>
      <c r="H84" s="62"/>
      <c r="I84" s="62"/>
      <c r="J84" s="62"/>
      <c r="K84" s="62"/>
      <c r="L84" s="62"/>
      <c r="M84" s="62"/>
      <c r="N84" s="62"/>
      <c r="O84" s="62"/>
      <c r="P84" s="62"/>
      <c r="Q84" s="62"/>
      <c r="R84" s="62"/>
      <c r="S84" s="62"/>
      <c r="T84" s="62"/>
      <c r="U84" s="62"/>
    </row>
    <row r="85" customFormat="false" ht="30" hidden="false" customHeight="true" outlineLevel="0" collapsed="false">
      <c r="B85" s="62"/>
      <c r="C85" s="64" t="s">
        <v>108</v>
      </c>
      <c r="D85" s="64"/>
      <c r="E85" s="64"/>
      <c r="F85" s="64"/>
      <c r="G85" s="64"/>
      <c r="H85" s="64"/>
      <c r="I85" s="64"/>
      <c r="J85" s="64"/>
      <c r="K85" s="64"/>
      <c r="L85" s="64"/>
      <c r="M85" s="64"/>
      <c r="N85" s="64"/>
      <c r="O85" s="64"/>
      <c r="P85" s="64"/>
      <c r="Q85" s="64"/>
      <c r="R85" s="64"/>
      <c r="S85" s="64"/>
      <c r="T85" s="64"/>
      <c r="U85" s="62"/>
    </row>
    <row r="86" customFormat="false" ht="20.1" hidden="false" customHeight="true" outlineLevel="0" collapsed="false">
      <c r="B86" s="62"/>
      <c r="U86" s="62"/>
    </row>
    <row r="87" customFormat="false" ht="20.1" hidden="false" customHeight="true" outlineLevel="0" collapsed="false">
      <c r="B87" s="62"/>
      <c r="D87" s="65" t="s">
        <v>53</v>
      </c>
      <c r="E87" s="66" t="s">
        <v>54</v>
      </c>
      <c r="F87" s="67" t="s">
        <v>11</v>
      </c>
      <c r="G87" s="223" t="s">
        <v>55</v>
      </c>
      <c r="H87" s="223"/>
      <c r="I87" s="223"/>
      <c r="J87" s="223"/>
      <c r="K87" s="66" t="s">
        <v>56</v>
      </c>
      <c r="L87" s="68" t="s">
        <v>57</v>
      </c>
      <c r="M87" s="68"/>
      <c r="N87" s="68"/>
      <c r="O87" s="68"/>
      <c r="P87" s="68"/>
      <c r="Q87" s="68"/>
      <c r="R87" s="68"/>
      <c r="S87" s="68"/>
      <c r="U87" s="62"/>
    </row>
    <row r="88" customFormat="false" ht="20.1" hidden="false" customHeight="true" outlineLevel="0" collapsed="false">
      <c r="B88" s="62"/>
      <c r="D88" s="65"/>
      <c r="E88" s="66"/>
      <c r="F88" s="66"/>
      <c r="G88" s="70" t="s">
        <v>58</v>
      </c>
      <c r="H88" s="69" t="s">
        <v>59</v>
      </c>
      <c r="I88" s="67" t="s">
        <v>60</v>
      </c>
      <c r="J88" s="67"/>
      <c r="K88" s="69" t="s">
        <v>61</v>
      </c>
      <c r="L88" s="224" t="s">
        <v>58</v>
      </c>
      <c r="M88" s="225" t="s">
        <v>62</v>
      </c>
      <c r="N88" s="67" t="s">
        <v>60</v>
      </c>
      <c r="O88" s="67"/>
      <c r="P88" s="67"/>
      <c r="Q88" s="67"/>
      <c r="R88" s="67"/>
      <c r="S88" s="67"/>
      <c r="U88" s="62"/>
    </row>
    <row r="89" customFormat="false" ht="15" hidden="false" customHeight="true" outlineLevel="0" collapsed="false">
      <c r="B89" s="62"/>
      <c r="D89" s="456" t="s">
        <v>29</v>
      </c>
      <c r="E89" s="494" t="s">
        <v>30</v>
      </c>
      <c r="F89" s="495" t="n">
        <v>1</v>
      </c>
      <c r="G89" s="496" t="s">
        <v>63</v>
      </c>
      <c r="H89" s="497" t="s">
        <v>366</v>
      </c>
      <c r="I89" s="321" t="s">
        <v>367</v>
      </c>
      <c r="J89" s="321"/>
      <c r="K89" s="498" t="s">
        <v>217</v>
      </c>
      <c r="L89" s="461" t="s">
        <v>67</v>
      </c>
      <c r="M89" s="462" t="s">
        <v>67</v>
      </c>
      <c r="N89" s="463" t="s">
        <v>67</v>
      </c>
      <c r="O89" s="463"/>
      <c r="P89" s="463"/>
      <c r="Q89" s="463"/>
      <c r="R89" s="463"/>
      <c r="S89" s="463"/>
      <c r="U89" s="62"/>
    </row>
    <row r="90" customFormat="false" ht="15" hidden="false" customHeight="true" outlineLevel="0" collapsed="false">
      <c r="B90" s="62"/>
      <c r="D90" s="456"/>
      <c r="E90" s="494"/>
      <c r="F90" s="495"/>
      <c r="G90" s="496"/>
      <c r="H90" s="497"/>
      <c r="I90" s="325" t="s">
        <v>368</v>
      </c>
      <c r="J90" s="325"/>
      <c r="K90" s="498"/>
      <c r="L90" s="461"/>
      <c r="M90" s="462"/>
      <c r="N90" s="463"/>
      <c r="O90" s="463"/>
      <c r="P90" s="463"/>
      <c r="Q90" s="463"/>
      <c r="R90" s="463"/>
      <c r="S90" s="463"/>
      <c r="U90" s="62"/>
    </row>
    <row r="91" customFormat="false" ht="15" hidden="false" customHeight="true" outlineLevel="0" collapsed="false">
      <c r="B91" s="62"/>
      <c r="D91" s="333" t="s">
        <v>43</v>
      </c>
      <c r="E91" s="33" t="s">
        <v>44</v>
      </c>
      <c r="F91" s="383" t="n">
        <v>2</v>
      </c>
      <c r="G91" s="80" t="s">
        <v>63</v>
      </c>
      <c r="H91" s="82" t="s">
        <v>334</v>
      </c>
      <c r="I91" s="328" t="s">
        <v>335</v>
      </c>
      <c r="J91" s="328"/>
      <c r="K91" s="353" t="s">
        <v>111</v>
      </c>
      <c r="L91" s="330" t="s">
        <v>67</v>
      </c>
      <c r="M91" s="331" t="s">
        <v>67</v>
      </c>
      <c r="N91" s="86" t="s">
        <v>67</v>
      </c>
      <c r="O91" s="86"/>
      <c r="P91" s="86"/>
      <c r="Q91" s="86"/>
      <c r="R91" s="86"/>
      <c r="S91" s="86"/>
      <c r="U91" s="62"/>
    </row>
    <row r="92" customFormat="false" ht="27.95" hidden="false" customHeight="true" outlineLevel="0" collapsed="false">
      <c r="B92" s="62"/>
      <c r="D92" s="333"/>
      <c r="E92" s="33"/>
      <c r="F92" s="383"/>
      <c r="G92" s="80"/>
      <c r="H92" s="82"/>
      <c r="I92" s="332" t="s">
        <v>336</v>
      </c>
      <c r="J92" s="332"/>
      <c r="K92" s="353"/>
      <c r="L92" s="330"/>
      <c r="M92" s="331"/>
      <c r="N92" s="86"/>
      <c r="O92" s="86"/>
      <c r="P92" s="86"/>
      <c r="Q92" s="86"/>
      <c r="R92" s="86"/>
      <c r="S92" s="86"/>
      <c r="U92" s="62"/>
    </row>
    <row r="93" customFormat="false" ht="20.1" hidden="false" customHeight="true" outlineLevel="0" collapsed="false">
      <c r="B93" s="62"/>
      <c r="D93" s="432" t="s">
        <v>39</v>
      </c>
      <c r="E93" s="433" t="s">
        <v>40</v>
      </c>
      <c r="F93" s="499" t="n">
        <v>3</v>
      </c>
      <c r="G93" s="232" t="s">
        <v>63</v>
      </c>
      <c r="H93" s="355" t="s">
        <v>369</v>
      </c>
      <c r="I93" s="335" t="s">
        <v>370</v>
      </c>
      <c r="J93" s="335"/>
      <c r="K93" s="500" t="s">
        <v>111</v>
      </c>
      <c r="L93" s="437" t="s">
        <v>67</v>
      </c>
      <c r="M93" s="438" t="s">
        <v>67</v>
      </c>
      <c r="N93" s="439" t="s">
        <v>67</v>
      </c>
      <c r="O93" s="439"/>
      <c r="P93" s="439"/>
      <c r="Q93" s="439"/>
      <c r="R93" s="439"/>
      <c r="S93" s="439"/>
      <c r="U93" s="62"/>
    </row>
    <row r="94" customFormat="false" ht="15" hidden="false" customHeight="true" outlineLevel="0" collapsed="false">
      <c r="B94" s="62"/>
      <c r="D94" s="349" t="s">
        <v>33</v>
      </c>
      <c r="E94" s="44" t="s">
        <v>34</v>
      </c>
      <c r="F94" s="396" t="n">
        <v>4</v>
      </c>
      <c r="G94" s="358" t="s">
        <v>63</v>
      </c>
      <c r="H94" s="96" t="s">
        <v>217</v>
      </c>
      <c r="I94" s="342" t="s">
        <v>218</v>
      </c>
      <c r="J94" s="342"/>
      <c r="K94" s="441" t="s">
        <v>111</v>
      </c>
      <c r="L94" s="442" t="s">
        <v>67</v>
      </c>
      <c r="M94" s="345" t="s">
        <v>67</v>
      </c>
      <c r="N94" s="239" t="s">
        <v>67</v>
      </c>
      <c r="O94" s="239"/>
      <c r="P94" s="239"/>
      <c r="Q94" s="239"/>
      <c r="R94" s="239"/>
      <c r="S94" s="239"/>
      <c r="U94" s="62"/>
    </row>
    <row r="95" customFormat="false" ht="45.95" hidden="false" customHeight="true" outlineLevel="0" collapsed="false">
      <c r="B95" s="62"/>
      <c r="D95" s="349"/>
      <c r="E95" s="44"/>
      <c r="F95" s="396"/>
      <c r="G95" s="358"/>
      <c r="H95" s="96"/>
      <c r="I95" s="348" t="s">
        <v>371</v>
      </c>
      <c r="J95" s="348"/>
      <c r="K95" s="441"/>
      <c r="L95" s="442"/>
      <c r="M95" s="345"/>
      <c r="N95" s="345"/>
      <c r="O95" s="239"/>
      <c r="P95" s="239"/>
      <c r="Q95" s="239"/>
      <c r="R95" s="239"/>
      <c r="S95" s="239"/>
      <c r="U95" s="62"/>
    </row>
    <row r="96" customFormat="false" ht="20.1" hidden="false" customHeight="true" outlineLevel="0" collapsed="false">
      <c r="B96" s="62"/>
      <c r="U96" s="62"/>
    </row>
    <row r="97" customFormat="false" ht="20.1" hidden="false" customHeight="true" outlineLevel="0" collapsed="false">
      <c r="B97" s="62"/>
      <c r="C97" s="101"/>
      <c r="D97" s="101"/>
      <c r="E97" s="102" t="str">
        <f aca="false">IF(OR(L89="-",L89= ""),H89,L89)</f>
        <v>Ultimate Railroads</v>
      </c>
      <c r="F97" s="102"/>
      <c r="G97" s="102"/>
      <c r="H97" s="102"/>
      <c r="I97" s="102"/>
      <c r="J97" s="102"/>
      <c r="K97" s="102"/>
      <c r="L97" s="102"/>
      <c r="M97" s="102"/>
      <c r="N97" s="102"/>
      <c r="O97" s="103"/>
      <c r="P97" s="103"/>
      <c r="Q97" s="103"/>
      <c r="R97" s="103"/>
      <c r="S97" s="103"/>
      <c r="T97" s="101"/>
      <c r="U97" s="62"/>
    </row>
    <row r="98" customFormat="false" ht="50.1" hidden="false" customHeight="true" outlineLevel="0" collapsed="false">
      <c r="B98" s="62"/>
      <c r="C98" s="101"/>
      <c r="D98" s="103"/>
      <c r="E98" s="65" t="s">
        <v>53</v>
      </c>
      <c r="F98" s="104" t="s">
        <v>76</v>
      </c>
      <c r="G98" s="67" t="s">
        <v>77</v>
      </c>
      <c r="H98" s="66" t="s">
        <v>78</v>
      </c>
      <c r="I98" s="54" t="s">
        <v>79</v>
      </c>
      <c r="J98" s="66" t="s">
        <v>80</v>
      </c>
      <c r="K98" s="105" t="s">
        <v>81</v>
      </c>
      <c r="L98" s="66" t="s">
        <v>82</v>
      </c>
      <c r="M98" s="106" t="s">
        <v>83</v>
      </c>
      <c r="N98" s="67" t="s">
        <v>84</v>
      </c>
      <c r="O98" s="107" t="s">
        <v>85</v>
      </c>
      <c r="P98" s="108" t="s">
        <v>86</v>
      </c>
      <c r="Q98" s="108" t="s">
        <v>87</v>
      </c>
      <c r="R98" s="13" t="s">
        <v>88</v>
      </c>
      <c r="S98" s="103"/>
      <c r="T98" s="101"/>
      <c r="U98" s="62"/>
    </row>
    <row r="99" customFormat="false" ht="20.1" hidden="false" customHeight="true" outlineLevel="0" collapsed="false">
      <c r="B99" s="62"/>
      <c r="C99" s="101"/>
      <c r="D99" s="124"/>
      <c r="E99" s="403" t="s">
        <v>29</v>
      </c>
      <c r="F99" s="110" t="s">
        <v>30</v>
      </c>
      <c r="G99" s="111" t="n">
        <v>2</v>
      </c>
      <c r="H99" s="111" t="s">
        <v>67</v>
      </c>
      <c r="I99" s="111" t="n">
        <v>0</v>
      </c>
      <c r="J99" s="112" t="n">
        <v>425</v>
      </c>
      <c r="K99" s="111" t="s">
        <v>67</v>
      </c>
      <c r="L99" s="113" t="n">
        <f aca="false">IF(J99="",0,(J99/J103)*100)</f>
        <v>100</v>
      </c>
      <c r="M99" s="111" t="n">
        <v>1</v>
      </c>
      <c r="N99" s="114" t="n">
        <v>6</v>
      </c>
      <c r="O99" s="115" t="n">
        <f aca="false">IF(M99=1,1,0)</f>
        <v>1</v>
      </c>
      <c r="P99" s="116" t="n">
        <f aca="false">IF(M99=2,1,0)</f>
        <v>0</v>
      </c>
      <c r="Q99" s="116" t="n">
        <f aca="false">IF(M99=3,1,0)</f>
        <v>0</v>
      </c>
      <c r="R99" s="117" t="n">
        <f aca="false">IF(M99=4,1,0)</f>
        <v>0</v>
      </c>
      <c r="S99" s="118"/>
      <c r="T99" s="101"/>
      <c r="U99" s="62"/>
    </row>
    <row r="100" customFormat="false" ht="20.1" hidden="false" customHeight="true" outlineLevel="0" collapsed="false">
      <c r="B100" s="62"/>
      <c r="C100" s="101"/>
      <c r="D100" s="101"/>
      <c r="E100" s="79" t="s">
        <v>43</v>
      </c>
      <c r="F100" s="33" t="s">
        <v>44</v>
      </c>
      <c r="G100" s="241" t="n">
        <v>1</v>
      </c>
      <c r="H100" s="241" t="s">
        <v>67</v>
      </c>
      <c r="I100" s="241" t="n">
        <v>0</v>
      </c>
      <c r="J100" s="242" t="n">
        <v>195</v>
      </c>
      <c r="K100" s="242" t="s">
        <v>67</v>
      </c>
      <c r="L100" s="243" t="n">
        <f aca="false">IF(J100="",0,(J100/J103)*100)</f>
        <v>45.8823529411765</v>
      </c>
      <c r="M100" s="241" t="n">
        <v>3</v>
      </c>
      <c r="N100" s="244" t="n">
        <v>0.5</v>
      </c>
      <c r="O100" s="121" t="n">
        <f aca="false">IF(M100=1,1,0)</f>
        <v>0</v>
      </c>
      <c r="P100" s="122" t="n">
        <f aca="false">IF(M100=2,1,0)</f>
        <v>0</v>
      </c>
      <c r="Q100" s="122" t="n">
        <f aca="false">IF(M100=3,1,0)</f>
        <v>1</v>
      </c>
      <c r="R100" s="123" t="n">
        <f aca="false">IF(M100=4,1,0)</f>
        <v>0</v>
      </c>
      <c r="S100" s="118"/>
      <c r="T100" s="101"/>
      <c r="U100" s="62"/>
    </row>
    <row r="101" customFormat="false" ht="20.1" hidden="false" customHeight="true" outlineLevel="0" collapsed="false">
      <c r="B101" s="62"/>
      <c r="C101" s="101"/>
      <c r="D101" s="101"/>
      <c r="E101" s="326" t="s">
        <v>39</v>
      </c>
      <c r="F101" s="33" t="s">
        <v>40</v>
      </c>
      <c r="G101" s="241" t="n">
        <v>3</v>
      </c>
      <c r="H101" s="241" t="s">
        <v>67</v>
      </c>
      <c r="I101" s="241" t="n">
        <v>0</v>
      </c>
      <c r="J101" s="242" t="n">
        <v>391</v>
      </c>
      <c r="K101" s="241" t="s">
        <v>67</v>
      </c>
      <c r="L101" s="243" t="n">
        <f aca="false">IF(J101="",0,(J101/J103)*100)</f>
        <v>92</v>
      </c>
      <c r="M101" s="241" t="n">
        <v>2</v>
      </c>
      <c r="N101" s="244" t="n">
        <v>3</v>
      </c>
      <c r="O101" s="121" t="n">
        <f aca="false">IF(M101=1,1,0)</f>
        <v>0</v>
      </c>
      <c r="P101" s="122" t="n">
        <f aca="false">IF(M101=2,1,0)</f>
        <v>1</v>
      </c>
      <c r="Q101" s="122" t="n">
        <f aca="false">IF(M101=3,1,0)</f>
        <v>0</v>
      </c>
      <c r="R101" s="123" t="n">
        <f aca="false">IF(M101=4,1,0)</f>
        <v>0</v>
      </c>
      <c r="S101" s="118"/>
      <c r="T101" s="101"/>
      <c r="U101" s="62"/>
    </row>
    <row r="102" customFormat="false" ht="20.1" hidden="false" customHeight="true" outlineLevel="0" collapsed="false">
      <c r="B102" s="62"/>
      <c r="C102" s="101"/>
      <c r="D102" s="101"/>
      <c r="E102" s="234" t="s">
        <v>33</v>
      </c>
      <c r="F102" s="47" t="s">
        <v>34</v>
      </c>
      <c r="G102" s="245" t="n">
        <v>4</v>
      </c>
      <c r="H102" s="246" t="s">
        <v>67</v>
      </c>
      <c r="I102" s="245" t="n">
        <v>0</v>
      </c>
      <c r="J102" s="246" t="n">
        <v>195</v>
      </c>
      <c r="K102" s="246" t="s">
        <v>67</v>
      </c>
      <c r="L102" s="247" t="n">
        <f aca="false">IF(J102="",0,(J102/J103)*100)</f>
        <v>45.8823529411765</v>
      </c>
      <c r="M102" s="245" t="n">
        <v>3</v>
      </c>
      <c r="N102" s="248" t="n">
        <v>0.5</v>
      </c>
      <c r="O102" s="127" t="n">
        <f aca="false">IF(M102=1,1,0)</f>
        <v>0</v>
      </c>
      <c r="P102" s="128" t="n">
        <f aca="false">IF(M102=2,1,0)</f>
        <v>0</v>
      </c>
      <c r="Q102" s="128" t="n">
        <f aca="false">IF(M102=3,1,0)</f>
        <v>1</v>
      </c>
      <c r="R102" s="129" t="n">
        <f aca="false">IF(M102=4,1,0)</f>
        <v>0</v>
      </c>
      <c r="S102" s="118"/>
      <c r="T102" s="101"/>
      <c r="U102" s="62"/>
    </row>
    <row r="103" customFormat="false" ht="20.1" hidden="true" customHeight="true" outlineLevel="1" collapsed="false">
      <c r="B103" s="62"/>
      <c r="C103" s="101"/>
      <c r="D103" s="124"/>
      <c r="E103" s="124"/>
      <c r="F103" s="131"/>
      <c r="G103" s="131"/>
      <c r="H103" s="101"/>
      <c r="I103" s="179" t="s">
        <v>89</v>
      </c>
      <c r="J103" s="133" t="n">
        <f aca="false">MAX(J99:J102)</f>
        <v>425</v>
      </c>
      <c r="K103" s="249"/>
      <c r="L103" s="139"/>
      <c r="M103" s="101"/>
      <c r="N103" s="136" t="s">
        <v>90</v>
      </c>
      <c r="O103" s="137" t="n">
        <f aca="false">SUM(O99:O102)</f>
        <v>1</v>
      </c>
      <c r="P103" s="138" t="n">
        <f aca="false">SUM(P99:P102)</f>
        <v>1</v>
      </c>
      <c r="Q103" s="137" t="n">
        <f aca="false">SUM(Q99:Q102)</f>
        <v>2</v>
      </c>
      <c r="R103" s="160" t="n">
        <f aca="false">SUM(R99:R102)</f>
        <v>0</v>
      </c>
      <c r="S103" s="139"/>
      <c r="T103" s="101"/>
      <c r="U103" s="62"/>
    </row>
    <row r="104" customFormat="false" ht="20.1" hidden="false" customHeight="true" outlineLevel="0" collapsed="false">
      <c r="B104" s="62"/>
      <c r="C104" s="101"/>
      <c r="D104" s="101"/>
      <c r="E104" s="101"/>
      <c r="F104" s="101"/>
      <c r="G104" s="101"/>
      <c r="H104" s="101"/>
      <c r="I104" s="101"/>
      <c r="J104" s="101"/>
      <c r="K104" s="101"/>
      <c r="L104" s="101"/>
      <c r="M104" s="101"/>
      <c r="N104" s="101"/>
      <c r="O104" s="101"/>
      <c r="P104" s="101"/>
      <c r="Q104" s="101"/>
      <c r="R104" s="101"/>
      <c r="S104" s="101"/>
      <c r="T104" s="101"/>
      <c r="U104" s="62"/>
    </row>
    <row r="105" customFormat="false" ht="20.1" hidden="false" customHeight="true" outlineLevel="0" collapsed="false">
      <c r="B105" s="62"/>
      <c r="U105" s="62"/>
    </row>
    <row r="106" customFormat="false" ht="20.1" hidden="false" customHeight="true" outlineLevel="0" collapsed="false">
      <c r="B106" s="62"/>
      <c r="C106" s="141"/>
      <c r="D106" s="141"/>
      <c r="E106" s="142" t="str">
        <f aca="false">IF(OR(L91="-",L91= ""),H91,L91)</f>
        <v>7 Wonders</v>
      </c>
      <c r="F106" s="142"/>
      <c r="G106" s="142"/>
      <c r="H106" s="142"/>
      <c r="I106" s="142"/>
      <c r="J106" s="142"/>
      <c r="K106" s="142"/>
      <c r="L106" s="142"/>
      <c r="M106" s="142"/>
      <c r="N106" s="142"/>
      <c r="O106" s="143"/>
      <c r="P106" s="143"/>
      <c r="Q106" s="143"/>
      <c r="R106" s="143"/>
      <c r="S106" s="143"/>
      <c r="T106" s="141"/>
      <c r="U106" s="62"/>
    </row>
    <row r="107" customFormat="false" ht="50.1" hidden="false" customHeight="true" outlineLevel="0" collapsed="false">
      <c r="B107" s="62"/>
      <c r="C107" s="141"/>
      <c r="D107" s="143"/>
      <c r="E107" s="65" t="s">
        <v>53</v>
      </c>
      <c r="F107" s="104" t="s">
        <v>76</v>
      </c>
      <c r="G107" s="67" t="s">
        <v>77</v>
      </c>
      <c r="H107" s="66" t="s">
        <v>78</v>
      </c>
      <c r="I107" s="54" t="s">
        <v>79</v>
      </c>
      <c r="J107" s="66" t="s">
        <v>80</v>
      </c>
      <c r="K107" s="105" t="s">
        <v>81</v>
      </c>
      <c r="L107" s="66" t="s">
        <v>82</v>
      </c>
      <c r="M107" s="106" t="s">
        <v>83</v>
      </c>
      <c r="N107" s="67" t="s">
        <v>84</v>
      </c>
      <c r="O107" s="107" t="s">
        <v>85</v>
      </c>
      <c r="P107" s="108" t="s">
        <v>86</v>
      </c>
      <c r="Q107" s="108" t="s">
        <v>87</v>
      </c>
      <c r="R107" s="13" t="s">
        <v>88</v>
      </c>
      <c r="S107" s="143"/>
      <c r="T107" s="141"/>
      <c r="U107" s="62"/>
    </row>
    <row r="108" customFormat="false" ht="30" hidden="false" customHeight="false" outlineLevel="0" collapsed="false">
      <c r="B108" s="62"/>
      <c r="C108" s="141"/>
      <c r="D108" s="148"/>
      <c r="E108" s="318" t="s">
        <v>29</v>
      </c>
      <c r="F108" s="16" t="s">
        <v>30</v>
      </c>
      <c r="G108" s="250" t="s">
        <v>67</v>
      </c>
      <c r="H108" s="251" t="s">
        <v>372</v>
      </c>
      <c r="I108" s="250" t="n">
        <v>1</v>
      </c>
      <c r="J108" s="251" t="n">
        <v>43</v>
      </c>
      <c r="K108" s="252" t="s">
        <v>67</v>
      </c>
      <c r="L108" s="253" t="n">
        <f aca="false">IF(J108="",0,(J108/J112)*100)</f>
        <v>81.1320754716981</v>
      </c>
      <c r="M108" s="250" t="n">
        <v>4</v>
      </c>
      <c r="N108" s="254" t="n">
        <v>0</v>
      </c>
      <c r="O108" s="115" t="n">
        <f aca="false">IF(M108=1,1,0)</f>
        <v>0</v>
      </c>
      <c r="P108" s="116" t="n">
        <f aca="false">IF(M108=2,1,0)</f>
        <v>0</v>
      </c>
      <c r="Q108" s="116" t="n">
        <f aca="false">IF(M108=3,1,0)</f>
        <v>0</v>
      </c>
      <c r="R108" s="117" t="n">
        <f aca="false">IF(M108=4,1,0)</f>
        <v>1</v>
      </c>
      <c r="S108" s="147"/>
      <c r="T108" s="141"/>
      <c r="U108" s="62"/>
    </row>
    <row r="109" customFormat="false" ht="30" hidden="false" customHeight="false" outlineLevel="0" collapsed="false">
      <c r="B109" s="62"/>
      <c r="C109" s="141"/>
      <c r="D109" s="141"/>
      <c r="E109" s="79" t="s">
        <v>43</v>
      </c>
      <c r="F109" s="33" t="s">
        <v>44</v>
      </c>
      <c r="G109" s="241" t="s">
        <v>67</v>
      </c>
      <c r="H109" s="242" t="s">
        <v>373</v>
      </c>
      <c r="I109" s="241" t="n">
        <v>1</v>
      </c>
      <c r="J109" s="242" t="n">
        <v>47</v>
      </c>
      <c r="K109" s="242" t="s">
        <v>67</v>
      </c>
      <c r="L109" s="243" t="n">
        <f aca="false">IF(J109="",0,(J109/J112)*100)</f>
        <v>88.6792452830189</v>
      </c>
      <c r="M109" s="241" t="n">
        <v>2</v>
      </c>
      <c r="N109" s="244" t="n">
        <v>3</v>
      </c>
      <c r="O109" s="121" t="n">
        <f aca="false">IF(M109=1,1,0)</f>
        <v>0</v>
      </c>
      <c r="P109" s="122" t="n">
        <f aca="false">IF(M109=2,1,0)</f>
        <v>1</v>
      </c>
      <c r="Q109" s="122" t="n">
        <f aca="false">IF(M109=3,1,0)</f>
        <v>0</v>
      </c>
      <c r="R109" s="123" t="n">
        <f aca="false">IF(M109=4,1,0)</f>
        <v>0</v>
      </c>
      <c r="S109" s="147"/>
      <c r="T109" s="141"/>
      <c r="U109" s="62"/>
    </row>
    <row r="110" customFormat="false" ht="30" hidden="false" customHeight="false" outlineLevel="0" collapsed="false">
      <c r="B110" s="62"/>
      <c r="C110" s="141"/>
      <c r="D110" s="148"/>
      <c r="E110" s="326" t="s">
        <v>39</v>
      </c>
      <c r="F110" s="33" t="s">
        <v>40</v>
      </c>
      <c r="G110" s="241" t="s">
        <v>67</v>
      </c>
      <c r="H110" s="242" t="s">
        <v>374</v>
      </c>
      <c r="I110" s="241" t="n">
        <v>1</v>
      </c>
      <c r="J110" s="242" t="n">
        <v>45</v>
      </c>
      <c r="K110" s="255" t="s">
        <v>67</v>
      </c>
      <c r="L110" s="243" t="n">
        <f aca="false">IF(J110="",0,(J110/J112)*100)</f>
        <v>84.9056603773585</v>
      </c>
      <c r="M110" s="241" t="n">
        <v>3</v>
      </c>
      <c r="N110" s="244" t="n">
        <v>1</v>
      </c>
      <c r="O110" s="121" t="n">
        <f aca="false">IF(M110=1,1,0)</f>
        <v>0</v>
      </c>
      <c r="P110" s="122" t="n">
        <f aca="false">IF(M110=2,1,0)</f>
        <v>0</v>
      </c>
      <c r="Q110" s="122" t="n">
        <f aca="false">IF(M110=3,1,0)</f>
        <v>1</v>
      </c>
      <c r="R110" s="123" t="n">
        <f aca="false">IF(M110=4,1,0)</f>
        <v>0</v>
      </c>
      <c r="S110" s="147"/>
      <c r="T110" s="141"/>
      <c r="U110" s="62"/>
    </row>
    <row r="111" customFormat="false" ht="30.75" hidden="false" customHeight="false" outlineLevel="0" collapsed="false">
      <c r="B111" s="62"/>
      <c r="C111" s="141"/>
      <c r="D111" s="141"/>
      <c r="E111" s="293" t="s">
        <v>33</v>
      </c>
      <c r="F111" s="501" t="s">
        <v>34</v>
      </c>
      <c r="G111" s="295" t="s">
        <v>67</v>
      </c>
      <c r="H111" s="296" t="s">
        <v>375</v>
      </c>
      <c r="I111" s="295" t="n">
        <v>1</v>
      </c>
      <c r="J111" s="296" t="n">
        <v>53</v>
      </c>
      <c r="K111" s="296" t="s">
        <v>67</v>
      </c>
      <c r="L111" s="297" t="n">
        <f aca="false">IF(J111="",0,(J111/J112)*100)</f>
        <v>100</v>
      </c>
      <c r="M111" s="295" t="n">
        <v>1</v>
      </c>
      <c r="N111" s="298" t="n">
        <v>6</v>
      </c>
      <c r="O111" s="127" t="n">
        <f aca="false">IF(M111=1,1,0)</f>
        <v>1</v>
      </c>
      <c r="P111" s="128" t="n">
        <f aca="false">IF(M111=2,1,0)</f>
        <v>0</v>
      </c>
      <c r="Q111" s="128" t="n">
        <f aca="false">IF(M111=3,1,0)</f>
        <v>0</v>
      </c>
      <c r="R111" s="129" t="n">
        <f aca="false">IF(M111=4,1,0)</f>
        <v>0</v>
      </c>
      <c r="S111" s="147"/>
      <c r="T111" s="141"/>
      <c r="U111" s="62"/>
    </row>
    <row r="112" customFormat="false" ht="20.1" hidden="true" customHeight="true" outlineLevel="1" collapsed="false">
      <c r="B112" s="62"/>
      <c r="C112" s="141"/>
      <c r="D112" s="141"/>
      <c r="E112" s="148"/>
      <c r="F112" s="502"/>
      <c r="G112" s="502"/>
      <c r="H112" s="148"/>
      <c r="I112" s="503" t="s">
        <v>89</v>
      </c>
      <c r="J112" s="136" t="n">
        <f aca="false">MAX(J108:J111)</f>
        <v>53</v>
      </c>
      <c r="K112" s="504"/>
      <c r="L112" s="161"/>
      <c r="M112" s="148"/>
      <c r="N112" s="136" t="s">
        <v>90</v>
      </c>
      <c r="O112" s="137" t="n">
        <f aca="false">SUM(O108:O111)</f>
        <v>1</v>
      </c>
      <c r="P112" s="138" t="n">
        <f aca="false">SUM(P108:P111)</f>
        <v>1</v>
      </c>
      <c r="Q112" s="137" t="n">
        <f aca="false">SUM(Q108:Q111)</f>
        <v>1</v>
      </c>
      <c r="R112" s="160" t="n">
        <f aca="false">SUM(R108:R111)</f>
        <v>1</v>
      </c>
      <c r="S112" s="161"/>
      <c r="T112" s="141"/>
      <c r="U112" s="62"/>
    </row>
    <row r="113" customFormat="false" ht="20.1" hidden="false" customHeight="true" outlineLevel="0" collapsed="false">
      <c r="B113" s="62"/>
      <c r="C113" s="141"/>
      <c r="D113" s="141"/>
      <c r="E113" s="141"/>
      <c r="F113" s="141"/>
      <c r="G113" s="141"/>
      <c r="H113" s="141"/>
      <c r="I113" s="141"/>
      <c r="J113" s="141"/>
      <c r="K113" s="141"/>
      <c r="L113" s="141"/>
      <c r="M113" s="141"/>
      <c r="N113" s="141"/>
      <c r="O113" s="141"/>
      <c r="P113" s="141"/>
      <c r="Q113" s="141"/>
      <c r="R113" s="141"/>
      <c r="S113" s="141"/>
      <c r="T113" s="141"/>
      <c r="U113" s="62"/>
    </row>
    <row r="114" customFormat="false" ht="20.1" hidden="false" customHeight="true" outlineLevel="0" collapsed="false">
      <c r="B114" s="62"/>
      <c r="D114" s="162"/>
      <c r="E114" s="162"/>
      <c r="F114" s="162"/>
      <c r="G114" s="162"/>
      <c r="H114" s="163"/>
      <c r="I114" s="162"/>
      <c r="J114" s="162"/>
      <c r="U114" s="62"/>
    </row>
    <row r="115" customFormat="false" ht="20.1" hidden="false" customHeight="true" outlineLevel="0" collapsed="false">
      <c r="B115" s="62"/>
      <c r="C115" s="164"/>
      <c r="D115" s="164"/>
      <c r="E115" s="165" t="str">
        <f aca="false">IF(OR(L93="-",L93= ""),H93,L93)</f>
        <v>Century</v>
      </c>
      <c r="F115" s="165"/>
      <c r="G115" s="165"/>
      <c r="H115" s="165"/>
      <c r="I115" s="165"/>
      <c r="J115" s="165"/>
      <c r="K115" s="165"/>
      <c r="L115" s="165"/>
      <c r="M115" s="165"/>
      <c r="N115" s="165"/>
      <c r="O115" s="166"/>
      <c r="P115" s="166"/>
      <c r="Q115" s="166"/>
      <c r="R115" s="166"/>
      <c r="S115" s="166"/>
      <c r="T115" s="164"/>
      <c r="U115" s="167"/>
    </row>
    <row r="116" customFormat="false" ht="50.1" hidden="false" customHeight="true" outlineLevel="0" collapsed="false">
      <c r="B116" s="62"/>
      <c r="C116" s="164"/>
      <c r="D116" s="166"/>
      <c r="E116" s="65" t="s">
        <v>53</v>
      </c>
      <c r="F116" s="104" t="s">
        <v>76</v>
      </c>
      <c r="G116" s="67" t="s">
        <v>77</v>
      </c>
      <c r="H116" s="66" t="s">
        <v>78</v>
      </c>
      <c r="I116" s="54" t="s">
        <v>79</v>
      </c>
      <c r="J116" s="66" t="s">
        <v>80</v>
      </c>
      <c r="K116" s="105" t="s">
        <v>81</v>
      </c>
      <c r="L116" s="66" t="s">
        <v>82</v>
      </c>
      <c r="M116" s="106" t="s">
        <v>83</v>
      </c>
      <c r="N116" s="67" t="s">
        <v>84</v>
      </c>
      <c r="O116" s="107" t="s">
        <v>85</v>
      </c>
      <c r="P116" s="108" t="s">
        <v>86</v>
      </c>
      <c r="Q116" s="108" t="s">
        <v>87</v>
      </c>
      <c r="R116" s="13" t="s">
        <v>88</v>
      </c>
      <c r="S116" s="166"/>
      <c r="T116" s="164"/>
      <c r="U116" s="167"/>
    </row>
    <row r="117" customFormat="false" ht="20.1" hidden="false" customHeight="true" outlineLevel="0" collapsed="false">
      <c r="B117" s="62"/>
      <c r="C117" s="164"/>
      <c r="D117" s="171"/>
      <c r="E117" s="318" t="s">
        <v>29</v>
      </c>
      <c r="F117" s="16" t="s">
        <v>30</v>
      </c>
      <c r="G117" s="250" t="n">
        <v>4</v>
      </c>
      <c r="H117" s="251" t="s">
        <v>67</v>
      </c>
      <c r="I117" s="250" t="n">
        <v>0</v>
      </c>
      <c r="J117" s="251" t="n">
        <v>56</v>
      </c>
      <c r="K117" s="253" t="s">
        <v>67</v>
      </c>
      <c r="L117" s="253" t="n">
        <f aca="false">IF(J117="",0,(J117/J121)*100)</f>
        <v>74.6666666666667</v>
      </c>
      <c r="M117" s="250" t="n">
        <v>3</v>
      </c>
      <c r="N117" s="254" t="n">
        <v>1</v>
      </c>
      <c r="O117" s="115" t="n">
        <f aca="false">IF(M117=1,1,0)</f>
        <v>0</v>
      </c>
      <c r="P117" s="116" t="n">
        <f aca="false">IF(M117=2,1,0)</f>
        <v>0</v>
      </c>
      <c r="Q117" s="116" t="n">
        <f aca="false">IF(M117=3,1,0)</f>
        <v>1</v>
      </c>
      <c r="R117" s="117" t="n">
        <f aca="false">IF(M117=4,1,0)</f>
        <v>0</v>
      </c>
      <c r="S117" s="170"/>
      <c r="T117" s="164"/>
      <c r="U117" s="62"/>
    </row>
    <row r="118" customFormat="false" ht="20.1" hidden="false" customHeight="true" outlineLevel="0" collapsed="false">
      <c r="B118" s="62"/>
      <c r="C118" s="164"/>
      <c r="D118" s="164"/>
      <c r="E118" s="79" t="s">
        <v>43</v>
      </c>
      <c r="F118" s="33" t="s">
        <v>44</v>
      </c>
      <c r="G118" s="241" t="n">
        <v>3</v>
      </c>
      <c r="H118" s="242" t="s">
        <v>67</v>
      </c>
      <c r="I118" s="241" t="n">
        <v>0</v>
      </c>
      <c r="J118" s="242" t="n">
        <v>59</v>
      </c>
      <c r="K118" s="256" t="s">
        <v>67</v>
      </c>
      <c r="L118" s="243" t="n">
        <f aca="false">IF(J118="",0,(J118/J121)*100)</f>
        <v>78.6666666666667</v>
      </c>
      <c r="M118" s="241" t="n">
        <v>2</v>
      </c>
      <c r="N118" s="244" t="n">
        <v>3</v>
      </c>
      <c r="O118" s="121" t="n">
        <f aca="false">IF(M118=1,1,0)</f>
        <v>0</v>
      </c>
      <c r="P118" s="122" t="n">
        <f aca="false">IF(M118=2,1,0)</f>
        <v>1</v>
      </c>
      <c r="Q118" s="122" t="n">
        <f aca="false">IF(M118=3,1,0)</f>
        <v>0</v>
      </c>
      <c r="R118" s="123" t="n">
        <f aca="false">IF(M118=4,1,0)</f>
        <v>0</v>
      </c>
      <c r="S118" s="170"/>
      <c r="T118" s="164"/>
      <c r="U118" s="173"/>
    </row>
    <row r="119" customFormat="false" ht="20.1" hidden="false" customHeight="true" outlineLevel="0" collapsed="false">
      <c r="B119" s="62"/>
      <c r="C119" s="164"/>
      <c r="D119" s="164"/>
      <c r="E119" s="326" t="s">
        <v>39</v>
      </c>
      <c r="F119" s="33" t="s">
        <v>40</v>
      </c>
      <c r="G119" s="241" t="n">
        <v>1</v>
      </c>
      <c r="H119" s="242" t="s">
        <v>67</v>
      </c>
      <c r="I119" s="241" t="n">
        <v>0</v>
      </c>
      <c r="J119" s="242" t="n">
        <v>52</v>
      </c>
      <c r="K119" s="256" t="s">
        <v>67</v>
      </c>
      <c r="L119" s="243" t="n">
        <f aca="false">IF(J119="",0,(J119/J121)*100)</f>
        <v>69.3333333333333</v>
      </c>
      <c r="M119" s="241" t="n">
        <v>4</v>
      </c>
      <c r="N119" s="244" t="n">
        <v>0</v>
      </c>
      <c r="O119" s="121" t="n">
        <f aca="false">IF(M119=1,1,0)</f>
        <v>0</v>
      </c>
      <c r="P119" s="122" t="n">
        <f aca="false">IF(M119=2,1,0)</f>
        <v>0</v>
      </c>
      <c r="Q119" s="122" t="n">
        <f aca="false">IF(M119=3,1,0)</f>
        <v>0</v>
      </c>
      <c r="R119" s="123" t="n">
        <f aca="false">IF(M119=4,1,0)</f>
        <v>1</v>
      </c>
      <c r="S119" s="170"/>
      <c r="T119" s="164"/>
      <c r="U119" s="173"/>
    </row>
    <row r="120" customFormat="false" ht="20.1" hidden="false" customHeight="true" outlineLevel="0" collapsed="false">
      <c r="B120" s="62"/>
      <c r="C120" s="164"/>
      <c r="D120" s="164"/>
      <c r="E120" s="293" t="s">
        <v>33</v>
      </c>
      <c r="F120" s="501" t="s">
        <v>34</v>
      </c>
      <c r="G120" s="295" t="n">
        <v>2</v>
      </c>
      <c r="H120" s="296" t="s">
        <v>67</v>
      </c>
      <c r="I120" s="295" t="n">
        <v>0</v>
      </c>
      <c r="J120" s="296" t="n">
        <v>75</v>
      </c>
      <c r="K120" s="297" t="s">
        <v>67</v>
      </c>
      <c r="L120" s="297" t="n">
        <f aca="false">IF(J120="",0,(J120/J121)*100)</f>
        <v>100</v>
      </c>
      <c r="M120" s="295" t="n">
        <v>1</v>
      </c>
      <c r="N120" s="298" t="n">
        <v>6</v>
      </c>
      <c r="O120" s="127" t="n">
        <f aca="false">IF(M120=1,1,0)</f>
        <v>1</v>
      </c>
      <c r="P120" s="128" t="n">
        <f aca="false">IF(M120=2,1,0)</f>
        <v>0</v>
      </c>
      <c r="Q120" s="128" t="n">
        <f aca="false">IF(M120=3,1,0)</f>
        <v>0</v>
      </c>
      <c r="R120" s="129" t="n">
        <f aca="false">IF(M120=4,1,0)</f>
        <v>0</v>
      </c>
      <c r="S120" s="170"/>
      <c r="T120" s="164"/>
      <c r="U120" s="173"/>
    </row>
    <row r="121" customFormat="false" ht="20.1" hidden="true" customHeight="true" outlineLevel="1" collapsed="false">
      <c r="B121" s="62"/>
      <c r="C121" s="164"/>
      <c r="D121" s="164"/>
      <c r="E121" s="164"/>
      <c r="F121" s="178"/>
      <c r="G121" s="178"/>
      <c r="H121" s="164"/>
      <c r="I121" s="179" t="s">
        <v>89</v>
      </c>
      <c r="J121" s="133" t="n">
        <f aca="false">MAX(J117:J120)</f>
        <v>75</v>
      </c>
      <c r="K121" s="180"/>
      <c r="L121" s="170"/>
      <c r="M121" s="164"/>
      <c r="N121" s="136" t="s">
        <v>90</v>
      </c>
      <c r="O121" s="137" t="n">
        <f aca="false">SUM(O117:O120)</f>
        <v>1</v>
      </c>
      <c r="P121" s="138" t="n">
        <f aca="false">SUM(P117:P120)</f>
        <v>1</v>
      </c>
      <c r="Q121" s="137" t="n">
        <f aca="false">SUM(Q117:Q120)</f>
        <v>1</v>
      </c>
      <c r="R121" s="160" t="n">
        <f aca="false">SUM(R117:R120)</f>
        <v>1</v>
      </c>
      <c r="S121" s="181"/>
      <c r="T121" s="164"/>
      <c r="U121" s="173"/>
    </row>
    <row r="122" customFormat="false" ht="20.1" hidden="false" customHeight="true" outlineLevel="0" collapsed="false">
      <c r="B122" s="62"/>
      <c r="C122" s="164"/>
      <c r="D122" s="164"/>
      <c r="E122" s="164"/>
      <c r="F122" s="164"/>
      <c r="G122" s="164"/>
      <c r="H122" s="164"/>
      <c r="I122" s="164"/>
      <c r="J122" s="164"/>
      <c r="K122" s="164"/>
      <c r="L122" s="164"/>
      <c r="M122" s="164"/>
      <c r="N122" s="164"/>
      <c r="O122" s="164"/>
      <c r="P122" s="164"/>
      <c r="Q122" s="164"/>
      <c r="R122" s="164"/>
      <c r="S122" s="164"/>
      <c r="T122" s="164"/>
      <c r="U122" s="173"/>
    </row>
    <row r="123" customFormat="false" ht="20.1" hidden="false" customHeight="true" outlineLevel="0" collapsed="false">
      <c r="B123" s="62"/>
      <c r="D123" s="162"/>
      <c r="E123" s="162"/>
      <c r="F123" s="162"/>
      <c r="G123" s="162"/>
      <c r="H123" s="163"/>
      <c r="I123" s="162"/>
      <c r="J123" s="162"/>
      <c r="K123" s="162"/>
      <c r="U123" s="62"/>
    </row>
    <row r="124" customFormat="false" ht="20.1" hidden="false" customHeight="true" outlineLevel="0" collapsed="false">
      <c r="B124" s="62"/>
      <c r="C124" s="182"/>
      <c r="D124" s="182"/>
      <c r="E124" s="183" t="str">
        <f aca="false">IF(OR(L94="-",L94= ""),H94,L94)</f>
        <v>Dice Hospital</v>
      </c>
      <c r="F124" s="183"/>
      <c r="G124" s="183"/>
      <c r="H124" s="183"/>
      <c r="I124" s="183"/>
      <c r="J124" s="183"/>
      <c r="K124" s="183"/>
      <c r="L124" s="183"/>
      <c r="M124" s="183"/>
      <c r="N124" s="183"/>
      <c r="O124" s="184"/>
      <c r="P124" s="184"/>
      <c r="Q124" s="184"/>
      <c r="R124" s="184"/>
      <c r="S124" s="184"/>
      <c r="T124" s="182"/>
      <c r="U124" s="62"/>
    </row>
    <row r="125" customFormat="false" ht="50.1" hidden="false" customHeight="true" outlineLevel="0" collapsed="false">
      <c r="B125" s="62"/>
      <c r="C125" s="182"/>
      <c r="D125" s="184"/>
      <c r="E125" s="65" t="s">
        <v>53</v>
      </c>
      <c r="F125" s="104" t="s">
        <v>76</v>
      </c>
      <c r="G125" s="67" t="s">
        <v>77</v>
      </c>
      <c r="H125" s="66" t="s">
        <v>78</v>
      </c>
      <c r="I125" s="54" t="s">
        <v>79</v>
      </c>
      <c r="J125" s="66" t="s">
        <v>80</v>
      </c>
      <c r="K125" s="105" t="s">
        <v>81</v>
      </c>
      <c r="L125" s="66" t="s">
        <v>82</v>
      </c>
      <c r="M125" s="106" t="s">
        <v>83</v>
      </c>
      <c r="N125" s="67" t="s">
        <v>84</v>
      </c>
      <c r="O125" s="107" t="s">
        <v>85</v>
      </c>
      <c r="P125" s="108" t="s">
        <v>86</v>
      </c>
      <c r="Q125" s="108" t="s">
        <v>87</v>
      </c>
      <c r="R125" s="13" t="s">
        <v>88</v>
      </c>
      <c r="S125" s="184"/>
      <c r="T125" s="182"/>
      <c r="U125" s="62"/>
    </row>
    <row r="126" customFormat="false" ht="20.1" hidden="false" customHeight="true" outlineLevel="0" collapsed="false">
      <c r="B126" s="62"/>
      <c r="C126" s="182"/>
      <c r="D126" s="182"/>
      <c r="E126" s="318" t="s">
        <v>29</v>
      </c>
      <c r="F126" s="16" t="s">
        <v>30</v>
      </c>
      <c r="G126" s="250" t="n">
        <v>4</v>
      </c>
      <c r="H126" s="250" t="s">
        <v>376</v>
      </c>
      <c r="I126" s="250" t="n">
        <v>0</v>
      </c>
      <c r="J126" s="250" t="n">
        <v>27</v>
      </c>
      <c r="K126" s="250" t="s">
        <v>67</v>
      </c>
      <c r="L126" s="253" t="n">
        <f aca="false">IF(J126="",0,(J126/J130)*100)</f>
        <v>54</v>
      </c>
      <c r="M126" s="250" t="n">
        <v>3</v>
      </c>
      <c r="N126" s="254" t="n">
        <v>1</v>
      </c>
      <c r="O126" s="115" t="n">
        <f aca="false">IF(M126=1,1,0)</f>
        <v>0</v>
      </c>
      <c r="P126" s="116" t="n">
        <f aca="false">IF(M126=2,1,0)</f>
        <v>0</v>
      </c>
      <c r="Q126" s="116" t="n">
        <f aca="false">IF(M126=3,1,0)</f>
        <v>1</v>
      </c>
      <c r="R126" s="117" t="n">
        <f aca="false">IF(M126=4,1,0)</f>
        <v>0</v>
      </c>
      <c r="S126" s="185"/>
      <c r="T126" s="182"/>
      <c r="U126" s="62"/>
    </row>
    <row r="127" customFormat="false" ht="20.1" hidden="false" customHeight="true" outlineLevel="0" collapsed="false">
      <c r="B127" s="62"/>
      <c r="C127" s="182"/>
      <c r="D127" s="182"/>
      <c r="E127" s="79" t="s">
        <v>43</v>
      </c>
      <c r="F127" s="33" t="s">
        <v>44</v>
      </c>
      <c r="G127" s="241" t="n">
        <v>3</v>
      </c>
      <c r="H127" s="241" t="s">
        <v>377</v>
      </c>
      <c r="I127" s="241" t="n">
        <v>0</v>
      </c>
      <c r="J127" s="241" t="n">
        <v>16</v>
      </c>
      <c r="K127" s="242" t="s">
        <v>67</v>
      </c>
      <c r="L127" s="243" t="n">
        <f aca="false">IF(J127="",0,(J127/J130)*100)</f>
        <v>32</v>
      </c>
      <c r="M127" s="241" t="n">
        <v>4</v>
      </c>
      <c r="N127" s="244" t="n">
        <v>0</v>
      </c>
      <c r="O127" s="121" t="n">
        <f aca="false">IF(M127=1,1,0)</f>
        <v>0</v>
      </c>
      <c r="P127" s="122" t="n">
        <f aca="false">IF(M127=2,1,0)</f>
        <v>0</v>
      </c>
      <c r="Q127" s="122" t="n">
        <f aca="false">IF(M127=3,1,0)</f>
        <v>0</v>
      </c>
      <c r="R127" s="123" t="n">
        <f aca="false">IF(M127=4,1,0)</f>
        <v>1</v>
      </c>
      <c r="S127" s="185"/>
      <c r="T127" s="182"/>
      <c r="U127" s="62"/>
    </row>
    <row r="128" customFormat="false" ht="20.1" hidden="false" customHeight="true" outlineLevel="0" collapsed="false">
      <c r="B128" s="62"/>
      <c r="C128" s="182"/>
      <c r="D128" s="182"/>
      <c r="E128" s="326" t="s">
        <v>39</v>
      </c>
      <c r="F128" s="33" t="s">
        <v>40</v>
      </c>
      <c r="G128" s="241" t="n">
        <v>1</v>
      </c>
      <c r="H128" s="241" t="s">
        <v>222</v>
      </c>
      <c r="I128" s="241" t="n">
        <v>0</v>
      </c>
      <c r="J128" s="241" t="n">
        <v>36</v>
      </c>
      <c r="K128" s="241" t="s">
        <v>67</v>
      </c>
      <c r="L128" s="243" t="n">
        <f aca="false">IF(J128="",0,(J128/J130)*100)</f>
        <v>72</v>
      </c>
      <c r="M128" s="241" t="n">
        <v>2</v>
      </c>
      <c r="N128" s="244" t="n">
        <v>3</v>
      </c>
      <c r="O128" s="121" t="n">
        <f aca="false">IF(M128=1,1,0)</f>
        <v>0</v>
      </c>
      <c r="P128" s="122" t="n">
        <f aca="false">IF(M128=2,1,0)</f>
        <v>1</v>
      </c>
      <c r="Q128" s="122" t="n">
        <f aca="false">IF(M128=3,1,0)</f>
        <v>0</v>
      </c>
      <c r="R128" s="123" t="n">
        <f aca="false">IF(M128=4,1,0)</f>
        <v>0</v>
      </c>
      <c r="S128" s="185"/>
      <c r="T128" s="182"/>
      <c r="U128" s="62"/>
    </row>
    <row r="129" customFormat="false" ht="20.1" hidden="false" customHeight="true" outlineLevel="0" collapsed="false">
      <c r="B129" s="62"/>
      <c r="C129" s="182"/>
      <c r="D129" s="186"/>
      <c r="E129" s="293" t="s">
        <v>33</v>
      </c>
      <c r="F129" s="501" t="s">
        <v>34</v>
      </c>
      <c r="G129" s="295" t="n">
        <v>2</v>
      </c>
      <c r="H129" s="295" t="s">
        <v>294</v>
      </c>
      <c r="I129" s="295" t="n">
        <v>0</v>
      </c>
      <c r="J129" s="295" t="n">
        <v>50</v>
      </c>
      <c r="K129" s="296" t="s">
        <v>67</v>
      </c>
      <c r="L129" s="297" t="n">
        <f aca="false">IF(J129="",0,(J129/J130)*100)</f>
        <v>100</v>
      </c>
      <c r="M129" s="295" t="n">
        <v>1</v>
      </c>
      <c r="N129" s="298" t="n">
        <v>6</v>
      </c>
      <c r="O129" s="127" t="n">
        <f aca="false">IF(M129=1,1,0)</f>
        <v>1</v>
      </c>
      <c r="P129" s="128" t="n">
        <f aca="false">IF(M129=2,1,0)</f>
        <v>0</v>
      </c>
      <c r="Q129" s="128" t="n">
        <f aca="false">IF(M129=3,1,0)</f>
        <v>0</v>
      </c>
      <c r="R129" s="129" t="n">
        <f aca="false">IF(M129=4,1,0)</f>
        <v>0</v>
      </c>
      <c r="S129" s="185"/>
      <c r="T129" s="182"/>
      <c r="U129" s="62"/>
    </row>
    <row r="130" customFormat="false" ht="20.1" hidden="true" customHeight="true" outlineLevel="1" collapsed="false">
      <c r="B130" s="62"/>
      <c r="C130" s="182"/>
      <c r="D130" s="182"/>
      <c r="E130" s="182"/>
      <c r="F130" s="187"/>
      <c r="G130" s="187"/>
      <c r="H130" s="182"/>
      <c r="I130" s="179" t="s">
        <v>89</v>
      </c>
      <c r="J130" s="133" t="n">
        <f aca="false">MAX(J126:J129)</f>
        <v>50</v>
      </c>
      <c r="K130" s="188"/>
      <c r="L130" s="185"/>
      <c r="M130" s="182"/>
      <c r="N130" s="136" t="s">
        <v>90</v>
      </c>
      <c r="O130" s="137" t="n">
        <f aca="false">SUM(O126:O129)</f>
        <v>1</v>
      </c>
      <c r="P130" s="138" t="n">
        <f aca="false">SUM(P126:P129)</f>
        <v>1</v>
      </c>
      <c r="Q130" s="137" t="n">
        <f aca="false">SUM(Q126:Q129)</f>
        <v>1</v>
      </c>
      <c r="R130" s="160" t="n">
        <f aca="false">SUM(R126:R129)</f>
        <v>1</v>
      </c>
      <c r="S130" s="189"/>
      <c r="T130" s="182"/>
      <c r="U130" s="62"/>
    </row>
    <row r="131" customFormat="false" ht="20.1" hidden="false" customHeight="true" outlineLevel="0" collapsed="false">
      <c r="B131" s="62"/>
      <c r="C131" s="182"/>
      <c r="D131" s="182"/>
      <c r="E131" s="182"/>
      <c r="F131" s="182"/>
      <c r="G131" s="182"/>
      <c r="H131" s="182"/>
      <c r="I131" s="182"/>
      <c r="J131" s="182"/>
      <c r="K131" s="182"/>
      <c r="L131" s="182"/>
      <c r="M131" s="182"/>
      <c r="N131" s="182"/>
      <c r="O131" s="182"/>
      <c r="P131" s="182"/>
      <c r="Q131" s="182"/>
      <c r="R131" s="182"/>
      <c r="S131" s="182"/>
      <c r="T131" s="182"/>
      <c r="U131" s="62"/>
    </row>
    <row r="132" customFormat="false" ht="20.1" hidden="false" customHeight="true" outlineLevel="0" collapsed="false">
      <c r="B132" s="62"/>
      <c r="D132" s="5"/>
      <c r="E132" s="5"/>
      <c r="F132" s="5"/>
      <c r="G132" s="5"/>
      <c r="H132" s="5"/>
      <c r="I132" s="5"/>
      <c r="J132" s="5"/>
      <c r="U132" s="62"/>
    </row>
    <row r="133" customFormat="false" ht="30" hidden="false" customHeight="true" outlineLevel="0" collapsed="false">
      <c r="B133" s="62"/>
      <c r="C133" s="190"/>
      <c r="D133" s="191" t="s">
        <v>135</v>
      </c>
      <c r="E133" s="191"/>
      <c r="F133" s="191"/>
      <c r="G133" s="191"/>
      <c r="H133" s="191"/>
      <c r="I133" s="191"/>
      <c r="J133" s="191"/>
      <c r="K133" s="191"/>
      <c r="L133" s="191"/>
      <c r="M133" s="191"/>
      <c r="N133" s="191"/>
      <c r="O133" s="191"/>
      <c r="P133" s="191"/>
      <c r="Q133" s="191"/>
      <c r="R133" s="191"/>
      <c r="S133" s="191"/>
      <c r="T133" s="190"/>
      <c r="U133" s="62"/>
    </row>
    <row r="134" customFormat="false" ht="50.1" hidden="false" customHeight="true" outlineLevel="0" collapsed="false">
      <c r="B134" s="62"/>
      <c r="C134" s="190"/>
      <c r="D134" s="192" t="s">
        <v>53</v>
      </c>
      <c r="E134" s="193" t="s">
        <v>54</v>
      </c>
      <c r="F134" s="194" t="s">
        <v>84</v>
      </c>
      <c r="G134" s="195" t="s">
        <v>100</v>
      </c>
      <c r="H134" s="196" t="s">
        <v>101</v>
      </c>
      <c r="I134" s="196"/>
      <c r="J134" s="197" t="s">
        <v>102</v>
      </c>
      <c r="K134" s="198" t="s">
        <v>103</v>
      </c>
      <c r="L134" s="194" t="s">
        <v>104</v>
      </c>
      <c r="M134" s="198" t="s">
        <v>105</v>
      </c>
      <c r="N134" s="194" t="s">
        <v>106</v>
      </c>
      <c r="O134" s="199"/>
      <c r="P134" s="200"/>
      <c r="Q134" s="200"/>
      <c r="R134" s="200"/>
      <c r="S134" s="193" t="s">
        <v>107</v>
      </c>
      <c r="T134" s="190"/>
      <c r="U134" s="62"/>
    </row>
    <row r="135" customFormat="false" ht="20.1" hidden="false" customHeight="true" outlineLevel="0" collapsed="false">
      <c r="B135" s="62"/>
      <c r="C135" s="190"/>
      <c r="D135" s="425" t="s">
        <v>33</v>
      </c>
      <c r="E135" s="302" t="s">
        <v>34</v>
      </c>
      <c r="F135" s="505" t="n">
        <f aca="false">K135*6+L135*3+M135*1+N135*0</f>
        <v>18.5</v>
      </c>
      <c r="G135" s="259" t="n">
        <v>0</v>
      </c>
      <c r="H135" s="259" t="s">
        <v>67</v>
      </c>
      <c r="I135" s="259"/>
      <c r="J135" s="505" t="n">
        <f aca="false">F135+G135</f>
        <v>18.5</v>
      </c>
      <c r="K135" s="258" t="n">
        <v>3</v>
      </c>
      <c r="L135" s="258" t="n">
        <v>0</v>
      </c>
      <c r="M135" s="505" t="n">
        <v>0.5</v>
      </c>
      <c r="N135" s="505" t="n">
        <v>0.5</v>
      </c>
      <c r="O135" s="260"/>
      <c r="P135" s="259"/>
      <c r="Q135" s="259"/>
      <c r="R135" s="259"/>
      <c r="S135" s="261" t="n">
        <f aca="false">(L102++L111+L120+L129)/4</f>
        <v>86.4705882352941</v>
      </c>
      <c r="T135" s="190"/>
      <c r="U135" s="62"/>
    </row>
    <row r="136" customFormat="false" ht="20.1" hidden="false" customHeight="true" outlineLevel="0" collapsed="false">
      <c r="B136" s="62"/>
      <c r="C136" s="190"/>
      <c r="D136" s="444" t="s">
        <v>29</v>
      </c>
      <c r="E136" s="208" t="s">
        <v>30</v>
      </c>
      <c r="F136" s="262" t="n">
        <f aca="false">K136*6+L136*3+M136*1+N136*0</f>
        <v>8</v>
      </c>
      <c r="G136" s="263" t="n">
        <v>0</v>
      </c>
      <c r="H136" s="263" t="s">
        <v>67</v>
      </c>
      <c r="I136" s="263"/>
      <c r="J136" s="262" t="n">
        <f aca="false">F136+G136</f>
        <v>8</v>
      </c>
      <c r="K136" s="262" t="n">
        <v>1</v>
      </c>
      <c r="L136" s="262" t="n">
        <v>0</v>
      </c>
      <c r="M136" s="262" t="n">
        <v>2</v>
      </c>
      <c r="N136" s="262" t="n">
        <v>1</v>
      </c>
      <c r="O136" s="264"/>
      <c r="P136" s="263"/>
      <c r="Q136" s="263"/>
      <c r="R136" s="263"/>
      <c r="S136" s="265" t="n">
        <f aca="false">(L99+L108+L117+L126)/4</f>
        <v>77.4496855345912</v>
      </c>
      <c r="T136" s="190"/>
      <c r="U136" s="62"/>
      <c r="Y136" s="266"/>
      <c r="Z136" s="266"/>
      <c r="AA136" s="267"/>
      <c r="AB136" s="267"/>
      <c r="AC136" s="268"/>
      <c r="AD136" s="268"/>
      <c r="AE136" s="268"/>
    </row>
    <row r="137" customFormat="false" ht="20.1" hidden="false" customHeight="true" outlineLevel="0" collapsed="false">
      <c r="B137" s="62"/>
      <c r="C137" s="190"/>
      <c r="D137" s="444" t="s">
        <v>39</v>
      </c>
      <c r="E137" s="208" t="s">
        <v>40</v>
      </c>
      <c r="F137" s="262" t="n">
        <f aca="false">K137*6+L137*3+M137*1+N137*0</f>
        <v>7</v>
      </c>
      <c r="G137" s="263" t="n">
        <v>0</v>
      </c>
      <c r="H137" s="263" t="s">
        <v>67</v>
      </c>
      <c r="I137" s="263"/>
      <c r="J137" s="262" t="n">
        <f aca="false">F137+G137</f>
        <v>7</v>
      </c>
      <c r="K137" s="262" t="n">
        <v>0</v>
      </c>
      <c r="L137" s="262" t="n">
        <v>2</v>
      </c>
      <c r="M137" s="262" t="n">
        <v>1</v>
      </c>
      <c r="N137" s="262" t="n">
        <v>1</v>
      </c>
      <c r="O137" s="264"/>
      <c r="P137" s="263"/>
      <c r="Q137" s="263"/>
      <c r="R137" s="263"/>
      <c r="S137" s="265" t="n">
        <f aca="false">(L101+L110+L119+L128)/4</f>
        <v>79.559748427673</v>
      </c>
      <c r="T137" s="190"/>
      <c r="U137" s="62"/>
    </row>
    <row r="138" customFormat="false" ht="20.1" hidden="false" customHeight="true" outlineLevel="0" collapsed="false">
      <c r="B138" s="62"/>
      <c r="C138" s="190"/>
      <c r="D138" s="270" t="s">
        <v>43</v>
      </c>
      <c r="E138" s="215" t="s">
        <v>44</v>
      </c>
      <c r="F138" s="428" t="n">
        <f aca="false">K138*6+L138*3+M138*1+N138*0</f>
        <v>6.5</v>
      </c>
      <c r="G138" s="272" t="n">
        <v>0</v>
      </c>
      <c r="H138" s="272" t="s">
        <v>67</v>
      </c>
      <c r="I138" s="272"/>
      <c r="J138" s="428" t="n">
        <f aca="false">F138+G138</f>
        <v>6.5</v>
      </c>
      <c r="K138" s="271" t="n">
        <v>0</v>
      </c>
      <c r="L138" s="271" t="n">
        <v>2</v>
      </c>
      <c r="M138" s="428" t="n">
        <v>0.5</v>
      </c>
      <c r="N138" s="428" t="n">
        <v>1.5</v>
      </c>
      <c r="O138" s="273"/>
      <c r="P138" s="272"/>
      <c r="Q138" s="272"/>
      <c r="R138" s="272"/>
      <c r="S138" s="274" t="n">
        <f aca="false">(L100+L109+L118+L127)/4</f>
        <v>61.3070662227155</v>
      </c>
      <c r="T138" s="190"/>
      <c r="U138" s="62"/>
    </row>
    <row r="139" customFormat="false" ht="20.1" hidden="false" customHeight="true" outlineLevel="0" collapsed="false">
      <c r="B139" s="62"/>
      <c r="C139" s="190"/>
      <c r="D139" s="422"/>
      <c r="E139" s="422"/>
      <c r="F139" s="429"/>
      <c r="G139" s="377"/>
      <c r="H139" s="430"/>
      <c r="I139" s="430"/>
      <c r="J139" s="429"/>
      <c r="K139" s="429"/>
      <c r="L139" s="429"/>
      <c r="M139" s="429"/>
      <c r="N139" s="429"/>
      <c r="O139" s="376"/>
      <c r="P139" s="377"/>
      <c r="Q139" s="377"/>
      <c r="R139" s="377"/>
      <c r="S139" s="408"/>
      <c r="T139" s="190"/>
      <c r="U139" s="62"/>
    </row>
    <row r="140" customFormat="false" ht="20.1" hidden="false" customHeight="true" outlineLevel="0" collapsed="false">
      <c r="B140" s="62"/>
      <c r="C140" s="62"/>
      <c r="D140" s="219"/>
      <c r="E140" s="219"/>
      <c r="F140" s="167"/>
      <c r="G140" s="167"/>
      <c r="H140" s="219"/>
      <c r="I140" s="219"/>
      <c r="J140" s="219"/>
      <c r="K140" s="62"/>
      <c r="L140" s="62"/>
      <c r="M140" s="62"/>
      <c r="N140" s="62"/>
      <c r="O140" s="62"/>
      <c r="P140" s="62"/>
      <c r="Q140" s="62"/>
      <c r="R140" s="62"/>
      <c r="S140" s="62"/>
      <c r="T140" s="62"/>
      <c r="U140" s="62"/>
    </row>
    <row r="141" customFormat="false" ht="20.1" hidden="false" customHeight="true" outlineLevel="0" collapsed="false"/>
    <row r="142" customFormat="false" ht="20.1" hidden="false" customHeight="true" outlineLevel="0" collapsed="false"/>
  </sheetData>
  <mergeCells count="151">
    <mergeCell ref="A1:N2"/>
    <mergeCell ref="B4:I4"/>
    <mergeCell ref="K4:M4"/>
    <mergeCell ref="B5:C5"/>
    <mergeCell ref="B6:C6"/>
    <mergeCell ref="L6:L9"/>
    <mergeCell ref="B7:C7"/>
    <mergeCell ref="B8:C8"/>
    <mergeCell ref="B9:C9"/>
    <mergeCell ref="B10:C10"/>
    <mergeCell ref="L10:L13"/>
    <mergeCell ref="B11:C11"/>
    <mergeCell ref="B12:C12"/>
    <mergeCell ref="B13:C13"/>
    <mergeCell ref="K14:L14"/>
    <mergeCell ref="B15:H15"/>
    <mergeCell ref="B16:C16"/>
    <mergeCell ref="B17:C17"/>
    <mergeCell ref="B18:C18"/>
    <mergeCell ref="C21:T21"/>
    <mergeCell ref="D23:D24"/>
    <mergeCell ref="E23:E24"/>
    <mergeCell ref="F23:F24"/>
    <mergeCell ref="G23:J23"/>
    <mergeCell ref="L23:S23"/>
    <mergeCell ref="I24:J24"/>
    <mergeCell ref="N24:S24"/>
    <mergeCell ref="D25:D27"/>
    <mergeCell ref="E25:E27"/>
    <mergeCell ref="F25:F27"/>
    <mergeCell ref="G25:G27"/>
    <mergeCell ref="H25:H27"/>
    <mergeCell ref="I25:J25"/>
    <mergeCell ref="K25:K27"/>
    <mergeCell ref="L25:L27"/>
    <mergeCell ref="M25:M27"/>
    <mergeCell ref="N25:S27"/>
    <mergeCell ref="I26:J26"/>
    <mergeCell ref="I27:J27"/>
    <mergeCell ref="D28:D29"/>
    <mergeCell ref="E28:E29"/>
    <mergeCell ref="F28:F29"/>
    <mergeCell ref="G28:G29"/>
    <mergeCell ref="H28:H29"/>
    <mergeCell ref="I28:J28"/>
    <mergeCell ref="K28:K29"/>
    <mergeCell ref="L28:L29"/>
    <mergeCell ref="M28:M29"/>
    <mergeCell ref="N28:S28"/>
    <mergeCell ref="I29:J29"/>
    <mergeCell ref="N29:S29"/>
    <mergeCell ref="D30:D32"/>
    <mergeCell ref="E30:E32"/>
    <mergeCell ref="F30:F32"/>
    <mergeCell ref="G30:G32"/>
    <mergeCell ref="H30:H32"/>
    <mergeCell ref="I30:J30"/>
    <mergeCell ref="K30:K32"/>
    <mergeCell ref="L30:L32"/>
    <mergeCell ref="M30:M32"/>
    <mergeCell ref="N30:S32"/>
    <mergeCell ref="I31:J31"/>
    <mergeCell ref="I32:J32"/>
    <mergeCell ref="D33:D36"/>
    <mergeCell ref="E33:E36"/>
    <mergeCell ref="F33:F36"/>
    <mergeCell ref="G33:G36"/>
    <mergeCell ref="H33:H36"/>
    <mergeCell ref="I33:J33"/>
    <mergeCell ref="K33:K36"/>
    <mergeCell ref="L33:L36"/>
    <mergeCell ref="M33:M36"/>
    <mergeCell ref="N33:S36"/>
    <mergeCell ref="I34:J34"/>
    <mergeCell ref="I35:J35"/>
    <mergeCell ref="I36:J36"/>
    <mergeCell ref="E38:N38"/>
    <mergeCell ref="F44:G44"/>
    <mergeCell ref="F45:G45"/>
    <mergeCell ref="E47:N47"/>
    <mergeCell ref="F53:G53"/>
    <mergeCell ref="E56:N56"/>
    <mergeCell ref="F62:G62"/>
    <mergeCell ref="E65:N65"/>
    <mergeCell ref="F71:G71"/>
    <mergeCell ref="D74:S74"/>
    <mergeCell ref="H75:I75"/>
    <mergeCell ref="H76:I76"/>
    <mergeCell ref="H77:I77"/>
    <mergeCell ref="H78:I78"/>
    <mergeCell ref="H79:I79"/>
    <mergeCell ref="H80:I80"/>
    <mergeCell ref="C85:T85"/>
    <mergeCell ref="D87:D88"/>
    <mergeCell ref="E87:E88"/>
    <mergeCell ref="F87:F88"/>
    <mergeCell ref="G87:J87"/>
    <mergeCell ref="L87:S87"/>
    <mergeCell ref="I88:J88"/>
    <mergeCell ref="N88:S88"/>
    <mergeCell ref="D89:D90"/>
    <mergeCell ref="E89:E90"/>
    <mergeCell ref="F89:F90"/>
    <mergeCell ref="G89:G90"/>
    <mergeCell ref="H89:H90"/>
    <mergeCell ref="I89:J89"/>
    <mergeCell ref="K89:K90"/>
    <mergeCell ref="L89:L90"/>
    <mergeCell ref="M89:M90"/>
    <mergeCell ref="N89:S90"/>
    <mergeCell ref="I90:J90"/>
    <mergeCell ref="D91:D92"/>
    <mergeCell ref="E91:E92"/>
    <mergeCell ref="F91:F92"/>
    <mergeCell ref="G91:G92"/>
    <mergeCell ref="H91:H92"/>
    <mergeCell ref="I91:J91"/>
    <mergeCell ref="K91:K92"/>
    <mergeCell ref="L91:L92"/>
    <mergeCell ref="M91:M92"/>
    <mergeCell ref="N91:S92"/>
    <mergeCell ref="I92:J92"/>
    <mergeCell ref="I93:J93"/>
    <mergeCell ref="N93:S93"/>
    <mergeCell ref="D94:D95"/>
    <mergeCell ref="E94:E95"/>
    <mergeCell ref="F94:F95"/>
    <mergeCell ref="G94:G95"/>
    <mergeCell ref="H94:H95"/>
    <mergeCell ref="I94:J94"/>
    <mergeCell ref="K94:K95"/>
    <mergeCell ref="L94:L95"/>
    <mergeCell ref="M94:M95"/>
    <mergeCell ref="N94:S95"/>
    <mergeCell ref="I95:J95"/>
    <mergeCell ref="E97:N97"/>
    <mergeCell ref="F103:G103"/>
    <mergeCell ref="E106:N106"/>
    <mergeCell ref="F112:G112"/>
    <mergeCell ref="E115:N115"/>
    <mergeCell ref="F121:G121"/>
    <mergeCell ref="E124:N124"/>
    <mergeCell ref="F130:G130"/>
    <mergeCell ref="D133:S133"/>
    <mergeCell ref="H134:I134"/>
    <mergeCell ref="H135:I135"/>
    <mergeCell ref="H136:I136"/>
    <mergeCell ref="Y136:Z136"/>
    <mergeCell ref="H137:I137"/>
    <mergeCell ref="H138:I138"/>
    <mergeCell ref="H139:I139"/>
  </mergeCells>
  <conditionalFormatting sqref="B6:C13 D137:E137">
    <cfRule type="expression" priority="2" aboveAverage="0" equalAverage="0" bottom="0" percent="0" rank="0" text="" dxfId="340">
      <formula>$I6="Nein"</formula>
    </cfRule>
    <cfRule type="expression" priority="3" aboveAverage="0" equalAverage="0" bottom="0" percent="0" rank="0" text="" dxfId="341">
      <formula>$I6="Ja"</formula>
    </cfRule>
  </conditionalFormatting>
  <conditionalFormatting sqref="D14:I14">
    <cfRule type="expression" priority="4" aboveAverage="0" equalAverage="0" bottom="0" percent="0" rank="0" text="" dxfId="342">
      <formula>$I14="Nein"</formula>
    </cfRule>
    <cfRule type="expression" priority="5" aboveAverage="0" equalAverage="0" bottom="0" percent="0" rank="0" text="" dxfId="343">
      <formula>$I14="Ja"</formula>
    </cfRule>
  </conditionalFormatting>
  <conditionalFormatting sqref="D80:E80">
    <cfRule type="expression" priority="6" aboveAverage="0" equalAverage="0" bottom="0" percent="0" rank="0" text="" dxfId="344">
      <formula>$I80="Nein"</formula>
    </cfRule>
    <cfRule type="expression" priority="7" aboveAverage="0" equalAverage="0" bottom="0" percent="0" rank="0" text="" dxfId="345">
      <formula>$I80="Ja"</formula>
    </cfRule>
  </conditionalFormatting>
  <conditionalFormatting sqref="D139:E139">
    <cfRule type="expression" priority="8" aboveAverage="0" equalAverage="0" bottom="0" percent="0" rank="0" text="" dxfId="346">
      <formula>$I139="Nein"</formula>
    </cfRule>
    <cfRule type="expression" priority="9" aboveAverage="0" equalAverage="0" bottom="0" percent="0" rank="0" text="" dxfId="347">
      <formula>$I139="Ja"</formula>
    </cfRule>
  </conditionalFormatting>
  <conditionalFormatting sqref="D7:I7">
    <cfRule type="expression" priority="10" aboveAverage="0" equalAverage="0" bottom="0" percent="0" rank="0" text="" dxfId="348">
      <formula>$I7="Nein"</formula>
    </cfRule>
    <cfRule type="expression" priority="11" aboveAverage="0" equalAverage="0" bottom="0" percent="0" rank="0" text="" dxfId="349">
      <formula>$I7="Ja"</formula>
    </cfRule>
  </conditionalFormatting>
  <conditionalFormatting sqref="D6:I6">
    <cfRule type="expression" priority="12" aboveAverage="0" equalAverage="0" bottom="0" percent="0" rank="0" text="" dxfId="350">
      <formula>$I6="Nein"</formula>
    </cfRule>
    <cfRule type="expression" priority="13" aboveAverage="0" equalAverage="0" bottom="0" percent="0" rank="0" text="" dxfId="351">
      <formula>$I6="Ja"</formula>
    </cfRule>
  </conditionalFormatting>
  <conditionalFormatting sqref="D8:I8">
    <cfRule type="expression" priority="14" aboveAverage="0" equalAverage="0" bottom="0" percent="0" rank="0" text="" dxfId="352">
      <formula>$I8="Nein"</formula>
    </cfRule>
    <cfRule type="expression" priority="15" aboveAverage="0" equalAverage="0" bottom="0" percent="0" rank="0" text="" dxfId="353">
      <formula>$I8="Ja"</formula>
    </cfRule>
  </conditionalFormatting>
  <conditionalFormatting sqref="I13">
    <cfRule type="expression" priority="16" aboveAverage="0" equalAverage="0" bottom="0" percent="0" rank="0" text="" dxfId="354">
      <formula>$I13="Nein"</formula>
    </cfRule>
    <cfRule type="expression" priority="17" aboveAverage="0" equalAverage="0" bottom="0" percent="0" rank="0" text="" dxfId="355">
      <formula>$I13="Ja"</formula>
    </cfRule>
  </conditionalFormatting>
  <conditionalFormatting sqref="D135:E135">
    <cfRule type="expression" priority="18" aboveAverage="0" equalAverage="0" bottom="0" percent="0" rank="0" text="" dxfId="356">
      <formula>$I135="Nein"</formula>
    </cfRule>
    <cfRule type="expression" priority="19" aboveAverage="0" equalAverage="0" bottom="0" percent="0" rank="0" text="" dxfId="357">
      <formula>$I135="Ja"</formula>
    </cfRule>
  </conditionalFormatting>
  <conditionalFormatting sqref="D8:I8">
    <cfRule type="expression" priority="20" aboveAverage="0" equalAverage="0" bottom="0" percent="0" rank="0" text="" dxfId="358">
      <formula>$I8="Nein"</formula>
    </cfRule>
    <cfRule type="expression" priority="21" aboveAverage="0" equalAverage="0" bottom="0" percent="0" rank="0" text="" dxfId="359">
      <formula>$I8="Ja"</formula>
    </cfRule>
  </conditionalFormatting>
  <conditionalFormatting sqref="D7:I7">
    <cfRule type="expression" priority="22" aboveAverage="0" equalAverage="0" bottom="0" percent="0" rank="0" text="" dxfId="360">
      <formula>$I7="Nein"</formula>
    </cfRule>
    <cfRule type="expression" priority="23" aboveAverage="0" equalAverage="0" bottom="0" percent="0" rank="0" text="" dxfId="361">
      <formula>$I7="Ja"</formula>
    </cfRule>
  </conditionalFormatting>
  <conditionalFormatting sqref="D9:I9">
    <cfRule type="expression" priority="24" aboveAverage="0" equalAverage="0" bottom="0" percent="0" rank="0" text="" dxfId="362">
      <formula>$I9="Nein"</formula>
    </cfRule>
    <cfRule type="expression" priority="25" aboveAverage="0" equalAverage="0" bottom="0" percent="0" rank="0" text="" dxfId="363">
      <formula>$I9="Ja"</formula>
    </cfRule>
  </conditionalFormatting>
  <conditionalFormatting sqref="D10:I10">
    <cfRule type="expression" priority="26" aboveAverage="0" equalAverage="0" bottom="0" percent="0" rank="0" text="" dxfId="364">
      <formula>$I10="Nein"</formula>
    </cfRule>
    <cfRule type="expression" priority="27" aboveAverage="0" equalAverage="0" bottom="0" percent="0" rank="0" text="" dxfId="365">
      <formula>$I10="Ja"</formula>
    </cfRule>
  </conditionalFormatting>
  <conditionalFormatting sqref="D12:I12">
    <cfRule type="expression" priority="28" aboveAverage="0" equalAverage="0" bottom="0" percent="0" rank="0" text="" dxfId="366">
      <formula>$I12="Nein"</formula>
    </cfRule>
    <cfRule type="expression" priority="29" aboveAverage="0" equalAverage="0" bottom="0" percent="0" rank="0" text="" dxfId="367">
      <formula>$I12="Ja"</formula>
    </cfRule>
  </conditionalFormatting>
  <conditionalFormatting sqref="D11:I11">
    <cfRule type="expression" priority="30" aboveAverage="0" equalAverage="0" bottom="0" percent="0" rank="0" text="" dxfId="368">
      <formula>$I11="Nein"</formula>
    </cfRule>
    <cfRule type="expression" priority="31" aboveAverage="0" equalAverage="0" bottom="0" percent="0" rank="0" text="" dxfId="369">
      <formula>$I11="Ja"</formula>
    </cfRule>
  </conditionalFormatting>
  <conditionalFormatting sqref="D13:H13">
    <cfRule type="expression" priority="32" aboveAverage="0" equalAverage="0" bottom="0" percent="0" rank="0" text="" dxfId="370">
      <formula>$I13="Nein"</formula>
    </cfRule>
    <cfRule type="expression" priority="33" aboveAverage="0" equalAverage="0" bottom="0" percent="0" rank="0" text="" dxfId="371">
      <formula>$I13="Ja"</formula>
    </cfRule>
  </conditionalFormatting>
  <conditionalFormatting sqref="E41:F41">
    <cfRule type="expression" priority="34" aboveAverage="0" equalAverage="0" bottom="0" percent="0" rank="0" text="" dxfId="372">
      <formula>$I41="Nein"</formula>
    </cfRule>
    <cfRule type="expression" priority="35" aboveAverage="0" equalAverage="0" bottom="0" percent="0" rank="0" text="" dxfId="373">
      <formula>$I41="Ja"</formula>
    </cfRule>
  </conditionalFormatting>
  <conditionalFormatting sqref="E40:F40">
    <cfRule type="expression" priority="36" aboveAverage="0" equalAverage="0" bottom="0" percent="0" rank="0" text="" dxfId="374">
      <formula>$I40="Nein"</formula>
    </cfRule>
    <cfRule type="expression" priority="37" aboveAverage="0" equalAverage="0" bottom="0" percent="0" rank="0" text="" dxfId="375">
      <formula>$I40="Ja"</formula>
    </cfRule>
  </conditionalFormatting>
  <conditionalFormatting sqref="E42:F42">
    <cfRule type="expression" priority="38" aboveAverage="0" equalAverage="0" bottom="0" percent="0" rank="0" text="" dxfId="376">
      <formula>$I42="Nein"</formula>
    </cfRule>
    <cfRule type="expression" priority="39" aboveAverage="0" equalAverage="0" bottom="0" percent="0" rank="0" text="" dxfId="377">
      <formula>$I42="Ja"</formula>
    </cfRule>
  </conditionalFormatting>
  <conditionalFormatting sqref="E42:F42">
    <cfRule type="expression" priority="40" aboveAverage="0" equalAverage="0" bottom="0" percent="0" rank="0" text="" dxfId="378">
      <formula>$I42="Nein"</formula>
    </cfRule>
    <cfRule type="expression" priority="41" aboveAverage="0" equalAverage="0" bottom="0" percent="0" rank="0" text="" dxfId="379">
      <formula>$I42="Ja"</formula>
    </cfRule>
  </conditionalFormatting>
  <conditionalFormatting sqref="E41:F41">
    <cfRule type="expression" priority="42" aboveAverage="0" equalAverage="0" bottom="0" percent="0" rank="0" text="" dxfId="380">
      <formula>$I41="Nein"</formula>
    </cfRule>
    <cfRule type="expression" priority="43" aboveAverage="0" equalAverage="0" bottom="0" percent="0" rank="0" text="" dxfId="381">
      <formula>$I41="Ja"</formula>
    </cfRule>
  </conditionalFormatting>
  <conditionalFormatting sqref="E43:F43">
    <cfRule type="expression" priority="44" aboveAverage="0" equalAverage="0" bottom="0" percent="0" rank="0" text="" dxfId="382">
      <formula>$I43="Nein"</formula>
    </cfRule>
    <cfRule type="expression" priority="45" aboveAverage="0" equalAverage="0" bottom="0" percent="0" rank="0" text="" dxfId="383">
      <formula>$I43="Ja"</formula>
    </cfRule>
  </conditionalFormatting>
  <conditionalFormatting sqref="E50:F50">
    <cfRule type="expression" priority="46" aboveAverage="0" equalAverage="0" bottom="0" percent="0" rank="0" text="" dxfId="384">
      <formula>$I50="Nein"</formula>
    </cfRule>
    <cfRule type="expression" priority="47" aboveAverage="0" equalAverage="0" bottom="0" percent="0" rank="0" text="" dxfId="385">
      <formula>$I50="Ja"</formula>
    </cfRule>
  </conditionalFormatting>
  <conditionalFormatting sqref="E49:F49">
    <cfRule type="expression" priority="48" aboveAverage="0" equalAverage="0" bottom="0" percent="0" rank="0" text="" dxfId="386">
      <formula>$I49="Nein"</formula>
    </cfRule>
    <cfRule type="expression" priority="49" aboveAverage="0" equalAverage="0" bottom="0" percent="0" rank="0" text="" dxfId="387">
      <formula>$I49="Ja"</formula>
    </cfRule>
  </conditionalFormatting>
  <conditionalFormatting sqref="E51:F51">
    <cfRule type="expression" priority="50" aboveAverage="0" equalAverage="0" bottom="0" percent="0" rank="0" text="" dxfId="388">
      <formula>$I51="Nein"</formula>
    </cfRule>
    <cfRule type="expression" priority="51" aboveAverage="0" equalAverage="0" bottom="0" percent="0" rank="0" text="" dxfId="389">
      <formula>$I51="Ja"</formula>
    </cfRule>
  </conditionalFormatting>
  <conditionalFormatting sqref="E51:F51">
    <cfRule type="expression" priority="52" aboveAverage="0" equalAverage="0" bottom="0" percent="0" rank="0" text="" dxfId="390">
      <formula>$I51="Nein"</formula>
    </cfRule>
    <cfRule type="expression" priority="53" aboveAverage="0" equalAverage="0" bottom="0" percent="0" rank="0" text="" dxfId="391">
      <formula>$I51="Ja"</formula>
    </cfRule>
  </conditionalFormatting>
  <conditionalFormatting sqref="E50:F50">
    <cfRule type="expression" priority="54" aboveAverage="0" equalAverage="0" bottom="0" percent="0" rank="0" text="" dxfId="392">
      <formula>$I50="Nein"</formula>
    </cfRule>
    <cfRule type="expression" priority="55" aboveAverage="0" equalAverage="0" bottom="0" percent="0" rank="0" text="" dxfId="393">
      <formula>$I50="Ja"</formula>
    </cfRule>
  </conditionalFormatting>
  <conditionalFormatting sqref="E52:F52">
    <cfRule type="expression" priority="56" aboveAverage="0" equalAverage="0" bottom="0" percent="0" rank="0" text="" dxfId="394">
      <formula>$I52="Nein"</formula>
    </cfRule>
    <cfRule type="expression" priority="57" aboveAverage="0" equalAverage="0" bottom="0" percent="0" rank="0" text="" dxfId="395">
      <formula>$I52="Ja"</formula>
    </cfRule>
  </conditionalFormatting>
  <conditionalFormatting sqref="E59:F59">
    <cfRule type="expression" priority="58" aboveAverage="0" equalAverage="0" bottom="0" percent="0" rank="0" text="" dxfId="396">
      <formula>$I59="Nein"</formula>
    </cfRule>
    <cfRule type="expression" priority="59" aboveAverage="0" equalAverage="0" bottom="0" percent="0" rank="0" text="" dxfId="397">
      <formula>$I59="Ja"</formula>
    </cfRule>
  </conditionalFormatting>
  <conditionalFormatting sqref="E58:F58">
    <cfRule type="expression" priority="60" aboveAverage="0" equalAverage="0" bottom="0" percent="0" rank="0" text="" dxfId="398">
      <formula>$I58="Nein"</formula>
    </cfRule>
    <cfRule type="expression" priority="61" aboveAverage="0" equalAverage="0" bottom="0" percent="0" rank="0" text="" dxfId="399">
      <formula>$I58="Ja"</formula>
    </cfRule>
  </conditionalFormatting>
  <conditionalFormatting sqref="E60:F60">
    <cfRule type="expression" priority="62" aboveAverage="0" equalAverage="0" bottom="0" percent="0" rank="0" text="" dxfId="400">
      <formula>$I60="Nein"</formula>
    </cfRule>
    <cfRule type="expression" priority="63" aboveAverage="0" equalAverage="0" bottom="0" percent="0" rank="0" text="" dxfId="401">
      <formula>$I60="Ja"</formula>
    </cfRule>
  </conditionalFormatting>
  <conditionalFormatting sqref="E60:F60">
    <cfRule type="expression" priority="64" aboveAverage="0" equalAverage="0" bottom="0" percent="0" rank="0" text="" dxfId="402">
      <formula>$I60="Nein"</formula>
    </cfRule>
    <cfRule type="expression" priority="65" aboveAverage="0" equalAverage="0" bottom="0" percent="0" rank="0" text="" dxfId="403">
      <formula>$I60="Ja"</formula>
    </cfRule>
  </conditionalFormatting>
  <conditionalFormatting sqref="E59:F59">
    <cfRule type="expression" priority="66" aboveAverage="0" equalAverage="0" bottom="0" percent="0" rank="0" text="" dxfId="404">
      <formula>$I59="Nein"</formula>
    </cfRule>
    <cfRule type="expression" priority="67" aboveAverage="0" equalAverage="0" bottom="0" percent="0" rank="0" text="" dxfId="405">
      <formula>$I59="Ja"</formula>
    </cfRule>
  </conditionalFormatting>
  <conditionalFormatting sqref="E61:F61">
    <cfRule type="expression" priority="68" aboveAverage="0" equalAverage="0" bottom="0" percent="0" rank="0" text="" dxfId="406">
      <formula>$I61="Nein"</formula>
    </cfRule>
    <cfRule type="expression" priority="69" aboveAverage="0" equalAverage="0" bottom="0" percent="0" rank="0" text="" dxfId="407">
      <formula>$I61="Ja"</formula>
    </cfRule>
  </conditionalFormatting>
  <conditionalFormatting sqref="E68:F68">
    <cfRule type="expression" priority="70" aboveAverage="0" equalAverage="0" bottom="0" percent="0" rank="0" text="" dxfId="408">
      <formula>$I68="Nein"</formula>
    </cfRule>
    <cfRule type="expression" priority="71" aboveAverage="0" equalAverage="0" bottom="0" percent="0" rank="0" text="" dxfId="409">
      <formula>$I68="Ja"</formula>
    </cfRule>
  </conditionalFormatting>
  <conditionalFormatting sqref="E67:F67">
    <cfRule type="expression" priority="72" aboveAverage="0" equalAverage="0" bottom="0" percent="0" rank="0" text="" dxfId="410">
      <formula>$I67="Nein"</formula>
    </cfRule>
    <cfRule type="expression" priority="73" aboveAverage="0" equalAverage="0" bottom="0" percent="0" rank="0" text="" dxfId="411">
      <formula>$I67="Ja"</formula>
    </cfRule>
  </conditionalFormatting>
  <conditionalFormatting sqref="E69:F69">
    <cfRule type="expression" priority="74" aboveAverage="0" equalAverage="0" bottom="0" percent="0" rank="0" text="" dxfId="412">
      <formula>$I69="Nein"</formula>
    </cfRule>
    <cfRule type="expression" priority="75" aboveAverage="0" equalAverage="0" bottom="0" percent="0" rank="0" text="" dxfId="413">
      <formula>$I69="Ja"</formula>
    </cfRule>
  </conditionalFormatting>
  <conditionalFormatting sqref="E69:F69">
    <cfRule type="expression" priority="76" aboveAverage="0" equalAverage="0" bottom="0" percent="0" rank="0" text="" dxfId="414">
      <formula>$I69="Nein"</formula>
    </cfRule>
    <cfRule type="expression" priority="77" aboveAverage="0" equalAverage="0" bottom="0" percent="0" rank="0" text="" dxfId="415">
      <formula>$I69="Ja"</formula>
    </cfRule>
  </conditionalFormatting>
  <conditionalFormatting sqref="E68:F68">
    <cfRule type="expression" priority="78" aboveAverage="0" equalAverage="0" bottom="0" percent="0" rank="0" text="" dxfId="416">
      <formula>$I68="Nein"</formula>
    </cfRule>
    <cfRule type="expression" priority="79" aboveAverage="0" equalAverage="0" bottom="0" percent="0" rank="0" text="" dxfId="417">
      <formula>$I68="Ja"</formula>
    </cfRule>
  </conditionalFormatting>
  <conditionalFormatting sqref="E70:F70">
    <cfRule type="expression" priority="80" aboveAverage="0" equalAverage="0" bottom="0" percent="0" rank="0" text="" dxfId="418">
      <formula>$I70="Nein"</formula>
    </cfRule>
    <cfRule type="expression" priority="81" aboveAverage="0" equalAverage="0" bottom="0" percent="0" rank="0" text="" dxfId="419">
      <formula>$I70="Ja"</formula>
    </cfRule>
  </conditionalFormatting>
  <conditionalFormatting sqref="D76:E76">
    <cfRule type="expression" priority="82" aboveAverage="0" equalAverage="0" bottom="0" percent="0" rank="0" text="" dxfId="420">
      <formula>$I76="Nein"</formula>
    </cfRule>
    <cfRule type="expression" priority="83" aboveAverage="0" equalAverage="0" bottom="0" percent="0" rank="0" text="" dxfId="421">
      <formula>$I76="Ja"</formula>
    </cfRule>
  </conditionalFormatting>
  <conditionalFormatting sqref="D76:E76">
    <cfRule type="expression" priority="84" aboveAverage="0" equalAverage="0" bottom="0" percent="0" rank="0" text="" dxfId="422">
      <formula>$I76="Nein"</formula>
    </cfRule>
    <cfRule type="expression" priority="85" aboveAverage="0" equalAverage="0" bottom="0" percent="0" rank="0" text="" dxfId="423">
      <formula>$I76="Ja"</formula>
    </cfRule>
  </conditionalFormatting>
  <conditionalFormatting sqref="D77:E77">
    <cfRule type="expression" priority="86" aboveAverage="0" equalAverage="0" bottom="0" percent="0" rank="0" text="" dxfId="424">
      <formula>$I77="Nein"</formula>
    </cfRule>
    <cfRule type="expression" priority="87" aboveAverage="0" equalAverage="0" bottom="0" percent="0" rank="0" text="" dxfId="425">
      <formula>$I77="Ja"</formula>
    </cfRule>
  </conditionalFormatting>
  <conditionalFormatting sqref="D78:E78">
    <cfRule type="expression" priority="88" aboveAverage="0" equalAverage="0" bottom="0" percent="0" rank="0" text="" dxfId="426">
      <formula>$I78="Nein"</formula>
    </cfRule>
    <cfRule type="expression" priority="89" aboveAverage="0" equalAverage="0" bottom="0" percent="0" rank="0" text="" dxfId="427">
      <formula>$I78="Ja"</formula>
    </cfRule>
  </conditionalFormatting>
  <conditionalFormatting sqref="D78:E78">
    <cfRule type="expression" priority="90" aboveAverage="0" equalAverage="0" bottom="0" percent="0" rank="0" text="" dxfId="428">
      <formula>$I78="Nein"</formula>
    </cfRule>
    <cfRule type="expression" priority="91" aboveAverage="0" equalAverage="0" bottom="0" percent="0" rank="0" text="" dxfId="429">
      <formula>$I78="Ja"</formula>
    </cfRule>
  </conditionalFormatting>
  <conditionalFormatting sqref="D79:E79">
    <cfRule type="expression" priority="92" aboveAverage="0" equalAverage="0" bottom="0" percent="0" rank="0" text="" dxfId="430">
      <formula>$I79="Nein"</formula>
    </cfRule>
    <cfRule type="expression" priority="93" aboveAverage="0" equalAverage="0" bottom="0" percent="0" rank="0" text="" dxfId="431">
      <formula>$I79="Ja"</formula>
    </cfRule>
  </conditionalFormatting>
  <conditionalFormatting sqref="E99:F99">
    <cfRule type="expression" priority="94" aboveAverage="0" equalAverage="0" bottom="0" percent="0" rank="0" text="" dxfId="432">
      <formula>$I99="Nein"</formula>
    </cfRule>
    <cfRule type="expression" priority="95" aboveAverage="0" equalAverage="0" bottom="0" percent="0" rank="0" text="" dxfId="433">
      <formula>$I99="Ja"</formula>
    </cfRule>
  </conditionalFormatting>
  <conditionalFormatting sqref="E101:F101">
    <cfRule type="expression" priority="96" aboveAverage="0" equalAverage="0" bottom="0" percent="0" rank="0" text="" dxfId="434">
      <formula>$I101="Nein"</formula>
    </cfRule>
    <cfRule type="expression" priority="97" aboveAverage="0" equalAverage="0" bottom="0" percent="0" rank="0" text="" dxfId="435">
      <formula>$I101="Ja"</formula>
    </cfRule>
  </conditionalFormatting>
  <conditionalFormatting sqref="E100:F100">
    <cfRule type="expression" priority="98" aboveAverage="0" equalAverage="0" bottom="0" percent="0" rank="0" text="" dxfId="436">
      <formula>$I100="Nein"</formula>
    </cfRule>
    <cfRule type="expression" priority="99" aboveAverage="0" equalAverage="0" bottom="0" percent="0" rank="0" text="" dxfId="437">
      <formula>$I100="Ja"</formula>
    </cfRule>
  </conditionalFormatting>
  <conditionalFormatting sqref="E102:F102">
    <cfRule type="expression" priority="100" aboveAverage="0" equalAverage="0" bottom="0" percent="0" rank="0" text="" dxfId="438">
      <formula>$I102="Nein"</formula>
    </cfRule>
    <cfRule type="expression" priority="101" aboveAverage="0" equalAverage="0" bottom="0" percent="0" rank="0" text="" dxfId="439">
      <formula>$I102="Ja"</formula>
    </cfRule>
  </conditionalFormatting>
  <conditionalFormatting sqref="E108:F108">
    <cfRule type="expression" priority="102" aboveAverage="0" equalAverage="0" bottom="0" percent="0" rank="0" text="" dxfId="440">
      <formula>$I108="Nein"</formula>
    </cfRule>
    <cfRule type="expression" priority="103" aboveAverage="0" equalAverage="0" bottom="0" percent="0" rank="0" text="" dxfId="441">
      <formula>$I108="Ja"</formula>
    </cfRule>
  </conditionalFormatting>
  <conditionalFormatting sqref="E110:F110">
    <cfRule type="expression" priority="104" aboveAverage="0" equalAverage="0" bottom="0" percent="0" rank="0" text="" dxfId="442">
      <formula>$I110="Nein"</formula>
    </cfRule>
    <cfRule type="expression" priority="105" aboveAverage="0" equalAverage="0" bottom="0" percent="0" rank="0" text="" dxfId="443">
      <formula>$I110="Ja"</formula>
    </cfRule>
  </conditionalFormatting>
  <conditionalFormatting sqref="E109:F109">
    <cfRule type="expression" priority="106" aboveAverage="0" equalAverage="0" bottom="0" percent="0" rank="0" text="" dxfId="444">
      <formula>$I109="Nein"</formula>
    </cfRule>
    <cfRule type="expression" priority="107" aboveAverage="0" equalAverage="0" bottom="0" percent="0" rank="0" text="" dxfId="445">
      <formula>$I109="Ja"</formula>
    </cfRule>
  </conditionalFormatting>
  <conditionalFormatting sqref="E111:F111">
    <cfRule type="expression" priority="108" aboveAverage="0" equalAverage="0" bottom="0" percent="0" rank="0" text="" dxfId="446">
      <formula>$I111="Nein"</formula>
    </cfRule>
    <cfRule type="expression" priority="109" aboveAverage="0" equalAverage="0" bottom="0" percent="0" rank="0" text="" dxfId="447">
      <formula>$I111="Ja"</formula>
    </cfRule>
  </conditionalFormatting>
  <conditionalFormatting sqref="E117:F117">
    <cfRule type="expression" priority="110" aboveAverage="0" equalAverage="0" bottom="0" percent="0" rank="0" text="" dxfId="448">
      <formula>$I117="Nein"</formula>
    </cfRule>
    <cfRule type="expression" priority="111" aboveAverage="0" equalAverage="0" bottom="0" percent="0" rank="0" text="" dxfId="449">
      <formula>$I117="Ja"</formula>
    </cfRule>
  </conditionalFormatting>
  <conditionalFormatting sqref="E119:F119">
    <cfRule type="expression" priority="112" aboveAverage="0" equalAverage="0" bottom="0" percent="0" rank="0" text="" dxfId="450">
      <formula>$I119="Nein"</formula>
    </cfRule>
    <cfRule type="expression" priority="113" aboveAverage="0" equalAverage="0" bottom="0" percent="0" rank="0" text="" dxfId="451">
      <formula>$I119="Ja"</formula>
    </cfRule>
  </conditionalFormatting>
  <conditionalFormatting sqref="E118:F118">
    <cfRule type="expression" priority="114" aboveAverage="0" equalAverage="0" bottom="0" percent="0" rank="0" text="" dxfId="452">
      <formula>$I118="Nein"</formula>
    </cfRule>
    <cfRule type="expression" priority="115" aboveAverage="0" equalAverage="0" bottom="0" percent="0" rank="0" text="" dxfId="453">
      <formula>$I118="Ja"</formula>
    </cfRule>
  </conditionalFormatting>
  <conditionalFormatting sqref="E120:F120">
    <cfRule type="expression" priority="116" aboveAverage="0" equalAverage="0" bottom="0" percent="0" rank="0" text="" dxfId="454">
      <formula>$I120="Nein"</formula>
    </cfRule>
    <cfRule type="expression" priority="117" aboveAverage="0" equalAverage="0" bottom="0" percent="0" rank="0" text="" dxfId="455">
      <formula>$I120="Ja"</formula>
    </cfRule>
  </conditionalFormatting>
  <conditionalFormatting sqref="E126:F126">
    <cfRule type="expression" priority="118" aboveAverage="0" equalAverage="0" bottom="0" percent="0" rank="0" text="" dxfId="456">
      <formula>$I126="Nein"</formula>
    </cfRule>
    <cfRule type="expression" priority="119" aboveAverage="0" equalAverage="0" bottom="0" percent="0" rank="0" text="" dxfId="457">
      <formula>$I126="Ja"</formula>
    </cfRule>
  </conditionalFormatting>
  <conditionalFormatting sqref="E128:F128">
    <cfRule type="expression" priority="120" aboveAverage="0" equalAverage="0" bottom="0" percent="0" rank="0" text="" dxfId="458">
      <formula>$I128="Nein"</formula>
    </cfRule>
    <cfRule type="expression" priority="121" aboveAverage="0" equalAverage="0" bottom="0" percent="0" rank="0" text="" dxfId="459">
      <formula>$I128="Ja"</formula>
    </cfRule>
  </conditionalFormatting>
  <conditionalFormatting sqref="E127:F127">
    <cfRule type="expression" priority="122" aboveAverage="0" equalAverage="0" bottom="0" percent="0" rank="0" text="" dxfId="460">
      <formula>$I127="Nein"</formula>
    </cfRule>
    <cfRule type="expression" priority="123" aboveAverage="0" equalAverage="0" bottom="0" percent="0" rank="0" text="" dxfId="461">
      <formula>$I127="Ja"</formula>
    </cfRule>
  </conditionalFormatting>
  <conditionalFormatting sqref="E129:F129">
    <cfRule type="expression" priority="124" aboveAverage="0" equalAverage="0" bottom="0" percent="0" rank="0" text="" dxfId="462">
      <formula>$I129="Nein"</formula>
    </cfRule>
    <cfRule type="expression" priority="125" aboveAverage="0" equalAverage="0" bottom="0" percent="0" rank="0" text="" dxfId="463">
      <formula>$I129="Ja"</formula>
    </cfRule>
  </conditionalFormatting>
  <conditionalFormatting sqref="D17:H17">
    <cfRule type="expression" priority="126" aboveAverage="0" equalAverage="0" bottom="0" percent="0" rank="0" text="" dxfId="464">
      <formula>$I17="Nein"</formula>
    </cfRule>
    <cfRule type="expression" priority="127" aboveAverage="0" equalAverage="0" bottom="0" percent="0" rank="0" text="" dxfId="465">
      <formula>$I17="Ja"</formula>
    </cfRule>
  </conditionalFormatting>
  <conditionalFormatting sqref="D18:H18">
    <cfRule type="expression" priority="128" aboveAverage="0" equalAverage="0" bottom="0" percent="0" rank="0" text="" dxfId="466">
      <formula>$I18="Nein"</formula>
    </cfRule>
    <cfRule type="expression" priority="129" aboveAverage="0" equalAverage="0" bottom="0" percent="0" rank="0" text="" dxfId="467">
      <formula>$I18="Ja"</formula>
    </cfRule>
  </conditionalFormatting>
  <conditionalFormatting sqref="D136:E136">
    <cfRule type="expression" priority="130" aboveAverage="0" equalAverage="0" bottom="0" percent="0" rank="0" text="" dxfId="468">
      <formula>$I136="Nein"</formula>
    </cfRule>
    <cfRule type="expression" priority="131" aboveAverage="0" equalAverage="0" bottom="0" percent="0" rank="0" text="" dxfId="469">
      <formula>$I136="Ja"</formula>
    </cfRule>
  </conditionalFormatting>
  <conditionalFormatting sqref="D138:E138">
    <cfRule type="expression" priority="132" aboveAverage="0" equalAverage="0" bottom="0" percent="0" rank="0" text="" dxfId="470">
      <formula>$I138="Nein"</formula>
    </cfRule>
    <cfRule type="expression" priority="133" aboveAverage="0" equalAverage="0" bottom="0" percent="0" rank="0" text="" dxfId="471">
      <formula>$I138="Ja"</formula>
    </cfRule>
  </conditionalFormatting>
  <dataValidations count="1">
    <dataValidation allowBlank="true" operator="between" showDropDown="false" showErrorMessage="true" showInputMessage="true" sqref="I6:I14 O17:O18"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192"/>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C23" activeCellId="0" sqref="C23"/>
    </sheetView>
  </sheetViews>
  <sheetFormatPr defaultColWidth="11.43359375" defaultRowHeight="15" zeroHeight="false" outlineLevelRow="1" outlineLevelCol="1"/>
  <cols>
    <col collapsed="false" customWidth="true" hidden="false" outlineLevel="0" max="3" min="1" style="1" width="3.71"/>
    <col collapsed="false" customWidth="true" hidden="false" outlineLevel="0" max="14" min="4" style="1" width="20.71"/>
    <col collapsed="false" customWidth="true" hidden="true" outlineLevel="1" max="18" min="15" style="1" width="20.71"/>
    <col collapsed="false" customWidth="true" hidden="false" outlineLevel="0" max="19" min="19" style="1" width="20.71"/>
    <col collapsed="false" customWidth="true" hidden="false" outlineLevel="0" max="21" min="20" style="1" width="3.71"/>
    <col collapsed="false" customWidth="true" hidden="false" outlineLevel="0" max="22" min="22" style="1" width="15.88"/>
    <col collapsed="false" customWidth="true" hidden="false" outlineLevel="0" max="24" min="23" style="1" width="20.71"/>
    <col collapsed="false" customWidth="false" hidden="false" outlineLevel="0" max="1024" min="25" style="1" width="11.42"/>
  </cols>
  <sheetData>
    <row r="1" customFormat="false" ht="15" hidden="false" customHeight="false" outlineLevel="0" collapsed="false">
      <c r="A1" s="2" t="s">
        <v>378</v>
      </c>
      <c r="B1" s="2"/>
      <c r="C1" s="2"/>
      <c r="D1" s="2"/>
      <c r="E1" s="2"/>
      <c r="F1" s="2"/>
      <c r="G1" s="2"/>
      <c r="H1" s="2"/>
      <c r="I1" s="2"/>
      <c r="J1" s="2"/>
      <c r="K1" s="2"/>
      <c r="L1" s="2"/>
      <c r="M1" s="2"/>
      <c r="N1" s="2"/>
    </row>
    <row r="2" customFormat="false" ht="15" hidden="false" customHeight="false" outlineLevel="0" collapsed="false">
      <c r="A2" s="2"/>
      <c r="B2" s="2"/>
      <c r="C2" s="2"/>
      <c r="D2" s="2"/>
      <c r="E2" s="2"/>
      <c r="F2" s="2"/>
      <c r="G2" s="2"/>
      <c r="H2" s="2"/>
      <c r="I2" s="2"/>
      <c r="J2" s="2"/>
      <c r="K2" s="2"/>
      <c r="L2" s="2"/>
      <c r="M2" s="2"/>
      <c r="N2" s="2"/>
    </row>
    <row r="3" customFormat="false" ht="20.1" hidden="false" customHeight="true" outlineLevel="0" collapsed="false"/>
    <row r="4" customFormat="false" ht="15.75" hidden="false" customHeight="false" outlineLevel="0" collapsed="false">
      <c r="B4" s="3" t="s">
        <v>379</v>
      </c>
      <c r="C4" s="3"/>
      <c r="D4" s="3"/>
      <c r="E4" s="3"/>
      <c r="F4" s="3"/>
      <c r="G4" s="3"/>
      <c r="H4" s="3"/>
      <c r="I4" s="3"/>
      <c r="K4" s="3" t="s">
        <v>2</v>
      </c>
      <c r="L4" s="3"/>
      <c r="M4" s="3"/>
      <c r="P4" s="4"/>
      <c r="Q4" s="4"/>
      <c r="R4" s="4"/>
      <c r="S4" s="5"/>
      <c r="T4" s="4"/>
      <c r="U4" s="4"/>
      <c r="V4" s="4"/>
      <c r="W4" s="4"/>
    </row>
    <row r="5" customFormat="false" ht="50.1" hidden="false" customHeight="true" outlineLevel="0" collapsed="false">
      <c r="B5" s="54" t="s">
        <v>380</v>
      </c>
      <c r="C5" s="54"/>
      <c r="D5" s="303" t="s">
        <v>4</v>
      </c>
      <c r="E5" s="9" t="s">
        <v>5</v>
      </c>
      <c r="F5" s="9" t="s">
        <v>6</v>
      </c>
      <c r="G5" s="57" t="s">
        <v>7</v>
      </c>
      <c r="H5" s="57" t="s">
        <v>8</v>
      </c>
      <c r="I5" s="9" t="s">
        <v>381</v>
      </c>
      <c r="K5" s="11" t="s">
        <v>4</v>
      </c>
      <c r="L5" s="12" t="s">
        <v>10</v>
      </c>
      <c r="M5" s="13" t="s">
        <v>11</v>
      </c>
      <c r="P5" s="5"/>
      <c r="R5" s="4"/>
      <c r="S5" s="4"/>
      <c r="T5" s="4"/>
      <c r="U5" s="5"/>
      <c r="V5" s="5"/>
    </row>
    <row r="6" customFormat="false" ht="20.1" hidden="false" customHeight="true" outlineLevel="0" collapsed="false">
      <c r="B6" s="14" t="n">
        <v>1</v>
      </c>
      <c r="C6" s="14"/>
      <c r="D6" s="18" t="s">
        <v>12</v>
      </c>
      <c r="E6" s="18" t="s">
        <v>13</v>
      </c>
      <c r="F6" s="18" t="s">
        <v>13</v>
      </c>
      <c r="G6" s="18" t="s">
        <v>13</v>
      </c>
      <c r="H6" s="18" t="s">
        <v>13</v>
      </c>
      <c r="I6" s="304" t="s">
        <v>14</v>
      </c>
      <c r="K6" s="21" t="str">
        <f aca="false">D6</f>
        <v>Jonas Röhrig</v>
      </c>
      <c r="L6" s="22" t="n">
        <v>1</v>
      </c>
      <c r="M6" s="23" t="n">
        <v>1</v>
      </c>
      <c r="P6" s="24"/>
      <c r="U6" s="24"/>
      <c r="V6" s="24"/>
    </row>
    <row r="7" customFormat="false" ht="20.1" hidden="false" customHeight="true" outlineLevel="0" collapsed="false">
      <c r="B7" s="25" t="n">
        <v>2</v>
      </c>
      <c r="C7" s="25"/>
      <c r="D7" s="32" t="s">
        <v>17</v>
      </c>
      <c r="E7" s="32" t="s">
        <v>18</v>
      </c>
      <c r="F7" s="32" t="s">
        <v>19</v>
      </c>
      <c r="G7" s="32" t="s">
        <v>19</v>
      </c>
      <c r="H7" s="32" t="s">
        <v>19</v>
      </c>
      <c r="I7" s="305" t="s">
        <v>14</v>
      </c>
      <c r="K7" s="30" t="str">
        <f aca="false">D7</f>
        <v>Judith Fulterer</v>
      </c>
      <c r="L7" s="22"/>
      <c r="M7" s="31" t="n">
        <v>2</v>
      </c>
      <c r="P7" s="24"/>
      <c r="U7" s="24"/>
      <c r="V7" s="24"/>
    </row>
    <row r="8" customFormat="false" ht="20.1" hidden="false" customHeight="true" outlineLevel="0" collapsed="false">
      <c r="B8" s="25" t="n">
        <v>3</v>
      </c>
      <c r="C8" s="25"/>
      <c r="D8" s="32" t="s">
        <v>15</v>
      </c>
      <c r="E8" s="32" t="s">
        <v>16</v>
      </c>
      <c r="F8" s="32" t="s">
        <v>16</v>
      </c>
      <c r="G8" s="32" t="s">
        <v>16</v>
      </c>
      <c r="H8" s="32" t="s">
        <v>16</v>
      </c>
      <c r="I8" s="305" t="s">
        <v>14</v>
      </c>
      <c r="K8" s="30" t="str">
        <f aca="false">D8</f>
        <v>Devid Fulterer</v>
      </c>
      <c r="L8" s="22"/>
      <c r="M8" s="31" t="n">
        <v>3</v>
      </c>
      <c r="P8" s="24"/>
      <c r="U8" s="24"/>
      <c r="V8" s="24"/>
    </row>
    <row r="9" customFormat="false" ht="20.1" hidden="false" customHeight="true" outlineLevel="0" collapsed="false">
      <c r="B9" s="25" t="n">
        <v>4</v>
      </c>
      <c r="C9" s="25"/>
      <c r="D9" s="26" t="s">
        <v>33</v>
      </c>
      <c r="E9" s="28" t="s">
        <v>34</v>
      </c>
      <c r="F9" s="38" t="s">
        <v>35</v>
      </c>
      <c r="G9" s="28" t="s">
        <v>35</v>
      </c>
      <c r="H9" s="28" t="s">
        <v>35</v>
      </c>
      <c r="I9" s="305" t="s">
        <v>14</v>
      </c>
      <c r="K9" s="35" t="str">
        <f aca="false">D9</f>
        <v>Marc Lambrecht</v>
      </c>
      <c r="L9" s="22"/>
      <c r="M9" s="36" t="n">
        <v>4</v>
      </c>
      <c r="P9" s="24"/>
      <c r="U9" s="24"/>
      <c r="V9" s="24"/>
    </row>
    <row r="10" customFormat="false" ht="20.1" hidden="false" customHeight="true" outlineLevel="0" collapsed="false">
      <c r="B10" s="25" t="n">
        <v>5</v>
      </c>
      <c r="C10" s="25"/>
      <c r="D10" s="33" t="s">
        <v>37</v>
      </c>
      <c r="E10" s="33" t="s">
        <v>38</v>
      </c>
      <c r="F10" s="34" t="s">
        <v>35</v>
      </c>
      <c r="G10" s="32" t="s">
        <v>35</v>
      </c>
      <c r="H10" s="32" t="s">
        <v>35</v>
      </c>
      <c r="I10" s="305" t="s">
        <v>14</v>
      </c>
      <c r="K10" s="21" t="str">
        <f aca="false">D10</f>
        <v>Bea Kittner</v>
      </c>
      <c r="L10" s="22" t="n">
        <v>2</v>
      </c>
      <c r="M10" s="23" t="n">
        <v>1</v>
      </c>
      <c r="P10" s="24"/>
      <c r="U10" s="24"/>
      <c r="V10" s="24"/>
    </row>
    <row r="11" customFormat="false" ht="20.1" hidden="false" customHeight="true" outlineLevel="0" collapsed="false">
      <c r="B11" s="25" t="n">
        <v>6</v>
      </c>
      <c r="C11" s="25"/>
      <c r="D11" s="33" t="s">
        <v>29</v>
      </c>
      <c r="E11" s="33" t="s">
        <v>30</v>
      </c>
      <c r="F11" s="34" t="s">
        <v>30</v>
      </c>
      <c r="G11" s="32" t="s">
        <v>30</v>
      </c>
      <c r="H11" s="32" t="s">
        <v>30</v>
      </c>
      <c r="I11" s="305" t="s">
        <v>14</v>
      </c>
      <c r="K11" s="30" t="str">
        <f aca="false">D11</f>
        <v>Kai Maibaum</v>
      </c>
      <c r="L11" s="22"/>
      <c r="M11" s="31" t="n">
        <v>2</v>
      </c>
      <c r="P11" s="24"/>
      <c r="U11" s="24"/>
      <c r="V11" s="24"/>
    </row>
    <row r="12" customFormat="false" ht="20.1" hidden="false" customHeight="true" outlineLevel="0" collapsed="false">
      <c r="B12" s="25" t="n">
        <v>7</v>
      </c>
      <c r="C12" s="25"/>
      <c r="D12" s="33" t="s">
        <v>39</v>
      </c>
      <c r="E12" s="33" t="s">
        <v>40</v>
      </c>
      <c r="F12" s="34" t="s">
        <v>40</v>
      </c>
      <c r="G12" s="32" t="s">
        <v>40</v>
      </c>
      <c r="H12" s="32" t="s">
        <v>40</v>
      </c>
      <c r="I12" s="305" t="s">
        <v>14</v>
      </c>
      <c r="K12" s="30" t="str">
        <f aca="false">D12</f>
        <v>Markus Hagenauer</v>
      </c>
      <c r="L12" s="22"/>
      <c r="M12" s="31" t="n">
        <v>3</v>
      </c>
      <c r="P12" s="24"/>
      <c r="U12" s="24"/>
      <c r="V12" s="24"/>
    </row>
    <row r="13" customFormat="false" ht="20.1" hidden="false" customHeight="true" outlineLevel="0" collapsed="false">
      <c r="B13" s="25" t="n">
        <v>8</v>
      </c>
      <c r="C13" s="25"/>
      <c r="D13" s="26" t="s">
        <v>43</v>
      </c>
      <c r="E13" s="33" t="s">
        <v>44</v>
      </c>
      <c r="F13" s="34" t="s">
        <v>44</v>
      </c>
      <c r="G13" s="32" t="s">
        <v>44</v>
      </c>
      <c r="H13" s="28" t="s">
        <v>44</v>
      </c>
      <c r="I13" s="29" t="s">
        <v>36</v>
      </c>
      <c r="K13" s="483" t="str">
        <f aca="false">D13</f>
        <v>Fabian Spaniol</v>
      </c>
      <c r="L13" s="22"/>
      <c r="M13" s="50" t="n">
        <v>4</v>
      </c>
      <c r="P13" s="24"/>
      <c r="U13" s="24"/>
      <c r="V13" s="24"/>
    </row>
    <row r="14" customFormat="false" ht="20.1" hidden="false" customHeight="true" outlineLevel="0" collapsed="false">
      <c r="B14" s="25" t="n">
        <v>9</v>
      </c>
      <c r="C14" s="25"/>
      <c r="D14" s="32" t="s">
        <v>24</v>
      </c>
      <c r="E14" s="33" t="s">
        <v>25</v>
      </c>
      <c r="F14" s="34" t="s">
        <v>26</v>
      </c>
      <c r="G14" s="32" t="s">
        <v>26</v>
      </c>
      <c r="H14" s="32" t="s">
        <v>25</v>
      </c>
      <c r="I14" s="305" t="s">
        <v>36</v>
      </c>
      <c r="K14" s="506" t="str">
        <f aca="false">D14</f>
        <v>Lisa Schätzle</v>
      </c>
      <c r="L14" s="507" t="n">
        <v>3</v>
      </c>
      <c r="M14" s="23" t="n">
        <v>1</v>
      </c>
      <c r="P14" s="24"/>
      <c r="U14" s="24"/>
      <c r="V14" s="24"/>
    </row>
    <row r="15" customFormat="false" ht="20.1" hidden="false" customHeight="true" outlineLevel="0" collapsed="false">
      <c r="B15" s="42" t="n">
        <v>10</v>
      </c>
      <c r="C15" s="42"/>
      <c r="D15" s="46" t="s">
        <v>22</v>
      </c>
      <c r="E15" s="46" t="s">
        <v>23</v>
      </c>
      <c r="F15" s="46" t="s">
        <v>23</v>
      </c>
      <c r="G15" s="46" t="s">
        <v>23</v>
      </c>
      <c r="H15" s="46" t="s">
        <v>23</v>
      </c>
      <c r="I15" s="309" t="s">
        <v>14</v>
      </c>
      <c r="K15" s="483" t="str">
        <f aca="false">D15</f>
        <v>Jérôme Schätzle</v>
      </c>
      <c r="L15" s="507"/>
      <c r="M15" s="50" t="n">
        <v>2</v>
      </c>
      <c r="P15" s="24"/>
      <c r="U15" s="24"/>
      <c r="V15" s="24"/>
    </row>
    <row r="16" customFormat="false" ht="20.1" hidden="false" customHeight="true" outlineLevel="0" collapsed="false">
      <c r="D16" s="310"/>
      <c r="E16" s="310"/>
      <c r="F16" s="311"/>
      <c r="G16" s="162"/>
      <c r="H16" s="162"/>
      <c r="I16" s="310"/>
      <c r="K16" s="51" t="s">
        <v>382</v>
      </c>
      <c r="L16" s="51"/>
      <c r="M16" s="52" t="n">
        <f aca="false">ROWS(M6:M15)</f>
        <v>10</v>
      </c>
      <c r="O16" s="4"/>
      <c r="P16" s="4"/>
      <c r="R16" s="4"/>
      <c r="S16" s="4"/>
      <c r="T16" s="4"/>
      <c r="U16" s="4"/>
    </row>
    <row r="17" customFormat="false" ht="15.75" hidden="false" customHeight="false" outlineLevel="0" collapsed="false">
      <c r="B17" s="3" t="s">
        <v>383</v>
      </c>
      <c r="C17" s="3"/>
      <c r="D17" s="3"/>
      <c r="E17" s="3"/>
      <c r="F17" s="3"/>
      <c r="G17" s="3"/>
      <c r="H17" s="3"/>
      <c r="L17" s="53"/>
      <c r="M17" s="53"/>
      <c r="N17" s="53"/>
      <c r="O17" s="5"/>
      <c r="P17" s="4"/>
      <c r="Q17" s="4"/>
      <c r="S17" s="4"/>
      <c r="T17" s="4"/>
      <c r="U17" s="4"/>
      <c r="V17" s="4"/>
    </row>
    <row r="18" customFormat="false" ht="30.75" hidden="false" customHeight="true" outlineLevel="0" collapsed="false">
      <c r="B18" s="54" t="s">
        <v>51</v>
      </c>
      <c r="C18" s="54"/>
      <c r="D18" s="55" t="s">
        <v>4</v>
      </c>
      <c r="E18" s="9" t="s">
        <v>5</v>
      </c>
      <c r="F18" s="9" t="s">
        <v>6</v>
      </c>
      <c r="G18" s="57" t="s">
        <v>7</v>
      </c>
      <c r="H18" s="57" t="s">
        <v>8</v>
      </c>
      <c r="L18" s="53"/>
      <c r="M18" s="53"/>
      <c r="N18" s="53"/>
      <c r="O18" s="5"/>
      <c r="P18" s="4"/>
      <c r="Q18" s="4"/>
      <c r="S18" s="4"/>
      <c r="T18" s="4"/>
      <c r="U18" s="4"/>
      <c r="V18" s="4"/>
    </row>
    <row r="19" customFormat="false" ht="20.1" hidden="false" customHeight="true" outlineLevel="0" collapsed="false">
      <c r="B19" s="484" t="n">
        <v>1</v>
      </c>
      <c r="C19" s="484"/>
      <c r="D19" s="18" t="s">
        <v>20</v>
      </c>
      <c r="E19" s="18" t="s">
        <v>21</v>
      </c>
      <c r="F19" s="18" t="s">
        <v>21</v>
      </c>
      <c r="G19" s="18" t="s">
        <v>21</v>
      </c>
      <c r="H19" s="485" t="s">
        <v>21</v>
      </c>
      <c r="O19" s="29" t="s">
        <v>36</v>
      </c>
      <c r="P19" s="4"/>
      <c r="Q19" s="4"/>
      <c r="S19" s="4"/>
      <c r="T19" s="4"/>
      <c r="U19" s="4"/>
      <c r="V19" s="4"/>
    </row>
    <row r="20" customFormat="false" ht="20.1" hidden="false" customHeight="true" outlineLevel="0" collapsed="false">
      <c r="B20" s="486" t="n">
        <v>2</v>
      </c>
      <c r="C20" s="486"/>
      <c r="D20" s="44" t="s">
        <v>384</v>
      </c>
      <c r="E20" s="46" t="s">
        <v>28</v>
      </c>
      <c r="F20" s="405" t="s">
        <v>28</v>
      </c>
      <c r="G20" s="46" t="s">
        <v>28</v>
      </c>
      <c r="H20" s="487" t="s">
        <v>28</v>
      </c>
      <c r="O20" s="488"/>
      <c r="P20" s="4"/>
      <c r="Q20" s="4"/>
      <c r="S20" s="4"/>
      <c r="T20" s="4"/>
      <c r="U20" s="4"/>
      <c r="V20" s="4"/>
    </row>
    <row r="21" customFormat="false" ht="20.1" hidden="false" customHeight="true" outlineLevel="0" collapsed="false">
      <c r="M21" s="53"/>
      <c r="N21" s="53"/>
      <c r="O21" s="53"/>
      <c r="P21" s="5"/>
      <c r="Q21" s="4"/>
      <c r="R21" s="4"/>
      <c r="T21" s="4"/>
      <c r="U21" s="4"/>
      <c r="V21" s="4"/>
      <c r="W21" s="4"/>
    </row>
    <row r="22" customFormat="false" ht="20.1" hidden="false" customHeight="true" outlineLevel="0" collapsed="false">
      <c r="B22" s="62"/>
      <c r="C22" s="62"/>
      <c r="D22" s="63"/>
      <c r="E22" s="63"/>
      <c r="F22" s="63"/>
      <c r="G22" s="63"/>
      <c r="H22" s="62"/>
      <c r="I22" s="62"/>
      <c r="J22" s="62"/>
      <c r="K22" s="62"/>
      <c r="L22" s="62"/>
      <c r="M22" s="62"/>
      <c r="N22" s="62"/>
      <c r="O22" s="62"/>
      <c r="P22" s="62"/>
      <c r="Q22" s="62"/>
      <c r="R22" s="62"/>
      <c r="S22" s="62"/>
      <c r="T22" s="62"/>
      <c r="U22" s="62"/>
    </row>
    <row r="23" customFormat="false" ht="30" hidden="false" customHeight="true" outlineLevel="0" collapsed="false">
      <c r="B23" s="62"/>
      <c r="C23" s="64" t="s">
        <v>52</v>
      </c>
      <c r="D23" s="64"/>
      <c r="E23" s="64"/>
      <c r="F23" s="64"/>
      <c r="G23" s="64"/>
      <c r="H23" s="64"/>
      <c r="I23" s="64"/>
      <c r="J23" s="64"/>
      <c r="K23" s="64"/>
      <c r="L23" s="64"/>
      <c r="M23" s="64"/>
      <c r="N23" s="64"/>
      <c r="O23" s="64"/>
      <c r="P23" s="64"/>
      <c r="Q23" s="64"/>
      <c r="R23" s="64"/>
      <c r="S23" s="64"/>
      <c r="T23" s="64"/>
      <c r="U23" s="62"/>
    </row>
    <row r="24" customFormat="false" ht="20.1" hidden="false" customHeight="true" outlineLevel="0" collapsed="false">
      <c r="B24" s="62"/>
      <c r="U24" s="62"/>
    </row>
    <row r="25" customFormat="false" ht="20.1" hidden="false" customHeight="true" outlineLevel="0" collapsed="false">
      <c r="B25" s="62"/>
      <c r="D25" s="65" t="s">
        <v>53</v>
      </c>
      <c r="E25" s="66" t="s">
        <v>54</v>
      </c>
      <c r="F25" s="67" t="s">
        <v>11</v>
      </c>
      <c r="G25" s="66" t="s">
        <v>55</v>
      </c>
      <c r="H25" s="66"/>
      <c r="I25" s="66"/>
      <c r="J25" s="66"/>
      <c r="K25" s="66" t="s">
        <v>56</v>
      </c>
      <c r="L25" s="68" t="s">
        <v>57</v>
      </c>
      <c r="M25" s="68"/>
      <c r="N25" s="68"/>
      <c r="O25" s="68"/>
      <c r="P25" s="68"/>
      <c r="Q25" s="68"/>
      <c r="R25" s="68"/>
      <c r="S25" s="68"/>
      <c r="U25" s="62"/>
    </row>
    <row r="26" customFormat="false" ht="20.1" hidden="false" customHeight="true" outlineLevel="0" collapsed="false">
      <c r="B26" s="62"/>
      <c r="D26" s="65"/>
      <c r="E26" s="66"/>
      <c r="F26" s="66"/>
      <c r="G26" s="317" t="s">
        <v>58</v>
      </c>
      <c r="H26" s="317" t="s">
        <v>59</v>
      </c>
      <c r="I26" s="226" t="s">
        <v>60</v>
      </c>
      <c r="J26" s="226"/>
      <c r="K26" s="69" t="s">
        <v>61</v>
      </c>
      <c r="L26" s="69" t="s">
        <v>58</v>
      </c>
      <c r="M26" s="70" t="s">
        <v>62</v>
      </c>
      <c r="N26" s="67" t="s">
        <v>60</v>
      </c>
      <c r="O26" s="67"/>
      <c r="P26" s="67"/>
      <c r="Q26" s="67"/>
      <c r="R26" s="67"/>
      <c r="S26" s="67"/>
      <c r="U26" s="62"/>
    </row>
    <row r="27" customFormat="false" ht="15" hidden="false" customHeight="true" outlineLevel="0" collapsed="false">
      <c r="B27" s="62"/>
      <c r="D27" s="318" t="s">
        <v>12</v>
      </c>
      <c r="E27" s="16" t="s">
        <v>13</v>
      </c>
      <c r="F27" s="382" t="n">
        <v>1</v>
      </c>
      <c r="G27" s="508" t="s">
        <v>70</v>
      </c>
      <c r="H27" s="509" t="s">
        <v>247</v>
      </c>
      <c r="I27" s="325" t="s">
        <v>248</v>
      </c>
      <c r="J27" s="325"/>
      <c r="K27" s="510" t="s">
        <v>72</v>
      </c>
      <c r="L27" s="458" t="s">
        <v>63</v>
      </c>
      <c r="M27" s="459" t="s">
        <v>64</v>
      </c>
      <c r="N27" s="511" t="s">
        <v>385</v>
      </c>
      <c r="O27" s="511"/>
      <c r="P27" s="511"/>
      <c r="Q27" s="511"/>
      <c r="R27" s="511"/>
      <c r="S27" s="511"/>
      <c r="U27" s="62"/>
    </row>
    <row r="28" customFormat="false" ht="15" hidden="false" customHeight="true" outlineLevel="0" collapsed="false">
      <c r="B28" s="62"/>
      <c r="D28" s="318"/>
      <c r="E28" s="16"/>
      <c r="F28" s="382"/>
      <c r="G28" s="508"/>
      <c r="H28" s="509"/>
      <c r="I28" s="360" t="s">
        <v>250</v>
      </c>
      <c r="J28" s="360"/>
      <c r="K28" s="510"/>
      <c r="L28" s="458"/>
      <c r="M28" s="459"/>
      <c r="N28" s="512" t="s">
        <v>386</v>
      </c>
      <c r="O28" s="512"/>
      <c r="P28" s="512"/>
      <c r="Q28" s="512"/>
      <c r="R28" s="512"/>
      <c r="S28" s="512"/>
      <c r="U28" s="62"/>
    </row>
    <row r="29" customFormat="false" ht="20.1" hidden="false" customHeight="true" outlineLevel="0" collapsed="false">
      <c r="B29" s="62"/>
      <c r="D29" s="326" t="s">
        <v>17</v>
      </c>
      <c r="E29" s="306" t="s">
        <v>18</v>
      </c>
      <c r="F29" s="383" t="n">
        <v>2</v>
      </c>
      <c r="G29" s="513" t="s">
        <v>387</v>
      </c>
      <c r="H29" s="514" t="s">
        <v>72</v>
      </c>
      <c r="I29" s="328" t="s">
        <v>388</v>
      </c>
      <c r="J29" s="328"/>
      <c r="K29" s="464" t="s">
        <v>111</v>
      </c>
      <c r="L29" s="330" t="s">
        <v>67</v>
      </c>
      <c r="M29" s="515" t="s">
        <v>67</v>
      </c>
      <c r="N29" s="469" t="s">
        <v>67</v>
      </c>
      <c r="O29" s="469"/>
      <c r="P29" s="469"/>
      <c r="Q29" s="469"/>
      <c r="R29" s="469"/>
      <c r="S29" s="469"/>
      <c r="U29" s="62"/>
    </row>
    <row r="30" customFormat="false" ht="15" hidden="false" customHeight="true" outlineLevel="0" collapsed="false">
      <c r="B30" s="62"/>
      <c r="D30" s="333" t="s">
        <v>15</v>
      </c>
      <c r="E30" s="33" t="s">
        <v>16</v>
      </c>
      <c r="F30" s="383" t="n">
        <v>3</v>
      </c>
      <c r="G30" s="87" t="s">
        <v>387</v>
      </c>
      <c r="H30" s="89" t="s">
        <v>389</v>
      </c>
      <c r="I30" s="335" t="s">
        <v>390</v>
      </c>
      <c r="J30" s="335"/>
      <c r="K30" s="516" t="s">
        <v>247</v>
      </c>
      <c r="L30" s="330" t="s">
        <v>67</v>
      </c>
      <c r="M30" s="331" t="s">
        <v>67</v>
      </c>
      <c r="N30" s="337" t="s">
        <v>67</v>
      </c>
      <c r="O30" s="337"/>
      <c r="P30" s="337"/>
      <c r="Q30" s="337"/>
      <c r="R30" s="337"/>
      <c r="S30" s="337"/>
      <c r="U30" s="62"/>
    </row>
    <row r="31" customFormat="false" ht="15" hidden="false" customHeight="true" outlineLevel="0" collapsed="false">
      <c r="B31" s="62"/>
      <c r="D31" s="333"/>
      <c r="E31" s="33"/>
      <c r="F31" s="383"/>
      <c r="G31" s="87"/>
      <c r="H31" s="89"/>
      <c r="I31" s="338" t="s">
        <v>391</v>
      </c>
      <c r="J31" s="338"/>
      <c r="K31" s="516"/>
      <c r="L31" s="330"/>
      <c r="M31" s="331"/>
      <c r="N31" s="337"/>
      <c r="O31" s="337"/>
      <c r="P31" s="337"/>
      <c r="Q31" s="337"/>
      <c r="R31" s="337"/>
      <c r="S31" s="337"/>
      <c r="U31" s="62"/>
    </row>
    <row r="32" customFormat="false" ht="15" hidden="false" customHeight="true" outlineLevel="0" collapsed="false">
      <c r="B32" s="62"/>
      <c r="D32" s="333"/>
      <c r="E32" s="33"/>
      <c r="F32" s="383"/>
      <c r="G32" s="87"/>
      <c r="H32" s="89"/>
      <c r="I32" s="338" t="s">
        <v>392</v>
      </c>
      <c r="J32" s="338"/>
      <c r="K32" s="516"/>
      <c r="L32" s="330"/>
      <c r="M32" s="331"/>
      <c r="N32" s="337"/>
      <c r="O32" s="337"/>
      <c r="P32" s="337"/>
      <c r="Q32" s="337"/>
      <c r="R32" s="337"/>
      <c r="S32" s="337"/>
      <c r="U32" s="62"/>
    </row>
    <row r="33" customFormat="false" ht="15" hidden="false" customHeight="true" outlineLevel="0" collapsed="false">
      <c r="B33" s="62"/>
      <c r="D33" s="333"/>
      <c r="E33" s="33"/>
      <c r="F33" s="383"/>
      <c r="G33" s="87"/>
      <c r="H33" s="89"/>
      <c r="I33" s="338" t="s">
        <v>393</v>
      </c>
      <c r="J33" s="338"/>
      <c r="K33" s="516"/>
      <c r="L33" s="330"/>
      <c r="M33" s="331"/>
      <c r="N33" s="337"/>
      <c r="O33" s="337"/>
      <c r="P33" s="337"/>
      <c r="Q33" s="337"/>
      <c r="R33" s="337"/>
      <c r="S33" s="337"/>
      <c r="U33" s="62"/>
    </row>
    <row r="34" customFormat="false" ht="15" hidden="false" customHeight="true" outlineLevel="0" collapsed="false">
      <c r="B34" s="62"/>
      <c r="D34" s="333"/>
      <c r="E34" s="33"/>
      <c r="F34" s="383"/>
      <c r="G34" s="87"/>
      <c r="H34" s="89"/>
      <c r="I34" s="357" t="s">
        <v>394</v>
      </c>
      <c r="J34" s="357"/>
      <c r="K34" s="516"/>
      <c r="L34" s="330"/>
      <c r="M34" s="331"/>
      <c r="N34" s="337"/>
      <c r="O34" s="337"/>
      <c r="P34" s="337"/>
      <c r="Q34" s="337"/>
      <c r="R34" s="337"/>
      <c r="S34" s="337"/>
      <c r="U34" s="62"/>
    </row>
    <row r="35" customFormat="false" ht="20.1" hidden="false" customHeight="true" outlineLevel="0" collapsed="false">
      <c r="B35" s="62"/>
      <c r="D35" s="517" t="s">
        <v>33</v>
      </c>
      <c r="E35" s="518" t="s">
        <v>34</v>
      </c>
      <c r="F35" s="519" t="n">
        <v>4</v>
      </c>
      <c r="G35" s="520" t="s">
        <v>387</v>
      </c>
      <c r="H35" s="521" t="s">
        <v>395</v>
      </c>
      <c r="I35" s="348" t="s">
        <v>396</v>
      </c>
      <c r="J35" s="348"/>
      <c r="K35" s="522" t="s">
        <v>247</v>
      </c>
      <c r="L35" s="523" t="s">
        <v>67</v>
      </c>
      <c r="M35" s="524" t="s">
        <v>67</v>
      </c>
      <c r="N35" s="525" t="s">
        <v>67</v>
      </c>
      <c r="O35" s="525"/>
      <c r="P35" s="525"/>
      <c r="Q35" s="525"/>
      <c r="R35" s="525"/>
      <c r="S35" s="525"/>
      <c r="U35" s="62"/>
    </row>
    <row r="36" customFormat="false" ht="20.1" hidden="false" customHeight="true" outlineLevel="0" collapsed="false">
      <c r="B36" s="62"/>
      <c r="U36" s="62"/>
    </row>
    <row r="37" customFormat="false" ht="20.1" hidden="false" customHeight="true" outlineLevel="0" collapsed="false">
      <c r="B37" s="62"/>
      <c r="C37" s="101"/>
      <c r="D37" s="101"/>
      <c r="E37" s="102" t="str">
        <f aca="false">IF(OR(M27="-",M27= ""),H27,M27)</f>
        <v>Dungeon Petz</v>
      </c>
      <c r="F37" s="102"/>
      <c r="G37" s="102"/>
      <c r="H37" s="102"/>
      <c r="I37" s="102"/>
      <c r="J37" s="102"/>
      <c r="K37" s="102"/>
      <c r="L37" s="102"/>
      <c r="M37" s="102"/>
      <c r="N37" s="102"/>
      <c r="O37" s="103"/>
      <c r="P37" s="103"/>
      <c r="Q37" s="103"/>
      <c r="R37" s="103"/>
      <c r="S37" s="103"/>
      <c r="T37" s="101"/>
      <c r="U37" s="62"/>
    </row>
    <row r="38" customFormat="false" ht="50.1" hidden="false" customHeight="true" outlineLevel="0" collapsed="false">
      <c r="B38" s="62"/>
      <c r="C38" s="101"/>
      <c r="D38" s="103"/>
      <c r="E38" s="65" t="s">
        <v>53</v>
      </c>
      <c r="F38" s="104" t="s">
        <v>76</v>
      </c>
      <c r="G38" s="67" t="s">
        <v>77</v>
      </c>
      <c r="H38" s="66" t="s">
        <v>78</v>
      </c>
      <c r="I38" s="54" t="s">
        <v>79</v>
      </c>
      <c r="J38" s="66" t="s">
        <v>80</v>
      </c>
      <c r="K38" s="105" t="s">
        <v>81</v>
      </c>
      <c r="L38" s="66" t="s">
        <v>82</v>
      </c>
      <c r="M38" s="106" t="s">
        <v>83</v>
      </c>
      <c r="N38" s="67" t="s">
        <v>84</v>
      </c>
      <c r="O38" s="107" t="s">
        <v>85</v>
      </c>
      <c r="P38" s="108" t="s">
        <v>86</v>
      </c>
      <c r="Q38" s="108" t="s">
        <v>87</v>
      </c>
      <c r="R38" s="108" t="s">
        <v>88</v>
      </c>
      <c r="S38" s="103"/>
      <c r="T38" s="101"/>
      <c r="U38" s="62"/>
    </row>
    <row r="39" customFormat="false" ht="20.1" hidden="false" customHeight="true" outlineLevel="0" collapsed="false">
      <c r="B39" s="62"/>
      <c r="C39" s="101"/>
      <c r="D39" s="101"/>
      <c r="E39" s="380" t="s">
        <v>12</v>
      </c>
      <c r="F39" s="18" t="s">
        <v>13</v>
      </c>
      <c r="G39" s="250" t="n">
        <v>3</v>
      </c>
      <c r="H39" s="250" t="s">
        <v>67</v>
      </c>
      <c r="I39" s="250" t="n">
        <v>0</v>
      </c>
      <c r="J39" s="250" t="n">
        <v>46</v>
      </c>
      <c r="K39" s="250" t="s">
        <v>67</v>
      </c>
      <c r="L39" s="253" t="n">
        <f aca="false">IF(J39="",0,(J39/J43)*100)</f>
        <v>53.4883720930233</v>
      </c>
      <c r="M39" s="250" t="n">
        <v>3</v>
      </c>
      <c r="N39" s="254" t="n">
        <v>1</v>
      </c>
      <c r="O39" s="115" t="n">
        <f aca="false">IF(M39=1,1,0)</f>
        <v>0</v>
      </c>
      <c r="P39" s="116" t="n">
        <f aca="false">IF(M39=2,1,0)</f>
        <v>0</v>
      </c>
      <c r="Q39" s="116" t="n">
        <f aca="false">IF(M39=3,1,0)</f>
        <v>1</v>
      </c>
      <c r="R39" s="117" t="n">
        <f aca="false">IF(M39=4,1,0)</f>
        <v>0</v>
      </c>
      <c r="S39" s="118"/>
      <c r="T39" s="101"/>
      <c r="U39" s="62"/>
    </row>
    <row r="40" customFormat="false" ht="20.1" hidden="false" customHeight="true" outlineLevel="0" collapsed="false">
      <c r="B40" s="62"/>
      <c r="C40" s="101"/>
      <c r="D40" s="101"/>
      <c r="E40" s="174" t="s">
        <v>17</v>
      </c>
      <c r="F40" s="175" t="s">
        <v>18</v>
      </c>
      <c r="G40" s="151" t="n">
        <v>2</v>
      </c>
      <c r="H40" s="151" t="s">
        <v>67</v>
      </c>
      <c r="I40" s="151" t="n">
        <v>0</v>
      </c>
      <c r="J40" s="151" t="n">
        <v>86</v>
      </c>
      <c r="K40" s="151" t="s">
        <v>67</v>
      </c>
      <c r="L40" s="153" t="n">
        <f aca="false">IF(J40="",0,(J40/J43)*100)</f>
        <v>100</v>
      </c>
      <c r="M40" s="151" t="n">
        <v>1</v>
      </c>
      <c r="N40" s="154" t="n">
        <v>6</v>
      </c>
      <c r="O40" s="121" t="n">
        <f aca="false">IF(M40=1,1,0)</f>
        <v>1</v>
      </c>
      <c r="P40" s="122" t="n">
        <f aca="false">IF(M40=2,1,0)</f>
        <v>0</v>
      </c>
      <c r="Q40" s="122" t="n">
        <f aca="false">IF(M40=3,1,0)</f>
        <v>0</v>
      </c>
      <c r="R40" s="123" t="n">
        <f aca="false">IF(M40=4,1,0)</f>
        <v>0</v>
      </c>
      <c r="S40" s="118"/>
      <c r="T40" s="101"/>
      <c r="U40" s="62"/>
    </row>
    <row r="41" customFormat="false" ht="20.1" hidden="false" customHeight="true" outlineLevel="0" collapsed="false">
      <c r="B41" s="62"/>
      <c r="C41" s="101"/>
      <c r="D41" s="101"/>
      <c r="E41" s="333" t="s">
        <v>15</v>
      </c>
      <c r="F41" s="32" t="s">
        <v>16</v>
      </c>
      <c r="G41" s="241" t="n">
        <v>1</v>
      </c>
      <c r="H41" s="241" t="s">
        <v>67</v>
      </c>
      <c r="I41" s="241" t="n">
        <v>0</v>
      </c>
      <c r="J41" s="241" t="n">
        <v>57</v>
      </c>
      <c r="K41" s="241" t="s">
        <v>67</v>
      </c>
      <c r="L41" s="243" t="n">
        <f aca="false">IF(J41="",0,(J41/J43)*100)</f>
        <v>66.2790697674419</v>
      </c>
      <c r="M41" s="241" t="n">
        <v>2</v>
      </c>
      <c r="N41" s="244" t="n">
        <v>3</v>
      </c>
      <c r="O41" s="121" t="n">
        <f aca="false">IF(M41=1,1,0)</f>
        <v>0</v>
      </c>
      <c r="P41" s="122" t="n">
        <f aca="false">IF(M41=2,1,0)</f>
        <v>1</v>
      </c>
      <c r="Q41" s="122" t="n">
        <f aca="false">IF(M41=3,1,0)</f>
        <v>0</v>
      </c>
      <c r="R41" s="123" t="n">
        <f aca="false">IF(M41=4,1,0)</f>
        <v>0</v>
      </c>
      <c r="S41" s="118"/>
      <c r="T41" s="101"/>
      <c r="U41" s="62"/>
    </row>
    <row r="42" customFormat="false" ht="20.1" hidden="false" customHeight="true" outlineLevel="0" collapsed="false">
      <c r="B42" s="62"/>
      <c r="C42" s="101"/>
      <c r="D42" s="124"/>
      <c r="E42" s="234" t="s">
        <v>33</v>
      </c>
      <c r="F42" s="47" t="s">
        <v>34</v>
      </c>
      <c r="G42" s="245" t="n">
        <v>4</v>
      </c>
      <c r="H42" s="245" t="s">
        <v>67</v>
      </c>
      <c r="I42" s="245" t="n">
        <v>0</v>
      </c>
      <c r="J42" s="245" t="n">
        <v>34</v>
      </c>
      <c r="K42" s="245" t="s">
        <v>67</v>
      </c>
      <c r="L42" s="247" t="n">
        <f aca="false">IF(J42="",0,(J42/J43)*100)</f>
        <v>39.5348837209302</v>
      </c>
      <c r="M42" s="245" t="n">
        <v>4</v>
      </c>
      <c r="N42" s="248" t="n">
        <v>0</v>
      </c>
      <c r="O42" s="127" t="n">
        <f aca="false">IF(M42=1,1,0)</f>
        <v>0</v>
      </c>
      <c r="P42" s="128" t="n">
        <f aca="false">IF(M42=2,1,0)</f>
        <v>0</v>
      </c>
      <c r="Q42" s="128" t="n">
        <f aca="false">IF(M42=3,1,0)</f>
        <v>0</v>
      </c>
      <c r="R42" s="129" t="n">
        <f aca="false">IF(M42=4,1,0)</f>
        <v>1</v>
      </c>
      <c r="S42" s="118"/>
      <c r="T42" s="101"/>
      <c r="U42" s="62"/>
    </row>
    <row r="43" customFormat="false" ht="20.1" hidden="true" customHeight="true" outlineLevel="1" collapsed="false">
      <c r="B43" s="62"/>
      <c r="C43" s="101"/>
      <c r="D43" s="130"/>
      <c r="E43" s="130"/>
      <c r="F43" s="131"/>
      <c r="G43" s="131"/>
      <c r="H43" s="101"/>
      <c r="I43" s="132" t="s">
        <v>89</v>
      </c>
      <c r="J43" s="133" t="n">
        <f aca="false">MAX(J39:J42)</f>
        <v>86</v>
      </c>
      <c r="K43" s="134"/>
      <c r="L43" s="135"/>
      <c r="M43" s="101"/>
      <c r="N43" s="136" t="s">
        <v>90</v>
      </c>
      <c r="O43" s="137" t="n">
        <f aca="false">SUM(O39:O42)</f>
        <v>1</v>
      </c>
      <c r="P43" s="138" t="n">
        <f aca="false">SUM(P39:P42)</f>
        <v>1</v>
      </c>
      <c r="Q43" s="137" t="n">
        <f aca="false">SUM(Q39:Q42)</f>
        <v>1</v>
      </c>
      <c r="R43" s="137" t="n">
        <f aca="false">SUM(R39:R42)</f>
        <v>1</v>
      </c>
      <c r="S43" s="139"/>
      <c r="T43" s="101"/>
      <c r="U43" s="62"/>
    </row>
    <row r="44" customFormat="false" ht="20.1" hidden="false" customHeight="true" outlineLevel="0" collapsed="false">
      <c r="B44" s="62"/>
      <c r="C44" s="101"/>
      <c r="D44" s="101"/>
      <c r="E44" s="101"/>
      <c r="F44" s="140"/>
      <c r="G44" s="140"/>
      <c r="H44" s="103"/>
      <c r="I44" s="101"/>
      <c r="J44" s="101"/>
      <c r="K44" s="101"/>
      <c r="L44" s="101"/>
      <c r="M44" s="101"/>
      <c r="N44" s="101"/>
      <c r="O44" s="101"/>
      <c r="P44" s="101"/>
      <c r="Q44" s="101"/>
      <c r="R44" s="101"/>
      <c r="S44" s="101"/>
      <c r="T44" s="101"/>
      <c r="U44" s="62"/>
    </row>
    <row r="45" customFormat="false" ht="20.1" hidden="false" customHeight="true" outlineLevel="0" collapsed="false">
      <c r="B45" s="62"/>
      <c r="U45" s="62"/>
    </row>
    <row r="46" customFormat="false" ht="20.1" hidden="false" customHeight="true" outlineLevel="0" collapsed="false">
      <c r="B46" s="62"/>
      <c r="C46" s="141"/>
      <c r="D46" s="141"/>
      <c r="E46" s="142" t="str">
        <f aca="false">IF(OR(M29="-",M29= ""),H29,M29)</f>
        <v>Nippon</v>
      </c>
      <c r="F46" s="142"/>
      <c r="G46" s="142"/>
      <c r="H46" s="142"/>
      <c r="I46" s="142"/>
      <c r="J46" s="142"/>
      <c r="K46" s="142"/>
      <c r="L46" s="142"/>
      <c r="M46" s="142"/>
      <c r="N46" s="142"/>
      <c r="O46" s="143"/>
      <c r="P46" s="143"/>
      <c r="Q46" s="143"/>
      <c r="R46" s="143"/>
      <c r="S46" s="143"/>
      <c r="T46" s="141"/>
      <c r="U46" s="62"/>
    </row>
    <row r="47" customFormat="false" ht="50.1" hidden="false" customHeight="true" outlineLevel="0" collapsed="false">
      <c r="B47" s="62"/>
      <c r="C47" s="141"/>
      <c r="D47" s="143"/>
      <c r="E47" s="65" t="s">
        <v>53</v>
      </c>
      <c r="F47" s="104" t="s">
        <v>76</v>
      </c>
      <c r="G47" s="67" t="s">
        <v>77</v>
      </c>
      <c r="H47" s="66" t="s">
        <v>78</v>
      </c>
      <c r="I47" s="54" t="s">
        <v>79</v>
      </c>
      <c r="J47" s="66" t="s">
        <v>80</v>
      </c>
      <c r="K47" s="105" t="s">
        <v>81</v>
      </c>
      <c r="L47" s="66" t="s">
        <v>82</v>
      </c>
      <c r="M47" s="106" t="s">
        <v>83</v>
      </c>
      <c r="N47" s="67" t="s">
        <v>84</v>
      </c>
      <c r="O47" s="107" t="s">
        <v>85</v>
      </c>
      <c r="P47" s="108" t="s">
        <v>86</v>
      </c>
      <c r="Q47" s="108" t="s">
        <v>87</v>
      </c>
      <c r="R47" s="108" t="s">
        <v>88</v>
      </c>
      <c r="S47" s="143"/>
      <c r="T47" s="141"/>
      <c r="U47" s="62"/>
    </row>
    <row r="48" customFormat="false" ht="20.1" hidden="false" customHeight="true" outlineLevel="0" collapsed="false">
      <c r="B48" s="62"/>
      <c r="C48" s="141"/>
      <c r="D48" s="141"/>
      <c r="E48" s="380" t="s">
        <v>12</v>
      </c>
      <c r="F48" s="18" t="s">
        <v>13</v>
      </c>
      <c r="G48" s="250" t="n">
        <v>2</v>
      </c>
      <c r="H48" s="251" t="s">
        <v>67</v>
      </c>
      <c r="I48" s="250" t="n">
        <v>11</v>
      </c>
      <c r="J48" s="251" t="n">
        <v>98</v>
      </c>
      <c r="K48" s="251" t="s">
        <v>67</v>
      </c>
      <c r="L48" s="253" t="n">
        <f aca="false">IF(J48="",0,(J48/J52)*100)</f>
        <v>45.5813953488372</v>
      </c>
      <c r="M48" s="250" t="n">
        <v>4</v>
      </c>
      <c r="N48" s="254" t="n">
        <v>0</v>
      </c>
      <c r="O48" s="115" t="n">
        <f aca="false">IF(M48=1,1,0)</f>
        <v>0</v>
      </c>
      <c r="P48" s="116" t="n">
        <f aca="false">IF(M48=2,1,0)</f>
        <v>0</v>
      </c>
      <c r="Q48" s="116" t="n">
        <f aca="false">IF(M48=3,1,0)</f>
        <v>0</v>
      </c>
      <c r="R48" s="117" t="n">
        <f aca="false">IF(M48=4,1,0)</f>
        <v>1</v>
      </c>
      <c r="S48" s="147"/>
      <c r="T48" s="141"/>
      <c r="U48" s="62"/>
    </row>
    <row r="49" customFormat="false" ht="20.1" hidden="false" customHeight="true" outlineLevel="0" collapsed="false">
      <c r="B49" s="62"/>
      <c r="C49" s="141"/>
      <c r="D49" s="148"/>
      <c r="E49" s="174" t="s">
        <v>17</v>
      </c>
      <c r="F49" s="175" t="s">
        <v>18</v>
      </c>
      <c r="G49" s="151" t="n">
        <v>3</v>
      </c>
      <c r="H49" s="152" t="s">
        <v>67</v>
      </c>
      <c r="I49" s="151" t="n">
        <v>12</v>
      </c>
      <c r="J49" s="152" t="n">
        <v>215</v>
      </c>
      <c r="K49" s="152" t="s">
        <v>67</v>
      </c>
      <c r="L49" s="153" t="n">
        <f aca="false">IF(J49="",0,(J49/J52)*100)</f>
        <v>100</v>
      </c>
      <c r="M49" s="151" t="n">
        <v>1</v>
      </c>
      <c r="N49" s="154" t="n">
        <v>6</v>
      </c>
      <c r="O49" s="121" t="n">
        <f aca="false">IF(M49=1,1,0)</f>
        <v>1</v>
      </c>
      <c r="P49" s="122" t="n">
        <f aca="false">IF(M49=2,1,0)</f>
        <v>0</v>
      </c>
      <c r="Q49" s="122" t="n">
        <f aca="false">IF(M49=3,1,0)</f>
        <v>0</v>
      </c>
      <c r="R49" s="123" t="n">
        <f aca="false">IF(M49=4,1,0)</f>
        <v>0</v>
      </c>
      <c r="S49" s="147"/>
      <c r="T49" s="141"/>
      <c r="U49" s="62"/>
    </row>
    <row r="50" customFormat="false" ht="20.1" hidden="false" customHeight="true" outlineLevel="0" collapsed="false">
      <c r="B50" s="62"/>
      <c r="C50" s="141"/>
      <c r="D50" s="141"/>
      <c r="E50" s="333" t="s">
        <v>15</v>
      </c>
      <c r="F50" s="32" t="s">
        <v>16</v>
      </c>
      <c r="G50" s="241" t="n">
        <v>4</v>
      </c>
      <c r="H50" s="242" t="s">
        <v>67</v>
      </c>
      <c r="I50" s="241" t="n">
        <v>13</v>
      </c>
      <c r="J50" s="242" t="n">
        <v>164</v>
      </c>
      <c r="K50" s="242" t="s">
        <v>67</v>
      </c>
      <c r="L50" s="243" t="n">
        <f aca="false">IF(J50="",0,(J50/J52)*100)</f>
        <v>76.2790697674419</v>
      </c>
      <c r="M50" s="241" t="n">
        <v>3</v>
      </c>
      <c r="N50" s="244" t="n">
        <v>1</v>
      </c>
      <c r="O50" s="121" t="n">
        <f aca="false">IF(M50=1,1,0)</f>
        <v>0</v>
      </c>
      <c r="P50" s="122" t="n">
        <f aca="false">IF(M50=2,1,0)</f>
        <v>0</v>
      </c>
      <c r="Q50" s="122" t="n">
        <f aca="false">IF(M50=3,1,0)</f>
        <v>1</v>
      </c>
      <c r="R50" s="123" t="n">
        <f aca="false">IF(M50=4,1,0)</f>
        <v>0</v>
      </c>
      <c r="S50" s="147"/>
      <c r="T50" s="141"/>
      <c r="U50" s="62"/>
    </row>
    <row r="51" customFormat="false" ht="20.1" hidden="false" customHeight="true" outlineLevel="0" collapsed="false">
      <c r="B51" s="62"/>
      <c r="C51" s="141"/>
      <c r="D51" s="141"/>
      <c r="E51" s="234" t="s">
        <v>33</v>
      </c>
      <c r="F51" s="47" t="s">
        <v>34</v>
      </c>
      <c r="G51" s="245" t="n">
        <v>1</v>
      </c>
      <c r="H51" s="246" t="s">
        <v>67</v>
      </c>
      <c r="I51" s="245" t="n">
        <v>10</v>
      </c>
      <c r="J51" s="246" t="n">
        <v>180</v>
      </c>
      <c r="K51" s="245" t="s">
        <v>67</v>
      </c>
      <c r="L51" s="247" t="n">
        <f aca="false">IF(J51="",0,(J51/J52)*100)</f>
        <v>83.7209302325581</v>
      </c>
      <c r="M51" s="245" t="n">
        <v>2</v>
      </c>
      <c r="N51" s="248" t="n">
        <v>3</v>
      </c>
      <c r="O51" s="127" t="n">
        <f aca="false">IF(M51=1,1,0)</f>
        <v>0</v>
      </c>
      <c r="P51" s="128" t="n">
        <f aca="false">IF(M51=2,1,0)</f>
        <v>1</v>
      </c>
      <c r="Q51" s="128" t="n">
        <f aca="false">IF(M51=3,1,0)</f>
        <v>0</v>
      </c>
      <c r="R51" s="129" t="n">
        <f aca="false">IF(M51=4,1,0)</f>
        <v>0</v>
      </c>
      <c r="S51" s="147"/>
      <c r="T51" s="141"/>
      <c r="U51" s="62"/>
    </row>
    <row r="52" customFormat="false" ht="20.1" hidden="true" customHeight="true" outlineLevel="1" collapsed="false">
      <c r="B52" s="62"/>
      <c r="C52" s="141"/>
      <c r="D52" s="141"/>
      <c r="E52" s="141"/>
      <c r="F52" s="157"/>
      <c r="G52" s="157"/>
      <c r="H52" s="141"/>
      <c r="I52" s="158" t="s">
        <v>89</v>
      </c>
      <c r="J52" s="133" t="n">
        <f aca="false">MAX(J48:J51)</f>
        <v>215</v>
      </c>
      <c r="K52" s="159"/>
      <c r="L52" s="147"/>
      <c r="M52" s="141"/>
      <c r="N52" s="136" t="s">
        <v>90</v>
      </c>
      <c r="O52" s="137" t="n">
        <f aca="false">SUM(O48:O51)</f>
        <v>1</v>
      </c>
      <c r="P52" s="138" t="n">
        <f aca="false">SUM(P48:P51)</f>
        <v>1</v>
      </c>
      <c r="Q52" s="137" t="n">
        <f aca="false">SUM(Q48:Q51)</f>
        <v>1</v>
      </c>
      <c r="R52" s="160" t="n">
        <f aca="false">SUM(R48:R51)</f>
        <v>1</v>
      </c>
      <c r="S52" s="161"/>
      <c r="T52" s="141"/>
      <c r="U52" s="62"/>
    </row>
    <row r="53" customFormat="false" ht="20.1" hidden="false" customHeight="true" outlineLevel="0" collapsed="false">
      <c r="B53" s="62"/>
      <c r="C53" s="141"/>
      <c r="D53" s="141"/>
      <c r="E53" s="141"/>
      <c r="F53" s="141"/>
      <c r="G53" s="141"/>
      <c r="H53" s="141"/>
      <c r="I53" s="141"/>
      <c r="J53" s="141"/>
      <c r="K53" s="141"/>
      <c r="L53" s="141"/>
      <c r="M53" s="141"/>
      <c r="N53" s="141"/>
      <c r="O53" s="141"/>
      <c r="P53" s="141"/>
      <c r="Q53" s="141"/>
      <c r="R53" s="141"/>
      <c r="S53" s="141"/>
      <c r="T53" s="141"/>
      <c r="U53" s="62"/>
    </row>
    <row r="54" customFormat="false" ht="20.1" hidden="false" customHeight="true" outlineLevel="0" collapsed="false">
      <c r="B54" s="62"/>
      <c r="D54" s="162"/>
      <c r="E54" s="162"/>
      <c r="F54" s="162"/>
      <c r="G54" s="162"/>
      <c r="H54" s="163"/>
      <c r="I54" s="162"/>
      <c r="J54" s="162"/>
      <c r="U54" s="62"/>
    </row>
    <row r="55" customFormat="false" ht="20.1" hidden="false" customHeight="true" outlineLevel="0" collapsed="false">
      <c r="B55" s="62"/>
      <c r="C55" s="164"/>
      <c r="D55" s="164"/>
      <c r="E55" s="165" t="str">
        <f aca="false">IF(OR(M30="-",M30= ""),H30,M30)</f>
        <v>Great Western Trail</v>
      </c>
      <c r="F55" s="165"/>
      <c r="G55" s="165"/>
      <c r="H55" s="165"/>
      <c r="I55" s="165"/>
      <c r="J55" s="165"/>
      <c r="K55" s="165"/>
      <c r="L55" s="165"/>
      <c r="M55" s="165"/>
      <c r="N55" s="165"/>
      <c r="O55" s="166"/>
      <c r="P55" s="166"/>
      <c r="Q55" s="166"/>
      <c r="R55" s="166"/>
      <c r="S55" s="166"/>
      <c r="T55" s="164"/>
      <c r="U55" s="167"/>
      <c r="V55" s="168"/>
      <c r="W55" s="168"/>
    </row>
    <row r="56" customFormat="false" ht="50.1" hidden="false" customHeight="true" outlineLevel="0" collapsed="false">
      <c r="B56" s="62"/>
      <c r="C56" s="164"/>
      <c r="D56" s="166"/>
      <c r="E56" s="65" t="s">
        <v>53</v>
      </c>
      <c r="F56" s="104" t="s">
        <v>76</v>
      </c>
      <c r="G56" s="67" t="s">
        <v>77</v>
      </c>
      <c r="H56" s="66" t="s">
        <v>78</v>
      </c>
      <c r="I56" s="54" t="s">
        <v>79</v>
      </c>
      <c r="J56" s="66" t="s">
        <v>80</v>
      </c>
      <c r="K56" s="105" t="s">
        <v>81</v>
      </c>
      <c r="L56" s="66" t="s">
        <v>82</v>
      </c>
      <c r="M56" s="106" t="s">
        <v>83</v>
      </c>
      <c r="N56" s="67" t="s">
        <v>84</v>
      </c>
      <c r="O56" s="107" t="s">
        <v>85</v>
      </c>
      <c r="P56" s="108" t="s">
        <v>86</v>
      </c>
      <c r="Q56" s="108" t="s">
        <v>87</v>
      </c>
      <c r="R56" s="13" t="s">
        <v>88</v>
      </c>
      <c r="S56" s="166"/>
      <c r="T56" s="164"/>
      <c r="U56" s="167"/>
      <c r="V56" s="168"/>
      <c r="W56" s="168"/>
    </row>
    <row r="57" customFormat="false" ht="20.1" hidden="false" customHeight="true" outlineLevel="0" collapsed="false">
      <c r="B57" s="62"/>
      <c r="C57" s="164"/>
      <c r="D57" s="164"/>
      <c r="E57" s="380" t="s">
        <v>12</v>
      </c>
      <c r="F57" s="18" t="s">
        <v>13</v>
      </c>
      <c r="G57" s="250" t="n">
        <v>3</v>
      </c>
      <c r="H57" s="251" t="s">
        <v>67</v>
      </c>
      <c r="I57" s="250" t="n">
        <v>0</v>
      </c>
      <c r="J57" s="299" t="n">
        <v>38</v>
      </c>
      <c r="K57" s="250" t="s">
        <v>67</v>
      </c>
      <c r="L57" s="253" t="n">
        <f aca="false">IF(J57="",0,(J57/J61)*100)</f>
        <v>37.6237623762376</v>
      </c>
      <c r="M57" s="250" t="n">
        <v>4</v>
      </c>
      <c r="N57" s="254" t="n">
        <v>0</v>
      </c>
      <c r="O57" s="115" t="n">
        <f aca="false">IF(M57=1,1,0)</f>
        <v>0</v>
      </c>
      <c r="P57" s="116" t="n">
        <f aca="false">IF(M57=2,1,0)</f>
        <v>0</v>
      </c>
      <c r="Q57" s="116" t="n">
        <f aca="false">IF(M57=3,1,0)</f>
        <v>0</v>
      </c>
      <c r="R57" s="117" t="n">
        <f aca="false">IF(M57=4,1,0)</f>
        <v>1</v>
      </c>
      <c r="S57" s="170"/>
      <c r="T57" s="164"/>
      <c r="U57" s="62"/>
    </row>
    <row r="58" customFormat="false" ht="20.1" hidden="false" customHeight="true" outlineLevel="0" collapsed="false">
      <c r="B58" s="62"/>
      <c r="C58" s="164"/>
      <c r="D58" s="171"/>
      <c r="E58" s="174" t="s">
        <v>17</v>
      </c>
      <c r="F58" s="175" t="s">
        <v>18</v>
      </c>
      <c r="G58" s="151" t="n">
        <v>1</v>
      </c>
      <c r="H58" s="151" t="s">
        <v>67</v>
      </c>
      <c r="I58" s="151" t="n">
        <v>0</v>
      </c>
      <c r="J58" s="176" t="n">
        <v>101</v>
      </c>
      <c r="K58" s="151" t="s">
        <v>67</v>
      </c>
      <c r="L58" s="153" t="n">
        <f aca="false">IF(J58="",0,(J58/J61)*100)</f>
        <v>100</v>
      </c>
      <c r="M58" s="151" t="n">
        <v>1</v>
      </c>
      <c r="N58" s="154" t="n">
        <v>6</v>
      </c>
      <c r="O58" s="121" t="n">
        <f aca="false">IF(M58=1,1,0)</f>
        <v>1</v>
      </c>
      <c r="P58" s="122" t="n">
        <f aca="false">IF(M58=2,1,0)</f>
        <v>0</v>
      </c>
      <c r="Q58" s="122" t="n">
        <f aca="false">IF(M58=3,1,0)</f>
        <v>0</v>
      </c>
      <c r="R58" s="123" t="n">
        <f aca="false">IF(M58=4,1,0)</f>
        <v>0</v>
      </c>
      <c r="S58" s="170"/>
      <c r="T58" s="164"/>
      <c r="U58" s="173"/>
    </row>
    <row r="59" customFormat="false" ht="20.1" hidden="false" customHeight="true" outlineLevel="0" collapsed="false">
      <c r="B59" s="62"/>
      <c r="C59" s="164"/>
      <c r="D59" s="164"/>
      <c r="E59" s="333" t="s">
        <v>15</v>
      </c>
      <c r="F59" s="32" t="s">
        <v>16</v>
      </c>
      <c r="G59" s="241" t="n">
        <v>2</v>
      </c>
      <c r="H59" s="242" t="s">
        <v>67</v>
      </c>
      <c r="I59" s="241" t="n">
        <v>0</v>
      </c>
      <c r="J59" s="300" t="n">
        <v>89</v>
      </c>
      <c r="K59" s="241" t="s">
        <v>67</v>
      </c>
      <c r="L59" s="243" t="n">
        <f aca="false">IF(J59="",0,(J59/J61)*100)</f>
        <v>88.1188118811881</v>
      </c>
      <c r="M59" s="241" t="n">
        <v>2</v>
      </c>
      <c r="N59" s="244" t="n">
        <v>3</v>
      </c>
      <c r="O59" s="121" t="n">
        <f aca="false">IF(M59=1,1,0)</f>
        <v>0</v>
      </c>
      <c r="P59" s="122" t="n">
        <f aca="false">IF(M59=2,1,0)</f>
        <v>1</v>
      </c>
      <c r="Q59" s="122" t="n">
        <f aca="false">IF(M59=3,1,0)</f>
        <v>0</v>
      </c>
      <c r="R59" s="123" t="n">
        <f aca="false">IF(M59=4,1,0)</f>
        <v>0</v>
      </c>
      <c r="S59" s="170"/>
      <c r="T59" s="164"/>
      <c r="U59" s="173"/>
    </row>
    <row r="60" customFormat="false" ht="20.1" hidden="false" customHeight="true" outlineLevel="0" collapsed="false">
      <c r="B60" s="62"/>
      <c r="C60" s="164"/>
      <c r="D60" s="164"/>
      <c r="E60" s="234" t="s">
        <v>33</v>
      </c>
      <c r="F60" s="47" t="s">
        <v>34</v>
      </c>
      <c r="G60" s="245" t="n">
        <v>4</v>
      </c>
      <c r="H60" s="246" t="s">
        <v>67</v>
      </c>
      <c r="I60" s="245" t="n">
        <v>0</v>
      </c>
      <c r="J60" s="418" t="n">
        <v>66</v>
      </c>
      <c r="K60" s="245" t="s">
        <v>67</v>
      </c>
      <c r="L60" s="247" t="n">
        <f aca="false">IF(J60="",0,(J60/J61)*100)</f>
        <v>65.3465346534654</v>
      </c>
      <c r="M60" s="245" t="n">
        <v>3</v>
      </c>
      <c r="N60" s="248" t="n">
        <v>1</v>
      </c>
      <c r="O60" s="127" t="n">
        <f aca="false">IF(M60=1,1,0)</f>
        <v>0</v>
      </c>
      <c r="P60" s="128" t="n">
        <f aca="false">IF(M60=2,1,0)</f>
        <v>0</v>
      </c>
      <c r="Q60" s="128" t="n">
        <f aca="false">IF(M60=3,1,0)</f>
        <v>1</v>
      </c>
      <c r="R60" s="129" t="n">
        <f aca="false">IF(M60=4,1,0)</f>
        <v>0</v>
      </c>
      <c r="S60" s="170"/>
      <c r="T60" s="164"/>
      <c r="U60" s="173"/>
    </row>
    <row r="61" customFormat="false" ht="20.1" hidden="true" customHeight="true" outlineLevel="1" collapsed="false">
      <c r="B61" s="62"/>
      <c r="C61" s="164"/>
      <c r="D61" s="164"/>
      <c r="E61" s="164"/>
      <c r="F61" s="178"/>
      <c r="G61" s="178"/>
      <c r="H61" s="164"/>
      <c r="I61" s="179" t="s">
        <v>89</v>
      </c>
      <c r="J61" s="133" t="n">
        <f aca="false">MAX(J57:J60)</f>
        <v>101</v>
      </c>
      <c r="K61" s="180"/>
      <c r="L61" s="170"/>
      <c r="M61" s="164"/>
      <c r="N61" s="136"/>
      <c r="O61" s="137" t="n">
        <f aca="false">SUM(O57:O60)</f>
        <v>1</v>
      </c>
      <c r="P61" s="138" t="n">
        <f aca="false">SUM(P57:P60)</f>
        <v>1</v>
      </c>
      <c r="Q61" s="137" t="n">
        <f aca="false">SUM(Q57:Q60)</f>
        <v>1</v>
      </c>
      <c r="R61" s="160" t="n">
        <f aca="false">SUM(R57:R60)</f>
        <v>1</v>
      </c>
      <c r="S61" s="181"/>
      <c r="T61" s="164"/>
      <c r="U61" s="173"/>
    </row>
    <row r="62" customFormat="false" ht="20.1" hidden="false" customHeight="true" outlineLevel="0" collapsed="false">
      <c r="B62" s="62"/>
      <c r="C62" s="164"/>
      <c r="D62" s="164"/>
      <c r="E62" s="164"/>
      <c r="F62" s="164"/>
      <c r="G62" s="164"/>
      <c r="H62" s="164"/>
      <c r="I62" s="164"/>
      <c r="J62" s="164"/>
      <c r="K62" s="164"/>
      <c r="L62" s="164"/>
      <c r="M62" s="164"/>
      <c r="N62" s="164"/>
      <c r="O62" s="164"/>
      <c r="P62" s="164"/>
      <c r="Q62" s="164"/>
      <c r="R62" s="164"/>
      <c r="S62" s="164"/>
      <c r="T62" s="164"/>
      <c r="U62" s="173"/>
    </row>
    <row r="63" customFormat="false" ht="20.1" hidden="false" customHeight="true" outlineLevel="0" collapsed="false">
      <c r="B63" s="62"/>
      <c r="D63" s="162"/>
      <c r="E63" s="162"/>
      <c r="F63" s="162"/>
      <c r="G63" s="162"/>
      <c r="H63" s="163"/>
      <c r="I63" s="162"/>
      <c r="J63" s="162"/>
      <c r="K63" s="162"/>
      <c r="U63" s="62"/>
    </row>
    <row r="64" customFormat="false" ht="20.1" hidden="false" customHeight="true" outlineLevel="0" collapsed="false">
      <c r="B64" s="62"/>
      <c r="C64" s="182"/>
      <c r="D64" s="182"/>
      <c r="E64" s="183" t="str">
        <f aca="false">IF(OR(M35="-",M35= ""),H35,M35)</f>
        <v>Hearts</v>
      </c>
      <c r="F64" s="183"/>
      <c r="G64" s="183"/>
      <c r="H64" s="183"/>
      <c r="I64" s="183"/>
      <c r="J64" s="183"/>
      <c r="K64" s="183"/>
      <c r="L64" s="183"/>
      <c r="M64" s="183"/>
      <c r="N64" s="183"/>
      <c r="O64" s="184"/>
      <c r="P64" s="184"/>
      <c r="Q64" s="184"/>
      <c r="R64" s="184"/>
      <c r="S64" s="184"/>
      <c r="T64" s="182"/>
      <c r="U64" s="62"/>
    </row>
    <row r="65" customFormat="false" ht="50.1" hidden="false" customHeight="true" outlineLevel="0" collapsed="false">
      <c r="B65" s="62"/>
      <c r="C65" s="182"/>
      <c r="D65" s="184"/>
      <c r="E65" s="65" t="s">
        <v>53</v>
      </c>
      <c r="F65" s="104" t="s">
        <v>76</v>
      </c>
      <c r="G65" s="67" t="s">
        <v>77</v>
      </c>
      <c r="H65" s="66" t="s">
        <v>78</v>
      </c>
      <c r="I65" s="54" t="s">
        <v>79</v>
      </c>
      <c r="J65" s="66" t="s">
        <v>80</v>
      </c>
      <c r="K65" s="105" t="s">
        <v>81</v>
      </c>
      <c r="L65" s="66" t="s">
        <v>82</v>
      </c>
      <c r="M65" s="106" t="s">
        <v>83</v>
      </c>
      <c r="N65" s="67" t="s">
        <v>84</v>
      </c>
      <c r="O65" s="107" t="s">
        <v>85</v>
      </c>
      <c r="P65" s="108" t="s">
        <v>86</v>
      </c>
      <c r="Q65" s="108" t="s">
        <v>87</v>
      </c>
      <c r="R65" s="13" t="s">
        <v>88</v>
      </c>
      <c r="S65" s="184"/>
      <c r="T65" s="182"/>
      <c r="U65" s="62"/>
    </row>
    <row r="66" customFormat="false" ht="20.1" hidden="false" customHeight="true" outlineLevel="0" collapsed="false">
      <c r="B66" s="62"/>
      <c r="C66" s="182"/>
      <c r="D66" s="182"/>
      <c r="E66" s="380" t="s">
        <v>12</v>
      </c>
      <c r="F66" s="18" t="s">
        <v>13</v>
      </c>
      <c r="G66" s="250" t="s">
        <v>67</v>
      </c>
      <c r="H66" s="250" t="s">
        <v>67</v>
      </c>
      <c r="I66" s="250" t="n">
        <v>100</v>
      </c>
      <c r="J66" s="250" t="n">
        <v>-8</v>
      </c>
      <c r="K66" s="250" t="s">
        <v>67</v>
      </c>
      <c r="L66" s="253" t="n">
        <f aca="false">(I66+J66)/(I66+$J$69)*100</f>
        <v>80</v>
      </c>
      <c r="M66" s="250" t="n">
        <v>4</v>
      </c>
      <c r="N66" s="254" t="n">
        <v>0</v>
      </c>
      <c r="O66" s="115" t="n">
        <f aca="false">IF(M66=1,1,0)</f>
        <v>0</v>
      </c>
      <c r="P66" s="116" t="n">
        <f aca="false">IF(M66=2,1,0)</f>
        <v>0</v>
      </c>
      <c r="Q66" s="116" t="n">
        <f aca="false">IF(M66=3,1,0)</f>
        <v>0</v>
      </c>
      <c r="R66" s="117" t="n">
        <f aca="false">IF(M66=4,1,0)</f>
        <v>1</v>
      </c>
      <c r="S66" s="185"/>
      <c r="T66" s="182"/>
      <c r="U66" s="62"/>
    </row>
    <row r="67" customFormat="false" ht="20.1" hidden="false" customHeight="true" outlineLevel="0" collapsed="false">
      <c r="B67" s="62"/>
      <c r="C67" s="182"/>
      <c r="D67" s="182"/>
      <c r="E67" s="333" t="s">
        <v>17</v>
      </c>
      <c r="F67" s="32" t="s">
        <v>18</v>
      </c>
      <c r="G67" s="241" t="s">
        <v>67</v>
      </c>
      <c r="H67" s="241" t="s">
        <v>67</v>
      </c>
      <c r="I67" s="241" t="n">
        <v>100</v>
      </c>
      <c r="J67" s="241" t="n">
        <v>-7</v>
      </c>
      <c r="K67" s="241" t="s">
        <v>67</v>
      </c>
      <c r="L67" s="243" t="n">
        <f aca="false">(I67+J67)/(I67+$J$69)*100</f>
        <v>80.8695652173913</v>
      </c>
      <c r="M67" s="241" t="n">
        <v>3</v>
      </c>
      <c r="N67" s="244" t="n">
        <v>1</v>
      </c>
      <c r="O67" s="121" t="n">
        <f aca="false">IF(M67=1,1,0)</f>
        <v>0</v>
      </c>
      <c r="P67" s="122" t="n">
        <f aca="false">IF(M67=2,1,0)</f>
        <v>0</v>
      </c>
      <c r="Q67" s="122" t="n">
        <f aca="false">IF(M67=3,1,0)</f>
        <v>1</v>
      </c>
      <c r="R67" s="123" t="n">
        <f aca="false">IF(M67=4,1,0)</f>
        <v>0</v>
      </c>
      <c r="S67" s="185"/>
      <c r="T67" s="182"/>
      <c r="U67" s="62"/>
    </row>
    <row r="68" customFormat="false" ht="20.1" hidden="false" customHeight="true" outlineLevel="0" collapsed="false">
      <c r="B68" s="62"/>
      <c r="C68" s="182"/>
      <c r="D68" s="182"/>
      <c r="E68" s="333" t="s">
        <v>15</v>
      </c>
      <c r="F68" s="32" t="s">
        <v>16</v>
      </c>
      <c r="G68" s="241" t="s">
        <v>67</v>
      </c>
      <c r="H68" s="241" t="s">
        <v>67</v>
      </c>
      <c r="I68" s="241" t="n">
        <v>100</v>
      </c>
      <c r="J68" s="241" t="n">
        <v>10</v>
      </c>
      <c r="K68" s="241" t="s">
        <v>67</v>
      </c>
      <c r="L68" s="243" t="n">
        <f aca="false">(I68+J68)/(I68+$J$69)*100</f>
        <v>95.6521739130435</v>
      </c>
      <c r="M68" s="241" t="n">
        <v>2</v>
      </c>
      <c r="N68" s="244" t="n">
        <v>3</v>
      </c>
      <c r="O68" s="121" t="n">
        <f aca="false">IF(M68=1,1,0)</f>
        <v>0</v>
      </c>
      <c r="P68" s="122" t="n">
        <f aca="false">IF(M68=2,1,0)</f>
        <v>1</v>
      </c>
      <c r="Q68" s="122" t="n">
        <f aca="false">IF(M68=3,1,0)</f>
        <v>0</v>
      </c>
      <c r="R68" s="123" t="n">
        <f aca="false">IF(M68=4,1,0)</f>
        <v>0</v>
      </c>
      <c r="S68" s="185"/>
      <c r="T68" s="182"/>
      <c r="U68" s="62"/>
    </row>
    <row r="69" customFormat="false" ht="20.1" hidden="false" customHeight="true" outlineLevel="0" collapsed="false">
      <c r="B69" s="62"/>
      <c r="C69" s="182"/>
      <c r="D69" s="186"/>
      <c r="E69" s="293" t="s">
        <v>33</v>
      </c>
      <c r="F69" s="501" t="s">
        <v>34</v>
      </c>
      <c r="G69" s="295" t="s">
        <v>67</v>
      </c>
      <c r="H69" s="295" t="s">
        <v>67</v>
      </c>
      <c r="I69" s="295" t="n">
        <v>100</v>
      </c>
      <c r="J69" s="295" t="n">
        <v>15</v>
      </c>
      <c r="K69" s="295" t="s">
        <v>67</v>
      </c>
      <c r="L69" s="297" t="n">
        <f aca="false">(I69+J69)/(I69+$J$69)*100</f>
        <v>100</v>
      </c>
      <c r="M69" s="295" t="n">
        <v>1</v>
      </c>
      <c r="N69" s="298" t="n">
        <v>6</v>
      </c>
      <c r="O69" s="127" t="n">
        <f aca="false">IF(M69=1,1,0)</f>
        <v>1</v>
      </c>
      <c r="P69" s="128" t="n">
        <f aca="false">IF(M69=2,1,0)</f>
        <v>0</v>
      </c>
      <c r="Q69" s="128" t="n">
        <f aca="false">IF(M69=3,1,0)</f>
        <v>0</v>
      </c>
      <c r="R69" s="129" t="n">
        <f aca="false">IF(M69=4,1,0)</f>
        <v>0</v>
      </c>
      <c r="S69" s="185"/>
      <c r="T69" s="182"/>
      <c r="U69" s="62"/>
    </row>
    <row r="70" customFormat="false" ht="20.1" hidden="true" customHeight="true" outlineLevel="1" collapsed="false">
      <c r="B70" s="62"/>
      <c r="C70" s="182"/>
      <c r="D70" s="182"/>
      <c r="E70" s="182"/>
      <c r="F70" s="187"/>
      <c r="G70" s="187"/>
      <c r="H70" s="182"/>
      <c r="I70" s="158" t="s">
        <v>89</v>
      </c>
      <c r="J70" s="133" t="n">
        <f aca="false">MAX(J66:J69)</f>
        <v>15</v>
      </c>
      <c r="K70" s="188"/>
      <c r="L70" s="185"/>
      <c r="M70" s="182"/>
      <c r="N70" s="136" t="s">
        <v>90</v>
      </c>
      <c r="O70" s="137" t="n">
        <f aca="false">SUM(O66:O69)</f>
        <v>1</v>
      </c>
      <c r="P70" s="138" t="n">
        <f aca="false">SUM(P66:P69)</f>
        <v>1</v>
      </c>
      <c r="Q70" s="137" t="n">
        <f aca="false">SUM(Q66:Q69)</f>
        <v>1</v>
      </c>
      <c r="R70" s="160" t="n">
        <f aca="false">SUM(R66:R69)</f>
        <v>1</v>
      </c>
      <c r="S70" s="189"/>
      <c r="T70" s="182"/>
      <c r="U70" s="62"/>
    </row>
    <row r="71" customFormat="false" ht="20.1" hidden="false" customHeight="true" outlineLevel="0" collapsed="false">
      <c r="B71" s="62"/>
      <c r="C71" s="182"/>
      <c r="D71" s="182"/>
      <c r="E71" s="182"/>
      <c r="F71" s="182"/>
      <c r="G71" s="182"/>
      <c r="H71" s="182"/>
      <c r="I71" s="182"/>
      <c r="J71" s="182"/>
      <c r="K71" s="182"/>
      <c r="L71" s="182"/>
      <c r="M71" s="182"/>
      <c r="N71" s="182"/>
      <c r="O71" s="182"/>
      <c r="P71" s="182"/>
      <c r="Q71" s="182"/>
      <c r="R71" s="182"/>
      <c r="S71" s="182"/>
      <c r="T71" s="182"/>
      <c r="U71" s="62"/>
    </row>
    <row r="72" customFormat="false" ht="20.1" hidden="false" customHeight="true" outlineLevel="0" collapsed="false">
      <c r="B72" s="62"/>
      <c r="D72" s="5"/>
      <c r="E72" s="5"/>
      <c r="F72" s="5"/>
      <c r="G72" s="5"/>
      <c r="H72" s="5"/>
      <c r="I72" s="5"/>
      <c r="J72" s="5"/>
      <c r="U72" s="62"/>
    </row>
    <row r="73" customFormat="false" ht="30" hidden="false" customHeight="true" outlineLevel="0" collapsed="false">
      <c r="B73" s="62"/>
      <c r="C73" s="190"/>
      <c r="D73" s="191" t="s">
        <v>99</v>
      </c>
      <c r="E73" s="191"/>
      <c r="F73" s="191"/>
      <c r="G73" s="191"/>
      <c r="H73" s="191"/>
      <c r="I73" s="191"/>
      <c r="J73" s="191"/>
      <c r="K73" s="191"/>
      <c r="L73" s="191"/>
      <c r="M73" s="191"/>
      <c r="N73" s="191"/>
      <c r="O73" s="191"/>
      <c r="P73" s="191"/>
      <c r="Q73" s="191"/>
      <c r="R73" s="191"/>
      <c r="S73" s="191"/>
      <c r="T73" s="190"/>
      <c r="U73" s="62"/>
    </row>
    <row r="74" customFormat="false" ht="50.1" hidden="false" customHeight="true" outlineLevel="0" collapsed="false">
      <c r="B74" s="62"/>
      <c r="C74" s="190"/>
      <c r="D74" s="192" t="s">
        <v>53</v>
      </c>
      <c r="E74" s="193" t="s">
        <v>54</v>
      </c>
      <c r="F74" s="194" t="s">
        <v>84</v>
      </c>
      <c r="G74" s="195" t="s">
        <v>100</v>
      </c>
      <c r="H74" s="196" t="s">
        <v>101</v>
      </c>
      <c r="I74" s="196"/>
      <c r="J74" s="197" t="s">
        <v>102</v>
      </c>
      <c r="K74" s="198" t="s">
        <v>103</v>
      </c>
      <c r="L74" s="194" t="s">
        <v>104</v>
      </c>
      <c r="M74" s="198" t="s">
        <v>105</v>
      </c>
      <c r="N74" s="194" t="s">
        <v>106</v>
      </c>
      <c r="O74" s="199"/>
      <c r="P74" s="200"/>
      <c r="Q74" s="200"/>
      <c r="R74" s="200"/>
      <c r="S74" s="193" t="s">
        <v>107</v>
      </c>
      <c r="T74" s="190"/>
      <c r="U74" s="62"/>
    </row>
    <row r="75" customFormat="false" ht="20.1" hidden="false" customHeight="true" outlineLevel="0" collapsed="false">
      <c r="B75" s="62"/>
      <c r="C75" s="190"/>
      <c r="D75" s="407" t="s">
        <v>17</v>
      </c>
      <c r="E75" s="419" t="s">
        <v>18</v>
      </c>
      <c r="F75" s="203" t="n">
        <f aca="false">(K75*6+L75*3+M75*1+N75*0)</f>
        <v>19</v>
      </c>
      <c r="G75" s="203" t="n">
        <v>0</v>
      </c>
      <c r="H75" s="204" t="s">
        <v>67</v>
      </c>
      <c r="I75" s="204"/>
      <c r="J75" s="203" t="n">
        <f aca="false">F75+G75</f>
        <v>19</v>
      </c>
      <c r="K75" s="203" t="n">
        <v>3</v>
      </c>
      <c r="L75" s="203" t="n">
        <v>0</v>
      </c>
      <c r="M75" s="203" t="n">
        <v>1</v>
      </c>
      <c r="N75" s="203" t="n">
        <v>0</v>
      </c>
      <c r="O75" s="203"/>
      <c r="P75" s="203"/>
      <c r="Q75" s="203"/>
      <c r="R75" s="203"/>
      <c r="S75" s="205" t="n">
        <f aca="false">(L40+L49+L58+L67)/4</f>
        <v>95.2173913043478</v>
      </c>
      <c r="T75" s="190"/>
      <c r="U75" s="62"/>
      <c r="W75" s="206"/>
      <c r="X75" s="206"/>
      <c r="Y75" s="206"/>
      <c r="Z75" s="206"/>
    </row>
    <row r="76" customFormat="false" ht="20.1" hidden="false" customHeight="true" outlineLevel="0" collapsed="false">
      <c r="B76" s="62"/>
      <c r="C76" s="190"/>
      <c r="D76" s="213" t="s">
        <v>33</v>
      </c>
      <c r="E76" s="269" t="s">
        <v>34</v>
      </c>
      <c r="F76" s="209" t="n">
        <f aca="false">(K76*6+L76*3+M76*1+N76*0)</f>
        <v>10</v>
      </c>
      <c r="G76" s="209" t="n">
        <v>0</v>
      </c>
      <c r="H76" s="210" t="s">
        <v>67</v>
      </c>
      <c r="I76" s="210"/>
      <c r="J76" s="209" t="n">
        <f aca="false">F76+G76</f>
        <v>10</v>
      </c>
      <c r="K76" s="209" t="n">
        <v>1</v>
      </c>
      <c r="L76" s="209" t="n">
        <v>1</v>
      </c>
      <c r="M76" s="209" t="n">
        <v>1</v>
      </c>
      <c r="N76" s="209" t="n">
        <v>1</v>
      </c>
      <c r="O76" s="209"/>
      <c r="P76" s="209"/>
      <c r="Q76" s="209"/>
      <c r="R76" s="209"/>
      <c r="S76" s="211" t="n">
        <f aca="false">(L39+L48+L57+L66)/4</f>
        <v>54.1733824545245</v>
      </c>
      <c r="T76" s="190"/>
      <c r="U76" s="62"/>
      <c r="W76" s="212"/>
      <c r="X76" s="212"/>
      <c r="Y76" s="212"/>
      <c r="Z76" s="212"/>
    </row>
    <row r="77" customFormat="false" ht="20.1" hidden="false" customHeight="true" outlineLevel="0" collapsed="false">
      <c r="B77" s="62"/>
      <c r="C77" s="190"/>
      <c r="D77" s="207" t="s">
        <v>15</v>
      </c>
      <c r="E77" s="420" t="s">
        <v>16</v>
      </c>
      <c r="F77" s="209" t="n">
        <f aca="false">(K77*6+L77*3+M77*1+N77*0)</f>
        <v>10</v>
      </c>
      <c r="G77" s="209" t="n">
        <v>0</v>
      </c>
      <c r="H77" s="210" t="s">
        <v>67</v>
      </c>
      <c r="I77" s="210"/>
      <c r="J77" s="209" t="n">
        <f aca="false">F77+G77</f>
        <v>10</v>
      </c>
      <c r="K77" s="209" t="n">
        <v>0</v>
      </c>
      <c r="L77" s="209" t="n">
        <v>3</v>
      </c>
      <c r="M77" s="209" t="n">
        <v>1</v>
      </c>
      <c r="N77" s="209" t="n">
        <v>0</v>
      </c>
      <c r="O77" s="209"/>
      <c r="P77" s="209"/>
      <c r="Q77" s="209"/>
      <c r="R77" s="209"/>
      <c r="S77" s="211" t="n">
        <f aca="false">(L41+L50+L59+L68)/4</f>
        <v>81.5822813322788</v>
      </c>
      <c r="T77" s="190"/>
      <c r="U77" s="62"/>
      <c r="W77" s="212"/>
      <c r="X77" s="212"/>
      <c r="Y77" s="212"/>
      <c r="Z77" s="212"/>
    </row>
    <row r="78" customFormat="false" ht="20.1" hidden="false" customHeight="true" outlineLevel="0" collapsed="false">
      <c r="B78" s="62"/>
      <c r="C78" s="190"/>
      <c r="D78" s="214" t="s">
        <v>12</v>
      </c>
      <c r="E78" s="421" t="s">
        <v>13</v>
      </c>
      <c r="F78" s="216" t="n">
        <f aca="false">(K78*6+L78*3+M78*1+N78*0)</f>
        <v>1</v>
      </c>
      <c r="G78" s="216" t="n">
        <v>0</v>
      </c>
      <c r="H78" s="217" t="s">
        <v>67</v>
      </c>
      <c r="I78" s="217"/>
      <c r="J78" s="216" t="n">
        <f aca="false">F78+G78</f>
        <v>1</v>
      </c>
      <c r="K78" s="216" t="n">
        <v>0</v>
      </c>
      <c r="L78" s="216" t="n">
        <v>0</v>
      </c>
      <c r="M78" s="216" t="n">
        <v>1</v>
      </c>
      <c r="N78" s="216" t="n">
        <v>3</v>
      </c>
      <c r="O78" s="216"/>
      <c r="P78" s="216"/>
      <c r="Q78" s="216"/>
      <c r="R78" s="216"/>
      <c r="S78" s="218" t="n">
        <f aca="false">(L42+L51+L60+L69)/4</f>
        <v>72.1505871517384</v>
      </c>
      <c r="T78" s="190"/>
      <c r="U78" s="62"/>
      <c r="W78" s="212"/>
      <c r="X78" s="212"/>
      <c r="Y78" s="212"/>
      <c r="Z78" s="212"/>
      <c r="AB78" s="212"/>
      <c r="AC78" s="212"/>
      <c r="AD78" s="212"/>
      <c r="AE78" s="212"/>
    </row>
    <row r="79" customFormat="false" ht="20.1" hidden="false" customHeight="true" outlineLevel="0" collapsed="false">
      <c r="B79" s="62"/>
      <c r="C79" s="190"/>
      <c r="D79" s="422"/>
      <c r="E79" s="422"/>
      <c r="F79" s="275"/>
      <c r="G79" s="275"/>
      <c r="H79" s="423"/>
      <c r="I79" s="423"/>
      <c r="J79" s="275"/>
      <c r="K79" s="275"/>
      <c r="L79" s="275"/>
      <c r="M79" s="275"/>
      <c r="N79" s="275"/>
      <c r="O79" s="275"/>
      <c r="P79" s="275"/>
      <c r="Q79" s="275"/>
      <c r="R79" s="275"/>
      <c r="S79" s="424"/>
      <c r="T79" s="190"/>
      <c r="U79" s="62"/>
      <c r="W79" s="212"/>
      <c r="X79" s="212"/>
      <c r="Y79" s="212"/>
      <c r="Z79" s="212"/>
    </row>
    <row r="80" customFormat="false" ht="20.1" hidden="false" customHeight="true" outlineLevel="0" collapsed="false">
      <c r="B80" s="62"/>
      <c r="C80" s="62"/>
      <c r="D80" s="219"/>
      <c r="E80" s="219"/>
      <c r="F80" s="167"/>
      <c r="G80" s="167"/>
      <c r="H80" s="219"/>
      <c r="I80" s="219"/>
      <c r="J80" s="219"/>
      <c r="K80" s="62"/>
      <c r="L80" s="62"/>
      <c r="M80" s="62"/>
      <c r="N80" s="62"/>
      <c r="O80" s="62"/>
      <c r="P80" s="62"/>
      <c r="Q80" s="62"/>
      <c r="R80" s="62"/>
      <c r="S80" s="62"/>
      <c r="T80" s="62"/>
      <c r="U80" s="62"/>
    </row>
    <row r="81" customFormat="false" ht="20.1" hidden="false" customHeight="true" outlineLevel="0" collapsed="false">
      <c r="D81" s="220"/>
    </row>
    <row r="82" customFormat="false" ht="20.1" hidden="false" customHeight="true" outlineLevel="0" collapsed="false">
      <c r="D82" s="221"/>
    </row>
    <row r="83" customFormat="false" ht="20.1" hidden="false" customHeight="true" outlineLevel="0" collapsed="false">
      <c r="B83" s="62"/>
      <c r="C83" s="62"/>
      <c r="D83" s="63"/>
      <c r="E83" s="63"/>
      <c r="F83" s="63"/>
      <c r="G83" s="63"/>
      <c r="H83" s="62"/>
      <c r="I83" s="62"/>
      <c r="J83" s="62"/>
      <c r="K83" s="62"/>
      <c r="L83" s="62"/>
      <c r="M83" s="62"/>
      <c r="N83" s="62"/>
      <c r="O83" s="62"/>
      <c r="P83" s="62"/>
      <c r="Q83" s="62"/>
      <c r="R83" s="62"/>
      <c r="S83" s="62"/>
      <c r="T83" s="62"/>
      <c r="U83" s="62"/>
    </row>
    <row r="84" customFormat="false" ht="30" hidden="false" customHeight="true" outlineLevel="0" collapsed="false">
      <c r="B84" s="62"/>
      <c r="C84" s="64" t="s">
        <v>108</v>
      </c>
      <c r="D84" s="64"/>
      <c r="E84" s="64"/>
      <c r="F84" s="64"/>
      <c r="G84" s="64"/>
      <c r="H84" s="64"/>
      <c r="I84" s="64"/>
      <c r="J84" s="64"/>
      <c r="K84" s="64"/>
      <c r="L84" s="64"/>
      <c r="M84" s="64"/>
      <c r="N84" s="64"/>
      <c r="O84" s="64"/>
      <c r="P84" s="64"/>
      <c r="Q84" s="64"/>
      <c r="R84" s="64"/>
      <c r="S84" s="64"/>
      <c r="T84" s="64"/>
      <c r="U84" s="62"/>
    </row>
    <row r="85" customFormat="false" ht="20.1" hidden="false" customHeight="true" outlineLevel="0" collapsed="false">
      <c r="B85" s="62"/>
      <c r="U85" s="62"/>
    </row>
    <row r="86" customFormat="false" ht="20.1" hidden="false" customHeight="true" outlineLevel="0" collapsed="false">
      <c r="B86" s="62"/>
      <c r="D86" s="65" t="s">
        <v>53</v>
      </c>
      <c r="E86" s="66" t="s">
        <v>54</v>
      </c>
      <c r="F86" s="67" t="s">
        <v>11</v>
      </c>
      <c r="G86" s="223" t="s">
        <v>55</v>
      </c>
      <c r="H86" s="223"/>
      <c r="I86" s="223"/>
      <c r="J86" s="223"/>
      <c r="K86" s="66" t="s">
        <v>56</v>
      </c>
      <c r="L86" s="68" t="s">
        <v>57</v>
      </c>
      <c r="M86" s="68"/>
      <c r="N86" s="68"/>
      <c r="O86" s="68"/>
      <c r="P86" s="68"/>
      <c r="Q86" s="68"/>
      <c r="R86" s="68"/>
      <c r="S86" s="68"/>
      <c r="U86" s="62"/>
    </row>
    <row r="87" customFormat="false" ht="20.1" hidden="false" customHeight="true" outlineLevel="0" collapsed="false">
      <c r="B87" s="62"/>
      <c r="D87" s="65"/>
      <c r="E87" s="66"/>
      <c r="F87" s="66"/>
      <c r="G87" s="70" t="s">
        <v>58</v>
      </c>
      <c r="H87" s="69" t="s">
        <v>59</v>
      </c>
      <c r="I87" s="67" t="s">
        <v>60</v>
      </c>
      <c r="J87" s="67"/>
      <c r="K87" s="69" t="s">
        <v>61</v>
      </c>
      <c r="L87" s="224" t="s">
        <v>58</v>
      </c>
      <c r="M87" s="225" t="s">
        <v>62</v>
      </c>
      <c r="N87" s="67" t="s">
        <v>60</v>
      </c>
      <c r="O87" s="67"/>
      <c r="P87" s="67"/>
      <c r="Q87" s="67"/>
      <c r="R87" s="67"/>
      <c r="S87" s="67"/>
      <c r="U87" s="62"/>
    </row>
    <row r="88" customFormat="false" ht="42" hidden="false" customHeight="true" outlineLevel="0" collapsed="false">
      <c r="B88" s="62"/>
      <c r="D88" s="318" t="s">
        <v>37</v>
      </c>
      <c r="E88" s="18" t="s">
        <v>38</v>
      </c>
      <c r="F88" s="23" t="n">
        <v>1</v>
      </c>
      <c r="G88" s="72" t="s">
        <v>63</v>
      </c>
      <c r="H88" s="470" t="s">
        <v>109</v>
      </c>
      <c r="I88" s="321" t="s">
        <v>211</v>
      </c>
      <c r="J88" s="321"/>
      <c r="K88" s="526" t="s">
        <v>138</v>
      </c>
      <c r="L88" s="352" t="s">
        <v>67</v>
      </c>
      <c r="M88" s="324" t="s">
        <v>67</v>
      </c>
      <c r="N88" s="78" t="s">
        <v>67</v>
      </c>
      <c r="O88" s="78"/>
      <c r="P88" s="78"/>
      <c r="Q88" s="78"/>
      <c r="R88" s="78"/>
      <c r="S88" s="78"/>
      <c r="U88" s="62"/>
    </row>
    <row r="89" customFormat="false" ht="15" hidden="false" customHeight="true" outlineLevel="0" collapsed="false">
      <c r="B89" s="62"/>
      <c r="D89" s="318"/>
      <c r="E89" s="18"/>
      <c r="F89" s="23"/>
      <c r="G89" s="72"/>
      <c r="H89" s="470"/>
      <c r="I89" s="325" t="s">
        <v>212</v>
      </c>
      <c r="J89" s="325"/>
      <c r="K89" s="526"/>
      <c r="L89" s="352"/>
      <c r="M89" s="324"/>
      <c r="N89" s="78"/>
      <c r="O89" s="78"/>
      <c r="P89" s="78"/>
      <c r="Q89" s="78"/>
      <c r="R89" s="78"/>
      <c r="S89" s="78"/>
      <c r="U89" s="62"/>
    </row>
    <row r="90" customFormat="false" ht="15" hidden="false" customHeight="true" outlineLevel="0" collapsed="false">
      <c r="B90" s="62"/>
      <c r="D90" s="318"/>
      <c r="E90" s="18"/>
      <c r="F90" s="23"/>
      <c r="G90" s="72"/>
      <c r="H90" s="470"/>
      <c r="I90" s="360" t="s">
        <v>199</v>
      </c>
      <c r="J90" s="360"/>
      <c r="K90" s="526"/>
      <c r="L90" s="352"/>
      <c r="M90" s="324"/>
      <c r="N90" s="78"/>
      <c r="O90" s="78"/>
      <c r="P90" s="78"/>
      <c r="Q90" s="78"/>
      <c r="R90" s="78"/>
      <c r="S90" s="78"/>
      <c r="U90" s="62"/>
    </row>
    <row r="91" customFormat="false" ht="20.1" hidden="false" customHeight="true" outlineLevel="0" collapsed="false">
      <c r="B91" s="62"/>
      <c r="D91" s="40" t="s">
        <v>29</v>
      </c>
      <c r="E91" s="465" t="s">
        <v>30</v>
      </c>
      <c r="F91" s="499" t="n">
        <v>2</v>
      </c>
      <c r="G91" s="80" t="s">
        <v>63</v>
      </c>
      <c r="H91" s="82" t="s">
        <v>397</v>
      </c>
      <c r="I91" s="328" t="s">
        <v>398</v>
      </c>
      <c r="J91" s="328"/>
      <c r="K91" s="527" t="s">
        <v>138</v>
      </c>
      <c r="L91" s="437" t="s">
        <v>67</v>
      </c>
      <c r="M91" s="438" t="s">
        <v>67</v>
      </c>
      <c r="N91" s="439" t="s">
        <v>67</v>
      </c>
      <c r="O91" s="439"/>
      <c r="P91" s="439"/>
      <c r="Q91" s="439"/>
      <c r="R91" s="439"/>
      <c r="S91" s="439"/>
      <c r="U91" s="62"/>
    </row>
    <row r="92" customFormat="false" ht="15" hidden="false" customHeight="true" outlineLevel="0" collapsed="false">
      <c r="B92" s="62"/>
      <c r="D92" s="326" t="s">
        <v>39</v>
      </c>
      <c r="E92" s="32" t="s">
        <v>40</v>
      </c>
      <c r="F92" s="31" t="n">
        <v>3</v>
      </c>
      <c r="G92" s="232" t="s">
        <v>63</v>
      </c>
      <c r="H92" s="355" t="s">
        <v>138</v>
      </c>
      <c r="I92" s="335" t="s">
        <v>399</v>
      </c>
      <c r="J92" s="335"/>
      <c r="K92" s="464" t="s">
        <v>111</v>
      </c>
      <c r="L92" s="232" t="s">
        <v>63</v>
      </c>
      <c r="M92" s="416" t="s">
        <v>400</v>
      </c>
      <c r="N92" s="528" t="s">
        <v>401</v>
      </c>
      <c r="O92" s="528"/>
      <c r="P92" s="528"/>
      <c r="Q92" s="528"/>
      <c r="R92" s="528"/>
      <c r="S92" s="528"/>
      <c r="U92" s="62"/>
    </row>
    <row r="93" customFormat="false" ht="15" hidden="false" customHeight="true" outlineLevel="0" collapsed="false">
      <c r="B93" s="62"/>
      <c r="D93" s="326"/>
      <c r="E93" s="32"/>
      <c r="F93" s="31"/>
      <c r="G93" s="232"/>
      <c r="H93" s="355"/>
      <c r="I93" s="338" t="s">
        <v>402</v>
      </c>
      <c r="J93" s="338"/>
      <c r="K93" s="464"/>
      <c r="L93" s="232"/>
      <c r="M93" s="416"/>
      <c r="N93" s="528"/>
      <c r="O93" s="528"/>
      <c r="P93" s="528"/>
      <c r="Q93" s="528"/>
      <c r="R93" s="528"/>
      <c r="S93" s="528"/>
      <c r="U93" s="62"/>
    </row>
    <row r="94" customFormat="false" ht="15" hidden="false" customHeight="true" outlineLevel="0" collapsed="false">
      <c r="B94" s="62"/>
      <c r="D94" s="326"/>
      <c r="E94" s="32"/>
      <c r="F94" s="31"/>
      <c r="G94" s="232"/>
      <c r="H94" s="355"/>
      <c r="I94" s="357" t="s">
        <v>403</v>
      </c>
      <c r="J94" s="357"/>
      <c r="K94" s="464"/>
      <c r="L94" s="232"/>
      <c r="M94" s="416"/>
      <c r="N94" s="528"/>
      <c r="O94" s="528"/>
      <c r="P94" s="528"/>
      <c r="Q94" s="528"/>
      <c r="R94" s="528"/>
      <c r="S94" s="528"/>
      <c r="U94" s="62"/>
    </row>
    <row r="95" customFormat="false" ht="15" hidden="false" customHeight="true" outlineLevel="0" collapsed="false">
      <c r="B95" s="62"/>
      <c r="D95" s="349" t="s">
        <v>43</v>
      </c>
      <c r="E95" s="44" t="s">
        <v>44</v>
      </c>
      <c r="F95" s="396" t="n">
        <v>4</v>
      </c>
      <c r="G95" s="358" t="s">
        <v>63</v>
      </c>
      <c r="H95" s="96" t="s">
        <v>334</v>
      </c>
      <c r="I95" s="347" t="s">
        <v>335</v>
      </c>
      <c r="J95" s="347"/>
      <c r="K95" s="529" t="s">
        <v>138</v>
      </c>
      <c r="L95" s="442" t="s">
        <v>67</v>
      </c>
      <c r="M95" s="345" t="s">
        <v>67</v>
      </c>
      <c r="N95" s="239" t="s">
        <v>67</v>
      </c>
      <c r="O95" s="239"/>
      <c r="P95" s="239"/>
      <c r="Q95" s="239"/>
      <c r="R95" s="239"/>
      <c r="S95" s="239"/>
      <c r="U95" s="62"/>
    </row>
    <row r="96" customFormat="false" ht="30" hidden="false" customHeight="true" outlineLevel="0" collapsed="false">
      <c r="B96" s="62"/>
      <c r="D96" s="349"/>
      <c r="E96" s="44"/>
      <c r="F96" s="396"/>
      <c r="G96" s="358"/>
      <c r="H96" s="96"/>
      <c r="I96" s="348" t="s">
        <v>336</v>
      </c>
      <c r="J96" s="348"/>
      <c r="K96" s="529"/>
      <c r="L96" s="442"/>
      <c r="M96" s="345"/>
      <c r="N96" s="345"/>
      <c r="O96" s="239"/>
      <c r="P96" s="239"/>
      <c r="Q96" s="239"/>
      <c r="R96" s="239"/>
      <c r="S96" s="239"/>
      <c r="U96" s="62"/>
    </row>
    <row r="97" customFormat="false" ht="20.1" hidden="false" customHeight="true" outlineLevel="0" collapsed="false">
      <c r="B97" s="62"/>
      <c r="U97" s="62"/>
    </row>
    <row r="98" customFormat="false" ht="20.1" hidden="false" customHeight="true" outlineLevel="0" collapsed="false">
      <c r="B98" s="62"/>
      <c r="C98" s="101"/>
      <c r="D98" s="101"/>
      <c r="E98" s="102" t="str">
        <f aca="false">IF(OR(L88="-",L88= ""),H88,L88)</f>
        <v>Die Burgen von Burgund</v>
      </c>
      <c r="F98" s="102"/>
      <c r="G98" s="102"/>
      <c r="H98" s="102"/>
      <c r="I98" s="102"/>
      <c r="J98" s="102"/>
      <c r="K98" s="102"/>
      <c r="L98" s="102"/>
      <c r="M98" s="102"/>
      <c r="N98" s="102"/>
      <c r="O98" s="103"/>
      <c r="P98" s="103"/>
      <c r="Q98" s="103"/>
      <c r="R98" s="103"/>
      <c r="S98" s="103"/>
      <c r="T98" s="101"/>
      <c r="U98" s="62"/>
    </row>
    <row r="99" customFormat="false" ht="50.1" hidden="false" customHeight="true" outlineLevel="0" collapsed="false">
      <c r="B99" s="62"/>
      <c r="C99" s="101"/>
      <c r="D99" s="103"/>
      <c r="E99" s="65" t="s">
        <v>53</v>
      </c>
      <c r="F99" s="104" t="s">
        <v>76</v>
      </c>
      <c r="G99" s="67" t="s">
        <v>77</v>
      </c>
      <c r="H99" s="66" t="s">
        <v>78</v>
      </c>
      <c r="I99" s="54" t="s">
        <v>79</v>
      </c>
      <c r="J99" s="66" t="s">
        <v>80</v>
      </c>
      <c r="K99" s="105" t="s">
        <v>81</v>
      </c>
      <c r="L99" s="66" t="s">
        <v>82</v>
      </c>
      <c r="M99" s="106" t="s">
        <v>83</v>
      </c>
      <c r="N99" s="67" t="s">
        <v>84</v>
      </c>
      <c r="O99" s="107" t="s">
        <v>85</v>
      </c>
      <c r="P99" s="108" t="s">
        <v>86</v>
      </c>
      <c r="Q99" s="108" t="s">
        <v>87</v>
      </c>
      <c r="R99" s="13" t="s">
        <v>88</v>
      </c>
      <c r="S99" s="103"/>
      <c r="T99" s="101"/>
      <c r="U99" s="62"/>
    </row>
    <row r="100" customFormat="false" ht="20.1" hidden="false" customHeight="true" outlineLevel="0" collapsed="false">
      <c r="B100" s="62"/>
      <c r="C100" s="101"/>
      <c r="D100" s="124"/>
      <c r="E100" s="318" t="s">
        <v>37</v>
      </c>
      <c r="F100" s="16" t="s">
        <v>38</v>
      </c>
      <c r="G100" s="250" t="n">
        <v>3</v>
      </c>
      <c r="H100" s="250" t="s">
        <v>147</v>
      </c>
      <c r="I100" s="250" t="n">
        <v>0</v>
      </c>
      <c r="J100" s="251" t="n">
        <v>220</v>
      </c>
      <c r="K100" s="250" t="s">
        <v>67</v>
      </c>
      <c r="L100" s="253" t="n">
        <f aca="false">IF(J100="",0,(J100/J104)*100)</f>
        <v>89.0688259109312</v>
      </c>
      <c r="M100" s="250" t="n">
        <v>3</v>
      </c>
      <c r="N100" s="254" t="n">
        <v>1</v>
      </c>
      <c r="O100" s="115" t="n">
        <f aca="false">IF(M100=1,1,0)</f>
        <v>0</v>
      </c>
      <c r="P100" s="116" t="n">
        <f aca="false">IF(M100=2,1,0)</f>
        <v>0</v>
      </c>
      <c r="Q100" s="116" t="n">
        <f aca="false">IF(M100=3,1,0)</f>
        <v>1</v>
      </c>
      <c r="R100" s="117" t="n">
        <f aca="false">IF(M100=4,1,0)</f>
        <v>0</v>
      </c>
      <c r="S100" s="118"/>
      <c r="T100" s="101"/>
      <c r="U100" s="62"/>
    </row>
    <row r="101" customFormat="false" ht="20.1" hidden="false" customHeight="true" outlineLevel="0" collapsed="false">
      <c r="B101" s="62"/>
      <c r="C101" s="101"/>
      <c r="D101" s="101"/>
      <c r="E101" s="326" t="s">
        <v>29</v>
      </c>
      <c r="F101" s="33" t="s">
        <v>30</v>
      </c>
      <c r="G101" s="241" t="n">
        <v>2</v>
      </c>
      <c r="H101" s="241" t="s">
        <v>148</v>
      </c>
      <c r="I101" s="241" t="n">
        <v>0</v>
      </c>
      <c r="J101" s="242" t="n">
        <v>235</v>
      </c>
      <c r="K101" s="242" t="s">
        <v>67</v>
      </c>
      <c r="L101" s="243" t="n">
        <f aca="false">IF(J101="",0,(J101/J104)*100)</f>
        <v>95.1417004048583</v>
      </c>
      <c r="M101" s="241" t="n">
        <v>2</v>
      </c>
      <c r="N101" s="244" t="n">
        <v>3</v>
      </c>
      <c r="O101" s="121" t="n">
        <f aca="false">IF(M101=1,1,0)</f>
        <v>0</v>
      </c>
      <c r="P101" s="122" t="n">
        <f aca="false">IF(M101=2,1,0)</f>
        <v>1</v>
      </c>
      <c r="Q101" s="122" t="n">
        <f aca="false">IF(M101=3,1,0)</f>
        <v>0</v>
      </c>
      <c r="R101" s="123" t="n">
        <f aca="false">IF(M101=4,1,0)</f>
        <v>0</v>
      </c>
      <c r="S101" s="118"/>
      <c r="T101" s="101"/>
      <c r="U101" s="62"/>
    </row>
    <row r="102" customFormat="false" ht="20.1" hidden="false" customHeight="true" outlineLevel="0" collapsed="false">
      <c r="B102" s="62"/>
      <c r="C102" s="101"/>
      <c r="D102" s="101"/>
      <c r="E102" s="174" t="s">
        <v>39</v>
      </c>
      <c r="F102" s="175" t="s">
        <v>40</v>
      </c>
      <c r="G102" s="151" t="n">
        <v>4</v>
      </c>
      <c r="H102" s="151" t="s">
        <v>220</v>
      </c>
      <c r="I102" s="151" t="n">
        <v>0</v>
      </c>
      <c r="J102" s="152" t="n">
        <v>247</v>
      </c>
      <c r="K102" s="151" t="s">
        <v>67</v>
      </c>
      <c r="L102" s="153" t="n">
        <f aca="false">IF(J102="",0,(J102/J104)*100)</f>
        <v>100</v>
      </c>
      <c r="M102" s="151" t="n">
        <v>1</v>
      </c>
      <c r="N102" s="154" t="n">
        <v>6</v>
      </c>
      <c r="O102" s="121" t="n">
        <f aca="false">IF(M102=1,1,0)</f>
        <v>1</v>
      </c>
      <c r="P102" s="122" t="n">
        <f aca="false">IF(M102=2,1,0)</f>
        <v>0</v>
      </c>
      <c r="Q102" s="122" t="n">
        <f aca="false">IF(M102=3,1,0)</f>
        <v>0</v>
      </c>
      <c r="R102" s="123" t="n">
        <f aca="false">IF(M102=4,1,0)</f>
        <v>0</v>
      </c>
      <c r="S102" s="118"/>
      <c r="T102" s="101"/>
      <c r="U102" s="62"/>
    </row>
    <row r="103" customFormat="false" ht="20.1" hidden="false" customHeight="true" outlineLevel="0" collapsed="false">
      <c r="B103" s="62"/>
      <c r="C103" s="101"/>
      <c r="D103" s="101"/>
      <c r="E103" s="234" t="s">
        <v>43</v>
      </c>
      <c r="F103" s="44" t="s">
        <v>44</v>
      </c>
      <c r="G103" s="245" t="n">
        <v>1</v>
      </c>
      <c r="H103" s="246" t="s">
        <v>158</v>
      </c>
      <c r="I103" s="245" t="n">
        <v>0</v>
      </c>
      <c r="J103" s="246" t="n">
        <v>229</v>
      </c>
      <c r="K103" s="246" t="s">
        <v>67</v>
      </c>
      <c r="L103" s="247" t="n">
        <f aca="false">IF(J103="",0,(J103/J104)*100)</f>
        <v>92.7125506072875</v>
      </c>
      <c r="M103" s="245" t="n">
        <v>4</v>
      </c>
      <c r="N103" s="248" t="n">
        <v>0</v>
      </c>
      <c r="O103" s="127" t="n">
        <f aca="false">IF(M103=1,1,0)</f>
        <v>0</v>
      </c>
      <c r="P103" s="128" t="n">
        <f aca="false">IF(M103=2,1,0)</f>
        <v>0</v>
      </c>
      <c r="Q103" s="128" t="n">
        <f aca="false">IF(M103=3,1,0)</f>
        <v>0</v>
      </c>
      <c r="R103" s="129" t="n">
        <f aca="false">IF(M103=4,1,0)</f>
        <v>1</v>
      </c>
      <c r="S103" s="118"/>
      <c r="T103" s="101"/>
      <c r="U103" s="62"/>
    </row>
    <row r="104" customFormat="false" ht="20.1" hidden="true" customHeight="true" outlineLevel="1" collapsed="false">
      <c r="B104" s="62"/>
      <c r="C104" s="101"/>
      <c r="D104" s="124"/>
      <c r="E104" s="124"/>
      <c r="F104" s="131"/>
      <c r="G104" s="131"/>
      <c r="H104" s="101"/>
      <c r="I104" s="179" t="s">
        <v>89</v>
      </c>
      <c r="J104" s="133" t="n">
        <f aca="false">MAX(J100:J103)</f>
        <v>247</v>
      </c>
      <c r="K104" s="249"/>
      <c r="L104" s="139"/>
      <c r="M104" s="101"/>
      <c r="N104" s="136" t="s">
        <v>90</v>
      </c>
      <c r="O104" s="137" t="n">
        <f aca="false">SUM(O100:O103)</f>
        <v>1</v>
      </c>
      <c r="P104" s="138" t="n">
        <f aca="false">SUM(P100:P103)</f>
        <v>1</v>
      </c>
      <c r="Q104" s="137" t="n">
        <f aca="false">SUM(Q100:Q103)</f>
        <v>1</v>
      </c>
      <c r="R104" s="160" t="n">
        <f aca="false">SUM(R100:R103)</f>
        <v>1</v>
      </c>
      <c r="S104" s="139"/>
      <c r="T104" s="101"/>
      <c r="U104" s="62"/>
    </row>
    <row r="105" customFormat="false" ht="20.1" hidden="false" customHeight="true" outlineLevel="0" collapsed="false">
      <c r="B105" s="62"/>
      <c r="C105" s="101"/>
      <c r="D105" s="101"/>
      <c r="E105" s="101"/>
      <c r="F105" s="101"/>
      <c r="G105" s="101"/>
      <c r="H105" s="101"/>
      <c r="I105" s="101"/>
      <c r="J105" s="101"/>
      <c r="K105" s="101"/>
      <c r="L105" s="101"/>
      <c r="M105" s="101"/>
      <c r="N105" s="101"/>
      <c r="O105" s="101"/>
      <c r="P105" s="101"/>
      <c r="Q105" s="101"/>
      <c r="R105" s="101"/>
      <c r="S105" s="101"/>
      <c r="T105" s="101"/>
      <c r="U105" s="62"/>
    </row>
    <row r="106" customFormat="false" ht="20.1" hidden="false" customHeight="true" outlineLevel="0" collapsed="false">
      <c r="B106" s="62"/>
      <c r="U106" s="62"/>
    </row>
    <row r="107" customFormat="false" ht="20.1" hidden="false" customHeight="true" outlineLevel="0" collapsed="false">
      <c r="B107" s="62"/>
      <c r="C107" s="141"/>
      <c r="D107" s="141"/>
      <c r="E107" s="142" t="str">
        <f aca="false">IF(OR(L91="-",L91= ""),H91,L91)</f>
        <v>Splendor</v>
      </c>
      <c r="F107" s="142"/>
      <c r="G107" s="142"/>
      <c r="H107" s="142"/>
      <c r="I107" s="142"/>
      <c r="J107" s="142"/>
      <c r="K107" s="142"/>
      <c r="L107" s="142"/>
      <c r="M107" s="142"/>
      <c r="N107" s="142"/>
      <c r="O107" s="143"/>
      <c r="P107" s="143"/>
      <c r="Q107" s="143"/>
      <c r="R107" s="143"/>
      <c r="S107" s="143"/>
      <c r="T107" s="141"/>
      <c r="U107" s="62"/>
    </row>
    <row r="108" customFormat="false" ht="50.1" hidden="false" customHeight="true" outlineLevel="0" collapsed="false">
      <c r="B108" s="62"/>
      <c r="C108" s="141"/>
      <c r="D108" s="143"/>
      <c r="E108" s="65" t="s">
        <v>53</v>
      </c>
      <c r="F108" s="104" t="s">
        <v>76</v>
      </c>
      <c r="G108" s="67" t="s">
        <v>77</v>
      </c>
      <c r="H108" s="66" t="s">
        <v>78</v>
      </c>
      <c r="I108" s="54" t="s">
        <v>79</v>
      </c>
      <c r="J108" s="66" t="s">
        <v>80</v>
      </c>
      <c r="K108" s="105" t="s">
        <v>81</v>
      </c>
      <c r="L108" s="66" t="s">
        <v>82</v>
      </c>
      <c r="M108" s="106" t="s">
        <v>83</v>
      </c>
      <c r="N108" s="67" t="s">
        <v>84</v>
      </c>
      <c r="O108" s="107" t="s">
        <v>85</v>
      </c>
      <c r="P108" s="108" t="s">
        <v>86</v>
      </c>
      <c r="Q108" s="108" t="s">
        <v>87</v>
      </c>
      <c r="R108" s="13" t="s">
        <v>88</v>
      </c>
      <c r="S108" s="143"/>
      <c r="T108" s="141"/>
      <c r="U108" s="62"/>
    </row>
    <row r="109" customFormat="false" ht="20.1" hidden="false" customHeight="true" outlineLevel="0" collapsed="false">
      <c r="B109" s="62"/>
      <c r="C109" s="141"/>
      <c r="D109" s="148"/>
      <c r="E109" s="318" t="s">
        <v>37</v>
      </c>
      <c r="F109" s="16" t="s">
        <v>38</v>
      </c>
      <c r="G109" s="250" t="n">
        <v>1</v>
      </c>
      <c r="H109" s="251" t="s">
        <v>67</v>
      </c>
      <c r="I109" s="250" t="n">
        <v>0</v>
      </c>
      <c r="J109" s="251" t="n">
        <v>9</v>
      </c>
      <c r="K109" s="252" t="s">
        <v>67</v>
      </c>
      <c r="L109" s="253" t="n">
        <f aca="false">IF(J109="",0,(J109/J113)*100)</f>
        <v>60</v>
      </c>
      <c r="M109" s="250" t="n">
        <v>3</v>
      </c>
      <c r="N109" s="254" t="n">
        <v>1</v>
      </c>
      <c r="O109" s="115" t="n">
        <f aca="false">IF(M109=1,1,0)</f>
        <v>0</v>
      </c>
      <c r="P109" s="116" t="n">
        <f aca="false">IF(M109=2,1,0)</f>
        <v>0</v>
      </c>
      <c r="Q109" s="116" t="n">
        <f aca="false">IF(M109=3,1,0)</f>
        <v>1</v>
      </c>
      <c r="R109" s="117" t="n">
        <f aca="false">IF(M109=4,1,0)</f>
        <v>0</v>
      </c>
      <c r="S109" s="147"/>
      <c r="T109" s="141"/>
      <c r="U109" s="62"/>
    </row>
    <row r="110" customFormat="false" ht="20.1" hidden="false" customHeight="true" outlineLevel="0" collapsed="false">
      <c r="B110" s="62"/>
      <c r="C110" s="141"/>
      <c r="D110" s="141"/>
      <c r="E110" s="326" t="s">
        <v>29</v>
      </c>
      <c r="F110" s="33" t="s">
        <v>30</v>
      </c>
      <c r="G110" s="241" t="n">
        <v>4</v>
      </c>
      <c r="H110" s="242" t="s">
        <v>67</v>
      </c>
      <c r="I110" s="241" t="n">
        <v>0</v>
      </c>
      <c r="J110" s="242" t="n">
        <v>11</v>
      </c>
      <c r="K110" s="242" t="s">
        <v>67</v>
      </c>
      <c r="L110" s="243" t="n">
        <f aca="false">IF(J110="",0,(J110/J113)*100)</f>
        <v>73.3333333333333</v>
      </c>
      <c r="M110" s="241" t="n">
        <v>2</v>
      </c>
      <c r="N110" s="244" t="n">
        <v>3</v>
      </c>
      <c r="O110" s="121" t="n">
        <f aca="false">IF(M110=1,1,0)</f>
        <v>0</v>
      </c>
      <c r="P110" s="122" t="n">
        <f aca="false">IF(M110=2,1,0)</f>
        <v>1</v>
      </c>
      <c r="Q110" s="122" t="n">
        <f aca="false">IF(M110=3,1,0)</f>
        <v>0</v>
      </c>
      <c r="R110" s="123" t="n">
        <f aca="false">IF(M110=4,1,0)</f>
        <v>0</v>
      </c>
      <c r="S110" s="147"/>
      <c r="T110" s="141"/>
      <c r="U110" s="62"/>
    </row>
    <row r="111" customFormat="false" ht="20.1" hidden="false" customHeight="true" outlineLevel="0" collapsed="false">
      <c r="B111" s="62"/>
      <c r="C111" s="141"/>
      <c r="D111" s="148"/>
      <c r="E111" s="174" t="s">
        <v>39</v>
      </c>
      <c r="F111" s="175" t="s">
        <v>40</v>
      </c>
      <c r="G111" s="151" t="n">
        <v>2</v>
      </c>
      <c r="H111" s="152" t="s">
        <v>67</v>
      </c>
      <c r="I111" s="151" t="n">
        <v>0</v>
      </c>
      <c r="J111" s="152" t="n">
        <v>15</v>
      </c>
      <c r="K111" s="530" t="s">
        <v>67</v>
      </c>
      <c r="L111" s="153" t="n">
        <f aca="false">IF(J111="",0,(J111/J113)*100)</f>
        <v>100</v>
      </c>
      <c r="M111" s="151" t="n">
        <v>1</v>
      </c>
      <c r="N111" s="154" t="n">
        <v>6</v>
      </c>
      <c r="O111" s="121" t="n">
        <f aca="false">IF(M111=1,1,0)</f>
        <v>1</v>
      </c>
      <c r="P111" s="122" t="n">
        <f aca="false">IF(M111=2,1,0)</f>
        <v>0</v>
      </c>
      <c r="Q111" s="122" t="n">
        <f aca="false">IF(M111=3,1,0)</f>
        <v>0</v>
      </c>
      <c r="R111" s="123" t="n">
        <f aca="false">IF(M111=4,1,0)</f>
        <v>0</v>
      </c>
      <c r="S111" s="147"/>
      <c r="T111" s="141"/>
      <c r="U111" s="62"/>
    </row>
    <row r="112" customFormat="false" ht="20.1" hidden="false" customHeight="true" outlineLevel="0" collapsed="false">
      <c r="B112" s="62"/>
      <c r="C112" s="141"/>
      <c r="D112" s="141"/>
      <c r="E112" s="234" t="s">
        <v>43</v>
      </c>
      <c r="F112" s="44" t="s">
        <v>44</v>
      </c>
      <c r="G112" s="245" t="n">
        <v>3</v>
      </c>
      <c r="H112" s="246" t="s">
        <v>67</v>
      </c>
      <c r="I112" s="245" t="n">
        <v>0</v>
      </c>
      <c r="J112" s="246" t="n">
        <v>7</v>
      </c>
      <c r="K112" s="246" t="s">
        <v>67</v>
      </c>
      <c r="L112" s="247" t="n">
        <f aca="false">IF(J112="",0,(J112/J113)*100)</f>
        <v>46.6666666666667</v>
      </c>
      <c r="M112" s="245" t="n">
        <v>4</v>
      </c>
      <c r="N112" s="248" t="n">
        <v>0</v>
      </c>
      <c r="O112" s="127" t="n">
        <f aca="false">IF(M112=1,1,0)</f>
        <v>0</v>
      </c>
      <c r="P112" s="128" t="n">
        <f aca="false">IF(M112=2,1,0)</f>
        <v>0</v>
      </c>
      <c r="Q112" s="128" t="n">
        <f aca="false">IF(M112=3,1,0)</f>
        <v>0</v>
      </c>
      <c r="R112" s="129" t="n">
        <f aca="false">IF(M112=4,1,0)</f>
        <v>1</v>
      </c>
      <c r="S112" s="147"/>
      <c r="T112" s="141"/>
      <c r="U112" s="62"/>
    </row>
    <row r="113" customFormat="false" ht="20.1" hidden="true" customHeight="true" outlineLevel="1" collapsed="false">
      <c r="B113" s="62"/>
      <c r="C113" s="141"/>
      <c r="D113" s="141"/>
      <c r="E113" s="148"/>
      <c r="F113" s="502"/>
      <c r="G113" s="502"/>
      <c r="H113" s="148"/>
      <c r="I113" s="503" t="s">
        <v>89</v>
      </c>
      <c r="J113" s="136" t="n">
        <f aca="false">MAX(J109:J112)</f>
        <v>15</v>
      </c>
      <c r="K113" s="504"/>
      <c r="L113" s="161"/>
      <c r="M113" s="148"/>
      <c r="N113" s="136" t="s">
        <v>90</v>
      </c>
      <c r="O113" s="137" t="n">
        <f aca="false">SUM(O109:O112)</f>
        <v>1</v>
      </c>
      <c r="P113" s="138" t="n">
        <f aca="false">SUM(P109:P112)</f>
        <v>1</v>
      </c>
      <c r="Q113" s="137" t="n">
        <f aca="false">SUM(Q109:Q112)</f>
        <v>1</v>
      </c>
      <c r="R113" s="160" t="n">
        <f aca="false">SUM(R109:R112)</f>
        <v>1</v>
      </c>
      <c r="S113" s="161"/>
      <c r="T113" s="141"/>
      <c r="U113" s="62"/>
    </row>
    <row r="114" customFormat="false" ht="20.1" hidden="false" customHeight="true" outlineLevel="0" collapsed="false">
      <c r="B114" s="62"/>
      <c r="C114" s="141"/>
      <c r="D114" s="141"/>
      <c r="E114" s="141"/>
      <c r="F114" s="141"/>
      <c r="G114" s="141"/>
      <c r="H114" s="141"/>
      <c r="I114" s="141"/>
      <c r="J114" s="141"/>
      <c r="K114" s="141"/>
      <c r="L114" s="141"/>
      <c r="M114" s="141"/>
      <c r="N114" s="141"/>
      <c r="O114" s="141"/>
      <c r="P114" s="141"/>
      <c r="Q114" s="141"/>
      <c r="R114" s="141"/>
      <c r="S114" s="141"/>
      <c r="T114" s="141"/>
      <c r="U114" s="62"/>
    </row>
    <row r="115" customFormat="false" ht="20.1" hidden="false" customHeight="true" outlineLevel="0" collapsed="false">
      <c r="B115" s="62"/>
      <c r="D115" s="162"/>
      <c r="E115" s="162"/>
      <c r="F115" s="162"/>
      <c r="G115" s="162"/>
      <c r="H115" s="163"/>
      <c r="I115" s="162"/>
      <c r="J115" s="162"/>
      <c r="U115" s="62"/>
    </row>
    <row r="116" customFormat="false" ht="20.1" hidden="false" customHeight="true" outlineLevel="0" collapsed="false">
      <c r="B116" s="62"/>
      <c r="C116" s="164"/>
      <c r="D116" s="164"/>
      <c r="E116" s="165" t="str">
        <f aca="false">IF(OR(M92="-",M92= ""),H92,M92)</f>
        <v>K2</v>
      </c>
      <c r="F116" s="165"/>
      <c r="G116" s="165"/>
      <c r="H116" s="165"/>
      <c r="I116" s="165"/>
      <c r="J116" s="165"/>
      <c r="K116" s="165"/>
      <c r="L116" s="165"/>
      <c r="M116" s="165"/>
      <c r="N116" s="165"/>
      <c r="O116" s="166"/>
      <c r="P116" s="166"/>
      <c r="Q116" s="166"/>
      <c r="R116" s="166"/>
      <c r="S116" s="166"/>
      <c r="T116" s="164"/>
      <c r="U116" s="167"/>
    </row>
    <row r="117" customFormat="false" ht="50.1" hidden="false" customHeight="true" outlineLevel="0" collapsed="false">
      <c r="B117" s="62"/>
      <c r="C117" s="164"/>
      <c r="D117" s="166"/>
      <c r="E117" s="65" t="s">
        <v>53</v>
      </c>
      <c r="F117" s="104" t="s">
        <v>76</v>
      </c>
      <c r="G117" s="67" t="s">
        <v>77</v>
      </c>
      <c r="H117" s="66" t="s">
        <v>78</v>
      </c>
      <c r="I117" s="54" t="s">
        <v>79</v>
      </c>
      <c r="J117" s="66" t="s">
        <v>80</v>
      </c>
      <c r="K117" s="105" t="s">
        <v>81</v>
      </c>
      <c r="L117" s="66" t="s">
        <v>82</v>
      </c>
      <c r="M117" s="106" t="s">
        <v>83</v>
      </c>
      <c r="N117" s="67" t="s">
        <v>84</v>
      </c>
      <c r="O117" s="107" t="s">
        <v>85</v>
      </c>
      <c r="P117" s="108" t="s">
        <v>86</v>
      </c>
      <c r="Q117" s="108" t="s">
        <v>87</v>
      </c>
      <c r="R117" s="13" t="s">
        <v>88</v>
      </c>
      <c r="S117" s="166"/>
      <c r="T117" s="164"/>
      <c r="U117" s="167"/>
    </row>
    <row r="118" customFormat="false" ht="20.1" hidden="false" customHeight="true" outlineLevel="0" collapsed="false">
      <c r="B118" s="62"/>
      <c r="C118" s="164"/>
      <c r="D118" s="171"/>
      <c r="E118" s="318" t="s">
        <v>37</v>
      </c>
      <c r="F118" s="16" t="s">
        <v>38</v>
      </c>
      <c r="G118" s="250" t="n">
        <v>1</v>
      </c>
      <c r="H118" s="251" t="s">
        <v>67</v>
      </c>
      <c r="I118" s="250" t="n">
        <v>2</v>
      </c>
      <c r="J118" s="251" t="n">
        <v>14</v>
      </c>
      <c r="K118" s="253" t="s">
        <v>67</v>
      </c>
      <c r="L118" s="253" t="n">
        <f aca="false">IF(J118="",0,(J118/J122)*100)</f>
        <v>77.7777777777778</v>
      </c>
      <c r="M118" s="250" t="n">
        <v>2</v>
      </c>
      <c r="N118" s="254" t="n">
        <v>3</v>
      </c>
      <c r="O118" s="115" t="n">
        <f aca="false">IF(M118=1,1,0)</f>
        <v>0</v>
      </c>
      <c r="P118" s="116" t="n">
        <f aca="false">IF(M118=2,1,0)</f>
        <v>1</v>
      </c>
      <c r="Q118" s="116" t="n">
        <f aca="false">IF(M118=3,1,0)</f>
        <v>0</v>
      </c>
      <c r="R118" s="117" t="n">
        <f aca="false">IF(M118=4,1,0)</f>
        <v>0</v>
      </c>
      <c r="S118" s="170"/>
      <c r="T118" s="164"/>
      <c r="U118" s="62"/>
    </row>
    <row r="119" customFormat="false" ht="20.1" hidden="false" customHeight="true" outlineLevel="0" collapsed="false">
      <c r="B119" s="62"/>
      <c r="C119" s="164"/>
      <c r="D119" s="164"/>
      <c r="E119" s="326" t="s">
        <v>29</v>
      </c>
      <c r="F119" s="33" t="s">
        <v>30</v>
      </c>
      <c r="G119" s="241" t="n">
        <v>3</v>
      </c>
      <c r="H119" s="242" t="s">
        <v>67</v>
      </c>
      <c r="I119" s="241" t="n">
        <v>2</v>
      </c>
      <c r="J119" s="242" t="n">
        <v>2</v>
      </c>
      <c r="K119" s="256" t="s">
        <v>67</v>
      </c>
      <c r="L119" s="243" t="n">
        <f aca="false">IF(J119="",0,(J119/J122)*100)</f>
        <v>11.1111111111111</v>
      </c>
      <c r="M119" s="241" t="n">
        <v>3</v>
      </c>
      <c r="N119" s="244" t="n">
        <v>0.5</v>
      </c>
      <c r="O119" s="121" t="n">
        <f aca="false">IF(M119=1,1,0)</f>
        <v>0</v>
      </c>
      <c r="P119" s="122" t="n">
        <f aca="false">IF(M119=2,1,0)</f>
        <v>0</v>
      </c>
      <c r="Q119" s="122" t="n">
        <f aca="false">IF(M119=3,1,0)</f>
        <v>1</v>
      </c>
      <c r="R119" s="123" t="n">
        <f aca="false">IF(M119=4,1,0)</f>
        <v>0</v>
      </c>
      <c r="S119" s="170"/>
      <c r="T119" s="164"/>
      <c r="U119" s="173"/>
    </row>
    <row r="120" customFormat="false" ht="20.1" hidden="false" customHeight="true" outlineLevel="0" collapsed="false">
      <c r="B120" s="62"/>
      <c r="C120" s="164"/>
      <c r="D120" s="164"/>
      <c r="E120" s="174" t="s">
        <v>39</v>
      </c>
      <c r="F120" s="175" t="s">
        <v>40</v>
      </c>
      <c r="G120" s="151" t="n">
        <v>4</v>
      </c>
      <c r="H120" s="152" t="s">
        <v>67</v>
      </c>
      <c r="I120" s="151" t="n">
        <v>2</v>
      </c>
      <c r="J120" s="152" t="n">
        <v>18</v>
      </c>
      <c r="K120" s="443" t="s">
        <v>67</v>
      </c>
      <c r="L120" s="153" t="n">
        <f aca="false">IF(J120="",0,(J120/J122)*100)</f>
        <v>100</v>
      </c>
      <c r="M120" s="151" t="n">
        <v>1</v>
      </c>
      <c r="N120" s="154" t="n">
        <v>6</v>
      </c>
      <c r="O120" s="121" t="n">
        <f aca="false">IF(M120=1,1,0)</f>
        <v>1</v>
      </c>
      <c r="P120" s="122" t="n">
        <f aca="false">IF(M120=2,1,0)</f>
        <v>0</v>
      </c>
      <c r="Q120" s="122" t="n">
        <f aca="false">IF(M120=3,1,0)</f>
        <v>0</v>
      </c>
      <c r="R120" s="123" t="n">
        <f aca="false">IF(M120=4,1,0)</f>
        <v>0</v>
      </c>
      <c r="S120" s="170"/>
      <c r="T120" s="164"/>
      <c r="U120" s="173"/>
    </row>
    <row r="121" customFormat="false" ht="20.1" hidden="false" customHeight="true" outlineLevel="0" collapsed="false">
      <c r="B121" s="62"/>
      <c r="C121" s="164"/>
      <c r="D121" s="164"/>
      <c r="E121" s="234" t="s">
        <v>43</v>
      </c>
      <c r="F121" s="44" t="s">
        <v>44</v>
      </c>
      <c r="G121" s="245" t="n">
        <v>2</v>
      </c>
      <c r="H121" s="246" t="s">
        <v>67</v>
      </c>
      <c r="I121" s="245" t="n">
        <v>2</v>
      </c>
      <c r="J121" s="246" t="n">
        <v>2</v>
      </c>
      <c r="K121" s="247" t="s">
        <v>67</v>
      </c>
      <c r="L121" s="247" t="n">
        <f aca="false">IF(J121="",0,(J121/J122)*100)</f>
        <v>11.1111111111111</v>
      </c>
      <c r="M121" s="245" t="n">
        <v>3</v>
      </c>
      <c r="N121" s="248" t="n">
        <v>0.5</v>
      </c>
      <c r="O121" s="127" t="n">
        <f aca="false">IF(M121=1,1,0)</f>
        <v>0</v>
      </c>
      <c r="P121" s="128" t="n">
        <f aca="false">IF(M121=2,1,0)</f>
        <v>0</v>
      </c>
      <c r="Q121" s="128" t="n">
        <f aca="false">IF(M121=3,1,0)</f>
        <v>1</v>
      </c>
      <c r="R121" s="129" t="n">
        <f aca="false">IF(M121=4,1,0)</f>
        <v>0</v>
      </c>
      <c r="S121" s="170"/>
      <c r="T121" s="164"/>
      <c r="U121" s="173"/>
    </row>
    <row r="122" customFormat="false" ht="20.1" hidden="true" customHeight="true" outlineLevel="1" collapsed="false">
      <c r="B122" s="62"/>
      <c r="C122" s="164"/>
      <c r="D122" s="164"/>
      <c r="E122" s="164"/>
      <c r="F122" s="178"/>
      <c r="G122" s="178"/>
      <c r="H122" s="164"/>
      <c r="I122" s="179" t="s">
        <v>89</v>
      </c>
      <c r="J122" s="133" t="n">
        <f aca="false">MAX(J118:J121)</f>
        <v>18</v>
      </c>
      <c r="K122" s="180"/>
      <c r="L122" s="170"/>
      <c r="M122" s="164"/>
      <c r="N122" s="136" t="s">
        <v>90</v>
      </c>
      <c r="O122" s="137" t="n">
        <f aca="false">SUM(O118:O121)</f>
        <v>1</v>
      </c>
      <c r="P122" s="138" t="n">
        <f aca="false">SUM(P118:P121)</f>
        <v>1</v>
      </c>
      <c r="Q122" s="137" t="n">
        <f aca="false">SUM(Q118:Q121)</f>
        <v>2</v>
      </c>
      <c r="R122" s="160" t="n">
        <f aca="false">SUM(R118:R121)</f>
        <v>0</v>
      </c>
      <c r="S122" s="181"/>
      <c r="T122" s="164"/>
      <c r="U122" s="173"/>
    </row>
    <row r="123" customFormat="false" ht="20.1" hidden="false" customHeight="true" outlineLevel="0" collapsed="false">
      <c r="B123" s="62"/>
      <c r="C123" s="164"/>
      <c r="D123" s="164"/>
      <c r="E123" s="164"/>
      <c r="F123" s="164"/>
      <c r="G123" s="164"/>
      <c r="H123" s="164"/>
      <c r="I123" s="164"/>
      <c r="J123" s="164"/>
      <c r="K123" s="164"/>
      <c r="L123" s="164"/>
      <c r="M123" s="164"/>
      <c r="N123" s="164"/>
      <c r="O123" s="164"/>
      <c r="P123" s="164"/>
      <c r="Q123" s="164"/>
      <c r="R123" s="164"/>
      <c r="S123" s="164"/>
      <c r="T123" s="164"/>
      <c r="U123" s="173"/>
    </row>
    <row r="124" customFormat="false" ht="20.1" hidden="false" customHeight="true" outlineLevel="0" collapsed="false">
      <c r="B124" s="62"/>
      <c r="D124" s="162"/>
      <c r="E124" s="162"/>
      <c r="F124" s="162"/>
      <c r="G124" s="162"/>
      <c r="H124" s="163"/>
      <c r="I124" s="162"/>
      <c r="J124" s="162"/>
      <c r="K124" s="162"/>
      <c r="U124" s="62"/>
    </row>
    <row r="125" customFormat="false" ht="20.1" hidden="false" customHeight="true" outlineLevel="0" collapsed="false">
      <c r="B125" s="62"/>
      <c r="C125" s="182"/>
      <c r="D125" s="182"/>
      <c r="E125" s="183" t="str">
        <f aca="false">IF(OR(L95="-",L95= ""),H95,L95)</f>
        <v>7 Wonders</v>
      </c>
      <c r="F125" s="183"/>
      <c r="G125" s="183"/>
      <c r="H125" s="183"/>
      <c r="I125" s="183"/>
      <c r="J125" s="183"/>
      <c r="K125" s="183"/>
      <c r="L125" s="183"/>
      <c r="M125" s="183"/>
      <c r="N125" s="183"/>
      <c r="O125" s="184"/>
      <c r="P125" s="184"/>
      <c r="Q125" s="184"/>
      <c r="R125" s="184"/>
      <c r="S125" s="184"/>
      <c r="T125" s="182"/>
      <c r="U125" s="62"/>
    </row>
    <row r="126" customFormat="false" ht="50.1" hidden="false" customHeight="true" outlineLevel="0" collapsed="false">
      <c r="B126" s="62"/>
      <c r="C126" s="182"/>
      <c r="D126" s="184"/>
      <c r="E126" s="65" t="s">
        <v>53</v>
      </c>
      <c r="F126" s="104" t="s">
        <v>76</v>
      </c>
      <c r="G126" s="67" t="s">
        <v>77</v>
      </c>
      <c r="H126" s="66" t="s">
        <v>78</v>
      </c>
      <c r="I126" s="54" t="s">
        <v>79</v>
      </c>
      <c r="J126" s="66" t="s">
        <v>80</v>
      </c>
      <c r="K126" s="105" t="s">
        <v>81</v>
      </c>
      <c r="L126" s="66" t="s">
        <v>82</v>
      </c>
      <c r="M126" s="106" t="s">
        <v>83</v>
      </c>
      <c r="N126" s="67" t="s">
        <v>84</v>
      </c>
      <c r="O126" s="107" t="s">
        <v>85</v>
      </c>
      <c r="P126" s="108" t="s">
        <v>86</v>
      </c>
      <c r="Q126" s="108" t="s">
        <v>87</v>
      </c>
      <c r="R126" s="13" t="s">
        <v>88</v>
      </c>
      <c r="S126" s="184"/>
      <c r="T126" s="182"/>
      <c r="U126" s="62"/>
    </row>
    <row r="127" customFormat="false" ht="20.1" hidden="false" customHeight="true" outlineLevel="0" collapsed="false">
      <c r="B127" s="62"/>
      <c r="C127" s="182"/>
      <c r="D127" s="182"/>
      <c r="E127" s="318" t="s">
        <v>37</v>
      </c>
      <c r="F127" s="16" t="s">
        <v>38</v>
      </c>
      <c r="G127" s="250" t="s">
        <v>67</v>
      </c>
      <c r="H127" s="251" t="s">
        <v>404</v>
      </c>
      <c r="I127" s="250" t="n">
        <v>1</v>
      </c>
      <c r="J127" s="250" t="n">
        <v>48</v>
      </c>
      <c r="K127" s="250" t="s">
        <v>67</v>
      </c>
      <c r="L127" s="253" t="n">
        <f aca="false">IF(J127="",0,(J127/J131)*100)</f>
        <v>87.2727272727273</v>
      </c>
      <c r="M127" s="250" t="n">
        <v>3</v>
      </c>
      <c r="N127" s="254" t="n">
        <v>4</v>
      </c>
      <c r="O127" s="115" t="n">
        <f aca="false">IF(M127=1,1,0)</f>
        <v>0</v>
      </c>
      <c r="P127" s="116" t="n">
        <f aca="false">IF(M127=2,1,0)</f>
        <v>0</v>
      </c>
      <c r="Q127" s="116" t="n">
        <f aca="false">IF(M127=3,1,0)</f>
        <v>1</v>
      </c>
      <c r="R127" s="117" t="n">
        <f aca="false">IF(M127=4,1,0)</f>
        <v>0</v>
      </c>
      <c r="S127" s="185"/>
      <c r="T127" s="182"/>
      <c r="U127" s="62"/>
    </row>
    <row r="128" customFormat="false" ht="20.1" hidden="false" customHeight="true" outlineLevel="0" collapsed="false">
      <c r="B128" s="62"/>
      <c r="C128" s="182"/>
      <c r="D128" s="182"/>
      <c r="E128" s="174" t="s">
        <v>29</v>
      </c>
      <c r="F128" s="175" t="s">
        <v>30</v>
      </c>
      <c r="G128" s="151" t="s">
        <v>67</v>
      </c>
      <c r="H128" s="152" t="s">
        <v>405</v>
      </c>
      <c r="I128" s="151" t="n">
        <v>1</v>
      </c>
      <c r="J128" s="151" t="n">
        <v>55</v>
      </c>
      <c r="K128" s="152" t="s">
        <v>67</v>
      </c>
      <c r="L128" s="153" t="n">
        <f aca="false">IF(J128="",0,(J128/J131)*100)</f>
        <v>100</v>
      </c>
      <c r="M128" s="151" t="n">
        <v>1</v>
      </c>
      <c r="N128" s="154" t="n">
        <v>6</v>
      </c>
      <c r="O128" s="121" t="n">
        <f aca="false">IF(M128=1,1,0)</f>
        <v>1</v>
      </c>
      <c r="P128" s="122" t="n">
        <f aca="false">IF(M128=2,1,0)</f>
        <v>0</v>
      </c>
      <c r="Q128" s="122" t="n">
        <f aca="false">IF(M128=3,1,0)</f>
        <v>0</v>
      </c>
      <c r="R128" s="123" t="n">
        <f aca="false">IF(M128=4,1,0)</f>
        <v>0</v>
      </c>
      <c r="S128" s="185"/>
      <c r="T128" s="182"/>
      <c r="U128" s="62"/>
    </row>
    <row r="129" customFormat="false" ht="20.1" hidden="false" customHeight="true" outlineLevel="0" collapsed="false">
      <c r="B129" s="62"/>
      <c r="C129" s="182"/>
      <c r="D129" s="182"/>
      <c r="E129" s="326" t="s">
        <v>39</v>
      </c>
      <c r="F129" s="33" t="s">
        <v>40</v>
      </c>
      <c r="G129" s="241" t="s">
        <v>67</v>
      </c>
      <c r="H129" s="242" t="s">
        <v>406</v>
      </c>
      <c r="I129" s="241" t="n">
        <v>1</v>
      </c>
      <c r="J129" s="241" t="n">
        <v>54</v>
      </c>
      <c r="K129" s="241" t="s">
        <v>67</v>
      </c>
      <c r="L129" s="243" t="n">
        <f aca="false">IF(J129="",0,(J129/J131)*100)</f>
        <v>98.1818181818182</v>
      </c>
      <c r="M129" s="241" t="n">
        <v>2</v>
      </c>
      <c r="N129" s="244" t="n">
        <v>3</v>
      </c>
      <c r="O129" s="121" t="n">
        <f aca="false">IF(M129=1,1,0)</f>
        <v>0</v>
      </c>
      <c r="P129" s="122" t="n">
        <f aca="false">IF(M129=2,1,0)</f>
        <v>1</v>
      </c>
      <c r="Q129" s="122" t="n">
        <f aca="false">IF(M129=3,1,0)</f>
        <v>0</v>
      </c>
      <c r="R129" s="123" t="n">
        <f aca="false">IF(M129=4,1,0)</f>
        <v>0</v>
      </c>
      <c r="S129" s="185"/>
      <c r="T129" s="182"/>
      <c r="U129" s="62"/>
    </row>
    <row r="130" customFormat="false" ht="20.1" hidden="false" customHeight="true" outlineLevel="0" collapsed="false">
      <c r="B130" s="62"/>
      <c r="C130" s="182"/>
      <c r="D130" s="186"/>
      <c r="E130" s="234" t="s">
        <v>43</v>
      </c>
      <c r="F130" s="44" t="s">
        <v>44</v>
      </c>
      <c r="G130" s="245" t="s">
        <v>67</v>
      </c>
      <c r="H130" s="246" t="s">
        <v>337</v>
      </c>
      <c r="I130" s="245" t="n">
        <v>1</v>
      </c>
      <c r="J130" s="245" t="n">
        <v>38</v>
      </c>
      <c r="K130" s="246" t="s">
        <v>67</v>
      </c>
      <c r="L130" s="247" t="n">
        <f aca="false">IF(J130="",0,(J130/J131)*100)</f>
        <v>69.0909090909091</v>
      </c>
      <c r="M130" s="245" t="n">
        <v>4</v>
      </c>
      <c r="N130" s="248" t="n">
        <v>1</v>
      </c>
      <c r="O130" s="127" t="n">
        <f aca="false">IF(M130=1,1,0)</f>
        <v>0</v>
      </c>
      <c r="P130" s="128" t="n">
        <f aca="false">IF(M130=2,1,0)</f>
        <v>0</v>
      </c>
      <c r="Q130" s="128" t="n">
        <f aca="false">IF(M130=3,1,0)</f>
        <v>0</v>
      </c>
      <c r="R130" s="129" t="n">
        <f aca="false">IF(M130=4,1,0)</f>
        <v>1</v>
      </c>
      <c r="S130" s="185"/>
      <c r="T130" s="182"/>
      <c r="U130" s="62"/>
    </row>
    <row r="131" customFormat="false" ht="20.1" hidden="true" customHeight="true" outlineLevel="1" collapsed="false">
      <c r="B131" s="62"/>
      <c r="C131" s="182"/>
      <c r="D131" s="182"/>
      <c r="E131" s="182"/>
      <c r="F131" s="187"/>
      <c r="G131" s="187"/>
      <c r="H131" s="182"/>
      <c r="I131" s="179" t="s">
        <v>89</v>
      </c>
      <c r="J131" s="133" t="n">
        <f aca="false">MAX(J127:J130)</f>
        <v>55</v>
      </c>
      <c r="K131" s="188"/>
      <c r="L131" s="185"/>
      <c r="M131" s="182"/>
      <c r="N131" s="136" t="s">
        <v>90</v>
      </c>
      <c r="O131" s="137" t="n">
        <f aca="false">SUM(O127:O130)</f>
        <v>1</v>
      </c>
      <c r="P131" s="138" t="n">
        <f aca="false">SUM(P127:P130)</f>
        <v>1</v>
      </c>
      <c r="Q131" s="137" t="n">
        <f aca="false">SUM(Q127:Q130)</f>
        <v>1</v>
      </c>
      <c r="R131" s="160" t="n">
        <f aca="false">SUM(R127:R130)</f>
        <v>1</v>
      </c>
      <c r="S131" s="189"/>
      <c r="T131" s="182"/>
      <c r="U131" s="62"/>
    </row>
    <row r="132" customFormat="false" ht="20.1" hidden="false" customHeight="true" outlineLevel="0" collapsed="false">
      <c r="B132" s="62"/>
      <c r="C132" s="182"/>
      <c r="D132" s="182"/>
      <c r="E132" s="182"/>
      <c r="F132" s="182"/>
      <c r="G132" s="182"/>
      <c r="H132" s="182"/>
      <c r="I132" s="182"/>
      <c r="J132" s="182"/>
      <c r="K132" s="182"/>
      <c r="L132" s="182"/>
      <c r="M132" s="182"/>
      <c r="N132" s="182"/>
      <c r="O132" s="182"/>
      <c r="P132" s="182"/>
      <c r="Q132" s="182"/>
      <c r="R132" s="182"/>
      <c r="S132" s="182"/>
      <c r="T132" s="182"/>
      <c r="U132" s="62"/>
    </row>
    <row r="133" customFormat="false" ht="20.1" hidden="false" customHeight="true" outlineLevel="0" collapsed="false">
      <c r="B133" s="62"/>
      <c r="D133" s="5"/>
      <c r="E133" s="5"/>
      <c r="F133" s="5"/>
      <c r="G133" s="5"/>
      <c r="H133" s="5"/>
      <c r="I133" s="5"/>
      <c r="J133" s="5"/>
      <c r="U133" s="62"/>
    </row>
    <row r="134" customFormat="false" ht="30" hidden="false" customHeight="true" outlineLevel="0" collapsed="false">
      <c r="B134" s="62"/>
      <c r="C134" s="190"/>
      <c r="D134" s="191" t="s">
        <v>135</v>
      </c>
      <c r="E134" s="191"/>
      <c r="F134" s="191"/>
      <c r="G134" s="191"/>
      <c r="H134" s="191"/>
      <c r="I134" s="191"/>
      <c r="J134" s="191"/>
      <c r="K134" s="191"/>
      <c r="L134" s="191"/>
      <c r="M134" s="191"/>
      <c r="N134" s="191"/>
      <c r="O134" s="191"/>
      <c r="P134" s="191"/>
      <c r="Q134" s="191"/>
      <c r="R134" s="191"/>
      <c r="S134" s="191"/>
      <c r="T134" s="190"/>
      <c r="U134" s="62"/>
    </row>
    <row r="135" customFormat="false" ht="50.1" hidden="false" customHeight="true" outlineLevel="0" collapsed="false">
      <c r="B135" s="62"/>
      <c r="C135" s="190"/>
      <c r="D135" s="192" t="s">
        <v>53</v>
      </c>
      <c r="E135" s="193" t="s">
        <v>54</v>
      </c>
      <c r="F135" s="194" t="s">
        <v>84</v>
      </c>
      <c r="G135" s="195" t="s">
        <v>100</v>
      </c>
      <c r="H135" s="196" t="s">
        <v>101</v>
      </c>
      <c r="I135" s="196"/>
      <c r="J135" s="197" t="s">
        <v>102</v>
      </c>
      <c r="K135" s="198" t="s">
        <v>103</v>
      </c>
      <c r="L135" s="194" t="s">
        <v>104</v>
      </c>
      <c r="M135" s="198" t="s">
        <v>105</v>
      </c>
      <c r="N135" s="194" t="s">
        <v>106</v>
      </c>
      <c r="O135" s="199"/>
      <c r="P135" s="200"/>
      <c r="Q135" s="200"/>
      <c r="R135" s="200"/>
      <c r="S135" s="193" t="s">
        <v>107</v>
      </c>
      <c r="T135" s="190"/>
      <c r="U135" s="62"/>
    </row>
    <row r="136" customFormat="false" ht="20.1" hidden="false" customHeight="true" outlineLevel="0" collapsed="false">
      <c r="B136" s="62"/>
      <c r="C136" s="190"/>
      <c r="D136" s="425" t="s">
        <v>39</v>
      </c>
      <c r="E136" s="302" t="s">
        <v>40</v>
      </c>
      <c r="F136" s="258" t="n">
        <f aca="false">K136*6+L136*3+M136*1+N136*0</f>
        <v>21</v>
      </c>
      <c r="G136" s="259" t="n">
        <v>0</v>
      </c>
      <c r="H136" s="259" t="s">
        <v>67</v>
      </c>
      <c r="I136" s="259"/>
      <c r="J136" s="258" t="n">
        <f aca="false">F136+G136</f>
        <v>21</v>
      </c>
      <c r="K136" s="258" t="n">
        <v>3</v>
      </c>
      <c r="L136" s="258" t="n">
        <v>1</v>
      </c>
      <c r="M136" s="258" t="n">
        <v>0</v>
      </c>
      <c r="N136" s="258" t="n">
        <v>0</v>
      </c>
      <c r="O136" s="260"/>
      <c r="P136" s="259"/>
      <c r="Q136" s="259"/>
      <c r="R136" s="259"/>
      <c r="S136" s="261" t="n">
        <f aca="false">(L102++L111+L120+L129)/4</f>
        <v>99.5454545454546</v>
      </c>
      <c r="T136" s="190"/>
      <c r="U136" s="62"/>
    </row>
    <row r="137" customFormat="false" ht="20.1" hidden="false" customHeight="true" outlineLevel="0" collapsed="false">
      <c r="B137" s="62"/>
      <c r="C137" s="190"/>
      <c r="D137" s="444" t="s">
        <v>29</v>
      </c>
      <c r="E137" s="208" t="s">
        <v>30</v>
      </c>
      <c r="F137" s="426" t="n">
        <f aca="false">K137*6+L137*3+M137*1+N137*0</f>
        <v>12.5</v>
      </c>
      <c r="G137" s="263" t="n">
        <v>0</v>
      </c>
      <c r="H137" s="263" t="s">
        <v>67</v>
      </c>
      <c r="I137" s="263"/>
      <c r="J137" s="426" t="n">
        <f aca="false">F137+G137</f>
        <v>12.5</v>
      </c>
      <c r="K137" s="262" t="n">
        <v>1</v>
      </c>
      <c r="L137" s="262" t="n">
        <v>2</v>
      </c>
      <c r="M137" s="426" t="n">
        <v>0.5</v>
      </c>
      <c r="N137" s="426" t="n">
        <v>0.5</v>
      </c>
      <c r="O137" s="264"/>
      <c r="P137" s="263"/>
      <c r="Q137" s="263"/>
      <c r="R137" s="263"/>
      <c r="S137" s="265" t="n">
        <f aca="false">(L101+L110+L119+L128)/4</f>
        <v>69.8965362123257</v>
      </c>
      <c r="T137" s="190"/>
      <c r="U137" s="62"/>
      <c r="Y137" s="266"/>
      <c r="Z137" s="266"/>
      <c r="AA137" s="267"/>
      <c r="AB137" s="267"/>
      <c r="AC137" s="268"/>
      <c r="AD137" s="268"/>
      <c r="AE137" s="268"/>
    </row>
    <row r="138" customFormat="false" ht="20.1" hidden="false" customHeight="true" outlineLevel="0" collapsed="false">
      <c r="B138" s="62"/>
      <c r="C138" s="190"/>
      <c r="D138" s="444" t="s">
        <v>37</v>
      </c>
      <c r="E138" s="208" t="s">
        <v>38</v>
      </c>
      <c r="F138" s="262" t="n">
        <f aca="false">K138*6+L138*3+M138*1+N138*0</f>
        <v>6</v>
      </c>
      <c r="G138" s="263" t="n">
        <v>0</v>
      </c>
      <c r="H138" s="263" t="s">
        <v>67</v>
      </c>
      <c r="I138" s="263"/>
      <c r="J138" s="262" t="n">
        <f aca="false">F138+G138</f>
        <v>6</v>
      </c>
      <c r="K138" s="262" t="n">
        <v>0</v>
      </c>
      <c r="L138" s="262" t="n">
        <v>1</v>
      </c>
      <c r="M138" s="262" t="n">
        <v>3</v>
      </c>
      <c r="N138" s="262" t="n">
        <v>0</v>
      </c>
      <c r="O138" s="264"/>
      <c r="P138" s="263"/>
      <c r="Q138" s="263"/>
      <c r="R138" s="263"/>
      <c r="S138" s="265" t="n">
        <f aca="false">(L100+L109+L118+L127)/4</f>
        <v>78.5298327403591</v>
      </c>
      <c r="T138" s="190"/>
      <c r="U138" s="62"/>
    </row>
    <row r="139" customFormat="false" ht="20.1" hidden="false" customHeight="true" outlineLevel="0" collapsed="false">
      <c r="B139" s="62"/>
      <c r="C139" s="190"/>
      <c r="D139" s="270" t="s">
        <v>43</v>
      </c>
      <c r="E139" s="215" t="s">
        <v>44</v>
      </c>
      <c r="F139" s="428" t="n">
        <f aca="false">K139*6+L139*3+M139*1+N139*0</f>
        <v>0.5</v>
      </c>
      <c r="G139" s="272" t="n">
        <v>0</v>
      </c>
      <c r="H139" s="272" t="s">
        <v>67</v>
      </c>
      <c r="I139" s="272"/>
      <c r="J139" s="428" t="n">
        <f aca="false">F139+G139</f>
        <v>0.5</v>
      </c>
      <c r="K139" s="271" t="n">
        <v>0</v>
      </c>
      <c r="L139" s="271" t="n">
        <v>0</v>
      </c>
      <c r="M139" s="428" t="n">
        <v>0.5</v>
      </c>
      <c r="N139" s="428" t="n">
        <v>3.5</v>
      </c>
      <c r="O139" s="273"/>
      <c r="P139" s="272"/>
      <c r="Q139" s="272"/>
      <c r="R139" s="272"/>
      <c r="S139" s="274" t="n">
        <f aca="false">(L103+L112+L121+L130)/4</f>
        <v>54.8953093689936</v>
      </c>
      <c r="T139" s="190"/>
      <c r="U139" s="62"/>
    </row>
    <row r="140" customFormat="false" ht="20.1" hidden="false" customHeight="true" outlineLevel="0" collapsed="false">
      <c r="B140" s="62"/>
      <c r="C140" s="190"/>
      <c r="D140" s="422"/>
      <c r="E140" s="422"/>
      <c r="F140" s="429"/>
      <c r="G140" s="377"/>
      <c r="H140" s="430"/>
      <c r="I140" s="430"/>
      <c r="J140" s="429"/>
      <c r="K140" s="429"/>
      <c r="L140" s="429"/>
      <c r="M140" s="429"/>
      <c r="N140" s="429"/>
      <c r="O140" s="376"/>
      <c r="P140" s="377"/>
      <c r="Q140" s="377"/>
      <c r="R140" s="377"/>
      <c r="S140" s="408"/>
      <c r="T140" s="190"/>
      <c r="U140" s="62"/>
    </row>
    <row r="141" customFormat="false" ht="20.1" hidden="false" customHeight="true" outlineLevel="0" collapsed="false">
      <c r="B141" s="62"/>
      <c r="C141" s="62"/>
      <c r="D141" s="219"/>
      <c r="E141" s="219"/>
      <c r="F141" s="167"/>
      <c r="G141" s="167"/>
      <c r="H141" s="219"/>
      <c r="I141" s="219"/>
      <c r="J141" s="219"/>
      <c r="K141" s="62"/>
      <c r="L141" s="62"/>
      <c r="M141" s="62"/>
      <c r="N141" s="62"/>
      <c r="O141" s="62"/>
      <c r="P141" s="62"/>
      <c r="Q141" s="62"/>
      <c r="R141" s="62"/>
      <c r="S141" s="62"/>
      <c r="T141" s="62"/>
      <c r="U141" s="62"/>
    </row>
    <row r="142" customFormat="false" ht="20.1" hidden="false" customHeight="true" outlineLevel="0" collapsed="false"/>
    <row r="143" customFormat="false" ht="20.1" hidden="false" customHeight="true" outlineLevel="0" collapsed="false"/>
    <row r="144" customFormat="false" ht="20.1" hidden="false" customHeight="true" outlineLevel="0" collapsed="false">
      <c r="B144" s="62"/>
      <c r="C144" s="62"/>
      <c r="D144" s="63"/>
      <c r="E144" s="63"/>
      <c r="F144" s="63"/>
      <c r="G144" s="63"/>
      <c r="H144" s="62"/>
      <c r="I144" s="62"/>
      <c r="J144" s="62"/>
      <c r="K144" s="62"/>
      <c r="L144" s="62"/>
      <c r="M144" s="62"/>
      <c r="N144" s="62"/>
      <c r="O144" s="62"/>
      <c r="P144" s="62"/>
      <c r="Q144" s="62"/>
      <c r="R144" s="62"/>
      <c r="S144" s="62"/>
      <c r="T144" s="62"/>
      <c r="U144" s="62"/>
    </row>
    <row r="145" customFormat="false" ht="30" hidden="false" customHeight="true" outlineLevel="0" collapsed="false">
      <c r="B145" s="62"/>
      <c r="C145" s="64" t="s">
        <v>407</v>
      </c>
      <c r="D145" s="64"/>
      <c r="E145" s="64"/>
      <c r="F145" s="64"/>
      <c r="G145" s="64"/>
      <c r="H145" s="64"/>
      <c r="I145" s="64"/>
      <c r="J145" s="64"/>
      <c r="K145" s="64"/>
      <c r="L145" s="64"/>
      <c r="M145" s="64"/>
      <c r="N145" s="64"/>
      <c r="O145" s="64"/>
      <c r="P145" s="64"/>
      <c r="Q145" s="64"/>
      <c r="R145" s="64"/>
      <c r="S145" s="64"/>
      <c r="T145" s="64"/>
      <c r="U145" s="62"/>
    </row>
    <row r="146" customFormat="false" ht="20.1" hidden="false" customHeight="true" outlineLevel="0" collapsed="false">
      <c r="B146" s="62"/>
      <c r="U146" s="62"/>
    </row>
    <row r="147" customFormat="false" ht="20.1" hidden="false" customHeight="true" outlineLevel="0" collapsed="false">
      <c r="B147" s="62"/>
      <c r="D147" s="65" t="s">
        <v>53</v>
      </c>
      <c r="E147" s="66" t="s">
        <v>137</v>
      </c>
      <c r="F147" s="67" t="s">
        <v>11</v>
      </c>
      <c r="G147" s="68" t="s">
        <v>55</v>
      </c>
      <c r="H147" s="68"/>
      <c r="I147" s="68"/>
      <c r="J147" s="68"/>
      <c r="K147" s="66" t="s">
        <v>56</v>
      </c>
      <c r="L147" s="68" t="s">
        <v>57</v>
      </c>
      <c r="M147" s="68"/>
      <c r="N147" s="68"/>
      <c r="O147" s="68"/>
      <c r="P147" s="68"/>
      <c r="Q147" s="68"/>
      <c r="R147" s="68"/>
      <c r="S147" s="68"/>
      <c r="U147" s="62"/>
    </row>
    <row r="148" customFormat="false" ht="20.1" hidden="false" customHeight="true" outlineLevel="0" collapsed="false">
      <c r="B148" s="62"/>
      <c r="D148" s="65"/>
      <c r="E148" s="66"/>
      <c r="F148" s="66"/>
      <c r="G148" s="70" t="s">
        <v>58</v>
      </c>
      <c r="H148" s="69" t="s">
        <v>59</v>
      </c>
      <c r="I148" s="226" t="s">
        <v>60</v>
      </c>
      <c r="J148" s="226"/>
      <c r="K148" s="69" t="s">
        <v>61</v>
      </c>
      <c r="L148" s="224" t="s">
        <v>58</v>
      </c>
      <c r="M148" s="225" t="s">
        <v>62</v>
      </c>
      <c r="N148" s="226" t="s">
        <v>60</v>
      </c>
      <c r="O148" s="226"/>
      <c r="P148" s="226"/>
      <c r="Q148" s="226"/>
      <c r="R148" s="226"/>
      <c r="S148" s="226"/>
      <c r="U148" s="62"/>
    </row>
    <row r="149" customFormat="false" ht="20.1" hidden="false" customHeight="true" outlineLevel="0" collapsed="false">
      <c r="B149" s="62"/>
      <c r="D149" s="380" t="s">
        <v>24</v>
      </c>
      <c r="E149" s="381" t="s">
        <v>25</v>
      </c>
      <c r="F149" s="382" t="n">
        <v>1</v>
      </c>
      <c r="G149" s="227" t="s">
        <v>63</v>
      </c>
      <c r="H149" s="228" t="s">
        <v>408</v>
      </c>
      <c r="I149" s="277" t="s">
        <v>67</v>
      </c>
      <c r="J149" s="277"/>
      <c r="K149" s="229" t="s">
        <v>111</v>
      </c>
      <c r="L149" s="76" t="s">
        <v>67</v>
      </c>
      <c r="M149" s="77" t="s">
        <v>67</v>
      </c>
      <c r="N149" s="78" t="s">
        <v>67</v>
      </c>
      <c r="O149" s="78"/>
      <c r="P149" s="78"/>
      <c r="Q149" s="78"/>
      <c r="R149" s="78"/>
      <c r="S149" s="78"/>
      <c r="U149" s="62"/>
    </row>
    <row r="150" customFormat="false" ht="20.1" hidden="false" customHeight="true" outlineLevel="0" collapsed="false">
      <c r="B150" s="62"/>
      <c r="D150" s="432" t="s">
        <v>22</v>
      </c>
      <c r="E150" s="446" t="s">
        <v>23</v>
      </c>
      <c r="F150" s="499" t="n">
        <v>2</v>
      </c>
      <c r="G150" s="513" t="s">
        <v>63</v>
      </c>
      <c r="H150" s="514" t="s">
        <v>409</v>
      </c>
      <c r="I150" s="328" t="s">
        <v>67</v>
      </c>
      <c r="J150" s="328"/>
      <c r="K150" s="468" t="s">
        <v>111</v>
      </c>
      <c r="L150" s="437" t="s">
        <v>67</v>
      </c>
      <c r="M150" s="438" t="s">
        <v>67</v>
      </c>
      <c r="N150" s="439" t="s">
        <v>67</v>
      </c>
      <c r="O150" s="439"/>
      <c r="P150" s="439"/>
      <c r="Q150" s="439"/>
      <c r="R150" s="439"/>
      <c r="S150" s="439"/>
      <c r="U150" s="62"/>
    </row>
    <row r="151" customFormat="false" ht="20.1" hidden="false" customHeight="true" outlineLevel="0" collapsed="false">
      <c r="B151" s="62"/>
      <c r="D151" s="432" t="s">
        <v>22</v>
      </c>
      <c r="E151" s="446" t="s">
        <v>23</v>
      </c>
      <c r="F151" s="499" t="n">
        <v>3</v>
      </c>
      <c r="G151" s="434" t="s">
        <v>410</v>
      </c>
      <c r="H151" s="435" t="s">
        <v>411</v>
      </c>
      <c r="I151" s="335" t="s">
        <v>67</v>
      </c>
      <c r="J151" s="335"/>
      <c r="K151" s="386"/>
      <c r="L151" s="387"/>
      <c r="M151" s="388"/>
      <c r="N151" s="389"/>
      <c r="O151" s="389"/>
      <c r="P151" s="389"/>
      <c r="Q151" s="389"/>
      <c r="R151" s="389"/>
      <c r="S151" s="389"/>
      <c r="U151" s="62"/>
    </row>
    <row r="152" customFormat="false" ht="15" hidden="false" customHeight="true" outlineLevel="0" collapsed="false">
      <c r="B152" s="62"/>
      <c r="D152" s="362" t="s">
        <v>24</v>
      </c>
      <c r="E152" s="45" t="s">
        <v>25</v>
      </c>
      <c r="F152" s="396" t="n">
        <v>4</v>
      </c>
      <c r="G152" s="358" t="s">
        <v>63</v>
      </c>
      <c r="H152" s="96" t="s">
        <v>173</v>
      </c>
      <c r="I152" s="342" t="s">
        <v>412</v>
      </c>
      <c r="J152" s="342"/>
      <c r="K152" s="397"/>
      <c r="L152" s="387"/>
      <c r="M152" s="388"/>
      <c r="N152" s="389"/>
      <c r="O152" s="389"/>
      <c r="P152" s="389"/>
      <c r="Q152" s="389"/>
      <c r="R152" s="389"/>
      <c r="S152" s="389"/>
      <c r="U152" s="62"/>
    </row>
    <row r="153" customFormat="false" ht="27.95" hidden="false" customHeight="true" outlineLevel="0" collapsed="false">
      <c r="B153" s="62"/>
      <c r="D153" s="362"/>
      <c r="E153" s="45"/>
      <c r="F153" s="396"/>
      <c r="G153" s="358"/>
      <c r="H153" s="96"/>
      <c r="I153" s="347" t="s">
        <v>175</v>
      </c>
      <c r="J153" s="347"/>
      <c r="K153" s="531"/>
      <c r="L153" s="391"/>
      <c r="M153" s="392"/>
      <c r="N153" s="532"/>
      <c r="O153" s="532"/>
      <c r="P153" s="532"/>
      <c r="Q153" s="532"/>
      <c r="R153" s="532"/>
      <c r="S153" s="533"/>
      <c r="U153" s="62"/>
    </row>
    <row r="154" customFormat="false" ht="15" hidden="false" customHeight="true" outlineLevel="0" collapsed="false">
      <c r="B154" s="62"/>
      <c r="D154" s="362"/>
      <c r="E154" s="45"/>
      <c r="F154" s="396"/>
      <c r="G154" s="358"/>
      <c r="H154" s="96"/>
      <c r="I154" s="347" t="s">
        <v>413</v>
      </c>
      <c r="J154" s="347"/>
      <c r="K154" s="531"/>
      <c r="L154" s="391"/>
      <c r="M154" s="392"/>
      <c r="N154" s="532"/>
      <c r="O154" s="532"/>
      <c r="P154" s="532"/>
      <c r="Q154" s="532"/>
      <c r="R154" s="532"/>
      <c r="S154" s="533"/>
      <c r="U154" s="62"/>
    </row>
    <row r="155" customFormat="false" ht="15" hidden="false" customHeight="true" outlineLevel="0" collapsed="false">
      <c r="B155" s="62"/>
      <c r="D155" s="362"/>
      <c r="E155" s="45"/>
      <c r="F155" s="396"/>
      <c r="G155" s="358"/>
      <c r="H155" s="96"/>
      <c r="I155" s="347" t="s">
        <v>414</v>
      </c>
      <c r="J155" s="347"/>
      <c r="K155" s="531"/>
      <c r="L155" s="391"/>
      <c r="M155" s="392"/>
      <c r="N155" s="532"/>
      <c r="O155" s="532"/>
      <c r="P155" s="532"/>
      <c r="Q155" s="532"/>
      <c r="R155" s="532"/>
      <c r="S155" s="533"/>
      <c r="U155" s="62"/>
    </row>
    <row r="156" customFormat="false" ht="27.95" hidden="false" customHeight="true" outlineLevel="0" collapsed="false">
      <c r="B156" s="62"/>
      <c r="D156" s="362"/>
      <c r="E156" s="45"/>
      <c r="F156" s="396"/>
      <c r="G156" s="358"/>
      <c r="H156" s="96"/>
      <c r="I156" s="347" t="s">
        <v>415</v>
      </c>
      <c r="J156" s="347"/>
      <c r="K156" s="531"/>
      <c r="L156" s="391"/>
      <c r="M156" s="392"/>
      <c r="N156" s="532"/>
      <c r="O156" s="532"/>
      <c r="P156" s="532"/>
      <c r="Q156" s="532"/>
      <c r="R156" s="532"/>
      <c r="S156" s="533"/>
      <c r="U156" s="62"/>
    </row>
    <row r="157" customFormat="false" ht="15" hidden="false" customHeight="true" outlineLevel="0" collapsed="false">
      <c r="B157" s="62"/>
      <c r="D157" s="362"/>
      <c r="E157" s="45"/>
      <c r="F157" s="396"/>
      <c r="G157" s="358"/>
      <c r="H157" s="96"/>
      <c r="I157" s="348" t="s">
        <v>416</v>
      </c>
      <c r="J157" s="348"/>
      <c r="K157" s="398"/>
      <c r="L157" s="399"/>
      <c r="M157" s="400"/>
      <c r="N157" s="401"/>
      <c r="O157" s="401"/>
      <c r="P157" s="401"/>
      <c r="Q157" s="401"/>
      <c r="R157" s="401"/>
      <c r="S157" s="402"/>
      <c r="U157" s="62"/>
    </row>
    <row r="158" customFormat="false" ht="20.1" hidden="false" customHeight="true" outlineLevel="0" collapsed="false">
      <c r="B158" s="62"/>
      <c r="U158" s="62"/>
    </row>
    <row r="159" customFormat="false" ht="20.1" hidden="false" customHeight="true" outlineLevel="0" collapsed="false">
      <c r="B159" s="62"/>
      <c r="C159" s="101"/>
      <c r="D159" s="101"/>
      <c r="E159" s="102" t="str">
        <f aca="false">IF(OR(L149="-",L149= ""),H149,L149)</f>
        <v>7 Wonders Architects</v>
      </c>
      <c r="F159" s="102"/>
      <c r="G159" s="102"/>
      <c r="H159" s="102"/>
      <c r="I159" s="102"/>
      <c r="J159" s="102"/>
      <c r="K159" s="102"/>
      <c r="L159" s="102"/>
      <c r="M159" s="102"/>
      <c r="N159" s="102"/>
      <c r="O159" s="103"/>
      <c r="P159" s="103"/>
      <c r="Q159" s="103"/>
      <c r="R159" s="103"/>
      <c r="S159" s="103"/>
      <c r="T159" s="101"/>
      <c r="U159" s="62"/>
    </row>
    <row r="160" customFormat="false" ht="50.1" hidden="false" customHeight="true" outlineLevel="0" collapsed="false">
      <c r="B160" s="62"/>
      <c r="C160" s="101"/>
      <c r="D160" s="103"/>
      <c r="E160" s="65" t="s">
        <v>53</v>
      </c>
      <c r="F160" s="104" t="s">
        <v>76</v>
      </c>
      <c r="G160" s="67" t="s">
        <v>77</v>
      </c>
      <c r="H160" s="66" t="s">
        <v>78</v>
      </c>
      <c r="I160" s="54" t="s">
        <v>79</v>
      </c>
      <c r="J160" s="66" t="s">
        <v>80</v>
      </c>
      <c r="K160" s="105" t="s">
        <v>81</v>
      </c>
      <c r="L160" s="66" t="s">
        <v>82</v>
      </c>
      <c r="M160" s="106" t="s">
        <v>83</v>
      </c>
      <c r="N160" s="67" t="s">
        <v>84</v>
      </c>
      <c r="O160" s="107" t="s">
        <v>85</v>
      </c>
      <c r="P160" s="108" t="s">
        <v>86</v>
      </c>
      <c r="Q160" s="103"/>
      <c r="R160" s="103"/>
      <c r="S160" s="103"/>
      <c r="T160" s="101"/>
      <c r="U160" s="62"/>
    </row>
    <row r="161" customFormat="false" ht="20.1" hidden="false" customHeight="true" outlineLevel="0" collapsed="false">
      <c r="B161" s="62"/>
      <c r="C161" s="101"/>
      <c r="D161" s="124"/>
      <c r="E161" s="318" t="s">
        <v>24</v>
      </c>
      <c r="F161" s="16" t="s">
        <v>25</v>
      </c>
      <c r="G161" s="250" t="n">
        <v>1</v>
      </c>
      <c r="H161" s="250" t="s">
        <v>417</v>
      </c>
      <c r="I161" s="250" t="n">
        <v>0</v>
      </c>
      <c r="J161" s="250" t="n">
        <v>39</v>
      </c>
      <c r="K161" s="250" t="s">
        <v>67</v>
      </c>
      <c r="L161" s="253" t="n">
        <f aca="false">IF(J161="",0,(J161/J163)*100)</f>
        <v>69.6428571428571</v>
      </c>
      <c r="M161" s="250" t="n">
        <v>2</v>
      </c>
      <c r="N161" s="254" t="n">
        <v>0</v>
      </c>
      <c r="O161" s="116" t="n">
        <f aca="false">IF(M161=1,1,0)</f>
        <v>0</v>
      </c>
      <c r="P161" s="117" t="n">
        <f aca="false">IF(M161=2,1,0)</f>
        <v>1</v>
      </c>
      <c r="Q161" s="118"/>
      <c r="R161" s="118"/>
      <c r="S161" s="118"/>
      <c r="T161" s="101"/>
      <c r="U161" s="62"/>
    </row>
    <row r="162" customFormat="false" ht="20.1" hidden="false" customHeight="true" outlineLevel="0" collapsed="false">
      <c r="B162" s="62"/>
      <c r="C162" s="101"/>
      <c r="D162" s="101"/>
      <c r="E162" s="350" t="s">
        <v>22</v>
      </c>
      <c r="F162" s="294" t="s">
        <v>23</v>
      </c>
      <c r="G162" s="295" t="n">
        <v>2</v>
      </c>
      <c r="H162" s="295" t="s">
        <v>418</v>
      </c>
      <c r="I162" s="295" t="n">
        <v>0</v>
      </c>
      <c r="J162" s="295" t="n">
        <v>56</v>
      </c>
      <c r="K162" s="296" t="s">
        <v>67</v>
      </c>
      <c r="L162" s="297" t="n">
        <f aca="false">IF(J162="",0,(J162/J163)*100)</f>
        <v>100</v>
      </c>
      <c r="M162" s="295" t="n">
        <v>1</v>
      </c>
      <c r="N162" s="298" t="n">
        <v>6</v>
      </c>
      <c r="O162" s="128" t="n">
        <f aca="false">IF(M162=1,1,0)</f>
        <v>1</v>
      </c>
      <c r="P162" s="129" t="n">
        <f aca="false">IF(M162=2,1,0)</f>
        <v>0</v>
      </c>
      <c r="Q162" s="118"/>
      <c r="R162" s="118"/>
      <c r="S162" s="118"/>
      <c r="T162" s="101"/>
      <c r="U162" s="62"/>
    </row>
    <row r="163" customFormat="false" ht="20.1" hidden="true" customHeight="true" outlineLevel="1" collapsed="false">
      <c r="B163" s="62"/>
      <c r="C163" s="101"/>
      <c r="D163" s="124"/>
      <c r="E163" s="124"/>
      <c r="F163" s="131"/>
      <c r="G163" s="131"/>
      <c r="H163" s="101"/>
      <c r="I163" s="179" t="s">
        <v>89</v>
      </c>
      <c r="J163" s="133" t="n">
        <f aca="false">MAX(J161:J162)</f>
        <v>56</v>
      </c>
      <c r="K163" s="249"/>
      <c r="L163" s="139"/>
      <c r="M163" s="101"/>
      <c r="N163" s="136" t="s">
        <v>90</v>
      </c>
      <c r="O163" s="137" t="n">
        <f aca="false">SUM(O161:O162)</f>
        <v>1</v>
      </c>
      <c r="P163" s="160" t="n">
        <f aca="false">SUM(P161:P162)</f>
        <v>1</v>
      </c>
      <c r="Q163" s="139"/>
      <c r="R163" s="139"/>
      <c r="S163" s="139"/>
      <c r="T163" s="101"/>
      <c r="U163" s="62"/>
    </row>
    <row r="164" customFormat="false" ht="20.1" hidden="false" customHeight="true" outlineLevel="0" collapsed="false">
      <c r="B164" s="62"/>
      <c r="C164" s="101"/>
      <c r="D164" s="101"/>
      <c r="E164" s="101"/>
      <c r="F164" s="101"/>
      <c r="G164" s="101"/>
      <c r="H164" s="101"/>
      <c r="I164" s="101"/>
      <c r="J164" s="101"/>
      <c r="K164" s="101"/>
      <c r="L164" s="101"/>
      <c r="M164" s="101"/>
      <c r="N164" s="101"/>
      <c r="O164" s="101"/>
      <c r="P164" s="101"/>
      <c r="Q164" s="101"/>
      <c r="R164" s="101"/>
      <c r="S164" s="101"/>
      <c r="T164" s="101"/>
      <c r="U164" s="62"/>
    </row>
    <row r="165" customFormat="false" ht="20.1" hidden="false" customHeight="true" outlineLevel="0" collapsed="false">
      <c r="B165" s="62"/>
      <c r="U165" s="62"/>
    </row>
    <row r="166" customFormat="false" ht="20.1" hidden="false" customHeight="true" outlineLevel="0" collapsed="false">
      <c r="B166" s="62"/>
      <c r="C166" s="141"/>
      <c r="D166" s="141"/>
      <c r="E166" s="142" t="str">
        <f aca="false">IF(OR(L150="-",L150= ""),H150,L150)</f>
        <v>Targi</v>
      </c>
      <c r="F166" s="142"/>
      <c r="G166" s="142"/>
      <c r="H166" s="142"/>
      <c r="I166" s="142"/>
      <c r="J166" s="142"/>
      <c r="K166" s="142"/>
      <c r="L166" s="142"/>
      <c r="M166" s="142"/>
      <c r="N166" s="142"/>
      <c r="O166" s="143"/>
      <c r="P166" s="143"/>
      <c r="Q166" s="143"/>
      <c r="R166" s="143"/>
      <c r="S166" s="143"/>
      <c r="T166" s="141"/>
      <c r="U166" s="62"/>
    </row>
    <row r="167" customFormat="false" ht="50.1" hidden="false" customHeight="true" outlineLevel="0" collapsed="false">
      <c r="B167" s="62"/>
      <c r="C167" s="141"/>
      <c r="D167" s="143"/>
      <c r="E167" s="65" t="s">
        <v>53</v>
      </c>
      <c r="F167" s="104" t="s">
        <v>76</v>
      </c>
      <c r="G167" s="67" t="s">
        <v>77</v>
      </c>
      <c r="H167" s="66" t="s">
        <v>78</v>
      </c>
      <c r="I167" s="54" t="s">
        <v>79</v>
      </c>
      <c r="J167" s="66" t="s">
        <v>80</v>
      </c>
      <c r="K167" s="105" t="s">
        <v>81</v>
      </c>
      <c r="L167" s="66" t="s">
        <v>82</v>
      </c>
      <c r="M167" s="106" t="s">
        <v>83</v>
      </c>
      <c r="N167" s="67" t="s">
        <v>84</v>
      </c>
      <c r="O167" s="107" t="s">
        <v>85</v>
      </c>
      <c r="P167" s="108" t="s">
        <v>86</v>
      </c>
      <c r="Q167" s="143"/>
      <c r="R167" s="143"/>
      <c r="S167" s="143"/>
      <c r="T167" s="141"/>
      <c r="U167" s="62"/>
    </row>
    <row r="168" customFormat="false" ht="20.1" hidden="false" customHeight="true" outlineLevel="0" collapsed="false">
      <c r="B168" s="62"/>
      <c r="C168" s="141"/>
      <c r="D168" s="148"/>
      <c r="E168" s="403" t="s">
        <v>24</v>
      </c>
      <c r="F168" s="110" t="s">
        <v>25</v>
      </c>
      <c r="G168" s="111" t="n">
        <v>2</v>
      </c>
      <c r="H168" s="112" t="s">
        <v>67</v>
      </c>
      <c r="I168" s="111" t="n">
        <v>4</v>
      </c>
      <c r="J168" s="112" t="n">
        <v>42</v>
      </c>
      <c r="K168" s="406" t="s">
        <v>67</v>
      </c>
      <c r="L168" s="113" t="n">
        <f aca="false">IF(J168="",0,(J168/J170)*100)</f>
        <v>100</v>
      </c>
      <c r="M168" s="111" t="n">
        <v>1</v>
      </c>
      <c r="N168" s="114" t="n">
        <v>6</v>
      </c>
      <c r="O168" s="116" t="n">
        <f aca="false">IF(M168=1,1,0)</f>
        <v>1</v>
      </c>
      <c r="P168" s="117" t="n">
        <f aca="false">IF(M168=2,1,0)</f>
        <v>0</v>
      </c>
      <c r="Q168" s="147"/>
      <c r="R168" s="147"/>
      <c r="S168" s="147"/>
      <c r="T168" s="141"/>
      <c r="U168" s="62"/>
    </row>
    <row r="169" customFormat="false" ht="20.1" hidden="false" customHeight="true" outlineLevel="0" collapsed="false">
      <c r="B169" s="62"/>
      <c r="C169" s="141"/>
      <c r="D169" s="141"/>
      <c r="E169" s="349" t="s">
        <v>22</v>
      </c>
      <c r="F169" s="44" t="s">
        <v>23</v>
      </c>
      <c r="G169" s="245" t="n">
        <v>1</v>
      </c>
      <c r="H169" s="246" t="s">
        <v>67</v>
      </c>
      <c r="I169" s="245" t="n">
        <v>4</v>
      </c>
      <c r="J169" s="246" t="n">
        <v>35</v>
      </c>
      <c r="K169" s="246" t="s">
        <v>67</v>
      </c>
      <c r="L169" s="247" t="n">
        <f aca="false">IF(J169="",0,(J169/J170)*100)</f>
        <v>83.3333333333333</v>
      </c>
      <c r="M169" s="245" t="n">
        <v>2</v>
      </c>
      <c r="N169" s="248" t="n">
        <v>0</v>
      </c>
      <c r="O169" s="128" t="n">
        <f aca="false">IF(M169=1,1,0)</f>
        <v>0</v>
      </c>
      <c r="P169" s="129" t="n">
        <f aca="false">IF(M169=2,1,0)</f>
        <v>1</v>
      </c>
      <c r="Q169" s="147"/>
      <c r="R169" s="147"/>
      <c r="S169" s="147"/>
      <c r="T169" s="141"/>
      <c r="U169" s="62"/>
    </row>
    <row r="170" customFormat="false" ht="20.1" hidden="true" customHeight="true" outlineLevel="1" collapsed="false">
      <c r="B170" s="62"/>
      <c r="C170" s="141"/>
      <c r="D170" s="141"/>
      <c r="E170" s="141"/>
      <c r="F170" s="157"/>
      <c r="G170" s="157"/>
      <c r="H170" s="141"/>
      <c r="I170" s="179" t="s">
        <v>89</v>
      </c>
      <c r="J170" s="133" t="n">
        <f aca="false">MAX(J168:J169)</f>
        <v>42</v>
      </c>
      <c r="K170" s="159"/>
      <c r="L170" s="147"/>
      <c r="M170" s="141"/>
      <c r="N170" s="136" t="s">
        <v>90</v>
      </c>
      <c r="O170" s="137" t="n">
        <f aca="false">SUM(O168:O169)</f>
        <v>1</v>
      </c>
      <c r="P170" s="160" t="n">
        <f aca="false">SUM(P168:P169)</f>
        <v>1</v>
      </c>
      <c r="Q170" s="161"/>
      <c r="R170" s="161"/>
      <c r="S170" s="161"/>
      <c r="T170" s="141"/>
      <c r="U170" s="62"/>
    </row>
    <row r="171" customFormat="false" ht="20.1" hidden="false" customHeight="true" outlineLevel="0" collapsed="false">
      <c r="B171" s="62"/>
      <c r="C171" s="141"/>
      <c r="D171" s="141"/>
      <c r="E171" s="141"/>
      <c r="F171" s="141"/>
      <c r="G171" s="141"/>
      <c r="H171" s="141"/>
      <c r="I171" s="141"/>
      <c r="J171" s="141"/>
      <c r="K171" s="141"/>
      <c r="L171" s="141"/>
      <c r="M171" s="141"/>
      <c r="N171" s="141"/>
      <c r="O171" s="141"/>
      <c r="P171" s="141"/>
      <c r="Q171" s="141"/>
      <c r="R171" s="141"/>
      <c r="S171" s="141"/>
      <c r="T171" s="141"/>
      <c r="U171" s="62"/>
    </row>
    <row r="172" customFormat="false" ht="20.1" hidden="false" customHeight="true" outlineLevel="0" collapsed="false">
      <c r="B172" s="62"/>
      <c r="D172" s="162"/>
      <c r="E172" s="162"/>
      <c r="F172" s="162"/>
      <c r="G172" s="162"/>
      <c r="H172" s="163"/>
      <c r="I172" s="162"/>
      <c r="J172" s="162"/>
      <c r="U172" s="62"/>
    </row>
    <row r="173" customFormat="false" ht="20.1" hidden="false" customHeight="true" outlineLevel="0" collapsed="false">
      <c r="B173" s="62"/>
      <c r="C173" s="164"/>
      <c r="D173" s="164"/>
      <c r="E173" s="165" t="str">
        <f aca="false">IF(OR(L151="-",L151= ""),H151,L151)</f>
        <v>Fäkalini</v>
      </c>
      <c r="F173" s="165"/>
      <c r="G173" s="165"/>
      <c r="H173" s="165"/>
      <c r="I173" s="165"/>
      <c r="J173" s="165"/>
      <c r="K173" s="165"/>
      <c r="L173" s="165"/>
      <c r="M173" s="165"/>
      <c r="N173" s="165"/>
      <c r="O173" s="166"/>
      <c r="P173" s="166"/>
      <c r="Q173" s="166"/>
      <c r="R173" s="166"/>
      <c r="S173" s="166"/>
      <c r="T173" s="164"/>
      <c r="U173" s="167"/>
    </row>
    <row r="174" customFormat="false" ht="50.1" hidden="false" customHeight="true" outlineLevel="0" collapsed="false">
      <c r="B174" s="62"/>
      <c r="C174" s="164"/>
      <c r="D174" s="166"/>
      <c r="E174" s="65" t="s">
        <v>53</v>
      </c>
      <c r="F174" s="104" t="s">
        <v>76</v>
      </c>
      <c r="G174" s="67" t="s">
        <v>77</v>
      </c>
      <c r="H174" s="66" t="s">
        <v>78</v>
      </c>
      <c r="I174" s="54" t="s">
        <v>79</v>
      </c>
      <c r="J174" s="66" t="s">
        <v>80</v>
      </c>
      <c r="K174" s="105" t="s">
        <v>81</v>
      </c>
      <c r="L174" s="66" t="s">
        <v>82</v>
      </c>
      <c r="M174" s="106" t="s">
        <v>83</v>
      </c>
      <c r="N174" s="67" t="s">
        <v>84</v>
      </c>
      <c r="O174" s="107" t="s">
        <v>85</v>
      </c>
      <c r="P174" s="108" t="s">
        <v>86</v>
      </c>
      <c r="Q174" s="166"/>
      <c r="R174" s="166"/>
      <c r="S174" s="166"/>
      <c r="T174" s="164"/>
      <c r="U174" s="167"/>
    </row>
    <row r="175" customFormat="false" ht="20.1" hidden="false" customHeight="true" outlineLevel="0" collapsed="false">
      <c r="B175" s="62"/>
      <c r="C175" s="164"/>
      <c r="D175" s="171"/>
      <c r="E175" s="403" t="s">
        <v>24</v>
      </c>
      <c r="F175" s="110" t="s">
        <v>25</v>
      </c>
      <c r="G175" s="111" t="n">
        <v>1</v>
      </c>
      <c r="H175" s="112" t="s">
        <v>67</v>
      </c>
      <c r="I175" s="111" t="n">
        <v>0</v>
      </c>
      <c r="J175" s="112" t="n">
        <v>26</v>
      </c>
      <c r="K175" s="111" t="s">
        <v>67</v>
      </c>
      <c r="L175" s="113" t="n">
        <f aca="false">IF(J175="",0,(J175/J177)*100)</f>
        <v>100</v>
      </c>
      <c r="M175" s="111" t="n">
        <v>1</v>
      </c>
      <c r="N175" s="114" t="n">
        <v>6</v>
      </c>
      <c r="O175" s="116" t="n">
        <f aca="false">IF(M175=1,1,0)</f>
        <v>1</v>
      </c>
      <c r="P175" s="117" t="n">
        <f aca="false">IF(M175=2,1,0)</f>
        <v>0</v>
      </c>
      <c r="Q175" s="170"/>
      <c r="R175" s="170"/>
      <c r="S175" s="170"/>
      <c r="T175" s="164"/>
      <c r="U175" s="62"/>
    </row>
    <row r="176" customFormat="false" ht="20.1" hidden="false" customHeight="true" outlineLevel="0" collapsed="false">
      <c r="B176" s="62"/>
      <c r="C176" s="164"/>
      <c r="D176" s="164"/>
      <c r="E176" s="349" t="s">
        <v>22</v>
      </c>
      <c r="F176" s="44" t="s">
        <v>23</v>
      </c>
      <c r="G176" s="245" t="n">
        <v>2</v>
      </c>
      <c r="H176" s="246" t="s">
        <v>67</v>
      </c>
      <c r="I176" s="245" t="n">
        <v>0</v>
      </c>
      <c r="J176" s="246" t="n">
        <v>5</v>
      </c>
      <c r="K176" s="246" t="s">
        <v>67</v>
      </c>
      <c r="L176" s="247" t="n">
        <f aca="false">IF(J176="",0,(J176/J177)*100)</f>
        <v>19.2307692307692</v>
      </c>
      <c r="M176" s="245" t="n">
        <v>2</v>
      </c>
      <c r="N176" s="248" t="n">
        <v>0</v>
      </c>
      <c r="O176" s="128" t="n">
        <f aca="false">IF(M176=1,1,0)</f>
        <v>0</v>
      </c>
      <c r="P176" s="129" t="n">
        <f aca="false">IF(M176=2,1,0)</f>
        <v>1</v>
      </c>
      <c r="Q176" s="170"/>
      <c r="R176" s="170"/>
      <c r="S176" s="170"/>
      <c r="T176" s="164"/>
      <c r="U176" s="173"/>
    </row>
    <row r="177" customFormat="false" ht="20.1" hidden="true" customHeight="true" outlineLevel="1" collapsed="false">
      <c r="B177" s="62"/>
      <c r="C177" s="164"/>
      <c r="D177" s="164"/>
      <c r="E177" s="164"/>
      <c r="F177" s="178"/>
      <c r="G177" s="178"/>
      <c r="H177" s="164"/>
      <c r="I177" s="179" t="s">
        <v>89</v>
      </c>
      <c r="J177" s="133" t="n">
        <f aca="false">MAX(J175:J176)</f>
        <v>26</v>
      </c>
      <c r="K177" s="180"/>
      <c r="L177" s="170"/>
      <c r="M177" s="164"/>
      <c r="N177" s="136" t="s">
        <v>90</v>
      </c>
      <c r="O177" s="137" t="n">
        <f aca="false">SUM(O175:O176)</f>
        <v>1</v>
      </c>
      <c r="P177" s="160" t="n">
        <f aca="false">SUM(P175:P176)</f>
        <v>1</v>
      </c>
      <c r="Q177" s="181"/>
      <c r="R177" s="181"/>
      <c r="S177" s="181"/>
      <c r="T177" s="164"/>
      <c r="U177" s="173"/>
    </row>
    <row r="178" customFormat="false" ht="20.1" hidden="false" customHeight="true" outlineLevel="0" collapsed="false">
      <c r="B178" s="62"/>
      <c r="C178" s="164"/>
      <c r="D178" s="164"/>
      <c r="E178" s="164"/>
      <c r="F178" s="164"/>
      <c r="G178" s="164"/>
      <c r="H178" s="164"/>
      <c r="I178" s="164"/>
      <c r="J178" s="164"/>
      <c r="K178" s="164"/>
      <c r="L178" s="164"/>
      <c r="M178" s="164"/>
      <c r="N178" s="164"/>
      <c r="O178" s="164"/>
      <c r="P178" s="164"/>
      <c r="Q178" s="164"/>
      <c r="R178" s="164"/>
      <c r="S178" s="164"/>
      <c r="T178" s="164"/>
      <c r="U178" s="173"/>
    </row>
    <row r="179" customFormat="false" ht="20.1" hidden="false" customHeight="true" outlineLevel="0" collapsed="false">
      <c r="B179" s="62"/>
      <c r="D179" s="162"/>
      <c r="E179" s="162"/>
      <c r="F179" s="162"/>
      <c r="G179" s="162"/>
      <c r="H179" s="163"/>
      <c r="I179" s="162"/>
      <c r="J179" s="162"/>
      <c r="K179" s="162"/>
      <c r="U179" s="62"/>
    </row>
    <row r="180" customFormat="false" ht="20.1" hidden="false" customHeight="true" outlineLevel="0" collapsed="false">
      <c r="B180" s="62"/>
      <c r="C180" s="182"/>
      <c r="D180" s="182"/>
      <c r="E180" s="183" t="str">
        <f aca="false">IF(OR(L152="-",L152= ""),H152,L152)</f>
        <v>Agricola</v>
      </c>
      <c r="F180" s="183"/>
      <c r="G180" s="183"/>
      <c r="H180" s="183"/>
      <c r="I180" s="183"/>
      <c r="J180" s="183"/>
      <c r="K180" s="183"/>
      <c r="L180" s="183"/>
      <c r="M180" s="183"/>
      <c r="N180" s="183"/>
      <c r="O180" s="184"/>
      <c r="P180" s="184"/>
      <c r="Q180" s="184"/>
      <c r="R180" s="184"/>
      <c r="S180" s="184"/>
      <c r="T180" s="182"/>
      <c r="U180" s="62"/>
    </row>
    <row r="181" customFormat="false" ht="50.1" hidden="false" customHeight="true" outlineLevel="0" collapsed="false">
      <c r="B181" s="62"/>
      <c r="C181" s="182"/>
      <c r="D181" s="184"/>
      <c r="E181" s="65" t="s">
        <v>53</v>
      </c>
      <c r="F181" s="104" t="s">
        <v>76</v>
      </c>
      <c r="G181" s="67" t="s">
        <v>77</v>
      </c>
      <c r="H181" s="66" t="s">
        <v>78</v>
      </c>
      <c r="I181" s="54" t="s">
        <v>79</v>
      </c>
      <c r="J181" s="66" t="s">
        <v>80</v>
      </c>
      <c r="K181" s="105" t="s">
        <v>81</v>
      </c>
      <c r="L181" s="66" t="s">
        <v>82</v>
      </c>
      <c r="M181" s="106" t="s">
        <v>83</v>
      </c>
      <c r="N181" s="67" t="s">
        <v>84</v>
      </c>
      <c r="O181" s="107" t="s">
        <v>85</v>
      </c>
      <c r="P181" s="108" t="s">
        <v>86</v>
      </c>
      <c r="Q181" s="184"/>
      <c r="R181" s="184"/>
      <c r="S181" s="184"/>
      <c r="T181" s="182"/>
      <c r="U181" s="62"/>
    </row>
    <row r="182" customFormat="false" ht="20.1" hidden="false" customHeight="true" outlineLevel="0" collapsed="false">
      <c r="B182" s="62"/>
      <c r="C182" s="182"/>
      <c r="D182" s="182"/>
      <c r="E182" s="318" t="s">
        <v>24</v>
      </c>
      <c r="F182" s="16" t="s">
        <v>25</v>
      </c>
      <c r="G182" s="250" t="n">
        <v>1</v>
      </c>
      <c r="H182" s="250" t="s">
        <v>67</v>
      </c>
      <c r="I182" s="250" t="n">
        <v>-14</v>
      </c>
      <c r="J182" s="250" t="n">
        <v>43</v>
      </c>
      <c r="K182" s="250" t="s">
        <v>67</v>
      </c>
      <c r="L182" s="253" t="n">
        <f aca="false">IF(J182="",0,(J182/J184)*100)</f>
        <v>97.7272727272727</v>
      </c>
      <c r="M182" s="250" t="n">
        <v>2</v>
      </c>
      <c r="N182" s="254" t="n">
        <v>0</v>
      </c>
      <c r="O182" s="116" t="n">
        <f aca="false">IF(M182=1,1,0)</f>
        <v>0</v>
      </c>
      <c r="P182" s="117" t="n">
        <f aca="false">IF(M182=2,1,0)</f>
        <v>1</v>
      </c>
      <c r="Q182" s="185"/>
      <c r="R182" s="185"/>
      <c r="S182" s="185"/>
      <c r="T182" s="182"/>
      <c r="U182" s="62"/>
    </row>
    <row r="183" customFormat="false" ht="20.1" hidden="false" customHeight="true" outlineLevel="0" collapsed="false">
      <c r="B183" s="62"/>
      <c r="C183" s="182"/>
      <c r="D183" s="182"/>
      <c r="E183" s="350" t="s">
        <v>22</v>
      </c>
      <c r="F183" s="294" t="s">
        <v>23</v>
      </c>
      <c r="G183" s="295" t="n">
        <v>2</v>
      </c>
      <c r="H183" s="295" t="s">
        <v>67</v>
      </c>
      <c r="I183" s="295" t="n">
        <v>-14</v>
      </c>
      <c r="J183" s="295" t="n">
        <v>44</v>
      </c>
      <c r="K183" s="296" t="s">
        <v>67</v>
      </c>
      <c r="L183" s="297" t="n">
        <f aca="false">IF(J183="",0,(J183/J184)*100)</f>
        <v>100</v>
      </c>
      <c r="M183" s="295" t="n">
        <v>1</v>
      </c>
      <c r="N183" s="298" t="n">
        <v>6</v>
      </c>
      <c r="O183" s="128" t="n">
        <f aca="false">IF(M183=1,1,0)</f>
        <v>1</v>
      </c>
      <c r="P183" s="129" t="n">
        <f aca="false">IF(M183=2,1,0)</f>
        <v>0</v>
      </c>
      <c r="Q183" s="185"/>
      <c r="R183" s="185"/>
      <c r="S183" s="185"/>
      <c r="T183" s="182"/>
      <c r="U183" s="62"/>
    </row>
    <row r="184" customFormat="false" ht="20.1" hidden="true" customHeight="true" outlineLevel="1" collapsed="false">
      <c r="B184" s="62"/>
      <c r="C184" s="182"/>
      <c r="D184" s="182"/>
      <c r="E184" s="182"/>
      <c r="F184" s="187"/>
      <c r="G184" s="187"/>
      <c r="H184" s="182"/>
      <c r="I184" s="179" t="s">
        <v>89</v>
      </c>
      <c r="J184" s="133" t="n">
        <f aca="false">MAX(J182:J183)</f>
        <v>44</v>
      </c>
      <c r="K184" s="188"/>
      <c r="L184" s="185"/>
      <c r="M184" s="182"/>
      <c r="N184" s="136" t="s">
        <v>90</v>
      </c>
      <c r="O184" s="137" t="n">
        <f aca="false">SUM(O182:O183)</f>
        <v>1</v>
      </c>
      <c r="P184" s="160" t="n">
        <f aca="false">SUM(P182:P183)</f>
        <v>1</v>
      </c>
      <c r="Q184" s="189"/>
      <c r="R184" s="189"/>
      <c r="S184" s="189"/>
      <c r="T184" s="182"/>
      <c r="U184" s="62"/>
    </row>
    <row r="185" customFormat="false" ht="20.1" hidden="false" customHeight="true" outlineLevel="0" collapsed="false">
      <c r="B185" s="62"/>
      <c r="C185" s="182"/>
      <c r="D185" s="182"/>
      <c r="E185" s="182"/>
      <c r="F185" s="182"/>
      <c r="G185" s="182"/>
      <c r="H185" s="182"/>
      <c r="I185" s="182"/>
      <c r="J185" s="182"/>
      <c r="K185" s="182"/>
      <c r="L185" s="182"/>
      <c r="M185" s="182"/>
      <c r="N185" s="182"/>
      <c r="O185" s="182"/>
      <c r="P185" s="182"/>
      <c r="Q185" s="182"/>
      <c r="R185" s="182"/>
      <c r="S185" s="182"/>
      <c r="T185" s="182"/>
      <c r="U185" s="62"/>
    </row>
    <row r="186" customFormat="false" ht="20.1" hidden="false" customHeight="true" outlineLevel="0" collapsed="false">
      <c r="B186" s="62"/>
      <c r="D186" s="5"/>
      <c r="E186" s="5"/>
      <c r="F186" s="5"/>
      <c r="G186" s="5"/>
      <c r="H186" s="5"/>
      <c r="I186" s="5"/>
      <c r="J186" s="5"/>
      <c r="U186" s="62"/>
    </row>
    <row r="187" customFormat="false" ht="30" hidden="false" customHeight="true" outlineLevel="0" collapsed="false">
      <c r="B187" s="62"/>
      <c r="C187" s="190"/>
      <c r="D187" s="371"/>
      <c r="E187" s="191" t="s">
        <v>149</v>
      </c>
      <c r="F187" s="191"/>
      <c r="G187" s="191"/>
      <c r="H187" s="191"/>
      <c r="I187" s="191"/>
      <c r="J187" s="191"/>
      <c r="K187" s="191"/>
      <c r="L187" s="191"/>
      <c r="M187" s="191"/>
      <c r="N187" s="191"/>
      <c r="O187" s="371"/>
      <c r="P187" s="371"/>
      <c r="Q187" s="371"/>
      <c r="R187" s="371"/>
      <c r="S187" s="371"/>
      <c r="T187" s="190"/>
      <c r="U187" s="62"/>
    </row>
    <row r="188" customFormat="false" ht="50.1" hidden="false" customHeight="true" outlineLevel="0" collapsed="false">
      <c r="B188" s="62"/>
      <c r="C188" s="190"/>
      <c r="D188" s="190"/>
      <c r="E188" s="192" t="s">
        <v>53</v>
      </c>
      <c r="F188" s="193" t="s">
        <v>150</v>
      </c>
      <c r="G188" s="194" t="s">
        <v>84</v>
      </c>
      <c r="H188" s="195" t="s">
        <v>100</v>
      </c>
      <c r="I188" s="196" t="s">
        <v>101</v>
      </c>
      <c r="J188" s="196"/>
      <c r="K188" s="197" t="s">
        <v>102</v>
      </c>
      <c r="L188" s="198" t="s">
        <v>103</v>
      </c>
      <c r="M188" s="194" t="s">
        <v>104</v>
      </c>
      <c r="N188" s="193" t="s">
        <v>107</v>
      </c>
      <c r="O188" s="372"/>
      <c r="P188" s="373"/>
      <c r="Q188" s="373"/>
      <c r="R188" s="373"/>
      <c r="S188" s="372"/>
      <c r="T188" s="190"/>
      <c r="U188" s="62"/>
    </row>
    <row r="189" customFormat="false" ht="20.1" hidden="false" customHeight="true" outlineLevel="0" collapsed="false">
      <c r="B189" s="62"/>
      <c r="C189" s="190"/>
      <c r="D189" s="190"/>
      <c r="E189" s="425" t="s">
        <v>24</v>
      </c>
      <c r="F189" s="302" t="s">
        <v>25</v>
      </c>
      <c r="G189" s="258" t="n">
        <f aca="false">L189*6+M189*0</f>
        <v>12</v>
      </c>
      <c r="H189" s="259" t="n">
        <v>0</v>
      </c>
      <c r="I189" s="259" t="s">
        <v>67</v>
      </c>
      <c r="J189" s="259"/>
      <c r="K189" s="258" t="n">
        <f aca="false">G189+H189</f>
        <v>12</v>
      </c>
      <c r="L189" s="258" t="n">
        <v>2</v>
      </c>
      <c r="M189" s="258" t="n">
        <v>2</v>
      </c>
      <c r="N189" s="261" t="n">
        <f aca="false">(L161+L168+L175+L182)/4</f>
        <v>91.8425324675325</v>
      </c>
      <c r="O189" s="376"/>
      <c r="P189" s="377"/>
      <c r="Q189" s="377"/>
      <c r="R189" s="377"/>
      <c r="S189" s="408"/>
      <c r="T189" s="190"/>
      <c r="U189" s="62"/>
    </row>
    <row r="190" customFormat="false" ht="20.1" hidden="false" customHeight="true" outlineLevel="0" collapsed="false">
      <c r="B190" s="62"/>
      <c r="C190" s="190"/>
      <c r="D190" s="190"/>
      <c r="E190" s="427" t="s">
        <v>22</v>
      </c>
      <c r="F190" s="215" t="s">
        <v>23</v>
      </c>
      <c r="G190" s="271" t="n">
        <f aca="false">L190*6+M190*0</f>
        <v>12</v>
      </c>
      <c r="H190" s="272" t="n">
        <v>0</v>
      </c>
      <c r="I190" s="272" t="s">
        <v>67</v>
      </c>
      <c r="J190" s="272"/>
      <c r="K190" s="271" t="n">
        <f aca="false">G190+H190</f>
        <v>12</v>
      </c>
      <c r="L190" s="271" t="n">
        <v>2</v>
      </c>
      <c r="M190" s="271" t="n">
        <v>2</v>
      </c>
      <c r="N190" s="274" t="n">
        <f aca="false">(L162+L169+L176+L183)/4</f>
        <v>75.6410256410256</v>
      </c>
      <c r="O190" s="376"/>
      <c r="P190" s="377"/>
      <c r="Q190" s="377"/>
      <c r="R190" s="377"/>
      <c r="S190" s="408"/>
      <c r="T190" s="190"/>
      <c r="U190" s="62"/>
    </row>
    <row r="191" customFormat="false" ht="20.1" hidden="false" customHeight="true" outlineLevel="0" collapsed="false">
      <c r="B191" s="62"/>
      <c r="C191" s="190"/>
      <c r="D191" s="190"/>
      <c r="E191" s="190"/>
      <c r="F191" s="275"/>
      <c r="G191" s="275"/>
      <c r="H191" s="275"/>
      <c r="I191" s="275"/>
      <c r="J191" s="275"/>
      <c r="K191" s="275"/>
      <c r="L191" s="275"/>
      <c r="M191" s="275"/>
      <c r="N191" s="275"/>
      <c r="O191" s="275"/>
      <c r="P191" s="275"/>
      <c r="Q191" s="275"/>
      <c r="R191" s="275"/>
      <c r="S191" s="275"/>
      <c r="T191" s="190"/>
      <c r="U191" s="62"/>
    </row>
    <row r="192" customFormat="false" ht="20.1" hidden="false" customHeight="true" outlineLevel="0" collapsed="false">
      <c r="B192" s="62"/>
      <c r="C192" s="62"/>
      <c r="D192" s="219"/>
      <c r="E192" s="219"/>
      <c r="F192" s="167"/>
      <c r="G192" s="167"/>
      <c r="H192" s="219"/>
      <c r="I192" s="219"/>
      <c r="J192" s="219"/>
      <c r="K192" s="62"/>
      <c r="L192" s="62"/>
      <c r="M192" s="62"/>
      <c r="N192" s="62"/>
      <c r="O192" s="62"/>
      <c r="P192" s="62"/>
      <c r="Q192" s="62"/>
      <c r="R192" s="62"/>
      <c r="S192" s="62"/>
      <c r="T192" s="62"/>
      <c r="U192" s="62"/>
    </row>
  </sheetData>
  <mergeCells count="175">
    <mergeCell ref="A1:N2"/>
    <mergeCell ref="B4:I4"/>
    <mergeCell ref="K4:M4"/>
    <mergeCell ref="B5:C5"/>
    <mergeCell ref="B6:C6"/>
    <mergeCell ref="L6:L9"/>
    <mergeCell ref="B7:C7"/>
    <mergeCell ref="B8:C8"/>
    <mergeCell ref="B9:C9"/>
    <mergeCell ref="B10:C10"/>
    <mergeCell ref="L10:L13"/>
    <mergeCell ref="B11:C11"/>
    <mergeCell ref="B12:C12"/>
    <mergeCell ref="B13:C13"/>
    <mergeCell ref="B14:C14"/>
    <mergeCell ref="L14:L15"/>
    <mergeCell ref="B15:C15"/>
    <mergeCell ref="K16:L16"/>
    <mergeCell ref="B17:H17"/>
    <mergeCell ref="B18:C18"/>
    <mergeCell ref="B19:C19"/>
    <mergeCell ref="B20:C20"/>
    <mergeCell ref="C23:T23"/>
    <mergeCell ref="D25:D26"/>
    <mergeCell ref="E25:E26"/>
    <mergeCell ref="F25:F26"/>
    <mergeCell ref="G25:J25"/>
    <mergeCell ref="L25:S25"/>
    <mergeCell ref="I26:J26"/>
    <mergeCell ref="N26:S26"/>
    <mergeCell ref="D27:D28"/>
    <mergeCell ref="E27:E28"/>
    <mergeCell ref="F27:F28"/>
    <mergeCell ref="G27:G28"/>
    <mergeCell ref="H27:H28"/>
    <mergeCell ref="I27:J27"/>
    <mergeCell ref="K27:K28"/>
    <mergeCell ref="L27:L28"/>
    <mergeCell ref="M27:M28"/>
    <mergeCell ref="N27:S27"/>
    <mergeCell ref="I28:J28"/>
    <mergeCell ref="N28:S28"/>
    <mergeCell ref="I29:J29"/>
    <mergeCell ref="N29:S29"/>
    <mergeCell ref="D30:D34"/>
    <mergeCell ref="E30:E34"/>
    <mergeCell ref="F30:F34"/>
    <mergeCell ref="G30:G34"/>
    <mergeCell ref="H30:H34"/>
    <mergeCell ref="I30:J30"/>
    <mergeCell ref="K30:K34"/>
    <mergeCell ref="L30:L34"/>
    <mergeCell ref="M30:M34"/>
    <mergeCell ref="N30:S34"/>
    <mergeCell ref="I31:J31"/>
    <mergeCell ref="I32:J32"/>
    <mergeCell ref="I33:J33"/>
    <mergeCell ref="I34:J34"/>
    <mergeCell ref="I35:J35"/>
    <mergeCell ref="N35:S35"/>
    <mergeCell ref="E37:N37"/>
    <mergeCell ref="F43:G43"/>
    <mergeCell ref="F44:G44"/>
    <mergeCell ref="E46:N46"/>
    <mergeCell ref="F52:G52"/>
    <mergeCell ref="E55:N55"/>
    <mergeCell ref="F61:G61"/>
    <mergeCell ref="E64:N64"/>
    <mergeCell ref="F70:G70"/>
    <mergeCell ref="D73:S73"/>
    <mergeCell ref="H74:I74"/>
    <mergeCell ref="H75:I75"/>
    <mergeCell ref="H76:I76"/>
    <mergeCell ref="H77:I77"/>
    <mergeCell ref="H78:I78"/>
    <mergeCell ref="H79:I79"/>
    <mergeCell ref="C84:T84"/>
    <mergeCell ref="D86:D87"/>
    <mergeCell ref="E86:E87"/>
    <mergeCell ref="F86:F87"/>
    <mergeCell ref="G86:J86"/>
    <mergeCell ref="L86:S86"/>
    <mergeCell ref="I87:J87"/>
    <mergeCell ref="N87:S87"/>
    <mergeCell ref="D88:D90"/>
    <mergeCell ref="E88:E90"/>
    <mergeCell ref="F88:F90"/>
    <mergeCell ref="G88:G90"/>
    <mergeCell ref="H88:H90"/>
    <mergeCell ref="I88:J88"/>
    <mergeCell ref="K88:K90"/>
    <mergeCell ref="L88:L90"/>
    <mergeCell ref="M88:M90"/>
    <mergeCell ref="N88:S90"/>
    <mergeCell ref="I89:J89"/>
    <mergeCell ref="I90:J90"/>
    <mergeCell ref="I91:J91"/>
    <mergeCell ref="N91:S91"/>
    <mergeCell ref="D92:D94"/>
    <mergeCell ref="E92:E94"/>
    <mergeCell ref="F92:F94"/>
    <mergeCell ref="G92:G94"/>
    <mergeCell ref="H92:H94"/>
    <mergeCell ref="I92:J92"/>
    <mergeCell ref="K92:K94"/>
    <mergeCell ref="L92:L94"/>
    <mergeCell ref="M92:M94"/>
    <mergeCell ref="N92:S94"/>
    <mergeCell ref="I93:J93"/>
    <mergeCell ref="I94:J94"/>
    <mergeCell ref="D95:D96"/>
    <mergeCell ref="E95:E96"/>
    <mergeCell ref="F95:F96"/>
    <mergeCell ref="G95:G96"/>
    <mergeCell ref="H95:H96"/>
    <mergeCell ref="I95:J95"/>
    <mergeCell ref="K95:K96"/>
    <mergeCell ref="L95:L96"/>
    <mergeCell ref="M95:M96"/>
    <mergeCell ref="N95:S96"/>
    <mergeCell ref="I96:J96"/>
    <mergeCell ref="E98:N98"/>
    <mergeCell ref="F104:G104"/>
    <mergeCell ref="E107:N107"/>
    <mergeCell ref="F113:G113"/>
    <mergeCell ref="E116:N116"/>
    <mergeCell ref="F122:G122"/>
    <mergeCell ref="E125:N125"/>
    <mergeCell ref="F131:G131"/>
    <mergeCell ref="D134:S134"/>
    <mergeCell ref="H135:I135"/>
    <mergeCell ref="H136:I136"/>
    <mergeCell ref="H137:I137"/>
    <mergeCell ref="Y137:Z137"/>
    <mergeCell ref="H138:I138"/>
    <mergeCell ref="H139:I139"/>
    <mergeCell ref="H140:I140"/>
    <mergeCell ref="C145:T145"/>
    <mergeCell ref="D147:D148"/>
    <mergeCell ref="E147:E148"/>
    <mergeCell ref="F147:F148"/>
    <mergeCell ref="G147:J147"/>
    <mergeCell ref="L147:S147"/>
    <mergeCell ref="I148:J148"/>
    <mergeCell ref="N148:S148"/>
    <mergeCell ref="I149:J149"/>
    <mergeCell ref="N149:S149"/>
    <mergeCell ref="I150:J150"/>
    <mergeCell ref="N150:S150"/>
    <mergeCell ref="I151:J151"/>
    <mergeCell ref="N151:S151"/>
    <mergeCell ref="D152:D157"/>
    <mergeCell ref="E152:E157"/>
    <mergeCell ref="F152:F157"/>
    <mergeCell ref="G152:G157"/>
    <mergeCell ref="H152:H157"/>
    <mergeCell ref="I152:J152"/>
    <mergeCell ref="N152:S152"/>
    <mergeCell ref="I153:J153"/>
    <mergeCell ref="I154:J154"/>
    <mergeCell ref="I155:J155"/>
    <mergeCell ref="I156:J156"/>
    <mergeCell ref="I157:J157"/>
    <mergeCell ref="E159:N159"/>
    <mergeCell ref="F163:G163"/>
    <mergeCell ref="E166:N166"/>
    <mergeCell ref="F170:G170"/>
    <mergeCell ref="E173:N173"/>
    <mergeCell ref="F177:G177"/>
    <mergeCell ref="E180:N180"/>
    <mergeCell ref="F184:G184"/>
    <mergeCell ref="E187:N187"/>
    <mergeCell ref="I188:J188"/>
    <mergeCell ref="I189:J189"/>
    <mergeCell ref="I190:J190"/>
  </mergeCells>
  <conditionalFormatting sqref="B6:C13 B14:B15">
    <cfRule type="expression" priority="2" aboveAverage="0" equalAverage="0" bottom="0" percent="0" rank="0" text="" dxfId="472">
      <formula>$I6="Nein"</formula>
    </cfRule>
    <cfRule type="expression" priority="3" aboveAverage="0" equalAverage="0" bottom="0" percent="0" rank="0" text="" dxfId="473">
      <formula>$I6="Ja"</formula>
    </cfRule>
  </conditionalFormatting>
  <conditionalFormatting sqref="D79:E79">
    <cfRule type="expression" priority="4" aboveAverage="0" equalAverage="0" bottom="0" percent="0" rank="0" text="" dxfId="474">
      <formula>$I79="Nein"</formula>
    </cfRule>
    <cfRule type="expression" priority="5" aboveAverage="0" equalAverage="0" bottom="0" percent="0" rank="0" text="" dxfId="475">
      <formula>$I79="Ja"</formula>
    </cfRule>
  </conditionalFormatting>
  <conditionalFormatting sqref="D140:E140">
    <cfRule type="expression" priority="6" aboveAverage="0" equalAverage="0" bottom="0" percent="0" rank="0" text="" dxfId="476">
      <formula>$I140="Nein"</formula>
    </cfRule>
    <cfRule type="expression" priority="7" aboveAverage="0" equalAverage="0" bottom="0" percent="0" rank="0" text="" dxfId="477">
      <formula>$I140="Ja"</formula>
    </cfRule>
  </conditionalFormatting>
  <conditionalFormatting sqref="D8:I8">
    <cfRule type="expression" priority="8" aboveAverage="0" equalAverage="0" bottom="0" percent="0" rank="0" text="" dxfId="478">
      <formula>$I8="Nein"</formula>
    </cfRule>
    <cfRule type="expression" priority="9" aboveAverage="0" equalAverage="0" bottom="0" percent="0" rank="0" text="" dxfId="479">
      <formula>$I8="Ja"</formula>
    </cfRule>
  </conditionalFormatting>
  <conditionalFormatting sqref="I14:I15">
    <cfRule type="expression" priority="10" aboveAverage="0" equalAverage="0" bottom="0" percent="0" rank="0" text="" dxfId="480">
      <formula>$I14="Nein"</formula>
    </cfRule>
    <cfRule type="expression" priority="11" aboveAverage="0" equalAverage="0" bottom="0" percent="0" rank="0" text="" dxfId="481">
      <formula>$I14="Ja"</formula>
    </cfRule>
  </conditionalFormatting>
  <conditionalFormatting sqref="D8:I8">
    <cfRule type="expression" priority="12" aboveAverage="0" equalAverage="0" bottom="0" percent="0" rank="0" text="" dxfId="482">
      <formula>$I8="Nein"</formula>
    </cfRule>
    <cfRule type="expression" priority="13" aboveAverage="0" equalAverage="0" bottom="0" percent="0" rank="0" text="" dxfId="483">
      <formula>$I8="Ja"</formula>
    </cfRule>
  </conditionalFormatting>
  <conditionalFormatting sqref="D12:I12">
    <cfRule type="expression" priority="14" aboveAverage="0" equalAverage="0" bottom="0" percent="0" rank="0" text="" dxfId="484">
      <formula>$I12="Nein"</formula>
    </cfRule>
    <cfRule type="expression" priority="15" aboveAverage="0" equalAverage="0" bottom="0" percent="0" rank="0" text="" dxfId="485">
      <formula>$I12="Ja"</formula>
    </cfRule>
  </conditionalFormatting>
  <conditionalFormatting sqref="D137:E137">
    <cfRule type="expression" priority="16" aboveAverage="0" equalAverage="0" bottom="0" percent="0" rank="0" text="" dxfId="486">
      <formula>$I137="Nein"</formula>
    </cfRule>
    <cfRule type="expression" priority="17" aboveAverage="0" equalAverage="0" bottom="0" percent="0" rank="0" text="" dxfId="487">
      <formula>$I137="Ja"</formula>
    </cfRule>
  </conditionalFormatting>
  <conditionalFormatting sqref="D139:E139">
    <cfRule type="expression" priority="18" aboveAverage="0" equalAverage="0" bottom="0" percent="0" rank="0" text="" dxfId="488">
      <formula>$I139="Nein"</formula>
    </cfRule>
    <cfRule type="expression" priority="19" aboveAverage="0" equalAverage="0" bottom="0" percent="0" rank="0" text="" dxfId="489">
      <formula>$I139="Ja"</formula>
    </cfRule>
  </conditionalFormatting>
  <conditionalFormatting sqref="D14:H14">
    <cfRule type="expression" priority="20" aboveAverage="0" equalAverage="0" bottom="0" percent="0" rank="0" text="" dxfId="490">
      <formula>$I14="Nein"</formula>
    </cfRule>
    <cfRule type="expression" priority="21" aboveAverage="0" equalAverage="0" bottom="0" percent="0" rank="0" text="" dxfId="491">
      <formula>$I14="Ja"</formula>
    </cfRule>
  </conditionalFormatting>
  <conditionalFormatting sqref="D15:H15">
    <cfRule type="expression" priority="22" aboveAverage="0" equalAverage="0" bottom="0" percent="0" rank="0" text="" dxfId="492">
      <formula>$I15="Nein"</formula>
    </cfRule>
    <cfRule type="expression" priority="23" aboveAverage="0" equalAverage="0" bottom="0" percent="0" rank="0" text="" dxfId="493">
      <formula>$I15="Ja"</formula>
    </cfRule>
  </conditionalFormatting>
  <conditionalFormatting sqref="I9">
    <cfRule type="expression" priority="24" aboveAverage="0" equalAverage="0" bottom="0" percent="0" rank="0" text="" dxfId="494">
      <formula>$I9="Nein"</formula>
    </cfRule>
    <cfRule type="expression" priority="25" aboveAverage="0" equalAverage="0" bottom="0" percent="0" rank="0" text="" dxfId="495">
      <formula>$I9="Ja"</formula>
    </cfRule>
  </conditionalFormatting>
  <conditionalFormatting sqref="D9:H9">
    <cfRule type="expression" priority="26" aboveAverage="0" equalAverage="0" bottom="0" percent="0" rank="0" text="" dxfId="496">
      <formula>$I9="Nein"</formula>
    </cfRule>
    <cfRule type="expression" priority="27" aboveAverage="0" equalAverage="0" bottom="0" percent="0" rank="0" text="" dxfId="497">
      <formula>$I9="Ja"</formula>
    </cfRule>
  </conditionalFormatting>
  <conditionalFormatting sqref="D7:I7">
    <cfRule type="expression" priority="28" aboveAverage="0" equalAverage="0" bottom="0" percent="0" rank="0" text="" dxfId="498">
      <formula>$I7="Nein"</formula>
    </cfRule>
    <cfRule type="expression" priority="29" aboveAverage="0" equalAverage="0" bottom="0" percent="0" rank="0" text="" dxfId="499">
      <formula>$I7="Ja"</formula>
    </cfRule>
  </conditionalFormatting>
  <conditionalFormatting sqref="D6:I6">
    <cfRule type="expression" priority="30" aboveAverage="0" equalAverage="0" bottom="0" percent="0" rank="0" text="" dxfId="500">
      <formula>$I6="Nein"</formula>
    </cfRule>
    <cfRule type="expression" priority="31" aboveAverage="0" equalAverage="0" bottom="0" percent="0" rank="0" text="" dxfId="501">
      <formula>$I6="Ja"</formula>
    </cfRule>
  </conditionalFormatting>
  <conditionalFormatting sqref="D6:I6">
    <cfRule type="expression" priority="32" aboveAverage="0" equalAverage="0" bottom="0" percent="0" rank="0" text="" dxfId="502">
      <formula>$I6="Nein"</formula>
    </cfRule>
    <cfRule type="expression" priority="33" aboveAverage="0" equalAverage="0" bottom="0" percent="0" rank="0" text="" dxfId="503">
      <formula>$I6="Ja"</formula>
    </cfRule>
  </conditionalFormatting>
  <conditionalFormatting sqref="D16:I16">
    <cfRule type="expression" priority="34" aboveAverage="0" equalAverage="0" bottom="0" percent="0" rank="0" text="" dxfId="504">
      <formula>$I16="Nein"</formula>
    </cfRule>
    <cfRule type="expression" priority="35" aboveAverage="0" equalAverage="0" bottom="0" percent="0" rank="0" text="" dxfId="505">
      <formula>$I16="Ja"</formula>
    </cfRule>
  </conditionalFormatting>
  <conditionalFormatting sqref="D13:I13">
    <cfRule type="expression" priority="36" aboveAverage="0" equalAverage="0" bottom="0" percent="0" rank="0" text="" dxfId="506">
      <formula>$I13="Nein"</formula>
    </cfRule>
    <cfRule type="expression" priority="37" aboveAverage="0" equalAverage="0" bottom="0" percent="0" rank="0" text="" dxfId="507">
      <formula>$I13="Ja"</formula>
    </cfRule>
  </conditionalFormatting>
  <conditionalFormatting sqref="D11:I11">
    <cfRule type="expression" priority="38" aboveAverage="0" equalAverage="0" bottom="0" percent="0" rank="0" text="" dxfId="508">
      <formula>$I11="Nein"</formula>
    </cfRule>
    <cfRule type="expression" priority="39" aboveAverage="0" equalAverage="0" bottom="0" percent="0" rank="0" text="" dxfId="509">
      <formula>$I11="Ja"</formula>
    </cfRule>
  </conditionalFormatting>
  <conditionalFormatting sqref="D10:I10">
    <cfRule type="expression" priority="40" aboveAverage="0" equalAverage="0" bottom="0" percent="0" rank="0" text="" dxfId="510">
      <formula>$I10="Nein"</formula>
    </cfRule>
    <cfRule type="expression" priority="41" aboveAverage="0" equalAverage="0" bottom="0" percent="0" rank="0" text="" dxfId="511">
      <formula>$I10="Ja"</formula>
    </cfRule>
  </conditionalFormatting>
  <conditionalFormatting sqref="E41:F41">
    <cfRule type="expression" priority="42" aboveAverage="0" equalAverage="0" bottom="0" percent="0" rank="0" text="" dxfId="512">
      <formula>$I41="Nein"</formula>
    </cfRule>
    <cfRule type="expression" priority="43" aboveAverage="0" equalAverage="0" bottom="0" percent="0" rank="0" text="" dxfId="513">
      <formula>$I41="Ja"</formula>
    </cfRule>
  </conditionalFormatting>
  <conditionalFormatting sqref="E41:F41">
    <cfRule type="expression" priority="44" aboveAverage="0" equalAverage="0" bottom="0" percent="0" rank="0" text="" dxfId="514">
      <formula>$I41="Nein"</formula>
    </cfRule>
    <cfRule type="expression" priority="45" aboveAverage="0" equalAverage="0" bottom="0" percent="0" rank="0" text="" dxfId="515">
      <formula>$I41="Ja"</formula>
    </cfRule>
  </conditionalFormatting>
  <conditionalFormatting sqref="E42:F42">
    <cfRule type="expression" priority="46" aboveAverage="0" equalAverage="0" bottom="0" percent="0" rank="0" text="" dxfId="516">
      <formula>$I42="Nein"</formula>
    </cfRule>
    <cfRule type="expression" priority="47" aboveAverage="0" equalAverage="0" bottom="0" percent="0" rank="0" text="" dxfId="517">
      <formula>$I42="Ja"</formula>
    </cfRule>
  </conditionalFormatting>
  <conditionalFormatting sqref="E40:F40">
    <cfRule type="expression" priority="48" aboveAverage="0" equalAverage="0" bottom="0" percent="0" rank="0" text="" dxfId="518">
      <formula>$I40="Nein"</formula>
    </cfRule>
    <cfRule type="expression" priority="49" aboveAverage="0" equalAverage="0" bottom="0" percent="0" rank="0" text="" dxfId="519">
      <formula>$I40="Ja"</formula>
    </cfRule>
  </conditionalFormatting>
  <conditionalFormatting sqref="E39:F39">
    <cfRule type="expression" priority="50" aboveAverage="0" equalAverage="0" bottom="0" percent="0" rank="0" text="" dxfId="520">
      <formula>$I39="Nein"</formula>
    </cfRule>
    <cfRule type="expression" priority="51" aboveAverage="0" equalAverage="0" bottom="0" percent="0" rank="0" text="" dxfId="521">
      <formula>$I39="Ja"</formula>
    </cfRule>
  </conditionalFormatting>
  <conditionalFormatting sqref="E39:F39">
    <cfRule type="expression" priority="52" aboveAverage="0" equalAverage="0" bottom="0" percent="0" rank="0" text="" dxfId="522">
      <formula>$I39="Nein"</formula>
    </cfRule>
    <cfRule type="expression" priority="53" aboveAverage="0" equalAverage="0" bottom="0" percent="0" rank="0" text="" dxfId="523">
      <formula>$I39="Ja"</formula>
    </cfRule>
  </conditionalFormatting>
  <conditionalFormatting sqref="E50:F50">
    <cfRule type="expression" priority="54" aboveAverage="0" equalAverage="0" bottom="0" percent="0" rank="0" text="" dxfId="524">
      <formula>$I50="Nein"</formula>
    </cfRule>
    <cfRule type="expression" priority="55" aboveAverage="0" equalAverage="0" bottom="0" percent="0" rank="0" text="" dxfId="525">
      <formula>$I50="Ja"</formula>
    </cfRule>
  </conditionalFormatting>
  <conditionalFormatting sqref="E50:F50">
    <cfRule type="expression" priority="56" aboveAverage="0" equalAverage="0" bottom="0" percent="0" rank="0" text="" dxfId="526">
      <formula>$I50="Nein"</formula>
    </cfRule>
    <cfRule type="expression" priority="57" aboveAverage="0" equalAverage="0" bottom="0" percent="0" rank="0" text="" dxfId="527">
      <formula>$I50="Ja"</formula>
    </cfRule>
  </conditionalFormatting>
  <conditionalFormatting sqref="E51:F51">
    <cfRule type="expression" priority="58" aboveAverage="0" equalAverage="0" bottom="0" percent="0" rank="0" text="" dxfId="528">
      <formula>$I51="Nein"</formula>
    </cfRule>
    <cfRule type="expression" priority="59" aboveAverage="0" equalAverage="0" bottom="0" percent="0" rank="0" text="" dxfId="529">
      <formula>$I51="Ja"</formula>
    </cfRule>
  </conditionalFormatting>
  <conditionalFormatting sqref="E49:F49">
    <cfRule type="expression" priority="60" aboveAverage="0" equalAverage="0" bottom="0" percent="0" rank="0" text="" dxfId="530">
      <formula>$I49="Nein"</formula>
    </cfRule>
    <cfRule type="expression" priority="61" aboveAverage="0" equalAverage="0" bottom="0" percent="0" rank="0" text="" dxfId="531">
      <formula>$I49="Ja"</formula>
    </cfRule>
  </conditionalFormatting>
  <conditionalFormatting sqref="E48:F48">
    <cfRule type="expression" priority="62" aboveAverage="0" equalAverage="0" bottom="0" percent="0" rank="0" text="" dxfId="532">
      <formula>$I48="Nein"</formula>
    </cfRule>
    <cfRule type="expression" priority="63" aboveAverage="0" equalAverage="0" bottom="0" percent="0" rank="0" text="" dxfId="533">
      <formula>$I48="Ja"</formula>
    </cfRule>
  </conditionalFormatting>
  <conditionalFormatting sqref="E48:F48">
    <cfRule type="expression" priority="64" aboveAverage="0" equalAverage="0" bottom="0" percent="0" rank="0" text="" dxfId="534">
      <formula>$I48="Nein"</formula>
    </cfRule>
    <cfRule type="expression" priority="65" aboveAverage="0" equalAverage="0" bottom="0" percent="0" rank="0" text="" dxfId="535">
      <formula>$I48="Ja"</formula>
    </cfRule>
  </conditionalFormatting>
  <conditionalFormatting sqref="E59:F59">
    <cfRule type="expression" priority="66" aboveAverage="0" equalAverage="0" bottom="0" percent="0" rank="0" text="" dxfId="536">
      <formula>$I59="Nein"</formula>
    </cfRule>
    <cfRule type="expression" priority="67" aboveAverage="0" equalAverage="0" bottom="0" percent="0" rank="0" text="" dxfId="537">
      <formula>$I59="Ja"</formula>
    </cfRule>
  </conditionalFormatting>
  <conditionalFormatting sqref="E59:F59">
    <cfRule type="expression" priority="68" aboveAverage="0" equalAverage="0" bottom="0" percent="0" rank="0" text="" dxfId="538">
      <formula>$I59="Nein"</formula>
    </cfRule>
    <cfRule type="expression" priority="69" aboveAverage="0" equalAverage="0" bottom="0" percent="0" rank="0" text="" dxfId="539">
      <formula>$I59="Ja"</formula>
    </cfRule>
  </conditionalFormatting>
  <conditionalFormatting sqref="E60:F60">
    <cfRule type="expression" priority="70" aboveAverage="0" equalAverage="0" bottom="0" percent="0" rank="0" text="" dxfId="540">
      <formula>$I60="Nein"</formula>
    </cfRule>
    <cfRule type="expression" priority="71" aboveAverage="0" equalAverage="0" bottom="0" percent="0" rank="0" text="" dxfId="541">
      <formula>$I60="Ja"</formula>
    </cfRule>
  </conditionalFormatting>
  <conditionalFormatting sqref="E58:F58">
    <cfRule type="expression" priority="72" aboveAverage="0" equalAverage="0" bottom="0" percent="0" rank="0" text="" dxfId="542">
      <formula>$I58="Nein"</formula>
    </cfRule>
    <cfRule type="expression" priority="73" aboveAverage="0" equalAverage="0" bottom="0" percent="0" rank="0" text="" dxfId="543">
      <formula>$I58="Ja"</formula>
    </cfRule>
  </conditionalFormatting>
  <conditionalFormatting sqref="E57:F57">
    <cfRule type="expression" priority="74" aboveAverage="0" equalAverage="0" bottom="0" percent="0" rank="0" text="" dxfId="544">
      <formula>$I57="Nein"</formula>
    </cfRule>
    <cfRule type="expression" priority="75" aboveAverage="0" equalAverage="0" bottom="0" percent="0" rank="0" text="" dxfId="545">
      <formula>$I57="Ja"</formula>
    </cfRule>
  </conditionalFormatting>
  <conditionalFormatting sqref="E57:F57">
    <cfRule type="expression" priority="76" aboveAverage="0" equalAverage="0" bottom="0" percent="0" rank="0" text="" dxfId="546">
      <formula>$I57="Nein"</formula>
    </cfRule>
    <cfRule type="expression" priority="77" aboveAverage="0" equalAverage="0" bottom="0" percent="0" rank="0" text="" dxfId="547">
      <formula>$I57="Ja"</formula>
    </cfRule>
  </conditionalFormatting>
  <conditionalFormatting sqref="E68:F68">
    <cfRule type="expression" priority="78" aboveAverage="0" equalAverage="0" bottom="0" percent="0" rank="0" text="" dxfId="548">
      <formula>$I68="Nein"</formula>
    </cfRule>
    <cfRule type="expression" priority="79" aboveAverage="0" equalAverage="0" bottom="0" percent="0" rank="0" text="" dxfId="549">
      <formula>$I68="Ja"</formula>
    </cfRule>
  </conditionalFormatting>
  <conditionalFormatting sqref="E68:F68">
    <cfRule type="expression" priority="80" aboveAverage="0" equalAverage="0" bottom="0" percent="0" rank="0" text="" dxfId="550">
      <formula>$I68="Nein"</formula>
    </cfRule>
    <cfRule type="expression" priority="81" aboveAverage="0" equalAverage="0" bottom="0" percent="0" rank="0" text="" dxfId="551">
      <formula>$I68="Ja"</formula>
    </cfRule>
  </conditionalFormatting>
  <conditionalFormatting sqref="E69:F69">
    <cfRule type="expression" priority="82" aboveAverage="0" equalAverage="0" bottom="0" percent="0" rank="0" text="" dxfId="552">
      <formula>$I69="Nein"</formula>
    </cfRule>
    <cfRule type="expression" priority="83" aboveAverage="0" equalAverage="0" bottom="0" percent="0" rank="0" text="" dxfId="553">
      <formula>$I69="Ja"</formula>
    </cfRule>
  </conditionalFormatting>
  <conditionalFormatting sqref="E67:F67">
    <cfRule type="expression" priority="84" aboveAverage="0" equalAverage="0" bottom="0" percent="0" rank="0" text="" dxfId="554">
      <formula>$I67="Nein"</formula>
    </cfRule>
    <cfRule type="expression" priority="85" aboveAverage="0" equalAverage="0" bottom="0" percent="0" rank="0" text="" dxfId="555">
      <formula>$I67="Ja"</formula>
    </cfRule>
  </conditionalFormatting>
  <conditionalFormatting sqref="E66:F66">
    <cfRule type="expression" priority="86" aboveAverage="0" equalAverage="0" bottom="0" percent="0" rank="0" text="" dxfId="556">
      <formula>$I66="Nein"</formula>
    </cfRule>
    <cfRule type="expression" priority="87" aboveAverage="0" equalAverage="0" bottom="0" percent="0" rank="0" text="" dxfId="557">
      <formula>$I66="Ja"</formula>
    </cfRule>
  </conditionalFormatting>
  <conditionalFormatting sqref="E66:F66">
    <cfRule type="expression" priority="88" aboveAverage="0" equalAverage="0" bottom="0" percent="0" rank="0" text="" dxfId="558">
      <formula>$I66="Nein"</formula>
    </cfRule>
    <cfRule type="expression" priority="89" aboveAverage="0" equalAverage="0" bottom="0" percent="0" rank="0" text="" dxfId="559">
      <formula>$I66="Ja"</formula>
    </cfRule>
  </conditionalFormatting>
  <conditionalFormatting sqref="D75:E75">
    <cfRule type="expression" priority="90" aboveAverage="0" equalAverage="0" bottom="0" percent="0" rank="0" text="" dxfId="560">
      <formula>$I75="Nein"</formula>
    </cfRule>
    <cfRule type="expression" priority="91" aboveAverage="0" equalAverage="0" bottom="0" percent="0" rank="0" text="" dxfId="561">
      <formula>$I75="Ja"</formula>
    </cfRule>
  </conditionalFormatting>
  <conditionalFormatting sqref="D76:E76">
    <cfRule type="expression" priority="92" aboveAverage="0" equalAverage="0" bottom="0" percent="0" rank="0" text="" dxfId="562">
      <formula>$I76="Nein"</formula>
    </cfRule>
    <cfRule type="expression" priority="93" aboveAverage="0" equalAverage="0" bottom="0" percent="0" rank="0" text="" dxfId="563">
      <formula>$I76="Ja"</formula>
    </cfRule>
  </conditionalFormatting>
  <conditionalFormatting sqref="D77:E77">
    <cfRule type="expression" priority="94" aboveAverage="0" equalAverage="0" bottom="0" percent="0" rank="0" text="" dxfId="564">
      <formula>$I77="Nein"</formula>
    </cfRule>
    <cfRule type="expression" priority="95" aboveAverage="0" equalAverage="0" bottom="0" percent="0" rank="0" text="" dxfId="565">
      <formula>$I77="Ja"</formula>
    </cfRule>
  </conditionalFormatting>
  <conditionalFormatting sqref="D77:E77">
    <cfRule type="expression" priority="96" aboveAverage="0" equalAverage="0" bottom="0" percent="0" rank="0" text="" dxfId="566">
      <formula>$I77="Nein"</formula>
    </cfRule>
    <cfRule type="expression" priority="97" aboveAverage="0" equalAverage="0" bottom="0" percent="0" rank="0" text="" dxfId="567">
      <formula>$I77="Ja"</formula>
    </cfRule>
  </conditionalFormatting>
  <conditionalFormatting sqref="D78:E78">
    <cfRule type="expression" priority="98" aboveAverage="0" equalAverage="0" bottom="0" percent="0" rank="0" text="" dxfId="568">
      <formula>$I78="Nein"</formula>
    </cfRule>
    <cfRule type="expression" priority="99" aboveAverage="0" equalAverage="0" bottom="0" percent="0" rank="0" text="" dxfId="569">
      <formula>$I78="Ja"</formula>
    </cfRule>
  </conditionalFormatting>
  <conditionalFormatting sqref="D78:E78">
    <cfRule type="expression" priority="100" aboveAverage="0" equalAverage="0" bottom="0" percent="0" rank="0" text="" dxfId="570">
      <formula>$I78="Nein"</formula>
    </cfRule>
    <cfRule type="expression" priority="101" aboveAverage="0" equalAverage="0" bottom="0" percent="0" rank="0" text="" dxfId="571">
      <formula>$I78="Ja"</formula>
    </cfRule>
  </conditionalFormatting>
  <conditionalFormatting sqref="E102:F102">
    <cfRule type="expression" priority="102" aboveAverage="0" equalAverage="0" bottom="0" percent="0" rank="0" text="" dxfId="572">
      <formula>$I102="Nein"</formula>
    </cfRule>
    <cfRule type="expression" priority="103" aboveAverage="0" equalAverage="0" bottom="0" percent="0" rank="0" text="" dxfId="573">
      <formula>$I102="Ja"</formula>
    </cfRule>
  </conditionalFormatting>
  <conditionalFormatting sqref="E103:F103">
    <cfRule type="expression" priority="104" aboveAverage="0" equalAverage="0" bottom="0" percent="0" rank="0" text="" dxfId="574">
      <formula>$I103="Nein"</formula>
    </cfRule>
    <cfRule type="expression" priority="105" aboveAverage="0" equalAverage="0" bottom="0" percent="0" rank="0" text="" dxfId="575">
      <formula>$I103="Ja"</formula>
    </cfRule>
  </conditionalFormatting>
  <conditionalFormatting sqref="E101:F101">
    <cfRule type="expression" priority="106" aboveAverage="0" equalAverage="0" bottom="0" percent="0" rank="0" text="" dxfId="576">
      <formula>$I101="Nein"</formula>
    </cfRule>
    <cfRule type="expression" priority="107" aboveAverage="0" equalAverage="0" bottom="0" percent="0" rank="0" text="" dxfId="577">
      <formula>$I101="Ja"</formula>
    </cfRule>
  </conditionalFormatting>
  <conditionalFormatting sqref="E100:F100">
    <cfRule type="expression" priority="108" aboveAverage="0" equalAverage="0" bottom="0" percent="0" rank="0" text="" dxfId="578">
      <formula>$I100="Nein"</formula>
    </cfRule>
    <cfRule type="expression" priority="109" aboveAverage="0" equalAverage="0" bottom="0" percent="0" rank="0" text="" dxfId="579">
      <formula>$I100="Ja"</formula>
    </cfRule>
  </conditionalFormatting>
  <conditionalFormatting sqref="E111:F111">
    <cfRule type="expression" priority="110" aboveAverage="0" equalAverage="0" bottom="0" percent="0" rank="0" text="" dxfId="580">
      <formula>$I111="Nein"</formula>
    </cfRule>
    <cfRule type="expression" priority="111" aboveAverage="0" equalAverage="0" bottom="0" percent="0" rank="0" text="" dxfId="581">
      <formula>$I111="Ja"</formula>
    </cfRule>
  </conditionalFormatting>
  <conditionalFormatting sqref="E112:F112">
    <cfRule type="expression" priority="112" aboveAverage="0" equalAverage="0" bottom="0" percent="0" rank="0" text="" dxfId="582">
      <formula>$I112="Nein"</formula>
    </cfRule>
    <cfRule type="expression" priority="113" aboveAverage="0" equalAverage="0" bottom="0" percent="0" rank="0" text="" dxfId="583">
      <formula>$I112="Ja"</formula>
    </cfRule>
  </conditionalFormatting>
  <conditionalFormatting sqref="E110:F110">
    <cfRule type="expression" priority="114" aboveAverage="0" equalAverage="0" bottom="0" percent="0" rank="0" text="" dxfId="584">
      <formula>$I110="Nein"</formula>
    </cfRule>
    <cfRule type="expression" priority="115" aboveAverage="0" equalAverage="0" bottom="0" percent="0" rank="0" text="" dxfId="585">
      <formula>$I110="Ja"</formula>
    </cfRule>
  </conditionalFormatting>
  <conditionalFormatting sqref="E109:F109">
    <cfRule type="expression" priority="116" aboveAverage="0" equalAverage="0" bottom="0" percent="0" rank="0" text="" dxfId="586">
      <formula>$I109="Nein"</formula>
    </cfRule>
    <cfRule type="expression" priority="117" aboveAverage="0" equalAverage="0" bottom="0" percent="0" rank="0" text="" dxfId="587">
      <formula>$I109="Ja"</formula>
    </cfRule>
  </conditionalFormatting>
  <conditionalFormatting sqref="E120:F120">
    <cfRule type="expression" priority="118" aboveAverage="0" equalAverage="0" bottom="0" percent="0" rank="0" text="" dxfId="588">
      <formula>$I120="Nein"</formula>
    </cfRule>
    <cfRule type="expression" priority="119" aboveAverage="0" equalAverage="0" bottom="0" percent="0" rank="0" text="" dxfId="589">
      <formula>$I120="Ja"</formula>
    </cfRule>
  </conditionalFormatting>
  <conditionalFormatting sqref="E121:F121">
    <cfRule type="expression" priority="120" aboveAverage="0" equalAverage="0" bottom="0" percent="0" rank="0" text="" dxfId="590">
      <formula>$I121="Nein"</formula>
    </cfRule>
    <cfRule type="expression" priority="121" aboveAverage="0" equalAverage="0" bottom="0" percent="0" rank="0" text="" dxfId="591">
      <formula>$I121="Ja"</formula>
    </cfRule>
  </conditionalFormatting>
  <conditionalFormatting sqref="E119:F119">
    <cfRule type="expression" priority="122" aboveAverage="0" equalAverage="0" bottom="0" percent="0" rank="0" text="" dxfId="592">
      <formula>$I119="Nein"</formula>
    </cfRule>
    <cfRule type="expression" priority="123" aboveAverage="0" equalAverage="0" bottom="0" percent="0" rank="0" text="" dxfId="593">
      <formula>$I119="Ja"</formula>
    </cfRule>
  </conditionalFormatting>
  <conditionalFormatting sqref="E118:F118">
    <cfRule type="expression" priority="124" aboveAverage="0" equalAverage="0" bottom="0" percent="0" rank="0" text="" dxfId="594">
      <formula>$I118="Nein"</formula>
    </cfRule>
    <cfRule type="expression" priority="125" aboveAverage="0" equalAverage="0" bottom="0" percent="0" rank="0" text="" dxfId="595">
      <formula>$I118="Ja"</formula>
    </cfRule>
  </conditionalFormatting>
  <conditionalFormatting sqref="E129:F129">
    <cfRule type="expression" priority="126" aboveAverage="0" equalAverage="0" bottom="0" percent="0" rank="0" text="" dxfId="596">
      <formula>$I129="Nein"</formula>
    </cfRule>
    <cfRule type="expression" priority="127" aboveAverage="0" equalAverage="0" bottom="0" percent="0" rank="0" text="" dxfId="597">
      <formula>$I129="Ja"</formula>
    </cfRule>
  </conditionalFormatting>
  <conditionalFormatting sqref="E130:F130">
    <cfRule type="expression" priority="128" aboveAverage="0" equalAverage="0" bottom="0" percent="0" rank="0" text="" dxfId="598">
      <formula>$I130="Nein"</formula>
    </cfRule>
    <cfRule type="expression" priority="129" aboveAverage="0" equalAverage="0" bottom="0" percent="0" rank="0" text="" dxfId="599">
      <formula>$I130="Ja"</formula>
    </cfRule>
  </conditionalFormatting>
  <conditionalFormatting sqref="E128:F128">
    <cfRule type="expression" priority="130" aboveAverage="0" equalAverage="0" bottom="0" percent="0" rank="0" text="" dxfId="600">
      <formula>$I128="Nein"</formula>
    </cfRule>
    <cfRule type="expression" priority="131" aboveAverage="0" equalAverage="0" bottom="0" percent="0" rank="0" text="" dxfId="601">
      <formula>$I128="Ja"</formula>
    </cfRule>
  </conditionalFormatting>
  <conditionalFormatting sqref="E127:F127">
    <cfRule type="expression" priority="132" aboveAverage="0" equalAverage="0" bottom="0" percent="0" rank="0" text="" dxfId="602">
      <formula>$I127="Nein"</formula>
    </cfRule>
    <cfRule type="expression" priority="133" aboveAverage="0" equalAverage="0" bottom="0" percent="0" rank="0" text="" dxfId="603">
      <formula>$I127="Ja"</formula>
    </cfRule>
  </conditionalFormatting>
  <conditionalFormatting sqref="D136:E136">
    <cfRule type="expression" priority="134" aboveAverage="0" equalAverage="0" bottom="0" percent="0" rank="0" text="" dxfId="604">
      <formula>$I136="Nein"</formula>
    </cfRule>
    <cfRule type="expression" priority="135" aboveAverage="0" equalAverage="0" bottom="0" percent="0" rank="0" text="" dxfId="605">
      <formula>$I136="Ja"</formula>
    </cfRule>
  </conditionalFormatting>
  <conditionalFormatting sqref="D138:E138">
    <cfRule type="expression" priority="136" aboveAverage="0" equalAverage="0" bottom="0" percent="0" rank="0" text="" dxfId="606">
      <formula>$I138="Nein"</formula>
    </cfRule>
    <cfRule type="expression" priority="137" aboveAverage="0" equalAverage="0" bottom="0" percent="0" rank="0" text="" dxfId="607">
      <formula>$I138="Ja"</formula>
    </cfRule>
  </conditionalFormatting>
  <conditionalFormatting sqref="D149:E150">
    <cfRule type="expression" priority="138" aboveAverage="0" equalAverage="0" bottom="0" percent="0" rank="0" text="" dxfId="608">
      <formula>$J149="Ja"</formula>
    </cfRule>
    <cfRule type="expression" priority="139" aboveAverage="0" equalAverage="0" bottom="0" percent="0" rank="0" text="" dxfId="609">
      <formula>$J149="Nein"</formula>
    </cfRule>
  </conditionalFormatting>
  <conditionalFormatting sqref="E161:F161">
    <cfRule type="expression" priority="140" aboveAverage="0" equalAverage="0" bottom="0" percent="0" rank="0" text="" dxfId="610">
      <formula>$I161="Nein"</formula>
    </cfRule>
    <cfRule type="expression" priority="141" aboveAverage="0" equalAverage="0" bottom="0" percent="0" rank="0" text="" dxfId="611">
      <formula>$I161="Ja"</formula>
    </cfRule>
  </conditionalFormatting>
  <conditionalFormatting sqref="E162:F162">
    <cfRule type="expression" priority="142" aboveAverage="0" equalAverage="0" bottom="0" percent="0" rank="0" text="" dxfId="612">
      <formula>$I162="Nein"</formula>
    </cfRule>
    <cfRule type="expression" priority="143" aboveAverage="0" equalAverage="0" bottom="0" percent="0" rank="0" text="" dxfId="613">
      <formula>$I162="Ja"</formula>
    </cfRule>
  </conditionalFormatting>
  <conditionalFormatting sqref="E168:F168">
    <cfRule type="expression" priority="144" aboveAverage="0" equalAverage="0" bottom="0" percent="0" rank="0" text="" dxfId="614">
      <formula>$I168="Nein"</formula>
    </cfRule>
    <cfRule type="expression" priority="145" aboveAverage="0" equalAverage="0" bottom="0" percent="0" rank="0" text="" dxfId="615">
      <formula>$I168="Ja"</formula>
    </cfRule>
  </conditionalFormatting>
  <conditionalFormatting sqref="E169:F169">
    <cfRule type="expression" priority="146" aboveAverage="0" equalAverage="0" bottom="0" percent="0" rank="0" text="" dxfId="616">
      <formula>$I169="Nein"</formula>
    </cfRule>
    <cfRule type="expression" priority="147" aboveAverage="0" equalAverage="0" bottom="0" percent="0" rank="0" text="" dxfId="617">
      <formula>$I169="Ja"</formula>
    </cfRule>
  </conditionalFormatting>
  <conditionalFormatting sqref="E175:F175">
    <cfRule type="expression" priority="148" aboveAverage="0" equalAverage="0" bottom="0" percent="0" rank="0" text="" dxfId="618">
      <formula>$I175="Nein"</formula>
    </cfRule>
    <cfRule type="expression" priority="149" aboveAverage="0" equalAverage="0" bottom="0" percent="0" rank="0" text="" dxfId="619">
      <formula>$I175="Ja"</formula>
    </cfRule>
  </conditionalFormatting>
  <conditionalFormatting sqref="E176:F176">
    <cfRule type="expression" priority="150" aboveAverage="0" equalAverage="0" bottom="0" percent="0" rank="0" text="" dxfId="620">
      <formula>$I176="Nein"</formula>
    </cfRule>
    <cfRule type="expression" priority="151" aboveAverage="0" equalAverage="0" bottom="0" percent="0" rank="0" text="" dxfId="621">
      <formula>$I176="Ja"</formula>
    </cfRule>
  </conditionalFormatting>
  <conditionalFormatting sqref="E182:F182">
    <cfRule type="expression" priority="152" aboveAverage="0" equalAverage="0" bottom="0" percent="0" rank="0" text="" dxfId="622">
      <formula>$I182="Nein"</formula>
    </cfRule>
    <cfRule type="expression" priority="153" aboveAverage="0" equalAverage="0" bottom="0" percent="0" rank="0" text="" dxfId="623">
      <formula>$I182="Ja"</formula>
    </cfRule>
  </conditionalFormatting>
  <conditionalFormatting sqref="E183:F183">
    <cfRule type="expression" priority="154" aboveAverage="0" equalAverage="0" bottom="0" percent="0" rank="0" text="" dxfId="624">
      <formula>$I183="Nein"</formula>
    </cfRule>
    <cfRule type="expression" priority="155" aboveAverage="0" equalAverage="0" bottom="0" percent="0" rank="0" text="" dxfId="625">
      <formula>$I183="Ja"</formula>
    </cfRule>
  </conditionalFormatting>
  <conditionalFormatting sqref="E189:F189">
    <cfRule type="expression" priority="156" aboveAverage="0" equalAverage="0" bottom="0" percent="0" rank="0" text="" dxfId="626">
      <formula>$I189="Nein"</formula>
    </cfRule>
    <cfRule type="expression" priority="157" aboveAverage="0" equalAverage="0" bottom="0" percent="0" rank="0" text="" dxfId="627">
      <formula>$I189="Ja"</formula>
    </cfRule>
  </conditionalFormatting>
  <conditionalFormatting sqref="E190:F190">
    <cfRule type="expression" priority="158" aboveAverage="0" equalAverage="0" bottom="0" percent="0" rank="0" text="" dxfId="628">
      <formula>$I190="Nein"</formula>
    </cfRule>
    <cfRule type="expression" priority="159" aboveAverage="0" equalAverage="0" bottom="0" percent="0" rank="0" text="" dxfId="629">
      <formula>$I190="Ja"</formula>
    </cfRule>
  </conditionalFormatting>
  <conditionalFormatting sqref="D19:H19">
    <cfRule type="expression" priority="160" aboveAverage="0" equalAverage="0" bottom="0" percent="0" rank="0" text="" dxfId="630">
      <formula>$I19="Nein"</formula>
    </cfRule>
    <cfRule type="expression" priority="161" aboveAverage="0" equalAverage="0" bottom="0" percent="0" rank="0" text="" dxfId="631">
      <formula>$I19="Ja"</formula>
    </cfRule>
  </conditionalFormatting>
  <conditionalFormatting sqref="D20:H20">
    <cfRule type="expression" priority="162" aboveAverage="0" equalAverage="0" bottom="0" percent="0" rank="0" text="" dxfId="632">
      <formula>$I20="Nein"</formula>
    </cfRule>
    <cfRule type="expression" priority="163" aboveAverage="0" equalAverage="0" bottom="0" percent="0" rank="0" text="" dxfId="633">
      <formula>$I20="Ja"</formula>
    </cfRule>
  </conditionalFormatting>
  <dataValidations count="1">
    <dataValidation allowBlank="true" operator="between" showDropDown="false" showErrorMessage="true" showInputMessage="true" sqref="I6:I16 O19:O20"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204"/>
  <sheetViews>
    <sheetView showFormulas="false" showGridLines="false" showRowColHeaders="true" showZeros="true" rightToLeft="false" tabSelected="false" showOutlineSymbols="true" defaultGridColor="true" view="normal" topLeftCell="A208" colorId="64" zoomScale="100" zoomScaleNormal="100" zoomScalePageLayoutView="100" workbookViewId="0">
      <selection pane="topLeft" activeCell="C149" activeCellId="0" sqref="C149"/>
    </sheetView>
  </sheetViews>
  <sheetFormatPr defaultColWidth="11.43359375" defaultRowHeight="15" zeroHeight="false" outlineLevelRow="1" outlineLevelCol="1"/>
  <cols>
    <col collapsed="false" customWidth="true" hidden="false" outlineLevel="0" max="3" min="1" style="1" width="3.71"/>
    <col collapsed="false" customWidth="true" hidden="false" outlineLevel="0" max="14" min="4" style="1" width="20.71"/>
    <col collapsed="false" customWidth="true" hidden="true" outlineLevel="1" max="18" min="15" style="1" width="20.71"/>
    <col collapsed="false" customWidth="true" hidden="false" outlineLevel="0" max="19" min="19" style="1" width="20.71"/>
    <col collapsed="false" customWidth="true" hidden="false" outlineLevel="0" max="21" min="20" style="1" width="3.71"/>
    <col collapsed="false" customWidth="true" hidden="false" outlineLevel="0" max="22" min="22" style="1" width="15.88"/>
    <col collapsed="false" customWidth="true" hidden="false" outlineLevel="0" max="24" min="23" style="1" width="20.71"/>
    <col collapsed="false" customWidth="false" hidden="false" outlineLevel="0" max="1024" min="25" style="1" width="11.42"/>
  </cols>
  <sheetData>
    <row r="1" customFormat="false" ht="15" hidden="false" customHeight="false" outlineLevel="0" collapsed="false">
      <c r="A1" s="2" t="s">
        <v>419</v>
      </c>
      <c r="B1" s="2"/>
      <c r="C1" s="2"/>
      <c r="D1" s="2"/>
      <c r="E1" s="2"/>
      <c r="F1" s="2"/>
      <c r="G1" s="2"/>
      <c r="H1" s="2"/>
      <c r="I1" s="2"/>
      <c r="J1" s="2"/>
      <c r="K1" s="2"/>
      <c r="L1" s="2"/>
      <c r="M1" s="2"/>
      <c r="N1" s="2"/>
    </row>
    <row r="2" customFormat="false" ht="15" hidden="false" customHeight="false" outlineLevel="0" collapsed="false">
      <c r="A2" s="2"/>
      <c r="B2" s="2"/>
      <c r="C2" s="2"/>
      <c r="D2" s="2"/>
      <c r="E2" s="2"/>
      <c r="F2" s="2"/>
      <c r="G2" s="2"/>
      <c r="H2" s="2"/>
      <c r="I2" s="2"/>
      <c r="J2" s="2"/>
      <c r="K2" s="2"/>
      <c r="L2" s="2"/>
      <c r="M2" s="2"/>
      <c r="N2" s="2"/>
    </row>
    <row r="3" customFormat="false" ht="20.1" hidden="false" customHeight="true" outlineLevel="0" collapsed="false"/>
    <row r="4" customFormat="false" ht="15.75" hidden="false" customHeight="false" outlineLevel="0" collapsed="false">
      <c r="B4" s="3" t="s">
        <v>420</v>
      </c>
      <c r="C4" s="3"/>
      <c r="D4" s="3"/>
      <c r="E4" s="3"/>
      <c r="F4" s="3"/>
      <c r="G4" s="3"/>
      <c r="H4" s="3"/>
      <c r="I4" s="3"/>
      <c r="K4" s="3" t="s">
        <v>2</v>
      </c>
      <c r="L4" s="3"/>
      <c r="M4" s="3"/>
      <c r="P4" s="4"/>
      <c r="Q4" s="4"/>
      <c r="R4" s="4"/>
      <c r="S4" s="5"/>
      <c r="T4" s="4"/>
      <c r="U4" s="4"/>
      <c r="V4" s="4"/>
      <c r="W4" s="4"/>
    </row>
    <row r="5" customFormat="false" ht="50.1" hidden="false" customHeight="true" outlineLevel="0" collapsed="false">
      <c r="B5" s="54" t="s">
        <v>421</v>
      </c>
      <c r="C5" s="54"/>
      <c r="D5" s="303" t="s">
        <v>4</v>
      </c>
      <c r="E5" s="9" t="s">
        <v>5</v>
      </c>
      <c r="F5" s="9" t="s">
        <v>6</v>
      </c>
      <c r="G5" s="57" t="s">
        <v>7</v>
      </c>
      <c r="H5" s="57" t="s">
        <v>8</v>
      </c>
      <c r="I5" s="9" t="s">
        <v>422</v>
      </c>
      <c r="K5" s="11" t="s">
        <v>4</v>
      </c>
      <c r="L5" s="12" t="s">
        <v>10</v>
      </c>
      <c r="M5" s="13" t="s">
        <v>11</v>
      </c>
      <c r="P5" s="5"/>
      <c r="R5" s="4"/>
      <c r="S5" s="4"/>
      <c r="T5" s="4"/>
      <c r="U5" s="5"/>
      <c r="V5" s="5"/>
    </row>
    <row r="6" customFormat="false" ht="20.1" hidden="false" customHeight="true" outlineLevel="0" collapsed="false">
      <c r="B6" s="14" t="n">
        <v>1</v>
      </c>
      <c r="C6" s="14"/>
      <c r="D6" s="18" t="s">
        <v>17</v>
      </c>
      <c r="E6" s="18" t="s">
        <v>18</v>
      </c>
      <c r="F6" s="18" t="s">
        <v>19</v>
      </c>
      <c r="G6" s="18" t="s">
        <v>19</v>
      </c>
      <c r="H6" s="18" t="s">
        <v>19</v>
      </c>
      <c r="I6" s="304" t="s">
        <v>14</v>
      </c>
      <c r="K6" s="21" t="str">
        <f aca="false">D6</f>
        <v>Judith Fulterer</v>
      </c>
      <c r="L6" s="22" t="n">
        <v>1</v>
      </c>
      <c r="M6" s="23" t="n">
        <v>1</v>
      </c>
      <c r="P6" s="24"/>
      <c r="U6" s="24"/>
      <c r="V6" s="24"/>
    </row>
    <row r="7" customFormat="false" ht="20.1" hidden="false" customHeight="true" outlineLevel="0" collapsed="false">
      <c r="B7" s="25" t="n">
        <v>2</v>
      </c>
      <c r="C7" s="25"/>
      <c r="D7" s="26" t="s">
        <v>33</v>
      </c>
      <c r="E7" s="28" t="s">
        <v>34</v>
      </c>
      <c r="F7" s="38" t="s">
        <v>35</v>
      </c>
      <c r="G7" s="28" t="s">
        <v>35</v>
      </c>
      <c r="H7" s="28" t="s">
        <v>35</v>
      </c>
      <c r="I7" s="305" t="s">
        <v>14</v>
      </c>
      <c r="K7" s="30" t="str">
        <f aca="false">D7</f>
        <v>Marc Lambrecht</v>
      </c>
      <c r="L7" s="22"/>
      <c r="M7" s="31" t="n">
        <v>2</v>
      </c>
      <c r="P7" s="24"/>
      <c r="U7" s="24"/>
      <c r="V7" s="24"/>
    </row>
    <row r="8" customFormat="false" ht="20.1" hidden="false" customHeight="true" outlineLevel="0" collapsed="false">
      <c r="B8" s="25" t="n">
        <v>3</v>
      </c>
      <c r="C8" s="25"/>
      <c r="D8" s="32" t="s">
        <v>15</v>
      </c>
      <c r="E8" s="32" t="s">
        <v>16</v>
      </c>
      <c r="F8" s="32" t="s">
        <v>16</v>
      </c>
      <c r="G8" s="32" t="s">
        <v>16</v>
      </c>
      <c r="H8" s="32" t="s">
        <v>16</v>
      </c>
      <c r="I8" s="305" t="s">
        <v>14</v>
      </c>
      <c r="K8" s="30" t="str">
        <f aca="false">D8</f>
        <v>Devid Fulterer</v>
      </c>
      <c r="L8" s="22"/>
      <c r="M8" s="31" t="n">
        <v>3</v>
      </c>
      <c r="P8" s="24"/>
      <c r="U8" s="24"/>
      <c r="V8" s="24"/>
    </row>
    <row r="9" customFormat="false" ht="20.1" hidden="false" customHeight="true" outlineLevel="0" collapsed="false">
      <c r="B9" s="25" t="n">
        <v>4</v>
      </c>
      <c r="C9" s="25"/>
      <c r="D9" s="33" t="s">
        <v>39</v>
      </c>
      <c r="E9" s="33" t="s">
        <v>40</v>
      </c>
      <c r="F9" s="34" t="s">
        <v>40</v>
      </c>
      <c r="G9" s="32" t="s">
        <v>40</v>
      </c>
      <c r="H9" s="32" t="s">
        <v>40</v>
      </c>
      <c r="I9" s="305" t="s">
        <v>14</v>
      </c>
      <c r="K9" s="35" t="str">
        <f aca="false">D9</f>
        <v>Markus Hagenauer</v>
      </c>
      <c r="L9" s="22"/>
      <c r="M9" s="36" t="n">
        <v>4</v>
      </c>
      <c r="P9" s="24"/>
      <c r="U9" s="24"/>
      <c r="V9" s="24"/>
    </row>
    <row r="10" customFormat="false" ht="20.1" hidden="false" customHeight="true" outlineLevel="0" collapsed="false">
      <c r="B10" s="25" t="n">
        <v>5</v>
      </c>
      <c r="C10" s="25"/>
      <c r="D10" s="32" t="s">
        <v>12</v>
      </c>
      <c r="E10" s="32" t="s">
        <v>13</v>
      </c>
      <c r="F10" s="32" t="s">
        <v>13</v>
      </c>
      <c r="G10" s="32" t="s">
        <v>13</v>
      </c>
      <c r="H10" s="32" t="s">
        <v>13</v>
      </c>
      <c r="I10" s="305" t="s">
        <v>14</v>
      </c>
      <c r="K10" s="21" t="str">
        <f aca="false">D10</f>
        <v>Jonas Röhrig</v>
      </c>
      <c r="L10" s="22" t="n">
        <v>2</v>
      </c>
      <c r="M10" s="23" t="n">
        <v>1</v>
      </c>
      <c r="P10" s="24"/>
      <c r="U10" s="24"/>
      <c r="V10" s="24"/>
    </row>
    <row r="11" customFormat="false" ht="20.1" hidden="false" customHeight="true" outlineLevel="0" collapsed="false">
      <c r="B11" s="25" t="n">
        <v>6</v>
      </c>
      <c r="C11" s="25"/>
      <c r="D11" s="33" t="s">
        <v>29</v>
      </c>
      <c r="E11" s="33" t="s">
        <v>30</v>
      </c>
      <c r="F11" s="34" t="s">
        <v>30</v>
      </c>
      <c r="G11" s="32" t="s">
        <v>30</v>
      </c>
      <c r="H11" s="32" t="s">
        <v>30</v>
      </c>
      <c r="I11" s="305" t="s">
        <v>14</v>
      </c>
      <c r="K11" s="30" t="str">
        <f aca="false">D11</f>
        <v>Kai Maibaum</v>
      </c>
      <c r="L11" s="22"/>
      <c r="M11" s="31" t="n">
        <v>2</v>
      </c>
      <c r="P11" s="24"/>
      <c r="U11" s="24"/>
      <c r="V11" s="24"/>
    </row>
    <row r="12" customFormat="false" ht="20.1" hidden="false" customHeight="true" outlineLevel="0" collapsed="false">
      <c r="B12" s="25" t="n">
        <v>7</v>
      </c>
      <c r="C12" s="25"/>
      <c r="D12" s="33" t="s">
        <v>37</v>
      </c>
      <c r="E12" s="33" t="s">
        <v>38</v>
      </c>
      <c r="F12" s="34" t="s">
        <v>35</v>
      </c>
      <c r="G12" s="32" t="s">
        <v>35</v>
      </c>
      <c r="H12" s="32" t="s">
        <v>35</v>
      </c>
      <c r="I12" s="305" t="s">
        <v>14</v>
      </c>
      <c r="K12" s="30" t="str">
        <f aca="false">D12</f>
        <v>Bea Kittner</v>
      </c>
      <c r="L12" s="22"/>
      <c r="M12" s="31" t="n">
        <v>3</v>
      </c>
      <c r="P12" s="24"/>
      <c r="U12" s="24"/>
      <c r="V12" s="24"/>
    </row>
    <row r="13" customFormat="false" ht="20.1" hidden="false" customHeight="true" outlineLevel="0" collapsed="false">
      <c r="B13" s="25" t="n">
        <v>8</v>
      </c>
      <c r="C13" s="25"/>
      <c r="D13" s="32" t="s">
        <v>22</v>
      </c>
      <c r="E13" s="32" t="s">
        <v>23</v>
      </c>
      <c r="F13" s="32" t="s">
        <v>23</v>
      </c>
      <c r="G13" s="32" t="s">
        <v>23</v>
      </c>
      <c r="H13" s="32" t="s">
        <v>23</v>
      </c>
      <c r="I13" s="305" t="s">
        <v>36</v>
      </c>
      <c r="K13" s="483" t="str">
        <f aca="false">D13</f>
        <v>Jérôme Schätzle</v>
      </c>
      <c r="L13" s="22"/>
      <c r="M13" s="50" t="n">
        <v>4</v>
      </c>
      <c r="P13" s="24"/>
      <c r="U13" s="24"/>
      <c r="V13" s="24"/>
    </row>
    <row r="14" customFormat="false" ht="20.1" hidden="false" customHeight="true" outlineLevel="0" collapsed="false">
      <c r="B14" s="25" t="n">
        <v>9</v>
      </c>
      <c r="C14" s="25"/>
      <c r="D14" s="32" t="s">
        <v>20</v>
      </c>
      <c r="E14" s="32" t="s">
        <v>21</v>
      </c>
      <c r="F14" s="32" t="s">
        <v>21</v>
      </c>
      <c r="G14" s="32" t="s">
        <v>21</v>
      </c>
      <c r="H14" s="32" t="s">
        <v>21</v>
      </c>
      <c r="I14" s="305" t="s">
        <v>14</v>
      </c>
      <c r="K14" s="506" t="str">
        <f aca="false">D14</f>
        <v>Andreas Micke</v>
      </c>
      <c r="L14" s="507" t="n">
        <v>3</v>
      </c>
      <c r="M14" s="23" t="n">
        <v>1</v>
      </c>
      <c r="P14" s="24"/>
      <c r="U14" s="24"/>
      <c r="V14" s="24"/>
    </row>
    <row r="15" customFormat="false" ht="20.1" hidden="false" customHeight="true" outlineLevel="0" collapsed="false">
      <c r="B15" s="42" t="n">
        <v>10</v>
      </c>
      <c r="C15" s="42"/>
      <c r="D15" s="44" t="s">
        <v>384</v>
      </c>
      <c r="E15" s="46" t="s">
        <v>28</v>
      </c>
      <c r="F15" s="405" t="s">
        <v>28</v>
      </c>
      <c r="G15" s="46" t="s">
        <v>28</v>
      </c>
      <c r="H15" s="46" t="s">
        <v>28</v>
      </c>
      <c r="I15" s="309" t="s">
        <v>14</v>
      </c>
      <c r="K15" s="483" t="str">
        <f aca="false">D15</f>
        <v>Pauline Micke</v>
      </c>
      <c r="L15" s="507"/>
      <c r="M15" s="50" t="n">
        <v>2</v>
      </c>
      <c r="P15" s="24"/>
      <c r="U15" s="24"/>
      <c r="V15" s="24"/>
    </row>
    <row r="16" customFormat="false" ht="20.1" hidden="false" customHeight="true" outlineLevel="0" collapsed="false">
      <c r="D16" s="162"/>
      <c r="E16" s="162"/>
      <c r="F16" s="162"/>
      <c r="G16" s="162"/>
      <c r="H16" s="162"/>
      <c r="I16" s="310"/>
      <c r="K16" s="51" t="s">
        <v>423</v>
      </c>
      <c r="L16" s="51"/>
      <c r="M16" s="52" t="n">
        <f aca="false">ROWS(M6:M15)</f>
        <v>10</v>
      </c>
      <c r="O16" s="4"/>
      <c r="P16" s="4"/>
      <c r="R16" s="4"/>
      <c r="S16" s="4"/>
      <c r="T16" s="4"/>
      <c r="U16" s="4"/>
    </row>
    <row r="17" customFormat="false" ht="15.75" hidden="false" customHeight="false" outlineLevel="0" collapsed="false">
      <c r="B17" s="3" t="s">
        <v>424</v>
      </c>
      <c r="C17" s="3"/>
      <c r="D17" s="3"/>
      <c r="E17" s="3"/>
      <c r="F17" s="3"/>
      <c r="G17" s="3"/>
      <c r="H17" s="3"/>
      <c r="L17" s="53"/>
      <c r="M17" s="53"/>
      <c r="N17" s="53"/>
      <c r="O17" s="5"/>
      <c r="P17" s="4"/>
      <c r="Q17" s="4"/>
      <c r="S17" s="4"/>
      <c r="T17" s="4"/>
      <c r="U17" s="4"/>
      <c r="V17" s="4"/>
    </row>
    <row r="18" customFormat="false" ht="30.75" hidden="false" customHeight="true" outlineLevel="0" collapsed="false">
      <c r="B18" s="54" t="s">
        <v>51</v>
      </c>
      <c r="C18" s="54"/>
      <c r="D18" s="55" t="s">
        <v>4</v>
      </c>
      <c r="E18" s="9" t="s">
        <v>5</v>
      </c>
      <c r="F18" s="9" t="s">
        <v>6</v>
      </c>
      <c r="G18" s="57" t="s">
        <v>7</v>
      </c>
      <c r="H18" s="57" t="s">
        <v>8</v>
      </c>
      <c r="L18" s="53"/>
      <c r="M18" s="53"/>
      <c r="N18" s="53"/>
      <c r="O18" s="5"/>
      <c r="P18" s="4"/>
      <c r="Q18" s="4"/>
      <c r="S18" s="4"/>
      <c r="T18" s="4"/>
      <c r="U18" s="4"/>
      <c r="V18" s="4"/>
    </row>
    <row r="19" customFormat="false" ht="20.1" hidden="false" customHeight="true" outlineLevel="0" collapsed="false">
      <c r="B19" s="534" t="n">
        <v>1</v>
      </c>
      <c r="C19" s="534"/>
      <c r="D19" s="453" t="s">
        <v>31</v>
      </c>
      <c r="E19" s="313" t="s">
        <v>32</v>
      </c>
      <c r="F19" s="314" t="s">
        <v>32</v>
      </c>
      <c r="G19" s="315" t="s">
        <v>32</v>
      </c>
      <c r="H19" s="316" t="s">
        <v>32</v>
      </c>
      <c r="O19" s="29" t="s">
        <v>36</v>
      </c>
      <c r="P19" s="4"/>
      <c r="Q19" s="4"/>
      <c r="S19" s="4"/>
      <c r="T19" s="4"/>
      <c r="U19" s="4"/>
      <c r="V19" s="4"/>
    </row>
    <row r="20" customFormat="false" ht="20.1" hidden="false" customHeight="true" outlineLevel="0" collapsed="false">
      <c r="M20" s="53"/>
      <c r="N20" s="53"/>
      <c r="O20" s="53"/>
      <c r="P20" s="5"/>
      <c r="Q20" s="4"/>
      <c r="R20" s="4"/>
      <c r="T20" s="4"/>
      <c r="U20" s="4"/>
      <c r="V20" s="4"/>
      <c r="W20" s="4"/>
    </row>
    <row r="21" customFormat="false" ht="20.1" hidden="false" customHeight="true" outlineLevel="0" collapsed="false">
      <c r="B21" s="62"/>
      <c r="C21" s="62"/>
      <c r="D21" s="63"/>
      <c r="E21" s="63"/>
      <c r="F21" s="63"/>
      <c r="G21" s="63"/>
      <c r="H21" s="62"/>
      <c r="I21" s="62"/>
      <c r="J21" s="62"/>
      <c r="K21" s="62"/>
      <c r="L21" s="62"/>
      <c r="M21" s="62"/>
      <c r="N21" s="62"/>
      <c r="O21" s="62"/>
      <c r="P21" s="62"/>
      <c r="Q21" s="62"/>
      <c r="R21" s="62"/>
      <c r="S21" s="62"/>
      <c r="T21" s="62"/>
      <c r="U21" s="62"/>
    </row>
    <row r="22" customFormat="false" ht="30" hidden="false" customHeight="true" outlineLevel="0" collapsed="false">
      <c r="B22" s="62"/>
      <c r="C22" s="64" t="s">
        <v>52</v>
      </c>
      <c r="D22" s="64"/>
      <c r="E22" s="64"/>
      <c r="F22" s="64"/>
      <c r="G22" s="64"/>
      <c r="H22" s="64"/>
      <c r="I22" s="64"/>
      <c r="J22" s="64"/>
      <c r="K22" s="64"/>
      <c r="L22" s="64"/>
      <c r="M22" s="64"/>
      <c r="N22" s="64"/>
      <c r="O22" s="64"/>
      <c r="P22" s="64"/>
      <c r="Q22" s="64"/>
      <c r="R22" s="64"/>
      <c r="S22" s="64"/>
      <c r="T22" s="64"/>
      <c r="U22" s="62"/>
    </row>
    <row r="23" customFormat="false" ht="20.1" hidden="false" customHeight="true" outlineLevel="0" collapsed="false">
      <c r="B23" s="62"/>
      <c r="U23" s="62"/>
    </row>
    <row r="24" customFormat="false" ht="20.1" hidden="false" customHeight="true" outlineLevel="0" collapsed="false">
      <c r="B24" s="62"/>
      <c r="D24" s="65" t="s">
        <v>53</v>
      </c>
      <c r="E24" s="66" t="s">
        <v>54</v>
      </c>
      <c r="F24" s="67" t="s">
        <v>11</v>
      </c>
      <c r="G24" s="66" t="s">
        <v>55</v>
      </c>
      <c r="H24" s="66"/>
      <c r="I24" s="66"/>
      <c r="J24" s="66"/>
      <c r="K24" s="66" t="s">
        <v>56</v>
      </c>
      <c r="L24" s="68" t="s">
        <v>57</v>
      </c>
      <c r="M24" s="68"/>
      <c r="N24" s="68"/>
      <c r="O24" s="68"/>
      <c r="P24" s="68"/>
      <c r="Q24" s="68"/>
      <c r="R24" s="68"/>
      <c r="S24" s="68"/>
      <c r="U24" s="62"/>
    </row>
    <row r="25" customFormat="false" ht="20.1" hidden="false" customHeight="true" outlineLevel="0" collapsed="false">
      <c r="B25" s="62"/>
      <c r="D25" s="65"/>
      <c r="E25" s="66"/>
      <c r="F25" s="66"/>
      <c r="G25" s="317" t="s">
        <v>58</v>
      </c>
      <c r="H25" s="317" t="s">
        <v>59</v>
      </c>
      <c r="I25" s="226" t="s">
        <v>60</v>
      </c>
      <c r="J25" s="226"/>
      <c r="K25" s="69" t="s">
        <v>61</v>
      </c>
      <c r="L25" s="69" t="s">
        <v>58</v>
      </c>
      <c r="M25" s="70" t="s">
        <v>62</v>
      </c>
      <c r="N25" s="67" t="s">
        <v>60</v>
      </c>
      <c r="O25" s="67"/>
      <c r="P25" s="67"/>
      <c r="Q25" s="67"/>
      <c r="R25" s="67"/>
      <c r="S25" s="67"/>
      <c r="U25" s="62"/>
    </row>
    <row r="26" customFormat="false" ht="21.95" hidden="false" customHeight="true" outlineLevel="0" collapsed="false">
      <c r="B26" s="62"/>
      <c r="D26" s="318" t="s">
        <v>17</v>
      </c>
      <c r="E26" s="16" t="s">
        <v>18</v>
      </c>
      <c r="F26" s="382" t="n">
        <v>1</v>
      </c>
      <c r="G26" s="72" t="s">
        <v>63</v>
      </c>
      <c r="H26" s="489" t="s">
        <v>64</v>
      </c>
      <c r="I26" s="535" t="s">
        <v>385</v>
      </c>
      <c r="J26" s="535"/>
      <c r="K26" s="536" t="s">
        <v>425</v>
      </c>
      <c r="L26" s="458" t="s">
        <v>70</v>
      </c>
      <c r="M26" s="459" t="s">
        <v>247</v>
      </c>
      <c r="N26" s="537" t="s">
        <v>248</v>
      </c>
      <c r="O26" s="537"/>
      <c r="P26" s="537"/>
      <c r="Q26" s="537"/>
      <c r="R26" s="537"/>
      <c r="S26" s="537"/>
      <c r="U26" s="62"/>
    </row>
    <row r="27" customFormat="false" ht="21.95" hidden="false" customHeight="true" outlineLevel="0" collapsed="false">
      <c r="B27" s="62"/>
      <c r="D27" s="318"/>
      <c r="E27" s="16"/>
      <c r="F27" s="382"/>
      <c r="G27" s="72"/>
      <c r="H27" s="489"/>
      <c r="I27" s="538" t="s">
        <v>426</v>
      </c>
      <c r="J27" s="538"/>
      <c r="K27" s="536"/>
      <c r="L27" s="458"/>
      <c r="M27" s="459"/>
      <c r="N27" s="539" t="s">
        <v>250</v>
      </c>
      <c r="O27" s="539"/>
      <c r="P27" s="539"/>
      <c r="Q27" s="539"/>
      <c r="R27" s="539"/>
      <c r="S27" s="539"/>
      <c r="U27" s="62"/>
    </row>
    <row r="28" customFormat="false" ht="21.95" hidden="false" customHeight="true" outlineLevel="0" collapsed="false">
      <c r="B28" s="62"/>
      <c r="D28" s="326" t="s">
        <v>33</v>
      </c>
      <c r="E28" s="306" t="s">
        <v>34</v>
      </c>
      <c r="F28" s="383" t="n">
        <v>2</v>
      </c>
      <c r="G28" s="80" t="s">
        <v>63</v>
      </c>
      <c r="H28" s="82" t="s">
        <v>425</v>
      </c>
      <c r="I28" s="540" t="s">
        <v>427</v>
      </c>
      <c r="J28" s="540"/>
      <c r="K28" s="541" t="s">
        <v>64</v>
      </c>
      <c r="L28" s="354" t="s">
        <v>67</v>
      </c>
      <c r="M28" s="478" t="s">
        <v>67</v>
      </c>
      <c r="N28" s="337" t="s">
        <v>67</v>
      </c>
      <c r="O28" s="337"/>
      <c r="P28" s="337"/>
      <c r="Q28" s="337"/>
      <c r="R28" s="337"/>
      <c r="S28" s="337"/>
      <c r="U28" s="62"/>
    </row>
    <row r="29" customFormat="false" ht="21.95" hidden="false" customHeight="true" outlineLevel="0" collapsed="false">
      <c r="B29" s="62"/>
      <c r="D29" s="326"/>
      <c r="E29" s="306"/>
      <c r="F29" s="383"/>
      <c r="G29" s="80"/>
      <c r="H29" s="82"/>
      <c r="I29" s="542" t="s">
        <v>428</v>
      </c>
      <c r="J29" s="542"/>
      <c r="K29" s="541"/>
      <c r="L29" s="354"/>
      <c r="M29" s="478"/>
      <c r="N29" s="337"/>
      <c r="O29" s="337"/>
      <c r="P29" s="337"/>
      <c r="Q29" s="337"/>
      <c r="R29" s="337"/>
      <c r="S29" s="337"/>
      <c r="U29" s="62"/>
    </row>
    <row r="30" customFormat="false" ht="15" hidden="false" customHeight="true" outlineLevel="0" collapsed="false">
      <c r="B30" s="62"/>
      <c r="D30" s="333" t="s">
        <v>15</v>
      </c>
      <c r="E30" s="33" t="s">
        <v>16</v>
      </c>
      <c r="F30" s="383" t="n">
        <v>3</v>
      </c>
      <c r="G30" s="87" t="s">
        <v>63</v>
      </c>
      <c r="H30" s="89" t="s">
        <v>264</v>
      </c>
      <c r="I30" s="338" t="s">
        <v>265</v>
      </c>
      <c r="J30" s="338"/>
      <c r="K30" s="543" t="s">
        <v>64</v>
      </c>
      <c r="L30" s="330" t="s">
        <v>67</v>
      </c>
      <c r="M30" s="331" t="s">
        <v>67</v>
      </c>
      <c r="N30" s="337" t="s">
        <v>67</v>
      </c>
      <c r="O30" s="337"/>
      <c r="P30" s="337"/>
      <c r="Q30" s="337"/>
      <c r="R30" s="337"/>
      <c r="S30" s="337"/>
      <c r="U30" s="62"/>
    </row>
    <row r="31" customFormat="false" ht="15" hidden="false" customHeight="true" outlineLevel="0" collapsed="false">
      <c r="B31" s="62"/>
      <c r="D31" s="333"/>
      <c r="E31" s="33"/>
      <c r="F31" s="383"/>
      <c r="G31" s="87"/>
      <c r="H31" s="89"/>
      <c r="I31" s="338" t="s">
        <v>266</v>
      </c>
      <c r="J31" s="338"/>
      <c r="K31" s="543"/>
      <c r="L31" s="330"/>
      <c r="M31" s="331"/>
      <c r="N31" s="337"/>
      <c r="O31" s="337"/>
      <c r="P31" s="337"/>
      <c r="Q31" s="337"/>
      <c r="R31" s="337"/>
      <c r="S31" s="337"/>
      <c r="U31" s="62"/>
    </row>
    <row r="32" customFormat="false" ht="15" hidden="false" customHeight="true" outlineLevel="0" collapsed="false">
      <c r="B32" s="62"/>
      <c r="D32" s="333"/>
      <c r="E32" s="33"/>
      <c r="F32" s="383"/>
      <c r="G32" s="87"/>
      <c r="H32" s="89"/>
      <c r="I32" s="338" t="s">
        <v>429</v>
      </c>
      <c r="J32" s="338"/>
      <c r="K32" s="543"/>
      <c r="L32" s="330"/>
      <c r="M32" s="331"/>
      <c r="N32" s="337"/>
      <c r="O32" s="337"/>
      <c r="P32" s="337"/>
      <c r="Q32" s="337"/>
      <c r="R32" s="337"/>
      <c r="S32" s="337"/>
      <c r="U32" s="62"/>
    </row>
    <row r="33" customFormat="false" ht="15" hidden="false" customHeight="true" outlineLevel="0" collapsed="false">
      <c r="B33" s="62"/>
      <c r="D33" s="333"/>
      <c r="E33" s="33"/>
      <c r="F33" s="383"/>
      <c r="G33" s="87"/>
      <c r="H33" s="89"/>
      <c r="I33" s="338" t="s">
        <v>268</v>
      </c>
      <c r="J33" s="338"/>
      <c r="K33" s="543"/>
      <c r="L33" s="330"/>
      <c r="M33" s="331"/>
      <c r="N33" s="337"/>
      <c r="O33" s="337"/>
      <c r="P33" s="337"/>
      <c r="Q33" s="337"/>
      <c r="R33" s="337"/>
      <c r="S33" s="337"/>
      <c r="U33" s="62"/>
    </row>
    <row r="34" customFormat="false" ht="15" hidden="false" customHeight="true" outlineLevel="0" collapsed="false">
      <c r="B34" s="62"/>
      <c r="D34" s="362" t="s">
        <v>39</v>
      </c>
      <c r="E34" s="44" t="s">
        <v>40</v>
      </c>
      <c r="F34" s="396" t="n">
        <v>4</v>
      </c>
      <c r="G34" s="491" t="s">
        <v>63</v>
      </c>
      <c r="H34" s="440" t="s">
        <v>138</v>
      </c>
      <c r="I34" s="342" t="s">
        <v>399</v>
      </c>
      <c r="J34" s="342"/>
      <c r="K34" s="442" t="s">
        <v>111</v>
      </c>
      <c r="L34" s="345" t="s">
        <v>67</v>
      </c>
      <c r="M34" s="345" t="s">
        <v>67</v>
      </c>
      <c r="N34" s="100" t="s">
        <v>67</v>
      </c>
      <c r="O34" s="100"/>
      <c r="P34" s="100"/>
      <c r="Q34" s="100"/>
      <c r="R34" s="100"/>
      <c r="S34" s="100"/>
      <c r="U34" s="62"/>
    </row>
    <row r="35" customFormat="false" ht="15" hidden="false" customHeight="true" outlineLevel="0" collapsed="false">
      <c r="B35" s="62"/>
      <c r="D35" s="362"/>
      <c r="E35" s="44"/>
      <c r="F35" s="396"/>
      <c r="G35" s="491"/>
      <c r="H35" s="440"/>
      <c r="I35" s="347" t="s">
        <v>402</v>
      </c>
      <c r="J35" s="347"/>
      <c r="K35" s="442"/>
      <c r="L35" s="345"/>
      <c r="M35" s="345"/>
      <c r="N35" s="100"/>
      <c r="O35" s="100"/>
      <c r="P35" s="100"/>
      <c r="Q35" s="100"/>
      <c r="R35" s="100"/>
      <c r="S35" s="100"/>
      <c r="U35" s="62"/>
    </row>
    <row r="36" customFormat="false" ht="15" hidden="false" customHeight="true" outlineLevel="0" collapsed="false">
      <c r="B36" s="62"/>
      <c r="D36" s="362"/>
      <c r="E36" s="44"/>
      <c r="F36" s="396"/>
      <c r="G36" s="491"/>
      <c r="H36" s="440"/>
      <c r="I36" s="348" t="s">
        <v>403</v>
      </c>
      <c r="J36" s="348"/>
      <c r="K36" s="442"/>
      <c r="L36" s="345"/>
      <c r="M36" s="345"/>
      <c r="N36" s="100"/>
      <c r="O36" s="100"/>
      <c r="P36" s="100"/>
      <c r="Q36" s="100"/>
      <c r="R36" s="100"/>
      <c r="S36" s="100"/>
      <c r="U36" s="62"/>
    </row>
    <row r="37" customFormat="false" ht="20.1" hidden="false" customHeight="true" outlineLevel="0" collapsed="false">
      <c r="B37" s="62"/>
      <c r="U37" s="62"/>
    </row>
    <row r="38" customFormat="false" ht="20.1" hidden="false" customHeight="true" outlineLevel="0" collapsed="false">
      <c r="B38" s="62"/>
      <c r="C38" s="101"/>
      <c r="D38" s="101"/>
      <c r="E38" s="102" t="str">
        <f aca="false">IF(OR(M26="-",M26= ""),H26,M26)</f>
        <v>Dungeon Lords</v>
      </c>
      <c r="F38" s="102"/>
      <c r="G38" s="102"/>
      <c r="H38" s="102"/>
      <c r="I38" s="102"/>
      <c r="J38" s="102"/>
      <c r="K38" s="102"/>
      <c r="L38" s="102"/>
      <c r="M38" s="102"/>
      <c r="N38" s="102"/>
      <c r="O38" s="103"/>
      <c r="P38" s="103"/>
      <c r="Q38" s="103"/>
      <c r="R38" s="103"/>
      <c r="S38" s="103"/>
      <c r="T38" s="101"/>
      <c r="U38" s="62"/>
    </row>
    <row r="39" customFormat="false" ht="50.1" hidden="false" customHeight="true" outlineLevel="0" collapsed="false">
      <c r="B39" s="62"/>
      <c r="C39" s="101"/>
      <c r="D39" s="103"/>
      <c r="E39" s="65" t="s">
        <v>53</v>
      </c>
      <c r="F39" s="104" t="s">
        <v>76</v>
      </c>
      <c r="G39" s="67" t="s">
        <v>77</v>
      </c>
      <c r="H39" s="66" t="s">
        <v>78</v>
      </c>
      <c r="I39" s="54" t="s">
        <v>79</v>
      </c>
      <c r="J39" s="66" t="s">
        <v>80</v>
      </c>
      <c r="K39" s="105" t="s">
        <v>81</v>
      </c>
      <c r="L39" s="66" t="s">
        <v>82</v>
      </c>
      <c r="M39" s="106" t="s">
        <v>83</v>
      </c>
      <c r="N39" s="67" t="s">
        <v>84</v>
      </c>
      <c r="O39" s="107" t="s">
        <v>85</v>
      </c>
      <c r="P39" s="108" t="s">
        <v>86</v>
      </c>
      <c r="Q39" s="108" t="s">
        <v>87</v>
      </c>
      <c r="R39" s="108" t="s">
        <v>88</v>
      </c>
      <c r="S39" s="103"/>
      <c r="T39" s="101"/>
      <c r="U39" s="62"/>
    </row>
    <row r="40" customFormat="false" ht="20.1" hidden="false" customHeight="true" outlineLevel="0" collapsed="false">
      <c r="B40" s="62"/>
      <c r="C40" s="101"/>
      <c r="D40" s="101"/>
      <c r="E40" s="403" t="s">
        <v>17</v>
      </c>
      <c r="F40" s="110" t="s">
        <v>18</v>
      </c>
      <c r="G40" s="111" t="n">
        <v>3</v>
      </c>
      <c r="H40" s="111" t="s">
        <v>67</v>
      </c>
      <c r="I40" s="111" t="n">
        <v>6</v>
      </c>
      <c r="J40" s="111" t="n">
        <v>28</v>
      </c>
      <c r="K40" s="111" t="s">
        <v>67</v>
      </c>
      <c r="L40" s="113" t="n">
        <f aca="false">IF(J40="",0,(J40/J44)*100)</f>
        <v>100</v>
      </c>
      <c r="M40" s="111" t="n">
        <v>1</v>
      </c>
      <c r="N40" s="114" t="n">
        <v>6</v>
      </c>
      <c r="O40" s="115" t="n">
        <f aca="false">IF(M40=1,1,0)</f>
        <v>1</v>
      </c>
      <c r="P40" s="116" t="n">
        <f aca="false">IF(M40=2,1,0)</f>
        <v>0</v>
      </c>
      <c r="Q40" s="116" t="n">
        <f aca="false">IF(M40=3,1,0)</f>
        <v>0</v>
      </c>
      <c r="R40" s="117" t="n">
        <f aca="false">IF(M40=4,1,0)</f>
        <v>0</v>
      </c>
      <c r="S40" s="118"/>
      <c r="T40" s="101"/>
      <c r="U40" s="62"/>
    </row>
    <row r="41" customFormat="false" ht="20.1" hidden="false" customHeight="true" outlineLevel="0" collapsed="false">
      <c r="B41" s="62"/>
      <c r="C41" s="101"/>
      <c r="D41" s="101"/>
      <c r="E41" s="79" t="s">
        <v>33</v>
      </c>
      <c r="F41" s="26" t="s">
        <v>34</v>
      </c>
      <c r="G41" s="241" t="n">
        <v>2</v>
      </c>
      <c r="H41" s="241" t="s">
        <v>67</v>
      </c>
      <c r="I41" s="241" t="n">
        <v>6</v>
      </c>
      <c r="J41" s="241" t="n">
        <v>22</v>
      </c>
      <c r="K41" s="241" t="s">
        <v>67</v>
      </c>
      <c r="L41" s="243" t="n">
        <f aca="false">IF(J41="",0,(J41/J44)*100)</f>
        <v>78.5714285714286</v>
      </c>
      <c r="M41" s="241" t="n">
        <v>2</v>
      </c>
      <c r="N41" s="244" t="n">
        <v>3</v>
      </c>
      <c r="O41" s="121" t="n">
        <f aca="false">IF(M41=1,1,0)</f>
        <v>0</v>
      </c>
      <c r="P41" s="122" t="n">
        <f aca="false">IF(M41=2,1,0)</f>
        <v>1</v>
      </c>
      <c r="Q41" s="122" t="n">
        <f aca="false">IF(M41=3,1,0)</f>
        <v>0</v>
      </c>
      <c r="R41" s="123" t="n">
        <f aca="false">IF(M41=4,1,0)</f>
        <v>0</v>
      </c>
      <c r="S41" s="118"/>
      <c r="T41" s="101"/>
      <c r="U41" s="62"/>
    </row>
    <row r="42" customFormat="false" ht="20.1" hidden="false" customHeight="true" outlineLevel="0" collapsed="false">
      <c r="B42" s="62"/>
      <c r="C42" s="101"/>
      <c r="D42" s="101"/>
      <c r="E42" s="326" t="s">
        <v>15</v>
      </c>
      <c r="F42" s="33" t="s">
        <v>16</v>
      </c>
      <c r="G42" s="241" t="n">
        <v>1</v>
      </c>
      <c r="H42" s="241" t="s">
        <v>67</v>
      </c>
      <c r="I42" s="241" t="n">
        <v>6</v>
      </c>
      <c r="J42" s="241" t="n">
        <v>18</v>
      </c>
      <c r="K42" s="241" t="s">
        <v>67</v>
      </c>
      <c r="L42" s="243" t="n">
        <f aca="false">IF(J42="",0,(J42/J44)*100)</f>
        <v>64.2857142857143</v>
      </c>
      <c r="M42" s="241" t="n">
        <v>4</v>
      </c>
      <c r="N42" s="244" t="n">
        <v>0</v>
      </c>
      <c r="O42" s="121" t="n">
        <f aca="false">IF(M42=1,1,0)</f>
        <v>0</v>
      </c>
      <c r="P42" s="122" t="n">
        <f aca="false">IF(M42=2,1,0)</f>
        <v>0</v>
      </c>
      <c r="Q42" s="122" t="n">
        <f aca="false">IF(M42=3,1,0)</f>
        <v>0</v>
      </c>
      <c r="R42" s="123" t="n">
        <f aca="false">IF(M42=4,1,0)</f>
        <v>1</v>
      </c>
      <c r="S42" s="118"/>
      <c r="T42" s="101"/>
      <c r="U42" s="62"/>
    </row>
    <row r="43" customFormat="false" ht="20.1" hidden="false" customHeight="true" outlineLevel="0" collapsed="false">
      <c r="B43" s="62"/>
      <c r="C43" s="101"/>
      <c r="D43" s="124"/>
      <c r="E43" s="349" t="s">
        <v>39</v>
      </c>
      <c r="F43" s="44" t="s">
        <v>40</v>
      </c>
      <c r="G43" s="245" t="n">
        <v>4</v>
      </c>
      <c r="H43" s="245" t="s">
        <v>67</v>
      </c>
      <c r="I43" s="245" t="n">
        <v>6</v>
      </c>
      <c r="J43" s="245" t="n">
        <v>20</v>
      </c>
      <c r="K43" s="245" t="s">
        <v>67</v>
      </c>
      <c r="L43" s="247" t="n">
        <f aca="false">IF(J43="",0,(J43/J44)*100)</f>
        <v>71.4285714285714</v>
      </c>
      <c r="M43" s="245" t="n">
        <v>3</v>
      </c>
      <c r="N43" s="248" t="n">
        <v>1</v>
      </c>
      <c r="O43" s="127" t="n">
        <f aca="false">IF(M43=1,1,0)</f>
        <v>0</v>
      </c>
      <c r="P43" s="128" t="n">
        <f aca="false">IF(M43=2,1,0)</f>
        <v>0</v>
      </c>
      <c r="Q43" s="128" t="n">
        <f aca="false">IF(M43=3,1,0)</f>
        <v>1</v>
      </c>
      <c r="R43" s="129" t="n">
        <f aca="false">IF(M43=4,1,0)</f>
        <v>0</v>
      </c>
      <c r="S43" s="118"/>
      <c r="T43" s="101"/>
      <c r="U43" s="62"/>
    </row>
    <row r="44" customFormat="false" ht="20.1" hidden="true" customHeight="true" outlineLevel="1" collapsed="false">
      <c r="B44" s="62"/>
      <c r="C44" s="101"/>
      <c r="D44" s="130"/>
      <c r="E44" s="130"/>
      <c r="F44" s="131"/>
      <c r="G44" s="131"/>
      <c r="H44" s="101"/>
      <c r="I44" s="132" t="s">
        <v>89</v>
      </c>
      <c r="J44" s="133" t="n">
        <f aca="false">MAX(J40:J43)</f>
        <v>28</v>
      </c>
      <c r="K44" s="134"/>
      <c r="L44" s="135"/>
      <c r="M44" s="101"/>
      <c r="N44" s="136" t="s">
        <v>90</v>
      </c>
      <c r="O44" s="137" t="n">
        <f aca="false">SUM(O40:O43)</f>
        <v>1</v>
      </c>
      <c r="P44" s="138" t="n">
        <f aca="false">SUM(P40:P43)</f>
        <v>1</v>
      </c>
      <c r="Q44" s="137" t="n">
        <f aca="false">SUM(Q40:Q43)</f>
        <v>1</v>
      </c>
      <c r="R44" s="137" t="n">
        <f aca="false">SUM(R40:R43)</f>
        <v>1</v>
      </c>
      <c r="S44" s="139"/>
      <c r="T44" s="101"/>
      <c r="U44" s="62"/>
    </row>
    <row r="45" customFormat="false" ht="20.1" hidden="false" customHeight="true" outlineLevel="0" collapsed="false">
      <c r="B45" s="62"/>
      <c r="C45" s="101"/>
      <c r="D45" s="101"/>
      <c r="E45" s="101"/>
      <c r="F45" s="140"/>
      <c r="G45" s="140"/>
      <c r="H45" s="103"/>
      <c r="I45" s="101"/>
      <c r="J45" s="101"/>
      <c r="K45" s="101"/>
      <c r="L45" s="101"/>
      <c r="M45" s="101"/>
      <c r="N45" s="101"/>
      <c r="O45" s="101"/>
      <c r="P45" s="101"/>
      <c r="Q45" s="101"/>
      <c r="R45" s="101"/>
      <c r="S45" s="101"/>
      <c r="T45" s="101"/>
      <c r="U45" s="62"/>
    </row>
    <row r="46" customFormat="false" ht="20.1" hidden="false" customHeight="true" outlineLevel="0" collapsed="false">
      <c r="B46" s="62"/>
      <c r="U46" s="62"/>
    </row>
    <row r="47" customFormat="false" ht="20.1" hidden="false" customHeight="true" outlineLevel="0" collapsed="false">
      <c r="B47" s="62"/>
      <c r="C47" s="141"/>
      <c r="D47" s="141"/>
      <c r="E47" s="142" t="str">
        <f aca="false">IF(OR(M28="-",M28= ""),H28,M28)</f>
        <v>Through the Ages: Eine neue Geschichte der Zivilisation</v>
      </c>
      <c r="F47" s="142"/>
      <c r="G47" s="142"/>
      <c r="H47" s="142"/>
      <c r="I47" s="142"/>
      <c r="J47" s="142"/>
      <c r="K47" s="142"/>
      <c r="L47" s="142"/>
      <c r="M47" s="142"/>
      <c r="N47" s="142"/>
      <c r="O47" s="143"/>
      <c r="P47" s="143"/>
      <c r="Q47" s="143"/>
      <c r="R47" s="143"/>
      <c r="S47" s="143"/>
      <c r="T47" s="141"/>
      <c r="U47" s="62"/>
    </row>
    <row r="48" customFormat="false" ht="50.1" hidden="false" customHeight="true" outlineLevel="0" collapsed="false">
      <c r="B48" s="62"/>
      <c r="C48" s="141"/>
      <c r="D48" s="143"/>
      <c r="E48" s="65" t="s">
        <v>53</v>
      </c>
      <c r="F48" s="104" t="s">
        <v>76</v>
      </c>
      <c r="G48" s="67" t="s">
        <v>77</v>
      </c>
      <c r="H48" s="66" t="s">
        <v>78</v>
      </c>
      <c r="I48" s="54" t="s">
        <v>79</v>
      </c>
      <c r="J48" s="66" t="s">
        <v>80</v>
      </c>
      <c r="K48" s="105" t="s">
        <v>81</v>
      </c>
      <c r="L48" s="66" t="s">
        <v>82</v>
      </c>
      <c r="M48" s="106" t="s">
        <v>83</v>
      </c>
      <c r="N48" s="67" t="s">
        <v>84</v>
      </c>
      <c r="O48" s="107" t="s">
        <v>85</v>
      </c>
      <c r="P48" s="108" t="s">
        <v>86</v>
      </c>
      <c r="Q48" s="108" t="s">
        <v>87</v>
      </c>
      <c r="R48" s="108" t="s">
        <v>88</v>
      </c>
      <c r="S48" s="143"/>
      <c r="T48" s="141"/>
      <c r="U48" s="62"/>
    </row>
    <row r="49" customFormat="false" ht="20.1" hidden="false" customHeight="true" outlineLevel="0" collapsed="false">
      <c r="B49" s="62"/>
      <c r="C49" s="141"/>
      <c r="D49" s="141"/>
      <c r="E49" s="403" t="s">
        <v>17</v>
      </c>
      <c r="F49" s="110" t="s">
        <v>18</v>
      </c>
      <c r="G49" s="111" t="n">
        <v>4</v>
      </c>
      <c r="H49" s="112" t="s">
        <v>67</v>
      </c>
      <c r="I49" s="111" t="n">
        <v>0</v>
      </c>
      <c r="J49" s="112" t="n">
        <v>327</v>
      </c>
      <c r="K49" s="112" t="s">
        <v>67</v>
      </c>
      <c r="L49" s="113" t="n">
        <f aca="false">IF(J49="",0,(J49/J53)*100)</f>
        <v>100</v>
      </c>
      <c r="M49" s="111" t="n">
        <v>1</v>
      </c>
      <c r="N49" s="114" t="n">
        <v>6</v>
      </c>
      <c r="O49" s="115" t="n">
        <f aca="false">IF(M49=1,1,0)</f>
        <v>1</v>
      </c>
      <c r="P49" s="116" t="n">
        <f aca="false">IF(M49=2,1,0)</f>
        <v>0</v>
      </c>
      <c r="Q49" s="116" t="n">
        <f aca="false">IF(M49=3,1,0)</f>
        <v>0</v>
      </c>
      <c r="R49" s="117" t="n">
        <f aca="false">IF(M49=4,1,0)</f>
        <v>0</v>
      </c>
      <c r="S49" s="147"/>
      <c r="T49" s="141"/>
      <c r="U49" s="62"/>
    </row>
    <row r="50" customFormat="false" ht="20.1" hidden="false" customHeight="true" outlineLevel="0" collapsed="false">
      <c r="B50" s="62"/>
      <c r="C50" s="141"/>
      <c r="D50" s="148"/>
      <c r="E50" s="79" t="s">
        <v>33</v>
      </c>
      <c r="F50" s="26" t="s">
        <v>34</v>
      </c>
      <c r="G50" s="241" t="n">
        <v>1</v>
      </c>
      <c r="H50" s="242" t="s">
        <v>67</v>
      </c>
      <c r="I50" s="241" t="n">
        <v>0</v>
      </c>
      <c r="J50" s="242" t="n">
        <v>311</v>
      </c>
      <c r="K50" s="242" t="s">
        <v>67</v>
      </c>
      <c r="L50" s="243" t="n">
        <f aca="false">IF(J50="",0,(J50/J53)*100)</f>
        <v>95.1070336391437</v>
      </c>
      <c r="M50" s="241" t="n">
        <v>2</v>
      </c>
      <c r="N50" s="244" t="n">
        <v>3</v>
      </c>
      <c r="O50" s="121" t="n">
        <f aca="false">IF(M50=1,1,0)</f>
        <v>0</v>
      </c>
      <c r="P50" s="122" t="n">
        <f aca="false">IF(M50=2,1,0)</f>
        <v>1</v>
      </c>
      <c r="Q50" s="122" t="n">
        <f aca="false">IF(M50=3,1,0)</f>
        <v>0</v>
      </c>
      <c r="R50" s="123" t="n">
        <f aca="false">IF(M50=4,1,0)</f>
        <v>0</v>
      </c>
      <c r="S50" s="147"/>
      <c r="T50" s="141"/>
      <c r="U50" s="62"/>
    </row>
    <row r="51" customFormat="false" ht="20.1" hidden="false" customHeight="true" outlineLevel="0" collapsed="false">
      <c r="B51" s="62"/>
      <c r="C51" s="141"/>
      <c r="D51" s="141"/>
      <c r="E51" s="326" t="s">
        <v>15</v>
      </c>
      <c r="F51" s="33" t="s">
        <v>16</v>
      </c>
      <c r="G51" s="241" t="n">
        <v>3</v>
      </c>
      <c r="H51" s="242" t="s">
        <v>67</v>
      </c>
      <c r="I51" s="241" t="n">
        <v>0</v>
      </c>
      <c r="J51" s="242" t="n">
        <v>299</v>
      </c>
      <c r="K51" s="242" t="s">
        <v>67</v>
      </c>
      <c r="L51" s="243" t="n">
        <f aca="false">IF(J51="",0,(J51/J53)*100)</f>
        <v>91.4373088685015</v>
      </c>
      <c r="M51" s="241" t="n">
        <v>3</v>
      </c>
      <c r="N51" s="244" t="n">
        <v>1</v>
      </c>
      <c r="O51" s="121" t="n">
        <f aca="false">IF(M51=1,1,0)</f>
        <v>0</v>
      </c>
      <c r="P51" s="122" t="n">
        <f aca="false">IF(M51=2,1,0)</f>
        <v>0</v>
      </c>
      <c r="Q51" s="122" t="n">
        <f aca="false">IF(M51=3,1,0)</f>
        <v>1</v>
      </c>
      <c r="R51" s="123" t="n">
        <f aca="false">IF(M51=4,1,0)</f>
        <v>0</v>
      </c>
      <c r="S51" s="147"/>
      <c r="T51" s="141"/>
      <c r="U51" s="62"/>
    </row>
    <row r="52" customFormat="false" ht="20.1" hidden="false" customHeight="true" outlineLevel="0" collapsed="false">
      <c r="B52" s="62"/>
      <c r="C52" s="141"/>
      <c r="D52" s="141"/>
      <c r="E52" s="349" t="s">
        <v>39</v>
      </c>
      <c r="F52" s="44" t="s">
        <v>40</v>
      </c>
      <c r="G52" s="245" t="n">
        <v>2</v>
      </c>
      <c r="H52" s="246" t="s">
        <v>67</v>
      </c>
      <c r="I52" s="245" t="n">
        <v>0</v>
      </c>
      <c r="J52" s="246" t="n">
        <v>251</v>
      </c>
      <c r="K52" s="245" t="s">
        <v>67</v>
      </c>
      <c r="L52" s="247" t="n">
        <f aca="false">IF(J52="",0,(J52/J53)*100)</f>
        <v>76.7584097859327</v>
      </c>
      <c r="M52" s="245" t="n">
        <v>4</v>
      </c>
      <c r="N52" s="248" t="n">
        <v>0</v>
      </c>
      <c r="O52" s="127" t="n">
        <f aca="false">IF(M52=1,1,0)</f>
        <v>0</v>
      </c>
      <c r="P52" s="128" t="n">
        <f aca="false">IF(M52=2,1,0)</f>
        <v>0</v>
      </c>
      <c r="Q52" s="128" t="n">
        <f aca="false">IF(M52=3,1,0)</f>
        <v>0</v>
      </c>
      <c r="R52" s="129" t="n">
        <f aca="false">IF(M52=4,1,0)</f>
        <v>1</v>
      </c>
      <c r="S52" s="147"/>
      <c r="T52" s="141"/>
      <c r="U52" s="62"/>
    </row>
    <row r="53" customFormat="false" ht="20.1" hidden="true" customHeight="true" outlineLevel="1" collapsed="false">
      <c r="B53" s="62"/>
      <c r="C53" s="141"/>
      <c r="D53" s="141"/>
      <c r="E53" s="141"/>
      <c r="F53" s="157"/>
      <c r="G53" s="157"/>
      <c r="H53" s="141"/>
      <c r="I53" s="158" t="s">
        <v>89</v>
      </c>
      <c r="J53" s="133" t="n">
        <f aca="false">MAX(J49:J52)</f>
        <v>327</v>
      </c>
      <c r="K53" s="159"/>
      <c r="L53" s="147"/>
      <c r="M53" s="141"/>
      <c r="N53" s="136" t="s">
        <v>90</v>
      </c>
      <c r="O53" s="137" t="n">
        <f aca="false">SUM(O49:O52)</f>
        <v>1</v>
      </c>
      <c r="P53" s="138" t="n">
        <f aca="false">SUM(P49:P52)</f>
        <v>1</v>
      </c>
      <c r="Q53" s="137" t="n">
        <f aca="false">SUM(Q49:Q52)</f>
        <v>1</v>
      </c>
      <c r="R53" s="160" t="n">
        <f aca="false">SUM(R49:R52)</f>
        <v>1</v>
      </c>
      <c r="S53" s="161"/>
      <c r="T53" s="141"/>
      <c r="U53" s="62"/>
    </row>
    <row r="54" customFormat="false" ht="20.1" hidden="false" customHeight="true" outlineLevel="0" collapsed="false">
      <c r="B54" s="62"/>
      <c r="C54" s="141"/>
      <c r="D54" s="141"/>
      <c r="E54" s="141"/>
      <c r="F54" s="141"/>
      <c r="G54" s="141"/>
      <c r="H54" s="141"/>
      <c r="I54" s="141"/>
      <c r="J54" s="141"/>
      <c r="K54" s="141"/>
      <c r="L54" s="141"/>
      <c r="M54" s="141"/>
      <c r="N54" s="141"/>
      <c r="O54" s="141"/>
      <c r="P54" s="141"/>
      <c r="Q54" s="141"/>
      <c r="R54" s="141"/>
      <c r="S54" s="141"/>
      <c r="T54" s="141"/>
      <c r="U54" s="62"/>
    </row>
    <row r="55" customFormat="false" ht="20.1" hidden="false" customHeight="true" outlineLevel="0" collapsed="false">
      <c r="B55" s="62"/>
      <c r="D55" s="162"/>
      <c r="E55" s="162"/>
      <c r="F55" s="162"/>
      <c r="G55" s="162"/>
      <c r="H55" s="163"/>
      <c r="I55" s="162"/>
      <c r="J55" s="162"/>
      <c r="U55" s="62"/>
    </row>
    <row r="56" customFormat="false" ht="20.1" hidden="false" customHeight="true" outlineLevel="0" collapsed="false">
      <c r="B56" s="62"/>
      <c r="C56" s="164"/>
      <c r="D56" s="164"/>
      <c r="E56" s="165" t="str">
        <f aca="false">IF(OR(M30="-",M30= ""),H30,M30)</f>
        <v>Teotihuacan: Die Stadt der Götter</v>
      </c>
      <c r="F56" s="165"/>
      <c r="G56" s="165"/>
      <c r="H56" s="165"/>
      <c r="I56" s="165"/>
      <c r="J56" s="165"/>
      <c r="K56" s="165"/>
      <c r="L56" s="165"/>
      <c r="M56" s="165"/>
      <c r="N56" s="165"/>
      <c r="O56" s="166"/>
      <c r="P56" s="166"/>
      <c r="Q56" s="166"/>
      <c r="R56" s="166"/>
      <c r="S56" s="166"/>
      <c r="T56" s="164"/>
      <c r="U56" s="167"/>
      <c r="V56" s="168"/>
      <c r="W56" s="168"/>
    </row>
    <row r="57" customFormat="false" ht="50.1" hidden="false" customHeight="true" outlineLevel="0" collapsed="false">
      <c r="B57" s="62"/>
      <c r="C57" s="164"/>
      <c r="D57" s="166"/>
      <c r="E57" s="65" t="s">
        <v>53</v>
      </c>
      <c r="F57" s="104" t="s">
        <v>76</v>
      </c>
      <c r="G57" s="67" t="s">
        <v>77</v>
      </c>
      <c r="H57" s="66" t="s">
        <v>78</v>
      </c>
      <c r="I57" s="54" t="s">
        <v>79</v>
      </c>
      <c r="J57" s="66" t="s">
        <v>80</v>
      </c>
      <c r="K57" s="105" t="s">
        <v>81</v>
      </c>
      <c r="L57" s="66" t="s">
        <v>82</v>
      </c>
      <c r="M57" s="106" t="s">
        <v>83</v>
      </c>
      <c r="N57" s="67" t="s">
        <v>84</v>
      </c>
      <c r="O57" s="107" t="s">
        <v>85</v>
      </c>
      <c r="P57" s="108" t="s">
        <v>86</v>
      </c>
      <c r="Q57" s="108" t="s">
        <v>87</v>
      </c>
      <c r="R57" s="13" t="s">
        <v>88</v>
      </c>
      <c r="S57" s="166"/>
      <c r="T57" s="164"/>
      <c r="U57" s="167"/>
      <c r="V57" s="168"/>
      <c r="W57" s="168"/>
    </row>
    <row r="58" customFormat="false" ht="20.1" hidden="false" customHeight="true" outlineLevel="0" collapsed="false">
      <c r="B58" s="62"/>
      <c r="C58" s="164"/>
      <c r="D58" s="164"/>
      <c r="E58" s="403" t="s">
        <v>17</v>
      </c>
      <c r="F58" s="110" t="s">
        <v>18</v>
      </c>
      <c r="G58" s="111" t="n">
        <v>2</v>
      </c>
      <c r="H58" s="112" t="s">
        <v>67</v>
      </c>
      <c r="I58" s="111" t="n">
        <v>0</v>
      </c>
      <c r="J58" s="493" t="n">
        <v>202</v>
      </c>
      <c r="K58" s="111" t="s">
        <v>67</v>
      </c>
      <c r="L58" s="113" t="n">
        <f aca="false">IF(J58="",0,(J58/J62)*100)</f>
        <v>100</v>
      </c>
      <c r="M58" s="111" t="n">
        <v>1</v>
      </c>
      <c r="N58" s="114" t="n">
        <v>6</v>
      </c>
      <c r="O58" s="115" t="n">
        <f aca="false">IF(M58=1,1,0)</f>
        <v>1</v>
      </c>
      <c r="P58" s="116" t="n">
        <f aca="false">IF(M58=2,1,0)</f>
        <v>0</v>
      </c>
      <c r="Q58" s="116" t="n">
        <f aca="false">IF(M58=3,1,0)</f>
        <v>0</v>
      </c>
      <c r="R58" s="117" t="n">
        <f aca="false">IF(M58=4,1,0)</f>
        <v>0</v>
      </c>
      <c r="S58" s="170"/>
      <c r="T58" s="164"/>
      <c r="U58" s="62"/>
    </row>
    <row r="59" customFormat="false" ht="20.1" hidden="false" customHeight="true" outlineLevel="0" collapsed="false">
      <c r="B59" s="62"/>
      <c r="C59" s="164"/>
      <c r="D59" s="171"/>
      <c r="E59" s="79" t="s">
        <v>33</v>
      </c>
      <c r="F59" s="26" t="s">
        <v>34</v>
      </c>
      <c r="G59" s="241" t="n">
        <v>1</v>
      </c>
      <c r="H59" s="241" t="s">
        <v>67</v>
      </c>
      <c r="I59" s="241" t="n">
        <v>0</v>
      </c>
      <c r="J59" s="300" t="n">
        <v>172</v>
      </c>
      <c r="K59" s="241" t="s">
        <v>67</v>
      </c>
      <c r="L59" s="243" t="n">
        <f aca="false">IF(J59="",0,(J59/J62)*100)</f>
        <v>85.1485148514852</v>
      </c>
      <c r="M59" s="241" t="n">
        <v>3</v>
      </c>
      <c r="N59" s="244" t="n">
        <v>1</v>
      </c>
      <c r="O59" s="121" t="n">
        <f aca="false">IF(M59=1,1,0)</f>
        <v>0</v>
      </c>
      <c r="P59" s="122" t="n">
        <f aca="false">IF(M59=2,1,0)</f>
        <v>0</v>
      </c>
      <c r="Q59" s="122" t="n">
        <f aca="false">IF(M59=3,1,0)</f>
        <v>1</v>
      </c>
      <c r="R59" s="123" t="n">
        <f aca="false">IF(M59=4,1,0)</f>
        <v>0</v>
      </c>
      <c r="S59" s="170"/>
      <c r="T59" s="164"/>
      <c r="U59" s="173"/>
    </row>
    <row r="60" customFormat="false" ht="20.1" hidden="false" customHeight="true" outlineLevel="0" collapsed="false">
      <c r="B60" s="62"/>
      <c r="C60" s="164"/>
      <c r="D60" s="164"/>
      <c r="E60" s="326" t="s">
        <v>15</v>
      </c>
      <c r="F60" s="33" t="s">
        <v>16</v>
      </c>
      <c r="G60" s="241" t="n">
        <v>3</v>
      </c>
      <c r="H60" s="242" t="s">
        <v>67</v>
      </c>
      <c r="I60" s="241" t="n">
        <v>0</v>
      </c>
      <c r="J60" s="300" t="n">
        <v>186</v>
      </c>
      <c r="K60" s="241" t="s">
        <v>67</v>
      </c>
      <c r="L60" s="243" t="n">
        <f aca="false">IF(J60="",0,(J60/J62)*100)</f>
        <v>92.0792079207921</v>
      </c>
      <c r="M60" s="241" t="n">
        <v>2</v>
      </c>
      <c r="N60" s="244" t="n">
        <v>3</v>
      </c>
      <c r="O60" s="121" t="n">
        <f aca="false">IF(M60=1,1,0)</f>
        <v>0</v>
      </c>
      <c r="P60" s="122" t="n">
        <f aca="false">IF(M60=2,1,0)</f>
        <v>1</v>
      </c>
      <c r="Q60" s="122" t="n">
        <f aca="false">IF(M60=3,1,0)</f>
        <v>0</v>
      </c>
      <c r="R60" s="123" t="n">
        <f aca="false">IF(M60=4,1,0)</f>
        <v>0</v>
      </c>
      <c r="S60" s="170"/>
      <c r="T60" s="164"/>
      <c r="U60" s="173"/>
    </row>
    <row r="61" customFormat="false" ht="20.1" hidden="false" customHeight="true" outlineLevel="0" collapsed="false">
      <c r="B61" s="62"/>
      <c r="C61" s="164"/>
      <c r="D61" s="164"/>
      <c r="E61" s="349" t="s">
        <v>39</v>
      </c>
      <c r="F61" s="44" t="s">
        <v>40</v>
      </c>
      <c r="G61" s="245" t="n">
        <v>4</v>
      </c>
      <c r="H61" s="246" t="s">
        <v>67</v>
      </c>
      <c r="I61" s="245" t="n">
        <v>0</v>
      </c>
      <c r="J61" s="418" t="n">
        <v>97</v>
      </c>
      <c r="K61" s="245" t="s">
        <v>67</v>
      </c>
      <c r="L61" s="247" t="n">
        <f aca="false">IF(J61="",0,(J61/J62)*100)</f>
        <v>48.019801980198</v>
      </c>
      <c r="M61" s="245" t="n">
        <v>4</v>
      </c>
      <c r="N61" s="248" t="n">
        <v>0</v>
      </c>
      <c r="O61" s="127" t="n">
        <f aca="false">IF(M61=1,1,0)</f>
        <v>0</v>
      </c>
      <c r="P61" s="128" t="n">
        <f aca="false">IF(M61=2,1,0)</f>
        <v>0</v>
      </c>
      <c r="Q61" s="128" t="n">
        <f aca="false">IF(M61=3,1,0)</f>
        <v>0</v>
      </c>
      <c r="R61" s="129" t="n">
        <f aca="false">IF(M61=4,1,0)</f>
        <v>1</v>
      </c>
      <c r="S61" s="170"/>
      <c r="T61" s="164"/>
      <c r="U61" s="173"/>
    </row>
    <row r="62" customFormat="false" ht="20.1" hidden="true" customHeight="true" outlineLevel="1" collapsed="false">
      <c r="B62" s="62"/>
      <c r="C62" s="164"/>
      <c r="D62" s="164"/>
      <c r="E62" s="164"/>
      <c r="F62" s="178"/>
      <c r="G62" s="178"/>
      <c r="H62" s="164"/>
      <c r="I62" s="179" t="s">
        <v>89</v>
      </c>
      <c r="J62" s="133" t="n">
        <f aca="false">MAX(J58:J61)</f>
        <v>202</v>
      </c>
      <c r="K62" s="180"/>
      <c r="L62" s="170"/>
      <c r="M62" s="164"/>
      <c r="N62" s="136"/>
      <c r="O62" s="137" t="n">
        <f aca="false">SUM(O58:O61)</f>
        <v>1</v>
      </c>
      <c r="P62" s="138" t="n">
        <f aca="false">SUM(P58:P61)</f>
        <v>1</v>
      </c>
      <c r="Q62" s="137" t="n">
        <f aca="false">SUM(Q58:Q61)</f>
        <v>1</v>
      </c>
      <c r="R62" s="160" t="n">
        <f aca="false">SUM(R58:R61)</f>
        <v>1</v>
      </c>
      <c r="S62" s="181"/>
      <c r="T62" s="164"/>
      <c r="U62" s="173"/>
    </row>
    <row r="63" customFormat="false" ht="20.1" hidden="false" customHeight="true" outlineLevel="0" collapsed="false">
      <c r="B63" s="62"/>
      <c r="C63" s="164"/>
      <c r="D63" s="164"/>
      <c r="E63" s="164"/>
      <c r="F63" s="164"/>
      <c r="G63" s="164"/>
      <c r="H63" s="164"/>
      <c r="I63" s="164"/>
      <c r="J63" s="164"/>
      <c r="K63" s="164"/>
      <c r="L63" s="164"/>
      <c r="M63" s="164"/>
      <c r="N63" s="164"/>
      <c r="O63" s="164"/>
      <c r="P63" s="164"/>
      <c r="Q63" s="164"/>
      <c r="R63" s="164"/>
      <c r="S63" s="164"/>
      <c r="T63" s="164"/>
      <c r="U63" s="173"/>
    </row>
    <row r="64" customFormat="false" ht="20.1" hidden="false" customHeight="true" outlineLevel="0" collapsed="false">
      <c r="B64" s="62"/>
      <c r="D64" s="162"/>
      <c r="E64" s="162"/>
      <c r="F64" s="162"/>
      <c r="G64" s="162"/>
      <c r="H64" s="163"/>
      <c r="I64" s="162"/>
      <c r="J64" s="162"/>
      <c r="K64" s="162"/>
      <c r="U64" s="62"/>
    </row>
    <row r="65" customFormat="false" ht="20.1" hidden="false" customHeight="true" outlineLevel="0" collapsed="false">
      <c r="B65" s="62"/>
      <c r="C65" s="182"/>
      <c r="D65" s="182"/>
      <c r="E65" s="183" t="str">
        <f aca="false">IF(OR(M34="-",M34= ""),H34,M34)</f>
        <v>Carnegie</v>
      </c>
      <c r="F65" s="183"/>
      <c r="G65" s="183"/>
      <c r="H65" s="183"/>
      <c r="I65" s="183"/>
      <c r="J65" s="183"/>
      <c r="K65" s="183"/>
      <c r="L65" s="183"/>
      <c r="M65" s="183"/>
      <c r="N65" s="183"/>
      <c r="O65" s="184"/>
      <c r="P65" s="184"/>
      <c r="Q65" s="184"/>
      <c r="R65" s="184"/>
      <c r="S65" s="184"/>
      <c r="T65" s="182"/>
      <c r="U65" s="62"/>
    </row>
    <row r="66" customFormat="false" ht="50.1" hidden="false" customHeight="true" outlineLevel="0" collapsed="false">
      <c r="B66" s="62"/>
      <c r="C66" s="182"/>
      <c r="D66" s="184"/>
      <c r="E66" s="65" t="s">
        <v>53</v>
      </c>
      <c r="F66" s="104" t="s">
        <v>76</v>
      </c>
      <c r="G66" s="67" t="s">
        <v>77</v>
      </c>
      <c r="H66" s="66" t="s">
        <v>78</v>
      </c>
      <c r="I66" s="54" t="s">
        <v>79</v>
      </c>
      <c r="J66" s="66" t="s">
        <v>80</v>
      </c>
      <c r="K66" s="105" t="s">
        <v>81</v>
      </c>
      <c r="L66" s="66" t="s">
        <v>82</v>
      </c>
      <c r="M66" s="106" t="s">
        <v>83</v>
      </c>
      <c r="N66" s="67" t="s">
        <v>84</v>
      </c>
      <c r="O66" s="107" t="s">
        <v>85</v>
      </c>
      <c r="P66" s="108" t="s">
        <v>86</v>
      </c>
      <c r="Q66" s="108" t="s">
        <v>87</v>
      </c>
      <c r="R66" s="13" t="s">
        <v>88</v>
      </c>
      <c r="S66" s="184"/>
      <c r="T66" s="182"/>
      <c r="U66" s="62"/>
    </row>
    <row r="67" customFormat="false" ht="20.1" hidden="false" customHeight="true" outlineLevel="0" collapsed="false">
      <c r="B67" s="62"/>
      <c r="C67" s="182"/>
      <c r="D67" s="182"/>
      <c r="E67" s="403" t="s">
        <v>17</v>
      </c>
      <c r="F67" s="110" t="s">
        <v>18</v>
      </c>
      <c r="G67" s="111" t="n">
        <v>4</v>
      </c>
      <c r="H67" s="111" t="s">
        <v>67</v>
      </c>
      <c r="I67" s="111" t="n">
        <v>0</v>
      </c>
      <c r="J67" s="111" t="n">
        <v>136</v>
      </c>
      <c r="K67" s="111" t="s">
        <v>67</v>
      </c>
      <c r="L67" s="113" t="n">
        <f aca="false">IF(J67="",0,(J67/J71)*100)</f>
        <v>100</v>
      </c>
      <c r="M67" s="111" t="n">
        <v>1</v>
      </c>
      <c r="N67" s="114" t="n">
        <v>6</v>
      </c>
      <c r="O67" s="115" t="n">
        <f aca="false">IF(M67=1,1,0)</f>
        <v>1</v>
      </c>
      <c r="P67" s="116" t="n">
        <f aca="false">IF(M67=2,1,0)</f>
        <v>0</v>
      </c>
      <c r="Q67" s="116" t="n">
        <f aca="false">IF(M67=3,1,0)</f>
        <v>0</v>
      </c>
      <c r="R67" s="117" t="n">
        <f aca="false">IF(M67=4,1,0)</f>
        <v>0</v>
      </c>
      <c r="S67" s="185"/>
      <c r="T67" s="182"/>
      <c r="U67" s="62"/>
    </row>
    <row r="68" customFormat="false" ht="20.1" hidden="false" customHeight="true" outlineLevel="0" collapsed="false">
      <c r="B68" s="62"/>
      <c r="C68" s="182"/>
      <c r="D68" s="182"/>
      <c r="E68" s="79" t="s">
        <v>33</v>
      </c>
      <c r="F68" s="26" t="s">
        <v>34</v>
      </c>
      <c r="G68" s="241" t="n">
        <v>1</v>
      </c>
      <c r="H68" s="241" t="s">
        <v>67</v>
      </c>
      <c r="I68" s="241" t="n">
        <v>0</v>
      </c>
      <c r="J68" s="241" t="n">
        <v>74</v>
      </c>
      <c r="K68" s="241" t="s">
        <v>67</v>
      </c>
      <c r="L68" s="243" t="n">
        <f aca="false">IF(J68="",0,(J68/J71)*100)</f>
        <v>54.4117647058823</v>
      </c>
      <c r="M68" s="241" t="n">
        <v>4</v>
      </c>
      <c r="N68" s="244" t="n">
        <v>0</v>
      </c>
      <c r="O68" s="121" t="n">
        <f aca="false">IF(M68=1,1,0)</f>
        <v>0</v>
      </c>
      <c r="P68" s="122" t="n">
        <f aca="false">IF(M68=2,1,0)</f>
        <v>0</v>
      </c>
      <c r="Q68" s="122" t="n">
        <f aca="false">IF(M68=3,1,0)</f>
        <v>0</v>
      </c>
      <c r="R68" s="123" t="n">
        <f aca="false">IF(M68=4,1,0)</f>
        <v>1</v>
      </c>
      <c r="S68" s="185"/>
      <c r="T68" s="182"/>
      <c r="U68" s="62"/>
    </row>
    <row r="69" customFormat="false" ht="20.1" hidden="false" customHeight="true" outlineLevel="0" collapsed="false">
      <c r="B69" s="62"/>
      <c r="C69" s="182"/>
      <c r="D69" s="182"/>
      <c r="E69" s="326" t="s">
        <v>15</v>
      </c>
      <c r="F69" s="33" t="s">
        <v>16</v>
      </c>
      <c r="G69" s="241" t="n">
        <v>2</v>
      </c>
      <c r="H69" s="241" t="s">
        <v>67</v>
      </c>
      <c r="I69" s="241" t="n">
        <v>0</v>
      </c>
      <c r="J69" s="241" t="n">
        <v>86</v>
      </c>
      <c r="K69" s="241" t="s">
        <v>67</v>
      </c>
      <c r="L69" s="243" t="n">
        <f aca="false">IF(J69="",0,(J69/J71)*100)</f>
        <v>63.2352941176471</v>
      </c>
      <c r="M69" s="241" t="n">
        <v>3</v>
      </c>
      <c r="N69" s="244" t="n">
        <v>1</v>
      </c>
      <c r="O69" s="121" t="n">
        <f aca="false">IF(M69=1,1,0)</f>
        <v>0</v>
      </c>
      <c r="P69" s="122" t="n">
        <f aca="false">IF(M69=2,1,0)</f>
        <v>0</v>
      </c>
      <c r="Q69" s="122" t="n">
        <f aca="false">IF(M69=3,1,0)</f>
        <v>1</v>
      </c>
      <c r="R69" s="123" t="n">
        <f aca="false">IF(M69=4,1,0)</f>
        <v>0</v>
      </c>
      <c r="S69" s="185"/>
      <c r="T69" s="182"/>
      <c r="U69" s="62"/>
    </row>
    <row r="70" customFormat="false" ht="20.1" hidden="false" customHeight="true" outlineLevel="0" collapsed="false">
      <c r="B70" s="62"/>
      <c r="C70" s="182"/>
      <c r="D70" s="186"/>
      <c r="E70" s="349" t="s">
        <v>39</v>
      </c>
      <c r="F70" s="44" t="s">
        <v>40</v>
      </c>
      <c r="G70" s="245" t="n">
        <v>3</v>
      </c>
      <c r="H70" s="245" t="s">
        <v>67</v>
      </c>
      <c r="I70" s="245" t="n">
        <v>0</v>
      </c>
      <c r="J70" s="245" t="n">
        <v>100</v>
      </c>
      <c r="K70" s="245" t="s">
        <v>67</v>
      </c>
      <c r="L70" s="247" t="n">
        <f aca="false">IF(J70="",0,(J70/J71)*100)</f>
        <v>73.5294117647059</v>
      </c>
      <c r="M70" s="245" t="n">
        <v>2</v>
      </c>
      <c r="N70" s="248" t="n">
        <v>3</v>
      </c>
      <c r="O70" s="127" t="n">
        <f aca="false">IF(M70=1,1,0)</f>
        <v>0</v>
      </c>
      <c r="P70" s="128" t="n">
        <f aca="false">IF(M70=2,1,0)</f>
        <v>1</v>
      </c>
      <c r="Q70" s="128" t="n">
        <f aca="false">IF(M70=3,1,0)</f>
        <v>0</v>
      </c>
      <c r="R70" s="129" t="n">
        <f aca="false">IF(M70=4,1,0)</f>
        <v>0</v>
      </c>
      <c r="S70" s="185"/>
      <c r="T70" s="182"/>
      <c r="U70" s="62"/>
    </row>
    <row r="71" customFormat="false" ht="20.1" hidden="true" customHeight="true" outlineLevel="1" collapsed="false">
      <c r="B71" s="62"/>
      <c r="C71" s="182"/>
      <c r="D71" s="182"/>
      <c r="E71" s="182"/>
      <c r="F71" s="187"/>
      <c r="G71" s="187"/>
      <c r="H71" s="182"/>
      <c r="I71" s="158" t="s">
        <v>89</v>
      </c>
      <c r="J71" s="133" t="n">
        <f aca="false">MAX(J67:J70)</f>
        <v>136</v>
      </c>
      <c r="K71" s="188"/>
      <c r="L71" s="185"/>
      <c r="M71" s="182"/>
      <c r="N71" s="136" t="s">
        <v>90</v>
      </c>
      <c r="O71" s="137" t="n">
        <f aca="false">SUM(O67:O70)</f>
        <v>1</v>
      </c>
      <c r="P71" s="138" t="n">
        <f aca="false">SUM(P67:P70)</f>
        <v>1</v>
      </c>
      <c r="Q71" s="137" t="n">
        <f aca="false">SUM(Q67:Q70)</f>
        <v>1</v>
      </c>
      <c r="R71" s="160" t="n">
        <f aca="false">SUM(R67:R70)</f>
        <v>1</v>
      </c>
      <c r="S71" s="189"/>
      <c r="T71" s="182"/>
      <c r="U71" s="62"/>
    </row>
    <row r="72" customFormat="false" ht="20.1" hidden="false" customHeight="true" outlineLevel="0" collapsed="false">
      <c r="B72" s="62"/>
      <c r="C72" s="182"/>
      <c r="D72" s="182"/>
      <c r="E72" s="182"/>
      <c r="F72" s="182"/>
      <c r="G72" s="182"/>
      <c r="H72" s="182"/>
      <c r="I72" s="182"/>
      <c r="J72" s="182"/>
      <c r="K72" s="182"/>
      <c r="L72" s="182"/>
      <c r="M72" s="182"/>
      <c r="N72" s="182"/>
      <c r="O72" s="182"/>
      <c r="P72" s="182"/>
      <c r="Q72" s="182"/>
      <c r="R72" s="182"/>
      <c r="S72" s="182"/>
      <c r="T72" s="182"/>
      <c r="U72" s="62"/>
    </row>
    <row r="73" customFormat="false" ht="20.1" hidden="false" customHeight="true" outlineLevel="0" collapsed="false">
      <c r="B73" s="62"/>
      <c r="D73" s="5"/>
      <c r="E73" s="5"/>
      <c r="F73" s="5"/>
      <c r="G73" s="5"/>
      <c r="H73" s="5"/>
      <c r="I73" s="5"/>
      <c r="J73" s="5"/>
      <c r="U73" s="62"/>
    </row>
    <row r="74" customFormat="false" ht="30" hidden="false" customHeight="true" outlineLevel="0" collapsed="false">
      <c r="B74" s="62"/>
      <c r="C74" s="190"/>
      <c r="D74" s="191" t="s">
        <v>99</v>
      </c>
      <c r="E74" s="191"/>
      <c r="F74" s="191"/>
      <c r="G74" s="191"/>
      <c r="H74" s="191"/>
      <c r="I74" s="191"/>
      <c r="J74" s="191"/>
      <c r="K74" s="191"/>
      <c r="L74" s="191"/>
      <c r="M74" s="191"/>
      <c r="N74" s="191"/>
      <c r="O74" s="191"/>
      <c r="P74" s="191"/>
      <c r="Q74" s="191"/>
      <c r="R74" s="191"/>
      <c r="S74" s="191"/>
      <c r="T74" s="190"/>
      <c r="U74" s="62"/>
    </row>
    <row r="75" customFormat="false" ht="50.1" hidden="false" customHeight="true" outlineLevel="0" collapsed="false">
      <c r="B75" s="62"/>
      <c r="C75" s="190"/>
      <c r="D75" s="192" t="s">
        <v>53</v>
      </c>
      <c r="E75" s="193" t="s">
        <v>54</v>
      </c>
      <c r="F75" s="194" t="s">
        <v>84</v>
      </c>
      <c r="G75" s="195" t="s">
        <v>100</v>
      </c>
      <c r="H75" s="196" t="s">
        <v>101</v>
      </c>
      <c r="I75" s="196"/>
      <c r="J75" s="197" t="s">
        <v>102</v>
      </c>
      <c r="K75" s="198" t="s">
        <v>103</v>
      </c>
      <c r="L75" s="194" t="s">
        <v>104</v>
      </c>
      <c r="M75" s="198" t="s">
        <v>105</v>
      </c>
      <c r="N75" s="194" t="s">
        <v>106</v>
      </c>
      <c r="O75" s="199"/>
      <c r="P75" s="200"/>
      <c r="Q75" s="200"/>
      <c r="R75" s="200"/>
      <c r="S75" s="193" t="s">
        <v>107</v>
      </c>
      <c r="T75" s="190"/>
      <c r="U75" s="62"/>
    </row>
    <row r="76" customFormat="false" ht="20.1" hidden="false" customHeight="true" outlineLevel="0" collapsed="false">
      <c r="B76" s="62"/>
      <c r="C76" s="190"/>
      <c r="D76" s="407" t="s">
        <v>17</v>
      </c>
      <c r="E76" s="419" t="s">
        <v>18</v>
      </c>
      <c r="F76" s="203" t="n">
        <f aca="false">(K76*6+L76*3+M76*1+N76*0)</f>
        <v>24</v>
      </c>
      <c r="G76" s="203" t="n">
        <v>0</v>
      </c>
      <c r="H76" s="204" t="s">
        <v>67</v>
      </c>
      <c r="I76" s="204"/>
      <c r="J76" s="203" t="n">
        <f aca="false">F76+G76</f>
        <v>24</v>
      </c>
      <c r="K76" s="203" t="n">
        <v>4</v>
      </c>
      <c r="L76" s="203" t="n">
        <v>0</v>
      </c>
      <c r="M76" s="203" t="n">
        <v>0</v>
      </c>
      <c r="N76" s="203" t="n">
        <v>0</v>
      </c>
      <c r="O76" s="203"/>
      <c r="P76" s="203"/>
      <c r="Q76" s="203"/>
      <c r="R76" s="203"/>
      <c r="S76" s="205" t="n">
        <f aca="false">(L40+L49+L58+L67)/4</f>
        <v>100</v>
      </c>
      <c r="T76" s="190"/>
      <c r="U76" s="62"/>
      <c r="W76" s="206"/>
      <c r="X76" s="206"/>
      <c r="Y76" s="206"/>
      <c r="Z76" s="206"/>
    </row>
    <row r="77" customFormat="false" ht="20.1" hidden="false" customHeight="true" outlineLevel="0" collapsed="false">
      <c r="B77" s="62"/>
      <c r="C77" s="190"/>
      <c r="D77" s="213" t="s">
        <v>33</v>
      </c>
      <c r="E77" s="269" t="s">
        <v>34</v>
      </c>
      <c r="F77" s="209" t="n">
        <f aca="false">(K77*6+L77*3+M77*1+N77*0)</f>
        <v>7</v>
      </c>
      <c r="G77" s="209" t="n">
        <v>0</v>
      </c>
      <c r="H77" s="210" t="s">
        <v>67</v>
      </c>
      <c r="I77" s="210"/>
      <c r="J77" s="209" t="n">
        <f aca="false">F77+G77</f>
        <v>7</v>
      </c>
      <c r="K77" s="209" t="n">
        <v>0</v>
      </c>
      <c r="L77" s="209" t="n">
        <v>2</v>
      </c>
      <c r="M77" s="209" t="n">
        <v>1</v>
      </c>
      <c r="N77" s="209" t="n">
        <v>1</v>
      </c>
      <c r="O77" s="209"/>
      <c r="P77" s="209"/>
      <c r="Q77" s="209"/>
      <c r="R77" s="209"/>
      <c r="S77" s="211" t="n">
        <f aca="false">(L41+L50+L59+L68)/4</f>
        <v>78.309685441985</v>
      </c>
      <c r="T77" s="190"/>
      <c r="U77" s="62"/>
      <c r="W77" s="212"/>
      <c r="X77" s="212"/>
      <c r="Y77" s="212"/>
      <c r="Z77" s="212"/>
    </row>
    <row r="78" customFormat="false" ht="20.1" hidden="false" customHeight="true" outlineLevel="0" collapsed="false">
      <c r="B78" s="62"/>
      <c r="C78" s="190"/>
      <c r="D78" s="207" t="s">
        <v>15</v>
      </c>
      <c r="E78" s="420" t="s">
        <v>16</v>
      </c>
      <c r="F78" s="209" t="n">
        <f aca="false">(K78*6+L78*3+M78*1+N78*0)</f>
        <v>5</v>
      </c>
      <c r="G78" s="209" t="n">
        <v>0</v>
      </c>
      <c r="H78" s="210" t="s">
        <v>67</v>
      </c>
      <c r="I78" s="210"/>
      <c r="J78" s="209" t="n">
        <f aca="false">F78+G78</f>
        <v>5</v>
      </c>
      <c r="K78" s="209" t="n">
        <v>0</v>
      </c>
      <c r="L78" s="209" t="n">
        <v>1</v>
      </c>
      <c r="M78" s="209" t="n">
        <v>2</v>
      </c>
      <c r="N78" s="209" t="n">
        <v>1</v>
      </c>
      <c r="O78" s="209"/>
      <c r="P78" s="209"/>
      <c r="Q78" s="209"/>
      <c r="R78" s="209"/>
      <c r="S78" s="211" t="n">
        <f aca="false">(L42+L51+L60+L69)/4</f>
        <v>77.7593812981637</v>
      </c>
      <c r="T78" s="190"/>
      <c r="U78" s="62"/>
      <c r="W78" s="212"/>
      <c r="X78" s="212"/>
      <c r="Y78" s="212"/>
      <c r="Z78" s="212"/>
    </row>
    <row r="79" customFormat="false" ht="20.1" hidden="false" customHeight="true" outlineLevel="0" collapsed="false">
      <c r="B79" s="62"/>
      <c r="C79" s="190"/>
      <c r="D79" s="214" t="s">
        <v>39</v>
      </c>
      <c r="E79" s="421" t="s">
        <v>40</v>
      </c>
      <c r="F79" s="216" t="n">
        <f aca="false">(K79*6+L79*3+M79*1+N79*0)</f>
        <v>4</v>
      </c>
      <c r="G79" s="216" t="n">
        <v>0</v>
      </c>
      <c r="H79" s="217" t="s">
        <v>67</v>
      </c>
      <c r="I79" s="217"/>
      <c r="J79" s="216" t="n">
        <f aca="false">F79+G79</f>
        <v>4</v>
      </c>
      <c r="K79" s="216" t="n">
        <v>0</v>
      </c>
      <c r="L79" s="216" t="n">
        <v>1</v>
      </c>
      <c r="M79" s="216" t="n">
        <v>1</v>
      </c>
      <c r="N79" s="216" t="n">
        <v>2</v>
      </c>
      <c r="O79" s="216"/>
      <c r="P79" s="216"/>
      <c r="Q79" s="216"/>
      <c r="R79" s="216"/>
      <c r="S79" s="218" t="n">
        <f aca="false">(L43+L52+L61+L70)/4</f>
        <v>67.434048739852</v>
      </c>
      <c r="T79" s="190"/>
      <c r="U79" s="62"/>
      <c r="W79" s="212"/>
      <c r="X79" s="212"/>
      <c r="Y79" s="212"/>
      <c r="Z79" s="212"/>
      <c r="AB79" s="212"/>
      <c r="AC79" s="212"/>
      <c r="AD79" s="212"/>
      <c r="AE79" s="212"/>
    </row>
    <row r="80" customFormat="false" ht="20.1" hidden="false" customHeight="true" outlineLevel="0" collapsed="false">
      <c r="B80" s="62"/>
      <c r="C80" s="190"/>
      <c r="D80" s="422"/>
      <c r="E80" s="422"/>
      <c r="F80" s="275"/>
      <c r="G80" s="275"/>
      <c r="H80" s="423"/>
      <c r="I80" s="423"/>
      <c r="J80" s="275"/>
      <c r="K80" s="275"/>
      <c r="L80" s="275"/>
      <c r="M80" s="275"/>
      <c r="N80" s="275"/>
      <c r="O80" s="275"/>
      <c r="P80" s="275"/>
      <c r="Q80" s="275"/>
      <c r="R80" s="275"/>
      <c r="S80" s="424"/>
      <c r="T80" s="190"/>
      <c r="U80" s="62"/>
      <c r="W80" s="212"/>
      <c r="X80" s="212"/>
      <c r="Y80" s="212"/>
      <c r="Z80" s="212"/>
    </row>
    <row r="81" customFormat="false" ht="20.1" hidden="false" customHeight="true" outlineLevel="0" collapsed="false">
      <c r="B81" s="62"/>
      <c r="C81" s="62"/>
      <c r="D81" s="219"/>
      <c r="E81" s="219"/>
      <c r="F81" s="167"/>
      <c r="G81" s="167"/>
      <c r="H81" s="219"/>
      <c r="I81" s="219"/>
      <c r="J81" s="219"/>
      <c r="K81" s="62"/>
      <c r="L81" s="62"/>
      <c r="M81" s="62"/>
      <c r="N81" s="62"/>
      <c r="O81" s="62"/>
      <c r="P81" s="62"/>
      <c r="Q81" s="62"/>
      <c r="R81" s="62"/>
      <c r="S81" s="62"/>
      <c r="T81" s="62"/>
      <c r="U81" s="62"/>
    </row>
    <row r="82" customFormat="false" ht="20.1" hidden="false" customHeight="true" outlineLevel="0" collapsed="false">
      <c r="D82" s="220"/>
    </row>
    <row r="83" customFormat="false" ht="20.1" hidden="false" customHeight="true" outlineLevel="0" collapsed="false">
      <c r="D83" s="221"/>
    </row>
    <row r="84" customFormat="false" ht="20.1" hidden="false" customHeight="true" outlineLevel="0" collapsed="false">
      <c r="B84" s="62"/>
      <c r="C84" s="62"/>
      <c r="D84" s="63"/>
      <c r="E84" s="63"/>
      <c r="F84" s="63"/>
      <c r="G84" s="63"/>
      <c r="H84" s="62"/>
      <c r="I84" s="62"/>
      <c r="J84" s="62"/>
      <c r="K84" s="62"/>
      <c r="L84" s="62"/>
      <c r="M84" s="62"/>
      <c r="N84" s="62"/>
      <c r="O84" s="62"/>
      <c r="P84" s="62"/>
      <c r="Q84" s="62"/>
      <c r="R84" s="62"/>
      <c r="S84" s="62"/>
      <c r="T84" s="62"/>
      <c r="U84" s="62"/>
    </row>
    <row r="85" customFormat="false" ht="30" hidden="false" customHeight="true" outlineLevel="0" collapsed="false">
      <c r="B85" s="62"/>
      <c r="C85" s="64" t="s">
        <v>108</v>
      </c>
      <c r="D85" s="64"/>
      <c r="E85" s="64"/>
      <c r="F85" s="64"/>
      <c r="G85" s="64"/>
      <c r="H85" s="64"/>
      <c r="I85" s="64"/>
      <c r="J85" s="64"/>
      <c r="K85" s="64"/>
      <c r="L85" s="64"/>
      <c r="M85" s="64"/>
      <c r="N85" s="64"/>
      <c r="O85" s="64"/>
      <c r="P85" s="64"/>
      <c r="Q85" s="64"/>
      <c r="R85" s="64"/>
      <c r="S85" s="64"/>
      <c r="T85" s="64"/>
      <c r="U85" s="62"/>
    </row>
    <row r="86" customFormat="false" ht="20.1" hidden="false" customHeight="true" outlineLevel="0" collapsed="false">
      <c r="B86" s="62"/>
      <c r="U86" s="62"/>
    </row>
    <row r="87" customFormat="false" ht="20.1" hidden="false" customHeight="true" outlineLevel="0" collapsed="false">
      <c r="B87" s="62"/>
      <c r="D87" s="65" t="s">
        <v>53</v>
      </c>
      <c r="E87" s="66" t="s">
        <v>54</v>
      </c>
      <c r="F87" s="67" t="s">
        <v>11</v>
      </c>
      <c r="G87" s="223" t="s">
        <v>55</v>
      </c>
      <c r="H87" s="223"/>
      <c r="I87" s="223"/>
      <c r="J87" s="223"/>
      <c r="K87" s="66" t="s">
        <v>56</v>
      </c>
      <c r="L87" s="68" t="s">
        <v>57</v>
      </c>
      <c r="M87" s="68"/>
      <c r="N87" s="68"/>
      <c r="O87" s="68"/>
      <c r="P87" s="68"/>
      <c r="Q87" s="68"/>
      <c r="R87" s="68"/>
      <c r="S87" s="68"/>
      <c r="U87" s="62"/>
    </row>
    <row r="88" customFormat="false" ht="20.1" hidden="false" customHeight="true" outlineLevel="0" collapsed="false">
      <c r="B88" s="62"/>
      <c r="D88" s="65"/>
      <c r="E88" s="66"/>
      <c r="F88" s="66"/>
      <c r="G88" s="70" t="s">
        <v>58</v>
      </c>
      <c r="H88" s="69" t="s">
        <v>59</v>
      </c>
      <c r="I88" s="67" t="s">
        <v>60</v>
      </c>
      <c r="J88" s="67"/>
      <c r="K88" s="69" t="s">
        <v>61</v>
      </c>
      <c r="L88" s="224" t="s">
        <v>58</v>
      </c>
      <c r="M88" s="225" t="s">
        <v>62</v>
      </c>
      <c r="N88" s="67" t="s">
        <v>60</v>
      </c>
      <c r="O88" s="67"/>
      <c r="P88" s="67"/>
      <c r="Q88" s="67"/>
      <c r="R88" s="67"/>
      <c r="S88" s="67"/>
      <c r="U88" s="62"/>
    </row>
    <row r="89" customFormat="false" ht="15" hidden="false" customHeight="true" outlineLevel="0" collapsed="false">
      <c r="B89" s="62"/>
      <c r="D89" s="318" t="s">
        <v>12</v>
      </c>
      <c r="E89" s="18" t="s">
        <v>13</v>
      </c>
      <c r="F89" s="23" t="n">
        <v>1</v>
      </c>
      <c r="G89" s="72" t="s">
        <v>70</v>
      </c>
      <c r="H89" s="470" t="s">
        <v>247</v>
      </c>
      <c r="I89" s="321" t="s">
        <v>248</v>
      </c>
      <c r="J89" s="321"/>
      <c r="K89" s="526" t="s">
        <v>115</v>
      </c>
      <c r="L89" s="352" t="s">
        <v>67</v>
      </c>
      <c r="M89" s="324" t="s">
        <v>67</v>
      </c>
      <c r="N89" s="78" t="s">
        <v>67</v>
      </c>
      <c r="O89" s="78"/>
      <c r="P89" s="78"/>
      <c r="Q89" s="78"/>
      <c r="R89" s="78"/>
      <c r="S89" s="78"/>
      <c r="U89" s="62"/>
    </row>
    <row r="90" customFormat="false" ht="15" hidden="false" customHeight="true" outlineLevel="0" collapsed="false">
      <c r="B90" s="62"/>
      <c r="D90" s="318"/>
      <c r="E90" s="18"/>
      <c r="F90" s="23"/>
      <c r="G90" s="72"/>
      <c r="H90" s="470"/>
      <c r="I90" s="325" t="s">
        <v>250</v>
      </c>
      <c r="J90" s="325"/>
      <c r="K90" s="526"/>
      <c r="L90" s="352"/>
      <c r="M90" s="324"/>
      <c r="N90" s="78"/>
      <c r="O90" s="78"/>
      <c r="P90" s="78"/>
      <c r="Q90" s="78"/>
      <c r="R90" s="78"/>
      <c r="S90" s="78"/>
      <c r="U90" s="62"/>
    </row>
    <row r="91" customFormat="false" ht="15" hidden="false" customHeight="true" outlineLevel="0" collapsed="false">
      <c r="B91" s="62"/>
      <c r="D91" s="333" t="s">
        <v>29</v>
      </c>
      <c r="E91" s="33" t="s">
        <v>30</v>
      </c>
      <c r="F91" s="31" t="n">
        <v>2</v>
      </c>
      <c r="G91" s="80" t="s">
        <v>63</v>
      </c>
      <c r="H91" s="82" t="s">
        <v>430</v>
      </c>
      <c r="I91" s="328" t="s">
        <v>431</v>
      </c>
      <c r="J91" s="328"/>
      <c r="K91" s="385" t="s">
        <v>111</v>
      </c>
      <c r="L91" s="354" t="s">
        <v>67</v>
      </c>
      <c r="M91" s="331" t="s">
        <v>67</v>
      </c>
      <c r="N91" s="86" t="s">
        <v>67</v>
      </c>
      <c r="O91" s="86"/>
      <c r="P91" s="86"/>
      <c r="Q91" s="86"/>
      <c r="R91" s="86"/>
      <c r="S91" s="86"/>
      <c r="U91" s="62"/>
    </row>
    <row r="92" customFormat="false" ht="15" hidden="false" customHeight="true" outlineLevel="0" collapsed="false">
      <c r="B92" s="62"/>
      <c r="D92" s="333"/>
      <c r="E92" s="33"/>
      <c r="F92" s="31"/>
      <c r="G92" s="80"/>
      <c r="H92" s="82"/>
      <c r="I92" s="332" t="s">
        <v>432</v>
      </c>
      <c r="J92" s="332"/>
      <c r="K92" s="385"/>
      <c r="L92" s="354"/>
      <c r="M92" s="331"/>
      <c r="N92" s="86"/>
      <c r="O92" s="86"/>
      <c r="P92" s="86"/>
      <c r="Q92" s="86"/>
      <c r="R92" s="86"/>
      <c r="S92" s="86"/>
      <c r="U92" s="62"/>
    </row>
    <row r="93" customFormat="false" ht="15" hidden="false" customHeight="true" outlineLevel="0" collapsed="false">
      <c r="B93" s="62"/>
      <c r="D93" s="333"/>
      <c r="E93" s="33"/>
      <c r="F93" s="31"/>
      <c r="G93" s="80"/>
      <c r="H93" s="82"/>
      <c r="I93" s="361" t="s">
        <v>433</v>
      </c>
      <c r="J93" s="361"/>
      <c r="K93" s="385"/>
      <c r="L93" s="354"/>
      <c r="M93" s="331"/>
      <c r="N93" s="86"/>
      <c r="O93" s="86"/>
      <c r="P93" s="86"/>
      <c r="Q93" s="86"/>
      <c r="R93" s="86"/>
      <c r="S93" s="86"/>
      <c r="U93" s="62"/>
    </row>
    <row r="94" customFormat="false" ht="27.95" hidden="false" customHeight="true" outlineLevel="0" collapsed="false">
      <c r="B94" s="62"/>
      <c r="D94" s="326" t="s">
        <v>37</v>
      </c>
      <c r="E94" s="32" t="s">
        <v>38</v>
      </c>
      <c r="F94" s="31" t="n">
        <v>3</v>
      </c>
      <c r="G94" s="232" t="s">
        <v>114</v>
      </c>
      <c r="H94" s="355" t="s">
        <v>115</v>
      </c>
      <c r="I94" s="338" t="s">
        <v>434</v>
      </c>
      <c r="J94" s="338"/>
      <c r="K94" s="541" t="s">
        <v>247</v>
      </c>
      <c r="L94" s="354" t="s">
        <v>67</v>
      </c>
      <c r="M94" s="331" t="s">
        <v>67</v>
      </c>
      <c r="N94" s="86" t="s">
        <v>67</v>
      </c>
      <c r="O94" s="86"/>
      <c r="P94" s="86"/>
      <c r="Q94" s="86"/>
      <c r="R94" s="86"/>
      <c r="S94" s="86"/>
      <c r="U94" s="62"/>
    </row>
    <row r="95" customFormat="false" ht="15" hidden="false" customHeight="true" outlineLevel="0" collapsed="false">
      <c r="B95" s="62"/>
      <c r="D95" s="326"/>
      <c r="E95" s="32"/>
      <c r="F95" s="31"/>
      <c r="G95" s="232"/>
      <c r="H95" s="355"/>
      <c r="I95" s="338" t="s">
        <v>435</v>
      </c>
      <c r="J95" s="338"/>
      <c r="K95" s="541"/>
      <c r="L95" s="354"/>
      <c r="M95" s="331"/>
      <c r="N95" s="86"/>
      <c r="O95" s="86"/>
      <c r="P95" s="86"/>
      <c r="Q95" s="86"/>
      <c r="R95" s="86"/>
      <c r="S95" s="86"/>
      <c r="U95" s="62"/>
    </row>
    <row r="96" customFormat="false" ht="15" hidden="false" customHeight="true" outlineLevel="0" collapsed="false">
      <c r="B96" s="62"/>
      <c r="D96" s="326"/>
      <c r="E96" s="32"/>
      <c r="F96" s="31"/>
      <c r="G96" s="232"/>
      <c r="H96" s="355"/>
      <c r="I96" s="338" t="s">
        <v>436</v>
      </c>
      <c r="J96" s="338"/>
      <c r="K96" s="541"/>
      <c r="L96" s="354"/>
      <c r="M96" s="331"/>
      <c r="N96" s="86"/>
      <c r="O96" s="86"/>
      <c r="P96" s="86"/>
      <c r="Q96" s="86"/>
      <c r="R96" s="86"/>
      <c r="S96" s="86"/>
      <c r="U96" s="62"/>
    </row>
    <row r="97" customFormat="false" ht="15" hidden="false" customHeight="true" outlineLevel="0" collapsed="false">
      <c r="B97" s="62"/>
      <c r="D97" s="326"/>
      <c r="E97" s="32"/>
      <c r="F97" s="31"/>
      <c r="G97" s="232"/>
      <c r="H97" s="355"/>
      <c r="I97" s="357" t="s">
        <v>244</v>
      </c>
      <c r="J97" s="357"/>
      <c r="K97" s="541"/>
      <c r="L97" s="354"/>
      <c r="M97" s="331"/>
      <c r="N97" s="86"/>
      <c r="O97" s="86"/>
      <c r="P97" s="86"/>
      <c r="Q97" s="86"/>
      <c r="R97" s="86"/>
      <c r="S97" s="86"/>
      <c r="U97" s="62"/>
    </row>
    <row r="98" customFormat="false" ht="42" hidden="false" customHeight="true" outlineLevel="0" collapsed="false">
      <c r="B98" s="62"/>
      <c r="D98" s="349" t="s">
        <v>22</v>
      </c>
      <c r="E98" s="44" t="s">
        <v>23</v>
      </c>
      <c r="F98" s="396" t="n">
        <v>4</v>
      </c>
      <c r="G98" s="358" t="s">
        <v>63</v>
      </c>
      <c r="H98" s="96" t="s">
        <v>109</v>
      </c>
      <c r="I98" s="347" t="s">
        <v>211</v>
      </c>
      <c r="J98" s="347"/>
      <c r="K98" s="441" t="s">
        <v>111</v>
      </c>
      <c r="L98" s="442" t="s">
        <v>67</v>
      </c>
      <c r="M98" s="345" t="s">
        <v>67</v>
      </c>
      <c r="N98" s="239" t="s">
        <v>67</v>
      </c>
      <c r="O98" s="239"/>
      <c r="P98" s="239"/>
      <c r="Q98" s="239"/>
      <c r="R98" s="239"/>
      <c r="S98" s="239"/>
      <c r="U98" s="62"/>
    </row>
    <row r="99" customFormat="false" ht="15" hidden="false" customHeight="true" outlineLevel="0" collapsed="false">
      <c r="B99" s="62"/>
      <c r="D99" s="349"/>
      <c r="E99" s="44"/>
      <c r="F99" s="396"/>
      <c r="G99" s="358"/>
      <c r="H99" s="96"/>
      <c r="I99" s="347" t="s">
        <v>212</v>
      </c>
      <c r="J99" s="347"/>
      <c r="K99" s="441"/>
      <c r="L99" s="442"/>
      <c r="M99" s="345"/>
      <c r="N99" s="345"/>
      <c r="O99" s="239"/>
      <c r="P99" s="239"/>
      <c r="Q99" s="239"/>
      <c r="R99" s="239"/>
      <c r="S99" s="239"/>
      <c r="U99" s="62"/>
    </row>
    <row r="100" customFormat="false" ht="15" hidden="false" customHeight="true" outlineLevel="0" collapsed="false">
      <c r="B100" s="62"/>
      <c r="D100" s="349"/>
      <c r="E100" s="44"/>
      <c r="F100" s="396"/>
      <c r="G100" s="358"/>
      <c r="H100" s="96"/>
      <c r="I100" s="348" t="s">
        <v>199</v>
      </c>
      <c r="J100" s="348"/>
      <c r="K100" s="441"/>
      <c r="L100" s="442"/>
      <c r="M100" s="345"/>
      <c r="N100" s="345"/>
      <c r="O100" s="239"/>
      <c r="P100" s="239"/>
      <c r="Q100" s="239"/>
      <c r="R100" s="239"/>
      <c r="S100" s="239"/>
      <c r="U100" s="62"/>
    </row>
    <row r="101" customFormat="false" ht="20.1" hidden="false" customHeight="true" outlineLevel="0" collapsed="false">
      <c r="B101" s="62"/>
      <c r="U101" s="62"/>
    </row>
    <row r="102" customFormat="false" ht="20.1" hidden="false" customHeight="true" outlineLevel="0" collapsed="false">
      <c r="B102" s="62"/>
      <c r="C102" s="101"/>
      <c r="D102" s="101"/>
      <c r="E102" s="102" t="str">
        <f aca="false">IF(OR(L89="-",L89= ""),H89,L89)</f>
        <v>Dungeon Lords</v>
      </c>
      <c r="F102" s="102"/>
      <c r="G102" s="102"/>
      <c r="H102" s="102"/>
      <c r="I102" s="102"/>
      <c r="J102" s="102"/>
      <c r="K102" s="102"/>
      <c r="L102" s="102"/>
      <c r="M102" s="102"/>
      <c r="N102" s="102"/>
      <c r="O102" s="103"/>
      <c r="P102" s="103"/>
      <c r="Q102" s="103"/>
      <c r="R102" s="103"/>
      <c r="S102" s="103"/>
      <c r="T102" s="101"/>
      <c r="U102" s="62"/>
    </row>
    <row r="103" customFormat="false" ht="50.1" hidden="false" customHeight="true" outlineLevel="0" collapsed="false">
      <c r="B103" s="62"/>
      <c r="C103" s="101"/>
      <c r="D103" s="103"/>
      <c r="E103" s="65" t="s">
        <v>53</v>
      </c>
      <c r="F103" s="104" t="s">
        <v>76</v>
      </c>
      <c r="G103" s="67" t="s">
        <v>77</v>
      </c>
      <c r="H103" s="66" t="s">
        <v>78</v>
      </c>
      <c r="I103" s="54" t="s">
        <v>79</v>
      </c>
      <c r="J103" s="66" t="s">
        <v>80</v>
      </c>
      <c r="K103" s="105" t="s">
        <v>81</v>
      </c>
      <c r="L103" s="66" t="s">
        <v>82</v>
      </c>
      <c r="M103" s="106" t="s">
        <v>83</v>
      </c>
      <c r="N103" s="67" t="s">
        <v>84</v>
      </c>
      <c r="O103" s="107" t="s">
        <v>85</v>
      </c>
      <c r="P103" s="108" t="s">
        <v>86</v>
      </c>
      <c r="Q103" s="108" t="s">
        <v>87</v>
      </c>
      <c r="R103" s="13" t="s">
        <v>88</v>
      </c>
      <c r="S103" s="103"/>
      <c r="T103" s="101"/>
      <c r="U103" s="62"/>
    </row>
    <row r="104" customFormat="false" ht="20.1" hidden="false" customHeight="true" outlineLevel="0" collapsed="false">
      <c r="B104" s="62"/>
      <c r="C104" s="101"/>
      <c r="D104" s="124"/>
      <c r="E104" s="403" t="s">
        <v>12</v>
      </c>
      <c r="F104" s="110" t="s">
        <v>13</v>
      </c>
      <c r="G104" s="111" t="n">
        <v>4</v>
      </c>
      <c r="H104" s="111" t="s">
        <v>67</v>
      </c>
      <c r="I104" s="111" t="n">
        <v>6</v>
      </c>
      <c r="J104" s="112" t="n">
        <v>25</v>
      </c>
      <c r="K104" s="111" t="s">
        <v>67</v>
      </c>
      <c r="L104" s="113" t="n">
        <f aca="false">IF(J104="",0,(J104/J108)*100)</f>
        <v>100</v>
      </c>
      <c r="M104" s="111" t="n">
        <v>1</v>
      </c>
      <c r="N104" s="114" t="n">
        <v>6</v>
      </c>
      <c r="O104" s="115" t="n">
        <f aca="false">IF(M104=1,1,0)</f>
        <v>1</v>
      </c>
      <c r="P104" s="116" t="n">
        <f aca="false">IF(M104=2,1,0)</f>
        <v>0</v>
      </c>
      <c r="Q104" s="116" t="n">
        <f aca="false">IF(M104=3,1,0)</f>
        <v>0</v>
      </c>
      <c r="R104" s="117" t="n">
        <f aca="false">IF(M104=4,1,0)</f>
        <v>0</v>
      </c>
      <c r="S104" s="118"/>
      <c r="T104" s="101"/>
      <c r="U104" s="62"/>
    </row>
    <row r="105" customFormat="false" ht="20.1" hidden="false" customHeight="true" outlineLevel="0" collapsed="false">
      <c r="B105" s="62"/>
      <c r="C105" s="101"/>
      <c r="D105" s="101"/>
      <c r="E105" s="326" t="s">
        <v>29</v>
      </c>
      <c r="F105" s="33" t="s">
        <v>30</v>
      </c>
      <c r="G105" s="241" t="n">
        <v>1</v>
      </c>
      <c r="H105" s="241" t="s">
        <v>67</v>
      </c>
      <c r="I105" s="241" t="n">
        <v>6</v>
      </c>
      <c r="J105" s="242" t="n">
        <v>-11</v>
      </c>
      <c r="K105" s="242" t="s">
        <v>67</v>
      </c>
      <c r="L105" s="243" t="n">
        <f aca="false">IF(J105="",0,(J105/J108)*100)</f>
        <v>-44</v>
      </c>
      <c r="M105" s="241" t="n">
        <v>3</v>
      </c>
      <c r="N105" s="244" t="n">
        <v>1</v>
      </c>
      <c r="O105" s="121" t="n">
        <f aca="false">IF(M105=1,1,0)</f>
        <v>0</v>
      </c>
      <c r="P105" s="122" t="n">
        <f aca="false">IF(M105=2,1,0)</f>
        <v>0</v>
      </c>
      <c r="Q105" s="122" t="n">
        <f aca="false">IF(M105=3,1,0)</f>
        <v>1</v>
      </c>
      <c r="R105" s="123" t="n">
        <f aca="false">IF(M105=4,1,0)</f>
        <v>0</v>
      </c>
      <c r="S105" s="118"/>
      <c r="T105" s="101"/>
      <c r="U105" s="62"/>
    </row>
    <row r="106" customFormat="false" ht="20.1" hidden="false" customHeight="true" outlineLevel="0" collapsed="false">
      <c r="B106" s="62"/>
      <c r="C106" s="101"/>
      <c r="D106" s="101"/>
      <c r="E106" s="326" t="s">
        <v>37</v>
      </c>
      <c r="F106" s="33" t="s">
        <v>38</v>
      </c>
      <c r="G106" s="241" t="n">
        <v>2</v>
      </c>
      <c r="H106" s="241" t="s">
        <v>67</v>
      </c>
      <c r="I106" s="241" t="n">
        <v>6</v>
      </c>
      <c r="J106" s="242" t="n">
        <v>14</v>
      </c>
      <c r="K106" s="241" t="s">
        <v>67</v>
      </c>
      <c r="L106" s="243" t="n">
        <f aca="false">IF(J106="",0,(J106/J108)*100)</f>
        <v>56</v>
      </c>
      <c r="M106" s="241" t="n">
        <v>2</v>
      </c>
      <c r="N106" s="244" t="n">
        <v>3</v>
      </c>
      <c r="O106" s="121" t="n">
        <f aca="false">IF(M106=1,1,0)</f>
        <v>0</v>
      </c>
      <c r="P106" s="122" t="n">
        <f aca="false">IF(M106=2,1,0)</f>
        <v>1</v>
      </c>
      <c r="Q106" s="122" t="n">
        <f aca="false">IF(M106=3,1,0)</f>
        <v>0</v>
      </c>
      <c r="R106" s="123" t="n">
        <f aca="false">IF(M106=4,1,0)</f>
        <v>0</v>
      </c>
      <c r="S106" s="118"/>
      <c r="T106" s="101"/>
      <c r="U106" s="62"/>
    </row>
    <row r="107" customFormat="false" ht="20.1" hidden="false" customHeight="true" outlineLevel="0" collapsed="false">
      <c r="B107" s="62"/>
      <c r="C107" s="101"/>
      <c r="D107" s="101"/>
      <c r="E107" s="349" t="s">
        <v>22</v>
      </c>
      <c r="F107" s="44" t="s">
        <v>23</v>
      </c>
      <c r="G107" s="245" t="n">
        <v>3</v>
      </c>
      <c r="H107" s="246" t="s">
        <v>67</v>
      </c>
      <c r="I107" s="245" t="n">
        <v>6</v>
      </c>
      <c r="J107" s="246" t="n">
        <v>-20</v>
      </c>
      <c r="K107" s="246" t="s">
        <v>67</v>
      </c>
      <c r="L107" s="247" t="n">
        <f aca="false">IF(J107="",0,(J107/J108)*100)</f>
        <v>-80</v>
      </c>
      <c r="M107" s="245" t="n">
        <v>4</v>
      </c>
      <c r="N107" s="248" t="n">
        <v>0</v>
      </c>
      <c r="O107" s="127" t="n">
        <f aca="false">IF(M107=1,1,0)</f>
        <v>0</v>
      </c>
      <c r="P107" s="128" t="n">
        <f aca="false">IF(M107=2,1,0)</f>
        <v>0</v>
      </c>
      <c r="Q107" s="128" t="n">
        <f aca="false">IF(M107=3,1,0)</f>
        <v>0</v>
      </c>
      <c r="R107" s="129" t="n">
        <f aca="false">IF(M107=4,1,0)</f>
        <v>1</v>
      </c>
      <c r="S107" s="118"/>
      <c r="T107" s="101"/>
      <c r="U107" s="62"/>
    </row>
    <row r="108" customFormat="false" ht="20.1" hidden="true" customHeight="true" outlineLevel="1" collapsed="false">
      <c r="B108" s="62"/>
      <c r="C108" s="101"/>
      <c r="D108" s="124"/>
      <c r="E108" s="124"/>
      <c r="F108" s="131"/>
      <c r="G108" s="131"/>
      <c r="H108" s="101"/>
      <c r="I108" s="179" t="s">
        <v>89</v>
      </c>
      <c r="J108" s="133" t="n">
        <f aca="false">MAX(J104:J107)</f>
        <v>25</v>
      </c>
      <c r="K108" s="249"/>
      <c r="L108" s="139"/>
      <c r="M108" s="101"/>
      <c r="N108" s="136" t="s">
        <v>90</v>
      </c>
      <c r="O108" s="137" t="n">
        <f aca="false">SUM(O104:O107)</f>
        <v>1</v>
      </c>
      <c r="P108" s="138" t="n">
        <f aca="false">SUM(P104:P107)</f>
        <v>1</v>
      </c>
      <c r="Q108" s="137" t="n">
        <f aca="false">SUM(Q104:Q107)</f>
        <v>1</v>
      </c>
      <c r="R108" s="160" t="n">
        <f aca="false">SUM(R104:R107)</f>
        <v>1</v>
      </c>
      <c r="S108" s="139"/>
      <c r="T108" s="101"/>
      <c r="U108" s="62"/>
    </row>
    <row r="109" customFormat="false" ht="20.1" hidden="false" customHeight="true" outlineLevel="0" collapsed="false">
      <c r="B109" s="62"/>
      <c r="C109" s="101"/>
      <c r="D109" s="101"/>
      <c r="E109" s="101"/>
      <c r="F109" s="101"/>
      <c r="G109" s="101"/>
      <c r="H109" s="101"/>
      <c r="I109" s="101"/>
      <c r="J109" s="101"/>
      <c r="K109" s="101"/>
      <c r="L109" s="101"/>
      <c r="M109" s="101"/>
      <c r="N109" s="101"/>
      <c r="O109" s="101"/>
      <c r="P109" s="101"/>
      <c r="Q109" s="101"/>
      <c r="R109" s="101"/>
      <c r="S109" s="101"/>
      <c r="T109" s="101"/>
      <c r="U109" s="62"/>
    </row>
    <row r="110" customFormat="false" ht="20.1" hidden="false" customHeight="true" outlineLevel="0" collapsed="false">
      <c r="B110" s="62"/>
      <c r="U110" s="62"/>
    </row>
    <row r="111" customFormat="false" ht="20.1" hidden="false" customHeight="true" outlineLevel="0" collapsed="false">
      <c r="B111" s="62"/>
      <c r="C111" s="141"/>
      <c r="D111" s="141"/>
      <c r="E111" s="142" t="str">
        <f aca="false">IF(OR(L91="-",L91= ""),H91,L91)</f>
        <v>Catan - Das Spiel</v>
      </c>
      <c r="F111" s="142"/>
      <c r="G111" s="142"/>
      <c r="H111" s="142"/>
      <c r="I111" s="142"/>
      <c r="J111" s="142"/>
      <c r="K111" s="142"/>
      <c r="L111" s="142"/>
      <c r="M111" s="142"/>
      <c r="N111" s="142"/>
      <c r="O111" s="143"/>
      <c r="P111" s="143"/>
      <c r="Q111" s="143"/>
      <c r="R111" s="143"/>
      <c r="S111" s="143"/>
      <c r="T111" s="141"/>
      <c r="U111" s="62"/>
    </row>
    <row r="112" customFormat="false" ht="50.1" hidden="false" customHeight="true" outlineLevel="0" collapsed="false">
      <c r="B112" s="62"/>
      <c r="C112" s="141"/>
      <c r="D112" s="143"/>
      <c r="E112" s="65" t="s">
        <v>53</v>
      </c>
      <c r="F112" s="104" t="s">
        <v>76</v>
      </c>
      <c r="G112" s="67" t="s">
        <v>77</v>
      </c>
      <c r="H112" s="66" t="s">
        <v>78</v>
      </c>
      <c r="I112" s="54" t="s">
        <v>79</v>
      </c>
      <c r="J112" s="66" t="s">
        <v>80</v>
      </c>
      <c r="K112" s="105" t="s">
        <v>81</v>
      </c>
      <c r="L112" s="66" t="s">
        <v>82</v>
      </c>
      <c r="M112" s="106" t="s">
        <v>83</v>
      </c>
      <c r="N112" s="67" t="s">
        <v>84</v>
      </c>
      <c r="O112" s="107" t="s">
        <v>85</v>
      </c>
      <c r="P112" s="108" t="s">
        <v>86</v>
      </c>
      <c r="Q112" s="108" t="s">
        <v>87</v>
      </c>
      <c r="R112" s="13" t="s">
        <v>88</v>
      </c>
      <c r="S112" s="143"/>
      <c r="T112" s="141"/>
      <c r="U112" s="62"/>
    </row>
    <row r="113" customFormat="false" ht="20.1" hidden="false" customHeight="true" outlineLevel="0" collapsed="false">
      <c r="B113" s="62"/>
      <c r="C113" s="141"/>
      <c r="D113" s="148"/>
      <c r="E113" s="403" t="s">
        <v>12</v>
      </c>
      <c r="F113" s="110" t="s">
        <v>13</v>
      </c>
      <c r="G113" s="111" t="n">
        <v>1</v>
      </c>
      <c r="H113" s="112" t="s">
        <v>67</v>
      </c>
      <c r="I113" s="111" t="n">
        <v>0</v>
      </c>
      <c r="J113" s="112" t="n">
        <v>10</v>
      </c>
      <c r="K113" s="406" t="s">
        <v>67</v>
      </c>
      <c r="L113" s="113" t="n">
        <f aca="false">IF(J113="",0,(J113/J117)*100)</f>
        <v>100</v>
      </c>
      <c r="M113" s="111" t="n">
        <v>1</v>
      </c>
      <c r="N113" s="114" t="n">
        <v>6</v>
      </c>
      <c r="O113" s="115" t="n">
        <f aca="false">IF(M113=1,1,0)</f>
        <v>1</v>
      </c>
      <c r="P113" s="116" t="n">
        <f aca="false">IF(M113=2,1,0)</f>
        <v>0</v>
      </c>
      <c r="Q113" s="116" t="n">
        <f aca="false">IF(M113=3,1,0)</f>
        <v>0</v>
      </c>
      <c r="R113" s="117" t="n">
        <f aca="false">IF(M113=4,1,0)</f>
        <v>0</v>
      </c>
      <c r="S113" s="147"/>
      <c r="T113" s="141"/>
      <c r="U113" s="62"/>
    </row>
    <row r="114" customFormat="false" ht="20.1" hidden="false" customHeight="true" outlineLevel="0" collapsed="false">
      <c r="B114" s="62"/>
      <c r="C114" s="141"/>
      <c r="D114" s="141"/>
      <c r="E114" s="326" t="s">
        <v>29</v>
      </c>
      <c r="F114" s="33" t="s">
        <v>30</v>
      </c>
      <c r="G114" s="241" t="n">
        <v>3</v>
      </c>
      <c r="H114" s="242" t="s">
        <v>67</v>
      </c>
      <c r="I114" s="241" t="n">
        <v>0</v>
      </c>
      <c r="J114" s="242" t="n">
        <v>7</v>
      </c>
      <c r="K114" s="242" t="s">
        <v>67</v>
      </c>
      <c r="L114" s="243" t="n">
        <f aca="false">IF(J114="",0,(J114/J117)*100)</f>
        <v>70</v>
      </c>
      <c r="M114" s="241" t="n">
        <v>2</v>
      </c>
      <c r="N114" s="244" t="n">
        <v>2</v>
      </c>
      <c r="O114" s="121" t="n">
        <f aca="false">IF(M114=1,1,0)</f>
        <v>0</v>
      </c>
      <c r="P114" s="122" t="n">
        <f aca="false">IF(M114=2,1,0)</f>
        <v>1</v>
      </c>
      <c r="Q114" s="122" t="n">
        <f aca="false">IF(M114=3,1,0)</f>
        <v>0</v>
      </c>
      <c r="R114" s="123" t="n">
        <f aca="false">IF(M114=4,1,0)</f>
        <v>0</v>
      </c>
      <c r="S114" s="147"/>
      <c r="T114" s="141"/>
      <c r="U114" s="62"/>
    </row>
    <row r="115" customFormat="false" ht="20.1" hidden="false" customHeight="true" outlineLevel="0" collapsed="false">
      <c r="B115" s="62"/>
      <c r="C115" s="141"/>
      <c r="D115" s="148"/>
      <c r="E115" s="326" t="s">
        <v>37</v>
      </c>
      <c r="F115" s="33" t="s">
        <v>38</v>
      </c>
      <c r="G115" s="241" t="n">
        <v>4</v>
      </c>
      <c r="H115" s="242" t="s">
        <v>67</v>
      </c>
      <c r="I115" s="241" t="n">
        <v>0</v>
      </c>
      <c r="J115" s="242" t="n">
        <v>5</v>
      </c>
      <c r="K115" s="255" t="s">
        <v>67</v>
      </c>
      <c r="L115" s="243" t="n">
        <f aca="false">IF(J115="",0,(J115/J117)*100)</f>
        <v>50</v>
      </c>
      <c r="M115" s="241" t="n">
        <v>4</v>
      </c>
      <c r="N115" s="244" t="n">
        <v>0</v>
      </c>
      <c r="O115" s="121" t="n">
        <f aca="false">IF(M115=1,1,0)</f>
        <v>0</v>
      </c>
      <c r="P115" s="122" t="n">
        <f aca="false">IF(M115=2,1,0)</f>
        <v>0</v>
      </c>
      <c r="Q115" s="122" t="n">
        <f aca="false">IF(M115=3,1,0)</f>
        <v>0</v>
      </c>
      <c r="R115" s="123" t="n">
        <f aca="false">IF(M115=4,1,0)</f>
        <v>1</v>
      </c>
      <c r="S115" s="147"/>
      <c r="T115" s="141"/>
      <c r="U115" s="62"/>
    </row>
    <row r="116" customFormat="false" ht="20.1" hidden="false" customHeight="true" outlineLevel="0" collapsed="false">
      <c r="B116" s="62"/>
      <c r="C116" s="141"/>
      <c r="D116" s="141"/>
      <c r="E116" s="349" t="s">
        <v>22</v>
      </c>
      <c r="F116" s="44" t="s">
        <v>23</v>
      </c>
      <c r="G116" s="245" t="n">
        <v>2</v>
      </c>
      <c r="H116" s="246" t="s">
        <v>67</v>
      </c>
      <c r="I116" s="245" t="n">
        <v>0</v>
      </c>
      <c r="J116" s="246" t="n">
        <v>7</v>
      </c>
      <c r="K116" s="246" t="s">
        <v>67</v>
      </c>
      <c r="L116" s="247" t="n">
        <f aca="false">IF(J116="",0,(J116/J117)*100)</f>
        <v>70</v>
      </c>
      <c r="M116" s="245" t="n">
        <v>2</v>
      </c>
      <c r="N116" s="248" t="n">
        <v>2</v>
      </c>
      <c r="O116" s="127" t="n">
        <f aca="false">IF(M116=1,1,0)</f>
        <v>0</v>
      </c>
      <c r="P116" s="128" t="n">
        <f aca="false">IF(M116=2,1,0)</f>
        <v>1</v>
      </c>
      <c r="Q116" s="128" t="n">
        <f aca="false">IF(M116=3,1,0)</f>
        <v>0</v>
      </c>
      <c r="R116" s="129" t="n">
        <f aca="false">IF(M116=4,1,0)</f>
        <v>0</v>
      </c>
      <c r="S116" s="147"/>
      <c r="T116" s="141"/>
      <c r="U116" s="62"/>
    </row>
    <row r="117" customFormat="false" ht="20.1" hidden="true" customHeight="true" outlineLevel="1" collapsed="false">
      <c r="B117" s="62"/>
      <c r="C117" s="141"/>
      <c r="D117" s="141"/>
      <c r="E117" s="148"/>
      <c r="F117" s="502"/>
      <c r="G117" s="502"/>
      <c r="H117" s="148"/>
      <c r="I117" s="503" t="s">
        <v>89</v>
      </c>
      <c r="J117" s="136" t="n">
        <f aca="false">MAX(J113:J116)</f>
        <v>10</v>
      </c>
      <c r="K117" s="504"/>
      <c r="L117" s="161"/>
      <c r="M117" s="148"/>
      <c r="N117" s="136" t="s">
        <v>90</v>
      </c>
      <c r="O117" s="137" t="n">
        <f aca="false">SUM(O113:O116)</f>
        <v>1</v>
      </c>
      <c r="P117" s="138" t="n">
        <f aca="false">SUM(P113:P116)</f>
        <v>2</v>
      </c>
      <c r="Q117" s="137" t="n">
        <f aca="false">SUM(Q113:Q116)</f>
        <v>0</v>
      </c>
      <c r="R117" s="160" t="n">
        <f aca="false">SUM(R113:R116)</f>
        <v>1</v>
      </c>
      <c r="S117" s="161"/>
      <c r="T117" s="141"/>
      <c r="U117" s="62"/>
    </row>
    <row r="118" customFormat="false" ht="20.1" hidden="false" customHeight="true" outlineLevel="0" collapsed="false">
      <c r="B118" s="62"/>
      <c r="C118" s="141"/>
      <c r="D118" s="141"/>
      <c r="E118" s="141"/>
      <c r="F118" s="141"/>
      <c r="G118" s="141"/>
      <c r="H118" s="141"/>
      <c r="I118" s="141"/>
      <c r="J118" s="141"/>
      <c r="K118" s="141"/>
      <c r="L118" s="141"/>
      <c r="M118" s="141"/>
      <c r="N118" s="141"/>
      <c r="O118" s="141"/>
      <c r="P118" s="141"/>
      <c r="Q118" s="141"/>
      <c r="R118" s="141"/>
      <c r="S118" s="141"/>
      <c r="T118" s="141"/>
      <c r="U118" s="62"/>
    </row>
    <row r="119" customFormat="false" ht="20.1" hidden="false" customHeight="true" outlineLevel="0" collapsed="false">
      <c r="B119" s="62"/>
      <c r="D119" s="162"/>
      <c r="E119" s="162"/>
      <c r="F119" s="162"/>
      <c r="G119" s="162"/>
      <c r="H119" s="163"/>
      <c r="I119" s="162"/>
      <c r="J119" s="162"/>
      <c r="U119" s="62"/>
    </row>
    <row r="120" customFormat="false" ht="20.1" hidden="false" customHeight="true" outlineLevel="0" collapsed="false">
      <c r="B120" s="62"/>
      <c r="C120" s="164"/>
      <c r="D120" s="164"/>
      <c r="E120" s="165" t="str">
        <f aca="false">IF(OR(M94="-",M94= ""),H94,M94)</f>
        <v>Orakel von Delphi</v>
      </c>
      <c r="F120" s="165"/>
      <c r="G120" s="165"/>
      <c r="H120" s="165"/>
      <c r="I120" s="165"/>
      <c r="J120" s="165"/>
      <c r="K120" s="165"/>
      <c r="L120" s="165"/>
      <c r="M120" s="165"/>
      <c r="N120" s="165"/>
      <c r="O120" s="166"/>
      <c r="P120" s="166"/>
      <c r="Q120" s="166"/>
      <c r="R120" s="166"/>
      <c r="S120" s="166"/>
      <c r="T120" s="164"/>
      <c r="U120" s="167"/>
    </row>
    <row r="121" customFormat="false" ht="50.1" hidden="false" customHeight="true" outlineLevel="0" collapsed="false">
      <c r="B121" s="62"/>
      <c r="C121" s="164"/>
      <c r="D121" s="166"/>
      <c r="E121" s="65" t="s">
        <v>53</v>
      </c>
      <c r="F121" s="104" t="s">
        <v>76</v>
      </c>
      <c r="G121" s="67" t="s">
        <v>77</v>
      </c>
      <c r="H121" s="66" t="s">
        <v>78</v>
      </c>
      <c r="I121" s="54" t="s">
        <v>79</v>
      </c>
      <c r="J121" s="66" t="s">
        <v>80</v>
      </c>
      <c r="K121" s="105" t="s">
        <v>81</v>
      </c>
      <c r="L121" s="66" t="s">
        <v>82</v>
      </c>
      <c r="M121" s="106" t="s">
        <v>83</v>
      </c>
      <c r="N121" s="67" t="s">
        <v>84</v>
      </c>
      <c r="O121" s="107" t="s">
        <v>85</v>
      </c>
      <c r="P121" s="108" t="s">
        <v>86</v>
      </c>
      <c r="Q121" s="108" t="s">
        <v>87</v>
      </c>
      <c r="R121" s="13" t="s">
        <v>88</v>
      </c>
      <c r="S121" s="166"/>
      <c r="T121" s="164"/>
      <c r="U121" s="167"/>
    </row>
    <row r="122" customFormat="false" ht="45" hidden="false" customHeight="false" outlineLevel="0" collapsed="false">
      <c r="B122" s="62"/>
      <c r="C122" s="164"/>
      <c r="D122" s="171"/>
      <c r="E122" s="318" t="s">
        <v>12</v>
      </c>
      <c r="F122" s="16" t="s">
        <v>13</v>
      </c>
      <c r="G122" s="250" t="n">
        <v>2</v>
      </c>
      <c r="H122" s="251" t="s">
        <v>259</v>
      </c>
      <c r="I122" s="250" t="s">
        <v>67</v>
      </c>
      <c r="J122" s="251" t="s">
        <v>129</v>
      </c>
      <c r="K122" s="253" t="s">
        <v>67</v>
      </c>
      <c r="L122" s="253" t="n">
        <f aca="false">(L105+L114+L133)/3</f>
        <v>37.3601953601954</v>
      </c>
      <c r="M122" s="250" t="n">
        <v>3</v>
      </c>
      <c r="N122" s="254" t="n">
        <v>1</v>
      </c>
      <c r="O122" s="115" t="n">
        <f aca="false">IF(M122=1,1,0)</f>
        <v>0</v>
      </c>
      <c r="P122" s="116" t="n">
        <f aca="false">IF(M122=2,1,0)</f>
        <v>0</v>
      </c>
      <c r="Q122" s="116" t="n">
        <f aca="false">IF(M122=3,1,0)</f>
        <v>1</v>
      </c>
      <c r="R122" s="117" t="n">
        <f aca="false">IF(M122=4,1,0)</f>
        <v>0</v>
      </c>
      <c r="S122" s="170"/>
      <c r="T122" s="164"/>
      <c r="U122" s="62"/>
    </row>
    <row r="123" customFormat="false" ht="30" hidden="false" customHeight="false" outlineLevel="0" collapsed="false">
      <c r="B123" s="62"/>
      <c r="C123" s="164"/>
      <c r="D123" s="164"/>
      <c r="E123" s="326" t="s">
        <v>29</v>
      </c>
      <c r="F123" s="33" t="s">
        <v>30</v>
      </c>
      <c r="G123" s="241" t="n">
        <v>3</v>
      </c>
      <c r="H123" s="242" t="s">
        <v>437</v>
      </c>
      <c r="I123" s="241" t="s">
        <v>67</v>
      </c>
      <c r="J123" s="242" t="s">
        <v>325</v>
      </c>
      <c r="K123" s="256" t="s">
        <v>67</v>
      </c>
      <c r="L123" s="243" t="n">
        <f aca="false">(L107+L115+L131)/3</f>
        <v>15.3968253968254</v>
      </c>
      <c r="M123" s="241" t="n">
        <v>4</v>
      </c>
      <c r="N123" s="244" t="n">
        <v>0</v>
      </c>
      <c r="O123" s="121" t="n">
        <f aca="false">IF(M123=1,1,0)</f>
        <v>0</v>
      </c>
      <c r="P123" s="122" t="n">
        <f aca="false">IF(M123=2,1,0)</f>
        <v>0</v>
      </c>
      <c r="Q123" s="122" t="n">
        <f aca="false">IF(M123=3,1,0)</f>
        <v>0</v>
      </c>
      <c r="R123" s="123" t="n">
        <f aca="false">IF(M123=4,1,0)</f>
        <v>1</v>
      </c>
      <c r="S123" s="170"/>
      <c r="T123" s="164"/>
      <c r="U123" s="173"/>
    </row>
    <row r="124" customFormat="false" ht="45" hidden="false" customHeight="false" outlineLevel="0" collapsed="false">
      <c r="B124" s="62"/>
      <c r="C124" s="164"/>
      <c r="D124" s="164"/>
      <c r="E124" s="326" t="s">
        <v>37</v>
      </c>
      <c r="F124" s="33" t="s">
        <v>38</v>
      </c>
      <c r="G124" s="241" t="n">
        <v>1</v>
      </c>
      <c r="H124" s="242" t="s">
        <v>126</v>
      </c>
      <c r="I124" s="241" t="s">
        <v>67</v>
      </c>
      <c r="J124" s="242" t="s">
        <v>127</v>
      </c>
      <c r="K124" s="256" t="s">
        <v>284</v>
      </c>
      <c r="L124" s="243" t="n">
        <f aca="false">(L106+L114+L132)/3</f>
        <v>71.6703296703297</v>
      </c>
      <c r="M124" s="241" t="n">
        <v>2</v>
      </c>
      <c r="N124" s="244" t="n">
        <v>3</v>
      </c>
      <c r="O124" s="121" t="n">
        <f aca="false">IF(M124=1,1,0)</f>
        <v>0</v>
      </c>
      <c r="P124" s="122" t="n">
        <f aca="false">IF(M124=2,1,0)</f>
        <v>1</v>
      </c>
      <c r="Q124" s="122" t="n">
        <f aca="false">IF(M124=3,1,0)</f>
        <v>0</v>
      </c>
      <c r="R124" s="123" t="n">
        <f aca="false">IF(M124=4,1,0)</f>
        <v>0</v>
      </c>
      <c r="S124" s="170"/>
      <c r="T124" s="164"/>
      <c r="U124" s="173"/>
    </row>
    <row r="125" customFormat="false" ht="45.75" hidden="false" customHeight="false" outlineLevel="0" collapsed="false">
      <c r="B125" s="62"/>
      <c r="C125" s="164"/>
      <c r="D125" s="164"/>
      <c r="E125" s="350" t="s">
        <v>22</v>
      </c>
      <c r="F125" s="294" t="s">
        <v>23</v>
      </c>
      <c r="G125" s="295" t="n">
        <v>4</v>
      </c>
      <c r="H125" s="296" t="s">
        <v>128</v>
      </c>
      <c r="I125" s="295" t="s">
        <v>67</v>
      </c>
      <c r="J125" s="296" t="s">
        <v>127</v>
      </c>
      <c r="K125" s="297" t="s">
        <v>438</v>
      </c>
      <c r="L125" s="297" t="n">
        <v>100</v>
      </c>
      <c r="M125" s="295" t="n">
        <v>1</v>
      </c>
      <c r="N125" s="298" t="n">
        <v>6</v>
      </c>
      <c r="O125" s="127" t="n">
        <f aca="false">IF(M125=1,1,0)</f>
        <v>1</v>
      </c>
      <c r="P125" s="128" t="n">
        <f aca="false">IF(M125=2,1,0)</f>
        <v>0</v>
      </c>
      <c r="Q125" s="128" t="n">
        <f aca="false">IF(M125=3,1,0)</f>
        <v>0</v>
      </c>
      <c r="R125" s="129" t="n">
        <f aca="false">IF(M125=4,1,0)</f>
        <v>0</v>
      </c>
      <c r="S125" s="170"/>
      <c r="T125" s="164"/>
      <c r="U125" s="173"/>
    </row>
    <row r="126" customFormat="false" ht="20.1" hidden="true" customHeight="true" outlineLevel="1" collapsed="false">
      <c r="B126" s="62"/>
      <c r="C126" s="164"/>
      <c r="D126" s="164"/>
      <c r="E126" s="164"/>
      <c r="F126" s="178"/>
      <c r="G126" s="178"/>
      <c r="H126" s="164"/>
      <c r="I126" s="179" t="s">
        <v>89</v>
      </c>
      <c r="J126" s="133" t="n">
        <f aca="false">MAX(J122:J125)</f>
        <v>0</v>
      </c>
      <c r="K126" s="180"/>
      <c r="L126" s="170"/>
      <c r="M126" s="164"/>
      <c r="N126" s="136" t="s">
        <v>90</v>
      </c>
      <c r="O126" s="137" t="n">
        <f aca="false">SUM(O122:O125)</f>
        <v>1</v>
      </c>
      <c r="P126" s="138" t="n">
        <f aca="false">SUM(P122:P125)</f>
        <v>1</v>
      </c>
      <c r="Q126" s="137" t="n">
        <f aca="false">SUM(Q122:Q125)</f>
        <v>1</v>
      </c>
      <c r="R126" s="160" t="n">
        <f aca="false">SUM(R122:R125)</f>
        <v>1</v>
      </c>
      <c r="S126" s="181"/>
      <c r="T126" s="164"/>
      <c r="U126" s="173"/>
    </row>
    <row r="127" customFormat="false" ht="20.1" hidden="false" customHeight="true" outlineLevel="0" collapsed="false">
      <c r="B127" s="62"/>
      <c r="C127" s="164"/>
      <c r="D127" s="164"/>
      <c r="E127" s="164"/>
      <c r="F127" s="164"/>
      <c r="G127" s="164"/>
      <c r="H127" s="164"/>
      <c r="I127" s="164"/>
      <c r="J127" s="164"/>
      <c r="K127" s="164"/>
      <c r="L127" s="164"/>
      <c r="M127" s="164"/>
      <c r="N127" s="164"/>
      <c r="O127" s="164"/>
      <c r="P127" s="164"/>
      <c r="Q127" s="164"/>
      <c r="R127" s="164"/>
      <c r="S127" s="164"/>
      <c r="T127" s="164"/>
      <c r="U127" s="173"/>
    </row>
    <row r="128" customFormat="false" ht="20.1" hidden="false" customHeight="true" outlineLevel="0" collapsed="false">
      <c r="B128" s="62"/>
      <c r="D128" s="162"/>
      <c r="E128" s="162"/>
      <c r="F128" s="162"/>
      <c r="G128" s="162"/>
      <c r="H128" s="163"/>
      <c r="I128" s="162"/>
      <c r="J128" s="162"/>
      <c r="K128" s="162"/>
      <c r="U128" s="62"/>
    </row>
    <row r="129" customFormat="false" ht="20.1" hidden="false" customHeight="true" outlineLevel="0" collapsed="false">
      <c r="B129" s="62"/>
      <c r="C129" s="182"/>
      <c r="D129" s="182"/>
      <c r="E129" s="183" t="str">
        <f aca="false">IF(OR(L98="-",L98= ""),H98,L98)</f>
        <v>Die Burgen von Burgund</v>
      </c>
      <c r="F129" s="183"/>
      <c r="G129" s="183"/>
      <c r="H129" s="183"/>
      <c r="I129" s="183"/>
      <c r="J129" s="183"/>
      <c r="K129" s="183"/>
      <c r="L129" s="183"/>
      <c r="M129" s="183"/>
      <c r="N129" s="183"/>
      <c r="O129" s="184"/>
      <c r="P129" s="184"/>
      <c r="Q129" s="184"/>
      <c r="R129" s="184"/>
      <c r="S129" s="184"/>
      <c r="T129" s="182"/>
      <c r="U129" s="62"/>
    </row>
    <row r="130" customFormat="false" ht="50.1" hidden="false" customHeight="true" outlineLevel="0" collapsed="false">
      <c r="B130" s="62"/>
      <c r="C130" s="182"/>
      <c r="D130" s="184"/>
      <c r="E130" s="65" t="s">
        <v>53</v>
      </c>
      <c r="F130" s="104" t="s">
        <v>76</v>
      </c>
      <c r="G130" s="67" t="s">
        <v>77</v>
      </c>
      <c r="H130" s="66" t="s">
        <v>78</v>
      </c>
      <c r="I130" s="54" t="s">
        <v>79</v>
      </c>
      <c r="J130" s="66" t="s">
        <v>80</v>
      </c>
      <c r="K130" s="105" t="s">
        <v>81</v>
      </c>
      <c r="L130" s="66" t="s">
        <v>82</v>
      </c>
      <c r="M130" s="106" t="s">
        <v>83</v>
      </c>
      <c r="N130" s="67" t="s">
        <v>84</v>
      </c>
      <c r="O130" s="107" t="s">
        <v>85</v>
      </c>
      <c r="P130" s="108" t="s">
        <v>86</v>
      </c>
      <c r="Q130" s="108" t="s">
        <v>87</v>
      </c>
      <c r="R130" s="13" t="s">
        <v>88</v>
      </c>
      <c r="S130" s="184"/>
      <c r="T130" s="182"/>
      <c r="U130" s="62"/>
    </row>
    <row r="131" customFormat="false" ht="20.1" hidden="false" customHeight="true" outlineLevel="0" collapsed="false">
      <c r="B131" s="62"/>
      <c r="C131" s="182"/>
      <c r="D131" s="182"/>
      <c r="E131" s="318" t="s">
        <v>12</v>
      </c>
      <c r="F131" s="16" t="s">
        <v>13</v>
      </c>
      <c r="G131" s="250" t="n">
        <v>2</v>
      </c>
      <c r="H131" s="250" t="s">
        <v>204</v>
      </c>
      <c r="I131" s="250" t="n">
        <v>0</v>
      </c>
      <c r="J131" s="251" t="n">
        <v>208</v>
      </c>
      <c r="K131" s="250" t="s">
        <v>67</v>
      </c>
      <c r="L131" s="253" t="n">
        <f aca="false">IF(J131="",0,(J131/J135)*100)</f>
        <v>76.1904761904762</v>
      </c>
      <c r="M131" s="250" t="n">
        <v>4</v>
      </c>
      <c r="N131" s="254" t="n">
        <v>0</v>
      </c>
      <c r="O131" s="115" t="n">
        <f aca="false">IF(M131=1,1,0)</f>
        <v>0</v>
      </c>
      <c r="P131" s="116" t="n">
        <f aca="false">IF(M131=2,1,0)</f>
        <v>0</v>
      </c>
      <c r="Q131" s="116" t="n">
        <f aca="false">IF(M131=3,1,0)</f>
        <v>0</v>
      </c>
      <c r="R131" s="117" t="n">
        <f aca="false">IF(M131=4,1,0)</f>
        <v>1</v>
      </c>
      <c r="S131" s="185"/>
      <c r="T131" s="182"/>
      <c r="U131" s="62"/>
    </row>
    <row r="132" customFormat="false" ht="20.1" hidden="false" customHeight="true" outlineLevel="0" collapsed="false">
      <c r="B132" s="62"/>
      <c r="C132" s="182"/>
      <c r="D132" s="182"/>
      <c r="E132" s="326" t="s">
        <v>29</v>
      </c>
      <c r="F132" s="33" t="s">
        <v>30</v>
      </c>
      <c r="G132" s="241" t="n">
        <v>3</v>
      </c>
      <c r="H132" s="241" t="s">
        <v>158</v>
      </c>
      <c r="I132" s="241" t="n">
        <v>0</v>
      </c>
      <c r="J132" s="242" t="n">
        <v>243</v>
      </c>
      <c r="K132" s="242" t="s">
        <v>67</v>
      </c>
      <c r="L132" s="243" t="n">
        <f aca="false">IF(J132="",0,(J132/J135)*100)</f>
        <v>89.010989010989</v>
      </c>
      <c r="M132" s="241" t="n">
        <v>2</v>
      </c>
      <c r="N132" s="244" t="n">
        <v>3</v>
      </c>
      <c r="O132" s="121" t="n">
        <f aca="false">IF(M132=1,1,0)</f>
        <v>0</v>
      </c>
      <c r="P132" s="122" t="n">
        <f aca="false">IF(M132=2,1,0)</f>
        <v>1</v>
      </c>
      <c r="Q132" s="122" t="n">
        <f aca="false">IF(M132=3,1,0)</f>
        <v>0</v>
      </c>
      <c r="R132" s="123" t="n">
        <f aca="false">IF(M132=4,1,0)</f>
        <v>0</v>
      </c>
      <c r="S132" s="185"/>
      <c r="T132" s="182"/>
      <c r="U132" s="62"/>
    </row>
    <row r="133" customFormat="false" ht="20.1" hidden="false" customHeight="true" outlineLevel="0" collapsed="false">
      <c r="B133" s="62"/>
      <c r="C133" s="182"/>
      <c r="D133" s="182"/>
      <c r="E133" s="326" t="s">
        <v>37</v>
      </c>
      <c r="F133" s="33" t="s">
        <v>38</v>
      </c>
      <c r="G133" s="241" t="n">
        <v>1</v>
      </c>
      <c r="H133" s="241" t="s">
        <v>148</v>
      </c>
      <c r="I133" s="241" t="n">
        <v>0</v>
      </c>
      <c r="J133" s="242" t="n">
        <v>235</v>
      </c>
      <c r="K133" s="241" t="s">
        <v>67</v>
      </c>
      <c r="L133" s="243" t="n">
        <f aca="false">IF(J133="",0,(J133/J135)*100)</f>
        <v>86.0805860805861</v>
      </c>
      <c r="M133" s="241" t="n">
        <v>3</v>
      </c>
      <c r="N133" s="244" t="n">
        <v>1</v>
      </c>
      <c r="O133" s="121" t="n">
        <f aca="false">IF(M133=1,1,0)</f>
        <v>0</v>
      </c>
      <c r="P133" s="122" t="n">
        <f aca="false">IF(M133=2,1,0)</f>
        <v>0</v>
      </c>
      <c r="Q133" s="122" t="n">
        <f aca="false">IF(M133=3,1,0)</f>
        <v>1</v>
      </c>
      <c r="R133" s="123" t="n">
        <f aca="false">IF(M133=4,1,0)</f>
        <v>0</v>
      </c>
      <c r="S133" s="185"/>
      <c r="T133" s="182"/>
      <c r="U133" s="62"/>
    </row>
    <row r="134" customFormat="false" ht="20.1" hidden="false" customHeight="true" outlineLevel="0" collapsed="false">
      <c r="B134" s="62"/>
      <c r="C134" s="182"/>
      <c r="D134" s="186"/>
      <c r="E134" s="350" t="s">
        <v>22</v>
      </c>
      <c r="F134" s="294" t="s">
        <v>23</v>
      </c>
      <c r="G134" s="295" t="n">
        <v>4</v>
      </c>
      <c r="H134" s="296" t="s">
        <v>220</v>
      </c>
      <c r="I134" s="295" t="n">
        <v>0</v>
      </c>
      <c r="J134" s="296" t="n">
        <v>273</v>
      </c>
      <c r="K134" s="296" t="s">
        <v>67</v>
      </c>
      <c r="L134" s="297" t="n">
        <f aca="false">IF(J134="",0,(J134/J135)*100)</f>
        <v>100</v>
      </c>
      <c r="M134" s="295" t="n">
        <v>1</v>
      </c>
      <c r="N134" s="298" t="n">
        <v>6</v>
      </c>
      <c r="O134" s="127" t="n">
        <f aca="false">IF(M134=1,1,0)</f>
        <v>1</v>
      </c>
      <c r="P134" s="128" t="n">
        <f aca="false">IF(M134=2,1,0)</f>
        <v>0</v>
      </c>
      <c r="Q134" s="128" t="n">
        <f aca="false">IF(M134=3,1,0)</f>
        <v>0</v>
      </c>
      <c r="R134" s="129" t="n">
        <f aca="false">IF(M134=4,1,0)</f>
        <v>0</v>
      </c>
      <c r="S134" s="185"/>
      <c r="T134" s="182"/>
      <c r="U134" s="62"/>
    </row>
    <row r="135" customFormat="false" ht="20.1" hidden="true" customHeight="true" outlineLevel="1" collapsed="false">
      <c r="B135" s="62"/>
      <c r="C135" s="182"/>
      <c r="D135" s="182"/>
      <c r="E135" s="182"/>
      <c r="F135" s="187"/>
      <c r="G135" s="187"/>
      <c r="H135" s="182"/>
      <c r="I135" s="179" t="s">
        <v>89</v>
      </c>
      <c r="J135" s="133" t="n">
        <f aca="false">MAX(J131:J134)</f>
        <v>273</v>
      </c>
      <c r="K135" s="188"/>
      <c r="L135" s="185"/>
      <c r="M135" s="182"/>
      <c r="N135" s="136" t="s">
        <v>90</v>
      </c>
      <c r="O135" s="137" t="n">
        <f aca="false">SUM(O131:O134)</f>
        <v>1</v>
      </c>
      <c r="P135" s="138" t="n">
        <f aca="false">SUM(P131:P134)</f>
        <v>1</v>
      </c>
      <c r="Q135" s="137" t="n">
        <f aca="false">SUM(Q131:Q134)</f>
        <v>1</v>
      </c>
      <c r="R135" s="160" t="n">
        <f aca="false">SUM(R131:R134)</f>
        <v>1</v>
      </c>
      <c r="S135" s="189"/>
      <c r="T135" s="182"/>
      <c r="U135" s="62"/>
    </row>
    <row r="136" customFormat="false" ht="20.1" hidden="false" customHeight="true" outlineLevel="0" collapsed="false">
      <c r="B136" s="62"/>
      <c r="C136" s="182"/>
      <c r="D136" s="182"/>
      <c r="E136" s="182"/>
      <c r="F136" s="182"/>
      <c r="G136" s="182"/>
      <c r="H136" s="182"/>
      <c r="I136" s="182"/>
      <c r="J136" s="182"/>
      <c r="K136" s="182"/>
      <c r="L136" s="182"/>
      <c r="M136" s="182"/>
      <c r="N136" s="182"/>
      <c r="O136" s="182"/>
      <c r="P136" s="182"/>
      <c r="Q136" s="182"/>
      <c r="R136" s="182"/>
      <c r="S136" s="182"/>
      <c r="T136" s="182"/>
      <c r="U136" s="62"/>
    </row>
    <row r="137" customFormat="false" ht="20.1" hidden="false" customHeight="true" outlineLevel="0" collapsed="false">
      <c r="B137" s="62"/>
      <c r="D137" s="5"/>
      <c r="E137" s="5"/>
      <c r="F137" s="5"/>
      <c r="G137" s="5"/>
      <c r="H137" s="5"/>
      <c r="I137" s="5"/>
      <c r="J137" s="5"/>
      <c r="U137" s="62"/>
    </row>
    <row r="138" customFormat="false" ht="30" hidden="false" customHeight="true" outlineLevel="0" collapsed="false">
      <c r="B138" s="62"/>
      <c r="C138" s="190"/>
      <c r="D138" s="191" t="s">
        <v>135</v>
      </c>
      <c r="E138" s="191"/>
      <c r="F138" s="191"/>
      <c r="G138" s="191"/>
      <c r="H138" s="191"/>
      <c r="I138" s="191"/>
      <c r="J138" s="191"/>
      <c r="K138" s="191"/>
      <c r="L138" s="191"/>
      <c r="M138" s="191"/>
      <c r="N138" s="191"/>
      <c r="O138" s="191"/>
      <c r="P138" s="191"/>
      <c r="Q138" s="191"/>
      <c r="R138" s="191"/>
      <c r="S138" s="191"/>
      <c r="T138" s="190"/>
      <c r="U138" s="62"/>
    </row>
    <row r="139" customFormat="false" ht="50.1" hidden="false" customHeight="true" outlineLevel="0" collapsed="false">
      <c r="B139" s="62"/>
      <c r="C139" s="190"/>
      <c r="D139" s="192" t="s">
        <v>53</v>
      </c>
      <c r="E139" s="193" t="s">
        <v>54</v>
      </c>
      <c r="F139" s="194" t="s">
        <v>84</v>
      </c>
      <c r="G139" s="195" t="s">
        <v>100</v>
      </c>
      <c r="H139" s="196" t="s">
        <v>101</v>
      </c>
      <c r="I139" s="196"/>
      <c r="J139" s="197" t="s">
        <v>102</v>
      </c>
      <c r="K139" s="198" t="s">
        <v>103</v>
      </c>
      <c r="L139" s="194" t="s">
        <v>104</v>
      </c>
      <c r="M139" s="198" t="s">
        <v>105</v>
      </c>
      <c r="N139" s="194" t="s">
        <v>106</v>
      </c>
      <c r="O139" s="199"/>
      <c r="P139" s="200"/>
      <c r="Q139" s="200"/>
      <c r="R139" s="200"/>
      <c r="S139" s="193" t="s">
        <v>107</v>
      </c>
      <c r="T139" s="190"/>
      <c r="U139" s="62"/>
    </row>
    <row r="140" customFormat="false" ht="20.1" hidden="false" customHeight="true" outlineLevel="0" collapsed="false">
      <c r="B140" s="62"/>
      <c r="C140" s="190"/>
      <c r="D140" s="425" t="s">
        <v>22</v>
      </c>
      <c r="E140" s="302" t="s">
        <v>23</v>
      </c>
      <c r="F140" s="258" t="n">
        <f aca="false">K140*6+L140*3+M140*1+N140*0</f>
        <v>14</v>
      </c>
      <c r="G140" s="259" t="n">
        <v>0</v>
      </c>
      <c r="H140" s="259" t="s">
        <v>67</v>
      </c>
      <c r="I140" s="259"/>
      <c r="J140" s="258" t="n">
        <f aca="false">F140+G140</f>
        <v>14</v>
      </c>
      <c r="K140" s="258" t="n">
        <v>2</v>
      </c>
      <c r="L140" s="505" t="n">
        <v>0.5</v>
      </c>
      <c r="M140" s="505" t="n">
        <v>0.5</v>
      </c>
      <c r="N140" s="258" t="n">
        <v>1</v>
      </c>
      <c r="O140" s="260"/>
      <c r="P140" s="259"/>
      <c r="Q140" s="259"/>
      <c r="R140" s="259"/>
      <c r="S140" s="261" t="n">
        <f aca="false">(L107++L116+L125+L134)/4</f>
        <v>47.5</v>
      </c>
      <c r="T140" s="190"/>
      <c r="U140" s="62"/>
    </row>
    <row r="141" customFormat="false" ht="20.1" hidden="false" customHeight="true" outlineLevel="0" collapsed="false">
      <c r="B141" s="62"/>
      <c r="C141" s="190"/>
      <c r="D141" s="444" t="s">
        <v>12</v>
      </c>
      <c r="E141" s="208" t="s">
        <v>13</v>
      </c>
      <c r="F141" s="262" t="n">
        <f aca="false">K141*6+L141*3+M141*1+N141*0</f>
        <v>13</v>
      </c>
      <c r="G141" s="263" t="n">
        <v>0</v>
      </c>
      <c r="H141" s="263" t="s">
        <v>67</v>
      </c>
      <c r="I141" s="263"/>
      <c r="J141" s="262" t="n">
        <f aca="false">F141+G141</f>
        <v>13</v>
      </c>
      <c r="K141" s="262" t="n">
        <v>2</v>
      </c>
      <c r="L141" s="262" t="n">
        <v>0</v>
      </c>
      <c r="M141" s="262" t="n">
        <v>1</v>
      </c>
      <c r="N141" s="262" t="n">
        <v>1</v>
      </c>
      <c r="O141" s="264"/>
      <c r="P141" s="263"/>
      <c r="Q141" s="263"/>
      <c r="R141" s="263"/>
      <c r="S141" s="265" t="n">
        <f aca="false">(L104+L113+L122+L131)/4</f>
        <v>78.3876678876679</v>
      </c>
      <c r="T141" s="190"/>
      <c r="U141" s="62"/>
      <c r="Y141" s="266"/>
      <c r="Z141" s="266"/>
      <c r="AA141" s="267"/>
      <c r="AB141" s="267"/>
      <c r="AC141" s="268"/>
      <c r="AD141" s="268"/>
      <c r="AE141" s="268"/>
    </row>
    <row r="142" customFormat="false" ht="20.1" hidden="false" customHeight="true" outlineLevel="0" collapsed="false">
      <c r="B142" s="62"/>
      <c r="C142" s="190"/>
      <c r="D142" s="213" t="s">
        <v>37</v>
      </c>
      <c r="E142" s="208" t="s">
        <v>38</v>
      </c>
      <c r="F142" s="262" t="n">
        <f aca="false">K142*6+L142*3+M142*1+N142*0</f>
        <v>7</v>
      </c>
      <c r="G142" s="263" t="n">
        <v>0</v>
      </c>
      <c r="H142" s="263" t="s">
        <v>67</v>
      </c>
      <c r="I142" s="263"/>
      <c r="J142" s="262" t="n">
        <f aca="false">F142+G142</f>
        <v>7</v>
      </c>
      <c r="K142" s="262" t="n">
        <v>0</v>
      </c>
      <c r="L142" s="262" t="n">
        <v>2</v>
      </c>
      <c r="M142" s="262" t="n">
        <v>1</v>
      </c>
      <c r="N142" s="262" t="n">
        <v>1</v>
      </c>
      <c r="O142" s="264"/>
      <c r="P142" s="263"/>
      <c r="Q142" s="263"/>
      <c r="R142" s="263"/>
      <c r="S142" s="265" t="n">
        <f aca="false">(L106+L115+L124+L133)/4</f>
        <v>65.937728937729</v>
      </c>
      <c r="T142" s="190"/>
      <c r="U142" s="62"/>
    </row>
    <row r="143" customFormat="false" ht="20.1" hidden="false" customHeight="true" outlineLevel="0" collapsed="false">
      <c r="B143" s="62"/>
      <c r="C143" s="190"/>
      <c r="D143" s="427" t="s">
        <v>29</v>
      </c>
      <c r="E143" s="215" t="s">
        <v>30</v>
      </c>
      <c r="F143" s="271" t="n">
        <f aca="false">K143*6+L143*3+M143*1+N143*0</f>
        <v>6</v>
      </c>
      <c r="G143" s="272" t="n">
        <v>0</v>
      </c>
      <c r="H143" s="272" t="s">
        <v>67</v>
      </c>
      <c r="I143" s="272"/>
      <c r="J143" s="271" t="n">
        <f aca="false">F143+G143</f>
        <v>6</v>
      </c>
      <c r="K143" s="271" t="n">
        <v>0</v>
      </c>
      <c r="L143" s="428" t="n">
        <v>1.5</v>
      </c>
      <c r="M143" s="428" t="n">
        <v>1.5</v>
      </c>
      <c r="N143" s="271" t="n">
        <v>1</v>
      </c>
      <c r="O143" s="273"/>
      <c r="P143" s="272"/>
      <c r="Q143" s="272"/>
      <c r="R143" s="272"/>
      <c r="S143" s="274" t="n">
        <f aca="false">(L105+L114+L123+L132)/4</f>
        <v>32.6019536019536</v>
      </c>
      <c r="T143" s="190"/>
      <c r="U143" s="62"/>
    </row>
    <row r="144" customFormat="false" ht="20.1" hidden="false" customHeight="true" outlineLevel="0" collapsed="false">
      <c r="B144" s="62"/>
      <c r="C144" s="190"/>
      <c r="D144" s="445"/>
      <c r="E144" s="445"/>
      <c r="F144" s="429"/>
      <c r="G144" s="377"/>
      <c r="H144" s="430"/>
      <c r="I144" s="430"/>
      <c r="J144" s="429"/>
      <c r="K144" s="429"/>
      <c r="L144" s="544"/>
      <c r="M144" s="544"/>
      <c r="N144" s="429"/>
      <c r="O144" s="376"/>
      <c r="P144" s="377"/>
      <c r="Q144" s="377"/>
      <c r="R144" s="377"/>
      <c r="S144" s="408"/>
      <c r="T144" s="190"/>
      <c r="U144" s="62"/>
    </row>
    <row r="145" customFormat="false" ht="20.1" hidden="false" customHeight="true" outlineLevel="0" collapsed="false">
      <c r="B145" s="62"/>
      <c r="C145" s="62"/>
      <c r="D145" s="219"/>
      <c r="E145" s="219"/>
      <c r="F145" s="167"/>
      <c r="G145" s="167"/>
      <c r="H145" s="219"/>
      <c r="I145" s="219"/>
      <c r="J145" s="219"/>
      <c r="K145" s="62"/>
      <c r="L145" s="62"/>
      <c r="M145" s="62"/>
      <c r="N145" s="62"/>
      <c r="O145" s="62"/>
      <c r="P145" s="62"/>
      <c r="Q145" s="62"/>
      <c r="R145" s="62"/>
      <c r="S145" s="62"/>
      <c r="T145" s="62"/>
      <c r="U145" s="62"/>
    </row>
    <row r="146" customFormat="false" ht="20.1" hidden="false" customHeight="true" outlineLevel="0" collapsed="false"/>
    <row r="147" customFormat="false" ht="20.1" hidden="false" customHeight="true" outlineLevel="0" collapsed="false"/>
    <row r="148" customFormat="false" ht="20.1" hidden="false" customHeight="true" outlineLevel="0" collapsed="false">
      <c r="B148" s="62"/>
      <c r="C148" s="62"/>
      <c r="D148" s="63"/>
      <c r="E148" s="63"/>
      <c r="F148" s="63"/>
      <c r="G148" s="63"/>
      <c r="H148" s="62"/>
      <c r="I148" s="62"/>
      <c r="J148" s="62"/>
      <c r="K148" s="62"/>
      <c r="L148" s="62"/>
      <c r="M148" s="62"/>
      <c r="N148" s="62"/>
      <c r="O148" s="62"/>
      <c r="P148" s="62"/>
      <c r="Q148" s="62"/>
      <c r="R148" s="62"/>
      <c r="S148" s="62"/>
      <c r="T148" s="62"/>
      <c r="U148" s="62"/>
    </row>
    <row r="149" customFormat="false" ht="30" hidden="false" customHeight="true" outlineLevel="0" collapsed="false">
      <c r="B149" s="62"/>
      <c r="C149" s="64" t="s">
        <v>407</v>
      </c>
      <c r="D149" s="64"/>
      <c r="E149" s="64"/>
      <c r="F149" s="64"/>
      <c r="G149" s="64"/>
      <c r="H149" s="64"/>
      <c r="I149" s="64"/>
      <c r="J149" s="64"/>
      <c r="K149" s="64"/>
      <c r="L149" s="64"/>
      <c r="M149" s="64"/>
      <c r="N149" s="64"/>
      <c r="O149" s="64"/>
      <c r="P149" s="64"/>
      <c r="Q149" s="64"/>
      <c r="R149" s="64"/>
      <c r="S149" s="64"/>
      <c r="T149" s="64"/>
      <c r="U149" s="62"/>
    </row>
    <row r="150" customFormat="false" ht="20.1" hidden="false" customHeight="true" outlineLevel="0" collapsed="false">
      <c r="B150" s="62"/>
      <c r="U150" s="62"/>
    </row>
    <row r="151" customFormat="false" ht="20.1" hidden="false" customHeight="true" outlineLevel="0" collapsed="false">
      <c r="B151" s="62"/>
      <c r="D151" s="65" t="s">
        <v>53</v>
      </c>
      <c r="E151" s="66" t="s">
        <v>137</v>
      </c>
      <c r="F151" s="67" t="s">
        <v>11</v>
      </c>
      <c r="G151" s="68" t="s">
        <v>55</v>
      </c>
      <c r="H151" s="68"/>
      <c r="I151" s="68"/>
      <c r="J151" s="68"/>
      <c r="K151" s="66" t="s">
        <v>56</v>
      </c>
      <c r="L151" s="68" t="s">
        <v>57</v>
      </c>
      <c r="M151" s="68"/>
      <c r="N151" s="68"/>
      <c r="O151" s="68"/>
      <c r="P151" s="68"/>
      <c r="Q151" s="68"/>
      <c r="R151" s="68"/>
      <c r="S151" s="68"/>
      <c r="U151" s="62"/>
    </row>
    <row r="152" customFormat="false" ht="20.1" hidden="false" customHeight="true" outlineLevel="0" collapsed="false">
      <c r="B152" s="62"/>
      <c r="D152" s="65"/>
      <c r="E152" s="66"/>
      <c r="F152" s="66"/>
      <c r="G152" s="70" t="s">
        <v>58</v>
      </c>
      <c r="H152" s="69" t="s">
        <v>59</v>
      </c>
      <c r="I152" s="67" t="s">
        <v>60</v>
      </c>
      <c r="J152" s="67"/>
      <c r="K152" s="69" t="s">
        <v>61</v>
      </c>
      <c r="L152" s="224" t="s">
        <v>58</v>
      </c>
      <c r="M152" s="225" t="s">
        <v>62</v>
      </c>
      <c r="N152" s="226" t="s">
        <v>60</v>
      </c>
      <c r="O152" s="226"/>
      <c r="P152" s="226"/>
      <c r="Q152" s="226"/>
      <c r="R152" s="226"/>
      <c r="S152" s="226"/>
      <c r="U152" s="62"/>
    </row>
    <row r="153" customFormat="false" ht="15" hidden="false" customHeight="true" outlineLevel="0" collapsed="false">
      <c r="B153" s="62"/>
      <c r="D153" s="380" t="s">
        <v>20</v>
      </c>
      <c r="E153" s="17" t="s">
        <v>21</v>
      </c>
      <c r="F153" s="23" t="n">
        <v>1</v>
      </c>
      <c r="G153" s="72" t="s">
        <v>63</v>
      </c>
      <c r="H153" s="74" t="s">
        <v>439</v>
      </c>
      <c r="I153" s="321" t="s">
        <v>440</v>
      </c>
      <c r="J153" s="321"/>
      <c r="K153" s="545" t="s">
        <v>115</v>
      </c>
      <c r="L153" s="72" t="s">
        <v>441</v>
      </c>
      <c r="M153" s="320" t="s">
        <v>408</v>
      </c>
      <c r="N153" s="511" t="s">
        <v>67</v>
      </c>
      <c r="O153" s="511"/>
      <c r="P153" s="511"/>
      <c r="Q153" s="511"/>
      <c r="R153" s="511"/>
      <c r="S153" s="511"/>
      <c r="U153" s="62"/>
    </row>
    <row r="154" customFormat="false" ht="15" hidden="false" customHeight="true" outlineLevel="0" collapsed="false">
      <c r="B154" s="62"/>
      <c r="D154" s="380"/>
      <c r="E154" s="17"/>
      <c r="F154" s="23"/>
      <c r="G154" s="72"/>
      <c r="H154" s="74"/>
      <c r="I154" s="325" t="s">
        <v>442</v>
      </c>
      <c r="J154" s="325"/>
      <c r="K154" s="545"/>
      <c r="L154" s="72"/>
      <c r="M154" s="320"/>
      <c r="N154" s="511"/>
      <c r="O154" s="511"/>
      <c r="P154" s="511"/>
      <c r="Q154" s="511"/>
      <c r="R154" s="511"/>
      <c r="S154" s="511"/>
      <c r="U154" s="62"/>
    </row>
    <row r="155" customFormat="false" ht="15" hidden="false" customHeight="true" outlineLevel="0" collapsed="false">
      <c r="B155" s="62"/>
      <c r="D155" s="380"/>
      <c r="E155" s="17"/>
      <c r="F155" s="23"/>
      <c r="G155" s="72"/>
      <c r="H155" s="74"/>
      <c r="I155" s="325" t="s">
        <v>443</v>
      </c>
      <c r="J155" s="325"/>
      <c r="K155" s="545"/>
      <c r="L155" s="72"/>
      <c r="M155" s="320"/>
      <c r="N155" s="511"/>
      <c r="O155" s="511"/>
      <c r="P155" s="511"/>
      <c r="Q155" s="511"/>
      <c r="R155" s="511"/>
      <c r="S155" s="511"/>
      <c r="U155" s="62"/>
    </row>
    <row r="156" customFormat="false" ht="15" hidden="false" customHeight="true" outlineLevel="0" collapsed="false">
      <c r="B156" s="62"/>
      <c r="D156" s="380"/>
      <c r="E156" s="17"/>
      <c r="F156" s="23"/>
      <c r="G156" s="72"/>
      <c r="H156" s="74"/>
      <c r="I156" s="360" t="s">
        <v>444</v>
      </c>
      <c r="J156" s="360"/>
      <c r="K156" s="545"/>
      <c r="L156" s="72"/>
      <c r="M156" s="320"/>
      <c r="N156" s="511"/>
      <c r="O156" s="511"/>
      <c r="P156" s="511"/>
      <c r="Q156" s="511"/>
      <c r="R156" s="511"/>
      <c r="S156" s="511"/>
      <c r="U156" s="62"/>
    </row>
    <row r="157" customFormat="false" ht="42" hidden="false" customHeight="true" outlineLevel="0" collapsed="false">
      <c r="B157" s="62"/>
      <c r="D157" s="326" t="s">
        <v>384</v>
      </c>
      <c r="E157" s="34" t="s">
        <v>28</v>
      </c>
      <c r="F157" s="31" t="n">
        <v>2</v>
      </c>
      <c r="G157" s="80" t="s">
        <v>114</v>
      </c>
      <c r="H157" s="384" t="s">
        <v>445</v>
      </c>
      <c r="I157" s="332" t="s">
        <v>190</v>
      </c>
      <c r="J157" s="332"/>
      <c r="K157" s="543" t="s">
        <v>439</v>
      </c>
      <c r="L157" s="232" t="s">
        <v>441</v>
      </c>
      <c r="M157" s="89" t="s">
        <v>109</v>
      </c>
      <c r="N157" s="335" t="s">
        <v>211</v>
      </c>
      <c r="O157" s="335"/>
      <c r="P157" s="335"/>
      <c r="Q157" s="335"/>
      <c r="R157" s="335"/>
      <c r="S157" s="335"/>
      <c r="U157" s="62"/>
    </row>
    <row r="158" customFormat="false" ht="15" hidden="false" customHeight="true" outlineLevel="0" collapsed="false">
      <c r="B158" s="62"/>
      <c r="D158" s="326"/>
      <c r="E158" s="34"/>
      <c r="F158" s="31"/>
      <c r="G158" s="80"/>
      <c r="H158" s="384"/>
      <c r="I158" s="332" t="s">
        <v>191</v>
      </c>
      <c r="J158" s="332"/>
      <c r="K158" s="543"/>
      <c r="L158" s="232"/>
      <c r="M158" s="89"/>
      <c r="N158" s="338" t="s">
        <v>212</v>
      </c>
      <c r="O158" s="338"/>
      <c r="P158" s="338"/>
      <c r="Q158" s="338"/>
      <c r="R158" s="338"/>
      <c r="S158" s="338"/>
      <c r="U158" s="62"/>
    </row>
    <row r="159" customFormat="false" ht="15" hidden="false" customHeight="true" outlineLevel="0" collapsed="false">
      <c r="B159" s="62"/>
      <c r="D159" s="326"/>
      <c r="E159" s="34"/>
      <c r="F159" s="31"/>
      <c r="G159" s="80"/>
      <c r="H159" s="384"/>
      <c r="I159" s="332" t="s">
        <v>192</v>
      </c>
      <c r="J159" s="332"/>
      <c r="K159" s="543"/>
      <c r="L159" s="232"/>
      <c r="M159" s="89"/>
      <c r="N159" s="546" t="s">
        <v>199</v>
      </c>
      <c r="O159" s="546"/>
      <c r="P159" s="546"/>
      <c r="Q159" s="546"/>
      <c r="R159" s="546"/>
      <c r="S159" s="546"/>
      <c r="U159" s="62"/>
    </row>
    <row r="160" customFormat="false" ht="15" hidden="false" customHeight="true" outlineLevel="0" collapsed="false">
      <c r="B160" s="62"/>
      <c r="D160" s="326"/>
      <c r="E160" s="34"/>
      <c r="F160" s="31"/>
      <c r="G160" s="80"/>
      <c r="H160" s="384"/>
      <c r="I160" s="332" t="s">
        <v>193</v>
      </c>
      <c r="J160" s="332"/>
      <c r="K160" s="543"/>
      <c r="L160" s="232"/>
      <c r="M160" s="89"/>
      <c r="N160" s="547"/>
      <c r="O160" s="548"/>
      <c r="P160" s="548"/>
      <c r="Q160" s="548"/>
      <c r="R160" s="548"/>
      <c r="S160" s="549"/>
      <c r="U160" s="62"/>
    </row>
    <row r="161" customFormat="false" ht="27.95" hidden="false" customHeight="true" outlineLevel="0" collapsed="false">
      <c r="B161" s="62"/>
      <c r="D161" s="326" t="s">
        <v>384</v>
      </c>
      <c r="E161" s="34" t="s">
        <v>28</v>
      </c>
      <c r="F161" s="31" t="n">
        <v>3</v>
      </c>
      <c r="G161" s="232" t="s">
        <v>114</v>
      </c>
      <c r="H161" s="355" t="s">
        <v>115</v>
      </c>
      <c r="I161" s="335" t="s">
        <v>446</v>
      </c>
      <c r="J161" s="335"/>
      <c r="K161" s="550"/>
      <c r="L161" s="551"/>
      <c r="M161" s="388"/>
      <c r="N161" s="552"/>
      <c r="O161" s="552"/>
      <c r="P161" s="552"/>
      <c r="Q161" s="552"/>
      <c r="R161" s="552"/>
      <c r="S161" s="552"/>
      <c r="U161" s="62"/>
    </row>
    <row r="162" customFormat="false" ht="15" hidden="false" customHeight="true" outlineLevel="0" collapsed="false">
      <c r="B162" s="62"/>
      <c r="D162" s="326"/>
      <c r="E162" s="34"/>
      <c r="F162" s="31"/>
      <c r="G162" s="232"/>
      <c r="H162" s="355"/>
      <c r="I162" s="338" t="s">
        <v>435</v>
      </c>
      <c r="J162" s="338"/>
      <c r="K162" s="550"/>
      <c r="L162" s="551"/>
      <c r="M162" s="388"/>
      <c r="N162" s="553"/>
      <c r="O162" s="554"/>
      <c r="P162" s="554"/>
      <c r="Q162" s="554"/>
      <c r="R162" s="554"/>
      <c r="S162" s="555"/>
      <c r="U162" s="62"/>
    </row>
    <row r="163" customFormat="false" ht="15" hidden="false" customHeight="true" outlineLevel="0" collapsed="false">
      <c r="B163" s="62"/>
      <c r="D163" s="326"/>
      <c r="E163" s="34"/>
      <c r="F163" s="31"/>
      <c r="G163" s="232"/>
      <c r="H163" s="355"/>
      <c r="I163" s="357" t="s">
        <v>436</v>
      </c>
      <c r="J163" s="357"/>
      <c r="K163" s="550"/>
      <c r="L163" s="551"/>
      <c r="M163" s="388"/>
      <c r="N163" s="553"/>
      <c r="O163" s="554"/>
      <c r="P163" s="554"/>
      <c r="Q163" s="554"/>
      <c r="R163" s="554"/>
      <c r="S163" s="555"/>
      <c r="U163" s="62"/>
    </row>
    <row r="164" customFormat="false" ht="27.95" hidden="false" customHeight="true" outlineLevel="0" collapsed="false">
      <c r="B164" s="62"/>
      <c r="D164" s="362" t="s">
        <v>20</v>
      </c>
      <c r="E164" s="45" t="s">
        <v>21</v>
      </c>
      <c r="F164" s="396" t="n">
        <v>4</v>
      </c>
      <c r="G164" s="358" t="s">
        <v>63</v>
      </c>
      <c r="H164" s="96" t="s">
        <v>303</v>
      </c>
      <c r="I164" s="342" t="s">
        <v>304</v>
      </c>
      <c r="J164" s="342"/>
      <c r="K164" s="556"/>
      <c r="L164" s="551"/>
      <c r="M164" s="388"/>
      <c r="N164" s="389"/>
      <c r="O164" s="389"/>
      <c r="P164" s="389"/>
      <c r="Q164" s="389"/>
      <c r="R164" s="389"/>
      <c r="S164" s="389"/>
      <c r="U164" s="62"/>
    </row>
    <row r="165" customFormat="false" ht="15" hidden="false" customHeight="true" outlineLevel="0" collapsed="false">
      <c r="B165" s="62"/>
      <c r="D165" s="362"/>
      <c r="E165" s="45"/>
      <c r="F165" s="396"/>
      <c r="G165" s="358"/>
      <c r="H165" s="96"/>
      <c r="I165" s="347" t="s">
        <v>305</v>
      </c>
      <c r="J165" s="347"/>
      <c r="K165" s="557"/>
      <c r="L165" s="558"/>
      <c r="M165" s="392"/>
      <c r="N165" s="532"/>
      <c r="O165" s="532"/>
      <c r="P165" s="532"/>
      <c r="Q165" s="532"/>
      <c r="R165" s="532"/>
      <c r="S165" s="533"/>
      <c r="U165" s="62"/>
    </row>
    <row r="166" customFormat="false" ht="15" hidden="false" customHeight="true" outlineLevel="0" collapsed="false">
      <c r="B166" s="62"/>
      <c r="D166" s="362"/>
      <c r="E166" s="45"/>
      <c r="F166" s="396"/>
      <c r="G166" s="358"/>
      <c r="H166" s="96"/>
      <c r="I166" s="347" t="s">
        <v>306</v>
      </c>
      <c r="J166" s="347"/>
      <c r="K166" s="557"/>
      <c r="L166" s="558"/>
      <c r="M166" s="392"/>
      <c r="N166" s="532"/>
      <c r="O166" s="532"/>
      <c r="P166" s="532"/>
      <c r="Q166" s="532"/>
      <c r="R166" s="532"/>
      <c r="S166" s="533"/>
      <c r="U166" s="62"/>
    </row>
    <row r="167" customFormat="false" ht="15" hidden="false" customHeight="true" outlineLevel="0" collapsed="false">
      <c r="B167" s="62"/>
      <c r="D167" s="362"/>
      <c r="E167" s="45"/>
      <c r="F167" s="396"/>
      <c r="G167" s="358"/>
      <c r="H167" s="96"/>
      <c r="I167" s="347" t="s">
        <v>307</v>
      </c>
      <c r="J167" s="347"/>
      <c r="K167" s="557"/>
      <c r="L167" s="558"/>
      <c r="M167" s="392"/>
      <c r="N167" s="532"/>
      <c r="O167" s="532"/>
      <c r="P167" s="532"/>
      <c r="Q167" s="532"/>
      <c r="R167" s="532"/>
      <c r="S167" s="533"/>
      <c r="U167" s="62"/>
    </row>
    <row r="168" customFormat="false" ht="15" hidden="false" customHeight="true" outlineLevel="0" collapsed="false">
      <c r="B168" s="62"/>
      <c r="D168" s="362"/>
      <c r="E168" s="45"/>
      <c r="F168" s="396"/>
      <c r="G168" s="358"/>
      <c r="H168" s="96"/>
      <c r="I168" s="347" t="s">
        <v>308</v>
      </c>
      <c r="J168" s="347"/>
      <c r="K168" s="557"/>
      <c r="L168" s="558"/>
      <c r="M168" s="392"/>
      <c r="N168" s="532"/>
      <c r="O168" s="532"/>
      <c r="P168" s="532"/>
      <c r="Q168" s="532"/>
      <c r="R168" s="532"/>
      <c r="S168" s="533"/>
      <c r="U168" s="62"/>
    </row>
    <row r="169" customFormat="false" ht="60" hidden="false" customHeight="true" outlineLevel="0" collapsed="false">
      <c r="B169" s="62"/>
      <c r="D169" s="362"/>
      <c r="E169" s="45"/>
      <c r="F169" s="396"/>
      <c r="G169" s="358"/>
      <c r="H169" s="96"/>
      <c r="I169" s="348" t="s">
        <v>309</v>
      </c>
      <c r="J169" s="348"/>
      <c r="K169" s="559"/>
      <c r="L169" s="560"/>
      <c r="M169" s="400"/>
      <c r="N169" s="401"/>
      <c r="O169" s="401"/>
      <c r="P169" s="401"/>
      <c r="Q169" s="401"/>
      <c r="R169" s="401"/>
      <c r="S169" s="402"/>
      <c r="U169" s="62"/>
    </row>
    <row r="170" customFormat="false" ht="20.1" hidden="false" customHeight="true" outlineLevel="0" collapsed="false">
      <c r="B170" s="62"/>
      <c r="U170" s="62"/>
    </row>
    <row r="171" customFormat="false" ht="20.1" hidden="false" customHeight="true" outlineLevel="0" collapsed="false">
      <c r="B171" s="62"/>
      <c r="C171" s="101"/>
      <c r="D171" s="101"/>
      <c r="E171" s="102" t="str">
        <f aca="false">IF(OR(M153="-",M153= ""),H153,M153)</f>
        <v>7 Wonders Architects</v>
      </c>
      <c r="F171" s="102"/>
      <c r="G171" s="102"/>
      <c r="H171" s="102"/>
      <c r="I171" s="102"/>
      <c r="J171" s="102"/>
      <c r="K171" s="102"/>
      <c r="L171" s="102"/>
      <c r="M171" s="102"/>
      <c r="N171" s="102"/>
      <c r="O171" s="103"/>
      <c r="P171" s="103"/>
      <c r="Q171" s="103"/>
      <c r="R171" s="103"/>
      <c r="S171" s="103"/>
      <c r="T171" s="101"/>
      <c r="U171" s="62"/>
    </row>
    <row r="172" customFormat="false" ht="50.1" hidden="false" customHeight="true" outlineLevel="0" collapsed="false">
      <c r="B172" s="62"/>
      <c r="C172" s="101"/>
      <c r="D172" s="103"/>
      <c r="E172" s="65" t="s">
        <v>53</v>
      </c>
      <c r="F172" s="104" t="s">
        <v>76</v>
      </c>
      <c r="G172" s="67" t="s">
        <v>77</v>
      </c>
      <c r="H172" s="66" t="s">
        <v>78</v>
      </c>
      <c r="I172" s="54" t="s">
        <v>79</v>
      </c>
      <c r="J172" s="66" t="s">
        <v>80</v>
      </c>
      <c r="K172" s="105" t="s">
        <v>81</v>
      </c>
      <c r="L172" s="66" t="s">
        <v>82</v>
      </c>
      <c r="M172" s="106" t="s">
        <v>83</v>
      </c>
      <c r="N172" s="67" t="s">
        <v>84</v>
      </c>
      <c r="O172" s="107" t="s">
        <v>85</v>
      </c>
      <c r="P172" s="108" t="s">
        <v>86</v>
      </c>
      <c r="Q172" s="103"/>
      <c r="R172" s="103"/>
      <c r="S172" s="103"/>
      <c r="T172" s="101"/>
      <c r="U172" s="62"/>
    </row>
    <row r="173" customFormat="false" ht="20.1" hidden="false" customHeight="true" outlineLevel="0" collapsed="false">
      <c r="B173" s="62"/>
      <c r="C173" s="101"/>
      <c r="D173" s="124"/>
      <c r="E173" s="403" t="s">
        <v>20</v>
      </c>
      <c r="F173" s="110" t="s">
        <v>21</v>
      </c>
      <c r="G173" s="111" t="n">
        <v>1</v>
      </c>
      <c r="H173" s="111" t="s">
        <v>418</v>
      </c>
      <c r="I173" s="111" t="n">
        <v>0</v>
      </c>
      <c r="J173" s="111" t="n">
        <v>34</v>
      </c>
      <c r="K173" s="111" t="s">
        <v>67</v>
      </c>
      <c r="L173" s="113" t="n">
        <f aca="false">IF(J173="",0,(J173/J175)*100)</f>
        <v>100</v>
      </c>
      <c r="M173" s="111" t="n">
        <v>1</v>
      </c>
      <c r="N173" s="114" t="n">
        <v>6</v>
      </c>
      <c r="O173" s="116" t="n">
        <f aca="false">IF(M173=1,1,0)</f>
        <v>1</v>
      </c>
      <c r="P173" s="117" t="n">
        <f aca="false">IF(M173=2,1,0)</f>
        <v>0</v>
      </c>
      <c r="Q173" s="118"/>
      <c r="R173" s="118"/>
      <c r="S173" s="118"/>
      <c r="T173" s="101"/>
      <c r="U173" s="62"/>
    </row>
    <row r="174" customFormat="false" ht="20.1" hidden="false" customHeight="true" outlineLevel="0" collapsed="false">
      <c r="B174" s="62"/>
      <c r="C174" s="101"/>
      <c r="D174" s="101"/>
      <c r="E174" s="349" t="s">
        <v>384</v>
      </c>
      <c r="F174" s="44" t="s">
        <v>28</v>
      </c>
      <c r="G174" s="245" t="n">
        <v>2</v>
      </c>
      <c r="H174" s="245" t="s">
        <v>447</v>
      </c>
      <c r="I174" s="245" t="n">
        <v>0</v>
      </c>
      <c r="J174" s="245" t="n">
        <v>31</v>
      </c>
      <c r="K174" s="246" t="s">
        <v>67</v>
      </c>
      <c r="L174" s="247" t="n">
        <f aca="false">IF(J174="",0,(J174/J175)*100)</f>
        <v>91.1764705882353</v>
      </c>
      <c r="M174" s="245" t="n">
        <v>2</v>
      </c>
      <c r="N174" s="248" t="n">
        <v>0</v>
      </c>
      <c r="O174" s="128" t="n">
        <f aca="false">IF(M174=1,1,0)</f>
        <v>0</v>
      </c>
      <c r="P174" s="129" t="n">
        <f aca="false">IF(M174=2,1,0)</f>
        <v>1</v>
      </c>
      <c r="Q174" s="118"/>
      <c r="R174" s="118"/>
      <c r="S174" s="118"/>
      <c r="T174" s="101"/>
      <c r="U174" s="62"/>
    </row>
    <row r="175" customFormat="false" ht="20.1" hidden="true" customHeight="true" outlineLevel="1" collapsed="false">
      <c r="B175" s="62"/>
      <c r="C175" s="101"/>
      <c r="D175" s="124"/>
      <c r="E175" s="124"/>
      <c r="F175" s="131"/>
      <c r="G175" s="131"/>
      <c r="H175" s="101"/>
      <c r="I175" s="179" t="s">
        <v>89</v>
      </c>
      <c r="J175" s="133" t="n">
        <f aca="false">MAX(J173:J174)</f>
        <v>34</v>
      </c>
      <c r="K175" s="249"/>
      <c r="L175" s="139"/>
      <c r="M175" s="101"/>
      <c r="N175" s="136" t="s">
        <v>90</v>
      </c>
      <c r="O175" s="137" t="n">
        <f aca="false">SUM(O173:O174)</f>
        <v>1</v>
      </c>
      <c r="P175" s="160" t="n">
        <f aca="false">SUM(P173:P174)</f>
        <v>1</v>
      </c>
      <c r="Q175" s="139"/>
      <c r="R175" s="139"/>
      <c r="S175" s="139"/>
      <c r="T175" s="101"/>
      <c r="U175" s="62"/>
    </row>
    <row r="176" customFormat="false" ht="20.1" hidden="false" customHeight="true" outlineLevel="0" collapsed="false">
      <c r="B176" s="62"/>
      <c r="C176" s="101"/>
      <c r="D176" s="101"/>
      <c r="E176" s="101"/>
      <c r="F176" s="101"/>
      <c r="G176" s="101"/>
      <c r="H176" s="101"/>
      <c r="I176" s="101"/>
      <c r="J176" s="101"/>
      <c r="K176" s="101"/>
      <c r="L176" s="101"/>
      <c r="M176" s="101"/>
      <c r="N176" s="101"/>
      <c r="O176" s="101"/>
      <c r="P176" s="101"/>
      <c r="Q176" s="101"/>
      <c r="R176" s="101"/>
      <c r="S176" s="101"/>
      <c r="T176" s="101"/>
      <c r="U176" s="62"/>
    </row>
    <row r="177" customFormat="false" ht="20.1" hidden="false" customHeight="true" outlineLevel="0" collapsed="false">
      <c r="B177" s="62"/>
      <c r="U177" s="62"/>
    </row>
    <row r="178" customFormat="false" ht="20.1" hidden="false" customHeight="true" outlineLevel="0" collapsed="false">
      <c r="B178" s="62"/>
      <c r="C178" s="141"/>
      <c r="D178" s="141"/>
      <c r="E178" s="561" t="str">
        <f aca="false">H157</f>
        <v>Raja of the Ganges</v>
      </c>
      <c r="F178" s="561"/>
      <c r="G178" s="561"/>
      <c r="H178" s="561"/>
      <c r="I178" s="561"/>
      <c r="J178" s="561"/>
      <c r="K178" s="561"/>
      <c r="L178" s="561"/>
      <c r="M178" s="561"/>
      <c r="N178" s="561"/>
      <c r="O178" s="143"/>
      <c r="P178" s="143"/>
      <c r="Q178" s="143"/>
      <c r="R178" s="143"/>
      <c r="S178" s="143"/>
      <c r="T178" s="141"/>
      <c r="U178" s="62"/>
    </row>
    <row r="179" customFormat="false" ht="50.1" hidden="false" customHeight="true" outlineLevel="0" collapsed="false">
      <c r="B179" s="62"/>
      <c r="C179" s="141"/>
      <c r="D179" s="143"/>
      <c r="E179" s="65" t="s">
        <v>53</v>
      </c>
      <c r="F179" s="104" t="s">
        <v>76</v>
      </c>
      <c r="G179" s="67" t="s">
        <v>77</v>
      </c>
      <c r="H179" s="66" t="s">
        <v>78</v>
      </c>
      <c r="I179" s="54" t="s">
        <v>79</v>
      </c>
      <c r="J179" s="66" t="s">
        <v>80</v>
      </c>
      <c r="K179" s="105" t="s">
        <v>81</v>
      </c>
      <c r="L179" s="66" t="s">
        <v>82</v>
      </c>
      <c r="M179" s="106" t="s">
        <v>83</v>
      </c>
      <c r="N179" s="67" t="s">
        <v>84</v>
      </c>
      <c r="O179" s="107" t="s">
        <v>85</v>
      </c>
      <c r="P179" s="108" t="s">
        <v>86</v>
      </c>
      <c r="Q179" s="143"/>
      <c r="R179" s="143"/>
      <c r="S179" s="143"/>
      <c r="T179" s="141"/>
      <c r="U179" s="62"/>
    </row>
    <row r="180" customFormat="false" ht="20.1" hidden="false" customHeight="true" outlineLevel="0" collapsed="false">
      <c r="B180" s="62"/>
      <c r="C180" s="141"/>
      <c r="D180" s="148"/>
      <c r="E180" s="318" t="s">
        <v>20</v>
      </c>
      <c r="F180" s="16" t="s">
        <v>21</v>
      </c>
      <c r="G180" s="250" t="n">
        <v>1</v>
      </c>
      <c r="H180" s="251" t="s">
        <v>67</v>
      </c>
      <c r="I180" s="250" t="n">
        <v>-59</v>
      </c>
      <c r="J180" s="251" t="n">
        <v>-10</v>
      </c>
      <c r="K180" s="251" t="s">
        <v>67</v>
      </c>
      <c r="L180" s="253" t="n">
        <f aca="false">($I$180-J180)/($I$180-$J$181)*100</f>
        <v>79.0322580645161</v>
      </c>
      <c r="M180" s="250" t="n">
        <v>2</v>
      </c>
      <c r="N180" s="254" t="n">
        <v>0</v>
      </c>
      <c r="O180" s="115" t="n">
        <f aca="false">IF(M180=1,1,0)</f>
        <v>0</v>
      </c>
      <c r="P180" s="117" t="n">
        <f aca="false">IF(M180=2,1,0)</f>
        <v>1</v>
      </c>
      <c r="Q180" s="147"/>
      <c r="R180" s="147"/>
      <c r="S180" s="147"/>
      <c r="T180" s="141"/>
      <c r="U180" s="62"/>
    </row>
    <row r="181" customFormat="false" ht="20.1" hidden="false" customHeight="true" outlineLevel="0" collapsed="false">
      <c r="B181" s="62"/>
      <c r="C181" s="141"/>
      <c r="D181" s="141"/>
      <c r="E181" s="350" t="s">
        <v>384</v>
      </c>
      <c r="F181" s="294" t="s">
        <v>28</v>
      </c>
      <c r="G181" s="295" t="n">
        <v>2</v>
      </c>
      <c r="H181" s="296" t="s">
        <v>67</v>
      </c>
      <c r="I181" s="295" t="n">
        <v>-59</v>
      </c>
      <c r="J181" s="296" t="n">
        <v>3</v>
      </c>
      <c r="K181" s="296" t="s">
        <v>67</v>
      </c>
      <c r="L181" s="297" t="n">
        <f aca="false">($I$180-J181)/($I$180-$J$181)*100</f>
        <v>100</v>
      </c>
      <c r="M181" s="295" t="n">
        <v>1</v>
      </c>
      <c r="N181" s="298" t="n">
        <v>6</v>
      </c>
      <c r="O181" s="127" t="n">
        <f aca="false">IF(M181=1,1,0)</f>
        <v>1</v>
      </c>
      <c r="P181" s="129" t="n">
        <f aca="false">IF(M181=2,1,0)</f>
        <v>0</v>
      </c>
      <c r="Q181" s="147"/>
      <c r="R181" s="147"/>
      <c r="S181" s="147"/>
      <c r="T181" s="141"/>
      <c r="U181" s="62"/>
    </row>
    <row r="182" customFormat="false" ht="20.1" hidden="true" customHeight="true" outlineLevel="1" collapsed="false">
      <c r="B182" s="62"/>
      <c r="C182" s="141"/>
      <c r="D182" s="141"/>
      <c r="E182" s="141"/>
      <c r="F182" s="157"/>
      <c r="G182" s="157"/>
      <c r="H182" s="141"/>
      <c r="I182" s="179" t="s">
        <v>89</v>
      </c>
      <c r="J182" s="133" t="n">
        <f aca="false">MAX(J180:J181)</f>
        <v>3</v>
      </c>
      <c r="K182" s="159"/>
      <c r="L182" s="147"/>
      <c r="M182" s="141"/>
      <c r="N182" s="136" t="s">
        <v>90</v>
      </c>
      <c r="O182" s="137" t="n">
        <f aca="false">SUM(O180:O181)</f>
        <v>1</v>
      </c>
      <c r="P182" s="160" t="n">
        <f aca="false">SUM(P180:P181)</f>
        <v>1</v>
      </c>
      <c r="Q182" s="161"/>
      <c r="R182" s="161"/>
      <c r="S182" s="161"/>
      <c r="T182" s="141"/>
      <c r="U182" s="62"/>
    </row>
    <row r="183" customFormat="false" ht="20.1" hidden="false" customHeight="true" outlineLevel="0" collapsed="false">
      <c r="B183" s="62"/>
      <c r="C183" s="141"/>
      <c r="D183" s="141"/>
      <c r="E183" s="141"/>
      <c r="F183" s="141"/>
      <c r="G183" s="141"/>
      <c r="H183" s="141"/>
      <c r="I183" s="141"/>
      <c r="J183" s="141"/>
      <c r="K183" s="141"/>
      <c r="L183" s="141"/>
      <c r="M183" s="141"/>
      <c r="N183" s="141"/>
      <c r="O183" s="141"/>
      <c r="P183" s="141"/>
      <c r="Q183" s="141"/>
      <c r="R183" s="141"/>
      <c r="S183" s="141"/>
      <c r="T183" s="141"/>
      <c r="U183" s="62"/>
    </row>
    <row r="184" customFormat="false" ht="20.1" hidden="false" customHeight="true" outlineLevel="0" collapsed="false">
      <c r="B184" s="62"/>
      <c r="D184" s="162"/>
      <c r="E184" s="162"/>
      <c r="F184" s="162"/>
      <c r="G184" s="162"/>
      <c r="H184" s="163"/>
      <c r="I184" s="162"/>
      <c r="J184" s="162"/>
      <c r="U184" s="62"/>
    </row>
    <row r="185" customFormat="false" ht="20.1" hidden="false" customHeight="true" outlineLevel="0" collapsed="false">
      <c r="B185" s="62"/>
      <c r="C185" s="164"/>
      <c r="D185" s="164"/>
      <c r="E185" s="562" t="str">
        <f aca="false">M157</f>
        <v>Die Burgen von Burgund</v>
      </c>
      <c r="F185" s="562"/>
      <c r="G185" s="562"/>
      <c r="H185" s="562"/>
      <c r="I185" s="562"/>
      <c r="J185" s="562"/>
      <c r="K185" s="562"/>
      <c r="L185" s="562"/>
      <c r="M185" s="562"/>
      <c r="N185" s="562"/>
      <c r="O185" s="166"/>
      <c r="P185" s="166"/>
      <c r="Q185" s="166"/>
      <c r="R185" s="166"/>
      <c r="S185" s="166"/>
      <c r="T185" s="164"/>
      <c r="U185" s="167"/>
    </row>
    <row r="186" customFormat="false" ht="50.1" hidden="false" customHeight="true" outlineLevel="0" collapsed="false">
      <c r="B186" s="62"/>
      <c r="C186" s="164"/>
      <c r="D186" s="166"/>
      <c r="E186" s="65" t="s">
        <v>53</v>
      </c>
      <c r="F186" s="104" t="s">
        <v>76</v>
      </c>
      <c r="G186" s="67" t="s">
        <v>77</v>
      </c>
      <c r="H186" s="66" t="s">
        <v>78</v>
      </c>
      <c r="I186" s="54" t="s">
        <v>79</v>
      </c>
      <c r="J186" s="66" t="s">
        <v>80</v>
      </c>
      <c r="K186" s="105" t="s">
        <v>81</v>
      </c>
      <c r="L186" s="66" t="s">
        <v>82</v>
      </c>
      <c r="M186" s="106" t="s">
        <v>83</v>
      </c>
      <c r="N186" s="67" t="s">
        <v>84</v>
      </c>
      <c r="O186" s="107" t="s">
        <v>85</v>
      </c>
      <c r="P186" s="108" t="s">
        <v>86</v>
      </c>
      <c r="Q186" s="166"/>
      <c r="R186" s="166"/>
      <c r="S186" s="166"/>
      <c r="T186" s="164"/>
      <c r="U186" s="167"/>
    </row>
    <row r="187" customFormat="false" ht="20.1" hidden="false" customHeight="true" outlineLevel="0" collapsed="false">
      <c r="B187" s="62"/>
      <c r="C187" s="164"/>
      <c r="D187" s="171"/>
      <c r="E187" s="403" t="s">
        <v>20</v>
      </c>
      <c r="F187" s="110" t="s">
        <v>21</v>
      </c>
      <c r="G187" s="111" t="n">
        <v>1</v>
      </c>
      <c r="H187" s="112" t="s">
        <v>204</v>
      </c>
      <c r="I187" s="111" t="n">
        <v>0</v>
      </c>
      <c r="J187" s="112" t="n">
        <v>249</v>
      </c>
      <c r="K187" s="111" t="s">
        <v>67</v>
      </c>
      <c r="L187" s="113" t="n">
        <f aca="false">IF(J187="",0,(J187/J189)*100)</f>
        <v>100</v>
      </c>
      <c r="M187" s="111" t="n">
        <v>1</v>
      </c>
      <c r="N187" s="114" t="n">
        <v>6</v>
      </c>
      <c r="O187" s="116" t="n">
        <f aca="false">IF(M187=1,1,0)</f>
        <v>1</v>
      </c>
      <c r="P187" s="117" t="n">
        <f aca="false">IF(M187=2,1,0)</f>
        <v>0</v>
      </c>
      <c r="Q187" s="170"/>
      <c r="R187" s="170"/>
      <c r="S187" s="170"/>
      <c r="T187" s="164"/>
      <c r="U187" s="62"/>
    </row>
    <row r="188" customFormat="false" ht="20.1" hidden="false" customHeight="true" outlineLevel="0" collapsed="false">
      <c r="B188" s="62"/>
      <c r="C188" s="164"/>
      <c r="D188" s="164"/>
      <c r="E188" s="349" t="s">
        <v>384</v>
      </c>
      <c r="F188" s="44" t="s">
        <v>28</v>
      </c>
      <c r="G188" s="245" t="n">
        <v>2</v>
      </c>
      <c r="H188" s="246" t="s">
        <v>148</v>
      </c>
      <c r="I188" s="245" t="n">
        <v>0</v>
      </c>
      <c r="J188" s="246" t="n">
        <v>197</v>
      </c>
      <c r="K188" s="246" t="s">
        <v>67</v>
      </c>
      <c r="L188" s="247" t="n">
        <f aca="false">IF(J188="",0,(J188/J189)*100)</f>
        <v>79.1164658634538</v>
      </c>
      <c r="M188" s="245" t="n">
        <v>2</v>
      </c>
      <c r="N188" s="248" t="n">
        <v>0</v>
      </c>
      <c r="O188" s="128" t="n">
        <f aca="false">IF(M188=1,1,0)</f>
        <v>0</v>
      </c>
      <c r="P188" s="129" t="n">
        <f aca="false">IF(M188=2,1,0)</f>
        <v>1</v>
      </c>
      <c r="Q188" s="170"/>
      <c r="R188" s="170"/>
      <c r="S188" s="170"/>
      <c r="T188" s="164"/>
      <c r="U188" s="173"/>
    </row>
    <row r="189" customFormat="false" ht="20.1" hidden="true" customHeight="true" outlineLevel="1" collapsed="false">
      <c r="B189" s="62"/>
      <c r="C189" s="164"/>
      <c r="D189" s="164"/>
      <c r="E189" s="164"/>
      <c r="F189" s="178"/>
      <c r="G189" s="178"/>
      <c r="H189" s="164"/>
      <c r="I189" s="179" t="s">
        <v>89</v>
      </c>
      <c r="J189" s="133" t="n">
        <f aca="false">MAX(J187:J188)</f>
        <v>249</v>
      </c>
      <c r="K189" s="180"/>
      <c r="L189" s="170"/>
      <c r="M189" s="164"/>
      <c r="N189" s="136" t="s">
        <v>90</v>
      </c>
      <c r="O189" s="137" t="n">
        <f aca="false">SUM(O187:O188)</f>
        <v>1</v>
      </c>
      <c r="P189" s="160" t="n">
        <f aca="false">SUM(P187:P188)</f>
        <v>1</v>
      </c>
      <c r="Q189" s="181"/>
      <c r="R189" s="181"/>
      <c r="S189" s="181"/>
      <c r="T189" s="164"/>
      <c r="U189" s="173"/>
    </row>
    <row r="190" customFormat="false" ht="20.1" hidden="false" customHeight="true" outlineLevel="0" collapsed="false">
      <c r="B190" s="62"/>
      <c r="C190" s="164"/>
      <c r="D190" s="164"/>
      <c r="E190" s="164"/>
      <c r="F190" s="164"/>
      <c r="G190" s="164"/>
      <c r="H190" s="164"/>
      <c r="I190" s="164"/>
      <c r="J190" s="164"/>
      <c r="K190" s="164"/>
      <c r="L190" s="164"/>
      <c r="M190" s="164"/>
      <c r="N190" s="164"/>
      <c r="O190" s="164"/>
      <c r="P190" s="164"/>
      <c r="Q190" s="164"/>
      <c r="R190" s="164"/>
      <c r="S190" s="164"/>
      <c r="T190" s="164"/>
      <c r="U190" s="173"/>
    </row>
    <row r="191" customFormat="false" ht="20.1" hidden="false" customHeight="true" outlineLevel="0" collapsed="false">
      <c r="B191" s="62"/>
      <c r="D191" s="162"/>
      <c r="E191" s="162"/>
      <c r="F191" s="162"/>
      <c r="G191" s="162"/>
      <c r="H191" s="163"/>
      <c r="I191" s="162"/>
      <c r="J191" s="162"/>
      <c r="K191" s="162"/>
      <c r="U191" s="62"/>
    </row>
    <row r="192" customFormat="false" ht="20.1" hidden="false" customHeight="true" outlineLevel="0" collapsed="false">
      <c r="B192" s="62"/>
      <c r="C192" s="182"/>
      <c r="D192" s="182"/>
      <c r="E192" s="183" t="str">
        <f aca="false">IF(OR(L164="-",L164= ""),H164,L164)</f>
        <v>Clans of Caledonia</v>
      </c>
      <c r="F192" s="183"/>
      <c r="G192" s="183"/>
      <c r="H192" s="183"/>
      <c r="I192" s="183"/>
      <c r="J192" s="183"/>
      <c r="K192" s="183"/>
      <c r="L192" s="183"/>
      <c r="M192" s="183"/>
      <c r="N192" s="183"/>
      <c r="O192" s="184"/>
      <c r="P192" s="184"/>
      <c r="Q192" s="184"/>
      <c r="R192" s="184"/>
      <c r="S192" s="184"/>
      <c r="T192" s="182"/>
      <c r="U192" s="62"/>
    </row>
    <row r="193" customFormat="false" ht="50.1" hidden="false" customHeight="true" outlineLevel="0" collapsed="false">
      <c r="B193" s="62"/>
      <c r="C193" s="182"/>
      <c r="D193" s="184"/>
      <c r="E193" s="65" t="s">
        <v>53</v>
      </c>
      <c r="F193" s="104" t="s">
        <v>76</v>
      </c>
      <c r="G193" s="67" t="s">
        <v>77</v>
      </c>
      <c r="H193" s="66" t="s">
        <v>78</v>
      </c>
      <c r="I193" s="54" t="s">
        <v>79</v>
      </c>
      <c r="J193" s="66" t="s">
        <v>80</v>
      </c>
      <c r="K193" s="105" t="s">
        <v>81</v>
      </c>
      <c r="L193" s="66" t="s">
        <v>82</v>
      </c>
      <c r="M193" s="106" t="s">
        <v>83</v>
      </c>
      <c r="N193" s="67" t="s">
        <v>84</v>
      </c>
      <c r="O193" s="107" t="s">
        <v>85</v>
      </c>
      <c r="P193" s="108" t="s">
        <v>86</v>
      </c>
      <c r="Q193" s="184"/>
      <c r="R193" s="184"/>
      <c r="S193" s="184"/>
      <c r="T193" s="182"/>
      <c r="U193" s="62"/>
    </row>
    <row r="194" customFormat="false" ht="20.1" hidden="false" customHeight="true" outlineLevel="0" collapsed="false">
      <c r="B194" s="62"/>
      <c r="C194" s="182"/>
      <c r="D194" s="182"/>
      <c r="E194" s="318" t="s">
        <v>20</v>
      </c>
      <c r="F194" s="16" t="s">
        <v>21</v>
      </c>
      <c r="G194" s="250" t="n">
        <v>2</v>
      </c>
      <c r="H194" s="250" t="s">
        <v>448</v>
      </c>
      <c r="I194" s="250" t="n">
        <v>0</v>
      </c>
      <c r="J194" s="250" t="n">
        <v>121</v>
      </c>
      <c r="K194" s="250" t="s">
        <v>67</v>
      </c>
      <c r="L194" s="253" t="n">
        <f aca="false">IF(J194="",0,(J194/J196)*100)</f>
        <v>84.6153846153846</v>
      </c>
      <c r="M194" s="250" t="n">
        <v>2</v>
      </c>
      <c r="N194" s="254" t="n">
        <v>0</v>
      </c>
      <c r="O194" s="116" t="n">
        <f aca="false">IF(M194=1,1,0)</f>
        <v>0</v>
      </c>
      <c r="P194" s="117" t="n">
        <f aca="false">IF(M194=2,1,0)</f>
        <v>1</v>
      </c>
      <c r="Q194" s="185"/>
      <c r="R194" s="185"/>
      <c r="S194" s="185"/>
      <c r="T194" s="182"/>
      <c r="U194" s="62"/>
    </row>
    <row r="195" customFormat="false" ht="20.1" hidden="false" customHeight="true" outlineLevel="0" collapsed="false">
      <c r="B195" s="62"/>
      <c r="C195" s="182"/>
      <c r="D195" s="182"/>
      <c r="E195" s="350" t="s">
        <v>384</v>
      </c>
      <c r="F195" s="294" t="s">
        <v>28</v>
      </c>
      <c r="G195" s="295" t="n">
        <v>1</v>
      </c>
      <c r="H195" s="295" t="s">
        <v>315</v>
      </c>
      <c r="I195" s="295" t="n">
        <v>0</v>
      </c>
      <c r="J195" s="295" t="n">
        <v>143</v>
      </c>
      <c r="K195" s="296" t="s">
        <v>67</v>
      </c>
      <c r="L195" s="297" t="n">
        <f aca="false">IF(J195="",0,(J195/J196)*100)</f>
        <v>100</v>
      </c>
      <c r="M195" s="295" t="n">
        <v>1</v>
      </c>
      <c r="N195" s="298" t="n">
        <v>6</v>
      </c>
      <c r="O195" s="128" t="n">
        <f aca="false">IF(M195=1,1,0)</f>
        <v>1</v>
      </c>
      <c r="P195" s="129" t="n">
        <f aca="false">IF(M195=2,1,0)</f>
        <v>0</v>
      </c>
      <c r="Q195" s="185"/>
      <c r="R195" s="185"/>
      <c r="S195" s="185"/>
      <c r="T195" s="182"/>
      <c r="U195" s="62"/>
    </row>
    <row r="196" customFormat="false" ht="20.1" hidden="true" customHeight="true" outlineLevel="1" collapsed="false">
      <c r="B196" s="62"/>
      <c r="C196" s="182"/>
      <c r="D196" s="182"/>
      <c r="E196" s="182"/>
      <c r="F196" s="187"/>
      <c r="G196" s="187"/>
      <c r="H196" s="182"/>
      <c r="I196" s="179" t="s">
        <v>89</v>
      </c>
      <c r="J196" s="133" t="n">
        <f aca="false">MAX(J194:J195)</f>
        <v>143</v>
      </c>
      <c r="K196" s="188"/>
      <c r="L196" s="185"/>
      <c r="M196" s="182"/>
      <c r="N196" s="136" t="s">
        <v>90</v>
      </c>
      <c r="O196" s="137" t="n">
        <f aca="false">SUM(O194:O195)</f>
        <v>1</v>
      </c>
      <c r="P196" s="160" t="n">
        <f aca="false">SUM(P194:P195)</f>
        <v>1</v>
      </c>
      <c r="Q196" s="189"/>
      <c r="R196" s="189"/>
      <c r="S196" s="189"/>
      <c r="T196" s="182"/>
      <c r="U196" s="62"/>
    </row>
    <row r="197" customFormat="false" ht="20.1" hidden="false" customHeight="true" outlineLevel="0" collapsed="false">
      <c r="B197" s="62"/>
      <c r="C197" s="182"/>
      <c r="D197" s="182"/>
      <c r="E197" s="182"/>
      <c r="F197" s="182"/>
      <c r="G197" s="182"/>
      <c r="H197" s="182"/>
      <c r="I197" s="182"/>
      <c r="J197" s="182"/>
      <c r="K197" s="182"/>
      <c r="L197" s="182"/>
      <c r="M197" s="182"/>
      <c r="N197" s="182"/>
      <c r="O197" s="182"/>
      <c r="P197" s="182"/>
      <c r="Q197" s="182"/>
      <c r="R197" s="182"/>
      <c r="S197" s="182"/>
      <c r="T197" s="182"/>
      <c r="U197" s="62"/>
    </row>
    <row r="198" customFormat="false" ht="20.1" hidden="false" customHeight="true" outlineLevel="0" collapsed="false">
      <c r="B198" s="62"/>
      <c r="D198" s="5"/>
      <c r="E198" s="5"/>
      <c r="F198" s="5"/>
      <c r="G198" s="5"/>
      <c r="H198" s="5"/>
      <c r="I198" s="5"/>
      <c r="J198" s="5"/>
      <c r="U198" s="62"/>
    </row>
    <row r="199" customFormat="false" ht="30" hidden="false" customHeight="true" outlineLevel="0" collapsed="false">
      <c r="B199" s="62"/>
      <c r="C199" s="190"/>
      <c r="D199" s="371"/>
      <c r="E199" s="191" t="s">
        <v>149</v>
      </c>
      <c r="F199" s="191"/>
      <c r="G199" s="191"/>
      <c r="H199" s="191"/>
      <c r="I199" s="191"/>
      <c r="J199" s="191"/>
      <c r="K199" s="191"/>
      <c r="L199" s="191"/>
      <c r="M199" s="191"/>
      <c r="N199" s="191"/>
      <c r="O199" s="371"/>
      <c r="P199" s="371"/>
      <c r="Q199" s="371"/>
      <c r="R199" s="371"/>
      <c r="S199" s="371"/>
      <c r="T199" s="190"/>
      <c r="U199" s="62"/>
    </row>
    <row r="200" customFormat="false" ht="50.1" hidden="false" customHeight="true" outlineLevel="0" collapsed="false">
      <c r="B200" s="62"/>
      <c r="C200" s="190"/>
      <c r="D200" s="190"/>
      <c r="E200" s="192" t="s">
        <v>53</v>
      </c>
      <c r="F200" s="193" t="s">
        <v>150</v>
      </c>
      <c r="G200" s="194" t="s">
        <v>84</v>
      </c>
      <c r="H200" s="195" t="s">
        <v>100</v>
      </c>
      <c r="I200" s="196" t="s">
        <v>101</v>
      </c>
      <c r="J200" s="196"/>
      <c r="K200" s="197" t="s">
        <v>102</v>
      </c>
      <c r="L200" s="198" t="s">
        <v>103</v>
      </c>
      <c r="M200" s="194" t="s">
        <v>104</v>
      </c>
      <c r="N200" s="193" t="s">
        <v>107</v>
      </c>
      <c r="O200" s="372"/>
      <c r="P200" s="373"/>
      <c r="Q200" s="373"/>
      <c r="R200" s="373"/>
      <c r="S200" s="372"/>
      <c r="T200" s="190"/>
      <c r="U200" s="62"/>
    </row>
    <row r="201" customFormat="false" ht="20.1" hidden="false" customHeight="true" outlineLevel="0" collapsed="false">
      <c r="B201" s="62"/>
      <c r="C201" s="190"/>
      <c r="D201" s="190"/>
      <c r="E201" s="425" t="s">
        <v>384</v>
      </c>
      <c r="F201" s="302" t="s">
        <v>28</v>
      </c>
      <c r="G201" s="258" t="n">
        <f aca="false">L201*6+M201*0</f>
        <v>12</v>
      </c>
      <c r="H201" s="259" t="n">
        <v>0</v>
      </c>
      <c r="I201" s="259" t="s">
        <v>67</v>
      </c>
      <c r="J201" s="259"/>
      <c r="K201" s="258" t="n">
        <f aca="false">G201+H201</f>
        <v>12</v>
      </c>
      <c r="L201" s="258" t="n">
        <v>2</v>
      </c>
      <c r="M201" s="258" t="n">
        <v>2</v>
      </c>
      <c r="N201" s="261" t="n">
        <f aca="false">(L174+L181+L188+L195)/4</f>
        <v>92.5732341129223</v>
      </c>
      <c r="O201" s="376"/>
      <c r="P201" s="377"/>
      <c r="Q201" s="377"/>
      <c r="R201" s="377"/>
      <c r="S201" s="408"/>
      <c r="T201" s="190"/>
      <c r="U201" s="62"/>
    </row>
    <row r="202" customFormat="false" ht="20.1" hidden="false" customHeight="true" outlineLevel="0" collapsed="false">
      <c r="B202" s="62"/>
      <c r="C202" s="190"/>
      <c r="D202" s="190"/>
      <c r="E202" s="427" t="s">
        <v>20</v>
      </c>
      <c r="F202" s="215" t="s">
        <v>21</v>
      </c>
      <c r="G202" s="271" t="n">
        <f aca="false">L202*6+M202*0</f>
        <v>12</v>
      </c>
      <c r="H202" s="272" t="n">
        <v>0</v>
      </c>
      <c r="I202" s="272" t="s">
        <v>67</v>
      </c>
      <c r="J202" s="272"/>
      <c r="K202" s="271" t="n">
        <f aca="false">G202+H202</f>
        <v>12</v>
      </c>
      <c r="L202" s="271" t="n">
        <v>2</v>
      </c>
      <c r="M202" s="271" t="n">
        <v>2</v>
      </c>
      <c r="N202" s="274" t="n">
        <f aca="false">(L173+L180+L187+L194)/4</f>
        <v>90.9119106699752</v>
      </c>
      <c r="O202" s="376"/>
      <c r="P202" s="377"/>
      <c r="Q202" s="377"/>
      <c r="R202" s="377"/>
      <c r="S202" s="408"/>
      <c r="T202" s="190"/>
      <c r="U202" s="62"/>
    </row>
    <row r="203" customFormat="false" ht="20.1" hidden="false" customHeight="true" outlineLevel="0" collapsed="false">
      <c r="B203" s="62"/>
      <c r="C203" s="190"/>
      <c r="D203" s="190"/>
      <c r="E203" s="190"/>
      <c r="F203" s="275"/>
      <c r="G203" s="275"/>
      <c r="H203" s="275"/>
      <c r="I203" s="275"/>
      <c r="J203" s="275"/>
      <c r="K203" s="275"/>
      <c r="L203" s="275"/>
      <c r="M203" s="275"/>
      <c r="N203" s="275"/>
      <c r="O203" s="275"/>
      <c r="P203" s="275"/>
      <c r="Q203" s="275"/>
      <c r="R203" s="275"/>
      <c r="S203" s="275"/>
      <c r="T203" s="190"/>
      <c r="U203" s="62"/>
    </row>
    <row r="204" customFormat="false" ht="20.1" hidden="false" customHeight="true" outlineLevel="0" collapsed="false">
      <c r="B204" s="62"/>
      <c r="C204" s="62"/>
      <c r="D204" s="219"/>
      <c r="E204" s="219"/>
      <c r="F204" s="167"/>
      <c r="G204" s="167"/>
      <c r="H204" s="219"/>
      <c r="I204" s="219"/>
      <c r="J204" s="219"/>
      <c r="K204" s="62"/>
      <c r="L204" s="62"/>
      <c r="M204" s="62"/>
      <c r="N204" s="62"/>
      <c r="O204" s="62"/>
      <c r="P204" s="62"/>
      <c r="Q204" s="62"/>
      <c r="R204" s="62"/>
      <c r="S204" s="62"/>
      <c r="T204" s="62"/>
      <c r="U204" s="62"/>
    </row>
  </sheetData>
  <mergeCells count="234">
    <mergeCell ref="A1:N2"/>
    <mergeCell ref="B4:I4"/>
    <mergeCell ref="K4:M4"/>
    <mergeCell ref="B5:C5"/>
    <mergeCell ref="B6:C6"/>
    <mergeCell ref="L6:L9"/>
    <mergeCell ref="B7:C7"/>
    <mergeCell ref="B8:C8"/>
    <mergeCell ref="B9:C9"/>
    <mergeCell ref="B10:C10"/>
    <mergeCell ref="L10:L13"/>
    <mergeCell ref="B11:C11"/>
    <mergeCell ref="B12:C12"/>
    <mergeCell ref="B13:C13"/>
    <mergeCell ref="B14:C14"/>
    <mergeCell ref="L14:L15"/>
    <mergeCell ref="B15:C15"/>
    <mergeCell ref="K16:L16"/>
    <mergeCell ref="B17:H17"/>
    <mergeCell ref="B18:C18"/>
    <mergeCell ref="B19:C19"/>
    <mergeCell ref="C22:T22"/>
    <mergeCell ref="D24:D25"/>
    <mergeCell ref="E24:E25"/>
    <mergeCell ref="F24:F25"/>
    <mergeCell ref="G24:J24"/>
    <mergeCell ref="L24:S24"/>
    <mergeCell ref="I25:J25"/>
    <mergeCell ref="N25:S25"/>
    <mergeCell ref="D26:D27"/>
    <mergeCell ref="E26:E27"/>
    <mergeCell ref="F26:F27"/>
    <mergeCell ref="G26:G27"/>
    <mergeCell ref="H26:H27"/>
    <mergeCell ref="I26:J26"/>
    <mergeCell ref="K26:K27"/>
    <mergeCell ref="L26:L27"/>
    <mergeCell ref="M26:M27"/>
    <mergeCell ref="N26:S26"/>
    <mergeCell ref="I27:J27"/>
    <mergeCell ref="N27:S27"/>
    <mergeCell ref="D28:D29"/>
    <mergeCell ref="E28:E29"/>
    <mergeCell ref="F28:F29"/>
    <mergeCell ref="G28:G29"/>
    <mergeCell ref="H28:H29"/>
    <mergeCell ref="I28:J28"/>
    <mergeCell ref="K28:K29"/>
    <mergeCell ref="L28:L29"/>
    <mergeCell ref="M28:M29"/>
    <mergeCell ref="N28:S29"/>
    <mergeCell ref="I29:J29"/>
    <mergeCell ref="D30:D33"/>
    <mergeCell ref="E30:E33"/>
    <mergeCell ref="F30:F33"/>
    <mergeCell ref="G30:G33"/>
    <mergeCell ref="H30:H33"/>
    <mergeCell ref="I30:J30"/>
    <mergeCell ref="K30:K33"/>
    <mergeCell ref="L30:L33"/>
    <mergeCell ref="M30:M33"/>
    <mergeCell ref="N30:S33"/>
    <mergeCell ref="I31:J31"/>
    <mergeCell ref="I32:J32"/>
    <mergeCell ref="I33:J33"/>
    <mergeCell ref="D34:D36"/>
    <mergeCell ref="E34:E36"/>
    <mergeCell ref="F34:F36"/>
    <mergeCell ref="G34:G36"/>
    <mergeCell ref="H34:H36"/>
    <mergeCell ref="I34:J34"/>
    <mergeCell ref="K34:K36"/>
    <mergeCell ref="L34:L36"/>
    <mergeCell ref="M34:M36"/>
    <mergeCell ref="N34:S36"/>
    <mergeCell ref="I35:J35"/>
    <mergeCell ref="I36:J36"/>
    <mergeCell ref="E38:N38"/>
    <mergeCell ref="F44:G44"/>
    <mergeCell ref="F45:G45"/>
    <mergeCell ref="E47:N47"/>
    <mergeCell ref="F53:G53"/>
    <mergeCell ref="E56:N56"/>
    <mergeCell ref="F62:G62"/>
    <mergeCell ref="E65:N65"/>
    <mergeCell ref="F71:G71"/>
    <mergeCell ref="D74:S74"/>
    <mergeCell ref="H75:I75"/>
    <mergeCell ref="H76:I76"/>
    <mergeCell ref="H77:I77"/>
    <mergeCell ref="H78:I78"/>
    <mergeCell ref="H79:I79"/>
    <mergeCell ref="H80:I80"/>
    <mergeCell ref="C85:T85"/>
    <mergeCell ref="D87:D88"/>
    <mergeCell ref="E87:E88"/>
    <mergeCell ref="F87:F88"/>
    <mergeCell ref="G87:J87"/>
    <mergeCell ref="L87:S87"/>
    <mergeCell ref="I88:J88"/>
    <mergeCell ref="N88:S88"/>
    <mergeCell ref="D89:D90"/>
    <mergeCell ref="E89:E90"/>
    <mergeCell ref="F89:F90"/>
    <mergeCell ref="G89:G90"/>
    <mergeCell ref="H89:H90"/>
    <mergeCell ref="I89:J89"/>
    <mergeCell ref="K89:K90"/>
    <mergeCell ref="L89:L90"/>
    <mergeCell ref="M89:M90"/>
    <mergeCell ref="N89:S90"/>
    <mergeCell ref="I90:J90"/>
    <mergeCell ref="D91:D93"/>
    <mergeCell ref="E91:E93"/>
    <mergeCell ref="F91:F93"/>
    <mergeCell ref="G91:G93"/>
    <mergeCell ref="H91:H93"/>
    <mergeCell ref="I91:J91"/>
    <mergeCell ref="K91:K93"/>
    <mergeCell ref="L91:L93"/>
    <mergeCell ref="M91:M93"/>
    <mergeCell ref="N91:S93"/>
    <mergeCell ref="I92:J92"/>
    <mergeCell ref="I93:J93"/>
    <mergeCell ref="D94:D97"/>
    <mergeCell ref="E94:E97"/>
    <mergeCell ref="F94:F97"/>
    <mergeCell ref="G94:G97"/>
    <mergeCell ref="H94:H97"/>
    <mergeCell ref="I94:J94"/>
    <mergeCell ref="K94:K97"/>
    <mergeCell ref="L94:L97"/>
    <mergeCell ref="M94:M97"/>
    <mergeCell ref="N94:S97"/>
    <mergeCell ref="I95:J95"/>
    <mergeCell ref="I96:J96"/>
    <mergeCell ref="I97:J97"/>
    <mergeCell ref="D98:D100"/>
    <mergeCell ref="E98:E100"/>
    <mergeCell ref="F98:F100"/>
    <mergeCell ref="G98:G100"/>
    <mergeCell ref="H98:H100"/>
    <mergeCell ref="I98:J98"/>
    <mergeCell ref="K98:K100"/>
    <mergeCell ref="L98:L100"/>
    <mergeCell ref="M98:M100"/>
    <mergeCell ref="N98:S100"/>
    <mergeCell ref="I99:J99"/>
    <mergeCell ref="I100:J100"/>
    <mergeCell ref="E102:N102"/>
    <mergeCell ref="F108:G108"/>
    <mergeCell ref="E111:N111"/>
    <mergeCell ref="F117:G117"/>
    <mergeCell ref="E120:N120"/>
    <mergeCell ref="F126:G126"/>
    <mergeCell ref="E129:N129"/>
    <mergeCell ref="F135:G135"/>
    <mergeCell ref="D138:S138"/>
    <mergeCell ref="H139:I139"/>
    <mergeCell ref="H140:I140"/>
    <mergeCell ref="H141:I141"/>
    <mergeCell ref="Y141:Z141"/>
    <mergeCell ref="H142:I142"/>
    <mergeCell ref="H143:I143"/>
    <mergeCell ref="H144:I144"/>
    <mergeCell ref="C149:T149"/>
    <mergeCell ref="D151:D152"/>
    <mergeCell ref="E151:E152"/>
    <mergeCell ref="F151:F152"/>
    <mergeCell ref="G151:J151"/>
    <mergeCell ref="L151:S151"/>
    <mergeCell ref="I152:J152"/>
    <mergeCell ref="N152:S152"/>
    <mergeCell ref="D153:D156"/>
    <mergeCell ref="E153:E156"/>
    <mergeCell ref="F153:F156"/>
    <mergeCell ref="G153:G156"/>
    <mergeCell ref="H153:H156"/>
    <mergeCell ref="I153:J153"/>
    <mergeCell ref="K153:K156"/>
    <mergeCell ref="L153:L156"/>
    <mergeCell ref="M153:M156"/>
    <mergeCell ref="N153:S156"/>
    <mergeCell ref="I154:J154"/>
    <mergeCell ref="I155:J155"/>
    <mergeCell ref="I156:J156"/>
    <mergeCell ref="D157:D160"/>
    <mergeCell ref="E157:E160"/>
    <mergeCell ref="F157:F160"/>
    <mergeCell ref="G157:G160"/>
    <mergeCell ref="H157:H160"/>
    <mergeCell ref="I157:J157"/>
    <mergeCell ref="K157:K160"/>
    <mergeCell ref="L157:L160"/>
    <mergeCell ref="M157:M160"/>
    <mergeCell ref="N157:S157"/>
    <mergeCell ref="I158:J158"/>
    <mergeCell ref="N158:S158"/>
    <mergeCell ref="I159:J159"/>
    <mergeCell ref="N159:S159"/>
    <mergeCell ref="I160:J160"/>
    <mergeCell ref="D161:D163"/>
    <mergeCell ref="E161:E163"/>
    <mergeCell ref="F161:F163"/>
    <mergeCell ref="G161:G163"/>
    <mergeCell ref="H161:H163"/>
    <mergeCell ref="I161:J161"/>
    <mergeCell ref="N161:S161"/>
    <mergeCell ref="I162:J162"/>
    <mergeCell ref="I163:J163"/>
    <mergeCell ref="D164:D169"/>
    <mergeCell ref="E164:E169"/>
    <mergeCell ref="F164:F169"/>
    <mergeCell ref="G164:G169"/>
    <mergeCell ref="H164:H169"/>
    <mergeCell ref="I164:J164"/>
    <mergeCell ref="N164:S164"/>
    <mergeCell ref="I165:J165"/>
    <mergeCell ref="I166:J166"/>
    <mergeCell ref="I167:J167"/>
    <mergeCell ref="I168:J168"/>
    <mergeCell ref="I169:J169"/>
    <mergeCell ref="E171:N171"/>
    <mergeCell ref="F175:G175"/>
    <mergeCell ref="E178:N178"/>
    <mergeCell ref="F182:G182"/>
    <mergeCell ref="E185:N185"/>
    <mergeCell ref="F189:G189"/>
    <mergeCell ref="E192:N192"/>
    <mergeCell ref="F196:G196"/>
    <mergeCell ref="E199:N199"/>
    <mergeCell ref="I200:J200"/>
    <mergeCell ref="I201:J201"/>
    <mergeCell ref="I202:J202"/>
  </mergeCells>
  <conditionalFormatting sqref="B6:C13 B14:B15">
    <cfRule type="expression" priority="2" aboveAverage="0" equalAverage="0" bottom="0" percent="0" rank="0" text="" dxfId="634">
      <formula>$I6="Nein"</formula>
    </cfRule>
    <cfRule type="expression" priority="3" aboveAverage="0" equalAverage="0" bottom="0" percent="0" rank="0" text="" dxfId="635">
      <formula>$I6="Ja"</formula>
    </cfRule>
  </conditionalFormatting>
  <conditionalFormatting sqref="D80:E80">
    <cfRule type="expression" priority="4" aboveAverage="0" equalAverage="0" bottom="0" percent="0" rank="0" text="" dxfId="636">
      <formula>$I80="Nein"</formula>
    </cfRule>
    <cfRule type="expression" priority="5" aboveAverage="0" equalAverage="0" bottom="0" percent="0" rank="0" text="" dxfId="637">
      <formula>$I80="Ja"</formula>
    </cfRule>
  </conditionalFormatting>
  <conditionalFormatting sqref="D8:I8">
    <cfRule type="expression" priority="6" aboveAverage="0" equalAverage="0" bottom="0" percent="0" rank="0" text="" dxfId="638">
      <formula>$I8="Nein"</formula>
    </cfRule>
    <cfRule type="expression" priority="7" aboveAverage="0" equalAverage="0" bottom="0" percent="0" rank="0" text="" dxfId="639">
      <formula>$I8="Ja"</formula>
    </cfRule>
  </conditionalFormatting>
  <conditionalFormatting sqref="I13:I15">
    <cfRule type="expression" priority="8" aboveAverage="0" equalAverage="0" bottom="0" percent="0" rank="0" text="" dxfId="640">
      <formula>$I13="Nein"</formula>
    </cfRule>
    <cfRule type="expression" priority="9" aboveAverage="0" equalAverage="0" bottom="0" percent="0" rank="0" text="" dxfId="641">
      <formula>$I13="Ja"</formula>
    </cfRule>
  </conditionalFormatting>
  <conditionalFormatting sqref="D8:I8">
    <cfRule type="expression" priority="10" aboveAverage="0" equalAverage="0" bottom="0" percent="0" rank="0" text="" dxfId="642">
      <formula>$I8="Nein"</formula>
    </cfRule>
    <cfRule type="expression" priority="11" aboveAverage="0" equalAverage="0" bottom="0" percent="0" rank="0" text="" dxfId="643">
      <formula>$I8="Ja"</formula>
    </cfRule>
  </conditionalFormatting>
  <conditionalFormatting sqref="D141:E141">
    <cfRule type="expression" priority="12" aboveAverage="0" equalAverage="0" bottom="0" percent="0" rank="0" text="" dxfId="644">
      <formula>$I141="Nein"</formula>
    </cfRule>
    <cfRule type="expression" priority="13" aboveAverage="0" equalAverage="0" bottom="0" percent="0" rank="0" text="" dxfId="645">
      <formula>$I141="Ja"</formula>
    </cfRule>
  </conditionalFormatting>
  <conditionalFormatting sqref="D11:I11">
    <cfRule type="expression" priority="14" aboveAverage="0" equalAverage="0" bottom="0" percent="0" rank="0" text="" dxfId="646">
      <formula>$I11="Nein"</formula>
    </cfRule>
    <cfRule type="expression" priority="15" aboveAverage="0" equalAverage="0" bottom="0" percent="0" rank="0" text="" dxfId="647">
      <formula>$I11="Ja"</formula>
    </cfRule>
  </conditionalFormatting>
  <conditionalFormatting sqref="D76:E76">
    <cfRule type="expression" priority="16" aboveAverage="0" equalAverage="0" bottom="0" percent="0" rank="0" text="" dxfId="648">
      <formula>$I76="Nein"</formula>
    </cfRule>
    <cfRule type="expression" priority="17" aboveAverage="0" equalAverage="0" bottom="0" percent="0" rank="0" text="" dxfId="649">
      <formula>$I76="Ja"</formula>
    </cfRule>
  </conditionalFormatting>
  <conditionalFormatting sqref="D77:E77">
    <cfRule type="expression" priority="18" aboveAverage="0" equalAverage="0" bottom="0" percent="0" rank="0" text="" dxfId="650">
      <formula>$I77="Nein"</formula>
    </cfRule>
    <cfRule type="expression" priority="19" aboveAverage="0" equalAverage="0" bottom="0" percent="0" rank="0" text="" dxfId="651">
      <formula>$I77="Ja"</formula>
    </cfRule>
  </conditionalFormatting>
  <conditionalFormatting sqref="D78:E78">
    <cfRule type="expression" priority="20" aboveAverage="0" equalAverage="0" bottom="0" percent="0" rank="0" text="" dxfId="652">
      <formula>$I78="Nein"</formula>
    </cfRule>
    <cfRule type="expression" priority="21" aboveAverage="0" equalAverage="0" bottom="0" percent="0" rank="0" text="" dxfId="653">
      <formula>$I78="Ja"</formula>
    </cfRule>
  </conditionalFormatting>
  <conditionalFormatting sqref="D78:E78">
    <cfRule type="expression" priority="22" aboveAverage="0" equalAverage="0" bottom="0" percent="0" rank="0" text="" dxfId="654">
      <formula>$I78="Nein"</formula>
    </cfRule>
    <cfRule type="expression" priority="23" aboveAverage="0" equalAverage="0" bottom="0" percent="0" rank="0" text="" dxfId="655">
      <formula>$I78="Ja"</formula>
    </cfRule>
  </conditionalFormatting>
  <conditionalFormatting sqref="D79:E79">
    <cfRule type="expression" priority="24" aboveAverage="0" equalAverage="0" bottom="0" percent="0" rank="0" text="" dxfId="656">
      <formula>$I79="Nein"</formula>
    </cfRule>
    <cfRule type="expression" priority="25" aboveAverage="0" equalAverage="0" bottom="0" percent="0" rank="0" text="" dxfId="657">
      <formula>$I79="Ja"</formula>
    </cfRule>
  </conditionalFormatting>
  <conditionalFormatting sqref="D79:E79">
    <cfRule type="expression" priority="26" aboveAverage="0" equalAverage="0" bottom="0" percent="0" rank="0" text="" dxfId="658">
      <formula>$I79="Nein"</formula>
    </cfRule>
    <cfRule type="expression" priority="27" aboveAverage="0" equalAverage="0" bottom="0" percent="0" rank="0" text="" dxfId="659">
      <formula>$I79="Ja"</formula>
    </cfRule>
  </conditionalFormatting>
  <conditionalFormatting sqref="D140:E140">
    <cfRule type="expression" priority="28" aboveAverage="0" equalAverage="0" bottom="0" percent="0" rank="0" text="" dxfId="660">
      <formula>$I140="Nein"</formula>
    </cfRule>
    <cfRule type="expression" priority="29" aboveAverage="0" equalAverage="0" bottom="0" percent="0" rank="0" text="" dxfId="661">
      <formula>$I140="Ja"</formula>
    </cfRule>
  </conditionalFormatting>
  <conditionalFormatting sqref="D153:E153 D157:E157">
    <cfRule type="expression" priority="30" aboveAverage="0" equalAverage="0" bottom="0" percent="0" rank="0" text="" dxfId="662">
      <formula>$J153="Ja"</formula>
    </cfRule>
    <cfRule type="expression" priority="31" aboveAverage="0" equalAverage="0" bottom="0" percent="0" rank="0" text="" dxfId="663">
      <formula>$J153="Nein"</formula>
    </cfRule>
  </conditionalFormatting>
  <conditionalFormatting sqref="E201:F201">
    <cfRule type="expression" priority="32" aboveAverage="0" equalAverage="0" bottom="0" percent="0" rank="0" text="" dxfId="664">
      <formula>$I201="Nein"</formula>
    </cfRule>
    <cfRule type="expression" priority="33" aboveAverage="0" equalAverage="0" bottom="0" percent="0" rank="0" text="" dxfId="665">
      <formula>$I201="Ja"</formula>
    </cfRule>
  </conditionalFormatting>
  <conditionalFormatting sqref="E202:F202">
    <cfRule type="expression" priority="34" aboveAverage="0" equalAverage="0" bottom="0" percent="0" rank="0" text="" dxfId="666">
      <formula>$I202="Nein"</formula>
    </cfRule>
    <cfRule type="expression" priority="35" aboveAverage="0" equalAverage="0" bottom="0" percent="0" rank="0" text="" dxfId="667">
      <formula>$I202="Ja"</formula>
    </cfRule>
  </conditionalFormatting>
  <conditionalFormatting sqref="D16:I16">
    <cfRule type="expression" priority="36" aboveAverage="0" equalAverage="0" bottom="0" percent="0" rank="0" text="" dxfId="668">
      <formula>$I16="Nein"</formula>
    </cfRule>
    <cfRule type="expression" priority="37" aboveAverage="0" equalAverage="0" bottom="0" percent="0" rank="0" text="" dxfId="669">
      <formula>$I16="Ja"</formula>
    </cfRule>
  </conditionalFormatting>
  <conditionalFormatting sqref="D16:I16">
    <cfRule type="expression" priority="38" aboveAverage="0" equalAverage="0" bottom="0" percent="0" rank="0" text="" dxfId="670">
      <formula>$I16="Nein"</formula>
    </cfRule>
    <cfRule type="expression" priority="39" aboveAverage="0" equalAverage="0" bottom="0" percent="0" rank="0" text="" dxfId="671">
      <formula>$I16="Ja"</formula>
    </cfRule>
  </conditionalFormatting>
  <conditionalFormatting sqref="D6:I6">
    <cfRule type="expression" priority="40" aboveAverage="0" equalAverage="0" bottom="0" percent="0" rank="0" text="" dxfId="672">
      <formula>$I6="Nein"</formula>
    </cfRule>
    <cfRule type="expression" priority="41" aboveAverage="0" equalAverage="0" bottom="0" percent="0" rank="0" text="" dxfId="673">
      <formula>$I6="Ja"</formula>
    </cfRule>
  </conditionalFormatting>
  <conditionalFormatting sqref="I7">
    <cfRule type="expression" priority="42" aboveAverage="0" equalAverage="0" bottom="0" percent="0" rank="0" text="" dxfId="674">
      <formula>$I7="Nein"</formula>
    </cfRule>
    <cfRule type="expression" priority="43" aboveAverage="0" equalAverage="0" bottom="0" percent="0" rank="0" text="" dxfId="675">
      <formula>$I7="Ja"</formula>
    </cfRule>
  </conditionalFormatting>
  <conditionalFormatting sqref="D7:H7">
    <cfRule type="expression" priority="44" aboveAverage="0" equalAverage="0" bottom="0" percent="0" rank="0" text="" dxfId="676">
      <formula>$I7="Nein"</formula>
    </cfRule>
    <cfRule type="expression" priority="45" aboveAverage="0" equalAverage="0" bottom="0" percent="0" rank="0" text="" dxfId="677">
      <formula>$I7="Ja"</formula>
    </cfRule>
  </conditionalFormatting>
  <conditionalFormatting sqref="D9:I9">
    <cfRule type="expression" priority="46" aboveAverage="0" equalAverage="0" bottom="0" percent="0" rank="0" text="" dxfId="678">
      <formula>$I9="Nein"</formula>
    </cfRule>
    <cfRule type="expression" priority="47" aboveAverage="0" equalAverage="0" bottom="0" percent="0" rank="0" text="" dxfId="679">
      <formula>$I9="Ja"</formula>
    </cfRule>
  </conditionalFormatting>
  <conditionalFormatting sqref="D12:I12">
    <cfRule type="expression" priority="48" aboveAverage="0" equalAverage="0" bottom="0" percent="0" rank="0" text="" dxfId="680">
      <formula>$I12="Nein"</formula>
    </cfRule>
    <cfRule type="expression" priority="49" aboveAverage="0" equalAverage="0" bottom="0" percent="0" rank="0" text="" dxfId="681">
      <formula>$I12="Ja"</formula>
    </cfRule>
  </conditionalFormatting>
  <conditionalFormatting sqref="D10:I10">
    <cfRule type="expression" priority="50" aboveAverage="0" equalAverage="0" bottom="0" percent="0" rank="0" text="" dxfId="682">
      <formula>$I10="Nein"</formula>
    </cfRule>
    <cfRule type="expression" priority="51" aboveAverage="0" equalAverage="0" bottom="0" percent="0" rank="0" text="" dxfId="683">
      <formula>$I10="Ja"</formula>
    </cfRule>
  </conditionalFormatting>
  <conditionalFormatting sqref="D10:I10">
    <cfRule type="expression" priority="52" aboveAverage="0" equalAverage="0" bottom="0" percent="0" rank="0" text="" dxfId="684">
      <formula>$I10="Nein"</formula>
    </cfRule>
    <cfRule type="expression" priority="53" aboveAverage="0" equalAverage="0" bottom="0" percent="0" rank="0" text="" dxfId="685">
      <formula>$I10="Ja"</formula>
    </cfRule>
  </conditionalFormatting>
  <conditionalFormatting sqref="D13:H13">
    <cfRule type="expression" priority="54" aboveAverage="0" equalAverage="0" bottom="0" percent="0" rank="0" text="" dxfId="686">
      <formula>$I13="Nein"</formula>
    </cfRule>
    <cfRule type="expression" priority="55" aboveAverage="0" equalAverage="0" bottom="0" percent="0" rank="0" text="" dxfId="687">
      <formula>$I13="Ja"</formula>
    </cfRule>
  </conditionalFormatting>
  <conditionalFormatting sqref="D14:H14">
    <cfRule type="expression" priority="56" aboveAverage="0" equalAverage="0" bottom="0" percent="0" rank="0" text="" dxfId="688">
      <formula>$I14="Nein"</formula>
    </cfRule>
    <cfRule type="expression" priority="57" aboveAverage="0" equalAverage="0" bottom="0" percent="0" rank="0" text="" dxfId="689">
      <formula>$I14="Ja"</formula>
    </cfRule>
  </conditionalFormatting>
  <conditionalFormatting sqref="D15:H15">
    <cfRule type="expression" priority="58" aboveAverage="0" equalAverage="0" bottom="0" percent="0" rank="0" text="" dxfId="690">
      <formula>$I15="Nein"</formula>
    </cfRule>
    <cfRule type="expression" priority="59" aboveAverage="0" equalAverage="0" bottom="0" percent="0" rank="0" text="" dxfId="691">
      <formula>$I15="Ja"</formula>
    </cfRule>
  </conditionalFormatting>
  <conditionalFormatting sqref="E42:F42">
    <cfRule type="expression" priority="60" aboveAverage="0" equalAverage="0" bottom="0" percent="0" rank="0" text="" dxfId="692">
      <formula>$I42="Nein"</formula>
    </cfRule>
    <cfRule type="expression" priority="61" aboveAverage="0" equalAverage="0" bottom="0" percent="0" rank="0" text="" dxfId="693">
      <formula>$I42="Ja"</formula>
    </cfRule>
  </conditionalFormatting>
  <conditionalFormatting sqref="E42:F42">
    <cfRule type="expression" priority="62" aboveAverage="0" equalAverage="0" bottom="0" percent="0" rank="0" text="" dxfId="694">
      <formula>$I42="Nein"</formula>
    </cfRule>
    <cfRule type="expression" priority="63" aboveAverage="0" equalAverage="0" bottom="0" percent="0" rank="0" text="" dxfId="695">
      <formula>$I42="Ja"</formula>
    </cfRule>
  </conditionalFormatting>
  <conditionalFormatting sqref="E40:F40">
    <cfRule type="expression" priority="64" aboveAverage="0" equalAverage="0" bottom="0" percent="0" rank="0" text="" dxfId="696">
      <formula>$I40="Nein"</formula>
    </cfRule>
    <cfRule type="expression" priority="65" aboveAverage="0" equalAverage="0" bottom="0" percent="0" rank="0" text="" dxfId="697">
      <formula>$I40="Ja"</formula>
    </cfRule>
  </conditionalFormatting>
  <conditionalFormatting sqref="E41:F41">
    <cfRule type="expression" priority="66" aboveAverage="0" equalAverage="0" bottom="0" percent="0" rank="0" text="" dxfId="698">
      <formula>$I41="Nein"</formula>
    </cfRule>
    <cfRule type="expression" priority="67" aboveAverage="0" equalAverage="0" bottom="0" percent="0" rank="0" text="" dxfId="699">
      <formula>$I41="Ja"</formula>
    </cfRule>
  </conditionalFormatting>
  <conditionalFormatting sqref="E43:F43">
    <cfRule type="expression" priority="68" aboveAverage="0" equalAverage="0" bottom="0" percent="0" rank="0" text="" dxfId="700">
      <formula>$I43="Nein"</formula>
    </cfRule>
    <cfRule type="expression" priority="69" aboveAverage="0" equalAverage="0" bottom="0" percent="0" rank="0" text="" dxfId="701">
      <formula>$I43="Ja"</formula>
    </cfRule>
  </conditionalFormatting>
  <conditionalFormatting sqref="E51:F51">
    <cfRule type="expression" priority="70" aboveAverage="0" equalAverage="0" bottom="0" percent="0" rank="0" text="" dxfId="702">
      <formula>$I51="Nein"</formula>
    </cfRule>
    <cfRule type="expression" priority="71" aboveAverage="0" equalAverage="0" bottom="0" percent="0" rank="0" text="" dxfId="703">
      <formula>$I51="Ja"</formula>
    </cfRule>
  </conditionalFormatting>
  <conditionalFormatting sqref="E51:F51">
    <cfRule type="expression" priority="72" aboveAverage="0" equalAverage="0" bottom="0" percent="0" rank="0" text="" dxfId="704">
      <formula>$I51="Nein"</formula>
    </cfRule>
    <cfRule type="expression" priority="73" aboveAverage="0" equalAverage="0" bottom="0" percent="0" rank="0" text="" dxfId="705">
      <formula>$I51="Ja"</formula>
    </cfRule>
  </conditionalFormatting>
  <conditionalFormatting sqref="E49:F49">
    <cfRule type="expression" priority="74" aboveAverage="0" equalAverage="0" bottom="0" percent="0" rank="0" text="" dxfId="706">
      <formula>$I49="Nein"</formula>
    </cfRule>
    <cfRule type="expression" priority="75" aboveAverage="0" equalAverage="0" bottom="0" percent="0" rank="0" text="" dxfId="707">
      <formula>$I49="Ja"</formula>
    </cfRule>
  </conditionalFormatting>
  <conditionalFormatting sqref="E50:F50">
    <cfRule type="expression" priority="76" aboveAverage="0" equalAverage="0" bottom="0" percent="0" rank="0" text="" dxfId="708">
      <formula>$I50="Nein"</formula>
    </cfRule>
    <cfRule type="expression" priority="77" aboveAverage="0" equalAverage="0" bottom="0" percent="0" rank="0" text="" dxfId="709">
      <formula>$I50="Ja"</formula>
    </cfRule>
  </conditionalFormatting>
  <conditionalFormatting sqref="E52:F52">
    <cfRule type="expression" priority="78" aboveAverage="0" equalAverage="0" bottom="0" percent="0" rank="0" text="" dxfId="710">
      <formula>$I52="Nein"</formula>
    </cfRule>
    <cfRule type="expression" priority="79" aboveAverage="0" equalAverage="0" bottom="0" percent="0" rank="0" text="" dxfId="711">
      <formula>$I52="Ja"</formula>
    </cfRule>
  </conditionalFormatting>
  <conditionalFormatting sqref="E60:F60">
    <cfRule type="expression" priority="80" aboveAverage="0" equalAverage="0" bottom="0" percent="0" rank="0" text="" dxfId="712">
      <formula>$I60="Nein"</formula>
    </cfRule>
    <cfRule type="expression" priority="81" aboveAverage="0" equalAverage="0" bottom="0" percent="0" rank="0" text="" dxfId="713">
      <formula>$I60="Ja"</formula>
    </cfRule>
  </conditionalFormatting>
  <conditionalFormatting sqref="E60:F60">
    <cfRule type="expression" priority="82" aboveAverage="0" equalAverage="0" bottom="0" percent="0" rank="0" text="" dxfId="714">
      <formula>$I60="Nein"</formula>
    </cfRule>
    <cfRule type="expression" priority="83" aboveAverage="0" equalAverage="0" bottom="0" percent="0" rank="0" text="" dxfId="715">
      <formula>$I60="Ja"</formula>
    </cfRule>
  </conditionalFormatting>
  <conditionalFormatting sqref="E58:F58">
    <cfRule type="expression" priority="84" aboveAverage="0" equalAverage="0" bottom="0" percent="0" rank="0" text="" dxfId="716">
      <formula>$I58="Nein"</formula>
    </cfRule>
    <cfRule type="expression" priority="85" aboveAverage="0" equalAverage="0" bottom="0" percent="0" rank="0" text="" dxfId="717">
      <formula>$I58="Ja"</formula>
    </cfRule>
  </conditionalFormatting>
  <conditionalFormatting sqref="E59:F59">
    <cfRule type="expression" priority="86" aboveAverage="0" equalAverage="0" bottom="0" percent="0" rank="0" text="" dxfId="718">
      <formula>$I59="Nein"</formula>
    </cfRule>
    <cfRule type="expression" priority="87" aboveAverage="0" equalAverage="0" bottom="0" percent="0" rank="0" text="" dxfId="719">
      <formula>$I59="Ja"</formula>
    </cfRule>
  </conditionalFormatting>
  <conditionalFormatting sqref="E61:F61">
    <cfRule type="expression" priority="88" aboveAverage="0" equalAverage="0" bottom="0" percent="0" rank="0" text="" dxfId="720">
      <formula>$I61="Nein"</formula>
    </cfRule>
    <cfRule type="expression" priority="89" aboveAverage="0" equalAverage="0" bottom="0" percent="0" rank="0" text="" dxfId="721">
      <formula>$I61="Ja"</formula>
    </cfRule>
  </conditionalFormatting>
  <conditionalFormatting sqref="E69:F69">
    <cfRule type="expression" priority="90" aboveAverage="0" equalAverage="0" bottom="0" percent="0" rank="0" text="" dxfId="722">
      <formula>$I69="Nein"</formula>
    </cfRule>
    <cfRule type="expression" priority="91" aboveAverage="0" equalAverage="0" bottom="0" percent="0" rank="0" text="" dxfId="723">
      <formula>$I69="Ja"</formula>
    </cfRule>
  </conditionalFormatting>
  <conditionalFormatting sqref="E69:F69">
    <cfRule type="expression" priority="92" aboveAverage="0" equalAverage="0" bottom="0" percent="0" rank="0" text="" dxfId="724">
      <formula>$I69="Nein"</formula>
    </cfRule>
    <cfRule type="expression" priority="93" aboveAverage="0" equalAverage="0" bottom="0" percent="0" rank="0" text="" dxfId="725">
      <formula>$I69="Ja"</formula>
    </cfRule>
  </conditionalFormatting>
  <conditionalFormatting sqref="E67:F67">
    <cfRule type="expression" priority="94" aboveAverage="0" equalAverage="0" bottom="0" percent="0" rank="0" text="" dxfId="726">
      <formula>$I67="Nein"</formula>
    </cfRule>
    <cfRule type="expression" priority="95" aboveAverage="0" equalAverage="0" bottom="0" percent="0" rank="0" text="" dxfId="727">
      <formula>$I67="Ja"</formula>
    </cfRule>
  </conditionalFormatting>
  <conditionalFormatting sqref="E68:F68">
    <cfRule type="expression" priority="96" aboveAverage="0" equalAverage="0" bottom="0" percent="0" rank="0" text="" dxfId="728">
      <formula>$I68="Nein"</formula>
    </cfRule>
    <cfRule type="expression" priority="97" aboveAverage="0" equalAverage="0" bottom="0" percent="0" rank="0" text="" dxfId="729">
      <formula>$I68="Ja"</formula>
    </cfRule>
  </conditionalFormatting>
  <conditionalFormatting sqref="E70:F70">
    <cfRule type="expression" priority="98" aboveAverage="0" equalAverage="0" bottom="0" percent="0" rank="0" text="" dxfId="730">
      <formula>$I70="Nein"</formula>
    </cfRule>
    <cfRule type="expression" priority="99" aboveAverage="0" equalAverage="0" bottom="0" percent="0" rank="0" text="" dxfId="731">
      <formula>$I70="Ja"</formula>
    </cfRule>
  </conditionalFormatting>
  <conditionalFormatting sqref="E173:F173">
    <cfRule type="expression" priority="100" aboveAverage="0" equalAverage="0" bottom="0" percent="0" rank="0" text="" dxfId="732">
      <formula>$I173="Nein"</formula>
    </cfRule>
    <cfRule type="expression" priority="101" aboveAverage="0" equalAverage="0" bottom="0" percent="0" rank="0" text="" dxfId="733">
      <formula>$I173="Ja"</formula>
    </cfRule>
  </conditionalFormatting>
  <conditionalFormatting sqref="E174:F174">
    <cfRule type="expression" priority="102" aboveAverage="0" equalAverage="0" bottom="0" percent="0" rank="0" text="" dxfId="734">
      <formula>$I174="Nein"</formula>
    </cfRule>
    <cfRule type="expression" priority="103" aboveAverage="0" equalAverage="0" bottom="0" percent="0" rank="0" text="" dxfId="735">
      <formula>$I174="Ja"</formula>
    </cfRule>
  </conditionalFormatting>
  <conditionalFormatting sqref="E180:F180">
    <cfRule type="expression" priority="104" aboveAverage="0" equalAverage="0" bottom="0" percent="0" rank="0" text="" dxfId="736">
      <formula>$I180="Nein"</formula>
    </cfRule>
    <cfRule type="expression" priority="105" aboveAverage="0" equalAverage="0" bottom="0" percent="0" rank="0" text="" dxfId="737">
      <formula>$I180="Ja"</formula>
    </cfRule>
  </conditionalFormatting>
  <conditionalFormatting sqref="E181:F181">
    <cfRule type="expression" priority="106" aboveAverage="0" equalAverage="0" bottom="0" percent="0" rank="0" text="" dxfId="738">
      <formula>$I181="Nein"</formula>
    </cfRule>
    <cfRule type="expression" priority="107" aboveAverage="0" equalAverage="0" bottom="0" percent="0" rank="0" text="" dxfId="739">
      <formula>$I181="Ja"</formula>
    </cfRule>
  </conditionalFormatting>
  <conditionalFormatting sqref="E187:F187">
    <cfRule type="expression" priority="108" aboveAverage="0" equalAverage="0" bottom="0" percent="0" rank="0" text="" dxfId="740">
      <formula>$I187="Nein"</formula>
    </cfRule>
    <cfRule type="expression" priority="109" aboveAverage="0" equalAverage="0" bottom="0" percent="0" rank="0" text="" dxfId="741">
      <formula>$I187="Ja"</formula>
    </cfRule>
  </conditionalFormatting>
  <conditionalFormatting sqref="E188:F188">
    <cfRule type="expression" priority="110" aboveAverage="0" equalAverage="0" bottom="0" percent="0" rank="0" text="" dxfId="742">
      <formula>$I188="Nein"</formula>
    </cfRule>
    <cfRule type="expression" priority="111" aboveAverage="0" equalAverage="0" bottom="0" percent="0" rank="0" text="" dxfId="743">
      <formula>$I188="Ja"</formula>
    </cfRule>
  </conditionalFormatting>
  <conditionalFormatting sqref="E194:F194">
    <cfRule type="expression" priority="112" aboveAverage="0" equalAverage="0" bottom="0" percent="0" rank="0" text="" dxfId="744">
      <formula>$I194="Nein"</formula>
    </cfRule>
    <cfRule type="expression" priority="113" aboveAverage="0" equalAverage="0" bottom="0" percent="0" rank="0" text="" dxfId="745">
      <formula>$I194="Ja"</formula>
    </cfRule>
  </conditionalFormatting>
  <conditionalFormatting sqref="E195:F195">
    <cfRule type="expression" priority="114" aboveAverage="0" equalAverage="0" bottom="0" percent="0" rank="0" text="" dxfId="746">
      <formula>$I195="Nein"</formula>
    </cfRule>
    <cfRule type="expression" priority="115" aboveAverage="0" equalAverage="0" bottom="0" percent="0" rank="0" text="" dxfId="747">
      <formula>$I195="Ja"</formula>
    </cfRule>
  </conditionalFormatting>
  <conditionalFormatting sqref="E105:F105">
    <cfRule type="expression" priority="116" aboveAverage="0" equalAverage="0" bottom="0" percent="0" rank="0" text="" dxfId="748">
      <formula>$I105="Nein"</formula>
    </cfRule>
    <cfRule type="expression" priority="117" aboveAverage="0" equalAverage="0" bottom="0" percent="0" rank="0" text="" dxfId="749">
      <formula>$I105="Ja"</formula>
    </cfRule>
  </conditionalFormatting>
  <conditionalFormatting sqref="E106:F106">
    <cfRule type="expression" priority="118" aboveAverage="0" equalAverage="0" bottom="0" percent="0" rank="0" text="" dxfId="750">
      <formula>$I106="Nein"</formula>
    </cfRule>
    <cfRule type="expression" priority="119" aboveAverage="0" equalAverage="0" bottom="0" percent="0" rank="0" text="" dxfId="751">
      <formula>$I106="Ja"</formula>
    </cfRule>
  </conditionalFormatting>
  <conditionalFormatting sqref="E104:F104">
    <cfRule type="expression" priority="120" aboveAverage="0" equalAverage="0" bottom="0" percent="0" rank="0" text="" dxfId="752">
      <formula>$I104="Nein"</formula>
    </cfRule>
    <cfRule type="expression" priority="121" aboveAverage="0" equalAverage="0" bottom="0" percent="0" rank="0" text="" dxfId="753">
      <formula>$I104="Ja"</formula>
    </cfRule>
  </conditionalFormatting>
  <conditionalFormatting sqref="E104:F104">
    <cfRule type="expression" priority="122" aboveAverage="0" equalAverage="0" bottom="0" percent="0" rank="0" text="" dxfId="754">
      <formula>$I104="Nein"</formula>
    </cfRule>
    <cfRule type="expression" priority="123" aboveAverage="0" equalAverage="0" bottom="0" percent="0" rank="0" text="" dxfId="755">
      <formula>$I104="Ja"</formula>
    </cfRule>
  </conditionalFormatting>
  <conditionalFormatting sqref="E107:F107">
    <cfRule type="expression" priority="124" aboveAverage="0" equalAverage="0" bottom="0" percent="0" rank="0" text="" dxfId="756">
      <formula>$I107="Nein"</formula>
    </cfRule>
    <cfRule type="expression" priority="125" aboveAverage="0" equalAverage="0" bottom="0" percent="0" rank="0" text="" dxfId="757">
      <formula>$I107="Ja"</formula>
    </cfRule>
  </conditionalFormatting>
  <conditionalFormatting sqref="E114:F114">
    <cfRule type="expression" priority="126" aboveAverage="0" equalAverage="0" bottom="0" percent="0" rank="0" text="" dxfId="758">
      <formula>$I114="Nein"</formula>
    </cfRule>
    <cfRule type="expression" priority="127" aboveAverage="0" equalAverage="0" bottom="0" percent="0" rank="0" text="" dxfId="759">
      <formula>$I114="Ja"</formula>
    </cfRule>
  </conditionalFormatting>
  <conditionalFormatting sqref="E115:F115">
    <cfRule type="expression" priority="128" aboveAverage="0" equalAverage="0" bottom="0" percent="0" rank="0" text="" dxfId="760">
      <formula>$I115="Nein"</formula>
    </cfRule>
    <cfRule type="expression" priority="129" aboveAverage="0" equalAverage="0" bottom="0" percent="0" rank="0" text="" dxfId="761">
      <formula>$I115="Ja"</formula>
    </cfRule>
  </conditionalFormatting>
  <conditionalFormatting sqref="E113:F113">
    <cfRule type="expression" priority="130" aboveAverage="0" equalAverage="0" bottom="0" percent="0" rank="0" text="" dxfId="762">
      <formula>$I113="Nein"</formula>
    </cfRule>
    <cfRule type="expression" priority="131" aboveAverage="0" equalAverage="0" bottom="0" percent="0" rank="0" text="" dxfId="763">
      <formula>$I113="Ja"</formula>
    </cfRule>
  </conditionalFormatting>
  <conditionalFormatting sqref="E113:F113">
    <cfRule type="expression" priority="132" aboveAverage="0" equalAverage="0" bottom="0" percent="0" rank="0" text="" dxfId="764">
      <formula>$I113="Nein"</formula>
    </cfRule>
    <cfRule type="expression" priority="133" aboveAverage="0" equalAverage="0" bottom="0" percent="0" rank="0" text="" dxfId="765">
      <formula>$I113="Ja"</formula>
    </cfRule>
  </conditionalFormatting>
  <conditionalFormatting sqref="E116:F116">
    <cfRule type="expression" priority="134" aboveAverage="0" equalAverage="0" bottom="0" percent="0" rank="0" text="" dxfId="766">
      <formula>$I116="Nein"</formula>
    </cfRule>
    <cfRule type="expression" priority="135" aboveAverage="0" equalAverage="0" bottom="0" percent="0" rank="0" text="" dxfId="767">
      <formula>$I116="Ja"</formula>
    </cfRule>
  </conditionalFormatting>
  <conditionalFormatting sqref="E123:F123">
    <cfRule type="expression" priority="136" aboveAverage="0" equalAverage="0" bottom="0" percent="0" rank="0" text="" dxfId="768">
      <formula>$I123="Nein"</formula>
    </cfRule>
    <cfRule type="expression" priority="137" aboveAverage="0" equalAverage="0" bottom="0" percent="0" rank="0" text="" dxfId="769">
      <formula>$I123="Ja"</formula>
    </cfRule>
  </conditionalFormatting>
  <conditionalFormatting sqref="E124:F124">
    <cfRule type="expression" priority="138" aboveAverage="0" equalAverage="0" bottom="0" percent="0" rank="0" text="" dxfId="770">
      <formula>$I124="Nein"</formula>
    </cfRule>
    <cfRule type="expression" priority="139" aboveAverage="0" equalAverage="0" bottom="0" percent="0" rank="0" text="" dxfId="771">
      <formula>$I124="Ja"</formula>
    </cfRule>
  </conditionalFormatting>
  <conditionalFormatting sqref="E122:F122">
    <cfRule type="expression" priority="140" aboveAverage="0" equalAverage="0" bottom="0" percent="0" rank="0" text="" dxfId="772">
      <formula>$I122="Nein"</formula>
    </cfRule>
    <cfRule type="expression" priority="141" aboveAverage="0" equalAverage="0" bottom="0" percent="0" rank="0" text="" dxfId="773">
      <formula>$I122="Ja"</formula>
    </cfRule>
  </conditionalFormatting>
  <conditionalFormatting sqref="E122:F122">
    <cfRule type="expression" priority="142" aboveAverage="0" equalAverage="0" bottom="0" percent="0" rank="0" text="" dxfId="774">
      <formula>$I122="Nein"</formula>
    </cfRule>
    <cfRule type="expression" priority="143" aboveAverage="0" equalAverage="0" bottom="0" percent="0" rank="0" text="" dxfId="775">
      <formula>$I122="Ja"</formula>
    </cfRule>
  </conditionalFormatting>
  <conditionalFormatting sqref="E125:F125">
    <cfRule type="expression" priority="144" aboveAverage="0" equalAverage="0" bottom="0" percent="0" rank="0" text="" dxfId="776">
      <formula>$I125="Nein"</formula>
    </cfRule>
    <cfRule type="expression" priority="145" aboveAverage="0" equalAverage="0" bottom="0" percent="0" rank="0" text="" dxfId="777">
      <formula>$I125="Ja"</formula>
    </cfRule>
  </conditionalFormatting>
  <conditionalFormatting sqref="E132:F132">
    <cfRule type="expression" priority="146" aboveAverage="0" equalAverage="0" bottom="0" percent="0" rank="0" text="" dxfId="778">
      <formula>$I132="Nein"</formula>
    </cfRule>
    <cfRule type="expression" priority="147" aboveAverage="0" equalAverage="0" bottom="0" percent="0" rank="0" text="" dxfId="779">
      <formula>$I132="Ja"</formula>
    </cfRule>
  </conditionalFormatting>
  <conditionalFormatting sqref="E133:F133">
    <cfRule type="expression" priority="148" aboveAverage="0" equalAverage="0" bottom="0" percent="0" rank="0" text="" dxfId="780">
      <formula>$I133="Nein"</formula>
    </cfRule>
    <cfRule type="expression" priority="149" aboveAverage="0" equalAverage="0" bottom="0" percent="0" rank="0" text="" dxfId="781">
      <formula>$I133="Ja"</formula>
    </cfRule>
  </conditionalFormatting>
  <conditionalFormatting sqref="E131:F131">
    <cfRule type="expression" priority="150" aboveAverage="0" equalAverage="0" bottom="0" percent="0" rank="0" text="" dxfId="782">
      <formula>$I131="Nein"</formula>
    </cfRule>
    <cfRule type="expression" priority="151" aboveAverage="0" equalAverage="0" bottom="0" percent="0" rank="0" text="" dxfId="783">
      <formula>$I131="Ja"</formula>
    </cfRule>
  </conditionalFormatting>
  <conditionalFormatting sqref="E131:F131">
    <cfRule type="expression" priority="152" aboveAverage="0" equalAverage="0" bottom="0" percent="0" rank="0" text="" dxfId="784">
      <formula>$I131="Nein"</formula>
    </cfRule>
    <cfRule type="expression" priority="153" aboveAverage="0" equalAverage="0" bottom="0" percent="0" rank="0" text="" dxfId="785">
      <formula>$I131="Ja"</formula>
    </cfRule>
  </conditionalFormatting>
  <conditionalFormatting sqref="E134:F134">
    <cfRule type="expression" priority="154" aboveAverage="0" equalAverage="0" bottom="0" percent="0" rank="0" text="" dxfId="786">
      <formula>$I134="Nein"</formula>
    </cfRule>
    <cfRule type="expression" priority="155" aboveAverage="0" equalAverage="0" bottom="0" percent="0" rank="0" text="" dxfId="787">
      <formula>$I134="Ja"</formula>
    </cfRule>
  </conditionalFormatting>
  <conditionalFormatting sqref="D19:H19">
    <cfRule type="expression" priority="156" aboveAverage="0" equalAverage="0" bottom="0" percent="0" rank="0" text="" dxfId="788">
      <formula>$I19="Nein"</formula>
    </cfRule>
    <cfRule type="expression" priority="157" aboveAverage="0" equalAverage="0" bottom="0" percent="0" rank="0" text="" dxfId="789">
      <formula>$I19="Ja"</formula>
    </cfRule>
  </conditionalFormatting>
  <conditionalFormatting sqref="D144:E144">
    <cfRule type="expression" priority="158" aboveAverage="0" equalAverage="0" bottom="0" percent="0" rank="0" text="" dxfId="790">
      <formula>$I144="Nein"</formula>
    </cfRule>
    <cfRule type="expression" priority="159" aboveAverage="0" equalAverage="0" bottom="0" percent="0" rank="0" text="" dxfId="791">
      <formula>$I144="Ja"</formula>
    </cfRule>
  </conditionalFormatting>
  <conditionalFormatting sqref="D142:E142">
    <cfRule type="expression" priority="160" aboveAverage="0" equalAverage="0" bottom="0" percent="0" rank="0" text="" dxfId="792">
      <formula>$I142="Nein"</formula>
    </cfRule>
    <cfRule type="expression" priority="161" aboveAverage="0" equalAverage="0" bottom="0" percent="0" rank="0" text="" dxfId="793">
      <formula>$I142="Ja"</formula>
    </cfRule>
  </conditionalFormatting>
  <conditionalFormatting sqref="D143:E143">
    <cfRule type="expression" priority="162" aboveAverage="0" equalAverage="0" bottom="0" percent="0" rank="0" text="" dxfId="794">
      <formula>$I143="Nein"</formula>
    </cfRule>
    <cfRule type="expression" priority="163" aboveAverage="0" equalAverage="0" bottom="0" percent="0" rank="0" text="" dxfId="795">
      <formula>$I143="Ja"</formula>
    </cfRule>
  </conditionalFormatting>
  <dataValidations count="1">
    <dataValidation allowBlank="true" operator="between" showDropDown="false" showErrorMessage="true" showInputMessage="true" sqref="I6:I16 O19"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197"/>
  <sheetViews>
    <sheetView showFormulas="false" showGridLines="false" showRowColHeaders="true" showZeros="true" rightToLeft="false" tabSelected="false" showOutlineSymbols="true" defaultGridColor="true" view="normal" topLeftCell="A190" colorId="64" zoomScale="100" zoomScaleNormal="100" zoomScalePageLayoutView="100" workbookViewId="0">
      <selection pane="topLeft" activeCell="C148" activeCellId="0" sqref="C148"/>
    </sheetView>
  </sheetViews>
  <sheetFormatPr defaultColWidth="11.43359375" defaultRowHeight="15" zeroHeight="false" outlineLevelRow="1" outlineLevelCol="1"/>
  <cols>
    <col collapsed="false" customWidth="true" hidden="false" outlineLevel="0" max="3" min="1" style="1" width="3.71"/>
    <col collapsed="false" customWidth="true" hidden="false" outlineLevel="0" max="14" min="4" style="1" width="20.71"/>
    <col collapsed="false" customWidth="true" hidden="true" outlineLevel="1" max="18" min="15" style="1" width="20.71"/>
    <col collapsed="false" customWidth="true" hidden="false" outlineLevel="0" max="19" min="19" style="1" width="20.71"/>
    <col collapsed="false" customWidth="true" hidden="false" outlineLevel="0" max="21" min="20" style="1" width="3.71"/>
    <col collapsed="false" customWidth="true" hidden="false" outlineLevel="0" max="22" min="22" style="1" width="15.88"/>
    <col collapsed="false" customWidth="true" hidden="false" outlineLevel="0" max="24" min="23" style="1" width="20.71"/>
    <col collapsed="false" customWidth="false" hidden="false" outlineLevel="0" max="1024" min="25" style="1" width="11.42"/>
  </cols>
  <sheetData>
    <row r="1" customFormat="false" ht="15" hidden="false" customHeight="false" outlineLevel="0" collapsed="false">
      <c r="A1" s="2" t="s">
        <v>449</v>
      </c>
      <c r="B1" s="2"/>
      <c r="C1" s="2"/>
      <c r="D1" s="2"/>
      <c r="E1" s="2"/>
      <c r="F1" s="2"/>
      <c r="G1" s="2"/>
      <c r="H1" s="2"/>
      <c r="I1" s="2"/>
      <c r="J1" s="2"/>
      <c r="K1" s="2"/>
      <c r="L1" s="2"/>
      <c r="M1" s="2"/>
      <c r="N1" s="2"/>
    </row>
    <row r="2" customFormat="false" ht="15" hidden="false" customHeight="false" outlineLevel="0" collapsed="false">
      <c r="A2" s="2"/>
      <c r="B2" s="2"/>
      <c r="C2" s="2"/>
      <c r="D2" s="2"/>
      <c r="E2" s="2"/>
      <c r="F2" s="2"/>
      <c r="G2" s="2"/>
      <c r="H2" s="2"/>
      <c r="I2" s="2"/>
      <c r="J2" s="2"/>
      <c r="K2" s="2"/>
      <c r="L2" s="2"/>
      <c r="M2" s="2"/>
      <c r="N2" s="2"/>
    </row>
    <row r="3" customFormat="false" ht="20.1" hidden="false" customHeight="true" outlineLevel="0" collapsed="false"/>
    <row r="4" customFormat="false" ht="15.75" hidden="false" customHeight="false" outlineLevel="0" collapsed="false">
      <c r="B4" s="3" t="s">
        <v>450</v>
      </c>
      <c r="C4" s="3"/>
      <c r="D4" s="3"/>
      <c r="E4" s="3"/>
      <c r="F4" s="3"/>
      <c r="G4" s="3"/>
      <c r="H4" s="3"/>
      <c r="I4" s="3"/>
      <c r="K4" s="3" t="s">
        <v>2</v>
      </c>
      <c r="L4" s="3"/>
      <c r="M4" s="3"/>
      <c r="P4" s="4"/>
      <c r="Q4" s="4"/>
      <c r="R4" s="4"/>
      <c r="S4" s="5"/>
      <c r="T4" s="4"/>
      <c r="U4" s="4"/>
      <c r="V4" s="4"/>
      <c r="W4" s="4"/>
    </row>
    <row r="5" customFormat="false" ht="50.1" hidden="false" customHeight="true" outlineLevel="0" collapsed="false">
      <c r="B5" s="54" t="s">
        <v>451</v>
      </c>
      <c r="C5" s="54"/>
      <c r="D5" s="303" t="s">
        <v>4</v>
      </c>
      <c r="E5" s="9" t="s">
        <v>5</v>
      </c>
      <c r="F5" s="9" t="s">
        <v>6</v>
      </c>
      <c r="G5" s="57" t="s">
        <v>7</v>
      </c>
      <c r="H5" s="57" t="s">
        <v>8</v>
      </c>
      <c r="I5" s="9" t="s">
        <v>452</v>
      </c>
      <c r="K5" s="11" t="s">
        <v>4</v>
      </c>
      <c r="L5" s="12" t="s">
        <v>10</v>
      </c>
      <c r="M5" s="13" t="s">
        <v>11</v>
      </c>
      <c r="P5" s="5"/>
      <c r="R5" s="4"/>
      <c r="S5" s="4"/>
      <c r="T5" s="4"/>
      <c r="U5" s="5"/>
      <c r="V5" s="5"/>
    </row>
    <row r="6" customFormat="false" ht="20.1" hidden="false" customHeight="true" outlineLevel="0" collapsed="false">
      <c r="B6" s="14" t="n">
        <v>1</v>
      </c>
      <c r="C6" s="14"/>
      <c r="D6" s="18" t="s">
        <v>17</v>
      </c>
      <c r="E6" s="18" t="s">
        <v>18</v>
      </c>
      <c r="F6" s="18" t="s">
        <v>19</v>
      </c>
      <c r="G6" s="18" t="s">
        <v>19</v>
      </c>
      <c r="H6" s="18" t="s">
        <v>19</v>
      </c>
      <c r="I6" s="304" t="s">
        <v>14</v>
      </c>
      <c r="K6" s="21" t="str">
        <f aca="false">D6</f>
        <v>Judith Fulterer</v>
      </c>
      <c r="L6" s="22" t="n">
        <v>1</v>
      </c>
      <c r="M6" s="23" t="n">
        <v>1</v>
      </c>
      <c r="P6" s="24"/>
      <c r="U6" s="24"/>
      <c r="V6" s="24"/>
    </row>
    <row r="7" customFormat="false" ht="20.1" hidden="false" customHeight="true" outlineLevel="0" collapsed="false">
      <c r="B7" s="25" t="n">
        <v>2</v>
      </c>
      <c r="C7" s="25"/>
      <c r="D7" s="26" t="s">
        <v>33</v>
      </c>
      <c r="E7" s="28" t="s">
        <v>34</v>
      </c>
      <c r="F7" s="38" t="s">
        <v>35</v>
      </c>
      <c r="G7" s="28" t="s">
        <v>35</v>
      </c>
      <c r="H7" s="28" t="s">
        <v>35</v>
      </c>
      <c r="I7" s="305" t="s">
        <v>36</v>
      </c>
      <c r="K7" s="30" t="str">
        <f aca="false">D7</f>
        <v>Marc Lambrecht</v>
      </c>
      <c r="L7" s="22"/>
      <c r="M7" s="31" t="n">
        <v>2</v>
      </c>
      <c r="P7" s="24"/>
      <c r="U7" s="24"/>
      <c r="V7" s="24"/>
    </row>
    <row r="8" customFormat="false" ht="20.1" hidden="false" customHeight="true" outlineLevel="0" collapsed="false">
      <c r="B8" s="25" t="n">
        <v>3</v>
      </c>
      <c r="C8" s="25"/>
      <c r="D8" s="32" t="s">
        <v>15</v>
      </c>
      <c r="E8" s="32" t="s">
        <v>16</v>
      </c>
      <c r="F8" s="32" t="s">
        <v>16</v>
      </c>
      <c r="G8" s="32" t="s">
        <v>16</v>
      </c>
      <c r="H8" s="32" t="s">
        <v>16</v>
      </c>
      <c r="I8" s="305" t="s">
        <v>14</v>
      </c>
      <c r="K8" s="30" t="str">
        <f aca="false">D8</f>
        <v>Devid Fulterer</v>
      </c>
      <c r="L8" s="22"/>
      <c r="M8" s="31" t="n">
        <v>3</v>
      </c>
      <c r="P8" s="24"/>
      <c r="U8" s="24"/>
      <c r="V8" s="24"/>
    </row>
    <row r="9" customFormat="false" ht="20.1" hidden="false" customHeight="true" outlineLevel="0" collapsed="false">
      <c r="B9" s="25" t="n">
        <v>4</v>
      </c>
      <c r="C9" s="25"/>
      <c r="D9" s="32" t="s">
        <v>12</v>
      </c>
      <c r="E9" s="32" t="s">
        <v>13</v>
      </c>
      <c r="F9" s="32" t="s">
        <v>13</v>
      </c>
      <c r="G9" s="32" t="s">
        <v>13</v>
      </c>
      <c r="H9" s="32" t="s">
        <v>13</v>
      </c>
      <c r="I9" s="305" t="s">
        <v>36</v>
      </c>
      <c r="K9" s="35" t="str">
        <f aca="false">D9</f>
        <v>Jonas Röhrig</v>
      </c>
      <c r="L9" s="22"/>
      <c r="M9" s="36" t="n">
        <v>4</v>
      </c>
      <c r="P9" s="24"/>
      <c r="U9" s="24"/>
      <c r="V9" s="24"/>
    </row>
    <row r="10" customFormat="false" ht="20.1" hidden="false" customHeight="true" outlineLevel="0" collapsed="false">
      <c r="B10" s="25" t="n">
        <v>5</v>
      </c>
      <c r="C10" s="25"/>
      <c r="D10" s="33" t="s">
        <v>39</v>
      </c>
      <c r="E10" s="33" t="s">
        <v>40</v>
      </c>
      <c r="F10" s="34" t="s">
        <v>40</v>
      </c>
      <c r="G10" s="32" t="s">
        <v>40</v>
      </c>
      <c r="H10" s="32" t="s">
        <v>40</v>
      </c>
      <c r="I10" s="305" t="s">
        <v>14</v>
      </c>
      <c r="K10" s="21" t="str">
        <f aca="false">D10</f>
        <v>Markus Hagenauer</v>
      </c>
      <c r="L10" s="22" t="n">
        <v>2</v>
      </c>
      <c r="M10" s="23" t="n">
        <v>1</v>
      </c>
      <c r="P10" s="24"/>
      <c r="U10" s="24"/>
      <c r="V10" s="24"/>
    </row>
    <row r="11" customFormat="false" ht="20.1" hidden="false" customHeight="true" outlineLevel="0" collapsed="false">
      <c r="B11" s="25" t="n">
        <v>6</v>
      </c>
      <c r="C11" s="25"/>
      <c r="D11" s="33" t="s">
        <v>37</v>
      </c>
      <c r="E11" s="33" t="s">
        <v>38</v>
      </c>
      <c r="F11" s="34" t="s">
        <v>35</v>
      </c>
      <c r="G11" s="32" t="s">
        <v>35</v>
      </c>
      <c r="H11" s="32" t="s">
        <v>35</v>
      </c>
      <c r="I11" s="305" t="s">
        <v>14</v>
      </c>
      <c r="K11" s="30" t="str">
        <f aca="false">D11</f>
        <v>Bea Kittner</v>
      </c>
      <c r="L11" s="22"/>
      <c r="M11" s="31" t="n">
        <v>2</v>
      </c>
      <c r="P11" s="24"/>
      <c r="U11" s="24"/>
      <c r="V11" s="24"/>
    </row>
    <row r="12" customFormat="false" ht="20.1" hidden="false" customHeight="true" outlineLevel="0" collapsed="false">
      <c r="B12" s="25" t="n">
        <v>7</v>
      </c>
      <c r="C12" s="25"/>
      <c r="D12" s="33" t="s">
        <v>384</v>
      </c>
      <c r="E12" s="32" t="s">
        <v>28</v>
      </c>
      <c r="F12" s="306" t="s">
        <v>28</v>
      </c>
      <c r="G12" s="32" t="s">
        <v>28</v>
      </c>
      <c r="H12" s="32" t="s">
        <v>28</v>
      </c>
      <c r="I12" s="305" t="s">
        <v>14</v>
      </c>
      <c r="K12" s="30" t="str">
        <f aca="false">D12</f>
        <v>Pauline Micke</v>
      </c>
      <c r="L12" s="22"/>
      <c r="M12" s="31" t="n">
        <v>3</v>
      </c>
      <c r="P12" s="24"/>
      <c r="U12" s="24"/>
      <c r="V12" s="24"/>
    </row>
    <row r="13" customFormat="false" ht="20.1" hidden="false" customHeight="true" outlineLevel="0" collapsed="false">
      <c r="B13" s="25" t="n">
        <v>8</v>
      </c>
      <c r="C13" s="25"/>
      <c r="D13" s="33" t="s">
        <v>29</v>
      </c>
      <c r="E13" s="33" t="s">
        <v>30</v>
      </c>
      <c r="F13" s="34" t="s">
        <v>30</v>
      </c>
      <c r="G13" s="32" t="s">
        <v>30</v>
      </c>
      <c r="H13" s="32" t="s">
        <v>30</v>
      </c>
      <c r="I13" s="305" t="s">
        <v>36</v>
      </c>
      <c r="K13" s="483" t="str">
        <f aca="false">D13</f>
        <v>Kai Maibaum</v>
      </c>
      <c r="L13" s="22"/>
      <c r="M13" s="50" t="n">
        <v>4</v>
      </c>
      <c r="P13" s="24"/>
      <c r="U13" s="24"/>
      <c r="V13" s="24"/>
    </row>
    <row r="14" customFormat="false" ht="20.1" hidden="false" customHeight="true" outlineLevel="0" collapsed="false">
      <c r="B14" s="25" t="n">
        <v>9</v>
      </c>
      <c r="C14" s="25"/>
      <c r="D14" s="32" t="s">
        <v>20</v>
      </c>
      <c r="E14" s="32" t="s">
        <v>21</v>
      </c>
      <c r="F14" s="32" t="s">
        <v>21</v>
      </c>
      <c r="G14" s="32" t="s">
        <v>21</v>
      </c>
      <c r="H14" s="32" t="s">
        <v>21</v>
      </c>
      <c r="I14" s="305" t="s">
        <v>14</v>
      </c>
      <c r="K14" s="506" t="str">
        <f aca="false">D14</f>
        <v>Andreas Micke</v>
      </c>
      <c r="L14" s="22" t="n">
        <v>3</v>
      </c>
      <c r="M14" s="23" t="n">
        <v>1</v>
      </c>
      <c r="P14" s="24"/>
      <c r="U14" s="24"/>
      <c r="V14" s="24"/>
    </row>
    <row r="15" customFormat="false" ht="20.1" hidden="false" customHeight="true" outlineLevel="0" collapsed="false">
      <c r="B15" s="42" t="n">
        <v>10</v>
      </c>
      <c r="C15" s="42"/>
      <c r="D15" s="43" t="s">
        <v>31</v>
      </c>
      <c r="E15" s="44" t="s">
        <v>32</v>
      </c>
      <c r="F15" s="45" t="s">
        <v>32</v>
      </c>
      <c r="G15" s="46" t="s">
        <v>32</v>
      </c>
      <c r="H15" s="47" t="s">
        <v>32</v>
      </c>
      <c r="I15" s="309" t="s">
        <v>14</v>
      </c>
      <c r="K15" s="483" t="str">
        <f aca="false">D15</f>
        <v>Daniel Zimmermann</v>
      </c>
      <c r="L15" s="22"/>
      <c r="M15" s="50" t="n">
        <v>2</v>
      </c>
      <c r="P15" s="24"/>
      <c r="U15" s="24"/>
      <c r="V15" s="24"/>
    </row>
    <row r="16" customFormat="false" ht="20.1" hidden="false" customHeight="true" outlineLevel="0" collapsed="false">
      <c r="D16" s="310"/>
      <c r="E16" s="310"/>
      <c r="F16" s="311"/>
      <c r="G16" s="162"/>
      <c r="H16" s="162"/>
      <c r="I16" s="310"/>
      <c r="K16" s="51" t="s">
        <v>453</v>
      </c>
      <c r="L16" s="51"/>
      <c r="M16" s="52" t="n">
        <f aca="false">ROWS(M6:M15)</f>
        <v>10</v>
      </c>
      <c r="O16" s="4"/>
      <c r="P16" s="4"/>
      <c r="R16" s="4"/>
      <c r="S16" s="4"/>
      <c r="T16" s="4"/>
      <c r="U16" s="4"/>
    </row>
    <row r="17" customFormat="false" ht="15.75" hidden="false" customHeight="false" outlineLevel="0" collapsed="false">
      <c r="B17" s="3" t="s">
        <v>454</v>
      </c>
      <c r="C17" s="3"/>
      <c r="D17" s="3"/>
      <c r="E17" s="3"/>
      <c r="F17" s="3"/>
      <c r="G17" s="3"/>
      <c r="H17" s="3"/>
      <c r="L17" s="53"/>
      <c r="M17" s="53"/>
      <c r="N17" s="53"/>
      <c r="O17" s="5"/>
      <c r="P17" s="4"/>
      <c r="Q17" s="4"/>
      <c r="S17" s="4"/>
      <c r="T17" s="4"/>
      <c r="U17" s="4"/>
      <c r="V17" s="4"/>
    </row>
    <row r="18" customFormat="false" ht="30.75" hidden="false" customHeight="true" outlineLevel="0" collapsed="false">
      <c r="B18" s="54" t="s">
        <v>51</v>
      </c>
      <c r="C18" s="54"/>
      <c r="D18" s="55" t="s">
        <v>4</v>
      </c>
      <c r="E18" s="9" t="s">
        <v>5</v>
      </c>
      <c r="F18" s="9" t="s">
        <v>6</v>
      </c>
      <c r="G18" s="57" t="s">
        <v>7</v>
      </c>
      <c r="H18" s="57" t="s">
        <v>8</v>
      </c>
      <c r="L18" s="53"/>
      <c r="M18" s="53"/>
      <c r="N18" s="53"/>
      <c r="O18" s="5"/>
      <c r="P18" s="4"/>
      <c r="Q18" s="4"/>
      <c r="S18" s="4"/>
      <c r="T18" s="4"/>
      <c r="U18" s="4"/>
      <c r="V18" s="4"/>
    </row>
    <row r="19" customFormat="false" ht="20.1" hidden="false" customHeight="true" outlineLevel="0" collapsed="false">
      <c r="B19" s="534" t="n">
        <v>1</v>
      </c>
      <c r="C19" s="534"/>
      <c r="D19" s="453"/>
      <c r="E19" s="313"/>
      <c r="F19" s="411"/>
      <c r="G19" s="412"/>
      <c r="H19" s="413"/>
      <c r="O19" s="29" t="s">
        <v>36</v>
      </c>
      <c r="P19" s="4"/>
      <c r="Q19" s="4"/>
      <c r="S19" s="4"/>
      <c r="T19" s="4"/>
      <c r="U19" s="4"/>
      <c r="V19" s="4"/>
    </row>
    <row r="20" customFormat="false" ht="20.1" hidden="false" customHeight="true" outlineLevel="0" collapsed="false">
      <c r="M20" s="53"/>
      <c r="N20" s="53"/>
      <c r="O20" s="53"/>
      <c r="P20" s="5"/>
      <c r="Q20" s="4"/>
      <c r="R20" s="4"/>
      <c r="T20" s="4"/>
      <c r="U20" s="4"/>
      <c r="V20" s="4"/>
      <c r="W20" s="4"/>
    </row>
    <row r="21" customFormat="false" ht="20.1" hidden="false" customHeight="true" outlineLevel="0" collapsed="false">
      <c r="B21" s="62"/>
      <c r="C21" s="62"/>
      <c r="D21" s="63"/>
      <c r="E21" s="63"/>
      <c r="F21" s="63"/>
      <c r="G21" s="63"/>
      <c r="H21" s="62"/>
      <c r="I21" s="62"/>
      <c r="J21" s="62"/>
      <c r="K21" s="62"/>
      <c r="L21" s="62"/>
      <c r="M21" s="62"/>
      <c r="N21" s="62"/>
      <c r="O21" s="62"/>
      <c r="P21" s="62"/>
      <c r="Q21" s="62"/>
      <c r="R21" s="62"/>
      <c r="S21" s="62"/>
      <c r="T21" s="62"/>
      <c r="U21" s="62"/>
    </row>
    <row r="22" customFormat="false" ht="30" hidden="false" customHeight="true" outlineLevel="0" collapsed="false">
      <c r="B22" s="62"/>
      <c r="C22" s="64" t="s">
        <v>52</v>
      </c>
      <c r="D22" s="64"/>
      <c r="E22" s="64"/>
      <c r="F22" s="64"/>
      <c r="G22" s="64"/>
      <c r="H22" s="64"/>
      <c r="I22" s="64"/>
      <c r="J22" s="64"/>
      <c r="K22" s="64"/>
      <c r="L22" s="64"/>
      <c r="M22" s="64"/>
      <c r="N22" s="64"/>
      <c r="O22" s="64"/>
      <c r="P22" s="64"/>
      <c r="Q22" s="64"/>
      <c r="R22" s="64"/>
      <c r="S22" s="64"/>
      <c r="T22" s="64"/>
      <c r="U22" s="62"/>
    </row>
    <row r="23" customFormat="false" ht="20.1" hidden="false" customHeight="true" outlineLevel="0" collapsed="false">
      <c r="B23" s="62"/>
      <c r="U23" s="62"/>
    </row>
    <row r="24" customFormat="false" ht="20.1" hidden="false" customHeight="true" outlineLevel="0" collapsed="false">
      <c r="B24" s="62"/>
      <c r="D24" s="65" t="s">
        <v>53</v>
      </c>
      <c r="E24" s="66" t="s">
        <v>54</v>
      </c>
      <c r="F24" s="67" t="s">
        <v>11</v>
      </c>
      <c r="G24" s="66" t="s">
        <v>55</v>
      </c>
      <c r="H24" s="66"/>
      <c r="I24" s="66"/>
      <c r="J24" s="66"/>
      <c r="K24" s="66" t="s">
        <v>56</v>
      </c>
      <c r="L24" s="68" t="s">
        <v>57</v>
      </c>
      <c r="M24" s="68"/>
      <c r="N24" s="68"/>
      <c r="O24" s="68"/>
      <c r="P24" s="68"/>
      <c r="Q24" s="68"/>
      <c r="R24" s="68"/>
      <c r="S24" s="68"/>
      <c r="U24" s="62"/>
    </row>
    <row r="25" customFormat="false" ht="20.1" hidden="false" customHeight="true" outlineLevel="0" collapsed="false">
      <c r="B25" s="62"/>
      <c r="D25" s="65"/>
      <c r="E25" s="66"/>
      <c r="F25" s="66"/>
      <c r="G25" s="317" t="s">
        <v>58</v>
      </c>
      <c r="H25" s="317" t="s">
        <v>59</v>
      </c>
      <c r="I25" s="226" t="s">
        <v>60</v>
      </c>
      <c r="J25" s="226"/>
      <c r="K25" s="69" t="s">
        <v>61</v>
      </c>
      <c r="L25" s="69" t="s">
        <v>58</v>
      </c>
      <c r="M25" s="70" t="s">
        <v>62</v>
      </c>
      <c r="N25" s="67" t="s">
        <v>60</v>
      </c>
      <c r="O25" s="67"/>
      <c r="P25" s="67"/>
      <c r="Q25" s="67"/>
      <c r="R25" s="67"/>
      <c r="S25" s="67"/>
      <c r="U25" s="62"/>
    </row>
    <row r="26" customFormat="false" ht="21.95" hidden="false" customHeight="true" outlineLevel="0" collapsed="false">
      <c r="B26" s="62"/>
      <c r="D26" s="318" t="s">
        <v>17</v>
      </c>
      <c r="E26" s="16" t="s">
        <v>18</v>
      </c>
      <c r="F26" s="382" t="n">
        <v>1</v>
      </c>
      <c r="G26" s="72" t="s">
        <v>63</v>
      </c>
      <c r="H26" s="489" t="s">
        <v>301</v>
      </c>
      <c r="I26" s="321" t="s">
        <v>67</v>
      </c>
      <c r="J26" s="321"/>
      <c r="K26" s="563" t="s">
        <v>111</v>
      </c>
      <c r="L26" s="461" t="s">
        <v>67</v>
      </c>
      <c r="M26" s="462" t="s">
        <v>67</v>
      </c>
      <c r="N26" s="463" t="s">
        <v>67</v>
      </c>
      <c r="O26" s="463"/>
      <c r="P26" s="463"/>
      <c r="Q26" s="463"/>
      <c r="R26" s="463"/>
      <c r="S26" s="463"/>
      <c r="U26" s="62"/>
    </row>
    <row r="27" customFormat="false" ht="21.95" hidden="false" customHeight="true" outlineLevel="0" collapsed="false">
      <c r="B27" s="62"/>
      <c r="D27" s="432" t="s">
        <v>33</v>
      </c>
      <c r="E27" s="564" t="s">
        <v>34</v>
      </c>
      <c r="F27" s="499" t="n">
        <v>2</v>
      </c>
      <c r="G27" s="513" t="s">
        <v>63</v>
      </c>
      <c r="H27" s="565" t="s">
        <v>455</v>
      </c>
      <c r="I27" s="328" t="s">
        <v>67</v>
      </c>
      <c r="J27" s="328"/>
      <c r="K27" s="566" t="s">
        <v>456</v>
      </c>
      <c r="L27" s="437" t="s">
        <v>67</v>
      </c>
      <c r="M27" s="567" t="s">
        <v>67</v>
      </c>
      <c r="N27" s="469" t="s">
        <v>67</v>
      </c>
      <c r="O27" s="469"/>
      <c r="P27" s="469"/>
      <c r="Q27" s="469"/>
      <c r="R27" s="469"/>
      <c r="S27" s="469"/>
      <c r="U27" s="62"/>
    </row>
    <row r="28" customFormat="false" ht="15" hidden="false" customHeight="true" outlineLevel="0" collapsed="false">
      <c r="B28" s="62"/>
      <c r="D28" s="333" t="s">
        <v>15</v>
      </c>
      <c r="E28" s="33" t="s">
        <v>16</v>
      </c>
      <c r="F28" s="383" t="n">
        <v>3</v>
      </c>
      <c r="G28" s="87" t="s">
        <v>63</v>
      </c>
      <c r="H28" s="89" t="s">
        <v>457</v>
      </c>
      <c r="I28" s="335" t="s">
        <v>458</v>
      </c>
      <c r="J28" s="335"/>
      <c r="K28" s="568" t="s">
        <v>111</v>
      </c>
      <c r="L28" s="437" t="s">
        <v>67</v>
      </c>
      <c r="M28" s="438" t="s">
        <v>67</v>
      </c>
      <c r="N28" s="569" t="s">
        <v>67</v>
      </c>
      <c r="O28" s="569"/>
      <c r="P28" s="569"/>
      <c r="Q28" s="569"/>
      <c r="R28" s="569"/>
      <c r="S28" s="569"/>
      <c r="U28" s="62"/>
    </row>
    <row r="29" customFormat="false" ht="15" hidden="false" customHeight="true" outlineLevel="0" collapsed="false">
      <c r="B29" s="62"/>
      <c r="D29" s="333"/>
      <c r="E29" s="33"/>
      <c r="F29" s="383"/>
      <c r="G29" s="87"/>
      <c r="H29" s="89"/>
      <c r="I29" s="338" t="s">
        <v>459</v>
      </c>
      <c r="J29" s="338"/>
      <c r="K29" s="568"/>
      <c r="L29" s="437"/>
      <c r="M29" s="438"/>
      <c r="N29" s="569"/>
      <c r="O29" s="569"/>
      <c r="P29" s="569"/>
      <c r="Q29" s="569"/>
      <c r="R29" s="569"/>
      <c r="S29" s="569"/>
      <c r="U29" s="62"/>
    </row>
    <row r="30" customFormat="false" ht="15" hidden="false" customHeight="true" outlineLevel="0" collapsed="false">
      <c r="B30" s="62"/>
      <c r="D30" s="333"/>
      <c r="E30" s="33"/>
      <c r="F30" s="383"/>
      <c r="G30" s="87"/>
      <c r="H30" s="89"/>
      <c r="I30" s="357" t="s">
        <v>460</v>
      </c>
      <c r="J30" s="357"/>
      <c r="K30" s="568"/>
      <c r="L30" s="437"/>
      <c r="M30" s="438"/>
      <c r="N30" s="569"/>
      <c r="O30" s="569"/>
      <c r="P30" s="569"/>
      <c r="Q30" s="569"/>
      <c r="R30" s="569"/>
      <c r="S30" s="569"/>
      <c r="U30" s="62"/>
    </row>
    <row r="31" customFormat="false" ht="27.95" hidden="false" customHeight="true" outlineLevel="0" collapsed="false">
      <c r="B31" s="62"/>
      <c r="D31" s="362" t="s">
        <v>12</v>
      </c>
      <c r="E31" s="44" t="s">
        <v>13</v>
      </c>
      <c r="F31" s="396" t="n">
        <v>4</v>
      </c>
      <c r="G31" s="491" t="s">
        <v>63</v>
      </c>
      <c r="H31" s="440" t="s">
        <v>461</v>
      </c>
      <c r="I31" s="342" t="s">
        <v>462</v>
      </c>
      <c r="J31" s="342"/>
      <c r="K31" s="441" t="s">
        <v>111</v>
      </c>
      <c r="L31" s="442" t="s">
        <v>67</v>
      </c>
      <c r="M31" s="345" t="s">
        <v>67</v>
      </c>
      <c r="N31" s="100" t="s">
        <v>67</v>
      </c>
      <c r="O31" s="100"/>
      <c r="P31" s="100"/>
      <c r="Q31" s="100"/>
      <c r="R31" s="100"/>
      <c r="S31" s="100"/>
      <c r="U31" s="62"/>
    </row>
    <row r="32" customFormat="false" ht="27.95" hidden="false" customHeight="true" outlineLevel="0" collapsed="false">
      <c r="B32" s="62"/>
      <c r="D32" s="362"/>
      <c r="E32" s="44"/>
      <c r="F32" s="396"/>
      <c r="G32" s="491"/>
      <c r="H32" s="440"/>
      <c r="I32" s="347" t="s">
        <v>463</v>
      </c>
      <c r="J32" s="347"/>
      <c r="K32" s="441"/>
      <c r="L32" s="442"/>
      <c r="M32" s="345"/>
      <c r="N32" s="100"/>
      <c r="O32" s="100"/>
      <c r="P32" s="100"/>
      <c r="Q32" s="100"/>
      <c r="R32" s="100"/>
      <c r="S32" s="100"/>
      <c r="U32" s="62"/>
    </row>
    <row r="33" customFormat="false" ht="15" hidden="false" customHeight="true" outlineLevel="0" collapsed="false">
      <c r="B33" s="62"/>
      <c r="D33" s="362"/>
      <c r="E33" s="44"/>
      <c r="F33" s="396"/>
      <c r="G33" s="491"/>
      <c r="H33" s="440"/>
      <c r="I33" s="347" t="s">
        <v>464</v>
      </c>
      <c r="J33" s="347"/>
      <c r="K33" s="441"/>
      <c r="L33" s="442"/>
      <c r="M33" s="345"/>
      <c r="N33" s="100"/>
      <c r="O33" s="100"/>
      <c r="P33" s="100"/>
      <c r="Q33" s="100"/>
      <c r="R33" s="100"/>
      <c r="S33" s="100"/>
      <c r="U33" s="62"/>
    </row>
    <row r="34" customFormat="false" ht="15" hidden="false" customHeight="true" outlineLevel="0" collapsed="false">
      <c r="B34" s="62"/>
      <c r="D34" s="362"/>
      <c r="E34" s="44"/>
      <c r="F34" s="396"/>
      <c r="G34" s="491"/>
      <c r="H34" s="440"/>
      <c r="I34" s="348" t="s">
        <v>465</v>
      </c>
      <c r="J34" s="348"/>
      <c r="K34" s="441"/>
      <c r="L34" s="442"/>
      <c r="M34" s="345"/>
      <c r="N34" s="100"/>
      <c r="O34" s="100"/>
      <c r="P34" s="100"/>
      <c r="Q34" s="100"/>
      <c r="R34" s="100"/>
      <c r="S34" s="100"/>
      <c r="U34" s="62"/>
    </row>
    <row r="35" customFormat="false" ht="20.1" hidden="false" customHeight="true" outlineLevel="0" collapsed="false">
      <c r="B35" s="62"/>
      <c r="U35" s="62"/>
    </row>
    <row r="36" customFormat="false" ht="20.1" hidden="false" customHeight="true" outlineLevel="0" collapsed="false">
      <c r="B36" s="62"/>
      <c r="C36" s="101"/>
      <c r="D36" s="101"/>
      <c r="E36" s="102" t="str">
        <f aca="false">IF(OR(M26="-",M26= ""),H26,M26)</f>
        <v>Madeira</v>
      </c>
      <c r="F36" s="102"/>
      <c r="G36" s="102"/>
      <c r="H36" s="102"/>
      <c r="I36" s="102"/>
      <c r="J36" s="102"/>
      <c r="K36" s="102"/>
      <c r="L36" s="102"/>
      <c r="M36" s="102"/>
      <c r="N36" s="102"/>
      <c r="O36" s="103"/>
      <c r="P36" s="103"/>
      <c r="Q36" s="103"/>
      <c r="R36" s="103"/>
      <c r="S36" s="103"/>
      <c r="T36" s="101"/>
      <c r="U36" s="62"/>
    </row>
    <row r="37" customFormat="false" ht="50.1" hidden="false" customHeight="true" outlineLevel="0" collapsed="false">
      <c r="B37" s="62"/>
      <c r="C37" s="101"/>
      <c r="D37" s="103"/>
      <c r="E37" s="65" t="s">
        <v>53</v>
      </c>
      <c r="F37" s="104" t="s">
        <v>76</v>
      </c>
      <c r="G37" s="67" t="s">
        <v>77</v>
      </c>
      <c r="H37" s="66" t="s">
        <v>78</v>
      </c>
      <c r="I37" s="54" t="s">
        <v>79</v>
      </c>
      <c r="J37" s="66" t="s">
        <v>80</v>
      </c>
      <c r="K37" s="105" t="s">
        <v>81</v>
      </c>
      <c r="L37" s="66" t="s">
        <v>82</v>
      </c>
      <c r="M37" s="106" t="s">
        <v>83</v>
      </c>
      <c r="N37" s="67" t="s">
        <v>84</v>
      </c>
      <c r="O37" s="107" t="s">
        <v>85</v>
      </c>
      <c r="P37" s="108" t="s">
        <v>86</v>
      </c>
      <c r="Q37" s="108" t="s">
        <v>87</v>
      </c>
      <c r="R37" s="108" t="s">
        <v>88</v>
      </c>
      <c r="S37" s="103"/>
      <c r="T37" s="101"/>
      <c r="U37" s="62"/>
    </row>
    <row r="38" customFormat="false" ht="20.1" hidden="false" customHeight="true" outlineLevel="0" collapsed="false">
      <c r="B38" s="62"/>
      <c r="C38" s="101"/>
      <c r="D38" s="101"/>
      <c r="E38" s="380" t="s">
        <v>17</v>
      </c>
      <c r="F38" s="18" t="s">
        <v>18</v>
      </c>
      <c r="G38" s="144" t="n">
        <v>2</v>
      </c>
      <c r="H38" s="144" t="s">
        <v>67</v>
      </c>
      <c r="I38" s="144" t="n">
        <v>0</v>
      </c>
      <c r="J38" s="144" t="n">
        <v>88</v>
      </c>
      <c r="K38" s="144" t="s">
        <v>67</v>
      </c>
      <c r="L38" s="146" t="n">
        <f aca="false">IF(J38="",0,(J38/J42)*100)</f>
        <v>76.5217391304348</v>
      </c>
      <c r="M38" s="144" t="n">
        <v>3</v>
      </c>
      <c r="N38" s="23" t="n">
        <v>1</v>
      </c>
      <c r="O38" s="115" t="n">
        <f aca="false">IF(M38=1,1,0)</f>
        <v>0</v>
      </c>
      <c r="P38" s="116" t="n">
        <f aca="false">IF(M38=2,1,0)</f>
        <v>0</v>
      </c>
      <c r="Q38" s="116" t="n">
        <f aca="false">IF(M38=3,1,0)</f>
        <v>1</v>
      </c>
      <c r="R38" s="117" t="n">
        <f aca="false">IF(M38=4,1,0)</f>
        <v>0</v>
      </c>
      <c r="S38" s="118"/>
      <c r="T38" s="101"/>
      <c r="U38" s="62"/>
    </row>
    <row r="39" customFormat="false" ht="20.1" hidden="false" customHeight="true" outlineLevel="0" collapsed="false">
      <c r="B39" s="62"/>
      <c r="C39" s="101"/>
      <c r="D39" s="101"/>
      <c r="E39" s="570" t="s">
        <v>33</v>
      </c>
      <c r="F39" s="28" t="s">
        <v>34</v>
      </c>
      <c r="G39" s="119" t="n">
        <v>3</v>
      </c>
      <c r="H39" s="119" t="s">
        <v>67</v>
      </c>
      <c r="I39" s="119" t="n">
        <v>0</v>
      </c>
      <c r="J39" s="119" t="n">
        <v>21</v>
      </c>
      <c r="K39" s="119" t="s">
        <v>67</v>
      </c>
      <c r="L39" s="120" t="n">
        <f aca="false">IF(J39="",0,(J39/J42)*100)</f>
        <v>18.2608695652174</v>
      </c>
      <c r="M39" s="119" t="n">
        <v>4</v>
      </c>
      <c r="N39" s="31" t="n">
        <v>0</v>
      </c>
      <c r="O39" s="121" t="n">
        <f aca="false">IF(M39=1,1,0)</f>
        <v>0</v>
      </c>
      <c r="P39" s="122" t="n">
        <f aca="false">IF(M39=2,1,0)</f>
        <v>0</v>
      </c>
      <c r="Q39" s="122" t="n">
        <f aca="false">IF(M39=3,1,0)</f>
        <v>0</v>
      </c>
      <c r="R39" s="123" t="n">
        <f aca="false">IF(M39=4,1,0)</f>
        <v>1</v>
      </c>
      <c r="S39" s="118"/>
      <c r="T39" s="101"/>
      <c r="U39" s="62"/>
    </row>
    <row r="40" customFormat="false" ht="20.1" hidden="false" customHeight="true" outlineLevel="0" collapsed="false">
      <c r="B40" s="62"/>
      <c r="C40" s="101"/>
      <c r="D40" s="101"/>
      <c r="E40" s="333" t="s">
        <v>15</v>
      </c>
      <c r="F40" s="32" t="s">
        <v>16</v>
      </c>
      <c r="G40" s="119" t="n">
        <v>4</v>
      </c>
      <c r="H40" s="119" t="s">
        <v>67</v>
      </c>
      <c r="I40" s="119" t="n">
        <v>0</v>
      </c>
      <c r="J40" s="119" t="n">
        <v>99</v>
      </c>
      <c r="K40" s="119" t="s">
        <v>67</v>
      </c>
      <c r="L40" s="120" t="n">
        <f aca="false">IF(J40="",0,(J40/J42)*100)</f>
        <v>86.0869565217391</v>
      </c>
      <c r="M40" s="119" t="n">
        <v>2</v>
      </c>
      <c r="N40" s="31" t="n">
        <v>3</v>
      </c>
      <c r="O40" s="121" t="n">
        <f aca="false">IF(M40=1,1,0)</f>
        <v>0</v>
      </c>
      <c r="P40" s="122" t="n">
        <f aca="false">IF(M40=2,1,0)</f>
        <v>1</v>
      </c>
      <c r="Q40" s="122" t="n">
        <f aca="false">IF(M40=3,1,0)</f>
        <v>0</v>
      </c>
      <c r="R40" s="123" t="n">
        <f aca="false">IF(M40=4,1,0)</f>
        <v>0</v>
      </c>
      <c r="S40" s="118"/>
      <c r="T40" s="101"/>
      <c r="U40" s="62"/>
    </row>
    <row r="41" customFormat="false" ht="20.1" hidden="false" customHeight="true" outlineLevel="0" collapsed="false">
      <c r="B41" s="62"/>
      <c r="C41" s="101"/>
      <c r="D41" s="124"/>
      <c r="E41" s="350" t="s">
        <v>12</v>
      </c>
      <c r="F41" s="294" t="s">
        <v>13</v>
      </c>
      <c r="G41" s="295" t="n">
        <v>1</v>
      </c>
      <c r="H41" s="295" t="s">
        <v>67</v>
      </c>
      <c r="I41" s="295" t="n">
        <v>0</v>
      </c>
      <c r="J41" s="295" t="n">
        <v>115</v>
      </c>
      <c r="K41" s="295" t="s">
        <v>67</v>
      </c>
      <c r="L41" s="297" t="n">
        <f aca="false">IF(J41="",0,(J41/J42)*100)</f>
        <v>100</v>
      </c>
      <c r="M41" s="295" t="n">
        <v>1</v>
      </c>
      <c r="N41" s="298" t="n">
        <v>6</v>
      </c>
      <c r="O41" s="127" t="n">
        <f aca="false">IF(M41=1,1,0)</f>
        <v>1</v>
      </c>
      <c r="P41" s="128" t="n">
        <f aca="false">IF(M41=2,1,0)</f>
        <v>0</v>
      </c>
      <c r="Q41" s="128" t="n">
        <f aca="false">IF(M41=3,1,0)</f>
        <v>0</v>
      </c>
      <c r="R41" s="129" t="n">
        <f aca="false">IF(M41=4,1,0)</f>
        <v>0</v>
      </c>
      <c r="S41" s="118"/>
      <c r="T41" s="101"/>
      <c r="U41" s="62"/>
    </row>
    <row r="42" customFormat="false" ht="20.1" hidden="true" customHeight="true" outlineLevel="1" collapsed="false">
      <c r="B42" s="62"/>
      <c r="C42" s="101"/>
      <c r="D42" s="130"/>
      <c r="E42" s="130"/>
      <c r="F42" s="131"/>
      <c r="G42" s="131"/>
      <c r="H42" s="101"/>
      <c r="I42" s="132" t="s">
        <v>89</v>
      </c>
      <c r="J42" s="133" t="n">
        <f aca="false">MAX(J38:J41)</f>
        <v>115</v>
      </c>
      <c r="K42" s="134"/>
      <c r="L42" s="135"/>
      <c r="M42" s="101"/>
      <c r="N42" s="136" t="s">
        <v>90</v>
      </c>
      <c r="O42" s="137" t="n">
        <f aca="false">SUM(O38:O41)</f>
        <v>1</v>
      </c>
      <c r="P42" s="138" t="n">
        <f aca="false">SUM(P38:P41)</f>
        <v>1</v>
      </c>
      <c r="Q42" s="137" t="n">
        <f aca="false">SUM(Q38:Q41)</f>
        <v>1</v>
      </c>
      <c r="R42" s="137" t="n">
        <f aca="false">SUM(R38:R41)</f>
        <v>1</v>
      </c>
      <c r="S42" s="139"/>
      <c r="T42" s="101"/>
      <c r="U42" s="62"/>
    </row>
    <row r="43" customFormat="false" ht="20.1" hidden="false" customHeight="true" outlineLevel="0" collapsed="false">
      <c r="B43" s="62"/>
      <c r="C43" s="101"/>
      <c r="D43" s="101"/>
      <c r="E43" s="101"/>
      <c r="F43" s="140"/>
      <c r="G43" s="140"/>
      <c r="H43" s="103"/>
      <c r="I43" s="101"/>
      <c r="J43" s="101"/>
      <c r="K43" s="101"/>
      <c r="L43" s="101"/>
      <c r="M43" s="101"/>
      <c r="N43" s="101"/>
      <c r="O43" s="101"/>
      <c r="P43" s="101"/>
      <c r="Q43" s="101"/>
      <c r="R43" s="101"/>
      <c r="S43" s="101"/>
      <c r="T43" s="101"/>
      <c r="U43" s="62"/>
    </row>
    <row r="44" customFormat="false" ht="20.1" hidden="false" customHeight="true" outlineLevel="0" collapsed="false">
      <c r="B44" s="62"/>
      <c r="U44" s="62"/>
    </row>
    <row r="45" customFormat="false" ht="20.1" hidden="false" customHeight="true" outlineLevel="0" collapsed="false">
      <c r="B45" s="62"/>
      <c r="C45" s="141"/>
      <c r="D45" s="141"/>
      <c r="E45" s="142" t="str">
        <f aca="false">IF(OR(M27="-",M27= ""),H27,M27)</f>
        <v>Roll for the Galaxy</v>
      </c>
      <c r="F45" s="142"/>
      <c r="G45" s="142"/>
      <c r="H45" s="142"/>
      <c r="I45" s="142"/>
      <c r="J45" s="142"/>
      <c r="K45" s="142"/>
      <c r="L45" s="142"/>
      <c r="M45" s="142"/>
      <c r="N45" s="142"/>
      <c r="O45" s="143"/>
      <c r="P45" s="143"/>
      <c r="Q45" s="143"/>
      <c r="R45" s="143"/>
      <c r="S45" s="143"/>
      <c r="T45" s="141"/>
      <c r="U45" s="62"/>
    </row>
    <row r="46" customFormat="false" ht="50.1" hidden="false" customHeight="true" outlineLevel="0" collapsed="false">
      <c r="B46" s="62"/>
      <c r="C46" s="141"/>
      <c r="D46" s="143"/>
      <c r="E46" s="65" t="s">
        <v>53</v>
      </c>
      <c r="F46" s="104" t="s">
        <v>76</v>
      </c>
      <c r="G46" s="67" t="s">
        <v>77</v>
      </c>
      <c r="H46" s="66" t="s">
        <v>78</v>
      </c>
      <c r="I46" s="54" t="s">
        <v>79</v>
      </c>
      <c r="J46" s="66" t="s">
        <v>80</v>
      </c>
      <c r="K46" s="105" t="s">
        <v>81</v>
      </c>
      <c r="L46" s="66" t="s">
        <v>82</v>
      </c>
      <c r="M46" s="106" t="s">
        <v>83</v>
      </c>
      <c r="N46" s="67" t="s">
        <v>84</v>
      </c>
      <c r="O46" s="107" t="s">
        <v>85</v>
      </c>
      <c r="P46" s="108" t="s">
        <v>86</v>
      </c>
      <c r="Q46" s="108" t="s">
        <v>87</v>
      </c>
      <c r="R46" s="108" t="s">
        <v>88</v>
      </c>
      <c r="S46" s="143"/>
      <c r="T46" s="141"/>
      <c r="U46" s="62"/>
    </row>
    <row r="47" customFormat="false" ht="27.95" hidden="false" customHeight="true" outlineLevel="0" collapsed="false">
      <c r="B47" s="62"/>
      <c r="C47" s="141"/>
      <c r="D47" s="141"/>
      <c r="E47" s="380" t="s">
        <v>17</v>
      </c>
      <c r="F47" s="18" t="s">
        <v>18</v>
      </c>
      <c r="G47" s="144" t="s">
        <v>67</v>
      </c>
      <c r="H47" s="145" t="s">
        <v>466</v>
      </c>
      <c r="I47" s="144" t="n">
        <v>4</v>
      </c>
      <c r="J47" s="144" t="n">
        <v>32</v>
      </c>
      <c r="K47" s="144" t="s">
        <v>67</v>
      </c>
      <c r="L47" s="146" t="n">
        <f aca="false">IF(J47="",0,(J47/J51)*100)</f>
        <v>91.4285714285714</v>
      </c>
      <c r="M47" s="144" t="n">
        <v>2</v>
      </c>
      <c r="N47" s="23" t="n">
        <v>3</v>
      </c>
      <c r="O47" s="115" t="n">
        <f aca="false">IF(M47=1,1,0)</f>
        <v>0</v>
      </c>
      <c r="P47" s="116" t="n">
        <f aca="false">IF(M47=2,1,0)</f>
        <v>1</v>
      </c>
      <c r="Q47" s="116" t="n">
        <f aca="false">IF(M47=3,1,0)</f>
        <v>0</v>
      </c>
      <c r="R47" s="117" t="n">
        <f aca="false">IF(M47=4,1,0)</f>
        <v>0</v>
      </c>
      <c r="S47" s="147"/>
      <c r="T47" s="141"/>
      <c r="U47" s="62"/>
    </row>
    <row r="48" customFormat="false" ht="20.1" hidden="false" customHeight="true" outlineLevel="0" collapsed="false">
      <c r="B48" s="62"/>
      <c r="C48" s="141"/>
      <c r="D48" s="148"/>
      <c r="E48" s="570" t="s">
        <v>33</v>
      </c>
      <c r="F48" s="28" t="s">
        <v>34</v>
      </c>
      <c r="G48" s="119" t="s">
        <v>67</v>
      </c>
      <c r="H48" s="119" t="s">
        <v>467</v>
      </c>
      <c r="I48" s="119" t="n">
        <v>3</v>
      </c>
      <c r="J48" s="119" t="n">
        <v>25</v>
      </c>
      <c r="K48" s="119" t="s">
        <v>67</v>
      </c>
      <c r="L48" s="120" t="n">
        <f aca="false">IF(J48="",0,(J48/J51)*100)</f>
        <v>71.4285714285714</v>
      </c>
      <c r="M48" s="119" t="n">
        <v>4</v>
      </c>
      <c r="N48" s="31" t="n">
        <v>0</v>
      </c>
      <c r="O48" s="121" t="n">
        <f aca="false">IF(M48=1,1,0)</f>
        <v>0</v>
      </c>
      <c r="P48" s="122" t="n">
        <f aca="false">IF(M48=2,1,0)</f>
        <v>0</v>
      </c>
      <c r="Q48" s="122" t="n">
        <f aca="false">IF(M48=3,1,0)</f>
        <v>0</v>
      </c>
      <c r="R48" s="123" t="n">
        <f aca="false">IF(M48=4,1,0)</f>
        <v>1</v>
      </c>
      <c r="S48" s="147"/>
      <c r="T48" s="141"/>
      <c r="U48" s="62"/>
    </row>
    <row r="49" customFormat="false" ht="27.95" hidden="false" customHeight="true" outlineLevel="0" collapsed="false">
      <c r="B49" s="62"/>
      <c r="C49" s="141"/>
      <c r="D49" s="141"/>
      <c r="E49" s="174" t="s">
        <v>15</v>
      </c>
      <c r="F49" s="175" t="s">
        <v>16</v>
      </c>
      <c r="G49" s="151" t="s">
        <v>67</v>
      </c>
      <c r="H49" s="152" t="s">
        <v>468</v>
      </c>
      <c r="I49" s="151" t="n">
        <v>6</v>
      </c>
      <c r="J49" s="151" t="n">
        <v>35</v>
      </c>
      <c r="K49" s="151" t="s">
        <v>67</v>
      </c>
      <c r="L49" s="153" t="n">
        <f aca="false">IF(J49="",0,(J49/J51)*100)</f>
        <v>100</v>
      </c>
      <c r="M49" s="151" t="n">
        <v>1</v>
      </c>
      <c r="N49" s="154" t="n">
        <v>6</v>
      </c>
      <c r="O49" s="121" t="n">
        <f aca="false">IF(M49=1,1,0)</f>
        <v>1</v>
      </c>
      <c r="P49" s="122" t="n">
        <f aca="false">IF(M49=2,1,0)</f>
        <v>0</v>
      </c>
      <c r="Q49" s="122" t="n">
        <f aca="false">IF(M49=3,1,0)</f>
        <v>0</v>
      </c>
      <c r="R49" s="123" t="n">
        <f aca="false">IF(M49=4,1,0)</f>
        <v>0</v>
      </c>
      <c r="S49" s="147"/>
      <c r="T49" s="141"/>
      <c r="U49" s="62"/>
    </row>
    <row r="50" customFormat="false" ht="20.1" hidden="false" customHeight="true" outlineLevel="0" collapsed="false">
      <c r="B50" s="62"/>
      <c r="C50" s="141"/>
      <c r="D50" s="141"/>
      <c r="E50" s="362" t="s">
        <v>12</v>
      </c>
      <c r="F50" s="46" t="s">
        <v>13</v>
      </c>
      <c r="G50" s="125" t="s">
        <v>67</v>
      </c>
      <c r="H50" s="125" t="s">
        <v>469</v>
      </c>
      <c r="I50" s="125" t="n">
        <v>7</v>
      </c>
      <c r="J50" s="125" t="n">
        <v>26</v>
      </c>
      <c r="K50" s="125" t="s">
        <v>67</v>
      </c>
      <c r="L50" s="126" t="n">
        <f aca="false">IF(J50="",0,(J50/J51)*100)</f>
        <v>74.2857142857143</v>
      </c>
      <c r="M50" s="125" t="n">
        <v>3</v>
      </c>
      <c r="N50" s="50" t="n">
        <v>1</v>
      </c>
      <c r="O50" s="127" t="n">
        <f aca="false">IF(M50=1,1,0)</f>
        <v>0</v>
      </c>
      <c r="P50" s="128" t="n">
        <f aca="false">IF(M50=2,1,0)</f>
        <v>0</v>
      </c>
      <c r="Q50" s="128" t="n">
        <f aca="false">IF(M50=3,1,0)</f>
        <v>1</v>
      </c>
      <c r="R50" s="129" t="n">
        <f aca="false">IF(M50=4,1,0)</f>
        <v>0</v>
      </c>
      <c r="S50" s="147"/>
      <c r="T50" s="141"/>
      <c r="U50" s="62"/>
    </row>
    <row r="51" customFormat="false" ht="20.1" hidden="true" customHeight="true" outlineLevel="1" collapsed="false">
      <c r="B51" s="62"/>
      <c r="C51" s="141"/>
      <c r="D51" s="141"/>
      <c r="E51" s="141"/>
      <c r="F51" s="157"/>
      <c r="G51" s="157"/>
      <c r="H51" s="141"/>
      <c r="I51" s="158" t="s">
        <v>89</v>
      </c>
      <c r="J51" s="133" t="n">
        <f aca="false">MAX(J47:J50)</f>
        <v>35</v>
      </c>
      <c r="K51" s="159"/>
      <c r="L51" s="147"/>
      <c r="M51" s="141"/>
      <c r="N51" s="136" t="s">
        <v>90</v>
      </c>
      <c r="O51" s="137" t="n">
        <f aca="false">SUM(O47:O50)</f>
        <v>1</v>
      </c>
      <c r="P51" s="138" t="n">
        <f aca="false">SUM(P47:P50)</f>
        <v>1</v>
      </c>
      <c r="Q51" s="137" t="n">
        <f aca="false">SUM(Q47:Q50)</f>
        <v>1</v>
      </c>
      <c r="R51" s="160" t="n">
        <f aca="false">SUM(R47:R50)</f>
        <v>1</v>
      </c>
      <c r="S51" s="161"/>
      <c r="T51" s="141"/>
      <c r="U51" s="62"/>
    </row>
    <row r="52" customFormat="false" ht="20.1" hidden="false" customHeight="true" outlineLevel="0" collapsed="false">
      <c r="B52" s="62"/>
      <c r="C52" s="141"/>
      <c r="D52" s="141"/>
      <c r="E52" s="141"/>
      <c r="F52" s="141"/>
      <c r="G52" s="141"/>
      <c r="H52" s="141"/>
      <c r="I52" s="141"/>
      <c r="J52" s="141"/>
      <c r="K52" s="141"/>
      <c r="L52" s="141"/>
      <c r="M52" s="141"/>
      <c r="N52" s="141"/>
      <c r="O52" s="141"/>
      <c r="P52" s="141"/>
      <c r="Q52" s="141"/>
      <c r="R52" s="141"/>
      <c r="S52" s="141"/>
      <c r="T52" s="141"/>
      <c r="U52" s="62"/>
    </row>
    <row r="53" customFormat="false" ht="20.1" hidden="false" customHeight="true" outlineLevel="0" collapsed="false">
      <c r="B53" s="62"/>
      <c r="D53" s="162"/>
      <c r="E53" s="162"/>
      <c r="F53" s="162"/>
      <c r="G53" s="162"/>
      <c r="H53" s="163"/>
      <c r="I53" s="162"/>
      <c r="J53" s="162"/>
      <c r="U53" s="62"/>
    </row>
    <row r="54" customFormat="false" ht="20.1" hidden="false" customHeight="true" outlineLevel="0" collapsed="false">
      <c r="B54" s="62"/>
      <c r="C54" s="164"/>
      <c r="D54" s="164"/>
      <c r="E54" s="165" t="str">
        <f aca="false">IF(OR(M28="-",M28= ""),H28,M28)</f>
        <v>Welcome To…</v>
      </c>
      <c r="F54" s="165"/>
      <c r="G54" s="165"/>
      <c r="H54" s="165"/>
      <c r="I54" s="165"/>
      <c r="J54" s="165"/>
      <c r="K54" s="165"/>
      <c r="L54" s="165"/>
      <c r="M54" s="165"/>
      <c r="N54" s="165"/>
      <c r="O54" s="166"/>
      <c r="P54" s="166"/>
      <c r="Q54" s="166"/>
      <c r="R54" s="166"/>
      <c r="S54" s="166"/>
      <c r="T54" s="164"/>
      <c r="U54" s="167"/>
      <c r="V54" s="168"/>
      <c r="W54" s="168"/>
    </row>
    <row r="55" customFormat="false" ht="50.1" hidden="false" customHeight="true" outlineLevel="0" collapsed="false">
      <c r="B55" s="62"/>
      <c r="C55" s="164"/>
      <c r="D55" s="166"/>
      <c r="E55" s="65" t="s">
        <v>53</v>
      </c>
      <c r="F55" s="104" t="s">
        <v>76</v>
      </c>
      <c r="G55" s="67" t="s">
        <v>77</v>
      </c>
      <c r="H55" s="66" t="s">
        <v>78</v>
      </c>
      <c r="I55" s="54" t="s">
        <v>79</v>
      </c>
      <c r="J55" s="66" t="s">
        <v>80</v>
      </c>
      <c r="K55" s="105" t="s">
        <v>81</v>
      </c>
      <c r="L55" s="66" t="s">
        <v>82</v>
      </c>
      <c r="M55" s="106" t="s">
        <v>83</v>
      </c>
      <c r="N55" s="67" t="s">
        <v>84</v>
      </c>
      <c r="O55" s="107" t="s">
        <v>85</v>
      </c>
      <c r="P55" s="108" t="s">
        <v>86</v>
      </c>
      <c r="Q55" s="108" t="s">
        <v>87</v>
      </c>
      <c r="R55" s="13" t="s">
        <v>88</v>
      </c>
      <c r="S55" s="166"/>
      <c r="T55" s="164"/>
      <c r="U55" s="167"/>
      <c r="V55" s="168"/>
      <c r="W55" s="168"/>
    </row>
    <row r="56" customFormat="false" ht="20.1" hidden="false" customHeight="true" outlineLevel="0" collapsed="false">
      <c r="B56" s="62"/>
      <c r="C56" s="164"/>
      <c r="D56" s="164"/>
      <c r="E56" s="380" t="s">
        <v>17</v>
      </c>
      <c r="F56" s="18" t="s">
        <v>18</v>
      </c>
      <c r="G56" s="144" t="s">
        <v>67</v>
      </c>
      <c r="H56" s="144" t="s">
        <v>67</v>
      </c>
      <c r="I56" s="144" t="n">
        <v>0</v>
      </c>
      <c r="J56" s="144" t="n">
        <v>78</v>
      </c>
      <c r="K56" s="144" t="s">
        <v>67</v>
      </c>
      <c r="L56" s="146" t="n">
        <f aca="false">IF(J56="",0,(J56/J60)*100)</f>
        <v>89.6551724137931</v>
      </c>
      <c r="M56" s="144" t="n">
        <v>3</v>
      </c>
      <c r="N56" s="23" t="n">
        <v>1</v>
      </c>
      <c r="O56" s="115" t="n">
        <f aca="false">IF(M56=1,1,0)</f>
        <v>0</v>
      </c>
      <c r="P56" s="116" t="n">
        <f aca="false">IF(M56=2,1,0)</f>
        <v>0</v>
      </c>
      <c r="Q56" s="116" t="n">
        <f aca="false">IF(M56=3,1,0)</f>
        <v>1</v>
      </c>
      <c r="R56" s="117" t="n">
        <f aca="false">IF(M56=4,1,0)</f>
        <v>0</v>
      </c>
      <c r="S56" s="170"/>
      <c r="T56" s="164"/>
      <c r="U56" s="62"/>
    </row>
    <row r="57" customFormat="false" ht="20.1" hidden="false" customHeight="true" outlineLevel="0" collapsed="false">
      <c r="B57" s="62"/>
      <c r="C57" s="164"/>
      <c r="D57" s="171"/>
      <c r="E57" s="570" t="s">
        <v>33</v>
      </c>
      <c r="F57" s="28" t="s">
        <v>34</v>
      </c>
      <c r="G57" s="119" t="s">
        <v>67</v>
      </c>
      <c r="H57" s="119" t="s">
        <v>67</v>
      </c>
      <c r="I57" s="119" t="n">
        <v>0</v>
      </c>
      <c r="J57" s="119" t="n">
        <v>68</v>
      </c>
      <c r="K57" s="119" t="s">
        <v>67</v>
      </c>
      <c r="L57" s="120" t="n">
        <f aca="false">IF(J57="",0,(J57/J60)*100)</f>
        <v>78.1609195402299</v>
      </c>
      <c r="M57" s="119" t="n">
        <v>4</v>
      </c>
      <c r="N57" s="31" t="n">
        <v>0</v>
      </c>
      <c r="O57" s="121" t="n">
        <f aca="false">IF(M57=1,1,0)</f>
        <v>0</v>
      </c>
      <c r="P57" s="122" t="n">
        <f aca="false">IF(M57=2,1,0)</f>
        <v>0</v>
      </c>
      <c r="Q57" s="122" t="n">
        <f aca="false">IF(M57=3,1,0)</f>
        <v>0</v>
      </c>
      <c r="R57" s="123" t="n">
        <f aca="false">IF(M57=4,1,0)</f>
        <v>1</v>
      </c>
      <c r="S57" s="170"/>
      <c r="T57" s="164"/>
      <c r="U57" s="173"/>
    </row>
    <row r="58" customFormat="false" ht="20.1" hidden="false" customHeight="true" outlineLevel="0" collapsed="false">
      <c r="B58" s="62"/>
      <c r="C58" s="164"/>
      <c r="D58" s="164"/>
      <c r="E58" s="174" t="s">
        <v>15</v>
      </c>
      <c r="F58" s="175" t="s">
        <v>16</v>
      </c>
      <c r="G58" s="151" t="s">
        <v>67</v>
      </c>
      <c r="H58" s="151" t="s">
        <v>67</v>
      </c>
      <c r="I58" s="151" t="n">
        <v>0</v>
      </c>
      <c r="J58" s="151" t="n">
        <v>87</v>
      </c>
      <c r="K58" s="151" t="s">
        <v>67</v>
      </c>
      <c r="L58" s="153" t="n">
        <f aca="false">IF(J58="",0,(J58/J60)*100)</f>
        <v>100</v>
      </c>
      <c r="M58" s="151" t="n">
        <v>1</v>
      </c>
      <c r="N58" s="154" t="n">
        <v>6</v>
      </c>
      <c r="O58" s="121" t="n">
        <f aca="false">IF(M58=1,1,0)</f>
        <v>1</v>
      </c>
      <c r="P58" s="122" t="n">
        <f aca="false">IF(M58=2,1,0)</f>
        <v>0</v>
      </c>
      <c r="Q58" s="122" t="n">
        <f aca="false">IF(M58=3,1,0)</f>
        <v>0</v>
      </c>
      <c r="R58" s="123" t="n">
        <f aca="false">IF(M58=4,1,0)</f>
        <v>0</v>
      </c>
      <c r="S58" s="170"/>
      <c r="T58" s="164"/>
      <c r="U58" s="173"/>
    </row>
    <row r="59" customFormat="false" ht="20.1" hidden="false" customHeight="true" outlineLevel="0" collapsed="false">
      <c r="B59" s="62"/>
      <c r="C59" s="164"/>
      <c r="D59" s="164"/>
      <c r="E59" s="362" t="s">
        <v>12</v>
      </c>
      <c r="F59" s="46" t="s">
        <v>13</v>
      </c>
      <c r="G59" s="125" t="s">
        <v>67</v>
      </c>
      <c r="H59" s="125" t="s">
        <v>67</v>
      </c>
      <c r="I59" s="125" t="n">
        <v>0</v>
      </c>
      <c r="J59" s="125" t="n">
        <v>81</v>
      </c>
      <c r="K59" s="125" t="s">
        <v>67</v>
      </c>
      <c r="L59" s="126" t="n">
        <f aca="false">IF(J59="",0,(J59/J60)*100)</f>
        <v>93.1034482758621</v>
      </c>
      <c r="M59" s="125" t="n">
        <v>2</v>
      </c>
      <c r="N59" s="50" t="n">
        <v>3</v>
      </c>
      <c r="O59" s="127" t="n">
        <f aca="false">IF(M59=1,1,0)</f>
        <v>0</v>
      </c>
      <c r="P59" s="128" t="n">
        <f aca="false">IF(M59=2,1,0)</f>
        <v>1</v>
      </c>
      <c r="Q59" s="128" t="n">
        <f aca="false">IF(M59=3,1,0)</f>
        <v>0</v>
      </c>
      <c r="R59" s="129" t="n">
        <f aca="false">IF(M59=4,1,0)</f>
        <v>0</v>
      </c>
      <c r="S59" s="170"/>
      <c r="T59" s="164"/>
      <c r="U59" s="173"/>
    </row>
    <row r="60" customFormat="false" ht="20.1" hidden="true" customHeight="true" outlineLevel="1" collapsed="false">
      <c r="B60" s="62"/>
      <c r="C60" s="164"/>
      <c r="D60" s="164"/>
      <c r="E60" s="164"/>
      <c r="F60" s="178"/>
      <c r="G60" s="178"/>
      <c r="H60" s="164"/>
      <c r="I60" s="179" t="s">
        <v>89</v>
      </c>
      <c r="J60" s="133" t="n">
        <f aca="false">MAX(J56:J59)</f>
        <v>87</v>
      </c>
      <c r="K60" s="180"/>
      <c r="L60" s="170"/>
      <c r="M60" s="164"/>
      <c r="N60" s="136"/>
      <c r="O60" s="137" t="n">
        <f aca="false">SUM(O56:O59)</f>
        <v>1</v>
      </c>
      <c r="P60" s="138" t="n">
        <f aca="false">SUM(P56:P59)</f>
        <v>1</v>
      </c>
      <c r="Q60" s="137" t="n">
        <f aca="false">SUM(Q56:Q59)</f>
        <v>1</v>
      </c>
      <c r="R60" s="160" t="n">
        <f aca="false">SUM(R56:R59)</f>
        <v>1</v>
      </c>
      <c r="S60" s="181"/>
      <c r="T60" s="164"/>
      <c r="U60" s="173"/>
    </row>
    <row r="61" customFormat="false" ht="20.1" hidden="false" customHeight="true" outlineLevel="0" collapsed="false">
      <c r="B61" s="62"/>
      <c r="C61" s="164"/>
      <c r="D61" s="164"/>
      <c r="E61" s="164"/>
      <c r="F61" s="164"/>
      <c r="G61" s="164"/>
      <c r="H61" s="164"/>
      <c r="I61" s="164"/>
      <c r="J61" s="164"/>
      <c r="K61" s="164"/>
      <c r="L61" s="164"/>
      <c r="M61" s="164"/>
      <c r="N61" s="164"/>
      <c r="O61" s="164"/>
      <c r="P61" s="164"/>
      <c r="Q61" s="164"/>
      <c r="R61" s="164"/>
      <c r="S61" s="164"/>
      <c r="T61" s="164"/>
      <c r="U61" s="173"/>
    </row>
    <row r="62" customFormat="false" ht="20.1" hidden="false" customHeight="true" outlineLevel="0" collapsed="false">
      <c r="B62" s="62"/>
      <c r="D62" s="162"/>
      <c r="E62" s="162"/>
      <c r="F62" s="162"/>
      <c r="G62" s="162"/>
      <c r="H62" s="163"/>
      <c r="I62" s="162"/>
      <c r="J62" s="162"/>
      <c r="K62" s="162"/>
      <c r="U62" s="62"/>
    </row>
    <row r="63" customFormat="false" ht="20.1" hidden="false" customHeight="true" outlineLevel="0" collapsed="false">
      <c r="B63" s="62"/>
      <c r="C63" s="182"/>
      <c r="D63" s="182"/>
      <c r="E63" s="183" t="str">
        <f aca="false">IF(OR(M31="-",M31= ""),H31,M31)</f>
        <v>Dingo's Dreams</v>
      </c>
      <c r="F63" s="183"/>
      <c r="G63" s="183"/>
      <c r="H63" s="183"/>
      <c r="I63" s="183"/>
      <c r="J63" s="183"/>
      <c r="K63" s="183"/>
      <c r="L63" s="183"/>
      <c r="M63" s="183"/>
      <c r="N63" s="183"/>
      <c r="O63" s="184"/>
      <c r="P63" s="184"/>
      <c r="Q63" s="184"/>
      <c r="R63" s="184"/>
      <c r="S63" s="184"/>
      <c r="T63" s="182"/>
      <c r="U63" s="62"/>
    </row>
    <row r="64" customFormat="false" ht="50.1" hidden="false" customHeight="true" outlineLevel="0" collapsed="false">
      <c r="B64" s="62"/>
      <c r="C64" s="182"/>
      <c r="D64" s="184"/>
      <c r="E64" s="65" t="s">
        <v>53</v>
      </c>
      <c r="F64" s="104" t="s">
        <v>76</v>
      </c>
      <c r="G64" s="67" t="s">
        <v>77</v>
      </c>
      <c r="H64" s="66" t="s">
        <v>78</v>
      </c>
      <c r="I64" s="54" t="s">
        <v>79</v>
      </c>
      <c r="J64" s="66" t="s">
        <v>80</v>
      </c>
      <c r="K64" s="105" t="s">
        <v>81</v>
      </c>
      <c r="L64" s="66" t="s">
        <v>82</v>
      </c>
      <c r="M64" s="106" t="s">
        <v>83</v>
      </c>
      <c r="N64" s="67" t="s">
        <v>84</v>
      </c>
      <c r="O64" s="107" t="s">
        <v>85</v>
      </c>
      <c r="P64" s="108" t="s">
        <v>86</v>
      </c>
      <c r="Q64" s="108" t="s">
        <v>87</v>
      </c>
      <c r="R64" s="13" t="s">
        <v>88</v>
      </c>
      <c r="S64" s="184"/>
      <c r="T64" s="182"/>
      <c r="U64" s="62"/>
    </row>
    <row r="65" customFormat="false" ht="20.1" hidden="false" customHeight="true" outlineLevel="0" collapsed="false">
      <c r="B65" s="62"/>
      <c r="C65" s="182"/>
      <c r="D65" s="182"/>
      <c r="E65" s="380" t="s">
        <v>17</v>
      </c>
      <c r="F65" s="18" t="s">
        <v>18</v>
      </c>
      <c r="G65" s="144" t="s">
        <v>67</v>
      </c>
      <c r="H65" s="144" t="s">
        <v>67</v>
      </c>
      <c r="I65" s="144" t="n">
        <v>0</v>
      </c>
      <c r="J65" s="144" t="n">
        <v>22</v>
      </c>
      <c r="K65" s="144" t="s">
        <v>67</v>
      </c>
      <c r="L65" s="146" t="n">
        <f aca="false">IF(J65="",0,(J65/J69)*100)</f>
        <v>73.3333333333333</v>
      </c>
      <c r="M65" s="144" t="n">
        <v>3</v>
      </c>
      <c r="N65" s="23" t="n">
        <v>0.5</v>
      </c>
      <c r="O65" s="115" t="n">
        <f aca="false">IF(M65=1,1,0)</f>
        <v>0</v>
      </c>
      <c r="P65" s="116" t="n">
        <f aca="false">IF(M65=2,1,0)</f>
        <v>0</v>
      </c>
      <c r="Q65" s="116" t="n">
        <f aca="false">IF(M65=3,1,0)</f>
        <v>1</v>
      </c>
      <c r="R65" s="117" t="n">
        <f aca="false">IF(M65=4,1,0)</f>
        <v>0</v>
      </c>
      <c r="S65" s="185"/>
      <c r="T65" s="182"/>
      <c r="U65" s="62"/>
    </row>
    <row r="66" customFormat="false" ht="20.1" hidden="false" customHeight="true" outlineLevel="0" collapsed="false">
      <c r="B66" s="62"/>
      <c r="C66" s="182"/>
      <c r="D66" s="182"/>
      <c r="E66" s="570" t="s">
        <v>33</v>
      </c>
      <c r="F66" s="28" t="s">
        <v>34</v>
      </c>
      <c r="G66" s="119" t="s">
        <v>67</v>
      </c>
      <c r="H66" s="119" t="s">
        <v>67</v>
      </c>
      <c r="I66" s="119" t="n">
        <v>0</v>
      </c>
      <c r="J66" s="119" t="n">
        <v>22</v>
      </c>
      <c r="K66" s="119" t="s">
        <v>67</v>
      </c>
      <c r="L66" s="120" t="n">
        <f aca="false">IF(J66="",0,(J66/J69)*100)</f>
        <v>73.3333333333333</v>
      </c>
      <c r="M66" s="119" t="n">
        <v>3</v>
      </c>
      <c r="N66" s="31" t="n">
        <v>0.5</v>
      </c>
      <c r="O66" s="121" t="n">
        <f aca="false">IF(M66=1,1,0)</f>
        <v>0</v>
      </c>
      <c r="P66" s="122" t="n">
        <f aca="false">IF(M66=2,1,0)</f>
        <v>0</v>
      </c>
      <c r="Q66" s="122" t="n">
        <f aca="false">IF(M66=3,1,0)</f>
        <v>1</v>
      </c>
      <c r="R66" s="123" t="n">
        <f aca="false">IF(M66=4,1,0)</f>
        <v>0</v>
      </c>
      <c r="S66" s="185"/>
      <c r="T66" s="182"/>
      <c r="U66" s="62"/>
    </row>
    <row r="67" customFormat="false" ht="20.1" hidden="false" customHeight="true" outlineLevel="0" collapsed="false">
      <c r="B67" s="62"/>
      <c r="C67" s="182"/>
      <c r="D67" s="182"/>
      <c r="E67" s="333" t="s">
        <v>15</v>
      </c>
      <c r="F67" s="32" t="s">
        <v>16</v>
      </c>
      <c r="G67" s="119" t="s">
        <v>67</v>
      </c>
      <c r="H67" s="119" t="s">
        <v>67</v>
      </c>
      <c r="I67" s="119" t="n">
        <v>0</v>
      </c>
      <c r="J67" s="119" t="n">
        <v>26</v>
      </c>
      <c r="K67" s="119" t="s">
        <v>67</v>
      </c>
      <c r="L67" s="120" t="n">
        <f aca="false">IF(J67="",0,(J67/J69)*100)</f>
        <v>86.6666666666667</v>
      </c>
      <c r="M67" s="119" t="n">
        <v>2</v>
      </c>
      <c r="N67" s="31" t="n">
        <v>3</v>
      </c>
      <c r="O67" s="121" t="n">
        <f aca="false">IF(M67=1,1,0)</f>
        <v>0</v>
      </c>
      <c r="P67" s="122" t="n">
        <f aca="false">IF(M67=2,1,0)</f>
        <v>1</v>
      </c>
      <c r="Q67" s="122" t="n">
        <f aca="false">IF(M67=3,1,0)</f>
        <v>0</v>
      </c>
      <c r="R67" s="123" t="n">
        <f aca="false">IF(M67=4,1,0)</f>
        <v>0</v>
      </c>
      <c r="S67" s="185"/>
      <c r="T67" s="182"/>
      <c r="U67" s="62"/>
    </row>
    <row r="68" customFormat="false" ht="20.1" hidden="false" customHeight="true" outlineLevel="0" collapsed="false">
      <c r="B68" s="62"/>
      <c r="C68" s="182"/>
      <c r="D68" s="186"/>
      <c r="E68" s="350" t="s">
        <v>12</v>
      </c>
      <c r="F68" s="294" t="s">
        <v>13</v>
      </c>
      <c r="G68" s="295" t="s">
        <v>67</v>
      </c>
      <c r="H68" s="295" t="s">
        <v>67</v>
      </c>
      <c r="I68" s="295" t="n">
        <v>0</v>
      </c>
      <c r="J68" s="295" t="n">
        <v>30</v>
      </c>
      <c r="K68" s="295" t="s">
        <v>67</v>
      </c>
      <c r="L68" s="297" t="n">
        <f aca="false">IF(J68="",0,(J68/J69)*100)</f>
        <v>100</v>
      </c>
      <c r="M68" s="295" t="n">
        <v>1</v>
      </c>
      <c r="N68" s="298" t="n">
        <v>6</v>
      </c>
      <c r="O68" s="127" t="n">
        <f aca="false">IF(M68=1,1,0)</f>
        <v>1</v>
      </c>
      <c r="P68" s="128" t="n">
        <f aca="false">IF(M68=2,1,0)</f>
        <v>0</v>
      </c>
      <c r="Q68" s="128" t="n">
        <f aca="false">IF(M68=3,1,0)</f>
        <v>0</v>
      </c>
      <c r="R68" s="129" t="n">
        <f aca="false">IF(M68=4,1,0)</f>
        <v>0</v>
      </c>
      <c r="S68" s="185"/>
      <c r="T68" s="182"/>
      <c r="U68" s="62"/>
    </row>
    <row r="69" customFormat="false" ht="20.1" hidden="true" customHeight="true" outlineLevel="1" collapsed="false">
      <c r="B69" s="62"/>
      <c r="C69" s="182"/>
      <c r="D69" s="182"/>
      <c r="E69" s="182"/>
      <c r="F69" s="187"/>
      <c r="G69" s="187"/>
      <c r="H69" s="182"/>
      <c r="I69" s="158" t="s">
        <v>89</v>
      </c>
      <c r="J69" s="133" t="n">
        <f aca="false">MAX(J65:J68)</f>
        <v>30</v>
      </c>
      <c r="K69" s="188"/>
      <c r="L69" s="185"/>
      <c r="M69" s="182"/>
      <c r="N69" s="136" t="s">
        <v>90</v>
      </c>
      <c r="O69" s="137" t="n">
        <f aca="false">SUM(O65:O68)</f>
        <v>1</v>
      </c>
      <c r="P69" s="138" t="n">
        <f aca="false">SUM(P65:P68)</f>
        <v>1</v>
      </c>
      <c r="Q69" s="137" t="n">
        <f aca="false">SUM(Q65:Q68)</f>
        <v>2</v>
      </c>
      <c r="R69" s="160" t="n">
        <f aca="false">SUM(R65:R68)</f>
        <v>0</v>
      </c>
      <c r="S69" s="189"/>
      <c r="T69" s="182"/>
      <c r="U69" s="62"/>
    </row>
    <row r="70" customFormat="false" ht="20.1" hidden="false" customHeight="true" outlineLevel="0" collapsed="false">
      <c r="B70" s="62"/>
      <c r="C70" s="182"/>
      <c r="D70" s="182"/>
      <c r="E70" s="182"/>
      <c r="F70" s="182"/>
      <c r="G70" s="182"/>
      <c r="H70" s="182"/>
      <c r="I70" s="182"/>
      <c r="J70" s="182"/>
      <c r="K70" s="182"/>
      <c r="L70" s="182"/>
      <c r="M70" s="182"/>
      <c r="N70" s="182"/>
      <c r="O70" s="182"/>
      <c r="P70" s="182"/>
      <c r="Q70" s="182"/>
      <c r="R70" s="182"/>
      <c r="S70" s="182"/>
      <c r="T70" s="182"/>
      <c r="U70" s="62"/>
    </row>
    <row r="71" customFormat="false" ht="20.1" hidden="false" customHeight="true" outlineLevel="0" collapsed="false">
      <c r="B71" s="62"/>
      <c r="D71" s="5"/>
      <c r="E71" s="5"/>
      <c r="F71" s="5"/>
      <c r="G71" s="5"/>
      <c r="H71" s="5"/>
      <c r="I71" s="5"/>
      <c r="J71" s="5"/>
      <c r="U71" s="62"/>
    </row>
    <row r="72" customFormat="false" ht="30" hidden="false" customHeight="true" outlineLevel="0" collapsed="false">
      <c r="B72" s="62"/>
      <c r="C72" s="190"/>
      <c r="D72" s="191" t="s">
        <v>99</v>
      </c>
      <c r="E72" s="191"/>
      <c r="F72" s="191"/>
      <c r="G72" s="191"/>
      <c r="H72" s="191"/>
      <c r="I72" s="191"/>
      <c r="J72" s="191"/>
      <c r="K72" s="191"/>
      <c r="L72" s="191"/>
      <c r="M72" s="191"/>
      <c r="N72" s="191"/>
      <c r="O72" s="191"/>
      <c r="P72" s="191"/>
      <c r="Q72" s="191"/>
      <c r="R72" s="191"/>
      <c r="S72" s="191"/>
      <c r="T72" s="190"/>
      <c r="U72" s="62"/>
    </row>
    <row r="73" customFormat="false" ht="50.1" hidden="false" customHeight="true" outlineLevel="0" collapsed="false">
      <c r="B73" s="62"/>
      <c r="C73" s="190"/>
      <c r="D73" s="192" t="s">
        <v>53</v>
      </c>
      <c r="E73" s="193" t="s">
        <v>54</v>
      </c>
      <c r="F73" s="194" t="s">
        <v>84</v>
      </c>
      <c r="G73" s="195" t="s">
        <v>100</v>
      </c>
      <c r="H73" s="196" t="s">
        <v>101</v>
      </c>
      <c r="I73" s="196"/>
      <c r="J73" s="197" t="s">
        <v>102</v>
      </c>
      <c r="K73" s="198" t="s">
        <v>103</v>
      </c>
      <c r="L73" s="194" t="s">
        <v>104</v>
      </c>
      <c r="M73" s="198" t="s">
        <v>105</v>
      </c>
      <c r="N73" s="194" t="s">
        <v>106</v>
      </c>
      <c r="O73" s="199"/>
      <c r="P73" s="200"/>
      <c r="Q73" s="200"/>
      <c r="R73" s="200"/>
      <c r="S73" s="193" t="s">
        <v>107</v>
      </c>
      <c r="T73" s="190"/>
      <c r="U73" s="62"/>
    </row>
    <row r="74" customFormat="false" ht="20.1" hidden="false" customHeight="true" outlineLevel="0" collapsed="false">
      <c r="B74" s="62"/>
      <c r="C74" s="190"/>
      <c r="D74" s="407" t="s">
        <v>15</v>
      </c>
      <c r="E74" s="419" t="s">
        <v>16</v>
      </c>
      <c r="F74" s="203" t="n">
        <f aca="false">(K74*6+L74*3+M74*1+N74*0)</f>
        <v>18</v>
      </c>
      <c r="G74" s="203" t="n">
        <v>0</v>
      </c>
      <c r="H74" s="204" t="s">
        <v>67</v>
      </c>
      <c r="I74" s="204"/>
      <c r="J74" s="203" t="n">
        <f aca="false">F74+G74</f>
        <v>18</v>
      </c>
      <c r="K74" s="203" t="n">
        <v>2</v>
      </c>
      <c r="L74" s="203" t="n">
        <v>2</v>
      </c>
      <c r="M74" s="203" t="n">
        <v>0</v>
      </c>
      <c r="N74" s="203" t="n">
        <v>0</v>
      </c>
      <c r="O74" s="203"/>
      <c r="P74" s="203"/>
      <c r="Q74" s="203"/>
      <c r="R74" s="203"/>
      <c r="S74" s="205" t="n">
        <f aca="false">(L40+L49+L58+L67)/4</f>
        <v>93.1884057971014</v>
      </c>
      <c r="T74" s="190"/>
      <c r="U74" s="62"/>
      <c r="W74" s="206"/>
      <c r="X74" s="206"/>
      <c r="Y74" s="206"/>
      <c r="Z74" s="206"/>
    </row>
    <row r="75" customFormat="false" ht="20.1" hidden="false" customHeight="true" outlineLevel="0" collapsed="false">
      <c r="B75" s="62"/>
      <c r="C75" s="190"/>
      <c r="D75" s="207" t="s">
        <v>12</v>
      </c>
      <c r="E75" s="420" t="s">
        <v>13</v>
      </c>
      <c r="F75" s="209" t="n">
        <f aca="false">(K75*6+L75*3+M75*1+N75*0)</f>
        <v>16</v>
      </c>
      <c r="G75" s="209" t="n">
        <v>0</v>
      </c>
      <c r="H75" s="210" t="s">
        <v>67</v>
      </c>
      <c r="I75" s="210"/>
      <c r="J75" s="209" t="n">
        <f aca="false">F75+G75</f>
        <v>16</v>
      </c>
      <c r="K75" s="209" t="n">
        <v>2</v>
      </c>
      <c r="L75" s="209" t="n">
        <v>1</v>
      </c>
      <c r="M75" s="209" t="n">
        <v>1</v>
      </c>
      <c r="N75" s="209" t="n">
        <v>0</v>
      </c>
      <c r="O75" s="209"/>
      <c r="P75" s="209"/>
      <c r="Q75" s="209"/>
      <c r="R75" s="209"/>
      <c r="S75" s="211" t="n">
        <f aca="false">(L41+L50+L59+L68)/4</f>
        <v>91.8472906403941</v>
      </c>
      <c r="T75" s="190"/>
      <c r="U75" s="62"/>
      <c r="W75" s="212"/>
      <c r="X75" s="212"/>
      <c r="Y75" s="212"/>
      <c r="Z75" s="212"/>
    </row>
    <row r="76" customFormat="false" ht="20.1" hidden="false" customHeight="true" outlineLevel="0" collapsed="false">
      <c r="B76" s="62"/>
      <c r="C76" s="190"/>
      <c r="D76" s="207" t="s">
        <v>17</v>
      </c>
      <c r="E76" s="420" t="s">
        <v>18</v>
      </c>
      <c r="F76" s="209" t="n">
        <f aca="false">(K76*6+L76*3+M76*1+N76*0)</f>
        <v>5.5</v>
      </c>
      <c r="G76" s="209" t="n">
        <v>0</v>
      </c>
      <c r="H76" s="210" t="s">
        <v>67</v>
      </c>
      <c r="I76" s="210"/>
      <c r="J76" s="209" t="n">
        <f aca="false">F76+G76</f>
        <v>5.5</v>
      </c>
      <c r="K76" s="209" t="n">
        <v>0</v>
      </c>
      <c r="L76" s="209" t="n">
        <v>1</v>
      </c>
      <c r="M76" s="209" t="n">
        <v>2.5</v>
      </c>
      <c r="N76" s="209" t="n">
        <v>0.5</v>
      </c>
      <c r="O76" s="209"/>
      <c r="P76" s="209"/>
      <c r="Q76" s="209"/>
      <c r="R76" s="209"/>
      <c r="S76" s="211" t="n">
        <f aca="false">(L38+L47+L56+L65)/4</f>
        <v>82.7347040765332</v>
      </c>
      <c r="T76" s="190"/>
      <c r="U76" s="62"/>
      <c r="W76" s="212"/>
      <c r="X76" s="212"/>
      <c r="Y76" s="212"/>
      <c r="Z76" s="212"/>
    </row>
    <row r="77" customFormat="false" ht="20.1" hidden="false" customHeight="true" outlineLevel="0" collapsed="false">
      <c r="B77" s="62"/>
      <c r="C77" s="190"/>
      <c r="D77" s="571" t="s">
        <v>33</v>
      </c>
      <c r="E77" s="572" t="s">
        <v>34</v>
      </c>
      <c r="F77" s="216" t="n">
        <f aca="false">(K77*6+L77*3+M77*1+N77*0)</f>
        <v>0.5</v>
      </c>
      <c r="G77" s="216" t="n">
        <v>0</v>
      </c>
      <c r="H77" s="217" t="s">
        <v>67</v>
      </c>
      <c r="I77" s="217"/>
      <c r="J77" s="216" t="n">
        <f aca="false">F77+G77</f>
        <v>0.5</v>
      </c>
      <c r="K77" s="216" t="n">
        <v>0</v>
      </c>
      <c r="L77" s="216" t="n">
        <v>0</v>
      </c>
      <c r="M77" s="216" t="n">
        <v>0.5</v>
      </c>
      <c r="N77" s="216" t="n">
        <v>3.5</v>
      </c>
      <c r="O77" s="216"/>
      <c r="P77" s="216"/>
      <c r="Q77" s="216"/>
      <c r="R77" s="216"/>
      <c r="S77" s="218" t="n">
        <f aca="false">(L39+L48+L57+L66)/4</f>
        <v>60.295923466838</v>
      </c>
      <c r="T77" s="190"/>
      <c r="U77" s="62"/>
      <c r="W77" s="212"/>
      <c r="X77" s="212"/>
      <c r="Y77" s="212"/>
      <c r="Z77" s="212"/>
      <c r="AB77" s="212"/>
      <c r="AC77" s="212"/>
      <c r="AD77" s="212"/>
      <c r="AE77" s="212"/>
    </row>
    <row r="78" customFormat="false" ht="20.1" hidden="false" customHeight="true" outlineLevel="0" collapsed="false">
      <c r="B78" s="62"/>
      <c r="C78" s="190"/>
      <c r="D78" s="422"/>
      <c r="E78" s="422"/>
      <c r="F78" s="275"/>
      <c r="G78" s="275"/>
      <c r="H78" s="423"/>
      <c r="I78" s="423"/>
      <c r="J78" s="275"/>
      <c r="K78" s="275"/>
      <c r="L78" s="275"/>
      <c r="M78" s="275"/>
      <c r="N78" s="275"/>
      <c r="O78" s="275"/>
      <c r="P78" s="275"/>
      <c r="Q78" s="275"/>
      <c r="R78" s="275"/>
      <c r="S78" s="424"/>
      <c r="T78" s="190"/>
      <c r="U78" s="62"/>
      <c r="W78" s="212"/>
      <c r="X78" s="212"/>
      <c r="Y78" s="212"/>
      <c r="Z78" s="212"/>
    </row>
    <row r="79" customFormat="false" ht="20.1" hidden="false" customHeight="true" outlineLevel="0" collapsed="false">
      <c r="B79" s="62"/>
      <c r="C79" s="62"/>
      <c r="D79" s="219"/>
      <c r="E79" s="219"/>
      <c r="F79" s="167"/>
      <c r="G79" s="167"/>
      <c r="H79" s="219"/>
      <c r="I79" s="219"/>
      <c r="J79" s="219"/>
      <c r="K79" s="62"/>
      <c r="L79" s="62"/>
      <c r="M79" s="62"/>
      <c r="N79" s="62"/>
      <c r="O79" s="62"/>
      <c r="P79" s="62"/>
      <c r="Q79" s="62"/>
      <c r="R79" s="62"/>
      <c r="S79" s="62"/>
      <c r="T79" s="62"/>
      <c r="U79" s="62"/>
    </row>
    <row r="80" customFormat="false" ht="20.1" hidden="false" customHeight="true" outlineLevel="0" collapsed="false">
      <c r="D80" s="220"/>
    </row>
    <row r="81" customFormat="false" ht="20.1" hidden="false" customHeight="true" outlineLevel="0" collapsed="false">
      <c r="D81" s="221"/>
    </row>
    <row r="82" customFormat="false" ht="20.1" hidden="false" customHeight="true" outlineLevel="0" collapsed="false">
      <c r="B82" s="62"/>
      <c r="C82" s="62"/>
      <c r="D82" s="63"/>
      <c r="E82" s="63"/>
      <c r="F82" s="63"/>
      <c r="G82" s="63"/>
      <c r="H82" s="62"/>
      <c r="I82" s="62"/>
      <c r="J82" s="62"/>
      <c r="K82" s="62"/>
      <c r="L82" s="62"/>
      <c r="M82" s="62"/>
      <c r="N82" s="62"/>
      <c r="O82" s="62"/>
      <c r="P82" s="62"/>
      <c r="Q82" s="62"/>
      <c r="R82" s="62"/>
      <c r="S82" s="62"/>
      <c r="T82" s="62"/>
      <c r="U82" s="62"/>
    </row>
    <row r="83" customFormat="false" ht="30" hidden="false" customHeight="true" outlineLevel="0" collapsed="false">
      <c r="B83" s="62"/>
      <c r="C83" s="64" t="s">
        <v>108</v>
      </c>
      <c r="D83" s="64"/>
      <c r="E83" s="64"/>
      <c r="F83" s="64"/>
      <c r="G83" s="64"/>
      <c r="H83" s="64"/>
      <c r="I83" s="64"/>
      <c r="J83" s="64"/>
      <c r="K83" s="64"/>
      <c r="L83" s="64"/>
      <c r="M83" s="64"/>
      <c r="N83" s="64"/>
      <c r="O83" s="64"/>
      <c r="P83" s="64"/>
      <c r="Q83" s="64"/>
      <c r="R83" s="64"/>
      <c r="S83" s="64"/>
      <c r="T83" s="64"/>
      <c r="U83" s="62"/>
    </row>
    <row r="84" customFormat="false" ht="20.1" hidden="false" customHeight="true" outlineLevel="0" collapsed="false">
      <c r="B84" s="62"/>
      <c r="U84" s="62"/>
    </row>
    <row r="85" customFormat="false" ht="20.1" hidden="false" customHeight="true" outlineLevel="0" collapsed="false">
      <c r="B85" s="62"/>
      <c r="D85" s="65" t="s">
        <v>53</v>
      </c>
      <c r="E85" s="66" t="s">
        <v>54</v>
      </c>
      <c r="F85" s="67" t="s">
        <v>11</v>
      </c>
      <c r="G85" s="223" t="s">
        <v>55</v>
      </c>
      <c r="H85" s="223"/>
      <c r="I85" s="223"/>
      <c r="J85" s="223"/>
      <c r="K85" s="66" t="s">
        <v>56</v>
      </c>
      <c r="L85" s="68" t="s">
        <v>57</v>
      </c>
      <c r="M85" s="68"/>
      <c r="N85" s="68"/>
      <c r="O85" s="68"/>
      <c r="P85" s="68"/>
      <c r="Q85" s="68"/>
      <c r="R85" s="68"/>
      <c r="S85" s="68"/>
      <c r="U85" s="62"/>
    </row>
    <row r="86" customFormat="false" ht="20.1" hidden="false" customHeight="true" outlineLevel="0" collapsed="false">
      <c r="B86" s="62"/>
      <c r="D86" s="65"/>
      <c r="E86" s="66"/>
      <c r="F86" s="66"/>
      <c r="G86" s="70" t="s">
        <v>58</v>
      </c>
      <c r="H86" s="69" t="s">
        <v>59</v>
      </c>
      <c r="I86" s="67" t="s">
        <v>60</v>
      </c>
      <c r="J86" s="67"/>
      <c r="K86" s="69" t="s">
        <v>61</v>
      </c>
      <c r="L86" s="224" t="s">
        <v>58</v>
      </c>
      <c r="M86" s="225" t="s">
        <v>62</v>
      </c>
      <c r="N86" s="67" t="s">
        <v>60</v>
      </c>
      <c r="O86" s="67"/>
      <c r="P86" s="67"/>
      <c r="Q86" s="67"/>
      <c r="R86" s="67"/>
      <c r="S86" s="67"/>
      <c r="U86" s="62"/>
    </row>
    <row r="87" customFormat="false" ht="15" hidden="false" customHeight="true" outlineLevel="0" collapsed="false">
      <c r="B87" s="62"/>
      <c r="D87" s="318" t="s">
        <v>39</v>
      </c>
      <c r="E87" s="18" t="s">
        <v>40</v>
      </c>
      <c r="F87" s="23" t="n">
        <v>1</v>
      </c>
      <c r="G87" s="72" t="s">
        <v>114</v>
      </c>
      <c r="H87" s="470" t="s">
        <v>470</v>
      </c>
      <c r="I87" s="321" t="s">
        <v>471</v>
      </c>
      <c r="J87" s="321"/>
      <c r="K87" s="431" t="s">
        <v>111</v>
      </c>
      <c r="L87" s="352" t="s">
        <v>67</v>
      </c>
      <c r="M87" s="324" t="s">
        <v>67</v>
      </c>
      <c r="N87" s="78" t="s">
        <v>67</v>
      </c>
      <c r="O87" s="78"/>
      <c r="P87" s="78"/>
      <c r="Q87" s="78"/>
      <c r="R87" s="78"/>
      <c r="S87" s="78"/>
      <c r="U87" s="62"/>
    </row>
    <row r="88" customFormat="false" ht="15" hidden="false" customHeight="true" outlineLevel="0" collapsed="false">
      <c r="B88" s="62"/>
      <c r="D88" s="318"/>
      <c r="E88" s="18"/>
      <c r="F88" s="23"/>
      <c r="G88" s="72"/>
      <c r="H88" s="470"/>
      <c r="I88" s="325" t="s">
        <v>472</v>
      </c>
      <c r="J88" s="325"/>
      <c r="K88" s="431"/>
      <c r="L88" s="352"/>
      <c r="M88" s="324"/>
      <c r="N88" s="78"/>
      <c r="O88" s="78"/>
      <c r="P88" s="78"/>
      <c r="Q88" s="78"/>
      <c r="R88" s="78"/>
      <c r="S88" s="78"/>
      <c r="U88" s="62"/>
    </row>
    <row r="89" customFormat="false" ht="15" hidden="false" customHeight="true" outlineLevel="0" collapsed="false">
      <c r="B89" s="62"/>
      <c r="D89" s="318"/>
      <c r="E89" s="18"/>
      <c r="F89" s="23"/>
      <c r="G89" s="72"/>
      <c r="H89" s="470"/>
      <c r="I89" s="325" t="s">
        <v>473</v>
      </c>
      <c r="J89" s="325"/>
      <c r="K89" s="431"/>
      <c r="L89" s="352"/>
      <c r="M89" s="324"/>
      <c r="N89" s="78"/>
      <c r="O89" s="78"/>
      <c r="P89" s="78"/>
      <c r="Q89" s="78"/>
      <c r="R89" s="78"/>
      <c r="S89" s="78"/>
      <c r="U89" s="62"/>
    </row>
    <row r="90" customFormat="false" ht="27.95" hidden="false" customHeight="true" outlineLevel="0" collapsed="false">
      <c r="B90" s="62"/>
      <c r="D90" s="318"/>
      <c r="E90" s="18"/>
      <c r="F90" s="23"/>
      <c r="G90" s="72"/>
      <c r="H90" s="470"/>
      <c r="I90" s="325" t="s">
        <v>474</v>
      </c>
      <c r="J90" s="325"/>
      <c r="K90" s="431"/>
      <c r="L90" s="352"/>
      <c r="M90" s="324"/>
      <c r="N90" s="78"/>
      <c r="O90" s="78"/>
      <c r="P90" s="78"/>
      <c r="Q90" s="78"/>
      <c r="R90" s="78"/>
      <c r="S90" s="78"/>
      <c r="U90" s="62"/>
    </row>
    <row r="91" customFormat="false" ht="15" hidden="false" customHeight="true" outlineLevel="0" collapsed="false">
      <c r="B91" s="62"/>
      <c r="D91" s="333" t="s">
        <v>37</v>
      </c>
      <c r="E91" s="33" t="s">
        <v>38</v>
      </c>
      <c r="F91" s="31" t="n">
        <v>2</v>
      </c>
      <c r="G91" s="80" t="s">
        <v>63</v>
      </c>
      <c r="H91" s="82" t="s">
        <v>475</v>
      </c>
      <c r="I91" s="328" t="s">
        <v>476</v>
      </c>
      <c r="J91" s="328"/>
      <c r="K91" s="385" t="s">
        <v>111</v>
      </c>
      <c r="L91" s="354" t="s">
        <v>67</v>
      </c>
      <c r="M91" s="331" t="s">
        <v>67</v>
      </c>
      <c r="N91" s="86" t="s">
        <v>67</v>
      </c>
      <c r="O91" s="86"/>
      <c r="P91" s="86"/>
      <c r="Q91" s="86"/>
      <c r="R91" s="86"/>
      <c r="S91" s="86"/>
      <c r="U91" s="62"/>
    </row>
    <row r="92" customFormat="false" ht="15" hidden="false" customHeight="true" outlineLevel="0" collapsed="false">
      <c r="B92" s="62"/>
      <c r="D92" s="333"/>
      <c r="E92" s="33"/>
      <c r="F92" s="31"/>
      <c r="G92" s="80"/>
      <c r="H92" s="82"/>
      <c r="I92" s="332" t="s">
        <v>477</v>
      </c>
      <c r="J92" s="332"/>
      <c r="K92" s="385"/>
      <c r="L92" s="354"/>
      <c r="M92" s="331"/>
      <c r="N92" s="86"/>
      <c r="O92" s="86"/>
      <c r="P92" s="86"/>
      <c r="Q92" s="86"/>
      <c r="R92" s="86"/>
      <c r="S92" s="86"/>
      <c r="U92" s="62"/>
    </row>
    <row r="93" customFormat="false" ht="15" hidden="false" customHeight="true" outlineLevel="0" collapsed="false">
      <c r="B93" s="62"/>
      <c r="D93" s="333"/>
      <c r="E93" s="33"/>
      <c r="F93" s="31"/>
      <c r="G93" s="80"/>
      <c r="H93" s="82"/>
      <c r="I93" s="332" t="s">
        <v>478</v>
      </c>
      <c r="J93" s="332"/>
      <c r="K93" s="385"/>
      <c r="L93" s="354"/>
      <c r="M93" s="331"/>
      <c r="N93" s="86"/>
      <c r="O93" s="86"/>
      <c r="P93" s="86"/>
      <c r="Q93" s="86"/>
      <c r="R93" s="86"/>
      <c r="S93" s="86"/>
      <c r="U93" s="62"/>
    </row>
    <row r="94" customFormat="false" ht="15" hidden="false" customHeight="true" outlineLevel="0" collapsed="false">
      <c r="B94" s="62"/>
      <c r="D94" s="333"/>
      <c r="E94" s="33"/>
      <c r="F94" s="31"/>
      <c r="G94" s="80"/>
      <c r="H94" s="82"/>
      <c r="I94" s="361" t="s">
        <v>479</v>
      </c>
      <c r="J94" s="361"/>
      <c r="K94" s="385"/>
      <c r="L94" s="354"/>
      <c r="M94" s="331"/>
      <c r="N94" s="86"/>
      <c r="O94" s="86"/>
      <c r="P94" s="86"/>
      <c r="Q94" s="86"/>
      <c r="R94" s="86"/>
      <c r="S94" s="86"/>
      <c r="U94" s="62"/>
    </row>
    <row r="95" customFormat="false" ht="27.95" hidden="false" customHeight="true" outlineLevel="0" collapsed="false">
      <c r="B95" s="62"/>
      <c r="D95" s="326" t="s">
        <v>384</v>
      </c>
      <c r="E95" s="32" t="s">
        <v>28</v>
      </c>
      <c r="F95" s="31" t="n">
        <v>3</v>
      </c>
      <c r="G95" s="232" t="s">
        <v>114</v>
      </c>
      <c r="H95" s="355" t="s">
        <v>115</v>
      </c>
      <c r="I95" s="338" t="s">
        <v>434</v>
      </c>
      <c r="J95" s="338"/>
      <c r="K95" s="356" t="s">
        <v>111</v>
      </c>
      <c r="L95" s="354" t="s">
        <v>67</v>
      </c>
      <c r="M95" s="331" t="s">
        <v>67</v>
      </c>
      <c r="N95" s="86" t="s">
        <v>67</v>
      </c>
      <c r="O95" s="86"/>
      <c r="P95" s="86"/>
      <c r="Q95" s="86"/>
      <c r="R95" s="86"/>
      <c r="S95" s="86"/>
      <c r="U95" s="62"/>
    </row>
    <row r="96" customFormat="false" ht="15" hidden="false" customHeight="true" outlineLevel="0" collapsed="false">
      <c r="B96" s="62"/>
      <c r="D96" s="326"/>
      <c r="E96" s="32"/>
      <c r="F96" s="31"/>
      <c r="G96" s="232"/>
      <c r="H96" s="355"/>
      <c r="I96" s="338" t="s">
        <v>435</v>
      </c>
      <c r="J96" s="338"/>
      <c r="K96" s="356"/>
      <c r="L96" s="354"/>
      <c r="M96" s="331"/>
      <c r="N96" s="86"/>
      <c r="O96" s="86"/>
      <c r="P96" s="86"/>
      <c r="Q96" s="86"/>
      <c r="R96" s="86"/>
      <c r="S96" s="86"/>
      <c r="U96" s="62"/>
    </row>
    <row r="97" customFormat="false" ht="15" hidden="false" customHeight="true" outlineLevel="0" collapsed="false">
      <c r="B97" s="62"/>
      <c r="D97" s="326"/>
      <c r="E97" s="32"/>
      <c r="F97" s="31"/>
      <c r="G97" s="232"/>
      <c r="H97" s="355"/>
      <c r="I97" s="338" t="s">
        <v>436</v>
      </c>
      <c r="J97" s="338"/>
      <c r="K97" s="356"/>
      <c r="L97" s="354"/>
      <c r="M97" s="331"/>
      <c r="N97" s="86"/>
      <c r="O97" s="86"/>
      <c r="P97" s="86"/>
      <c r="Q97" s="86"/>
      <c r="R97" s="86"/>
      <c r="S97" s="86"/>
      <c r="U97" s="62"/>
    </row>
    <row r="98" customFormat="false" ht="15" hidden="false" customHeight="true" outlineLevel="0" collapsed="false">
      <c r="B98" s="62"/>
      <c r="D98" s="326"/>
      <c r="E98" s="32"/>
      <c r="F98" s="31"/>
      <c r="G98" s="232"/>
      <c r="H98" s="355"/>
      <c r="I98" s="357" t="s">
        <v>244</v>
      </c>
      <c r="J98" s="357"/>
      <c r="K98" s="356"/>
      <c r="L98" s="354"/>
      <c r="M98" s="331"/>
      <c r="N98" s="86"/>
      <c r="O98" s="86"/>
      <c r="P98" s="86"/>
      <c r="Q98" s="86"/>
      <c r="R98" s="86"/>
      <c r="S98" s="86"/>
      <c r="U98" s="62"/>
    </row>
    <row r="99" customFormat="false" ht="20.1" hidden="false" customHeight="true" outlineLevel="0" collapsed="false">
      <c r="B99" s="62"/>
      <c r="D99" s="349" t="s">
        <v>29</v>
      </c>
      <c r="E99" s="44" t="s">
        <v>30</v>
      </c>
      <c r="F99" s="396" t="n">
        <v>4</v>
      </c>
      <c r="G99" s="358" t="s">
        <v>63</v>
      </c>
      <c r="H99" s="96" t="s">
        <v>455</v>
      </c>
      <c r="I99" s="348" t="s">
        <v>67</v>
      </c>
      <c r="J99" s="348"/>
      <c r="K99" s="441" t="s">
        <v>111</v>
      </c>
      <c r="L99" s="442" t="s">
        <v>67</v>
      </c>
      <c r="M99" s="345" t="s">
        <v>67</v>
      </c>
      <c r="N99" s="239" t="s">
        <v>67</v>
      </c>
      <c r="O99" s="239"/>
      <c r="P99" s="239"/>
      <c r="Q99" s="239"/>
      <c r="R99" s="239"/>
      <c r="S99" s="239"/>
      <c r="U99" s="62"/>
    </row>
    <row r="100" customFormat="false" ht="20.1" hidden="false" customHeight="true" outlineLevel="0" collapsed="false">
      <c r="B100" s="62"/>
      <c r="U100" s="62"/>
    </row>
    <row r="101" customFormat="false" ht="20.1" hidden="false" customHeight="true" outlineLevel="0" collapsed="false">
      <c r="B101" s="62"/>
      <c r="C101" s="101"/>
      <c r="D101" s="101"/>
      <c r="E101" s="102" t="str">
        <f aca="false">IF(OR(L87="-",L87= ""),H87,L87)</f>
        <v>Grand Austria Hotel</v>
      </c>
      <c r="F101" s="102"/>
      <c r="G101" s="102"/>
      <c r="H101" s="102"/>
      <c r="I101" s="102"/>
      <c r="J101" s="102"/>
      <c r="K101" s="102"/>
      <c r="L101" s="102"/>
      <c r="M101" s="102"/>
      <c r="N101" s="102"/>
      <c r="O101" s="103"/>
      <c r="P101" s="103"/>
      <c r="Q101" s="103"/>
      <c r="R101" s="103"/>
      <c r="S101" s="103"/>
      <c r="T101" s="101"/>
      <c r="U101" s="62"/>
    </row>
    <row r="102" customFormat="false" ht="50.1" hidden="false" customHeight="true" outlineLevel="0" collapsed="false">
      <c r="B102" s="62"/>
      <c r="C102" s="101"/>
      <c r="D102" s="103"/>
      <c r="E102" s="65" t="s">
        <v>53</v>
      </c>
      <c r="F102" s="104" t="s">
        <v>76</v>
      </c>
      <c r="G102" s="67" t="s">
        <v>77</v>
      </c>
      <c r="H102" s="66" t="s">
        <v>78</v>
      </c>
      <c r="I102" s="54" t="s">
        <v>79</v>
      </c>
      <c r="J102" s="66" t="s">
        <v>80</v>
      </c>
      <c r="K102" s="105" t="s">
        <v>81</v>
      </c>
      <c r="L102" s="66" t="s">
        <v>82</v>
      </c>
      <c r="M102" s="106" t="s">
        <v>83</v>
      </c>
      <c r="N102" s="67" t="s">
        <v>84</v>
      </c>
      <c r="O102" s="107" t="s">
        <v>85</v>
      </c>
      <c r="P102" s="108" t="s">
        <v>86</v>
      </c>
      <c r="Q102" s="108" t="s">
        <v>87</v>
      </c>
      <c r="R102" s="13" t="s">
        <v>88</v>
      </c>
      <c r="S102" s="103"/>
      <c r="T102" s="101"/>
      <c r="U102" s="62"/>
    </row>
    <row r="103" customFormat="false" ht="20.1" hidden="false" customHeight="true" outlineLevel="0" collapsed="false">
      <c r="B103" s="62"/>
      <c r="C103" s="101"/>
      <c r="D103" s="124"/>
      <c r="E103" s="318" t="s">
        <v>39</v>
      </c>
      <c r="F103" s="16" t="s">
        <v>40</v>
      </c>
      <c r="G103" s="250" t="n">
        <v>4</v>
      </c>
      <c r="H103" s="250" t="s">
        <v>67</v>
      </c>
      <c r="I103" s="250" t="n">
        <v>0</v>
      </c>
      <c r="J103" s="251" t="n">
        <v>137</v>
      </c>
      <c r="K103" s="250" t="s">
        <v>67</v>
      </c>
      <c r="L103" s="253" t="n">
        <f aca="false">IF(J103="",0,(J103/J107)*100)</f>
        <v>71.3541666666667</v>
      </c>
      <c r="M103" s="250" t="n">
        <v>2</v>
      </c>
      <c r="N103" s="254" t="n">
        <v>3</v>
      </c>
      <c r="O103" s="115" t="n">
        <f aca="false">IF(M103=1,1,0)</f>
        <v>0</v>
      </c>
      <c r="P103" s="116" t="n">
        <f aca="false">IF(M103=2,1,0)</f>
        <v>1</v>
      </c>
      <c r="Q103" s="116" t="n">
        <f aca="false">IF(M103=3,1,0)</f>
        <v>0</v>
      </c>
      <c r="R103" s="117" t="n">
        <f aca="false">IF(M103=4,1,0)</f>
        <v>0</v>
      </c>
      <c r="S103" s="118"/>
      <c r="T103" s="101"/>
      <c r="U103" s="62"/>
    </row>
    <row r="104" customFormat="false" ht="20.1" hidden="false" customHeight="true" outlineLevel="0" collapsed="false">
      <c r="B104" s="62"/>
      <c r="C104" s="101"/>
      <c r="D104" s="101"/>
      <c r="E104" s="326" t="s">
        <v>37</v>
      </c>
      <c r="F104" s="33" t="s">
        <v>38</v>
      </c>
      <c r="G104" s="241" t="n">
        <v>2</v>
      </c>
      <c r="H104" s="241" t="s">
        <v>67</v>
      </c>
      <c r="I104" s="241" t="n">
        <v>0</v>
      </c>
      <c r="J104" s="242" t="n">
        <v>90</v>
      </c>
      <c r="K104" s="242" t="s">
        <v>67</v>
      </c>
      <c r="L104" s="243" t="n">
        <f aca="false">IF(J104="",0,(J104/J107)*100)</f>
        <v>46.875</v>
      </c>
      <c r="M104" s="241" t="n">
        <v>3</v>
      </c>
      <c r="N104" s="244" t="n">
        <v>1</v>
      </c>
      <c r="O104" s="121" t="n">
        <f aca="false">IF(M104=1,1,0)</f>
        <v>0</v>
      </c>
      <c r="P104" s="122" t="n">
        <f aca="false">IF(M104=2,1,0)</f>
        <v>0</v>
      </c>
      <c r="Q104" s="122" t="n">
        <f aca="false">IF(M104=3,1,0)</f>
        <v>1</v>
      </c>
      <c r="R104" s="123" t="n">
        <f aca="false">IF(M104=4,1,0)</f>
        <v>0</v>
      </c>
      <c r="S104" s="118"/>
      <c r="T104" s="101"/>
      <c r="U104" s="62"/>
    </row>
    <row r="105" customFormat="false" ht="20.1" hidden="false" customHeight="true" outlineLevel="0" collapsed="false">
      <c r="B105" s="62"/>
      <c r="C105" s="101"/>
      <c r="D105" s="101"/>
      <c r="E105" s="174" t="s">
        <v>384</v>
      </c>
      <c r="F105" s="175" t="s">
        <v>28</v>
      </c>
      <c r="G105" s="151" t="n">
        <v>3</v>
      </c>
      <c r="H105" s="151" t="s">
        <v>67</v>
      </c>
      <c r="I105" s="151" t="n">
        <v>0</v>
      </c>
      <c r="J105" s="152" t="n">
        <v>192</v>
      </c>
      <c r="K105" s="151" t="s">
        <v>67</v>
      </c>
      <c r="L105" s="153" t="n">
        <f aca="false">IF(J105="",0,(J105/J107)*100)</f>
        <v>100</v>
      </c>
      <c r="M105" s="151" t="n">
        <v>1</v>
      </c>
      <c r="N105" s="154" t="n">
        <v>6</v>
      </c>
      <c r="O105" s="121" t="n">
        <f aca="false">IF(M105=1,1,0)</f>
        <v>1</v>
      </c>
      <c r="P105" s="122" t="n">
        <f aca="false">IF(M105=2,1,0)</f>
        <v>0</v>
      </c>
      <c r="Q105" s="122" t="n">
        <f aca="false">IF(M105=3,1,0)</f>
        <v>0</v>
      </c>
      <c r="R105" s="123" t="n">
        <f aca="false">IF(M105=4,1,0)</f>
        <v>0</v>
      </c>
      <c r="S105" s="118"/>
      <c r="T105" s="101"/>
      <c r="U105" s="62"/>
    </row>
    <row r="106" customFormat="false" ht="20.1" hidden="false" customHeight="true" outlineLevel="0" collapsed="false">
      <c r="B106" s="62"/>
      <c r="C106" s="101"/>
      <c r="D106" s="101"/>
      <c r="E106" s="349" t="s">
        <v>29</v>
      </c>
      <c r="F106" s="44" t="s">
        <v>30</v>
      </c>
      <c r="G106" s="245" t="n">
        <v>1</v>
      </c>
      <c r="H106" s="246" t="s">
        <v>67</v>
      </c>
      <c r="I106" s="245" t="n">
        <v>0</v>
      </c>
      <c r="J106" s="246" t="n">
        <v>23</v>
      </c>
      <c r="K106" s="246" t="s">
        <v>67</v>
      </c>
      <c r="L106" s="247" t="n">
        <f aca="false">IF(J106="",0,(J106/J107)*100)</f>
        <v>11.9791666666667</v>
      </c>
      <c r="M106" s="245" t="n">
        <v>4</v>
      </c>
      <c r="N106" s="248" t="n">
        <v>0</v>
      </c>
      <c r="O106" s="127" t="n">
        <f aca="false">IF(M106=1,1,0)</f>
        <v>0</v>
      </c>
      <c r="P106" s="128" t="n">
        <f aca="false">IF(M106=2,1,0)</f>
        <v>0</v>
      </c>
      <c r="Q106" s="128" t="n">
        <f aca="false">IF(M106=3,1,0)</f>
        <v>0</v>
      </c>
      <c r="R106" s="129" t="n">
        <f aca="false">IF(M106=4,1,0)</f>
        <v>1</v>
      </c>
      <c r="S106" s="118"/>
      <c r="T106" s="101"/>
      <c r="U106" s="62"/>
    </row>
    <row r="107" customFormat="false" ht="20.1" hidden="true" customHeight="true" outlineLevel="1" collapsed="false">
      <c r="B107" s="62"/>
      <c r="C107" s="101"/>
      <c r="D107" s="124"/>
      <c r="E107" s="124"/>
      <c r="F107" s="131"/>
      <c r="G107" s="131"/>
      <c r="H107" s="101"/>
      <c r="I107" s="179" t="s">
        <v>89</v>
      </c>
      <c r="J107" s="133" t="n">
        <f aca="false">MAX(J103:J106)</f>
        <v>192</v>
      </c>
      <c r="K107" s="249"/>
      <c r="L107" s="139"/>
      <c r="M107" s="101"/>
      <c r="N107" s="136" t="s">
        <v>90</v>
      </c>
      <c r="O107" s="137" t="n">
        <f aca="false">SUM(O103:O106)</f>
        <v>1</v>
      </c>
      <c r="P107" s="138" t="n">
        <f aca="false">SUM(P103:P106)</f>
        <v>1</v>
      </c>
      <c r="Q107" s="137" t="n">
        <f aca="false">SUM(Q103:Q106)</f>
        <v>1</v>
      </c>
      <c r="R107" s="160" t="n">
        <f aca="false">SUM(R103:R106)</f>
        <v>1</v>
      </c>
      <c r="S107" s="139"/>
      <c r="T107" s="101"/>
      <c r="U107" s="62"/>
    </row>
    <row r="108" customFormat="false" ht="20.1" hidden="false" customHeight="true" outlineLevel="0" collapsed="false">
      <c r="B108" s="62"/>
      <c r="C108" s="101"/>
      <c r="D108" s="101"/>
      <c r="E108" s="101"/>
      <c r="F108" s="101"/>
      <c r="G108" s="101"/>
      <c r="H108" s="101"/>
      <c r="I108" s="101"/>
      <c r="J108" s="101"/>
      <c r="K108" s="101"/>
      <c r="L108" s="101"/>
      <c r="M108" s="101"/>
      <c r="N108" s="101"/>
      <c r="O108" s="101"/>
      <c r="P108" s="101"/>
      <c r="Q108" s="101"/>
      <c r="R108" s="101"/>
      <c r="S108" s="101"/>
      <c r="T108" s="101"/>
      <c r="U108" s="62"/>
    </row>
    <row r="109" customFormat="false" ht="20.1" hidden="false" customHeight="true" outlineLevel="0" collapsed="false">
      <c r="B109" s="62"/>
      <c r="U109" s="62"/>
    </row>
    <row r="110" customFormat="false" ht="20.1" hidden="false" customHeight="true" outlineLevel="0" collapsed="false">
      <c r="B110" s="62"/>
      <c r="C110" s="141"/>
      <c r="D110" s="141"/>
      <c r="E110" s="142" t="str">
        <f aca="false">IF(OR(L91="-",L91= ""),H91,L91)</f>
        <v>Gaja Project</v>
      </c>
      <c r="F110" s="142"/>
      <c r="G110" s="142"/>
      <c r="H110" s="142"/>
      <c r="I110" s="142"/>
      <c r="J110" s="142"/>
      <c r="K110" s="142"/>
      <c r="L110" s="142"/>
      <c r="M110" s="142"/>
      <c r="N110" s="142"/>
      <c r="O110" s="143"/>
      <c r="P110" s="143"/>
      <c r="Q110" s="143"/>
      <c r="R110" s="143"/>
      <c r="S110" s="143"/>
      <c r="T110" s="141"/>
      <c r="U110" s="62"/>
    </row>
    <row r="111" customFormat="false" ht="50.1" hidden="false" customHeight="true" outlineLevel="0" collapsed="false">
      <c r="B111" s="62"/>
      <c r="C111" s="141"/>
      <c r="D111" s="143"/>
      <c r="E111" s="65" t="s">
        <v>53</v>
      </c>
      <c r="F111" s="104" t="s">
        <v>76</v>
      </c>
      <c r="G111" s="67" t="s">
        <v>77</v>
      </c>
      <c r="H111" s="66" t="s">
        <v>78</v>
      </c>
      <c r="I111" s="54" t="s">
        <v>79</v>
      </c>
      <c r="J111" s="66" t="s">
        <v>80</v>
      </c>
      <c r="K111" s="105" t="s">
        <v>81</v>
      </c>
      <c r="L111" s="66" t="s">
        <v>82</v>
      </c>
      <c r="M111" s="106" t="s">
        <v>83</v>
      </c>
      <c r="N111" s="67" t="s">
        <v>84</v>
      </c>
      <c r="O111" s="107" t="s">
        <v>85</v>
      </c>
      <c r="P111" s="108" t="s">
        <v>86</v>
      </c>
      <c r="Q111" s="108" t="s">
        <v>87</v>
      </c>
      <c r="R111" s="13" t="s">
        <v>88</v>
      </c>
      <c r="S111" s="143"/>
      <c r="T111" s="141"/>
      <c r="U111" s="62"/>
    </row>
    <row r="112" customFormat="false" ht="20.1" hidden="false" customHeight="true" outlineLevel="0" collapsed="false">
      <c r="B112" s="62"/>
      <c r="C112" s="141"/>
      <c r="D112" s="148"/>
      <c r="E112" s="318" t="s">
        <v>39</v>
      </c>
      <c r="F112" s="16" t="s">
        <v>40</v>
      </c>
      <c r="G112" s="250" t="n">
        <v>3</v>
      </c>
      <c r="H112" s="250" t="s">
        <v>480</v>
      </c>
      <c r="I112" s="250" t="n">
        <v>10</v>
      </c>
      <c r="J112" s="251" t="n">
        <v>111</v>
      </c>
      <c r="K112" s="250" t="s">
        <v>67</v>
      </c>
      <c r="L112" s="253" t="n">
        <f aca="false">IF(J112="",0,(J112/J116)*100)</f>
        <v>71.6129032258065</v>
      </c>
      <c r="M112" s="250" t="n">
        <v>4</v>
      </c>
      <c r="N112" s="254" t="n">
        <v>0</v>
      </c>
      <c r="O112" s="115" t="n">
        <f aca="false">IF(M112=1,1,0)</f>
        <v>0</v>
      </c>
      <c r="P112" s="116" t="n">
        <f aca="false">IF(M112=2,1,0)</f>
        <v>0</v>
      </c>
      <c r="Q112" s="116" t="n">
        <f aca="false">IF(M112=3,1,0)</f>
        <v>0</v>
      </c>
      <c r="R112" s="117" t="n">
        <f aca="false">IF(M112=4,1,0)</f>
        <v>1</v>
      </c>
      <c r="S112" s="147"/>
      <c r="T112" s="141"/>
      <c r="U112" s="62"/>
    </row>
    <row r="113" customFormat="false" ht="20.1" hidden="false" customHeight="true" outlineLevel="0" collapsed="false">
      <c r="B113" s="62"/>
      <c r="C113" s="141"/>
      <c r="D113" s="141"/>
      <c r="E113" s="174" t="s">
        <v>37</v>
      </c>
      <c r="F113" s="175" t="s">
        <v>38</v>
      </c>
      <c r="G113" s="151" t="n">
        <v>2</v>
      </c>
      <c r="H113" s="151" t="s">
        <v>481</v>
      </c>
      <c r="I113" s="151" t="n">
        <v>10</v>
      </c>
      <c r="J113" s="152" t="n">
        <v>155</v>
      </c>
      <c r="K113" s="152" t="s">
        <v>67</v>
      </c>
      <c r="L113" s="153" t="n">
        <f aca="false">IF(J113="",0,(J113/J116)*100)</f>
        <v>100</v>
      </c>
      <c r="M113" s="151" t="n">
        <v>1</v>
      </c>
      <c r="N113" s="154" t="n">
        <v>6</v>
      </c>
      <c r="O113" s="121" t="n">
        <f aca="false">IF(M113=1,1,0)</f>
        <v>1</v>
      </c>
      <c r="P113" s="122" t="n">
        <f aca="false">IF(M113=2,1,0)</f>
        <v>0</v>
      </c>
      <c r="Q113" s="122" t="n">
        <f aca="false">IF(M113=3,1,0)</f>
        <v>0</v>
      </c>
      <c r="R113" s="123" t="n">
        <f aca="false">IF(M113=4,1,0)</f>
        <v>0</v>
      </c>
      <c r="S113" s="147"/>
      <c r="T113" s="141"/>
      <c r="U113" s="62"/>
    </row>
    <row r="114" customFormat="false" ht="20.1" hidden="false" customHeight="true" outlineLevel="0" collapsed="false">
      <c r="B114" s="62"/>
      <c r="C114" s="141"/>
      <c r="D114" s="148"/>
      <c r="E114" s="326" t="s">
        <v>384</v>
      </c>
      <c r="F114" s="33" t="s">
        <v>28</v>
      </c>
      <c r="G114" s="241" t="n">
        <v>1</v>
      </c>
      <c r="H114" s="241" t="s">
        <v>482</v>
      </c>
      <c r="I114" s="241" t="n">
        <v>10</v>
      </c>
      <c r="J114" s="242" t="n">
        <v>112</v>
      </c>
      <c r="K114" s="241" t="s">
        <v>67</v>
      </c>
      <c r="L114" s="243" t="n">
        <f aca="false">IF(J114="",0,(J114/J116)*100)</f>
        <v>72.258064516129</v>
      </c>
      <c r="M114" s="241" t="n">
        <v>3</v>
      </c>
      <c r="N114" s="244" t="n">
        <v>1</v>
      </c>
      <c r="O114" s="121" t="n">
        <f aca="false">IF(M114=1,1,0)</f>
        <v>0</v>
      </c>
      <c r="P114" s="122" t="n">
        <f aca="false">IF(M114=2,1,0)</f>
        <v>0</v>
      </c>
      <c r="Q114" s="122" t="n">
        <f aca="false">IF(M114=3,1,0)</f>
        <v>1</v>
      </c>
      <c r="R114" s="123" t="n">
        <f aca="false">IF(M114=4,1,0)</f>
        <v>0</v>
      </c>
      <c r="S114" s="147"/>
      <c r="T114" s="141"/>
      <c r="U114" s="62"/>
    </row>
    <row r="115" customFormat="false" ht="20.1" hidden="false" customHeight="true" outlineLevel="0" collapsed="false">
      <c r="B115" s="62"/>
      <c r="C115" s="141"/>
      <c r="D115" s="141"/>
      <c r="E115" s="349" t="s">
        <v>29</v>
      </c>
      <c r="F115" s="44" t="s">
        <v>30</v>
      </c>
      <c r="G115" s="245" t="n">
        <v>4</v>
      </c>
      <c r="H115" s="246" t="s">
        <v>483</v>
      </c>
      <c r="I115" s="245" t="n">
        <v>10</v>
      </c>
      <c r="J115" s="246" t="n">
        <v>113</v>
      </c>
      <c r="K115" s="246" t="s">
        <v>67</v>
      </c>
      <c r="L115" s="247" t="n">
        <f aca="false">IF(J115="",0,(J115/J116)*100)</f>
        <v>72.9032258064516</v>
      </c>
      <c r="M115" s="245" t="n">
        <v>2</v>
      </c>
      <c r="N115" s="248" t="n">
        <v>3</v>
      </c>
      <c r="O115" s="127" t="n">
        <f aca="false">IF(M115=1,1,0)</f>
        <v>0</v>
      </c>
      <c r="P115" s="128" t="n">
        <f aca="false">IF(M115=2,1,0)</f>
        <v>1</v>
      </c>
      <c r="Q115" s="128" t="n">
        <f aca="false">IF(M115=3,1,0)</f>
        <v>0</v>
      </c>
      <c r="R115" s="129" t="n">
        <f aca="false">IF(M115=4,1,0)</f>
        <v>0</v>
      </c>
      <c r="S115" s="147"/>
      <c r="T115" s="141"/>
      <c r="U115" s="62"/>
    </row>
    <row r="116" customFormat="false" ht="20.1" hidden="true" customHeight="true" outlineLevel="1" collapsed="false">
      <c r="B116" s="62"/>
      <c r="C116" s="141"/>
      <c r="D116" s="141"/>
      <c r="E116" s="148"/>
      <c r="F116" s="502"/>
      <c r="G116" s="502"/>
      <c r="H116" s="148"/>
      <c r="I116" s="503" t="s">
        <v>89</v>
      </c>
      <c r="J116" s="136" t="n">
        <f aca="false">MAX(J112:J115)</f>
        <v>155</v>
      </c>
      <c r="K116" s="504"/>
      <c r="L116" s="161"/>
      <c r="M116" s="148"/>
      <c r="N116" s="136" t="s">
        <v>90</v>
      </c>
      <c r="O116" s="137" t="n">
        <f aca="false">SUM(O112:O115)</f>
        <v>1</v>
      </c>
      <c r="P116" s="138" t="n">
        <f aca="false">SUM(P112:P115)</f>
        <v>1</v>
      </c>
      <c r="Q116" s="137" t="n">
        <f aca="false">SUM(Q112:Q115)</f>
        <v>1</v>
      </c>
      <c r="R116" s="160" t="n">
        <f aca="false">SUM(R112:R115)</f>
        <v>1</v>
      </c>
      <c r="S116" s="161"/>
      <c r="T116" s="141"/>
      <c r="U116" s="62"/>
    </row>
    <row r="117" customFormat="false" ht="20.1" hidden="false" customHeight="true" outlineLevel="0" collapsed="false">
      <c r="B117" s="62"/>
      <c r="C117" s="141"/>
      <c r="D117" s="141"/>
      <c r="E117" s="141"/>
      <c r="F117" s="141"/>
      <c r="G117" s="141"/>
      <c r="H117" s="141"/>
      <c r="I117" s="141"/>
      <c r="J117" s="141"/>
      <c r="K117" s="141"/>
      <c r="L117" s="141"/>
      <c r="M117" s="141"/>
      <c r="N117" s="141"/>
      <c r="O117" s="141"/>
      <c r="P117" s="141"/>
      <c r="Q117" s="141"/>
      <c r="R117" s="141"/>
      <c r="S117" s="141"/>
      <c r="T117" s="141"/>
      <c r="U117" s="62"/>
    </row>
    <row r="118" customFormat="false" ht="20.1" hidden="false" customHeight="true" outlineLevel="0" collapsed="false">
      <c r="B118" s="62"/>
      <c r="D118" s="162"/>
      <c r="E118" s="162"/>
      <c r="F118" s="162"/>
      <c r="G118" s="162"/>
      <c r="H118" s="163"/>
      <c r="I118" s="162"/>
      <c r="J118" s="162"/>
      <c r="U118" s="62"/>
    </row>
    <row r="119" customFormat="false" ht="20.1" hidden="false" customHeight="true" outlineLevel="0" collapsed="false">
      <c r="B119" s="62"/>
      <c r="C119" s="164"/>
      <c r="D119" s="164"/>
      <c r="E119" s="165" t="str">
        <f aca="false">IF(OR(M95="-",M95= ""),H95,M95)</f>
        <v>Orakel von Delphi</v>
      </c>
      <c r="F119" s="165"/>
      <c r="G119" s="165"/>
      <c r="H119" s="165"/>
      <c r="I119" s="165"/>
      <c r="J119" s="165"/>
      <c r="K119" s="165"/>
      <c r="L119" s="165"/>
      <c r="M119" s="165"/>
      <c r="N119" s="165"/>
      <c r="O119" s="166"/>
      <c r="P119" s="166"/>
      <c r="Q119" s="166"/>
      <c r="R119" s="166"/>
      <c r="S119" s="166"/>
      <c r="T119" s="164"/>
      <c r="U119" s="167"/>
    </row>
    <row r="120" customFormat="false" ht="50.1" hidden="false" customHeight="true" outlineLevel="0" collapsed="false">
      <c r="B120" s="62"/>
      <c r="C120" s="164"/>
      <c r="D120" s="166"/>
      <c r="E120" s="65" t="s">
        <v>53</v>
      </c>
      <c r="F120" s="104" t="s">
        <v>76</v>
      </c>
      <c r="G120" s="67" t="s">
        <v>77</v>
      </c>
      <c r="H120" s="66" t="s">
        <v>78</v>
      </c>
      <c r="I120" s="54" t="s">
        <v>79</v>
      </c>
      <c r="J120" s="66" t="s">
        <v>80</v>
      </c>
      <c r="K120" s="105" t="s">
        <v>81</v>
      </c>
      <c r="L120" s="66" t="s">
        <v>82</v>
      </c>
      <c r="M120" s="106" t="s">
        <v>83</v>
      </c>
      <c r="N120" s="67" t="s">
        <v>84</v>
      </c>
      <c r="O120" s="107" t="s">
        <v>85</v>
      </c>
      <c r="P120" s="108" t="s">
        <v>86</v>
      </c>
      <c r="Q120" s="108" t="s">
        <v>87</v>
      </c>
      <c r="R120" s="13" t="s">
        <v>88</v>
      </c>
      <c r="S120" s="166"/>
      <c r="T120" s="164"/>
      <c r="U120" s="167"/>
    </row>
    <row r="121" customFormat="false" ht="45" hidden="false" customHeight="false" outlineLevel="0" collapsed="false">
      <c r="B121" s="62"/>
      <c r="C121" s="164"/>
      <c r="D121" s="171"/>
      <c r="E121" s="318" t="s">
        <v>39</v>
      </c>
      <c r="F121" s="16" t="s">
        <v>40</v>
      </c>
      <c r="G121" s="250" t="n">
        <v>4</v>
      </c>
      <c r="H121" s="250" t="s">
        <v>128</v>
      </c>
      <c r="I121" s="250" t="s">
        <v>67</v>
      </c>
      <c r="J121" s="251" t="s">
        <v>129</v>
      </c>
      <c r="K121" s="250" t="s">
        <v>67</v>
      </c>
      <c r="L121" s="253" t="n">
        <f aca="false">(L103+L115+L132)/3</f>
        <v>81.4191308243728</v>
      </c>
      <c r="M121" s="250" t="n">
        <v>2</v>
      </c>
      <c r="N121" s="254" t="n">
        <v>3</v>
      </c>
      <c r="O121" s="115" t="n">
        <f aca="false">IF(M121=1,1,0)</f>
        <v>0</v>
      </c>
      <c r="P121" s="116" t="n">
        <f aca="false">IF(M121=2,1,0)</f>
        <v>1</v>
      </c>
      <c r="Q121" s="116" t="n">
        <f aca="false">IF(M121=3,1,0)</f>
        <v>0</v>
      </c>
      <c r="R121" s="117" t="n">
        <f aca="false">IF(M121=4,1,0)</f>
        <v>0</v>
      </c>
      <c r="S121" s="170"/>
      <c r="T121" s="164"/>
      <c r="U121" s="62"/>
    </row>
    <row r="122" customFormat="false" ht="45" hidden="false" customHeight="false" outlineLevel="0" collapsed="false">
      <c r="B122" s="62"/>
      <c r="C122" s="164"/>
      <c r="D122" s="164"/>
      <c r="E122" s="174" t="s">
        <v>37</v>
      </c>
      <c r="F122" s="175" t="s">
        <v>38</v>
      </c>
      <c r="G122" s="151" t="n">
        <v>1</v>
      </c>
      <c r="H122" s="151" t="s">
        <v>259</v>
      </c>
      <c r="I122" s="151" t="s">
        <v>67</v>
      </c>
      <c r="J122" s="152" t="s">
        <v>127</v>
      </c>
      <c r="K122" s="152" t="s">
        <v>67</v>
      </c>
      <c r="L122" s="153" t="n">
        <v>100</v>
      </c>
      <c r="M122" s="151" t="n">
        <v>1</v>
      </c>
      <c r="N122" s="154" t="n">
        <v>6</v>
      </c>
      <c r="O122" s="121" t="n">
        <f aca="false">IF(M122=1,1,0)</f>
        <v>1</v>
      </c>
      <c r="P122" s="122" t="n">
        <f aca="false">IF(M122=2,1,0)</f>
        <v>0</v>
      </c>
      <c r="Q122" s="122" t="n">
        <f aca="false">IF(M122=3,1,0)</f>
        <v>0</v>
      </c>
      <c r="R122" s="123" t="n">
        <f aca="false">IF(M122=4,1,0)</f>
        <v>0</v>
      </c>
      <c r="S122" s="170"/>
      <c r="T122" s="164"/>
      <c r="U122" s="173"/>
    </row>
    <row r="123" customFormat="false" ht="45" hidden="false" customHeight="false" outlineLevel="0" collapsed="false">
      <c r="B123" s="62"/>
      <c r="C123" s="164"/>
      <c r="D123" s="164"/>
      <c r="E123" s="326" t="s">
        <v>384</v>
      </c>
      <c r="F123" s="33" t="s">
        <v>28</v>
      </c>
      <c r="G123" s="241" t="n">
        <v>3</v>
      </c>
      <c r="H123" s="241" t="s">
        <v>133</v>
      </c>
      <c r="I123" s="241" t="s">
        <v>67</v>
      </c>
      <c r="J123" s="242" t="s">
        <v>260</v>
      </c>
      <c r="K123" s="241" t="s">
        <v>67</v>
      </c>
      <c r="L123" s="243" t="n">
        <f aca="false">(L104+L114+L130)/3</f>
        <v>72.2867790811339</v>
      </c>
      <c r="M123" s="241" t="n">
        <v>3</v>
      </c>
      <c r="N123" s="244" t="n">
        <v>1</v>
      </c>
      <c r="O123" s="121" t="n">
        <f aca="false">IF(M123=1,1,0)</f>
        <v>0</v>
      </c>
      <c r="P123" s="122" t="n">
        <f aca="false">IF(M123=2,1,0)</f>
        <v>0</v>
      </c>
      <c r="Q123" s="122" t="n">
        <f aca="false">IF(M123=3,1,0)</f>
        <v>1</v>
      </c>
      <c r="R123" s="123" t="n">
        <f aca="false">IF(M123=4,1,0)</f>
        <v>0</v>
      </c>
      <c r="S123" s="170"/>
      <c r="T123" s="164"/>
      <c r="U123" s="173"/>
    </row>
    <row r="124" customFormat="false" ht="30.75" hidden="false" customHeight="false" outlineLevel="0" collapsed="false">
      <c r="B124" s="62"/>
      <c r="C124" s="164"/>
      <c r="D124" s="164"/>
      <c r="E124" s="349" t="s">
        <v>29</v>
      </c>
      <c r="F124" s="44" t="s">
        <v>30</v>
      </c>
      <c r="G124" s="245" t="n">
        <v>2</v>
      </c>
      <c r="H124" s="246" t="s">
        <v>258</v>
      </c>
      <c r="I124" s="245" t="s">
        <v>67</v>
      </c>
      <c r="J124" s="246" t="s">
        <v>325</v>
      </c>
      <c r="K124" s="246" t="s">
        <v>67</v>
      </c>
      <c r="L124" s="247" t="n">
        <f aca="false">(L106+L112+L131)/3</f>
        <v>51.3488717823395</v>
      </c>
      <c r="M124" s="245" t="n">
        <v>4</v>
      </c>
      <c r="N124" s="248" t="n">
        <v>0</v>
      </c>
      <c r="O124" s="127" t="n">
        <f aca="false">IF(M124=1,1,0)</f>
        <v>0</v>
      </c>
      <c r="P124" s="128" t="n">
        <f aca="false">IF(M124=2,1,0)</f>
        <v>0</v>
      </c>
      <c r="Q124" s="128" t="n">
        <f aca="false">IF(M124=3,1,0)</f>
        <v>0</v>
      </c>
      <c r="R124" s="129" t="n">
        <f aca="false">IF(M124=4,1,0)</f>
        <v>1</v>
      </c>
      <c r="S124" s="170"/>
      <c r="T124" s="164"/>
      <c r="U124" s="173"/>
    </row>
    <row r="125" customFormat="false" ht="20.1" hidden="true" customHeight="true" outlineLevel="1" collapsed="false">
      <c r="B125" s="62"/>
      <c r="C125" s="164"/>
      <c r="D125" s="164"/>
      <c r="E125" s="164"/>
      <c r="F125" s="178"/>
      <c r="G125" s="178"/>
      <c r="H125" s="164"/>
      <c r="I125" s="179" t="s">
        <v>89</v>
      </c>
      <c r="J125" s="133" t="n">
        <f aca="false">MAX(J121:J124)</f>
        <v>0</v>
      </c>
      <c r="K125" s="180"/>
      <c r="L125" s="170"/>
      <c r="M125" s="164"/>
      <c r="N125" s="136" t="s">
        <v>90</v>
      </c>
      <c r="O125" s="137" t="n">
        <f aca="false">SUM(O121:O124)</f>
        <v>1</v>
      </c>
      <c r="P125" s="138" t="n">
        <f aca="false">SUM(P121:P124)</f>
        <v>1</v>
      </c>
      <c r="Q125" s="137" t="n">
        <f aca="false">SUM(Q121:Q124)</f>
        <v>1</v>
      </c>
      <c r="R125" s="160" t="n">
        <f aca="false">SUM(R121:R124)</f>
        <v>1</v>
      </c>
      <c r="S125" s="181"/>
      <c r="T125" s="164"/>
      <c r="U125" s="173"/>
    </row>
    <row r="126" customFormat="false" ht="20.1" hidden="false" customHeight="true" outlineLevel="0" collapsed="false">
      <c r="B126" s="62"/>
      <c r="C126" s="164"/>
      <c r="D126" s="164"/>
      <c r="E126" s="164"/>
      <c r="F126" s="164"/>
      <c r="G126" s="164"/>
      <c r="H126" s="164"/>
      <c r="I126" s="164"/>
      <c r="J126" s="164"/>
      <c r="K126" s="164"/>
      <c r="L126" s="164"/>
      <c r="M126" s="164"/>
      <c r="N126" s="164"/>
      <c r="O126" s="164"/>
      <c r="P126" s="164"/>
      <c r="Q126" s="164"/>
      <c r="R126" s="164"/>
      <c r="S126" s="164"/>
      <c r="T126" s="164"/>
      <c r="U126" s="173"/>
    </row>
    <row r="127" customFormat="false" ht="20.1" hidden="false" customHeight="true" outlineLevel="0" collapsed="false">
      <c r="B127" s="62"/>
      <c r="D127" s="162"/>
      <c r="E127" s="162"/>
      <c r="F127" s="162"/>
      <c r="G127" s="162"/>
      <c r="H127" s="163"/>
      <c r="I127" s="162"/>
      <c r="J127" s="162"/>
      <c r="K127" s="162"/>
      <c r="U127" s="62"/>
    </row>
    <row r="128" customFormat="false" ht="20.1" hidden="false" customHeight="true" outlineLevel="0" collapsed="false">
      <c r="B128" s="62"/>
      <c r="C128" s="182"/>
      <c r="D128" s="182"/>
      <c r="E128" s="183" t="str">
        <f aca="false">IF(OR(L99="-",L99= ""),H99,L99)</f>
        <v>Roll for the Galaxy</v>
      </c>
      <c r="F128" s="183"/>
      <c r="G128" s="183"/>
      <c r="H128" s="183"/>
      <c r="I128" s="183"/>
      <c r="J128" s="183"/>
      <c r="K128" s="183"/>
      <c r="L128" s="183"/>
      <c r="M128" s="183"/>
      <c r="N128" s="183"/>
      <c r="O128" s="184"/>
      <c r="P128" s="184"/>
      <c r="Q128" s="184"/>
      <c r="R128" s="184"/>
      <c r="S128" s="184"/>
      <c r="T128" s="182"/>
      <c r="U128" s="62"/>
    </row>
    <row r="129" customFormat="false" ht="50.1" hidden="false" customHeight="true" outlineLevel="0" collapsed="false">
      <c r="B129" s="62"/>
      <c r="C129" s="182"/>
      <c r="D129" s="184"/>
      <c r="E129" s="65" t="s">
        <v>53</v>
      </c>
      <c r="F129" s="104" t="s">
        <v>76</v>
      </c>
      <c r="G129" s="67" t="s">
        <v>77</v>
      </c>
      <c r="H129" s="66" t="s">
        <v>78</v>
      </c>
      <c r="I129" s="54" t="s">
        <v>79</v>
      </c>
      <c r="J129" s="66" t="s">
        <v>80</v>
      </c>
      <c r="K129" s="105" t="s">
        <v>81</v>
      </c>
      <c r="L129" s="66" t="s">
        <v>82</v>
      </c>
      <c r="M129" s="106" t="s">
        <v>83</v>
      </c>
      <c r="N129" s="67" t="s">
        <v>84</v>
      </c>
      <c r="O129" s="107" t="s">
        <v>85</v>
      </c>
      <c r="P129" s="108" t="s">
        <v>86</v>
      </c>
      <c r="Q129" s="108" t="s">
        <v>87</v>
      </c>
      <c r="R129" s="13" t="s">
        <v>88</v>
      </c>
      <c r="S129" s="184"/>
      <c r="T129" s="182"/>
      <c r="U129" s="62"/>
    </row>
    <row r="130" customFormat="false" ht="20.1" hidden="false" customHeight="true" outlineLevel="0" collapsed="false">
      <c r="B130" s="62"/>
      <c r="C130" s="182"/>
      <c r="D130" s="182"/>
      <c r="E130" s="318" t="s">
        <v>39</v>
      </c>
      <c r="F130" s="16" t="s">
        <v>40</v>
      </c>
      <c r="G130" s="250" t="s">
        <v>67</v>
      </c>
      <c r="H130" s="250" t="s">
        <v>484</v>
      </c>
      <c r="I130" s="250" t="n">
        <v>5</v>
      </c>
      <c r="J130" s="251" t="n">
        <v>43</v>
      </c>
      <c r="K130" s="250" t="s">
        <v>67</v>
      </c>
      <c r="L130" s="253" t="n">
        <f aca="false">IF(J130="",0,(J130/J134)*100)</f>
        <v>97.7272727272727</v>
      </c>
      <c r="M130" s="250" t="n">
        <v>3</v>
      </c>
      <c r="N130" s="254" t="n">
        <v>1</v>
      </c>
      <c r="O130" s="115" t="n">
        <f aca="false">IF(M130=1,1,0)</f>
        <v>0</v>
      </c>
      <c r="P130" s="116" t="n">
        <f aca="false">IF(M130=2,1,0)</f>
        <v>0</v>
      </c>
      <c r="Q130" s="116" t="n">
        <f aca="false">IF(M130=3,1,0)</f>
        <v>1</v>
      </c>
      <c r="R130" s="117" t="n">
        <f aca="false">IF(M130=4,1,0)</f>
        <v>0</v>
      </c>
      <c r="S130" s="185"/>
      <c r="T130" s="182"/>
      <c r="U130" s="62"/>
    </row>
    <row r="131" customFormat="false" ht="27.95" hidden="false" customHeight="true" outlineLevel="0" collapsed="false">
      <c r="B131" s="62"/>
      <c r="C131" s="182"/>
      <c r="D131" s="182"/>
      <c r="E131" s="326" t="s">
        <v>37</v>
      </c>
      <c r="F131" s="33" t="s">
        <v>38</v>
      </c>
      <c r="G131" s="241" t="s">
        <v>67</v>
      </c>
      <c r="H131" s="242" t="s">
        <v>485</v>
      </c>
      <c r="I131" s="241" t="n">
        <v>6</v>
      </c>
      <c r="J131" s="242" t="n">
        <v>31</v>
      </c>
      <c r="K131" s="242" t="s">
        <v>67</v>
      </c>
      <c r="L131" s="243" t="n">
        <f aca="false">IF(J131="",0,(J131/J134)*100)</f>
        <v>70.4545454545455</v>
      </c>
      <c r="M131" s="241" t="n">
        <v>4</v>
      </c>
      <c r="N131" s="244" t="n">
        <v>0</v>
      </c>
      <c r="O131" s="121" t="n">
        <f aca="false">IF(M131=1,1,0)</f>
        <v>0</v>
      </c>
      <c r="P131" s="122" t="n">
        <f aca="false">IF(M131=2,1,0)</f>
        <v>0</v>
      </c>
      <c r="Q131" s="122" t="n">
        <f aca="false">IF(M131=3,1,0)</f>
        <v>0</v>
      </c>
      <c r="R131" s="123" t="n">
        <f aca="false">IF(M131=4,1,0)</f>
        <v>1</v>
      </c>
      <c r="S131" s="185"/>
      <c r="T131" s="182"/>
      <c r="U131" s="62"/>
    </row>
    <row r="132" customFormat="false" ht="45" hidden="false" customHeight="true" outlineLevel="0" collapsed="false">
      <c r="B132" s="62"/>
      <c r="C132" s="182"/>
      <c r="D132" s="182"/>
      <c r="E132" s="326" t="s">
        <v>384</v>
      </c>
      <c r="F132" s="33" t="s">
        <v>28</v>
      </c>
      <c r="G132" s="241" t="s">
        <v>67</v>
      </c>
      <c r="H132" s="242" t="s">
        <v>486</v>
      </c>
      <c r="I132" s="241" t="n">
        <v>6</v>
      </c>
      <c r="J132" s="242" t="n">
        <v>44</v>
      </c>
      <c r="K132" s="242" t="s">
        <v>487</v>
      </c>
      <c r="L132" s="243" t="n">
        <f aca="false">IF(J132="",0,(J132/J134)*100)</f>
        <v>100</v>
      </c>
      <c r="M132" s="241" t="n">
        <v>2</v>
      </c>
      <c r="N132" s="244" t="n">
        <v>3</v>
      </c>
      <c r="O132" s="121" t="n">
        <f aca="false">IF(M132=1,1,0)</f>
        <v>0</v>
      </c>
      <c r="P132" s="122" t="n">
        <f aca="false">IF(M132=2,1,0)</f>
        <v>1</v>
      </c>
      <c r="Q132" s="122" t="n">
        <f aca="false">IF(M132=3,1,0)</f>
        <v>0</v>
      </c>
      <c r="R132" s="123" t="n">
        <f aca="false">IF(M132=4,1,0)</f>
        <v>0</v>
      </c>
      <c r="S132" s="185"/>
      <c r="T132" s="182"/>
      <c r="U132" s="62"/>
    </row>
    <row r="133" customFormat="false" ht="45" hidden="false" customHeight="true" outlineLevel="0" collapsed="false">
      <c r="B133" s="62"/>
      <c r="C133" s="182"/>
      <c r="D133" s="186"/>
      <c r="E133" s="350" t="s">
        <v>29</v>
      </c>
      <c r="F133" s="294" t="s">
        <v>30</v>
      </c>
      <c r="G133" s="295" t="s">
        <v>67</v>
      </c>
      <c r="H133" s="296" t="s">
        <v>488</v>
      </c>
      <c r="I133" s="295" t="n">
        <v>3</v>
      </c>
      <c r="J133" s="296" t="n">
        <v>44</v>
      </c>
      <c r="K133" s="296" t="s">
        <v>489</v>
      </c>
      <c r="L133" s="297" t="n">
        <f aca="false">IF(J133="",0,(J133/J134)*100)</f>
        <v>100</v>
      </c>
      <c r="M133" s="295" t="n">
        <v>1</v>
      </c>
      <c r="N133" s="298" t="n">
        <v>6</v>
      </c>
      <c r="O133" s="127" t="n">
        <f aca="false">IF(M133=1,1,0)</f>
        <v>1</v>
      </c>
      <c r="P133" s="128" t="n">
        <f aca="false">IF(M133=2,1,0)</f>
        <v>0</v>
      </c>
      <c r="Q133" s="128" t="n">
        <f aca="false">IF(M133=3,1,0)</f>
        <v>0</v>
      </c>
      <c r="R133" s="129" t="n">
        <f aca="false">IF(M133=4,1,0)</f>
        <v>0</v>
      </c>
      <c r="S133" s="185"/>
      <c r="T133" s="182"/>
      <c r="U133" s="62"/>
    </row>
    <row r="134" customFormat="false" ht="20.1" hidden="true" customHeight="true" outlineLevel="1" collapsed="false">
      <c r="B134" s="62"/>
      <c r="C134" s="182"/>
      <c r="D134" s="182"/>
      <c r="E134" s="182"/>
      <c r="F134" s="187"/>
      <c r="G134" s="187"/>
      <c r="H134" s="182"/>
      <c r="I134" s="179" t="s">
        <v>89</v>
      </c>
      <c r="J134" s="133" t="n">
        <f aca="false">MAX(J130:J133)</f>
        <v>44</v>
      </c>
      <c r="K134" s="188"/>
      <c r="L134" s="185"/>
      <c r="M134" s="182"/>
      <c r="N134" s="136" t="s">
        <v>90</v>
      </c>
      <c r="O134" s="137" t="n">
        <f aca="false">SUM(O130:O133)</f>
        <v>1</v>
      </c>
      <c r="P134" s="138" t="n">
        <f aca="false">SUM(P130:P133)</f>
        <v>1</v>
      </c>
      <c r="Q134" s="137" t="n">
        <f aca="false">SUM(Q130:Q133)</f>
        <v>1</v>
      </c>
      <c r="R134" s="160" t="n">
        <f aca="false">SUM(R130:R133)</f>
        <v>1</v>
      </c>
      <c r="S134" s="189"/>
      <c r="T134" s="182"/>
      <c r="U134" s="62"/>
    </row>
    <row r="135" customFormat="false" ht="20.1" hidden="false" customHeight="true" outlineLevel="0" collapsed="false">
      <c r="B135" s="62"/>
      <c r="C135" s="182"/>
      <c r="D135" s="182"/>
      <c r="E135" s="182"/>
      <c r="F135" s="182"/>
      <c r="G135" s="182"/>
      <c r="H135" s="182"/>
      <c r="I135" s="182"/>
      <c r="J135" s="182"/>
      <c r="K135" s="182"/>
      <c r="L135" s="182"/>
      <c r="M135" s="182"/>
      <c r="N135" s="182"/>
      <c r="O135" s="182"/>
      <c r="P135" s="182"/>
      <c r="Q135" s="182"/>
      <c r="R135" s="182"/>
      <c r="S135" s="182"/>
      <c r="T135" s="182"/>
      <c r="U135" s="62"/>
    </row>
    <row r="136" customFormat="false" ht="20.1" hidden="false" customHeight="true" outlineLevel="0" collapsed="false">
      <c r="B136" s="62"/>
      <c r="D136" s="5"/>
      <c r="E136" s="5"/>
      <c r="F136" s="5"/>
      <c r="G136" s="5"/>
      <c r="H136" s="5"/>
      <c r="I136" s="5"/>
      <c r="J136" s="5"/>
      <c r="U136" s="62"/>
    </row>
    <row r="137" customFormat="false" ht="30" hidden="false" customHeight="true" outlineLevel="0" collapsed="false">
      <c r="B137" s="62"/>
      <c r="C137" s="190"/>
      <c r="D137" s="191" t="s">
        <v>135</v>
      </c>
      <c r="E137" s="191"/>
      <c r="F137" s="191"/>
      <c r="G137" s="191"/>
      <c r="H137" s="191"/>
      <c r="I137" s="191"/>
      <c r="J137" s="191"/>
      <c r="K137" s="191"/>
      <c r="L137" s="191"/>
      <c r="M137" s="191"/>
      <c r="N137" s="191"/>
      <c r="O137" s="191"/>
      <c r="P137" s="191"/>
      <c r="Q137" s="191"/>
      <c r="R137" s="191"/>
      <c r="S137" s="191"/>
      <c r="T137" s="190"/>
      <c r="U137" s="62"/>
    </row>
    <row r="138" customFormat="false" ht="50.1" hidden="false" customHeight="true" outlineLevel="0" collapsed="false">
      <c r="B138" s="62"/>
      <c r="C138" s="190"/>
      <c r="D138" s="192" t="s">
        <v>53</v>
      </c>
      <c r="E138" s="193" t="s">
        <v>54</v>
      </c>
      <c r="F138" s="194" t="s">
        <v>84</v>
      </c>
      <c r="G138" s="195" t="s">
        <v>100</v>
      </c>
      <c r="H138" s="196" t="s">
        <v>101</v>
      </c>
      <c r="I138" s="196"/>
      <c r="J138" s="197" t="s">
        <v>102</v>
      </c>
      <c r="K138" s="198" t="s">
        <v>103</v>
      </c>
      <c r="L138" s="194" t="s">
        <v>104</v>
      </c>
      <c r="M138" s="198" t="s">
        <v>105</v>
      </c>
      <c r="N138" s="194" t="s">
        <v>106</v>
      </c>
      <c r="O138" s="199"/>
      <c r="P138" s="200"/>
      <c r="Q138" s="200"/>
      <c r="R138" s="200"/>
      <c r="S138" s="193" t="s">
        <v>107</v>
      </c>
      <c r="T138" s="190"/>
      <c r="U138" s="62"/>
    </row>
    <row r="139" customFormat="false" ht="20.1" hidden="false" customHeight="true" outlineLevel="0" collapsed="false">
      <c r="B139" s="62"/>
      <c r="C139" s="190"/>
      <c r="D139" s="425" t="s">
        <v>37</v>
      </c>
      <c r="E139" s="302" t="s">
        <v>38</v>
      </c>
      <c r="F139" s="258" t="n">
        <f aca="false">K139*6+L139*3+M139*1+N139*0</f>
        <v>13</v>
      </c>
      <c r="G139" s="259" t="n">
        <v>0</v>
      </c>
      <c r="H139" s="259" t="s">
        <v>67</v>
      </c>
      <c r="I139" s="259"/>
      <c r="J139" s="258" t="n">
        <f aca="false">F139+G139</f>
        <v>13</v>
      </c>
      <c r="K139" s="258" t="n">
        <v>2</v>
      </c>
      <c r="L139" s="258" t="n">
        <v>0</v>
      </c>
      <c r="M139" s="258" t="n">
        <v>1</v>
      </c>
      <c r="N139" s="258" t="n">
        <v>1</v>
      </c>
      <c r="O139" s="260"/>
      <c r="P139" s="259"/>
      <c r="Q139" s="259"/>
      <c r="R139" s="259"/>
      <c r="S139" s="261" t="n">
        <f aca="false">(L104++L113+L122+L131)/4</f>
        <v>79.3323863636364</v>
      </c>
      <c r="T139" s="190"/>
      <c r="U139" s="62"/>
    </row>
    <row r="140" customFormat="false" ht="20.1" hidden="false" customHeight="true" outlineLevel="0" collapsed="false">
      <c r="B140" s="62"/>
      <c r="C140" s="190"/>
      <c r="D140" s="444" t="s">
        <v>384</v>
      </c>
      <c r="E140" s="208" t="s">
        <v>28</v>
      </c>
      <c r="F140" s="262" t="n">
        <f aca="false">K140*6+L140*3+M140*1+N140*0</f>
        <v>11</v>
      </c>
      <c r="G140" s="263" t="n">
        <v>0</v>
      </c>
      <c r="H140" s="263" t="s">
        <v>67</v>
      </c>
      <c r="I140" s="263"/>
      <c r="J140" s="262" t="n">
        <f aca="false">F140+G140</f>
        <v>11</v>
      </c>
      <c r="K140" s="262" t="n">
        <v>1</v>
      </c>
      <c r="L140" s="262" t="n">
        <v>1</v>
      </c>
      <c r="M140" s="262" t="n">
        <v>2</v>
      </c>
      <c r="N140" s="262" t="n">
        <v>0</v>
      </c>
      <c r="O140" s="264"/>
      <c r="P140" s="263"/>
      <c r="Q140" s="263"/>
      <c r="R140" s="263"/>
      <c r="S140" s="265" t="n">
        <f aca="false">(L105+L114+L123+L132)/4</f>
        <v>86.1362108993157</v>
      </c>
      <c r="T140" s="190"/>
      <c r="U140" s="62"/>
      <c r="Y140" s="266"/>
      <c r="Z140" s="266"/>
      <c r="AA140" s="267"/>
      <c r="AB140" s="267"/>
      <c r="AC140" s="268"/>
      <c r="AD140" s="268"/>
      <c r="AE140" s="268"/>
    </row>
    <row r="141" customFormat="false" ht="20.1" hidden="false" customHeight="true" outlineLevel="0" collapsed="false">
      <c r="B141" s="62"/>
      <c r="C141" s="190"/>
      <c r="D141" s="444" t="s">
        <v>29</v>
      </c>
      <c r="E141" s="208" t="s">
        <v>30</v>
      </c>
      <c r="F141" s="262" t="n">
        <f aca="false">K141*6+L141*3+M141*1+N141*0</f>
        <v>9</v>
      </c>
      <c r="G141" s="263" t="n">
        <v>0</v>
      </c>
      <c r="H141" s="263" t="s">
        <v>67</v>
      </c>
      <c r="I141" s="263"/>
      <c r="J141" s="262" t="n">
        <f aca="false">F141+G141</f>
        <v>9</v>
      </c>
      <c r="K141" s="262" t="n">
        <v>1</v>
      </c>
      <c r="L141" s="262" t="n">
        <v>1</v>
      </c>
      <c r="M141" s="262" t="n">
        <v>0</v>
      </c>
      <c r="N141" s="262" t="n">
        <v>2</v>
      </c>
      <c r="O141" s="264"/>
      <c r="P141" s="263"/>
      <c r="Q141" s="263"/>
      <c r="R141" s="263"/>
      <c r="S141" s="265" t="n">
        <f aca="false">(L106+L115+L124+L133)/4</f>
        <v>59.0578160638645</v>
      </c>
      <c r="T141" s="190"/>
      <c r="U141" s="62"/>
    </row>
    <row r="142" customFormat="false" ht="20.1" hidden="false" customHeight="true" outlineLevel="0" collapsed="false">
      <c r="B142" s="62"/>
      <c r="C142" s="190"/>
      <c r="D142" s="427" t="s">
        <v>39</v>
      </c>
      <c r="E142" s="215" t="s">
        <v>40</v>
      </c>
      <c r="F142" s="271" t="n">
        <f aca="false">K142*6+L142*3+M142*1+N142*0</f>
        <v>7</v>
      </c>
      <c r="G142" s="272" t="n">
        <v>0</v>
      </c>
      <c r="H142" s="272" t="s">
        <v>67</v>
      </c>
      <c r="I142" s="272"/>
      <c r="J142" s="271" t="n">
        <f aca="false">F142+G142</f>
        <v>7</v>
      </c>
      <c r="K142" s="271" t="n">
        <v>0</v>
      </c>
      <c r="L142" s="271" t="n">
        <v>2</v>
      </c>
      <c r="M142" s="271" t="n">
        <v>1</v>
      </c>
      <c r="N142" s="271" t="n">
        <v>1</v>
      </c>
      <c r="O142" s="273"/>
      <c r="P142" s="272"/>
      <c r="Q142" s="272"/>
      <c r="R142" s="272"/>
      <c r="S142" s="274" t="n">
        <f aca="false">(L103+L112+L121+L130)/4</f>
        <v>80.5283683610297</v>
      </c>
      <c r="T142" s="190"/>
      <c r="U142" s="62"/>
    </row>
    <row r="143" customFormat="false" ht="20.1" hidden="false" customHeight="true" outlineLevel="0" collapsed="false">
      <c r="B143" s="62"/>
      <c r="C143" s="190"/>
      <c r="D143" s="445"/>
      <c r="E143" s="445"/>
      <c r="F143" s="429"/>
      <c r="G143" s="377"/>
      <c r="H143" s="430"/>
      <c r="I143" s="430"/>
      <c r="J143" s="429"/>
      <c r="K143" s="429"/>
      <c r="L143" s="544"/>
      <c r="M143" s="544"/>
      <c r="N143" s="429"/>
      <c r="O143" s="376"/>
      <c r="P143" s="377"/>
      <c r="Q143" s="377"/>
      <c r="R143" s="377"/>
      <c r="S143" s="408"/>
      <c r="T143" s="190"/>
      <c r="U143" s="62"/>
    </row>
    <row r="144" customFormat="false" ht="20.1" hidden="false" customHeight="true" outlineLevel="0" collapsed="false">
      <c r="B144" s="62"/>
      <c r="C144" s="62"/>
      <c r="D144" s="219"/>
      <c r="E144" s="219"/>
      <c r="F144" s="167"/>
      <c r="G144" s="167"/>
      <c r="H144" s="219"/>
      <c r="I144" s="219"/>
      <c r="J144" s="219"/>
      <c r="K144" s="62"/>
      <c r="L144" s="62"/>
      <c r="M144" s="62"/>
      <c r="N144" s="62"/>
      <c r="O144" s="62"/>
      <c r="P144" s="62"/>
      <c r="Q144" s="62"/>
      <c r="R144" s="62"/>
      <c r="S144" s="62"/>
      <c r="T144" s="62"/>
      <c r="U144" s="62"/>
    </row>
    <row r="145" customFormat="false" ht="20.1" hidden="false" customHeight="true" outlineLevel="0" collapsed="false"/>
    <row r="146" customFormat="false" ht="20.1" hidden="false" customHeight="true" outlineLevel="0" collapsed="false"/>
    <row r="147" customFormat="false" ht="20.1" hidden="false" customHeight="true" outlineLevel="0" collapsed="false">
      <c r="B147" s="62"/>
      <c r="C147" s="62"/>
      <c r="D147" s="63"/>
      <c r="E147" s="63"/>
      <c r="F147" s="63"/>
      <c r="G147" s="63"/>
      <c r="H147" s="62"/>
      <c r="I147" s="62"/>
      <c r="J147" s="62"/>
      <c r="K147" s="62"/>
      <c r="L147" s="62"/>
      <c r="M147" s="62"/>
      <c r="N147" s="62"/>
      <c r="O147" s="62"/>
      <c r="P147" s="62"/>
      <c r="Q147" s="62"/>
      <c r="R147" s="62"/>
      <c r="S147" s="62"/>
      <c r="T147" s="62"/>
      <c r="U147" s="62"/>
    </row>
    <row r="148" customFormat="false" ht="30" hidden="false" customHeight="true" outlineLevel="0" collapsed="false">
      <c r="B148" s="62"/>
      <c r="C148" s="64" t="s">
        <v>407</v>
      </c>
      <c r="D148" s="64"/>
      <c r="E148" s="64"/>
      <c r="F148" s="64"/>
      <c r="G148" s="64"/>
      <c r="H148" s="64"/>
      <c r="I148" s="64"/>
      <c r="J148" s="64"/>
      <c r="K148" s="64"/>
      <c r="L148" s="64"/>
      <c r="M148" s="64"/>
      <c r="N148" s="64"/>
      <c r="O148" s="64"/>
      <c r="P148" s="64"/>
      <c r="Q148" s="64"/>
      <c r="R148" s="64"/>
      <c r="S148" s="64"/>
      <c r="T148" s="64"/>
      <c r="U148" s="62"/>
    </row>
    <row r="149" customFormat="false" ht="20.1" hidden="false" customHeight="true" outlineLevel="0" collapsed="false">
      <c r="B149" s="62"/>
      <c r="U149" s="62"/>
    </row>
    <row r="150" customFormat="false" ht="20.1" hidden="false" customHeight="true" outlineLevel="0" collapsed="false">
      <c r="B150" s="62"/>
      <c r="D150" s="65" t="s">
        <v>53</v>
      </c>
      <c r="E150" s="66" t="s">
        <v>137</v>
      </c>
      <c r="F150" s="67" t="s">
        <v>11</v>
      </c>
      <c r="G150" s="68" t="s">
        <v>55</v>
      </c>
      <c r="H150" s="68"/>
      <c r="I150" s="68"/>
      <c r="J150" s="68"/>
      <c r="K150" s="66" t="s">
        <v>56</v>
      </c>
      <c r="L150" s="68" t="s">
        <v>57</v>
      </c>
      <c r="M150" s="68"/>
      <c r="N150" s="68"/>
      <c r="O150" s="68"/>
      <c r="P150" s="68"/>
      <c r="Q150" s="68"/>
      <c r="R150" s="68"/>
      <c r="S150" s="68"/>
      <c r="U150" s="62"/>
    </row>
    <row r="151" customFormat="false" ht="20.1" hidden="false" customHeight="true" outlineLevel="0" collapsed="false">
      <c r="B151" s="62"/>
      <c r="D151" s="65"/>
      <c r="E151" s="66"/>
      <c r="F151" s="66"/>
      <c r="G151" s="70" t="s">
        <v>58</v>
      </c>
      <c r="H151" s="69" t="s">
        <v>59</v>
      </c>
      <c r="I151" s="67" t="s">
        <v>60</v>
      </c>
      <c r="J151" s="67"/>
      <c r="K151" s="69" t="s">
        <v>61</v>
      </c>
      <c r="L151" s="224" t="s">
        <v>58</v>
      </c>
      <c r="M151" s="225" t="s">
        <v>62</v>
      </c>
      <c r="N151" s="226" t="s">
        <v>60</v>
      </c>
      <c r="O151" s="226"/>
      <c r="P151" s="226"/>
      <c r="Q151" s="226"/>
      <c r="R151" s="226"/>
      <c r="S151" s="226"/>
      <c r="U151" s="62"/>
    </row>
    <row r="152" customFormat="false" ht="15" hidden="false" customHeight="true" outlineLevel="0" collapsed="false">
      <c r="B152" s="62"/>
      <c r="D152" s="380" t="s">
        <v>20</v>
      </c>
      <c r="E152" s="17" t="s">
        <v>21</v>
      </c>
      <c r="F152" s="23" t="n">
        <v>1</v>
      </c>
      <c r="G152" s="72" t="s">
        <v>63</v>
      </c>
      <c r="H152" s="74" t="s">
        <v>439</v>
      </c>
      <c r="I152" s="321" t="s">
        <v>440</v>
      </c>
      <c r="J152" s="321"/>
      <c r="K152" s="573" t="s">
        <v>111</v>
      </c>
      <c r="L152" s="352" t="s">
        <v>67</v>
      </c>
      <c r="M152" s="324" t="s">
        <v>67</v>
      </c>
      <c r="N152" s="463" t="s">
        <v>67</v>
      </c>
      <c r="O152" s="463"/>
      <c r="P152" s="463"/>
      <c r="Q152" s="463"/>
      <c r="R152" s="463"/>
      <c r="S152" s="463"/>
      <c r="U152" s="62"/>
    </row>
    <row r="153" customFormat="false" ht="15" hidden="false" customHeight="true" outlineLevel="0" collapsed="false">
      <c r="B153" s="62"/>
      <c r="D153" s="380"/>
      <c r="E153" s="17"/>
      <c r="F153" s="23"/>
      <c r="G153" s="72"/>
      <c r="H153" s="74"/>
      <c r="I153" s="325" t="s">
        <v>442</v>
      </c>
      <c r="J153" s="325"/>
      <c r="K153" s="573"/>
      <c r="L153" s="352"/>
      <c r="M153" s="324"/>
      <c r="N153" s="463"/>
      <c r="O153" s="463"/>
      <c r="P153" s="463"/>
      <c r="Q153" s="463"/>
      <c r="R153" s="463"/>
      <c r="S153" s="463"/>
      <c r="U153" s="62"/>
    </row>
    <row r="154" customFormat="false" ht="15" hidden="false" customHeight="true" outlineLevel="0" collapsed="false">
      <c r="B154" s="62"/>
      <c r="D154" s="380"/>
      <c r="E154" s="17"/>
      <c r="F154" s="23"/>
      <c r="G154" s="72"/>
      <c r="H154" s="74"/>
      <c r="I154" s="325" t="s">
        <v>443</v>
      </c>
      <c r="J154" s="325"/>
      <c r="K154" s="573"/>
      <c r="L154" s="352"/>
      <c r="M154" s="324"/>
      <c r="N154" s="463"/>
      <c r="O154" s="463"/>
      <c r="P154" s="463"/>
      <c r="Q154" s="463"/>
      <c r="R154" s="463"/>
      <c r="S154" s="463"/>
      <c r="U154" s="62"/>
    </row>
    <row r="155" customFormat="false" ht="15" hidden="false" customHeight="true" outlineLevel="0" collapsed="false">
      <c r="B155" s="62"/>
      <c r="D155" s="380"/>
      <c r="E155" s="17"/>
      <c r="F155" s="23"/>
      <c r="G155" s="72"/>
      <c r="H155" s="74"/>
      <c r="I155" s="360" t="s">
        <v>444</v>
      </c>
      <c r="J155" s="360"/>
      <c r="K155" s="573"/>
      <c r="L155" s="352"/>
      <c r="M155" s="324"/>
      <c r="N155" s="463"/>
      <c r="O155" s="463"/>
      <c r="P155" s="463"/>
      <c r="Q155" s="463"/>
      <c r="R155" s="463"/>
      <c r="S155" s="463"/>
      <c r="U155" s="62"/>
    </row>
    <row r="156" customFormat="false" ht="15" hidden="false" customHeight="true" outlineLevel="0" collapsed="false">
      <c r="B156" s="62"/>
      <c r="D156" s="326" t="s">
        <v>31</v>
      </c>
      <c r="E156" s="34" t="s">
        <v>32</v>
      </c>
      <c r="F156" s="31" t="n">
        <v>2</v>
      </c>
      <c r="G156" s="80" t="s">
        <v>63</v>
      </c>
      <c r="H156" s="384" t="s">
        <v>490</v>
      </c>
      <c r="I156" s="332" t="s">
        <v>491</v>
      </c>
      <c r="J156" s="332"/>
      <c r="K156" s="353" t="s">
        <v>111</v>
      </c>
      <c r="L156" s="354" t="s">
        <v>67</v>
      </c>
      <c r="M156" s="515" t="s">
        <v>67</v>
      </c>
      <c r="N156" s="337" t="s">
        <v>67</v>
      </c>
      <c r="O156" s="337"/>
      <c r="P156" s="337"/>
      <c r="Q156" s="337"/>
      <c r="R156" s="337"/>
      <c r="S156" s="337"/>
      <c r="U156" s="62"/>
    </row>
    <row r="157" customFormat="false" ht="15" hidden="false" customHeight="true" outlineLevel="0" collapsed="false">
      <c r="B157" s="62"/>
      <c r="D157" s="326"/>
      <c r="E157" s="34"/>
      <c r="F157" s="31"/>
      <c r="G157" s="80"/>
      <c r="H157" s="384"/>
      <c r="I157" s="332" t="s">
        <v>492</v>
      </c>
      <c r="J157" s="332"/>
      <c r="K157" s="353"/>
      <c r="L157" s="354"/>
      <c r="M157" s="515"/>
      <c r="N157" s="515"/>
      <c r="O157" s="337"/>
      <c r="P157" s="337"/>
      <c r="Q157" s="337"/>
      <c r="R157" s="337"/>
      <c r="S157" s="337"/>
      <c r="U157" s="62"/>
    </row>
    <row r="158" customFormat="false" ht="15" hidden="false" customHeight="true" outlineLevel="0" collapsed="false">
      <c r="B158" s="62"/>
      <c r="D158" s="326"/>
      <c r="E158" s="34"/>
      <c r="F158" s="31"/>
      <c r="G158" s="80"/>
      <c r="H158" s="384"/>
      <c r="I158" s="332" t="s">
        <v>493</v>
      </c>
      <c r="J158" s="332"/>
      <c r="K158" s="353"/>
      <c r="L158" s="354"/>
      <c r="M158" s="515"/>
      <c r="N158" s="515"/>
      <c r="O158" s="337"/>
      <c r="P158" s="337"/>
      <c r="Q158" s="337"/>
      <c r="R158" s="337"/>
      <c r="S158" s="337"/>
      <c r="U158" s="62"/>
    </row>
    <row r="159" customFormat="false" ht="15" hidden="false" customHeight="true" outlineLevel="0" collapsed="false">
      <c r="B159" s="62"/>
      <c r="D159" s="326"/>
      <c r="E159" s="34"/>
      <c r="F159" s="31"/>
      <c r="G159" s="80"/>
      <c r="H159" s="384"/>
      <c r="I159" s="332" t="s">
        <v>494</v>
      </c>
      <c r="J159" s="332"/>
      <c r="K159" s="353"/>
      <c r="L159" s="354"/>
      <c r="M159" s="515"/>
      <c r="N159" s="515"/>
      <c r="O159" s="337"/>
      <c r="P159" s="337"/>
      <c r="Q159" s="337"/>
      <c r="R159" s="337"/>
      <c r="S159" s="337"/>
      <c r="U159" s="62"/>
    </row>
    <row r="160" customFormat="false" ht="15" hidden="false" customHeight="true" outlineLevel="0" collapsed="false">
      <c r="B160" s="62"/>
      <c r="D160" s="326"/>
      <c r="E160" s="34"/>
      <c r="F160" s="31"/>
      <c r="G160" s="80"/>
      <c r="H160" s="384"/>
      <c r="I160" s="332" t="s">
        <v>495</v>
      </c>
      <c r="J160" s="332"/>
      <c r="K160" s="353"/>
      <c r="L160" s="354"/>
      <c r="M160" s="515"/>
      <c r="N160" s="515"/>
      <c r="O160" s="337"/>
      <c r="P160" s="337"/>
      <c r="Q160" s="337"/>
      <c r="R160" s="337"/>
      <c r="S160" s="337"/>
      <c r="U160" s="62"/>
    </row>
    <row r="161" customFormat="false" ht="20.1" hidden="false" customHeight="true" outlineLevel="0" collapsed="false">
      <c r="B161" s="62"/>
      <c r="D161" s="432" t="s">
        <v>31</v>
      </c>
      <c r="E161" s="446" t="s">
        <v>32</v>
      </c>
      <c r="F161" s="36" t="n">
        <v>3</v>
      </c>
      <c r="G161" s="434" t="s">
        <v>63</v>
      </c>
      <c r="H161" s="435" t="s">
        <v>496</v>
      </c>
      <c r="I161" s="335" t="s">
        <v>497</v>
      </c>
      <c r="J161" s="335"/>
      <c r="K161" s="550"/>
      <c r="L161" s="551"/>
      <c r="M161" s="388"/>
      <c r="N161" s="552"/>
      <c r="O161" s="552"/>
      <c r="P161" s="552"/>
      <c r="Q161" s="552"/>
      <c r="R161" s="552"/>
      <c r="S161" s="552"/>
      <c r="U161" s="62"/>
    </row>
    <row r="162" customFormat="false" ht="27.95" hidden="false" customHeight="true" outlineLevel="0" collapsed="false">
      <c r="B162" s="62"/>
      <c r="D162" s="49" t="s">
        <v>20</v>
      </c>
      <c r="E162" s="45" t="s">
        <v>21</v>
      </c>
      <c r="F162" s="396" t="n">
        <v>4</v>
      </c>
      <c r="G162" s="358" t="s">
        <v>63</v>
      </c>
      <c r="H162" s="96" t="s">
        <v>408</v>
      </c>
      <c r="I162" s="286" t="s">
        <v>67</v>
      </c>
      <c r="J162" s="286"/>
      <c r="K162" s="559"/>
      <c r="L162" s="560"/>
      <c r="M162" s="400"/>
      <c r="N162" s="402"/>
      <c r="O162" s="402"/>
      <c r="P162" s="402"/>
      <c r="Q162" s="402"/>
      <c r="R162" s="402"/>
      <c r="S162" s="402"/>
      <c r="U162" s="62"/>
    </row>
    <row r="163" customFormat="false" ht="20.1" hidden="false" customHeight="true" outlineLevel="0" collapsed="false">
      <c r="B163" s="62"/>
      <c r="U163" s="62"/>
    </row>
    <row r="164" customFormat="false" ht="20.1" hidden="false" customHeight="true" outlineLevel="0" collapsed="false">
      <c r="B164" s="62"/>
      <c r="C164" s="101"/>
      <c r="D164" s="101"/>
      <c r="E164" s="102" t="str">
        <f aca="false">IF(OR(M152="-",M152= ""),H152,M152)</f>
        <v>Hive</v>
      </c>
      <c r="F164" s="102"/>
      <c r="G164" s="102"/>
      <c r="H164" s="102"/>
      <c r="I164" s="102"/>
      <c r="J164" s="102"/>
      <c r="K164" s="102"/>
      <c r="L164" s="102"/>
      <c r="M164" s="102"/>
      <c r="N164" s="102"/>
      <c r="O164" s="103"/>
      <c r="P164" s="103"/>
      <c r="Q164" s="103"/>
      <c r="R164" s="103"/>
      <c r="S164" s="103"/>
      <c r="T164" s="101"/>
      <c r="U164" s="62"/>
    </row>
    <row r="165" customFormat="false" ht="50.1" hidden="false" customHeight="true" outlineLevel="0" collapsed="false">
      <c r="B165" s="62"/>
      <c r="C165" s="101"/>
      <c r="D165" s="103"/>
      <c r="E165" s="65" t="s">
        <v>53</v>
      </c>
      <c r="F165" s="104" t="s">
        <v>76</v>
      </c>
      <c r="G165" s="67" t="s">
        <v>77</v>
      </c>
      <c r="H165" s="66" t="s">
        <v>78</v>
      </c>
      <c r="I165" s="54" t="s">
        <v>79</v>
      </c>
      <c r="J165" s="66" t="s">
        <v>80</v>
      </c>
      <c r="K165" s="105" t="s">
        <v>81</v>
      </c>
      <c r="L165" s="66" t="s">
        <v>82</v>
      </c>
      <c r="M165" s="106" t="s">
        <v>83</v>
      </c>
      <c r="N165" s="67" t="s">
        <v>84</v>
      </c>
      <c r="O165" s="107" t="s">
        <v>85</v>
      </c>
      <c r="P165" s="108" t="s">
        <v>86</v>
      </c>
      <c r="Q165" s="103"/>
      <c r="R165" s="103"/>
      <c r="S165" s="103"/>
      <c r="T165" s="101"/>
      <c r="U165" s="62"/>
    </row>
    <row r="166" customFormat="false" ht="20.1" hidden="false" customHeight="true" outlineLevel="0" collapsed="false">
      <c r="B166" s="62"/>
      <c r="C166" s="101"/>
      <c r="D166" s="124"/>
      <c r="E166" s="403" t="s">
        <v>20</v>
      </c>
      <c r="F166" s="110" t="s">
        <v>21</v>
      </c>
      <c r="G166" s="111" t="n">
        <v>1</v>
      </c>
      <c r="H166" s="111" t="s">
        <v>67</v>
      </c>
      <c r="I166" s="111" t="n">
        <v>0</v>
      </c>
      <c r="J166" s="111" t="n">
        <v>1</v>
      </c>
      <c r="K166" s="111" t="s">
        <v>67</v>
      </c>
      <c r="L166" s="113" t="n">
        <f aca="false">IF(J166="",0,(J166/J168)*100)</f>
        <v>100</v>
      </c>
      <c r="M166" s="111" t="n">
        <v>1</v>
      </c>
      <c r="N166" s="114" t="n">
        <v>6</v>
      </c>
      <c r="O166" s="116" t="n">
        <f aca="false">IF(M166=1,1,0)</f>
        <v>1</v>
      </c>
      <c r="P166" s="117" t="n">
        <f aca="false">IF(M166=2,1,0)</f>
        <v>0</v>
      </c>
      <c r="Q166" s="118"/>
      <c r="R166" s="118"/>
      <c r="S166" s="118"/>
      <c r="T166" s="101"/>
      <c r="U166" s="62"/>
    </row>
    <row r="167" customFormat="false" ht="20.1" hidden="false" customHeight="true" outlineLevel="0" collapsed="false">
      <c r="B167" s="62"/>
      <c r="C167" s="101"/>
      <c r="D167" s="101"/>
      <c r="E167" s="574" t="s">
        <v>31</v>
      </c>
      <c r="F167" s="46" t="s">
        <v>32</v>
      </c>
      <c r="G167" s="125" t="n">
        <v>2</v>
      </c>
      <c r="H167" s="125" t="s">
        <v>67</v>
      </c>
      <c r="I167" s="125" t="n">
        <v>0</v>
      </c>
      <c r="J167" s="125" t="n">
        <v>0</v>
      </c>
      <c r="K167" s="156" t="s">
        <v>67</v>
      </c>
      <c r="L167" s="126" t="n">
        <f aca="false">IF(J167="",0,(J167/J168)*100)</f>
        <v>0</v>
      </c>
      <c r="M167" s="125" t="n">
        <v>2</v>
      </c>
      <c r="N167" s="50" t="n">
        <v>0</v>
      </c>
      <c r="O167" s="128" t="n">
        <f aca="false">IF(M167=1,1,0)</f>
        <v>0</v>
      </c>
      <c r="P167" s="129" t="n">
        <f aca="false">IF(M167=2,1,0)</f>
        <v>1</v>
      </c>
      <c r="Q167" s="118"/>
      <c r="R167" s="118"/>
      <c r="S167" s="118"/>
      <c r="T167" s="101"/>
      <c r="U167" s="62"/>
    </row>
    <row r="168" customFormat="false" ht="20.1" hidden="true" customHeight="true" outlineLevel="1" collapsed="false">
      <c r="B168" s="62"/>
      <c r="C168" s="101"/>
      <c r="D168" s="124"/>
      <c r="E168" s="124"/>
      <c r="F168" s="131"/>
      <c r="G168" s="131"/>
      <c r="H168" s="101"/>
      <c r="I168" s="179" t="s">
        <v>89</v>
      </c>
      <c r="J168" s="133" t="n">
        <f aca="false">MAX(J166:J167)</f>
        <v>1</v>
      </c>
      <c r="K168" s="249"/>
      <c r="L168" s="139"/>
      <c r="M168" s="101"/>
      <c r="N168" s="136" t="s">
        <v>90</v>
      </c>
      <c r="O168" s="137" t="n">
        <f aca="false">SUM(O166:O167)</f>
        <v>1</v>
      </c>
      <c r="P168" s="160" t="n">
        <f aca="false">SUM(P166:P167)</f>
        <v>1</v>
      </c>
      <c r="Q168" s="139"/>
      <c r="R168" s="139"/>
      <c r="S168" s="139"/>
      <c r="T168" s="101"/>
      <c r="U168" s="62"/>
    </row>
    <row r="169" customFormat="false" ht="20.1" hidden="false" customHeight="true" outlineLevel="0" collapsed="false">
      <c r="B169" s="62"/>
      <c r="C169" s="101"/>
      <c r="D169" s="101"/>
      <c r="E169" s="101"/>
      <c r="F169" s="101"/>
      <c r="G169" s="101"/>
      <c r="H169" s="101"/>
      <c r="I169" s="101"/>
      <c r="J169" s="101"/>
      <c r="K169" s="101"/>
      <c r="L169" s="101"/>
      <c r="M169" s="101"/>
      <c r="N169" s="101"/>
      <c r="O169" s="101"/>
      <c r="P169" s="101"/>
      <c r="Q169" s="101"/>
      <c r="R169" s="101"/>
      <c r="S169" s="101"/>
      <c r="T169" s="101"/>
      <c r="U169" s="62"/>
    </row>
    <row r="170" customFormat="false" ht="20.1" hidden="false" customHeight="true" outlineLevel="0" collapsed="false">
      <c r="B170" s="62"/>
      <c r="U170" s="62"/>
    </row>
    <row r="171" customFormat="false" ht="20.1" hidden="false" customHeight="true" outlineLevel="0" collapsed="false">
      <c r="B171" s="62"/>
      <c r="C171" s="141"/>
      <c r="D171" s="141"/>
      <c r="E171" s="561" t="str">
        <f aca="false">H156</f>
        <v>Santorini</v>
      </c>
      <c r="F171" s="561"/>
      <c r="G171" s="561"/>
      <c r="H171" s="561"/>
      <c r="I171" s="561"/>
      <c r="J171" s="561"/>
      <c r="K171" s="561"/>
      <c r="L171" s="561"/>
      <c r="M171" s="561"/>
      <c r="N171" s="561"/>
      <c r="O171" s="143"/>
      <c r="P171" s="143"/>
      <c r="Q171" s="143"/>
      <c r="R171" s="143"/>
      <c r="S171" s="143"/>
      <c r="T171" s="141"/>
      <c r="U171" s="62"/>
    </row>
    <row r="172" customFormat="false" ht="50.1" hidden="false" customHeight="true" outlineLevel="0" collapsed="false">
      <c r="B172" s="62"/>
      <c r="C172" s="141"/>
      <c r="D172" s="143"/>
      <c r="E172" s="65" t="s">
        <v>53</v>
      </c>
      <c r="F172" s="104" t="s">
        <v>76</v>
      </c>
      <c r="G172" s="67" t="s">
        <v>77</v>
      </c>
      <c r="H172" s="66" t="s">
        <v>78</v>
      </c>
      <c r="I172" s="54" t="s">
        <v>79</v>
      </c>
      <c r="J172" s="66" t="s">
        <v>80</v>
      </c>
      <c r="K172" s="105" t="s">
        <v>81</v>
      </c>
      <c r="L172" s="66" t="s">
        <v>82</v>
      </c>
      <c r="M172" s="106" t="s">
        <v>83</v>
      </c>
      <c r="N172" s="67" t="s">
        <v>84</v>
      </c>
      <c r="O172" s="107" t="s">
        <v>85</v>
      </c>
      <c r="P172" s="108" t="s">
        <v>86</v>
      </c>
      <c r="Q172" s="143"/>
      <c r="R172" s="143"/>
      <c r="S172" s="143"/>
      <c r="T172" s="141"/>
      <c r="U172" s="62"/>
    </row>
    <row r="173" customFormat="false" ht="20.1" hidden="false" customHeight="true" outlineLevel="0" collapsed="false">
      <c r="B173" s="62"/>
      <c r="C173" s="141"/>
      <c r="D173" s="148"/>
      <c r="E173" s="380" t="s">
        <v>20</v>
      </c>
      <c r="F173" s="18" t="s">
        <v>21</v>
      </c>
      <c r="G173" s="144" t="n">
        <v>1</v>
      </c>
      <c r="H173" s="144" t="s">
        <v>498</v>
      </c>
      <c r="I173" s="144" t="n">
        <v>0</v>
      </c>
      <c r="J173" s="144" t="n">
        <v>0</v>
      </c>
      <c r="K173" s="144" t="s">
        <v>67</v>
      </c>
      <c r="L173" s="146" t="n">
        <f aca="false">IF(J173="",0,(J173/J175)*100)</f>
        <v>0</v>
      </c>
      <c r="M173" s="144" t="n">
        <v>2</v>
      </c>
      <c r="N173" s="23" t="n">
        <v>0</v>
      </c>
      <c r="O173" s="115" t="n">
        <f aca="false">IF(M173=1,1,0)</f>
        <v>0</v>
      </c>
      <c r="P173" s="117" t="n">
        <f aca="false">IF(M173=2,1,0)</f>
        <v>1</v>
      </c>
      <c r="Q173" s="147"/>
      <c r="R173" s="147"/>
      <c r="S173" s="147"/>
      <c r="T173" s="141"/>
      <c r="U173" s="62"/>
    </row>
    <row r="174" customFormat="false" ht="20.1" hidden="false" customHeight="true" outlineLevel="0" collapsed="false">
      <c r="B174" s="62"/>
      <c r="C174" s="141"/>
      <c r="D174" s="141"/>
      <c r="E174" s="293" t="s">
        <v>31</v>
      </c>
      <c r="F174" s="294" t="s">
        <v>32</v>
      </c>
      <c r="G174" s="295" t="n">
        <v>2</v>
      </c>
      <c r="H174" s="295" t="s">
        <v>499</v>
      </c>
      <c r="I174" s="295" t="n">
        <v>0</v>
      </c>
      <c r="J174" s="295" t="n">
        <v>1</v>
      </c>
      <c r="K174" s="296" t="s">
        <v>67</v>
      </c>
      <c r="L174" s="297" t="n">
        <f aca="false">IF(J174="",0,(J174/J175)*100)</f>
        <v>100</v>
      </c>
      <c r="M174" s="295" t="n">
        <v>1</v>
      </c>
      <c r="N174" s="298" t="n">
        <v>6</v>
      </c>
      <c r="O174" s="127" t="n">
        <f aca="false">IF(M174=1,1,0)</f>
        <v>1</v>
      </c>
      <c r="P174" s="129" t="n">
        <f aca="false">IF(M174=2,1,0)</f>
        <v>0</v>
      </c>
      <c r="Q174" s="147"/>
      <c r="R174" s="147"/>
      <c r="S174" s="147"/>
      <c r="T174" s="141"/>
      <c r="U174" s="62"/>
    </row>
    <row r="175" customFormat="false" ht="20.1" hidden="true" customHeight="true" outlineLevel="1" collapsed="false">
      <c r="B175" s="62"/>
      <c r="C175" s="141"/>
      <c r="D175" s="141"/>
      <c r="E175" s="141"/>
      <c r="F175" s="157"/>
      <c r="G175" s="157"/>
      <c r="H175" s="141"/>
      <c r="I175" s="179" t="s">
        <v>89</v>
      </c>
      <c r="J175" s="133" t="n">
        <f aca="false">MAX(J173:J174)</f>
        <v>1</v>
      </c>
      <c r="K175" s="159"/>
      <c r="L175" s="147"/>
      <c r="M175" s="141"/>
      <c r="N175" s="136" t="s">
        <v>90</v>
      </c>
      <c r="O175" s="137" t="n">
        <f aca="false">SUM(O173:O174)</f>
        <v>1</v>
      </c>
      <c r="P175" s="160" t="n">
        <f aca="false">SUM(P173:P174)</f>
        <v>1</v>
      </c>
      <c r="Q175" s="161"/>
      <c r="R175" s="161"/>
      <c r="S175" s="161"/>
      <c r="T175" s="141"/>
      <c r="U175" s="62"/>
    </row>
    <row r="176" customFormat="false" ht="20.1" hidden="false" customHeight="true" outlineLevel="0" collapsed="false">
      <c r="B176" s="62"/>
      <c r="C176" s="141"/>
      <c r="D176" s="141"/>
      <c r="E176" s="141"/>
      <c r="F176" s="141"/>
      <c r="G176" s="141"/>
      <c r="H176" s="141"/>
      <c r="I176" s="141"/>
      <c r="J176" s="141"/>
      <c r="K176" s="141"/>
      <c r="L176" s="141"/>
      <c r="M176" s="141"/>
      <c r="N176" s="141"/>
      <c r="O176" s="141"/>
      <c r="P176" s="141"/>
      <c r="Q176" s="141"/>
      <c r="R176" s="141"/>
      <c r="S176" s="141"/>
      <c r="T176" s="141"/>
      <c r="U176" s="62"/>
    </row>
    <row r="177" customFormat="false" ht="20.1" hidden="false" customHeight="true" outlineLevel="0" collapsed="false">
      <c r="B177" s="62"/>
      <c r="D177" s="162"/>
      <c r="E177" s="162"/>
      <c r="F177" s="162"/>
      <c r="G177" s="162"/>
      <c r="H177" s="163"/>
      <c r="I177" s="162"/>
      <c r="J177" s="162"/>
      <c r="U177" s="62"/>
    </row>
    <row r="178" customFormat="false" ht="20.1" hidden="false" customHeight="true" outlineLevel="0" collapsed="false">
      <c r="B178" s="62"/>
      <c r="C178" s="164"/>
      <c r="D178" s="164"/>
      <c r="E178" s="562" t="str">
        <f aca="false">H161</f>
        <v>Wasserkraft</v>
      </c>
      <c r="F178" s="562"/>
      <c r="G178" s="562"/>
      <c r="H178" s="562"/>
      <c r="I178" s="562"/>
      <c r="J178" s="562"/>
      <c r="K178" s="562"/>
      <c r="L178" s="562"/>
      <c r="M178" s="562"/>
      <c r="N178" s="562"/>
      <c r="O178" s="166"/>
      <c r="P178" s="166"/>
      <c r="Q178" s="166"/>
      <c r="R178" s="166"/>
      <c r="S178" s="166"/>
      <c r="T178" s="164"/>
      <c r="U178" s="167"/>
    </row>
    <row r="179" customFormat="false" ht="50.1" hidden="false" customHeight="true" outlineLevel="0" collapsed="false">
      <c r="B179" s="62"/>
      <c r="C179" s="164"/>
      <c r="D179" s="166"/>
      <c r="E179" s="65" t="s">
        <v>53</v>
      </c>
      <c r="F179" s="104" t="s">
        <v>76</v>
      </c>
      <c r="G179" s="67" t="s">
        <v>77</v>
      </c>
      <c r="H179" s="66" t="s">
        <v>78</v>
      </c>
      <c r="I179" s="54" t="s">
        <v>79</v>
      </c>
      <c r="J179" s="66" t="s">
        <v>80</v>
      </c>
      <c r="K179" s="105" t="s">
        <v>81</v>
      </c>
      <c r="L179" s="66" t="s">
        <v>82</v>
      </c>
      <c r="M179" s="106" t="s">
        <v>83</v>
      </c>
      <c r="N179" s="67" t="s">
        <v>84</v>
      </c>
      <c r="O179" s="107" t="s">
        <v>85</v>
      </c>
      <c r="P179" s="108" t="s">
        <v>86</v>
      </c>
      <c r="Q179" s="166"/>
      <c r="R179" s="166"/>
      <c r="S179" s="166"/>
      <c r="T179" s="164"/>
      <c r="U179" s="167"/>
    </row>
    <row r="180" customFormat="false" ht="27.95" hidden="false" customHeight="true" outlineLevel="0" collapsed="false">
      <c r="B180" s="62"/>
      <c r="C180" s="164"/>
      <c r="D180" s="171"/>
      <c r="E180" s="380" t="s">
        <v>20</v>
      </c>
      <c r="F180" s="18" t="s">
        <v>21</v>
      </c>
      <c r="G180" s="144" t="n">
        <v>1</v>
      </c>
      <c r="H180" s="145" t="s">
        <v>500</v>
      </c>
      <c r="I180" s="144" t="n">
        <v>0</v>
      </c>
      <c r="J180" s="144" t="n">
        <v>73</v>
      </c>
      <c r="K180" s="144" t="s">
        <v>67</v>
      </c>
      <c r="L180" s="146" t="n">
        <f aca="false">IF(J180="",0,(J180/J182)*100)</f>
        <v>43.7125748502994</v>
      </c>
      <c r="M180" s="144" t="n">
        <v>2</v>
      </c>
      <c r="N180" s="23" t="n">
        <v>0</v>
      </c>
      <c r="O180" s="116" t="n">
        <f aca="false">IF(M180=1,1,0)</f>
        <v>0</v>
      </c>
      <c r="P180" s="117" t="n">
        <f aca="false">IF(M180=2,1,0)</f>
        <v>1</v>
      </c>
      <c r="Q180" s="170"/>
      <c r="R180" s="170"/>
      <c r="S180" s="170"/>
      <c r="T180" s="164"/>
      <c r="U180" s="62"/>
    </row>
    <row r="181" customFormat="false" ht="27.95" hidden="false" customHeight="true" outlineLevel="0" collapsed="false">
      <c r="B181" s="62"/>
      <c r="C181" s="164"/>
      <c r="D181" s="164"/>
      <c r="E181" s="293" t="s">
        <v>31</v>
      </c>
      <c r="F181" s="294" t="s">
        <v>32</v>
      </c>
      <c r="G181" s="295" t="n">
        <v>2</v>
      </c>
      <c r="H181" s="296" t="s">
        <v>501</v>
      </c>
      <c r="I181" s="295" t="n">
        <v>0</v>
      </c>
      <c r="J181" s="295" t="n">
        <v>167</v>
      </c>
      <c r="K181" s="296" t="s">
        <v>67</v>
      </c>
      <c r="L181" s="297" t="n">
        <f aca="false">IF(J181="",0,(J181/J182)*100)</f>
        <v>100</v>
      </c>
      <c r="M181" s="295" t="n">
        <v>1</v>
      </c>
      <c r="N181" s="298" t="n">
        <v>6</v>
      </c>
      <c r="O181" s="128" t="n">
        <f aca="false">IF(M181=1,1,0)</f>
        <v>1</v>
      </c>
      <c r="P181" s="129" t="n">
        <f aca="false">IF(M181=2,1,0)</f>
        <v>0</v>
      </c>
      <c r="Q181" s="170"/>
      <c r="R181" s="170"/>
      <c r="S181" s="170"/>
      <c r="T181" s="164"/>
      <c r="U181" s="173"/>
    </row>
    <row r="182" customFormat="false" ht="20.1" hidden="true" customHeight="true" outlineLevel="1" collapsed="false">
      <c r="B182" s="62"/>
      <c r="C182" s="164"/>
      <c r="D182" s="164"/>
      <c r="E182" s="164"/>
      <c r="F182" s="178"/>
      <c r="G182" s="178"/>
      <c r="H182" s="164"/>
      <c r="I182" s="179" t="s">
        <v>89</v>
      </c>
      <c r="J182" s="133" t="n">
        <f aca="false">MAX(J180:J181)</f>
        <v>167</v>
      </c>
      <c r="K182" s="180"/>
      <c r="L182" s="170"/>
      <c r="M182" s="164"/>
      <c r="N182" s="136" t="s">
        <v>90</v>
      </c>
      <c r="O182" s="137" t="n">
        <f aca="false">SUM(O180:O181)</f>
        <v>1</v>
      </c>
      <c r="P182" s="160" t="n">
        <f aca="false">SUM(P180:P181)</f>
        <v>1</v>
      </c>
      <c r="Q182" s="181"/>
      <c r="R182" s="181"/>
      <c r="S182" s="181"/>
      <c r="T182" s="164"/>
      <c r="U182" s="173"/>
    </row>
    <row r="183" customFormat="false" ht="20.1" hidden="false" customHeight="true" outlineLevel="0" collapsed="false">
      <c r="B183" s="62"/>
      <c r="C183" s="164"/>
      <c r="D183" s="164"/>
      <c r="E183" s="164"/>
      <c r="F183" s="164"/>
      <c r="G183" s="164"/>
      <c r="H183" s="164"/>
      <c r="I183" s="164"/>
      <c r="J183" s="164"/>
      <c r="K183" s="164"/>
      <c r="L183" s="164"/>
      <c r="M183" s="164"/>
      <c r="N183" s="164"/>
      <c r="O183" s="164"/>
      <c r="P183" s="164"/>
      <c r="Q183" s="164"/>
      <c r="R183" s="164"/>
      <c r="S183" s="164"/>
      <c r="T183" s="164"/>
      <c r="U183" s="173"/>
    </row>
    <row r="184" customFormat="false" ht="20.1" hidden="false" customHeight="true" outlineLevel="0" collapsed="false">
      <c r="B184" s="62"/>
      <c r="D184" s="162"/>
      <c r="E184" s="162"/>
      <c r="F184" s="162"/>
      <c r="G184" s="162"/>
      <c r="H184" s="163"/>
      <c r="I184" s="162"/>
      <c r="J184" s="162"/>
      <c r="K184" s="162"/>
      <c r="U184" s="62"/>
    </row>
    <row r="185" customFormat="false" ht="20.1" hidden="false" customHeight="true" outlineLevel="0" collapsed="false">
      <c r="B185" s="62"/>
      <c r="C185" s="182"/>
      <c r="D185" s="182"/>
      <c r="E185" s="183" t="str">
        <f aca="false">IF(OR(L162="-",L162= ""),H162,L162)</f>
        <v>7 Wonders Architects</v>
      </c>
      <c r="F185" s="183"/>
      <c r="G185" s="183"/>
      <c r="H185" s="183"/>
      <c r="I185" s="183"/>
      <c r="J185" s="183"/>
      <c r="K185" s="183"/>
      <c r="L185" s="183"/>
      <c r="M185" s="183"/>
      <c r="N185" s="183"/>
      <c r="O185" s="184"/>
      <c r="P185" s="184"/>
      <c r="Q185" s="184"/>
      <c r="R185" s="184"/>
      <c r="S185" s="184"/>
      <c r="T185" s="182"/>
      <c r="U185" s="62"/>
    </row>
    <row r="186" customFormat="false" ht="50.1" hidden="false" customHeight="true" outlineLevel="0" collapsed="false">
      <c r="B186" s="62"/>
      <c r="C186" s="182"/>
      <c r="D186" s="184"/>
      <c r="E186" s="65" t="s">
        <v>53</v>
      </c>
      <c r="F186" s="104" t="s">
        <v>76</v>
      </c>
      <c r="G186" s="67" t="s">
        <v>77</v>
      </c>
      <c r="H186" s="66" t="s">
        <v>78</v>
      </c>
      <c r="I186" s="54" t="s">
        <v>79</v>
      </c>
      <c r="J186" s="66" t="s">
        <v>80</v>
      </c>
      <c r="K186" s="105" t="s">
        <v>81</v>
      </c>
      <c r="L186" s="66" t="s">
        <v>82</v>
      </c>
      <c r="M186" s="106" t="s">
        <v>83</v>
      </c>
      <c r="N186" s="67" t="s">
        <v>84</v>
      </c>
      <c r="O186" s="107" t="s">
        <v>85</v>
      </c>
      <c r="P186" s="108" t="s">
        <v>86</v>
      </c>
      <c r="Q186" s="184"/>
      <c r="R186" s="184"/>
      <c r="S186" s="184"/>
      <c r="T186" s="182"/>
      <c r="U186" s="62"/>
    </row>
    <row r="187" customFormat="false" ht="20.1" hidden="false" customHeight="true" outlineLevel="0" collapsed="false">
      <c r="B187" s="62"/>
      <c r="C187" s="182"/>
      <c r="D187" s="182"/>
      <c r="E187" s="403" t="s">
        <v>20</v>
      </c>
      <c r="F187" s="110" t="s">
        <v>21</v>
      </c>
      <c r="G187" s="111" t="n">
        <v>1</v>
      </c>
      <c r="H187" s="111" t="s">
        <v>417</v>
      </c>
      <c r="I187" s="111" t="n">
        <v>0</v>
      </c>
      <c r="J187" s="111" t="n">
        <v>50</v>
      </c>
      <c r="K187" s="111" t="s">
        <v>67</v>
      </c>
      <c r="L187" s="113" t="n">
        <f aca="false">IF(J187="",0,(J187/J189)*100)</f>
        <v>100</v>
      </c>
      <c r="M187" s="111" t="n">
        <v>1</v>
      </c>
      <c r="N187" s="114" t="n">
        <v>6</v>
      </c>
      <c r="O187" s="116" t="n">
        <f aca="false">IF(M187=1,1,0)</f>
        <v>1</v>
      </c>
      <c r="P187" s="117" t="n">
        <f aca="false">IF(M187=2,1,0)</f>
        <v>0</v>
      </c>
      <c r="Q187" s="185"/>
      <c r="R187" s="185"/>
      <c r="S187" s="185"/>
      <c r="T187" s="182"/>
      <c r="U187" s="62"/>
    </row>
    <row r="188" customFormat="false" ht="20.1" hidden="false" customHeight="true" outlineLevel="0" collapsed="false">
      <c r="B188" s="62"/>
      <c r="C188" s="182"/>
      <c r="D188" s="182"/>
      <c r="E188" s="574" t="s">
        <v>31</v>
      </c>
      <c r="F188" s="46" t="s">
        <v>32</v>
      </c>
      <c r="G188" s="125" t="n">
        <v>2</v>
      </c>
      <c r="H188" s="125" t="s">
        <v>418</v>
      </c>
      <c r="I188" s="125" t="n">
        <v>0</v>
      </c>
      <c r="J188" s="125" t="n">
        <v>36</v>
      </c>
      <c r="K188" s="156" t="s">
        <v>67</v>
      </c>
      <c r="L188" s="126" t="n">
        <f aca="false">IF(J188="",0,(J188/J189)*100)</f>
        <v>72</v>
      </c>
      <c r="M188" s="125" t="n">
        <v>2</v>
      </c>
      <c r="N188" s="50" t="n">
        <v>3</v>
      </c>
      <c r="O188" s="128" t="n">
        <f aca="false">IF(M188=1,1,0)</f>
        <v>0</v>
      </c>
      <c r="P188" s="129" t="n">
        <f aca="false">IF(M188=2,1,0)</f>
        <v>1</v>
      </c>
      <c r="Q188" s="185"/>
      <c r="R188" s="185"/>
      <c r="S188" s="185"/>
      <c r="T188" s="182"/>
      <c r="U188" s="62"/>
    </row>
    <row r="189" customFormat="false" ht="20.1" hidden="true" customHeight="true" outlineLevel="1" collapsed="false">
      <c r="B189" s="62"/>
      <c r="C189" s="182"/>
      <c r="D189" s="182"/>
      <c r="E189" s="182"/>
      <c r="F189" s="187"/>
      <c r="G189" s="187"/>
      <c r="H189" s="182"/>
      <c r="I189" s="179" t="s">
        <v>89</v>
      </c>
      <c r="J189" s="133" t="n">
        <f aca="false">MAX(J187:J188)</f>
        <v>50</v>
      </c>
      <c r="K189" s="188"/>
      <c r="L189" s="185"/>
      <c r="M189" s="182"/>
      <c r="N189" s="136" t="s">
        <v>90</v>
      </c>
      <c r="O189" s="137" t="n">
        <f aca="false">SUM(O187:O188)</f>
        <v>1</v>
      </c>
      <c r="P189" s="160" t="n">
        <f aca="false">SUM(P187:P188)</f>
        <v>1</v>
      </c>
      <c r="Q189" s="189"/>
      <c r="R189" s="189"/>
      <c r="S189" s="189"/>
      <c r="T189" s="182"/>
      <c r="U189" s="62"/>
    </row>
    <row r="190" customFormat="false" ht="20.1" hidden="false" customHeight="true" outlineLevel="0" collapsed="false">
      <c r="B190" s="62"/>
      <c r="C190" s="182"/>
      <c r="D190" s="182"/>
      <c r="E190" s="182"/>
      <c r="F190" s="182"/>
      <c r="G190" s="182"/>
      <c r="H190" s="182"/>
      <c r="I190" s="182"/>
      <c r="J190" s="182"/>
      <c r="K190" s="182"/>
      <c r="L190" s="182"/>
      <c r="M190" s="182"/>
      <c r="N190" s="182"/>
      <c r="O190" s="182"/>
      <c r="P190" s="182"/>
      <c r="Q190" s="182"/>
      <c r="R190" s="182"/>
      <c r="S190" s="182"/>
      <c r="T190" s="182"/>
      <c r="U190" s="62"/>
    </row>
    <row r="191" customFormat="false" ht="20.1" hidden="false" customHeight="true" outlineLevel="0" collapsed="false">
      <c r="B191" s="62"/>
      <c r="D191" s="5"/>
      <c r="E191" s="5"/>
      <c r="F191" s="5"/>
      <c r="G191" s="5"/>
      <c r="H191" s="5"/>
      <c r="I191" s="5"/>
      <c r="J191" s="5"/>
      <c r="U191" s="62"/>
    </row>
    <row r="192" customFormat="false" ht="30" hidden="false" customHeight="true" outlineLevel="0" collapsed="false">
      <c r="B192" s="62"/>
      <c r="C192" s="190"/>
      <c r="D192" s="371"/>
      <c r="E192" s="191" t="s">
        <v>149</v>
      </c>
      <c r="F192" s="191"/>
      <c r="G192" s="191"/>
      <c r="H192" s="191"/>
      <c r="I192" s="191"/>
      <c r="J192" s="191"/>
      <c r="K192" s="191"/>
      <c r="L192" s="191"/>
      <c r="M192" s="191"/>
      <c r="N192" s="191"/>
      <c r="O192" s="371"/>
      <c r="P192" s="371"/>
      <c r="Q192" s="371"/>
      <c r="R192" s="371"/>
      <c r="S192" s="371"/>
      <c r="T192" s="190"/>
      <c r="U192" s="62"/>
    </row>
    <row r="193" customFormat="false" ht="50.1" hidden="false" customHeight="true" outlineLevel="0" collapsed="false">
      <c r="B193" s="62"/>
      <c r="C193" s="190"/>
      <c r="D193" s="190"/>
      <c r="E193" s="192" t="s">
        <v>53</v>
      </c>
      <c r="F193" s="193" t="s">
        <v>150</v>
      </c>
      <c r="G193" s="194" t="s">
        <v>84</v>
      </c>
      <c r="H193" s="195" t="s">
        <v>100</v>
      </c>
      <c r="I193" s="196" t="s">
        <v>101</v>
      </c>
      <c r="J193" s="196"/>
      <c r="K193" s="197" t="s">
        <v>102</v>
      </c>
      <c r="L193" s="198" t="s">
        <v>103</v>
      </c>
      <c r="M193" s="194" t="s">
        <v>104</v>
      </c>
      <c r="N193" s="193" t="s">
        <v>107</v>
      </c>
      <c r="O193" s="372"/>
      <c r="P193" s="373"/>
      <c r="Q193" s="373"/>
      <c r="R193" s="373"/>
      <c r="S193" s="372"/>
      <c r="T193" s="190"/>
      <c r="U193" s="62"/>
    </row>
    <row r="194" customFormat="false" ht="20.1" hidden="false" customHeight="true" outlineLevel="0" collapsed="false">
      <c r="B194" s="62"/>
      <c r="C194" s="190"/>
      <c r="D194" s="190"/>
      <c r="E194" s="575" t="s">
        <v>31</v>
      </c>
      <c r="F194" s="419" t="s">
        <v>32</v>
      </c>
      <c r="G194" s="258" t="n">
        <f aca="false">L194*6+M194*0</f>
        <v>12</v>
      </c>
      <c r="H194" s="259" t="n">
        <v>0</v>
      </c>
      <c r="I194" s="259" t="s">
        <v>67</v>
      </c>
      <c r="J194" s="259"/>
      <c r="K194" s="258" t="n">
        <f aca="false">G194+H194</f>
        <v>12</v>
      </c>
      <c r="L194" s="258" t="n">
        <v>2</v>
      </c>
      <c r="M194" s="258" t="n">
        <v>2</v>
      </c>
      <c r="N194" s="261" t="n">
        <f aca="false">(L167+L174+L181+L188)/4</f>
        <v>68</v>
      </c>
      <c r="O194" s="376"/>
      <c r="P194" s="377"/>
      <c r="Q194" s="377"/>
      <c r="R194" s="377"/>
      <c r="S194" s="408"/>
      <c r="T194" s="190"/>
      <c r="U194" s="62"/>
    </row>
    <row r="195" customFormat="false" ht="20.1" hidden="false" customHeight="true" outlineLevel="0" collapsed="false">
      <c r="B195" s="62"/>
      <c r="C195" s="190"/>
      <c r="D195" s="190"/>
      <c r="E195" s="427" t="s">
        <v>20</v>
      </c>
      <c r="F195" s="215" t="s">
        <v>21</v>
      </c>
      <c r="G195" s="271" t="n">
        <f aca="false">L195*6+M195*0</f>
        <v>12</v>
      </c>
      <c r="H195" s="272" t="n">
        <v>0</v>
      </c>
      <c r="I195" s="272" t="s">
        <v>67</v>
      </c>
      <c r="J195" s="272"/>
      <c r="K195" s="271" t="n">
        <f aca="false">G195+H195</f>
        <v>12</v>
      </c>
      <c r="L195" s="271" t="n">
        <v>2</v>
      </c>
      <c r="M195" s="271" t="n">
        <v>2</v>
      </c>
      <c r="N195" s="274" t="n">
        <f aca="false">(L166+L173+L180+L187)/4</f>
        <v>60.9281437125749</v>
      </c>
      <c r="O195" s="376"/>
      <c r="P195" s="377"/>
      <c r="Q195" s="377"/>
      <c r="R195" s="377"/>
      <c r="S195" s="408"/>
      <c r="T195" s="190"/>
      <c r="U195" s="62"/>
    </row>
    <row r="196" customFormat="false" ht="20.1" hidden="false" customHeight="true" outlineLevel="0" collapsed="false">
      <c r="B196" s="62"/>
      <c r="C196" s="190"/>
      <c r="D196" s="190"/>
      <c r="E196" s="190"/>
      <c r="F196" s="275"/>
      <c r="G196" s="275"/>
      <c r="H196" s="275"/>
      <c r="I196" s="275"/>
      <c r="J196" s="275"/>
      <c r="K196" s="275"/>
      <c r="L196" s="275"/>
      <c r="M196" s="275"/>
      <c r="N196" s="275"/>
      <c r="O196" s="275"/>
      <c r="P196" s="275"/>
      <c r="Q196" s="275"/>
      <c r="R196" s="275"/>
      <c r="S196" s="275"/>
      <c r="T196" s="190"/>
      <c r="U196" s="62"/>
    </row>
    <row r="197" customFormat="false" ht="20.1" hidden="false" customHeight="true" outlineLevel="0" collapsed="false">
      <c r="B197" s="62"/>
      <c r="C197" s="62"/>
      <c r="D197" s="219"/>
      <c r="E197" s="219"/>
      <c r="F197" s="167"/>
      <c r="G197" s="167"/>
      <c r="H197" s="219"/>
      <c r="I197" s="219"/>
      <c r="J197" s="219"/>
      <c r="K197" s="62"/>
      <c r="L197" s="62"/>
      <c r="M197" s="62"/>
      <c r="N197" s="62"/>
      <c r="O197" s="62"/>
      <c r="P197" s="62"/>
      <c r="Q197" s="62"/>
      <c r="R197" s="62"/>
      <c r="S197" s="62"/>
      <c r="T197" s="62"/>
      <c r="U197" s="62"/>
    </row>
  </sheetData>
  <mergeCells count="190">
    <mergeCell ref="A1:N2"/>
    <mergeCell ref="B4:I4"/>
    <mergeCell ref="K4:M4"/>
    <mergeCell ref="B5:C5"/>
    <mergeCell ref="B6:C6"/>
    <mergeCell ref="L6:L9"/>
    <mergeCell ref="B7:C7"/>
    <mergeCell ref="B8:C8"/>
    <mergeCell ref="B9:C9"/>
    <mergeCell ref="B10:C10"/>
    <mergeCell ref="L10:L13"/>
    <mergeCell ref="B11:C11"/>
    <mergeCell ref="B12:C12"/>
    <mergeCell ref="B13:C13"/>
    <mergeCell ref="B14:C14"/>
    <mergeCell ref="L14:L15"/>
    <mergeCell ref="B15:C15"/>
    <mergeCell ref="K16:L16"/>
    <mergeCell ref="B17:H17"/>
    <mergeCell ref="B18:C18"/>
    <mergeCell ref="B19:C19"/>
    <mergeCell ref="C22:T22"/>
    <mergeCell ref="D24:D25"/>
    <mergeCell ref="E24:E25"/>
    <mergeCell ref="F24:F25"/>
    <mergeCell ref="G24:J24"/>
    <mergeCell ref="L24:S24"/>
    <mergeCell ref="I25:J25"/>
    <mergeCell ref="N25:S25"/>
    <mergeCell ref="I26:J26"/>
    <mergeCell ref="N26:S26"/>
    <mergeCell ref="I27:J27"/>
    <mergeCell ref="N27:S27"/>
    <mergeCell ref="D28:D30"/>
    <mergeCell ref="E28:E30"/>
    <mergeCell ref="F28:F30"/>
    <mergeCell ref="G28:G30"/>
    <mergeCell ref="H28:H30"/>
    <mergeCell ref="I28:J28"/>
    <mergeCell ref="K28:K30"/>
    <mergeCell ref="L28:L30"/>
    <mergeCell ref="M28:M30"/>
    <mergeCell ref="N28:S30"/>
    <mergeCell ref="I29:J29"/>
    <mergeCell ref="I30:J30"/>
    <mergeCell ref="D31:D34"/>
    <mergeCell ref="E31:E34"/>
    <mergeCell ref="F31:F34"/>
    <mergeCell ref="G31:G34"/>
    <mergeCell ref="H31:H34"/>
    <mergeCell ref="I31:J31"/>
    <mergeCell ref="K31:K34"/>
    <mergeCell ref="L31:L34"/>
    <mergeCell ref="M31:M34"/>
    <mergeCell ref="N31:S34"/>
    <mergeCell ref="I32:J32"/>
    <mergeCell ref="I33:J33"/>
    <mergeCell ref="I34:J34"/>
    <mergeCell ref="E36:N36"/>
    <mergeCell ref="F42:G42"/>
    <mergeCell ref="F43:G43"/>
    <mergeCell ref="E45:N45"/>
    <mergeCell ref="F51:G51"/>
    <mergeCell ref="E54:N54"/>
    <mergeCell ref="F60:G60"/>
    <mergeCell ref="E63:N63"/>
    <mergeCell ref="F69:G69"/>
    <mergeCell ref="D72:S72"/>
    <mergeCell ref="H73:I73"/>
    <mergeCell ref="H74:I74"/>
    <mergeCell ref="H75:I75"/>
    <mergeCell ref="H76:I76"/>
    <mergeCell ref="H77:I77"/>
    <mergeCell ref="H78:I78"/>
    <mergeCell ref="C83:T83"/>
    <mergeCell ref="D85:D86"/>
    <mergeCell ref="E85:E86"/>
    <mergeCell ref="F85:F86"/>
    <mergeCell ref="G85:J85"/>
    <mergeCell ref="L85:S85"/>
    <mergeCell ref="I86:J86"/>
    <mergeCell ref="N86:S86"/>
    <mergeCell ref="D87:D90"/>
    <mergeCell ref="E87:E90"/>
    <mergeCell ref="F87:F90"/>
    <mergeCell ref="G87:G90"/>
    <mergeCell ref="H87:H90"/>
    <mergeCell ref="I87:J87"/>
    <mergeCell ref="K87:K90"/>
    <mergeCell ref="L87:L90"/>
    <mergeCell ref="M87:M90"/>
    <mergeCell ref="N87:S90"/>
    <mergeCell ref="I88:J88"/>
    <mergeCell ref="I89:J89"/>
    <mergeCell ref="I90:J90"/>
    <mergeCell ref="D91:D94"/>
    <mergeCell ref="E91:E94"/>
    <mergeCell ref="F91:F94"/>
    <mergeCell ref="G91:G94"/>
    <mergeCell ref="H91:H94"/>
    <mergeCell ref="I91:J91"/>
    <mergeCell ref="K91:K94"/>
    <mergeCell ref="L91:L94"/>
    <mergeCell ref="M91:M94"/>
    <mergeCell ref="N91:S94"/>
    <mergeCell ref="I92:J92"/>
    <mergeCell ref="I93:J93"/>
    <mergeCell ref="I94:J94"/>
    <mergeCell ref="D95:D98"/>
    <mergeCell ref="E95:E98"/>
    <mergeCell ref="F95:F98"/>
    <mergeCell ref="G95:G98"/>
    <mergeCell ref="H95:H98"/>
    <mergeCell ref="I95:J95"/>
    <mergeCell ref="K95:K98"/>
    <mergeCell ref="L95:L98"/>
    <mergeCell ref="M95:M98"/>
    <mergeCell ref="N95:S98"/>
    <mergeCell ref="I96:J96"/>
    <mergeCell ref="I97:J97"/>
    <mergeCell ref="I98:J98"/>
    <mergeCell ref="I99:J99"/>
    <mergeCell ref="N99:S99"/>
    <mergeCell ref="E101:N101"/>
    <mergeCell ref="F107:G107"/>
    <mergeCell ref="E110:N110"/>
    <mergeCell ref="F116:G116"/>
    <mergeCell ref="E119:N119"/>
    <mergeCell ref="F125:G125"/>
    <mergeCell ref="E128:N128"/>
    <mergeCell ref="F134:G134"/>
    <mergeCell ref="D137:S137"/>
    <mergeCell ref="H138:I138"/>
    <mergeCell ref="H139:I139"/>
    <mergeCell ref="H140:I140"/>
    <mergeCell ref="Y140:Z140"/>
    <mergeCell ref="H141:I141"/>
    <mergeCell ref="H142:I142"/>
    <mergeCell ref="H143:I143"/>
    <mergeCell ref="C148:T148"/>
    <mergeCell ref="D150:D151"/>
    <mergeCell ref="E150:E151"/>
    <mergeCell ref="F150:F151"/>
    <mergeCell ref="G150:J150"/>
    <mergeCell ref="L150:S150"/>
    <mergeCell ref="I151:J151"/>
    <mergeCell ref="N151:S151"/>
    <mergeCell ref="D152:D155"/>
    <mergeCell ref="E152:E155"/>
    <mergeCell ref="F152:F155"/>
    <mergeCell ref="G152:G155"/>
    <mergeCell ref="H152:H155"/>
    <mergeCell ref="I152:J152"/>
    <mergeCell ref="K152:K155"/>
    <mergeCell ref="L152:L155"/>
    <mergeCell ref="M152:M155"/>
    <mergeCell ref="N152:S155"/>
    <mergeCell ref="I153:J153"/>
    <mergeCell ref="I154:J154"/>
    <mergeCell ref="I155:J155"/>
    <mergeCell ref="D156:D160"/>
    <mergeCell ref="E156:E160"/>
    <mergeCell ref="F156:F160"/>
    <mergeCell ref="G156:G160"/>
    <mergeCell ref="H156:H160"/>
    <mergeCell ref="I156:J156"/>
    <mergeCell ref="K156:K160"/>
    <mergeCell ref="L156:L160"/>
    <mergeCell ref="M156:M160"/>
    <mergeCell ref="N156:S160"/>
    <mergeCell ref="I157:J157"/>
    <mergeCell ref="I158:J158"/>
    <mergeCell ref="I159:J159"/>
    <mergeCell ref="I160:J160"/>
    <mergeCell ref="I161:J161"/>
    <mergeCell ref="N161:S161"/>
    <mergeCell ref="I162:J162"/>
    <mergeCell ref="N162:S162"/>
    <mergeCell ref="E164:N164"/>
    <mergeCell ref="F168:G168"/>
    <mergeCell ref="E171:N171"/>
    <mergeCell ref="F175:G175"/>
    <mergeCell ref="E178:N178"/>
    <mergeCell ref="F182:G182"/>
    <mergeCell ref="E185:N185"/>
    <mergeCell ref="F189:G189"/>
    <mergeCell ref="E192:N192"/>
    <mergeCell ref="I193:J193"/>
    <mergeCell ref="I194:J194"/>
    <mergeCell ref="I195:J195"/>
  </mergeCells>
  <conditionalFormatting sqref="B6:C13 B14:B15">
    <cfRule type="expression" priority="2" aboveAverage="0" equalAverage="0" bottom="0" percent="0" rank="0" text="" dxfId="796">
      <formula>$I6="Nein"</formula>
    </cfRule>
    <cfRule type="expression" priority="3" aboveAverage="0" equalAverage="0" bottom="0" percent="0" rank="0" text="" dxfId="797">
      <formula>$I6="Ja"</formula>
    </cfRule>
  </conditionalFormatting>
  <conditionalFormatting sqref="D78:E78">
    <cfRule type="expression" priority="4" aboveAverage="0" equalAverage="0" bottom="0" percent="0" rank="0" text="" dxfId="798">
      <formula>$I78="Nein"</formula>
    </cfRule>
    <cfRule type="expression" priority="5" aboveAverage="0" equalAverage="0" bottom="0" percent="0" rank="0" text="" dxfId="799">
      <formula>$I78="Ja"</formula>
    </cfRule>
  </conditionalFormatting>
  <conditionalFormatting sqref="D8:I8">
    <cfRule type="expression" priority="6" aboveAverage="0" equalAverage="0" bottom="0" percent="0" rank="0" text="" dxfId="800">
      <formula>$I8="Nein"</formula>
    </cfRule>
    <cfRule type="expression" priority="7" aboveAverage="0" equalAverage="0" bottom="0" percent="0" rank="0" text="" dxfId="801">
      <formula>$I8="Ja"</formula>
    </cfRule>
  </conditionalFormatting>
  <conditionalFormatting sqref="I14:I15">
    <cfRule type="expression" priority="8" aboveAverage="0" equalAverage="0" bottom="0" percent="0" rank="0" text="" dxfId="802">
      <formula>$I14="Nein"</formula>
    </cfRule>
    <cfRule type="expression" priority="9" aboveAverage="0" equalAverage="0" bottom="0" percent="0" rank="0" text="" dxfId="803">
      <formula>$I14="Ja"</formula>
    </cfRule>
  </conditionalFormatting>
  <conditionalFormatting sqref="D8:I8">
    <cfRule type="expression" priority="10" aboveAverage="0" equalAverage="0" bottom="0" percent="0" rank="0" text="" dxfId="804">
      <formula>$I8="Nein"</formula>
    </cfRule>
    <cfRule type="expression" priority="11" aboveAverage="0" equalAverage="0" bottom="0" percent="0" rank="0" text="" dxfId="805">
      <formula>$I8="Ja"</formula>
    </cfRule>
  </conditionalFormatting>
  <conditionalFormatting sqref="D152:E152 D156:E156">
    <cfRule type="expression" priority="12" aboveAverage="0" equalAverage="0" bottom="0" percent="0" rank="0" text="" dxfId="806">
      <formula>$J152="Ja"</formula>
    </cfRule>
    <cfRule type="expression" priority="13" aboveAverage="0" equalAverage="0" bottom="0" percent="0" rank="0" text="" dxfId="807">
      <formula>$J152="Nein"</formula>
    </cfRule>
  </conditionalFormatting>
  <conditionalFormatting sqref="E195:F195">
    <cfRule type="expression" priority="14" aboveAverage="0" equalAverage="0" bottom="0" percent="0" rank="0" text="" dxfId="808">
      <formula>$I195="Nein"</formula>
    </cfRule>
    <cfRule type="expression" priority="15" aboveAverage="0" equalAverage="0" bottom="0" percent="0" rank="0" text="" dxfId="809">
      <formula>$I195="Ja"</formula>
    </cfRule>
  </conditionalFormatting>
  <conditionalFormatting sqref="D6:I6">
    <cfRule type="expression" priority="16" aboveAverage="0" equalAverage="0" bottom="0" percent="0" rank="0" text="" dxfId="810">
      <formula>$I6="Nein"</formula>
    </cfRule>
    <cfRule type="expression" priority="17" aboveAverage="0" equalAverage="0" bottom="0" percent="0" rank="0" text="" dxfId="811">
      <formula>$I6="Ja"</formula>
    </cfRule>
  </conditionalFormatting>
  <conditionalFormatting sqref="I7">
    <cfRule type="expression" priority="18" aboveAverage="0" equalAverage="0" bottom="0" percent="0" rank="0" text="" dxfId="812">
      <formula>$I7="Nein"</formula>
    </cfRule>
    <cfRule type="expression" priority="19" aboveAverage="0" equalAverage="0" bottom="0" percent="0" rank="0" text="" dxfId="813">
      <formula>$I7="Ja"</formula>
    </cfRule>
  </conditionalFormatting>
  <conditionalFormatting sqref="D7:H7">
    <cfRule type="expression" priority="20" aboveAverage="0" equalAverage="0" bottom="0" percent="0" rank="0" text="" dxfId="814">
      <formula>$I7="Nein"</formula>
    </cfRule>
    <cfRule type="expression" priority="21" aboveAverage="0" equalAverage="0" bottom="0" percent="0" rank="0" text="" dxfId="815">
      <formula>$I7="Ja"</formula>
    </cfRule>
  </conditionalFormatting>
  <conditionalFormatting sqref="D14:H14">
    <cfRule type="expression" priority="22" aboveAverage="0" equalAverage="0" bottom="0" percent="0" rank="0" text="" dxfId="816">
      <formula>$I14="Nein"</formula>
    </cfRule>
    <cfRule type="expression" priority="23" aboveAverage="0" equalAverage="0" bottom="0" percent="0" rank="0" text="" dxfId="817">
      <formula>$I14="Ja"</formula>
    </cfRule>
  </conditionalFormatting>
  <conditionalFormatting sqref="D19:H19">
    <cfRule type="expression" priority="24" aboveAverage="0" equalAverage="0" bottom="0" percent="0" rank="0" text="" dxfId="818">
      <formula>$I19="Nein"</formula>
    </cfRule>
    <cfRule type="expression" priority="25" aboveAverage="0" equalAverage="0" bottom="0" percent="0" rank="0" text="" dxfId="819">
      <formula>$I19="Ja"</formula>
    </cfRule>
  </conditionalFormatting>
  <conditionalFormatting sqref="D143:E143">
    <cfRule type="expression" priority="26" aboveAverage="0" equalAverage="0" bottom="0" percent="0" rank="0" text="" dxfId="820">
      <formula>$I143="Nein"</formula>
    </cfRule>
    <cfRule type="expression" priority="27" aboveAverage="0" equalAverage="0" bottom="0" percent="0" rank="0" text="" dxfId="821">
      <formula>$I143="Ja"</formula>
    </cfRule>
  </conditionalFormatting>
  <conditionalFormatting sqref="D16:I16">
    <cfRule type="expression" priority="28" aboveAverage="0" equalAverage="0" bottom="0" percent="0" rank="0" text="" dxfId="822">
      <formula>$I16="Nein"</formula>
    </cfRule>
    <cfRule type="expression" priority="29" aboveAverage="0" equalAverage="0" bottom="0" percent="0" rank="0" text="" dxfId="823">
      <formula>$I16="Ja"</formula>
    </cfRule>
  </conditionalFormatting>
  <conditionalFormatting sqref="D9:I9">
    <cfRule type="expression" priority="30" aboveAverage="0" equalAverage="0" bottom="0" percent="0" rank="0" text="" dxfId="824">
      <formula>$I9="Nein"</formula>
    </cfRule>
    <cfRule type="expression" priority="31" aboveAverage="0" equalAverage="0" bottom="0" percent="0" rank="0" text="" dxfId="825">
      <formula>$I9="Ja"</formula>
    </cfRule>
  </conditionalFormatting>
  <conditionalFormatting sqref="D9:I9">
    <cfRule type="expression" priority="32" aboveAverage="0" equalAverage="0" bottom="0" percent="0" rank="0" text="" dxfId="826">
      <formula>$I9="Nein"</formula>
    </cfRule>
    <cfRule type="expression" priority="33" aboveAverage="0" equalAverage="0" bottom="0" percent="0" rank="0" text="" dxfId="827">
      <formula>$I9="Ja"</formula>
    </cfRule>
  </conditionalFormatting>
  <conditionalFormatting sqref="D10:I10">
    <cfRule type="expression" priority="34" aboveAverage="0" equalAverage="0" bottom="0" percent="0" rank="0" text="" dxfId="828">
      <formula>$I10="Nein"</formula>
    </cfRule>
    <cfRule type="expression" priority="35" aboveAverage="0" equalAverage="0" bottom="0" percent="0" rank="0" text="" dxfId="829">
      <formula>$I10="Ja"</formula>
    </cfRule>
  </conditionalFormatting>
  <conditionalFormatting sqref="D13:I13">
    <cfRule type="expression" priority="36" aboveAverage="0" equalAverage="0" bottom="0" percent="0" rank="0" text="" dxfId="830">
      <formula>$I13="Nein"</formula>
    </cfRule>
    <cfRule type="expression" priority="37" aboveAverage="0" equalAverage="0" bottom="0" percent="0" rank="0" text="" dxfId="831">
      <formula>$I13="Ja"</formula>
    </cfRule>
  </conditionalFormatting>
  <conditionalFormatting sqref="D11:I11">
    <cfRule type="expression" priority="38" aboveAverage="0" equalAverage="0" bottom="0" percent="0" rank="0" text="" dxfId="832">
      <formula>$I11="Nein"</formula>
    </cfRule>
    <cfRule type="expression" priority="39" aboveAverage="0" equalAverage="0" bottom="0" percent="0" rank="0" text="" dxfId="833">
      <formula>$I11="Ja"</formula>
    </cfRule>
  </conditionalFormatting>
  <conditionalFormatting sqref="I12">
    <cfRule type="expression" priority="40" aboveAverage="0" equalAverage="0" bottom="0" percent="0" rank="0" text="" dxfId="834">
      <formula>$I12="Nein"</formula>
    </cfRule>
    <cfRule type="expression" priority="41" aboveAverage="0" equalAverage="0" bottom="0" percent="0" rank="0" text="" dxfId="835">
      <formula>$I12="Ja"</formula>
    </cfRule>
  </conditionalFormatting>
  <conditionalFormatting sqref="D12:H12">
    <cfRule type="expression" priority="42" aboveAverage="0" equalAverage="0" bottom="0" percent="0" rank="0" text="" dxfId="836">
      <formula>$I12="Nein"</formula>
    </cfRule>
    <cfRule type="expression" priority="43" aboveAverage="0" equalAverage="0" bottom="0" percent="0" rank="0" text="" dxfId="837">
      <formula>$I12="Ja"</formula>
    </cfRule>
  </conditionalFormatting>
  <conditionalFormatting sqref="D15:H15">
    <cfRule type="expression" priority="44" aboveAverage="0" equalAverage="0" bottom="0" percent="0" rank="0" text="" dxfId="838">
      <formula>$I15="Nein"</formula>
    </cfRule>
    <cfRule type="expression" priority="45" aboveAverage="0" equalAverage="0" bottom="0" percent="0" rank="0" text="" dxfId="839">
      <formula>$I15="Ja"</formula>
    </cfRule>
  </conditionalFormatting>
  <conditionalFormatting sqref="E40:F40">
    <cfRule type="expression" priority="46" aboveAverage="0" equalAverage="0" bottom="0" percent="0" rank="0" text="" dxfId="840">
      <formula>$I40="Nein"</formula>
    </cfRule>
    <cfRule type="expression" priority="47" aboveAverage="0" equalAverage="0" bottom="0" percent="0" rank="0" text="" dxfId="841">
      <formula>$I40="Ja"</formula>
    </cfRule>
  </conditionalFormatting>
  <conditionalFormatting sqref="E40:F40">
    <cfRule type="expression" priority="48" aboveAverage="0" equalAverage="0" bottom="0" percent="0" rank="0" text="" dxfId="842">
      <formula>$I40="Nein"</formula>
    </cfRule>
    <cfRule type="expression" priority="49" aboveAverage="0" equalAverage="0" bottom="0" percent="0" rank="0" text="" dxfId="843">
      <formula>$I40="Ja"</formula>
    </cfRule>
  </conditionalFormatting>
  <conditionalFormatting sqref="E38:F38">
    <cfRule type="expression" priority="50" aboveAverage="0" equalAverage="0" bottom="0" percent="0" rank="0" text="" dxfId="844">
      <formula>$I38="Nein"</formula>
    </cfRule>
    <cfRule type="expression" priority="51" aboveAverage="0" equalAverage="0" bottom="0" percent="0" rank="0" text="" dxfId="845">
      <formula>$I38="Ja"</formula>
    </cfRule>
  </conditionalFormatting>
  <conditionalFormatting sqref="E39:F39">
    <cfRule type="expression" priority="52" aboveAverage="0" equalAverage="0" bottom="0" percent="0" rank="0" text="" dxfId="846">
      <formula>$I39="Nein"</formula>
    </cfRule>
    <cfRule type="expression" priority="53" aboveAverage="0" equalAverage="0" bottom="0" percent="0" rank="0" text="" dxfId="847">
      <formula>$I39="Ja"</formula>
    </cfRule>
  </conditionalFormatting>
  <conditionalFormatting sqref="E41:F41">
    <cfRule type="expression" priority="54" aboveAverage="0" equalAverage="0" bottom="0" percent="0" rank="0" text="" dxfId="848">
      <formula>$I41="Nein"</formula>
    </cfRule>
    <cfRule type="expression" priority="55" aboveAverage="0" equalAverage="0" bottom="0" percent="0" rank="0" text="" dxfId="849">
      <formula>$I41="Ja"</formula>
    </cfRule>
  </conditionalFormatting>
  <conditionalFormatting sqref="E41:F41">
    <cfRule type="expression" priority="56" aboveAverage="0" equalAverage="0" bottom="0" percent="0" rank="0" text="" dxfId="850">
      <formula>$I41="Nein"</formula>
    </cfRule>
    <cfRule type="expression" priority="57" aboveAverage="0" equalAverage="0" bottom="0" percent="0" rank="0" text="" dxfId="851">
      <formula>$I41="Ja"</formula>
    </cfRule>
  </conditionalFormatting>
  <conditionalFormatting sqref="E49:F49">
    <cfRule type="expression" priority="58" aboveAverage="0" equalAverage="0" bottom="0" percent="0" rank="0" text="" dxfId="852">
      <formula>$I49="Nein"</formula>
    </cfRule>
    <cfRule type="expression" priority="59" aboveAverage="0" equalAverage="0" bottom="0" percent="0" rank="0" text="" dxfId="853">
      <formula>$I49="Ja"</formula>
    </cfRule>
  </conditionalFormatting>
  <conditionalFormatting sqref="E49:F49">
    <cfRule type="expression" priority="60" aboveAverage="0" equalAverage="0" bottom="0" percent="0" rank="0" text="" dxfId="854">
      <formula>$I49="Nein"</formula>
    </cfRule>
    <cfRule type="expression" priority="61" aboveAverage="0" equalAverage="0" bottom="0" percent="0" rank="0" text="" dxfId="855">
      <formula>$I49="Ja"</formula>
    </cfRule>
  </conditionalFormatting>
  <conditionalFormatting sqref="E47:F47">
    <cfRule type="expression" priority="62" aboveAverage="0" equalAverage="0" bottom="0" percent="0" rank="0" text="" dxfId="856">
      <formula>$I47="Nein"</formula>
    </cfRule>
    <cfRule type="expression" priority="63" aboveAverage="0" equalAverage="0" bottom="0" percent="0" rank="0" text="" dxfId="857">
      <formula>$I47="Ja"</formula>
    </cfRule>
  </conditionalFormatting>
  <conditionalFormatting sqref="E48:F48">
    <cfRule type="expression" priority="64" aboveAverage="0" equalAverage="0" bottom="0" percent="0" rank="0" text="" dxfId="858">
      <formula>$I48="Nein"</formula>
    </cfRule>
    <cfRule type="expression" priority="65" aboveAverage="0" equalAverage="0" bottom="0" percent="0" rank="0" text="" dxfId="859">
      <formula>$I48="Ja"</formula>
    </cfRule>
  </conditionalFormatting>
  <conditionalFormatting sqref="E50:F50">
    <cfRule type="expression" priority="66" aboveAverage="0" equalAverage="0" bottom="0" percent="0" rank="0" text="" dxfId="860">
      <formula>$I50="Nein"</formula>
    </cfRule>
    <cfRule type="expression" priority="67" aboveAverage="0" equalAverage="0" bottom="0" percent="0" rank="0" text="" dxfId="861">
      <formula>$I50="Ja"</formula>
    </cfRule>
  </conditionalFormatting>
  <conditionalFormatting sqref="E50:F50">
    <cfRule type="expression" priority="68" aboveAverage="0" equalAverage="0" bottom="0" percent="0" rank="0" text="" dxfId="862">
      <formula>$I50="Nein"</formula>
    </cfRule>
    <cfRule type="expression" priority="69" aboveAverage="0" equalAverage="0" bottom="0" percent="0" rank="0" text="" dxfId="863">
      <formula>$I50="Ja"</formula>
    </cfRule>
  </conditionalFormatting>
  <conditionalFormatting sqref="E58:F58">
    <cfRule type="expression" priority="70" aboveAverage="0" equalAverage="0" bottom="0" percent="0" rank="0" text="" dxfId="864">
      <formula>$I58="Nein"</formula>
    </cfRule>
    <cfRule type="expression" priority="71" aboveAverage="0" equalAverage="0" bottom="0" percent="0" rank="0" text="" dxfId="865">
      <formula>$I58="Ja"</formula>
    </cfRule>
  </conditionalFormatting>
  <conditionalFormatting sqref="E58:F58">
    <cfRule type="expression" priority="72" aboveAverage="0" equalAverage="0" bottom="0" percent="0" rank="0" text="" dxfId="866">
      <formula>$I58="Nein"</formula>
    </cfRule>
    <cfRule type="expression" priority="73" aboveAverage="0" equalAverage="0" bottom="0" percent="0" rank="0" text="" dxfId="867">
      <formula>$I58="Ja"</formula>
    </cfRule>
  </conditionalFormatting>
  <conditionalFormatting sqref="E56:F56">
    <cfRule type="expression" priority="74" aboveAverage="0" equalAverage="0" bottom="0" percent="0" rank="0" text="" dxfId="868">
      <formula>$I56="Nein"</formula>
    </cfRule>
    <cfRule type="expression" priority="75" aboveAverage="0" equalAverage="0" bottom="0" percent="0" rank="0" text="" dxfId="869">
      <formula>$I56="Ja"</formula>
    </cfRule>
  </conditionalFormatting>
  <conditionalFormatting sqref="E57:F57">
    <cfRule type="expression" priority="76" aboveAverage="0" equalAverage="0" bottom="0" percent="0" rank="0" text="" dxfId="870">
      <formula>$I57="Nein"</formula>
    </cfRule>
    <cfRule type="expression" priority="77" aboveAverage="0" equalAverage="0" bottom="0" percent="0" rank="0" text="" dxfId="871">
      <formula>$I57="Ja"</formula>
    </cfRule>
  </conditionalFormatting>
  <conditionalFormatting sqref="E59:F59">
    <cfRule type="expression" priority="78" aboveAverage="0" equalAverage="0" bottom="0" percent="0" rank="0" text="" dxfId="872">
      <formula>$I59="Nein"</formula>
    </cfRule>
    <cfRule type="expression" priority="79" aboveAverage="0" equalAverage="0" bottom="0" percent="0" rank="0" text="" dxfId="873">
      <formula>$I59="Ja"</formula>
    </cfRule>
  </conditionalFormatting>
  <conditionalFormatting sqref="E59:F59">
    <cfRule type="expression" priority="80" aboveAverage="0" equalAverage="0" bottom="0" percent="0" rank="0" text="" dxfId="874">
      <formula>$I59="Nein"</formula>
    </cfRule>
    <cfRule type="expression" priority="81" aboveAverage="0" equalAverage="0" bottom="0" percent="0" rank="0" text="" dxfId="875">
      <formula>$I59="Ja"</formula>
    </cfRule>
  </conditionalFormatting>
  <conditionalFormatting sqref="E67:F67">
    <cfRule type="expression" priority="82" aboveAverage="0" equalAverage="0" bottom="0" percent="0" rank="0" text="" dxfId="876">
      <formula>$I67="Nein"</formula>
    </cfRule>
    <cfRule type="expression" priority="83" aboveAverage="0" equalAverage="0" bottom="0" percent="0" rank="0" text="" dxfId="877">
      <formula>$I67="Ja"</formula>
    </cfRule>
  </conditionalFormatting>
  <conditionalFormatting sqref="E67:F67">
    <cfRule type="expression" priority="84" aboveAverage="0" equalAverage="0" bottom="0" percent="0" rank="0" text="" dxfId="878">
      <formula>$I67="Nein"</formula>
    </cfRule>
    <cfRule type="expression" priority="85" aboveAverage="0" equalAverage="0" bottom="0" percent="0" rank="0" text="" dxfId="879">
      <formula>$I67="Ja"</formula>
    </cfRule>
  </conditionalFormatting>
  <conditionalFormatting sqref="E65:F65">
    <cfRule type="expression" priority="86" aboveAverage="0" equalAverage="0" bottom="0" percent="0" rank="0" text="" dxfId="880">
      <formula>$I65="Nein"</formula>
    </cfRule>
    <cfRule type="expression" priority="87" aboveAverage="0" equalAverage="0" bottom="0" percent="0" rank="0" text="" dxfId="881">
      <formula>$I65="Ja"</formula>
    </cfRule>
  </conditionalFormatting>
  <conditionalFormatting sqref="E66:F66">
    <cfRule type="expression" priority="88" aboveAverage="0" equalAverage="0" bottom="0" percent="0" rank="0" text="" dxfId="882">
      <formula>$I66="Nein"</formula>
    </cfRule>
    <cfRule type="expression" priority="89" aboveAverage="0" equalAverage="0" bottom="0" percent="0" rank="0" text="" dxfId="883">
      <formula>$I66="Ja"</formula>
    </cfRule>
  </conditionalFormatting>
  <conditionalFormatting sqref="E68:F68">
    <cfRule type="expression" priority="90" aboveAverage="0" equalAverage="0" bottom="0" percent="0" rank="0" text="" dxfId="884">
      <formula>$I68="Nein"</formula>
    </cfRule>
    <cfRule type="expression" priority="91" aboveAverage="0" equalAverage="0" bottom="0" percent="0" rank="0" text="" dxfId="885">
      <formula>$I68="Ja"</formula>
    </cfRule>
  </conditionalFormatting>
  <conditionalFormatting sqref="E68:F68">
    <cfRule type="expression" priority="92" aboveAverage="0" equalAverage="0" bottom="0" percent="0" rank="0" text="" dxfId="886">
      <formula>$I68="Nein"</formula>
    </cfRule>
    <cfRule type="expression" priority="93" aboveAverage="0" equalAverage="0" bottom="0" percent="0" rank="0" text="" dxfId="887">
      <formula>$I68="Ja"</formula>
    </cfRule>
  </conditionalFormatting>
  <conditionalFormatting sqref="D74:E74">
    <cfRule type="expression" priority="94" aboveAverage="0" equalAverage="0" bottom="0" percent="0" rank="0" text="" dxfId="888">
      <formula>$I74="Nein"</formula>
    </cfRule>
    <cfRule type="expression" priority="95" aboveAverage="0" equalAverage="0" bottom="0" percent="0" rank="0" text="" dxfId="889">
      <formula>$I74="Ja"</formula>
    </cfRule>
  </conditionalFormatting>
  <conditionalFormatting sqref="D74:E74">
    <cfRule type="expression" priority="96" aboveAverage="0" equalAverage="0" bottom="0" percent="0" rank="0" text="" dxfId="890">
      <formula>$I74="Nein"</formula>
    </cfRule>
    <cfRule type="expression" priority="97" aboveAverage="0" equalAverage="0" bottom="0" percent="0" rank="0" text="" dxfId="891">
      <formula>$I74="Ja"</formula>
    </cfRule>
  </conditionalFormatting>
  <conditionalFormatting sqref="D75:E75">
    <cfRule type="expression" priority="98" aboveAverage="0" equalAverage="0" bottom="0" percent="0" rank="0" text="" dxfId="892">
      <formula>$I75="Nein"</formula>
    </cfRule>
    <cfRule type="expression" priority="99" aboveAverage="0" equalAverage="0" bottom="0" percent="0" rank="0" text="" dxfId="893">
      <formula>$I75="Ja"</formula>
    </cfRule>
  </conditionalFormatting>
  <conditionalFormatting sqref="D75:E75">
    <cfRule type="expression" priority="100" aboveAverage="0" equalAverage="0" bottom="0" percent="0" rank="0" text="" dxfId="894">
      <formula>$I75="Nein"</formula>
    </cfRule>
    <cfRule type="expression" priority="101" aboveAverage="0" equalAverage="0" bottom="0" percent="0" rank="0" text="" dxfId="895">
      <formula>$I75="Ja"</formula>
    </cfRule>
  </conditionalFormatting>
  <conditionalFormatting sqref="D76:E76">
    <cfRule type="expression" priority="102" aboveAverage="0" equalAverage="0" bottom="0" percent="0" rank="0" text="" dxfId="896">
      <formula>$I76="Nein"</formula>
    </cfRule>
    <cfRule type="expression" priority="103" aboveAverage="0" equalAverage="0" bottom="0" percent="0" rank="0" text="" dxfId="897">
      <formula>$I76="Ja"</formula>
    </cfRule>
  </conditionalFormatting>
  <conditionalFormatting sqref="D77:E77">
    <cfRule type="expression" priority="104" aboveAverage="0" equalAverage="0" bottom="0" percent="0" rank="0" text="" dxfId="898">
      <formula>$I77="Nein"</formula>
    </cfRule>
    <cfRule type="expression" priority="105" aboveAverage="0" equalAverage="0" bottom="0" percent="0" rank="0" text="" dxfId="899">
      <formula>$I77="Ja"</formula>
    </cfRule>
  </conditionalFormatting>
  <conditionalFormatting sqref="E103:F103">
    <cfRule type="expression" priority="106" aboveAverage="0" equalAverage="0" bottom="0" percent="0" rank="0" text="" dxfId="900">
      <formula>$I103="Nein"</formula>
    </cfRule>
    <cfRule type="expression" priority="107" aboveAverage="0" equalAverage="0" bottom="0" percent="0" rank="0" text="" dxfId="901">
      <formula>$I103="Ja"</formula>
    </cfRule>
  </conditionalFormatting>
  <conditionalFormatting sqref="E106:F106">
    <cfRule type="expression" priority="108" aboveAverage="0" equalAverage="0" bottom="0" percent="0" rank="0" text="" dxfId="902">
      <formula>$I106="Nein"</formula>
    </cfRule>
    <cfRule type="expression" priority="109" aboveAverage="0" equalAverage="0" bottom="0" percent="0" rank="0" text="" dxfId="903">
      <formula>$I106="Ja"</formula>
    </cfRule>
  </conditionalFormatting>
  <conditionalFormatting sqref="E104:F104">
    <cfRule type="expression" priority="110" aboveAverage="0" equalAverage="0" bottom="0" percent="0" rank="0" text="" dxfId="904">
      <formula>$I104="Nein"</formula>
    </cfRule>
    <cfRule type="expression" priority="111" aboveAverage="0" equalAverage="0" bottom="0" percent="0" rank="0" text="" dxfId="905">
      <formula>$I104="Ja"</formula>
    </cfRule>
  </conditionalFormatting>
  <conditionalFormatting sqref="E105:F105">
    <cfRule type="expression" priority="112" aboveAverage="0" equalAverage="0" bottom="0" percent="0" rank="0" text="" dxfId="906">
      <formula>$I105="Nein"</formula>
    </cfRule>
    <cfRule type="expression" priority="113" aboveAverage="0" equalAverage="0" bottom="0" percent="0" rank="0" text="" dxfId="907">
      <formula>$I105="Ja"</formula>
    </cfRule>
  </conditionalFormatting>
  <conditionalFormatting sqref="E112:F112">
    <cfRule type="expression" priority="114" aboveAverage="0" equalAverage="0" bottom="0" percent="0" rank="0" text="" dxfId="908">
      <formula>$I112="Nein"</formula>
    </cfRule>
    <cfRule type="expression" priority="115" aboveAverage="0" equalAverage="0" bottom="0" percent="0" rank="0" text="" dxfId="909">
      <formula>$I112="Ja"</formula>
    </cfRule>
  </conditionalFormatting>
  <conditionalFormatting sqref="E115:F115">
    <cfRule type="expression" priority="116" aboveAverage="0" equalAverage="0" bottom="0" percent="0" rank="0" text="" dxfId="910">
      <formula>$I115="Nein"</formula>
    </cfRule>
    <cfRule type="expression" priority="117" aboveAverage="0" equalAverage="0" bottom="0" percent="0" rank="0" text="" dxfId="911">
      <formula>$I115="Ja"</formula>
    </cfRule>
  </conditionalFormatting>
  <conditionalFormatting sqref="E113:F113">
    <cfRule type="expression" priority="118" aboveAverage="0" equalAverage="0" bottom="0" percent="0" rank="0" text="" dxfId="912">
      <formula>$I113="Nein"</formula>
    </cfRule>
    <cfRule type="expression" priority="119" aboveAverage="0" equalAverage="0" bottom="0" percent="0" rank="0" text="" dxfId="913">
      <formula>$I113="Ja"</formula>
    </cfRule>
  </conditionalFormatting>
  <conditionalFormatting sqref="E114:F114">
    <cfRule type="expression" priority="120" aboveAverage="0" equalAverage="0" bottom="0" percent="0" rank="0" text="" dxfId="914">
      <formula>$I114="Nein"</formula>
    </cfRule>
    <cfRule type="expression" priority="121" aboveAverage="0" equalAverage="0" bottom="0" percent="0" rank="0" text="" dxfId="915">
      <formula>$I114="Ja"</formula>
    </cfRule>
  </conditionalFormatting>
  <conditionalFormatting sqref="E121:F121">
    <cfRule type="expression" priority="122" aboveAverage="0" equalAverage="0" bottom="0" percent="0" rank="0" text="" dxfId="916">
      <formula>$I121="Nein"</formula>
    </cfRule>
    <cfRule type="expression" priority="123" aboveAverage="0" equalAverage="0" bottom="0" percent="0" rank="0" text="" dxfId="917">
      <formula>$I121="Ja"</formula>
    </cfRule>
  </conditionalFormatting>
  <conditionalFormatting sqref="E124:F124">
    <cfRule type="expression" priority="124" aboveAverage="0" equalAverage="0" bottom="0" percent="0" rank="0" text="" dxfId="918">
      <formula>$I124="Nein"</formula>
    </cfRule>
    <cfRule type="expression" priority="125" aboveAverage="0" equalAverage="0" bottom="0" percent="0" rank="0" text="" dxfId="919">
      <formula>$I124="Ja"</formula>
    </cfRule>
  </conditionalFormatting>
  <conditionalFormatting sqref="E122:F122">
    <cfRule type="expression" priority="126" aboveAverage="0" equalAverage="0" bottom="0" percent="0" rank="0" text="" dxfId="920">
      <formula>$I122="Nein"</formula>
    </cfRule>
    <cfRule type="expression" priority="127" aboveAverage="0" equalAverage="0" bottom="0" percent="0" rank="0" text="" dxfId="921">
      <formula>$I122="Ja"</formula>
    </cfRule>
  </conditionalFormatting>
  <conditionalFormatting sqref="E123:F123">
    <cfRule type="expression" priority="128" aboveAverage="0" equalAverage="0" bottom="0" percent="0" rank="0" text="" dxfId="922">
      <formula>$I123="Nein"</formula>
    </cfRule>
    <cfRule type="expression" priority="129" aboveAverage="0" equalAverage="0" bottom="0" percent="0" rank="0" text="" dxfId="923">
      <formula>$I123="Ja"</formula>
    </cfRule>
  </conditionalFormatting>
  <conditionalFormatting sqref="E130:F130">
    <cfRule type="expression" priority="130" aboveAverage="0" equalAverage="0" bottom="0" percent="0" rank="0" text="" dxfId="924">
      <formula>$I130="Nein"</formula>
    </cfRule>
    <cfRule type="expression" priority="131" aboveAverage="0" equalAverage="0" bottom="0" percent="0" rank="0" text="" dxfId="925">
      <formula>$I130="Ja"</formula>
    </cfRule>
  </conditionalFormatting>
  <conditionalFormatting sqref="E133:F133">
    <cfRule type="expression" priority="132" aboveAverage="0" equalAverage="0" bottom="0" percent="0" rank="0" text="" dxfId="926">
      <formula>$I133="Nein"</formula>
    </cfRule>
    <cfRule type="expression" priority="133" aboveAverage="0" equalAverage="0" bottom="0" percent="0" rank="0" text="" dxfId="927">
      <formula>$I133="Ja"</formula>
    </cfRule>
  </conditionalFormatting>
  <conditionalFormatting sqref="E131:F131">
    <cfRule type="expression" priority="134" aboveAverage="0" equalAverage="0" bottom="0" percent="0" rank="0" text="" dxfId="928">
      <formula>$I131="Nein"</formula>
    </cfRule>
    <cfRule type="expression" priority="135" aboveAverage="0" equalAverage="0" bottom="0" percent="0" rank="0" text="" dxfId="929">
      <formula>$I131="Ja"</formula>
    </cfRule>
  </conditionalFormatting>
  <conditionalFormatting sqref="E132:F132">
    <cfRule type="expression" priority="136" aboveAverage="0" equalAverage="0" bottom="0" percent="0" rank="0" text="" dxfId="930">
      <formula>$I132="Nein"</formula>
    </cfRule>
    <cfRule type="expression" priority="137" aboveAverage="0" equalAverage="0" bottom="0" percent="0" rank="0" text="" dxfId="931">
      <formula>$I132="Ja"</formula>
    </cfRule>
  </conditionalFormatting>
  <conditionalFormatting sqref="D139:E139">
    <cfRule type="expression" priority="138" aboveAverage="0" equalAverage="0" bottom="0" percent="0" rank="0" text="" dxfId="932">
      <formula>$I139="Nein"</formula>
    </cfRule>
    <cfRule type="expression" priority="139" aboveAverage="0" equalAverage="0" bottom="0" percent="0" rank="0" text="" dxfId="933">
      <formula>$I139="Ja"</formula>
    </cfRule>
  </conditionalFormatting>
  <conditionalFormatting sqref="D140:E140">
    <cfRule type="expression" priority="140" aboveAverage="0" equalAverage="0" bottom="0" percent="0" rank="0" text="" dxfId="934">
      <formula>$I140="Nein"</formula>
    </cfRule>
    <cfRule type="expression" priority="141" aboveAverage="0" equalAverage="0" bottom="0" percent="0" rank="0" text="" dxfId="935">
      <formula>$I140="Ja"</formula>
    </cfRule>
  </conditionalFormatting>
  <conditionalFormatting sqref="D141:E141">
    <cfRule type="expression" priority="142" aboveAverage="0" equalAverage="0" bottom="0" percent="0" rank="0" text="" dxfId="936">
      <formula>$I141="Nein"</formula>
    </cfRule>
    <cfRule type="expression" priority="143" aboveAverage="0" equalAverage="0" bottom="0" percent="0" rank="0" text="" dxfId="937">
      <formula>$I141="Ja"</formula>
    </cfRule>
  </conditionalFormatting>
  <conditionalFormatting sqref="D142:E142">
    <cfRule type="expression" priority="144" aboveAverage="0" equalAverage="0" bottom="0" percent="0" rank="0" text="" dxfId="938">
      <formula>$I142="Nein"</formula>
    </cfRule>
    <cfRule type="expression" priority="145" aboveAverage="0" equalAverage="0" bottom="0" percent="0" rank="0" text="" dxfId="939">
      <formula>$I142="Ja"</formula>
    </cfRule>
  </conditionalFormatting>
  <conditionalFormatting sqref="E166:F166">
    <cfRule type="expression" priority="146" aboveAverage="0" equalAverage="0" bottom="0" percent="0" rank="0" text="" dxfId="940">
      <formula>$I166="Nein"</formula>
    </cfRule>
    <cfRule type="expression" priority="147" aboveAverage="0" equalAverage="0" bottom="0" percent="0" rank="0" text="" dxfId="941">
      <formula>$I166="Ja"</formula>
    </cfRule>
  </conditionalFormatting>
  <conditionalFormatting sqref="E167:F167">
    <cfRule type="expression" priority="148" aboveAverage="0" equalAverage="0" bottom="0" percent="0" rank="0" text="" dxfId="942">
      <formula>$I167="Nein"</formula>
    </cfRule>
    <cfRule type="expression" priority="149" aboveAverage="0" equalAverage="0" bottom="0" percent="0" rank="0" text="" dxfId="943">
      <formula>$I167="Ja"</formula>
    </cfRule>
  </conditionalFormatting>
  <conditionalFormatting sqref="E173:F173">
    <cfRule type="expression" priority="150" aboveAverage="0" equalAverage="0" bottom="0" percent="0" rank="0" text="" dxfId="944">
      <formula>$I173="Nein"</formula>
    </cfRule>
    <cfRule type="expression" priority="151" aboveAverage="0" equalAverage="0" bottom="0" percent="0" rank="0" text="" dxfId="945">
      <formula>$I173="Ja"</formula>
    </cfRule>
  </conditionalFormatting>
  <conditionalFormatting sqref="E174:F174">
    <cfRule type="expression" priority="152" aboveAverage="0" equalAverage="0" bottom="0" percent="0" rank="0" text="" dxfId="946">
      <formula>$I174="Nein"</formula>
    </cfRule>
    <cfRule type="expression" priority="153" aboveAverage="0" equalAverage="0" bottom="0" percent="0" rank="0" text="" dxfId="947">
      <formula>$I174="Ja"</formula>
    </cfRule>
  </conditionalFormatting>
  <conditionalFormatting sqref="E180:F180">
    <cfRule type="expression" priority="154" aboveAverage="0" equalAverage="0" bottom="0" percent="0" rank="0" text="" dxfId="948">
      <formula>$I180="Nein"</formula>
    </cfRule>
    <cfRule type="expression" priority="155" aboveAverage="0" equalAverage="0" bottom="0" percent="0" rank="0" text="" dxfId="949">
      <formula>$I180="Ja"</formula>
    </cfRule>
  </conditionalFormatting>
  <conditionalFormatting sqref="E181:F181">
    <cfRule type="expression" priority="156" aboveAverage="0" equalAverage="0" bottom="0" percent="0" rank="0" text="" dxfId="950">
      <formula>$I181="Nein"</formula>
    </cfRule>
    <cfRule type="expression" priority="157" aboveAverage="0" equalAverage="0" bottom="0" percent="0" rank="0" text="" dxfId="951">
      <formula>$I181="Ja"</formula>
    </cfRule>
  </conditionalFormatting>
  <conditionalFormatting sqref="E187:F187">
    <cfRule type="expression" priority="158" aboveAverage="0" equalAverage="0" bottom="0" percent="0" rank="0" text="" dxfId="952">
      <formula>$I187="Nein"</formula>
    </cfRule>
    <cfRule type="expression" priority="159" aboveAverage="0" equalAverage="0" bottom="0" percent="0" rank="0" text="" dxfId="953">
      <formula>$I187="Ja"</formula>
    </cfRule>
  </conditionalFormatting>
  <conditionalFormatting sqref="E188:F188">
    <cfRule type="expression" priority="160" aboveAverage="0" equalAverage="0" bottom="0" percent="0" rank="0" text="" dxfId="954">
      <formula>$I188="Nein"</formula>
    </cfRule>
    <cfRule type="expression" priority="161" aboveAverage="0" equalAverage="0" bottom="0" percent="0" rank="0" text="" dxfId="955">
      <formula>$I188="Ja"</formula>
    </cfRule>
  </conditionalFormatting>
  <conditionalFormatting sqref="E194:F194">
    <cfRule type="expression" priority="162" aboveAverage="0" equalAverage="0" bottom="0" percent="0" rank="0" text="" dxfId="956">
      <formula>$I194="Nein"</formula>
    </cfRule>
    <cfRule type="expression" priority="163" aboveAverage="0" equalAverage="0" bottom="0" percent="0" rank="0" text="" dxfId="957">
      <formula>$I194="Ja"</formula>
    </cfRule>
  </conditionalFormatting>
  <dataValidations count="1">
    <dataValidation allowBlank="true" operator="between" showDropDown="false" showErrorMessage="true" showInputMessage="true" sqref="I6:I16 O19"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130"/>
  <sheetViews>
    <sheetView showFormulas="false" showGridLines="false" showRowColHeaders="true" showZeros="true" rightToLeft="false" tabSelected="false" showOutlineSymbols="true" defaultGridColor="true" view="normal" topLeftCell="A94" colorId="64" zoomScale="100" zoomScaleNormal="100" zoomScalePageLayoutView="100" workbookViewId="0">
      <selection pane="topLeft" activeCell="C88" activeCellId="0" sqref="C88"/>
    </sheetView>
  </sheetViews>
  <sheetFormatPr defaultColWidth="11.43359375" defaultRowHeight="15" zeroHeight="false" outlineLevelRow="1" outlineLevelCol="1"/>
  <cols>
    <col collapsed="false" customWidth="true" hidden="false" outlineLevel="0" max="3" min="1" style="1" width="3.71"/>
    <col collapsed="false" customWidth="true" hidden="false" outlineLevel="0" max="14" min="4" style="1" width="20.71"/>
    <col collapsed="false" customWidth="true" hidden="true" outlineLevel="1" max="18" min="15" style="1" width="20.71"/>
    <col collapsed="false" customWidth="true" hidden="false" outlineLevel="0" max="19" min="19" style="1" width="20.71"/>
    <col collapsed="false" customWidth="true" hidden="false" outlineLevel="0" max="21" min="20" style="1" width="3.71"/>
    <col collapsed="false" customWidth="true" hidden="false" outlineLevel="0" max="22" min="22" style="1" width="15.88"/>
    <col collapsed="false" customWidth="true" hidden="false" outlineLevel="0" max="24" min="23" style="1" width="20.71"/>
    <col collapsed="false" customWidth="false" hidden="false" outlineLevel="0" max="1024" min="25" style="1" width="11.42"/>
  </cols>
  <sheetData>
    <row r="1" customFormat="false" ht="15" hidden="false" customHeight="false" outlineLevel="0" collapsed="false">
      <c r="A1" s="2" t="s">
        <v>502</v>
      </c>
      <c r="B1" s="2"/>
      <c r="C1" s="2"/>
      <c r="D1" s="2"/>
      <c r="E1" s="2"/>
      <c r="F1" s="2"/>
      <c r="G1" s="2"/>
      <c r="H1" s="2"/>
      <c r="I1" s="2"/>
      <c r="J1" s="2"/>
      <c r="K1" s="2"/>
      <c r="L1" s="2"/>
      <c r="M1" s="2"/>
      <c r="N1" s="2"/>
    </row>
    <row r="2" customFormat="false" ht="15" hidden="false" customHeight="false" outlineLevel="0" collapsed="false">
      <c r="A2" s="2"/>
      <c r="B2" s="2"/>
      <c r="C2" s="2"/>
      <c r="D2" s="2"/>
      <c r="E2" s="2"/>
      <c r="F2" s="2"/>
      <c r="G2" s="2"/>
      <c r="H2" s="2"/>
      <c r="I2" s="2"/>
      <c r="J2" s="2"/>
      <c r="K2" s="2"/>
      <c r="L2" s="2"/>
      <c r="M2" s="2"/>
      <c r="N2" s="2"/>
    </row>
    <row r="3" customFormat="false" ht="20.1" hidden="false" customHeight="true" outlineLevel="0" collapsed="false"/>
    <row r="4" customFormat="false" ht="15.75" hidden="false" customHeight="false" outlineLevel="0" collapsed="false">
      <c r="B4" s="3" t="s">
        <v>503</v>
      </c>
      <c r="C4" s="3"/>
      <c r="D4" s="3"/>
      <c r="E4" s="3"/>
      <c r="F4" s="3"/>
      <c r="G4" s="3"/>
      <c r="H4" s="3"/>
      <c r="I4" s="3"/>
      <c r="K4" s="3" t="s">
        <v>2</v>
      </c>
      <c r="L4" s="3"/>
      <c r="M4" s="3"/>
      <c r="P4" s="4"/>
      <c r="Q4" s="4"/>
      <c r="R4" s="4"/>
      <c r="S4" s="5"/>
      <c r="T4" s="4"/>
      <c r="U4" s="4"/>
      <c r="V4" s="4"/>
      <c r="W4" s="4"/>
    </row>
    <row r="5" customFormat="false" ht="50.1" hidden="false" customHeight="true" outlineLevel="0" collapsed="false">
      <c r="B5" s="54" t="s">
        <v>504</v>
      </c>
      <c r="C5" s="54"/>
      <c r="D5" s="303" t="s">
        <v>4</v>
      </c>
      <c r="E5" s="9" t="s">
        <v>5</v>
      </c>
      <c r="F5" s="9" t="s">
        <v>6</v>
      </c>
      <c r="G5" s="57" t="s">
        <v>7</v>
      </c>
      <c r="H5" s="57" t="s">
        <v>8</v>
      </c>
      <c r="I5" s="9" t="s">
        <v>505</v>
      </c>
      <c r="K5" s="11" t="s">
        <v>4</v>
      </c>
      <c r="L5" s="12" t="s">
        <v>10</v>
      </c>
      <c r="M5" s="13" t="s">
        <v>11</v>
      </c>
      <c r="P5" s="5"/>
      <c r="R5" s="4"/>
      <c r="S5" s="4"/>
      <c r="T5" s="4"/>
      <c r="U5" s="5"/>
      <c r="V5" s="5"/>
    </row>
    <row r="6" customFormat="false" ht="20.1" hidden="false" customHeight="true" outlineLevel="0" collapsed="false">
      <c r="B6" s="14" t="n">
        <v>1</v>
      </c>
      <c r="C6" s="14"/>
      <c r="D6" s="18" t="s">
        <v>15</v>
      </c>
      <c r="E6" s="18" t="s">
        <v>16</v>
      </c>
      <c r="F6" s="18" t="s">
        <v>16</v>
      </c>
      <c r="G6" s="18" t="s">
        <v>16</v>
      </c>
      <c r="H6" s="18" t="s">
        <v>16</v>
      </c>
      <c r="I6" s="304" t="s">
        <v>14</v>
      </c>
      <c r="K6" s="21" t="str">
        <f aca="false">D6</f>
        <v>Devid Fulterer</v>
      </c>
      <c r="L6" s="22" t="n">
        <v>1</v>
      </c>
      <c r="M6" s="23" t="n">
        <v>1</v>
      </c>
      <c r="P6" s="24"/>
      <c r="U6" s="24"/>
      <c r="V6" s="24"/>
    </row>
    <row r="7" customFormat="false" ht="20.1" hidden="false" customHeight="true" outlineLevel="0" collapsed="false">
      <c r="B7" s="25" t="n">
        <v>2</v>
      </c>
      <c r="C7" s="25"/>
      <c r="D7" s="32" t="s">
        <v>17</v>
      </c>
      <c r="E7" s="32" t="s">
        <v>18</v>
      </c>
      <c r="F7" s="32" t="s">
        <v>19</v>
      </c>
      <c r="G7" s="32" t="s">
        <v>19</v>
      </c>
      <c r="H7" s="32" t="s">
        <v>19</v>
      </c>
      <c r="I7" s="305" t="s">
        <v>14</v>
      </c>
      <c r="K7" s="30" t="str">
        <f aca="false">D7</f>
        <v>Judith Fulterer</v>
      </c>
      <c r="L7" s="22"/>
      <c r="M7" s="31" t="n">
        <v>2</v>
      </c>
      <c r="P7" s="24"/>
      <c r="U7" s="24"/>
      <c r="V7" s="24"/>
    </row>
    <row r="8" customFormat="false" ht="20.1" hidden="false" customHeight="true" outlineLevel="0" collapsed="false">
      <c r="B8" s="25" t="n">
        <v>3</v>
      </c>
      <c r="C8" s="25"/>
      <c r="D8" s="33" t="s">
        <v>37</v>
      </c>
      <c r="E8" s="33" t="s">
        <v>38</v>
      </c>
      <c r="F8" s="34" t="s">
        <v>35</v>
      </c>
      <c r="G8" s="32" t="s">
        <v>35</v>
      </c>
      <c r="H8" s="32" t="s">
        <v>35</v>
      </c>
      <c r="I8" s="305" t="s">
        <v>14</v>
      </c>
      <c r="K8" s="30" t="str">
        <f aca="false">D8</f>
        <v>Bea Kittner</v>
      </c>
      <c r="L8" s="22"/>
      <c r="M8" s="31" t="n">
        <v>3</v>
      </c>
      <c r="P8" s="24"/>
      <c r="U8" s="24"/>
      <c r="V8" s="24"/>
    </row>
    <row r="9" customFormat="false" ht="20.1" hidden="false" customHeight="true" outlineLevel="0" collapsed="false">
      <c r="B9" s="25" t="n">
        <v>4</v>
      </c>
      <c r="C9" s="25"/>
      <c r="D9" s="33" t="s">
        <v>384</v>
      </c>
      <c r="E9" s="32" t="s">
        <v>28</v>
      </c>
      <c r="F9" s="306" t="s">
        <v>28</v>
      </c>
      <c r="G9" s="32" t="s">
        <v>28</v>
      </c>
      <c r="H9" s="32" t="s">
        <v>28</v>
      </c>
      <c r="I9" s="305" t="s">
        <v>14</v>
      </c>
      <c r="K9" s="35" t="str">
        <f aca="false">D9</f>
        <v>Pauline Micke</v>
      </c>
      <c r="L9" s="22"/>
      <c r="M9" s="36" t="n">
        <v>4</v>
      </c>
      <c r="P9" s="24"/>
      <c r="U9" s="24"/>
      <c r="V9" s="24"/>
    </row>
    <row r="10" customFormat="false" ht="20.1" hidden="false" customHeight="true" outlineLevel="0" collapsed="false">
      <c r="B10" s="25" t="n">
        <v>5</v>
      </c>
      <c r="C10" s="25"/>
      <c r="D10" s="33" t="s">
        <v>39</v>
      </c>
      <c r="E10" s="33" t="s">
        <v>40</v>
      </c>
      <c r="F10" s="34" t="s">
        <v>40</v>
      </c>
      <c r="G10" s="32" t="s">
        <v>40</v>
      </c>
      <c r="H10" s="32" t="s">
        <v>40</v>
      </c>
      <c r="I10" s="305" t="s">
        <v>14</v>
      </c>
      <c r="K10" s="21" t="str">
        <f aca="false">D10</f>
        <v>Markus Hagenauer</v>
      </c>
      <c r="L10" s="22" t="n">
        <v>2</v>
      </c>
      <c r="M10" s="23" t="n">
        <v>1</v>
      </c>
      <c r="P10" s="24"/>
      <c r="U10" s="24"/>
      <c r="V10" s="24"/>
    </row>
    <row r="11" customFormat="false" ht="20.1" hidden="false" customHeight="true" outlineLevel="0" collapsed="false">
      <c r="B11" s="25" t="n">
        <v>6</v>
      </c>
      <c r="C11" s="25"/>
      <c r="D11" s="26" t="s">
        <v>31</v>
      </c>
      <c r="E11" s="33" t="s">
        <v>32</v>
      </c>
      <c r="F11" s="34" t="s">
        <v>32</v>
      </c>
      <c r="G11" s="32" t="s">
        <v>32</v>
      </c>
      <c r="H11" s="28" t="s">
        <v>32</v>
      </c>
      <c r="I11" s="305" t="s">
        <v>14</v>
      </c>
      <c r="K11" s="30" t="str">
        <f aca="false">D11</f>
        <v>Daniel Zimmermann</v>
      </c>
      <c r="L11" s="22"/>
      <c r="M11" s="31" t="n">
        <v>2</v>
      </c>
      <c r="P11" s="24"/>
      <c r="U11" s="24"/>
      <c r="V11" s="24"/>
    </row>
    <row r="12" customFormat="false" ht="20.1" hidden="false" customHeight="true" outlineLevel="0" collapsed="false">
      <c r="B12" s="42" t="n">
        <v>7</v>
      </c>
      <c r="C12" s="42"/>
      <c r="D12" s="46" t="s">
        <v>20</v>
      </c>
      <c r="E12" s="46" t="s">
        <v>21</v>
      </c>
      <c r="F12" s="46" t="s">
        <v>21</v>
      </c>
      <c r="G12" s="46" t="s">
        <v>21</v>
      </c>
      <c r="H12" s="46" t="s">
        <v>21</v>
      </c>
      <c r="I12" s="309" t="s">
        <v>14</v>
      </c>
      <c r="K12" s="483" t="str">
        <f aca="false">D12</f>
        <v>Andreas Micke</v>
      </c>
      <c r="L12" s="22"/>
      <c r="M12" s="50" t="n">
        <v>3</v>
      </c>
      <c r="P12" s="24"/>
      <c r="U12" s="24"/>
      <c r="V12" s="24"/>
    </row>
    <row r="13" customFormat="false" ht="20.1" hidden="false" customHeight="true" outlineLevel="0" collapsed="false">
      <c r="D13" s="310"/>
      <c r="E13" s="310"/>
      <c r="F13" s="311"/>
      <c r="G13" s="162"/>
      <c r="H13" s="162"/>
      <c r="I13" s="310"/>
      <c r="K13" s="51" t="s">
        <v>506</v>
      </c>
      <c r="L13" s="51"/>
      <c r="M13" s="52" t="n">
        <f aca="false">ROWS(M6:M12)</f>
        <v>7</v>
      </c>
      <c r="O13" s="4"/>
      <c r="P13" s="4"/>
      <c r="R13" s="4"/>
      <c r="S13" s="4"/>
      <c r="T13" s="4"/>
      <c r="U13" s="4"/>
    </row>
    <row r="14" customFormat="false" ht="15.75" hidden="false" customHeight="false" outlineLevel="0" collapsed="false">
      <c r="B14" s="3" t="s">
        <v>507</v>
      </c>
      <c r="C14" s="3"/>
      <c r="D14" s="3"/>
      <c r="E14" s="3"/>
      <c r="F14" s="3"/>
      <c r="G14" s="3"/>
      <c r="H14" s="3"/>
      <c r="L14" s="53"/>
      <c r="M14" s="53"/>
      <c r="N14" s="53"/>
      <c r="O14" s="5"/>
      <c r="P14" s="4"/>
      <c r="Q14" s="4"/>
      <c r="S14" s="4"/>
      <c r="T14" s="4"/>
      <c r="U14" s="4"/>
      <c r="V14" s="4"/>
    </row>
    <row r="15" customFormat="false" ht="30.75" hidden="false" customHeight="true" outlineLevel="0" collapsed="false">
      <c r="B15" s="54" t="s">
        <v>51</v>
      </c>
      <c r="C15" s="54"/>
      <c r="D15" s="55" t="s">
        <v>4</v>
      </c>
      <c r="E15" s="9" t="s">
        <v>5</v>
      </c>
      <c r="F15" s="9" t="s">
        <v>6</v>
      </c>
      <c r="G15" s="57" t="s">
        <v>7</v>
      </c>
      <c r="H15" s="57" t="s">
        <v>8</v>
      </c>
      <c r="L15" s="53"/>
      <c r="M15" s="53"/>
      <c r="N15" s="53"/>
      <c r="O15" s="5"/>
      <c r="P15" s="4"/>
      <c r="Q15" s="4"/>
      <c r="S15" s="4"/>
      <c r="T15" s="4"/>
      <c r="U15" s="4"/>
      <c r="V15" s="4"/>
    </row>
    <row r="16" customFormat="false" ht="20.1" hidden="false" customHeight="true" outlineLevel="0" collapsed="false">
      <c r="B16" s="484" t="n">
        <v>1</v>
      </c>
      <c r="C16" s="484"/>
      <c r="D16" s="16" t="s">
        <v>29</v>
      </c>
      <c r="E16" s="16" t="s">
        <v>30</v>
      </c>
      <c r="F16" s="17" t="s">
        <v>30</v>
      </c>
      <c r="G16" s="18" t="s">
        <v>30</v>
      </c>
      <c r="H16" s="485" t="s">
        <v>30</v>
      </c>
      <c r="O16" s="29" t="s">
        <v>36</v>
      </c>
      <c r="P16" s="4"/>
      <c r="Q16" s="4"/>
      <c r="S16" s="4"/>
      <c r="T16" s="4"/>
      <c r="U16" s="4"/>
      <c r="V16" s="4"/>
    </row>
    <row r="17" customFormat="false" ht="20.1" hidden="false" customHeight="true" outlineLevel="0" collapsed="false">
      <c r="B17" s="576" t="n">
        <v>2</v>
      </c>
      <c r="C17" s="576"/>
      <c r="D17" s="26" t="s">
        <v>43</v>
      </c>
      <c r="E17" s="33" t="s">
        <v>44</v>
      </c>
      <c r="F17" s="34" t="s">
        <v>44</v>
      </c>
      <c r="G17" s="32" t="s">
        <v>44</v>
      </c>
      <c r="H17" s="577" t="s">
        <v>44</v>
      </c>
      <c r="O17" s="488"/>
      <c r="P17" s="4"/>
      <c r="Q17" s="4"/>
      <c r="S17" s="4"/>
      <c r="T17" s="4"/>
      <c r="U17" s="4"/>
      <c r="V17" s="4"/>
    </row>
    <row r="18" customFormat="false" ht="20.1" hidden="false" customHeight="true" outlineLevel="0" collapsed="false">
      <c r="B18" s="486" t="n">
        <v>3</v>
      </c>
      <c r="C18" s="486"/>
      <c r="D18" s="46" t="s">
        <v>22</v>
      </c>
      <c r="E18" s="46" t="s">
        <v>23</v>
      </c>
      <c r="F18" s="46" t="s">
        <v>23</v>
      </c>
      <c r="G18" s="46" t="s">
        <v>23</v>
      </c>
      <c r="H18" s="487" t="s">
        <v>23</v>
      </c>
      <c r="O18" s="488"/>
      <c r="P18" s="4"/>
      <c r="Q18" s="4"/>
      <c r="S18" s="4"/>
      <c r="T18" s="4"/>
      <c r="U18" s="4"/>
      <c r="V18" s="4"/>
    </row>
    <row r="19" customFormat="false" ht="20.1" hidden="false" customHeight="true" outlineLevel="0" collapsed="false">
      <c r="M19" s="53"/>
      <c r="N19" s="53"/>
      <c r="O19" s="53"/>
      <c r="P19" s="5"/>
      <c r="Q19" s="4"/>
      <c r="R19" s="4"/>
      <c r="T19" s="4"/>
      <c r="U19" s="4"/>
      <c r="V19" s="4"/>
      <c r="W19" s="4"/>
    </row>
    <row r="20" customFormat="false" ht="20.1" hidden="false" customHeight="true" outlineLevel="0" collapsed="false">
      <c r="B20" s="62"/>
      <c r="C20" s="62"/>
      <c r="D20" s="63"/>
      <c r="E20" s="63"/>
      <c r="F20" s="63"/>
      <c r="G20" s="63"/>
      <c r="H20" s="62"/>
      <c r="I20" s="62"/>
      <c r="J20" s="62"/>
      <c r="K20" s="62"/>
      <c r="L20" s="62"/>
      <c r="M20" s="62"/>
      <c r="N20" s="62"/>
      <c r="O20" s="62"/>
      <c r="P20" s="62"/>
      <c r="Q20" s="62"/>
      <c r="R20" s="62"/>
      <c r="S20" s="62"/>
      <c r="T20" s="62"/>
      <c r="U20" s="62"/>
    </row>
    <row r="21" customFormat="false" ht="30" hidden="false" customHeight="true" outlineLevel="0" collapsed="false">
      <c r="B21" s="62"/>
      <c r="C21" s="64" t="s">
        <v>52</v>
      </c>
      <c r="D21" s="64"/>
      <c r="E21" s="64"/>
      <c r="F21" s="64"/>
      <c r="G21" s="64"/>
      <c r="H21" s="64"/>
      <c r="I21" s="64"/>
      <c r="J21" s="64"/>
      <c r="K21" s="64"/>
      <c r="L21" s="64"/>
      <c r="M21" s="64"/>
      <c r="N21" s="64"/>
      <c r="O21" s="64"/>
      <c r="P21" s="64"/>
      <c r="Q21" s="64"/>
      <c r="R21" s="64"/>
      <c r="S21" s="64"/>
      <c r="T21" s="64"/>
      <c r="U21" s="62"/>
    </row>
    <row r="22" customFormat="false" ht="20.1" hidden="false" customHeight="true" outlineLevel="0" collapsed="false">
      <c r="B22" s="62"/>
      <c r="U22" s="62"/>
    </row>
    <row r="23" customFormat="false" ht="20.1" hidden="false" customHeight="true" outlineLevel="0" collapsed="false">
      <c r="B23" s="62"/>
      <c r="D23" s="65" t="s">
        <v>53</v>
      </c>
      <c r="E23" s="66" t="s">
        <v>54</v>
      </c>
      <c r="F23" s="67" t="s">
        <v>11</v>
      </c>
      <c r="G23" s="66" t="s">
        <v>55</v>
      </c>
      <c r="H23" s="66"/>
      <c r="I23" s="66"/>
      <c r="J23" s="66"/>
      <c r="K23" s="66" t="s">
        <v>56</v>
      </c>
      <c r="L23" s="68" t="s">
        <v>57</v>
      </c>
      <c r="M23" s="68"/>
      <c r="N23" s="68"/>
      <c r="O23" s="68"/>
      <c r="P23" s="68"/>
      <c r="Q23" s="68"/>
      <c r="R23" s="68"/>
      <c r="S23" s="68"/>
      <c r="U23" s="62"/>
    </row>
    <row r="24" customFormat="false" ht="19.5" hidden="false" customHeight="true" outlineLevel="0" collapsed="false">
      <c r="B24" s="62"/>
      <c r="D24" s="65"/>
      <c r="E24" s="66"/>
      <c r="F24" s="66"/>
      <c r="G24" s="317" t="s">
        <v>58</v>
      </c>
      <c r="H24" s="317" t="s">
        <v>59</v>
      </c>
      <c r="I24" s="226" t="s">
        <v>60</v>
      </c>
      <c r="J24" s="226"/>
      <c r="K24" s="69" t="s">
        <v>61</v>
      </c>
      <c r="L24" s="69" t="s">
        <v>58</v>
      </c>
      <c r="M24" s="70" t="s">
        <v>62</v>
      </c>
      <c r="N24" s="67" t="s">
        <v>60</v>
      </c>
      <c r="O24" s="67"/>
      <c r="P24" s="67"/>
      <c r="Q24" s="67"/>
      <c r="R24" s="67"/>
      <c r="S24" s="67"/>
      <c r="U24" s="62"/>
    </row>
    <row r="25" customFormat="false" ht="15" hidden="false" customHeight="true" outlineLevel="0" collapsed="false">
      <c r="B25" s="62"/>
      <c r="D25" s="318" t="s">
        <v>15</v>
      </c>
      <c r="E25" s="16" t="s">
        <v>16</v>
      </c>
      <c r="F25" s="23" t="n">
        <v>1</v>
      </c>
      <c r="G25" s="72" t="s">
        <v>63</v>
      </c>
      <c r="H25" s="320" t="s">
        <v>173</v>
      </c>
      <c r="I25" s="321" t="s">
        <v>174</v>
      </c>
      <c r="J25" s="321"/>
      <c r="K25" s="578" t="s">
        <v>470</v>
      </c>
      <c r="L25" s="352" t="s">
        <v>67</v>
      </c>
      <c r="M25" s="324" t="s">
        <v>67</v>
      </c>
      <c r="N25" s="78" t="s">
        <v>67</v>
      </c>
      <c r="O25" s="78"/>
      <c r="P25" s="78"/>
      <c r="Q25" s="78"/>
      <c r="R25" s="78"/>
      <c r="S25" s="78"/>
      <c r="U25" s="62"/>
    </row>
    <row r="26" customFormat="false" ht="27.95" hidden="false" customHeight="true" outlineLevel="0" collapsed="false">
      <c r="B26" s="62"/>
      <c r="D26" s="318"/>
      <c r="E26" s="16"/>
      <c r="F26" s="23"/>
      <c r="G26" s="72"/>
      <c r="H26" s="320"/>
      <c r="I26" s="325" t="s">
        <v>175</v>
      </c>
      <c r="J26" s="325"/>
      <c r="K26" s="578"/>
      <c r="L26" s="352"/>
      <c r="M26" s="324"/>
      <c r="N26" s="78"/>
      <c r="O26" s="78"/>
      <c r="P26" s="78"/>
      <c r="Q26" s="78"/>
      <c r="R26" s="78"/>
      <c r="S26" s="78"/>
      <c r="U26" s="62"/>
    </row>
    <row r="27" customFormat="false" ht="15" hidden="false" customHeight="true" outlineLevel="0" collapsed="false">
      <c r="B27" s="62"/>
      <c r="D27" s="318"/>
      <c r="E27" s="16"/>
      <c r="F27" s="23"/>
      <c r="G27" s="72"/>
      <c r="H27" s="320"/>
      <c r="I27" s="325" t="s">
        <v>176</v>
      </c>
      <c r="J27" s="325"/>
      <c r="K27" s="578"/>
      <c r="L27" s="352"/>
      <c r="M27" s="324"/>
      <c r="N27" s="78"/>
      <c r="O27" s="78"/>
      <c r="P27" s="78"/>
      <c r="Q27" s="78"/>
      <c r="R27" s="78"/>
      <c r="S27" s="78"/>
      <c r="U27" s="62"/>
    </row>
    <row r="28" customFormat="false" ht="15" hidden="false" customHeight="true" outlineLevel="0" collapsed="false">
      <c r="B28" s="62"/>
      <c r="D28" s="318"/>
      <c r="E28" s="16"/>
      <c r="F28" s="23"/>
      <c r="G28" s="72"/>
      <c r="H28" s="320"/>
      <c r="I28" s="325" t="s">
        <v>508</v>
      </c>
      <c r="J28" s="325"/>
      <c r="K28" s="578"/>
      <c r="L28" s="352"/>
      <c r="M28" s="324"/>
      <c r="N28" s="78"/>
      <c r="O28" s="78"/>
      <c r="P28" s="78"/>
      <c r="Q28" s="78"/>
      <c r="R28" s="78"/>
      <c r="S28" s="78"/>
      <c r="U28" s="62"/>
    </row>
    <row r="29" customFormat="false" ht="27.95" hidden="false" customHeight="true" outlineLevel="0" collapsed="false">
      <c r="B29" s="62"/>
      <c r="D29" s="318"/>
      <c r="E29" s="16"/>
      <c r="F29" s="23"/>
      <c r="G29" s="72"/>
      <c r="H29" s="320"/>
      <c r="I29" s="325" t="s">
        <v>415</v>
      </c>
      <c r="J29" s="325"/>
      <c r="K29" s="578"/>
      <c r="L29" s="352"/>
      <c r="M29" s="324"/>
      <c r="N29" s="78"/>
      <c r="O29" s="78"/>
      <c r="P29" s="78"/>
      <c r="Q29" s="78"/>
      <c r="R29" s="78"/>
      <c r="S29" s="78"/>
      <c r="U29" s="62"/>
    </row>
    <row r="30" customFormat="false" ht="15" hidden="false" customHeight="true" outlineLevel="0" collapsed="false">
      <c r="B30" s="62"/>
      <c r="D30" s="318"/>
      <c r="E30" s="16"/>
      <c r="F30" s="23"/>
      <c r="G30" s="72"/>
      <c r="H30" s="320"/>
      <c r="I30" s="360" t="s">
        <v>416</v>
      </c>
      <c r="J30" s="360"/>
      <c r="K30" s="578"/>
      <c r="L30" s="352"/>
      <c r="M30" s="324"/>
      <c r="N30" s="78"/>
      <c r="O30" s="78"/>
      <c r="P30" s="78"/>
      <c r="Q30" s="78"/>
      <c r="R30" s="78"/>
      <c r="S30" s="78"/>
      <c r="U30" s="62"/>
    </row>
    <row r="31" customFormat="false" ht="21.95" hidden="false" customHeight="true" outlineLevel="0" collapsed="false">
      <c r="B31" s="62"/>
      <c r="D31" s="432" t="s">
        <v>17</v>
      </c>
      <c r="E31" s="564" t="s">
        <v>18</v>
      </c>
      <c r="F31" s="499" t="n">
        <v>2</v>
      </c>
      <c r="G31" s="513" t="s">
        <v>63</v>
      </c>
      <c r="H31" s="565" t="s">
        <v>200</v>
      </c>
      <c r="I31" s="328" t="s">
        <v>201</v>
      </c>
      <c r="J31" s="328"/>
      <c r="K31" s="500" t="s">
        <v>111</v>
      </c>
      <c r="L31" s="437" t="s">
        <v>67</v>
      </c>
      <c r="M31" s="567" t="s">
        <v>67</v>
      </c>
      <c r="N31" s="469" t="s">
        <v>67</v>
      </c>
      <c r="O31" s="469"/>
      <c r="P31" s="469"/>
      <c r="Q31" s="469"/>
      <c r="R31" s="469"/>
      <c r="S31" s="469"/>
      <c r="U31" s="62"/>
    </row>
    <row r="32" customFormat="false" ht="27.95" hidden="false" customHeight="true" outlineLevel="0" collapsed="false">
      <c r="B32" s="62"/>
      <c r="D32" s="333" t="s">
        <v>37</v>
      </c>
      <c r="E32" s="33" t="s">
        <v>38</v>
      </c>
      <c r="F32" s="383" t="n">
        <v>3</v>
      </c>
      <c r="G32" s="87" t="s">
        <v>114</v>
      </c>
      <c r="H32" s="89" t="s">
        <v>115</v>
      </c>
      <c r="I32" s="335" t="s">
        <v>434</v>
      </c>
      <c r="J32" s="335"/>
      <c r="K32" s="579" t="s">
        <v>200</v>
      </c>
      <c r="L32" s="437" t="s">
        <v>67</v>
      </c>
      <c r="M32" s="438" t="s">
        <v>67</v>
      </c>
      <c r="N32" s="569" t="s">
        <v>67</v>
      </c>
      <c r="O32" s="569"/>
      <c r="P32" s="569"/>
      <c r="Q32" s="569"/>
      <c r="R32" s="569"/>
      <c r="S32" s="569"/>
      <c r="U32" s="62"/>
    </row>
    <row r="33" customFormat="false" ht="15" hidden="false" customHeight="true" outlineLevel="0" collapsed="false">
      <c r="B33" s="62"/>
      <c r="D33" s="333"/>
      <c r="E33" s="33"/>
      <c r="F33" s="383"/>
      <c r="G33" s="87"/>
      <c r="H33" s="89"/>
      <c r="I33" s="338" t="s">
        <v>435</v>
      </c>
      <c r="J33" s="338"/>
      <c r="K33" s="579"/>
      <c r="L33" s="437"/>
      <c r="M33" s="438"/>
      <c r="N33" s="569"/>
      <c r="O33" s="569"/>
      <c r="P33" s="569"/>
      <c r="Q33" s="569"/>
      <c r="R33" s="569"/>
      <c r="S33" s="569"/>
      <c r="U33" s="62"/>
    </row>
    <row r="34" customFormat="false" ht="15" hidden="false" customHeight="true" outlineLevel="0" collapsed="false">
      <c r="B34" s="62"/>
      <c r="D34" s="333"/>
      <c r="E34" s="33"/>
      <c r="F34" s="383"/>
      <c r="G34" s="87"/>
      <c r="H34" s="89"/>
      <c r="I34" s="338" t="s">
        <v>436</v>
      </c>
      <c r="J34" s="338"/>
      <c r="K34" s="579"/>
      <c r="L34" s="437"/>
      <c r="M34" s="438"/>
      <c r="N34" s="569"/>
      <c r="O34" s="569"/>
      <c r="P34" s="569"/>
      <c r="Q34" s="569"/>
      <c r="R34" s="569"/>
      <c r="S34" s="569"/>
      <c r="U34" s="62"/>
    </row>
    <row r="35" customFormat="false" ht="15" hidden="false" customHeight="true" outlineLevel="0" collapsed="false">
      <c r="B35" s="62"/>
      <c r="D35" s="333"/>
      <c r="E35" s="33"/>
      <c r="F35" s="383"/>
      <c r="G35" s="87"/>
      <c r="H35" s="89"/>
      <c r="I35" s="357" t="s">
        <v>244</v>
      </c>
      <c r="J35" s="357"/>
      <c r="K35" s="579"/>
      <c r="L35" s="437"/>
      <c r="M35" s="438"/>
      <c r="N35" s="569"/>
      <c r="O35" s="569"/>
      <c r="P35" s="569"/>
      <c r="Q35" s="569"/>
      <c r="R35" s="569"/>
      <c r="S35" s="569"/>
      <c r="U35" s="62"/>
    </row>
    <row r="36" customFormat="false" ht="15" hidden="false" customHeight="true" outlineLevel="0" collapsed="false">
      <c r="B36" s="62"/>
      <c r="D36" s="362" t="s">
        <v>384</v>
      </c>
      <c r="E36" s="44" t="s">
        <v>28</v>
      </c>
      <c r="F36" s="396" t="n">
        <v>4</v>
      </c>
      <c r="G36" s="491" t="s">
        <v>114</v>
      </c>
      <c r="H36" s="440" t="s">
        <v>470</v>
      </c>
      <c r="I36" s="342" t="s">
        <v>471</v>
      </c>
      <c r="J36" s="342"/>
      <c r="K36" s="441" t="s">
        <v>111</v>
      </c>
      <c r="L36" s="442" t="s">
        <v>67</v>
      </c>
      <c r="M36" s="345" t="s">
        <v>67</v>
      </c>
      <c r="N36" s="100" t="s">
        <v>67</v>
      </c>
      <c r="O36" s="100"/>
      <c r="P36" s="100"/>
      <c r="Q36" s="100"/>
      <c r="R36" s="100"/>
      <c r="S36" s="100"/>
      <c r="U36" s="62"/>
    </row>
    <row r="37" customFormat="false" ht="15" hidden="false" customHeight="true" outlineLevel="0" collapsed="false">
      <c r="B37" s="62"/>
      <c r="D37" s="362"/>
      <c r="E37" s="44"/>
      <c r="F37" s="396"/>
      <c r="G37" s="491"/>
      <c r="H37" s="440"/>
      <c r="I37" s="347" t="s">
        <v>472</v>
      </c>
      <c r="J37" s="347"/>
      <c r="K37" s="441"/>
      <c r="L37" s="442"/>
      <c r="M37" s="345"/>
      <c r="N37" s="100"/>
      <c r="O37" s="100"/>
      <c r="P37" s="100"/>
      <c r="Q37" s="100"/>
      <c r="R37" s="100"/>
      <c r="S37" s="100"/>
      <c r="U37" s="62"/>
    </row>
    <row r="38" customFormat="false" ht="15" hidden="false" customHeight="true" outlineLevel="0" collapsed="false">
      <c r="B38" s="62"/>
      <c r="D38" s="362"/>
      <c r="E38" s="44"/>
      <c r="F38" s="396"/>
      <c r="G38" s="491"/>
      <c r="H38" s="440"/>
      <c r="I38" s="347" t="s">
        <v>473</v>
      </c>
      <c r="J38" s="347"/>
      <c r="K38" s="441"/>
      <c r="L38" s="442"/>
      <c r="M38" s="345"/>
      <c r="N38" s="100"/>
      <c r="O38" s="100"/>
      <c r="P38" s="100"/>
      <c r="Q38" s="100"/>
      <c r="R38" s="100"/>
      <c r="S38" s="100"/>
      <c r="U38" s="62"/>
    </row>
    <row r="39" customFormat="false" ht="27.95" hidden="false" customHeight="true" outlineLevel="0" collapsed="false">
      <c r="B39" s="62"/>
      <c r="D39" s="362"/>
      <c r="E39" s="44"/>
      <c r="F39" s="396"/>
      <c r="G39" s="491"/>
      <c r="H39" s="440"/>
      <c r="I39" s="348" t="s">
        <v>474</v>
      </c>
      <c r="J39" s="348"/>
      <c r="K39" s="441"/>
      <c r="L39" s="442"/>
      <c r="M39" s="345"/>
      <c r="N39" s="100"/>
      <c r="O39" s="100"/>
      <c r="P39" s="100"/>
      <c r="Q39" s="100"/>
      <c r="R39" s="100"/>
      <c r="S39" s="100"/>
      <c r="U39" s="62"/>
    </row>
    <row r="40" customFormat="false" ht="20.1" hidden="false" customHeight="true" outlineLevel="0" collapsed="false">
      <c r="B40" s="62"/>
      <c r="U40" s="62"/>
    </row>
    <row r="41" customFormat="false" ht="20.1" hidden="false" customHeight="true" outlineLevel="0" collapsed="false">
      <c r="B41" s="62"/>
      <c r="C41" s="101"/>
      <c r="D41" s="101"/>
      <c r="E41" s="102" t="str">
        <f aca="false">IF(OR(M25="-",M25= ""),H25,M25)</f>
        <v>Agricola</v>
      </c>
      <c r="F41" s="102"/>
      <c r="G41" s="102"/>
      <c r="H41" s="102"/>
      <c r="I41" s="102"/>
      <c r="J41" s="102"/>
      <c r="K41" s="102"/>
      <c r="L41" s="102"/>
      <c r="M41" s="102"/>
      <c r="N41" s="102"/>
      <c r="O41" s="103"/>
      <c r="P41" s="103"/>
      <c r="Q41" s="103"/>
      <c r="R41" s="103"/>
      <c r="S41" s="103"/>
      <c r="T41" s="101"/>
      <c r="U41" s="62"/>
    </row>
    <row r="42" customFormat="false" ht="50.1" hidden="false" customHeight="true" outlineLevel="0" collapsed="false">
      <c r="B42" s="62"/>
      <c r="C42" s="101"/>
      <c r="D42" s="103"/>
      <c r="E42" s="65" t="s">
        <v>53</v>
      </c>
      <c r="F42" s="104" t="s">
        <v>76</v>
      </c>
      <c r="G42" s="67" t="s">
        <v>77</v>
      </c>
      <c r="H42" s="66" t="s">
        <v>78</v>
      </c>
      <c r="I42" s="54" t="s">
        <v>79</v>
      </c>
      <c r="J42" s="66" t="s">
        <v>80</v>
      </c>
      <c r="K42" s="105" t="s">
        <v>81</v>
      </c>
      <c r="L42" s="66" t="s">
        <v>82</v>
      </c>
      <c r="M42" s="106" t="s">
        <v>83</v>
      </c>
      <c r="N42" s="67" t="s">
        <v>84</v>
      </c>
      <c r="O42" s="107" t="s">
        <v>85</v>
      </c>
      <c r="P42" s="108" t="s">
        <v>86</v>
      </c>
      <c r="Q42" s="108" t="s">
        <v>87</v>
      </c>
      <c r="R42" s="108" t="s">
        <v>88</v>
      </c>
      <c r="S42" s="103"/>
      <c r="T42" s="101"/>
      <c r="U42" s="62"/>
    </row>
    <row r="43" s="472" customFormat="true" ht="30" hidden="false" customHeight="false" outlineLevel="0" collapsed="false">
      <c r="B43" s="473"/>
      <c r="C43" s="580"/>
      <c r="D43" s="580"/>
      <c r="E43" s="581" t="s">
        <v>15</v>
      </c>
      <c r="F43" s="359" t="s">
        <v>16</v>
      </c>
      <c r="G43" s="251" t="n">
        <v>2</v>
      </c>
      <c r="H43" s="251" t="s">
        <v>67</v>
      </c>
      <c r="I43" s="251" t="n">
        <v>-14</v>
      </c>
      <c r="J43" s="251" t="n">
        <v>47</v>
      </c>
      <c r="K43" s="251" t="s">
        <v>509</v>
      </c>
      <c r="L43" s="582" t="n">
        <f aca="false">IF(J43="",0,(J43/J47)*100)</f>
        <v>88.6792452830189</v>
      </c>
      <c r="M43" s="251" t="n">
        <v>2</v>
      </c>
      <c r="N43" s="583" t="n">
        <v>3</v>
      </c>
      <c r="O43" s="584" t="n">
        <f aca="false">IF(M43=1,1,0)</f>
        <v>0</v>
      </c>
      <c r="P43" s="585" t="n">
        <f aca="false">IF(M43=2,1,0)</f>
        <v>1</v>
      </c>
      <c r="Q43" s="585" t="n">
        <f aca="false">IF(M43=3,1,0)</f>
        <v>0</v>
      </c>
      <c r="R43" s="586" t="n">
        <f aca="false">IF(M43=4,1,0)</f>
        <v>0</v>
      </c>
      <c r="S43" s="587"/>
      <c r="T43" s="580"/>
      <c r="U43" s="473"/>
    </row>
    <row r="44" customFormat="false" ht="20.1" hidden="false" customHeight="true" outlineLevel="0" collapsed="false">
      <c r="B44" s="62"/>
      <c r="C44" s="101"/>
      <c r="D44" s="101"/>
      <c r="E44" s="326" t="s">
        <v>17</v>
      </c>
      <c r="F44" s="33" t="s">
        <v>18</v>
      </c>
      <c r="G44" s="241" t="n">
        <v>4</v>
      </c>
      <c r="H44" s="241" t="s">
        <v>67</v>
      </c>
      <c r="I44" s="241" t="n">
        <v>-14</v>
      </c>
      <c r="J44" s="241" t="n">
        <v>37</v>
      </c>
      <c r="K44" s="241" t="s">
        <v>67</v>
      </c>
      <c r="L44" s="243" t="n">
        <f aca="false">IF(J44="",0,(J44/J47)*100)</f>
        <v>69.811320754717</v>
      </c>
      <c r="M44" s="241" t="n">
        <v>4</v>
      </c>
      <c r="N44" s="244" t="n">
        <v>0</v>
      </c>
      <c r="O44" s="121" t="n">
        <f aca="false">IF(M44=1,1,0)</f>
        <v>0</v>
      </c>
      <c r="P44" s="122" t="n">
        <f aca="false">IF(M44=2,1,0)</f>
        <v>0</v>
      </c>
      <c r="Q44" s="122" t="n">
        <f aca="false">IF(M44=3,1,0)</f>
        <v>0</v>
      </c>
      <c r="R44" s="123" t="n">
        <f aca="false">IF(M44=4,1,0)</f>
        <v>1</v>
      </c>
      <c r="S44" s="118"/>
      <c r="T44" s="101"/>
      <c r="U44" s="62"/>
    </row>
    <row r="45" s="472" customFormat="true" ht="30" hidden="false" customHeight="false" outlineLevel="0" collapsed="false">
      <c r="B45" s="473"/>
      <c r="C45" s="580"/>
      <c r="D45" s="580"/>
      <c r="E45" s="474" t="s">
        <v>37</v>
      </c>
      <c r="F45" s="306" t="s">
        <v>38</v>
      </c>
      <c r="G45" s="242" t="n">
        <v>3</v>
      </c>
      <c r="H45" s="242" t="s">
        <v>67</v>
      </c>
      <c r="I45" s="242" t="n">
        <v>-14</v>
      </c>
      <c r="J45" s="242" t="n">
        <v>47</v>
      </c>
      <c r="K45" s="242" t="s">
        <v>510</v>
      </c>
      <c r="L45" s="256" t="n">
        <f aca="false">IF(J45="",0,(J45/J47)*100)</f>
        <v>88.6792452830189</v>
      </c>
      <c r="M45" s="242" t="n">
        <v>3</v>
      </c>
      <c r="N45" s="588" t="n">
        <v>1</v>
      </c>
      <c r="O45" s="589" t="n">
        <f aca="false">IF(M45=1,1,0)</f>
        <v>0</v>
      </c>
      <c r="P45" s="590" t="n">
        <f aca="false">IF(M45=2,1,0)</f>
        <v>0</v>
      </c>
      <c r="Q45" s="590" t="n">
        <f aca="false">IF(M45=3,1,0)</f>
        <v>1</v>
      </c>
      <c r="R45" s="591" t="n">
        <f aca="false">IF(M45=4,1,0)</f>
        <v>0</v>
      </c>
      <c r="S45" s="587"/>
      <c r="T45" s="580"/>
      <c r="U45" s="473"/>
    </row>
    <row r="46" customFormat="false" ht="20.1" hidden="false" customHeight="true" outlineLevel="0" collapsed="false">
      <c r="B46" s="62"/>
      <c r="C46" s="101"/>
      <c r="D46" s="124"/>
      <c r="E46" s="350" t="s">
        <v>384</v>
      </c>
      <c r="F46" s="294" t="s">
        <v>28</v>
      </c>
      <c r="G46" s="295" t="n">
        <v>1</v>
      </c>
      <c r="H46" s="295" t="s">
        <v>67</v>
      </c>
      <c r="I46" s="295" t="n">
        <v>-14</v>
      </c>
      <c r="J46" s="295" t="n">
        <v>53</v>
      </c>
      <c r="K46" s="295" t="s">
        <v>67</v>
      </c>
      <c r="L46" s="297" t="n">
        <f aca="false">IF(J46="",0,(J46/J47)*100)</f>
        <v>100</v>
      </c>
      <c r="M46" s="295" t="n">
        <v>1</v>
      </c>
      <c r="N46" s="298" t="n">
        <v>6</v>
      </c>
      <c r="O46" s="127" t="n">
        <f aca="false">IF(M46=1,1,0)</f>
        <v>1</v>
      </c>
      <c r="P46" s="128" t="n">
        <f aca="false">IF(M46=2,1,0)</f>
        <v>0</v>
      </c>
      <c r="Q46" s="128" t="n">
        <f aca="false">IF(M46=3,1,0)</f>
        <v>0</v>
      </c>
      <c r="R46" s="129" t="n">
        <f aca="false">IF(M46=4,1,0)</f>
        <v>0</v>
      </c>
      <c r="S46" s="118"/>
      <c r="T46" s="101"/>
      <c r="U46" s="62"/>
    </row>
    <row r="47" customFormat="false" ht="20.1" hidden="true" customHeight="true" outlineLevel="1" collapsed="false">
      <c r="B47" s="62"/>
      <c r="C47" s="101"/>
      <c r="D47" s="130"/>
      <c r="E47" s="130"/>
      <c r="F47" s="131"/>
      <c r="G47" s="131"/>
      <c r="H47" s="101"/>
      <c r="I47" s="132" t="s">
        <v>89</v>
      </c>
      <c r="J47" s="133" t="n">
        <f aca="false">MAX(J43:J46)</f>
        <v>53</v>
      </c>
      <c r="K47" s="134"/>
      <c r="L47" s="135"/>
      <c r="M47" s="101"/>
      <c r="N47" s="136" t="s">
        <v>90</v>
      </c>
      <c r="O47" s="137" t="n">
        <f aca="false">SUM(O43:O46)</f>
        <v>1</v>
      </c>
      <c r="P47" s="138" t="n">
        <f aca="false">SUM(P43:P46)</f>
        <v>1</v>
      </c>
      <c r="Q47" s="137" t="n">
        <f aca="false">SUM(Q43:Q46)</f>
        <v>1</v>
      </c>
      <c r="R47" s="137" t="n">
        <f aca="false">SUM(R43:R46)</f>
        <v>1</v>
      </c>
      <c r="S47" s="139"/>
      <c r="T47" s="101"/>
      <c r="U47" s="62"/>
    </row>
    <row r="48" customFormat="false" ht="20.1" hidden="false" customHeight="true" outlineLevel="0" collapsed="false">
      <c r="B48" s="62"/>
      <c r="C48" s="101"/>
      <c r="D48" s="101"/>
      <c r="E48" s="101"/>
      <c r="F48" s="140"/>
      <c r="G48" s="140"/>
      <c r="H48" s="103"/>
      <c r="I48" s="101"/>
      <c r="J48" s="101"/>
      <c r="K48" s="101"/>
      <c r="L48" s="101"/>
      <c r="M48" s="101"/>
      <c r="N48" s="101"/>
      <c r="O48" s="101"/>
      <c r="P48" s="101"/>
      <c r="Q48" s="101"/>
      <c r="R48" s="101"/>
      <c r="S48" s="101"/>
      <c r="T48" s="101"/>
      <c r="U48" s="62"/>
    </row>
    <row r="49" customFormat="false" ht="20.1" hidden="false" customHeight="true" outlineLevel="0" collapsed="false">
      <c r="B49" s="62"/>
      <c r="U49" s="62"/>
    </row>
    <row r="50" customFormat="false" ht="20.1" hidden="false" customHeight="true" outlineLevel="0" collapsed="false">
      <c r="B50" s="62"/>
      <c r="C50" s="141"/>
      <c r="D50" s="141"/>
      <c r="E50" s="142" t="str">
        <f aca="false">IF(OR(M31="-",M31= ""),H31,M31)</f>
        <v>La Granja</v>
      </c>
      <c r="F50" s="142"/>
      <c r="G50" s="142"/>
      <c r="H50" s="142"/>
      <c r="I50" s="142"/>
      <c r="J50" s="142"/>
      <c r="K50" s="142"/>
      <c r="L50" s="142"/>
      <c r="M50" s="142"/>
      <c r="N50" s="142"/>
      <c r="O50" s="143"/>
      <c r="P50" s="143"/>
      <c r="Q50" s="143"/>
      <c r="R50" s="143"/>
      <c r="S50" s="143"/>
      <c r="T50" s="141"/>
      <c r="U50" s="62"/>
    </row>
    <row r="51" customFormat="false" ht="50.1" hidden="false" customHeight="true" outlineLevel="0" collapsed="false">
      <c r="B51" s="62"/>
      <c r="C51" s="141"/>
      <c r="D51" s="143"/>
      <c r="E51" s="65" t="s">
        <v>53</v>
      </c>
      <c r="F51" s="104" t="s">
        <v>76</v>
      </c>
      <c r="G51" s="67" t="s">
        <v>77</v>
      </c>
      <c r="H51" s="66" t="s">
        <v>78</v>
      </c>
      <c r="I51" s="54" t="s">
        <v>79</v>
      </c>
      <c r="J51" s="66" t="s">
        <v>80</v>
      </c>
      <c r="K51" s="105" t="s">
        <v>81</v>
      </c>
      <c r="L51" s="66" t="s">
        <v>82</v>
      </c>
      <c r="M51" s="106" t="s">
        <v>83</v>
      </c>
      <c r="N51" s="67" t="s">
        <v>84</v>
      </c>
      <c r="O51" s="107" t="s">
        <v>85</v>
      </c>
      <c r="P51" s="108" t="s">
        <v>86</v>
      </c>
      <c r="Q51" s="108" t="s">
        <v>87</v>
      </c>
      <c r="R51" s="108" t="s">
        <v>88</v>
      </c>
      <c r="S51" s="143"/>
      <c r="T51" s="141"/>
      <c r="U51" s="62"/>
    </row>
    <row r="52" customFormat="false" ht="20.1" hidden="false" customHeight="true" outlineLevel="0" collapsed="false">
      <c r="B52" s="62"/>
      <c r="C52" s="141"/>
      <c r="D52" s="141"/>
      <c r="E52" s="318" t="s">
        <v>15</v>
      </c>
      <c r="F52" s="16" t="s">
        <v>16</v>
      </c>
      <c r="G52" s="250" t="n">
        <v>1</v>
      </c>
      <c r="H52" s="250" t="s">
        <v>67</v>
      </c>
      <c r="I52" s="250" t="n">
        <v>1</v>
      </c>
      <c r="J52" s="250" t="n">
        <v>79</v>
      </c>
      <c r="K52" s="250" t="s">
        <v>67</v>
      </c>
      <c r="L52" s="253" t="n">
        <f aca="false">IF(J52="",0,(J52/J56)*100)</f>
        <v>88.7640449438202</v>
      </c>
      <c r="M52" s="250" t="n">
        <v>2</v>
      </c>
      <c r="N52" s="254" t="n">
        <v>3</v>
      </c>
      <c r="O52" s="115" t="n">
        <f aca="false">IF(M52=1,1,0)</f>
        <v>0</v>
      </c>
      <c r="P52" s="116" t="n">
        <f aca="false">IF(M52=2,1,0)</f>
        <v>1</v>
      </c>
      <c r="Q52" s="116" t="n">
        <f aca="false">IF(M52=3,1,0)</f>
        <v>0</v>
      </c>
      <c r="R52" s="117" t="n">
        <f aca="false">IF(M52=4,1,0)</f>
        <v>0</v>
      </c>
      <c r="S52" s="147"/>
      <c r="T52" s="141"/>
      <c r="U52" s="62"/>
    </row>
    <row r="53" customFormat="false" ht="20.1" hidden="false" customHeight="true" outlineLevel="0" collapsed="false">
      <c r="B53" s="62"/>
      <c r="C53" s="141"/>
      <c r="D53" s="148"/>
      <c r="E53" s="174" t="s">
        <v>17</v>
      </c>
      <c r="F53" s="175" t="s">
        <v>18</v>
      </c>
      <c r="G53" s="151" t="n">
        <v>3</v>
      </c>
      <c r="H53" s="151" t="s">
        <v>67</v>
      </c>
      <c r="I53" s="151" t="n">
        <v>1</v>
      </c>
      <c r="J53" s="151" t="n">
        <v>89</v>
      </c>
      <c r="K53" s="151" t="s">
        <v>67</v>
      </c>
      <c r="L53" s="153" t="n">
        <f aca="false">IF(J53="",0,(J53/J56)*100)</f>
        <v>100</v>
      </c>
      <c r="M53" s="151" t="n">
        <v>1</v>
      </c>
      <c r="N53" s="154" t="n">
        <v>6</v>
      </c>
      <c r="O53" s="121" t="n">
        <f aca="false">IF(M53=1,1,0)</f>
        <v>1</v>
      </c>
      <c r="P53" s="122" t="n">
        <f aca="false">IF(M53=2,1,0)</f>
        <v>0</v>
      </c>
      <c r="Q53" s="122" t="n">
        <f aca="false">IF(M53=3,1,0)</f>
        <v>0</v>
      </c>
      <c r="R53" s="123" t="n">
        <f aca="false">IF(M53=4,1,0)</f>
        <v>0</v>
      </c>
      <c r="S53" s="147"/>
      <c r="T53" s="141"/>
      <c r="U53" s="62"/>
    </row>
    <row r="54" customFormat="false" ht="20.1" hidden="false" customHeight="true" outlineLevel="0" collapsed="false">
      <c r="B54" s="62"/>
      <c r="C54" s="141"/>
      <c r="D54" s="141"/>
      <c r="E54" s="326" t="s">
        <v>37</v>
      </c>
      <c r="F54" s="33" t="s">
        <v>38</v>
      </c>
      <c r="G54" s="241" t="n">
        <v>4</v>
      </c>
      <c r="H54" s="241" t="s">
        <v>67</v>
      </c>
      <c r="I54" s="241" t="n">
        <v>1</v>
      </c>
      <c r="J54" s="241" t="n">
        <v>54</v>
      </c>
      <c r="K54" s="241" t="s">
        <v>67</v>
      </c>
      <c r="L54" s="243" t="n">
        <f aca="false">IF(J54="",0,(J54/J56)*100)</f>
        <v>60.6741573033708</v>
      </c>
      <c r="M54" s="241" t="n">
        <v>4</v>
      </c>
      <c r="N54" s="244" t="n">
        <v>0</v>
      </c>
      <c r="O54" s="121" t="n">
        <f aca="false">IF(M54=1,1,0)</f>
        <v>0</v>
      </c>
      <c r="P54" s="122" t="n">
        <f aca="false">IF(M54=2,1,0)</f>
        <v>0</v>
      </c>
      <c r="Q54" s="122" t="n">
        <f aca="false">IF(M54=3,1,0)</f>
        <v>0</v>
      </c>
      <c r="R54" s="123" t="n">
        <f aca="false">IF(M54=4,1,0)</f>
        <v>1</v>
      </c>
      <c r="S54" s="147"/>
      <c r="T54" s="141"/>
      <c r="U54" s="62"/>
    </row>
    <row r="55" customFormat="false" ht="20.1" hidden="false" customHeight="true" outlineLevel="0" collapsed="false">
      <c r="B55" s="62"/>
      <c r="C55" s="141"/>
      <c r="D55" s="141"/>
      <c r="E55" s="349" t="s">
        <v>384</v>
      </c>
      <c r="F55" s="44" t="s">
        <v>28</v>
      </c>
      <c r="G55" s="245" t="n">
        <v>2</v>
      </c>
      <c r="H55" s="245" t="s">
        <v>67</v>
      </c>
      <c r="I55" s="245" t="n">
        <v>1</v>
      </c>
      <c r="J55" s="245" t="n">
        <v>70</v>
      </c>
      <c r="K55" s="245" t="s">
        <v>67</v>
      </c>
      <c r="L55" s="247" t="n">
        <f aca="false">IF(J55="",0,(J55/J56)*100)</f>
        <v>78.6516853932584</v>
      </c>
      <c r="M55" s="245" t="n">
        <v>3</v>
      </c>
      <c r="N55" s="248" t="n">
        <v>1</v>
      </c>
      <c r="O55" s="127" t="n">
        <f aca="false">IF(M55=1,1,0)</f>
        <v>0</v>
      </c>
      <c r="P55" s="128" t="n">
        <f aca="false">IF(M55=2,1,0)</f>
        <v>0</v>
      </c>
      <c r="Q55" s="128" t="n">
        <f aca="false">IF(M55=3,1,0)</f>
        <v>1</v>
      </c>
      <c r="R55" s="129" t="n">
        <f aca="false">IF(M55=4,1,0)</f>
        <v>0</v>
      </c>
      <c r="S55" s="147"/>
      <c r="T55" s="141"/>
      <c r="U55" s="62"/>
    </row>
    <row r="56" customFormat="false" ht="20.1" hidden="true" customHeight="true" outlineLevel="1" collapsed="false">
      <c r="B56" s="62"/>
      <c r="C56" s="141"/>
      <c r="D56" s="141"/>
      <c r="E56" s="141"/>
      <c r="F56" s="157"/>
      <c r="G56" s="157"/>
      <c r="H56" s="141"/>
      <c r="I56" s="158" t="s">
        <v>89</v>
      </c>
      <c r="J56" s="133" t="n">
        <f aca="false">MAX(J52:J55)</f>
        <v>89</v>
      </c>
      <c r="K56" s="159"/>
      <c r="L56" s="147"/>
      <c r="M56" s="141"/>
      <c r="N56" s="136" t="s">
        <v>90</v>
      </c>
      <c r="O56" s="137" t="n">
        <f aca="false">SUM(O52:O55)</f>
        <v>1</v>
      </c>
      <c r="P56" s="138" t="n">
        <f aca="false">SUM(P52:P55)</f>
        <v>1</v>
      </c>
      <c r="Q56" s="137" t="n">
        <f aca="false">SUM(Q52:Q55)</f>
        <v>1</v>
      </c>
      <c r="R56" s="160" t="n">
        <f aca="false">SUM(R52:R55)</f>
        <v>1</v>
      </c>
      <c r="S56" s="161"/>
      <c r="T56" s="141"/>
      <c r="U56" s="62"/>
    </row>
    <row r="57" customFormat="false" ht="20.1" hidden="false" customHeight="true" outlineLevel="0" collapsed="false">
      <c r="B57" s="62"/>
      <c r="C57" s="141"/>
      <c r="D57" s="141"/>
      <c r="E57" s="141"/>
      <c r="F57" s="141"/>
      <c r="G57" s="141"/>
      <c r="H57" s="141"/>
      <c r="I57" s="141"/>
      <c r="J57" s="141"/>
      <c r="K57" s="141"/>
      <c r="L57" s="141"/>
      <c r="M57" s="141"/>
      <c r="N57" s="141"/>
      <c r="O57" s="141"/>
      <c r="P57" s="141"/>
      <c r="Q57" s="141"/>
      <c r="R57" s="141"/>
      <c r="S57" s="141"/>
      <c r="T57" s="141"/>
      <c r="U57" s="62"/>
    </row>
    <row r="58" customFormat="false" ht="20.1" hidden="false" customHeight="true" outlineLevel="0" collapsed="false">
      <c r="B58" s="62"/>
      <c r="D58" s="162"/>
      <c r="E58" s="162"/>
      <c r="F58" s="162"/>
      <c r="G58" s="162"/>
      <c r="H58" s="163"/>
      <c r="I58" s="162"/>
      <c r="J58" s="162"/>
      <c r="U58" s="62"/>
    </row>
    <row r="59" customFormat="false" ht="20.1" hidden="false" customHeight="true" outlineLevel="0" collapsed="false">
      <c r="B59" s="62"/>
      <c r="C59" s="164"/>
      <c r="D59" s="164"/>
      <c r="E59" s="165" t="str">
        <f aca="false">IF(OR(M32="-",M32= ""),H32,M32)</f>
        <v>Orakel von Delphi</v>
      </c>
      <c r="F59" s="165"/>
      <c r="G59" s="165"/>
      <c r="H59" s="165"/>
      <c r="I59" s="165"/>
      <c r="J59" s="165"/>
      <c r="K59" s="165"/>
      <c r="L59" s="165"/>
      <c r="M59" s="165"/>
      <c r="N59" s="165"/>
      <c r="O59" s="166"/>
      <c r="P59" s="166"/>
      <c r="Q59" s="166"/>
      <c r="R59" s="166"/>
      <c r="S59" s="166"/>
      <c r="T59" s="164"/>
      <c r="U59" s="167"/>
      <c r="V59" s="168"/>
      <c r="W59" s="168"/>
    </row>
    <row r="60" customFormat="false" ht="50.1" hidden="false" customHeight="true" outlineLevel="0" collapsed="false">
      <c r="B60" s="62"/>
      <c r="C60" s="164"/>
      <c r="D60" s="166"/>
      <c r="E60" s="65" t="s">
        <v>53</v>
      </c>
      <c r="F60" s="104" t="s">
        <v>76</v>
      </c>
      <c r="G60" s="67" t="s">
        <v>77</v>
      </c>
      <c r="H60" s="66" t="s">
        <v>78</v>
      </c>
      <c r="I60" s="54" t="s">
        <v>79</v>
      </c>
      <c r="J60" s="66" t="s">
        <v>80</v>
      </c>
      <c r="K60" s="105" t="s">
        <v>81</v>
      </c>
      <c r="L60" s="66" t="s">
        <v>82</v>
      </c>
      <c r="M60" s="106" t="s">
        <v>83</v>
      </c>
      <c r="N60" s="67" t="s">
        <v>84</v>
      </c>
      <c r="O60" s="107" t="s">
        <v>85</v>
      </c>
      <c r="P60" s="108" t="s">
        <v>86</v>
      </c>
      <c r="Q60" s="108" t="s">
        <v>87</v>
      </c>
      <c r="R60" s="13" t="s">
        <v>88</v>
      </c>
      <c r="S60" s="166"/>
      <c r="T60" s="164"/>
      <c r="U60" s="167"/>
      <c r="V60" s="168"/>
      <c r="W60" s="168"/>
    </row>
    <row r="61" s="472" customFormat="true" ht="45" hidden="false" customHeight="false" outlineLevel="0" collapsed="false">
      <c r="B61" s="473"/>
      <c r="C61" s="592"/>
      <c r="D61" s="592"/>
      <c r="E61" s="581" t="s">
        <v>15</v>
      </c>
      <c r="F61" s="359" t="s">
        <v>16</v>
      </c>
      <c r="G61" s="251" t="n">
        <v>3</v>
      </c>
      <c r="H61" s="251" t="s">
        <v>126</v>
      </c>
      <c r="I61" s="251" t="s">
        <v>67</v>
      </c>
      <c r="J61" s="251" t="s">
        <v>129</v>
      </c>
      <c r="K61" s="251" t="s">
        <v>511</v>
      </c>
      <c r="L61" s="582" t="n">
        <f aca="false">(L45+L55+L72)/3</f>
        <v>73.5672390643771</v>
      </c>
      <c r="M61" s="251" t="n">
        <v>3</v>
      </c>
      <c r="N61" s="583" t="n">
        <v>1</v>
      </c>
      <c r="O61" s="584" t="n">
        <f aca="false">IF(M61=1,1,0)</f>
        <v>0</v>
      </c>
      <c r="P61" s="585" t="n">
        <f aca="false">IF(M61=2,1,0)</f>
        <v>0</v>
      </c>
      <c r="Q61" s="585" t="n">
        <f aca="false">IF(M61=3,1,0)</f>
        <v>1</v>
      </c>
      <c r="R61" s="586" t="n">
        <f aca="false">IF(M61=4,1,0)</f>
        <v>0</v>
      </c>
      <c r="S61" s="593"/>
      <c r="T61" s="592"/>
      <c r="U61" s="473"/>
    </row>
    <row r="62" s="472" customFormat="true" ht="45" hidden="false" customHeight="false" outlineLevel="0" collapsed="false">
      <c r="B62" s="473"/>
      <c r="C62" s="592"/>
      <c r="D62" s="594"/>
      <c r="E62" s="595" t="s">
        <v>17</v>
      </c>
      <c r="F62" s="596" t="s">
        <v>18</v>
      </c>
      <c r="G62" s="152" t="n">
        <v>2</v>
      </c>
      <c r="H62" s="152" t="s">
        <v>437</v>
      </c>
      <c r="I62" s="152" t="s">
        <v>67</v>
      </c>
      <c r="J62" s="152" t="s">
        <v>127</v>
      </c>
      <c r="K62" s="152" t="s">
        <v>512</v>
      </c>
      <c r="L62" s="443" t="n">
        <v>100</v>
      </c>
      <c r="M62" s="152" t="n">
        <v>1</v>
      </c>
      <c r="N62" s="597" t="n">
        <v>6</v>
      </c>
      <c r="O62" s="589" t="n">
        <f aca="false">IF(M62=1,1,0)</f>
        <v>1</v>
      </c>
      <c r="P62" s="590" t="n">
        <f aca="false">IF(M62=2,1,0)</f>
        <v>0</v>
      </c>
      <c r="Q62" s="590" t="n">
        <f aca="false">IF(M62=3,1,0)</f>
        <v>0</v>
      </c>
      <c r="R62" s="591" t="n">
        <f aca="false">IF(M62=4,1,0)</f>
        <v>0</v>
      </c>
      <c r="S62" s="593"/>
      <c r="T62" s="592"/>
      <c r="U62" s="598"/>
    </row>
    <row r="63" s="472" customFormat="true" ht="45" hidden="false" customHeight="false" outlineLevel="0" collapsed="false">
      <c r="B63" s="473"/>
      <c r="C63" s="592"/>
      <c r="D63" s="592"/>
      <c r="E63" s="474" t="s">
        <v>37</v>
      </c>
      <c r="F63" s="306" t="s">
        <v>38</v>
      </c>
      <c r="G63" s="242" t="n">
        <v>1</v>
      </c>
      <c r="H63" s="242" t="s">
        <v>259</v>
      </c>
      <c r="I63" s="242" t="s">
        <v>67</v>
      </c>
      <c r="J63" s="242" t="s">
        <v>129</v>
      </c>
      <c r="K63" s="242" t="s">
        <v>513</v>
      </c>
      <c r="L63" s="256" t="n">
        <f aca="false">(L44+L54+L70)/3</f>
        <v>57.5401031729207</v>
      </c>
      <c r="M63" s="242" t="n">
        <v>4</v>
      </c>
      <c r="N63" s="588" t="n">
        <v>0</v>
      </c>
      <c r="O63" s="589" t="n">
        <f aca="false">IF(M63=1,1,0)</f>
        <v>0</v>
      </c>
      <c r="P63" s="590" t="n">
        <f aca="false">IF(M63=2,1,0)</f>
        <v>0</v>
      </c>
      <c r="Q63" s="590" t="n">
        <f aca="false">IF(M63=3,1,0)</f>
        <v>0</v>
      </c>
      <c r="R63" s="591" t="n">
        <f aca="false">IF(M63=4,1,0)</f>
        <v>1</v>
      </c>
      <c r="S63" s="593"/>
      <c r="T63" s="592"/>
      <c r="U63" s="598"/>
    </row>
    <row r="64" s="472" customFormat="true" ht="45.75" hidden="false" customHeight="false" outlineLevel="0" collapsed="false">
      <c r="B64" s="473"/>
      <c r="C64" s="592"/>
      <c r="D64" s="592"/>
      <c r="E64" s="599" t="s">
        <v>384</v>
      </c>
      <c r="F64" s="405" t="s">
        <v>28</v>
      </c>
      <c r="G64" s="246" t="n">
        <v>4</v>
      </c>
      <c r="H64" s="246" t="s">
        <v>133</v>
      </c>
      <c r="I64" s="246" t="s">
        <v>67</v>
      </c>
      <c r="J64" s="246" t="s">
        <v>127</v>
      </c>
      <c r="K64" s="246" t="s">
        <v>514</v>
      </c>
      <c r="L64" s="600" t="n">
        <f aca="false">(L43+L52+L71)/3</f>
        <v>82.3687371917179</v>
      </c>
      <c r="M64" s="246" t="n">
        <v>2</v>
      </c>
      <c r="N64" s="601" t="n">
        <v>3</v>
      </c>
      <c r="O64" s="602" t="n">
        <f aca="false">IF(M64=1,1,0)</f>
        <v>0</v>
      </c>
      <c r="P64" s="603" t="n">
        <f aca="false">IF(M64=2,1,0)</f>
        <v>1</v>
      </c>
      <c r="Q64" s="603" t="n">
        <f aca="false">IF(M64=3,1,0)</f>
        <v>0</v>
      </c>
      <c r="R64" s="604" t="n">
        <f aca="false">IF(M64=4,1,0)</f>
        <v>0</v>
      </c>
      <c r="S64" s="593"/>
      <c r="T64" s="592"/>
      <c r="U64" s="598"/>
    </row>
    <row r="65" customFormat="false" ht="20.1" hidden="true" customHeight="true" outlineLevel="1" collapsed="false">
      <c r="B65" s="62"/>
      <c r="C65" s="164"/>
      <c r="D65" s="164"/>
      <c r="E65" s="164"/>
      <c r="F65" s="178"/>
      <c r="G65" s="178"/>
      <c r="H65" s="164"/>
      <c r="I65" s="179" t="s">
        <v>89</v>
      </c>
      <c r="J65" s="133" t="n">
        <f aca="false">MAX(J61:J64)</f>
        <v>0</v>
      </c>
      <c r="K65" s="180"/>
      <c r="L65" s="170"/>
      <c r="M65" s="164"/>
      <c r="N65" s="136"/>
      <c r="O65" s="137" t="n">
        <f aca="false">SUM(O61:O64)</f>
        <v>1</v>
      </c>
      <c r="P65" s="138" t="n">
        <f aca="false">SUM(P61:P64)</f>
        <v>1</v>
      </c>
      <c r="Q65" s="137" t="n">
        <f aca="false">SUM(Q61:Q64)</f>
        <v>1</v>
      </c>
      <c r="R65" s="160" t="n">
        <f aca="false">SUM(R61:R64)</f>
        <v>1</v>
      </c>
      <c r="S65" s="181"/>
      <c r="T65" s="164"/>
      <c r="U65" s="173"/>
    </row>
    <row r="66" customFormat="false" ht="20.1" hidden="false" customHeight="true" outlineLevel="0" collapsed="false">
      <c r="B66" s="62"/>
      <c r="C66" s="164"/>
      <c r="D66" s="164"/>
      <c r="E66" s="164"/>
      <c r="F66" s="164"/>
      <c r="G66" s="164"/>
      <c r="H66" s="164"/>
      <c r="I66" s="164"/>
      <c r="J66" s="164"/>
      <c r="K66" s="164"/>
      <c r="L66" s="164"/>
      <c r="M66" s="164"/>
      <c r="N66" s="164"/>
      <c r="O66" s="164"/>
      <c r="P66" s="164"/>
      <c r="Q66" s="164"/>
      <c r="R66" s="164"/>
      <c r="S66" s="164"/>
      <c r="T66" s="164"/>
      <c r="U66" s="173"/>
    </row>
    <row r="67" customFormat="false" ht="20.1" hidden="false" customHeight="true" outlineLevel="0" collapsed="false">
      <c r="B67" s="62"/>
      <c r="D67" s="162"/>
      <c r="E67" s="162"/>
      <c r="F67" s="162"/>
      <c r="G67" s="162"/>
      <c r="H67" s="163"/>
      <c r="I67" s="162"/>
      <c r="J67" s="162"/>
      <c r="K67" s="162"/>
      <c r="U67" s="62"/>
    </row>
    <row r="68" customFormat="false" ht="20.1" hidden="false" customHeight="true" outlineLevel="0" collapsed="false">
      <c r="B68" s="62"/>
      <c r="C68" s="182"/>
      <c r="D68" s="182"/>
      <c r="E68" s="183" t="str">
        <f aca="false">IF(OR(M36="-",M36= ""),H36,M36)</f>
        <v>Grand Austria Hotel</v>
      </c>
      <c r="F68" s="183"/>
      <c r="G68" s="183"/>
      <c r="H68" s="183"/>
      <c r="I68" s="183"/>
      <c r="J68" s="183"/>
      <c r="K68" s="183"/>
      <c r="L68" s="183"/>
      <c r="M68" s="183"/>
      <c r="N68" s="183"/>
      <c r="O68" s="184"/>
      <c r="P68" s="184"/>
      <c r="Q68" s="184"/>
      <c r="R68" s="184"/>
      <c r="S68" s="184"/>
      <c r="T68" s="182"/>
      <c r="U68" s="62"/>
    </row>
    <row r="69" customFormat="false" ht="50.1" hidden="false" customHeight="true" outlineLevel="0" collapsed="false">
      <c r="B69" s="62"/>
      <c r="C69" s="182"/>
      <c r="D69" s="184"/>
      <c r="E69" s="65" t="s">
        <v>53</v>
      </c>
      <c r="F69" s="104" t="s">
        <v>76</v>
      </c>
      <c r="G69" s="67" t="s">
        <v>77</v>
      </c>
      <c r="H69" s="66" t="s">
        <v>78</v>
      </c>
      <c r="I69" s="54" t="s">
        <v>79</v>
      </c>
      <c r="J69" s="66" t="s">
        <v>80</v>
      </c>
      <c r="K69" s="105" t="s">
        <v>81</v>
      </c>
      <c r="L69" s="66" t="s">
        <v>82</v>
      </c>
      <c r="M69" s="106" t="s">
        <v>83</v>
      </c>
      <c r="N69" s="67" t="s">
        <v>84</v>
      </c>
      <c r="O69" s="107" t="s">
        <v>85</v>
      </c>
      <c r="P69" s="108" t="s">
        <v>86</v>
      </c>
      <c r="Q69" s="108" t="s">
        <v>87</v>
      </c>
      <c r="R69" s="13" t="s">
        <v>88</v>
      </c>
      <c r="S69" s="184"/>
      <c r="T69" s="182"/>
      <c r="U69" s="62"/>
    </row>
    <row r="70" customFormat="false" ht="20.1" hidden="false" customHeight="true" outlineLevel="0" collapsed="false">
      <c r="B70" s="62"/>
      <c r="C70" s="182"/>
      <c r="D70" s="182"/>
      <c r="E70" s="318" t="s">
        <v>15</v>
      </c>
      <c r="F70" s="16" t="s">
        <v>16</v>
      </c>
      <c r="G70" s="250" t="n">
        <v>3</v>
      </c>
      <c r="H70" s="250" t="s">
        <v>67</v>
      </c>
      <c r="I70" s="250" t="n">
        <v>0</v>
      </c>
      <c r="J70" s="250" t="n">
        <v>75</v>
      </c>
      <c r="K70" s="250" t="s">
        <v>67</v>
      </c>
      <c r="L70" s="253" t="n">
        <f aca="false">IF(J70="",0,(J70/J74)*100)</f>
        <v>42.1348314606742</v>
      </c>
      <c r="M70" s="250" t="n">
        <v>4</v>
      </c>
      <c r="N70" s="254" t="n">
        <v>0</v>
      </c>
      <c r="O70" s="115" t="n">
        <f aca="false">IF(M70=1,1,0)</f>
        <v>0</v>
      </c>
      <c r="P70" s="116" t="n">
        <f aca="false">IF(M70=2,1,0)</f>
        <v>0</v>
      </c>
      <c r="Q70" s="116" t="n">
        <f aca="false">IF(M70=3,1,0)</f>
        <v>0</v>
      </c>
      <c r="R70" s="117" t="n">
        <f aca="false">IF(M70=4,1,0)</f>
        <v>1</v>
      </c>
      <c r="S70" s="185"/>
      <c r="T70" s="182"/>
      <c r="U70" s="62"/>
    </row>
    <row r="71" customFormat="false" ht="20.1" hidden="false" customHeight="true" outlineLevel="0" collapsed="false">
      <c r="B71" s="62"/>
      <c r="C71" s="182"/>
      <c r="D71" s="182"/>
      <c r="E71" s="326" t="s">
        <v>17</v>
      </c>
      <c r="F71" s="33" t="s">
        <v>18</v>
      </c>
      <c r="G71" s="241" t="n">
        <v>4</v>
      </c>
      <c r="H71" s="241" t="s">
        <v>67</v>
      </c>
      <c r="I71" s="241" t="n">
        <v>0</v>
      </c>
      <c r="J71" s="241" t="n">
        <v>124</v>
      </c>
      <c r="K71" s="241" t="s">
        <v>67</v>
      </c>
      <c r="L71" s="243" t="n">
        <f aca="false">IF(J71="",0,(J71/J74)*100)</f>
        <v>69.6629213483146</v>
      </c>
      <c r="M71" s="241" t="n">
        <v>2</v>
      </c>
      <c r="N71" s="244" t="n">
        <v>3</v>
      </c>
      <c r="O71" s="121" t="n">
        <f aca="false">IF(M71=1,1,0)</f>
        <v>0</v>
      </c>
      <c r="P71" s="122" t="n">
        <f aca="false">IF(M71=2,1,0)</f>
        <v>1</v>
      </c>
      <c r="Q71" s="122" t="n">
        <f aca="false">IF(M71=3,1,0)</f>
        <v>0</v>
      </c>
      <c r="R71" s="123" t="n">
        <f aca="false">IF(M71=4,1,0)</f>
        <v>0</v>
      </c>
      <c r="S71" s="185"/>
      <c r="T71" s="182"/>
      <c r="U71" s="62"/>
    </row>
    <row r="72" customFormat="false" ht="20.1" hidden="false" customHeight="true" outlineLevel="0" collapsed="false">
      <c r="B72" s="62"/>
      <c r="C72" s="182"/>
      <c r="D72" s="182"/>
      <c r="E72" s="326" t="s">
        <v>37</v>
      </c>
      <c r="F72" s="33" t="s">
        <v>38</v>
      </c>
      <c r="G72" s="241" t="n">
        <v>2</v>
      </c>
      <c r="H72" s="241" t="s">
        <v>67</v>
      </c>
      <c r="I72" s="241" t="n">
        <v>0</v>
      </c>
      <c r="J72" s="241" t="n">
        <v>95</v>
      </c>
      <c r="K72" s="241" t="s">
        <v>67</v>
      </c>
      <c r="L72" s="243" t="n">
        <f aca="false">IF(J72="",0,(J72/J74)*100)</f>
        <v>53.3707865168539</v>
      </c>
      <c r="M72" s="241" t="n">
        <v>3</v>
      </c>
      <c r="N72" s="244" t="n">
        <v>1</v>
      </c>
      <c r="O72" s="121" t="n">
        <f aca="false">IF(M72=1,1,0)</f>
        <v>0</v>
      </c>
      <c r="P72" s="122" t="n">
        <f aca="false">IF(M72=2,1,0)</f>
        <v>0</v>
      </c>
      <c r="Q72" s="122" t="n">
        <f aca="false">IF(M72=3,1,0)</f>
        <v>1</v>
      </c>
      <c r="R72" s="123" t="n">
        <f aca="false">IF(M72=4,1,0)</f>
        <v>0</v>
      </c>
      <c r="S72" s="185"/>
      <c r="T72" s="182"/>
      <c r="U72" s="62"/>
    </row>
    <row r="73" customFormat="false" ht="20.1" hidden="false" customHeight="true" outlineLevel="0" collapsed="false">
      <c r="B73" s="62"/>
      <c r="C73" s="182"/>
      <c r="D73" s="186"/>
      <c r="E73" s="350" t="s">
        <v>384</v>
      </c>
      <c r="F73" s="294" t="s">
        <v>28</v>
      </c>
      <c r="G73" s="295" t="n">
        <v>1</v>
      </c>
      <c r="H73" s="295" t="s">
        <v>67</v>
      </c>
      <c r="I73" s="295" t="n">
        <v>0</v>
      </c>
      <c r="J73" s="295" t="n">
        <v>178</v>
      </c>
      <c r="K73" s="295" t="s">
        <v>67</v>
      </c>
      <c r="L73" s="297" t="n">
        <f aca="false">IF(J73="",0,(J73/J74)*100)</f>
        <v>100</v>
      </c>
      <c r="M73" s="295" t="n">
        <v>1</v>
      </c>
      <c r="N73" s="298" t="n">
        <v>6</v>
      </c>
      <c r="O73" s="127" t="n">
        <f aca="false">IF(M73=1,1,0)</f>
        <v>1</v>
      </c>
      <c r="P73" s="128" t="n">
        <f aca="false">IF(M73=2,1,0)</f>
        <v>0</v>
      </c>
      <c r="Q73" s="128" t="n">
        <f aca="false">IF(M73=3,1,0)</f>
        <v>0</v>
      </c>
      <c r="R73" s="129" t="n">
        <f aca="false">IF(M73=4,1,0)</f>
        <v>0</v>
      </c>
      <c r="S73" s="185"/>
      <c r="T73" s="182"/>
      <c r="U73" s="62"/>
    </row>
    <row r="74" customFormat="false" ht="20.1" hidden="true" customHeight="true" outlineLevel="1" collapsed="false">
      <c r="B74" s="62"/>
      <c r="C74" s="182"/>
      <c r="D74" s="182"/>
      <c r="E74" s="182"/>
      <c r="F74" s="187"/>
      <c r="G74" s="187"/>
      <c r="H74" s="182"/>
      <c r="I74" s="158" t="s">
        <v>89</v>
      </c>
      <c r="J74" s="133" t="n">
        <f aca="false">MAX(J70:J73)</f>
        <v>178</v>
      </c>
      <c r="K74" s="188"/>
      <c r="L74" s="185"/>
      <c r="M74" s="182"/>
      <c r="N74" s="136" t="s">
        <v>90</v>
      </c>
      <c r="O74" s="137" t="n">
        <f aca="false">SUM(O70:O73)</f>
        <v>1</v>
      </c>
      <c r="P74" s="138" t="n">
        <f aca="false">SUM(P70:P73)</f>
        <v>1</v>
      </c>
      <c r="Q74" s="137" t="n">
        <f aca="false">SUM(Q70:Q73)</f>
        <v>1</v>
      </c>
      <c r="R74" s="160" t="n">
        <f aca="false">SUM(R70:R73)</f>
        <v>1</v>
      </c>
      <c r="S74" s="189"/>
      <c r="T74" s="182"/>
      <c r="U74" s="62"/>
    </row>
    <row r="75" customFormat="false" ht="20.1" hidden="false" customHeight="true" outlineLevel="0" collapsed="false">
      <c r="B75" s="62"/>
      <c r="C75" s="182"/>
      <c r="D75" s="182"/>
      <c r="E75" s="182"/>
      <c r="F75" s="182"/>
      <c r="G75" s="182"/>
      <c r="H75" s="182"/>
      <c r="I75" s="182"/>
      <c r="J75" s="182"/>
      <c r="K75" s="182"/>
      <c r="L75" s="182"/>
      <c r="M75" s="182"/>
      <c r="N75" s="182"/>
      <c r="O75" s="182"/>
      <c r="P75" s="182"/>
      <c r="Q75" s="182"/>
      <c r="R75" s="182"/>
      <c r="S75" s="182"/>
      <c r="T75" s="182"/>
      <c r="U75" s="62"/>
    </row>
    <row r="76" customFormat="false" ht="20.1" hidden="false" customHeight="true" outlineLevel="0" collapsed="false">
      <c r="B76" s="62"/>
      <c r="D76" s="5"/>
      <c r="E76" s="5"/>
      <c r="F76" s="5"/>
      <c r="G76" s="5"/>
      <c r="H76" s="5"/>
      <c r="I76" s="5"/>
      <c r="J76" s="5"/>
      <c r="U76" s="62"/>
    </row>
    <row r="77" customFormat="false" ht="30" hidden="false" customHeight="true" outlineLevel="0" collapsed="false">
      <c r="B77" s="62"/>
      <c r="C77" s="190"/>
      <c r="D77" s="191" t="s">
        <v>99</v>
      </c>
      <c r="E77" s="191"/>
      <c r="F77" s="191"/>
      <c r="G77" s="191"/>
      <c r="H77" s="191"/>
      <c r="I77" s="191"/>
      <c r="J77" s="191"/>
      <c r="K77" s="191"/>
      <c r="L77" s="191"/>
      <c r="M77" s="191"/>
      <c r="N77" s="191"/>
      <c r="O77" s="191"/>
      <c r="P77" s="191"/>
      <c r="Q77" s="191"/>
      <c r="R77" s="191"/>
      <c r="S77" s="191"/>
      <c r="T77" s="190"/>
      <c r="U77" s="62"/>
    </row>
    <row r="78" customFormat="false" ht="50.1" hidden="false" customHeight="true" outlineLevel="0" collapsed="false">
      <c r="B78" s="62"/>
      <c r="C78" s="190"/>
      <c r="D78" s="192" t="s">
        <v>53</v>
      </c>
      <c r="E78" s="193" t="s">
        <v>54</v>
      </c>
      <c r="F78" s="194" t="s">
        <v>84</v>
      </c>
      <c r="G78" s="195" t="s">
        <v>100</v>
      </c>
      <c r="H78" s="196" t="s">
        <v>101</v>
      </c>
      <c r="I78" s="196"/>
      <c r="J78" s="197" t="s">
        <v>102</v>
      </c>
      <c r="K78" s="198" t="s">
        <v>103</v>
      </c>
      <c r="L78" s="194" t="s">
        <v>104</v>
      </c>
      <c r="M78" s="198" t="s">
        <v>105</v>
      </c>
      <c r="N78" s="194" t="s">
        <v>106</v>
      </c>
      <c r="O78" s="199"/>
      <c r="P78" s="200"/>
      <c r="Q78" s="200"/>
      <c r="R78" s="200"/>
      <c r="S78" s="193" t="s">
        <v>107</v>
      </c>
      <c r="T78" s="190"/>
      <c r="U78" s="62"/>
    </row>
    <row r="79" customFormat="false" ht="20.1" hidden="false" customHeight="true" outlineLevel="0" collapsed="false">
      <c r="B79" s="62"/>
      <c r="C79" s="190"/>
      <c r="D79" s="605" t="s">
        <v>384</v>
      </c>
      <c r="E79" s="375" t="s">
        <v>28</v>
      </c>
      <c r="F79" s="203" t="n">
        <f aca="false">(K79*6+L79*3+M79*1+N79*0)</f>
        <v>16</v>
      </c>
      <c r="G79" s="203" t="n">
        <v>0</v>
      </c>
      <c r="H79" s="204" t="s">
        <v>67</v>
      </c>
      <c r="I79" s="204"/>
      <c r="J79" s="203" t="n">
        <f aca="false">F79+G79</f>
        <v>16</v>
      </c>
      <c r="K79" s="203" t="n">
        <v>2</v>
      </c>
      <c r="L79" s="203" t="n">
        <v>1</v>
      </c>
      <c r="M79" s="203" t="n">
        <v>1</v>
      </c>
      <c r="N79" s="203" t="n">
        <v>0</v>
      </c>
      <c r="O79" s="203"/>
      <c r="P79" s="203"/>
      <c r="Q79" s="203"/>
      <c r="R79" s="203"/>
      <c r="S79" s="205" t="n">
        <f aca="false">(L46+L55+L64+L73)/4</f>
        <v>90.2551056462441</v>
      </c>
      <c r="T79" s="190"/>
      <c r="U79" s="62"/>
      <c r="W79" s="206"/>
      <c r="X79" s="206"/>
      <c r="Y79" s="206"/>
      <c r="Z79" s="206"/>
    </row>
    <row r="80" customFormat="false" ht="20.1" hidden="false" customHeight="true" outlineLevel="0" collapsed="false">
      <c r="B80" s="62"/>
      <c r="C80" s="190"/>
      <c r="D80" s="444" t="s">
        <v>17</v>
      </c>
      <c r="E80" s="208" t="s">
        <v>18</v>
      </c>
      <c r="F80" s="209" t="n">
        <f aca="false">(K80*6+L80*3+M80*1+N80*0)</f>
        <v>15</v>
      </c>
      <c r="G80" s="209" t="n">
        <v>0</v>
      </c>
      <c r="H80" s="210" t="s">
        <v>67</v>
      </c>
      <c r="I80" s="210"/>
      <c r="J80" s="209" t="n">
        <f aca="false">F80+G80</f>
        <v>15</v>
      </c>
      <c r="K80" s="209" t="n">
        <v>2</v>
      </c>
      <c r="L80" s="209" t="n">
        <v>1</v>
      </c>
      <c r="M80" s="209" t="n">
        <v>0</v>
      </c>
      <c r="N80" s="209" t="n">
        <v>1</v>
      </c>
      <c r="O80" s="209"/>
      <c r="P80" s="209"/>
      <c r="Q80" s="209"/>
      <c r="R80" s="209"/>
      <c r="S80" s="211" t="n">
        <f aca="false">(L44+L53+L62+L71)/4</f>
        <v>84.8685605257579</v>
      </c>
      <c r="T80" s="190"/>
      <c r="U80" s="62"/>
      <c r="W80" s="212"/>
      <c r="X80" s="212"/>
      <c r="Y80" s="212"/>
      <c r="Z80" s="212"/>
    </row>
    <row r="81" customFormat="false" ht="20.1" hidden="false" customHeight="true" outlineLevel="0" collapsed="false">
      <c r="B81" s="62"/>
      <c r="C81" s="190"/>
      <c r="D81" s="207" t="s">
        <v>15</v>
      </c>
      <c r="E81" s="420" t="s">
        <v>16</v>
      </c>
      <c r="F81" s="209" t="n">
        <f aca="false">(K81*6+L81*3+M81*1+N81*0)</f>
        <v>7</v>
      </c>
      <c r="G81" s="209" t="n">
        <v>0</v>
      </c>
      <c r="H81" s="210" t="s">
        <v>67</v>
      </c>
      <c r="I81" s="210"/>
      <c r="J81" s="209" t="n">
        <f aca="false">F81+G81</f>
        <v>7</v>
      </c>
      <c r="K81" s="209" t="n">
        <v>0</v>
      </c>
      <c r="L81" s="209" t="n">
        <v>2</v>
      </c>
      <c r="M81" s="209" t="n">
        <v>1</v>
      </c>
      <c r="N81" s="209" t="n">
        <v>1</v>
      </c>
      <c r="O81" s="209"/>
      <c r="P81" s="209"/>
      <c r="Q81" s="209"/>
      <c r="R81" s="209"/>
      <c r="S81" s="211" t="n">
        <f aca="false">(L43+L52+L61+L70)/4</f>
        <v>73.2863401879726</v>
      </c>
      <c r="T81" s="190"/>
      <c r="U81" s="62"/>
      <c r="W81" s="212"/>
      <c r="X81" s="212"/>
      <c r="Y81" s="212"/>
      <c r="Z81" s="212"/>
    </row>
    <row r="82" customFormat="false" ht="20.1" hidden="false" customHeight="true" outlineLevel="0" collapsed="false">
      <c r="B82" s="62"/>
      <c r="C82" s="190"/>
      <c r="D82" s="427" t="s">
        <v>37</v>
      </c>
      <c r="E82" s="215" t="s">
        <v>38</v>
      </c>
      <c r="F82" s="216" t="n">
        <f aca="false">(K82*6+L82*3+M82*1+N82*0)</f>
        <v>2</v>
      </c>
      <c r="G82" s="216" t="n">
        <v>0</v>
      </c>
      <c r="H82" s="217" t="s">
        <v>67</v>
      </c>
      <c r="I82" s="217"/>
      <c r="J82" s="216" t="n">
        <f aca="false">F82+G82</f>
        <v>2</v>
      </c>
      <c r="K82" s="216" t="n">
        <v>0</v>
      </c>
      <c r="L82" s="216" t="n">
        <v>0</v>
      </c>
      <c r="M82" s="216" t="n">
        <v>2</v>
      </c>
      <c r="N82" s="216" t="n">
        <v>2</v>
      </c>
      <c r="O82" s="216"/>
      <c r="P82" s="216"/>
      <c r="Q82" s="216"/>
      <c r="R82" s="216"/>
      <c r="S82" s="218" t="n">
        <f aca="false">(L45+L54+L63+L72)/4</f>
        <v>65.0660730690411</v>
      </c>
      <c r="T82" s="190"/>
      <c r="U82" s="62"/>
      <c r="W82" s="212"/>
      <c r="X82" s="212"/>
      <c r="Y82" s="212"/>
      <c r="Z82" s="212"/>
      <c r="AB82" s="212"/>
      <c r="AC82" s="212"/>
      <c r="AD82" s="212"/>
      <c r="AE82" s="212"/>
    </row>
    <row r="83" customFormat="false" ht="20.1" hidden="false" customHeight="true" outlineLevel="0" collapsed="false">
      <c r="B83" s="62"/>
      <c r="C83" s="190"/>
      <c r="D83" s="422"/>
      <c r="E83" s="422"/>
      <c r="F83" s="275"/>
      <c r="G83" s="275"/>
      <c r="H83" s="423"/>
      <c r="I83" s="423"/>
      <c r="J83" s="275"/>
      <c r="K83" s="275"/>
      <c r="L83" s="275"/>
      <c r="M83" s="275"/>
      <c r="N83" s="275"/>
      <c r="O83" s="275"/>
      <c r="P83" s="275"/>
      <c r="Q83" s="275"/>
      <c r="R83" s="275"/>
      <c r="S83" s="424"/>
      <c r="T83" s="190"/>
      <c r="U83" s="62"/>
      <c r="W83" s="212"/>
      <c r="X83" s="212"/>
      <c r="Y83" s="212"/>
      <c r="Z83" s="212"/>
    </row>
    <row r="84" customFormat="false" ht="20.1" hidden="false" customHeight="true" outlineLevel="0" collapsed="false">
      <c r="B84" s="62"/>
      <c r="C84" s="62"/>
      <c r="D84" s="219"/>
      <c r="E84" s="219"/>
      <c r="F84" s="167"/>
      <c r="G84" s="167"/>
      <c r="H84" s="219"/>
      <c r="I84" s="219"/>
      <c r="J84" s="219"/>
      <c r="K84" s="62"/>
      <c r="L84" s="62"/>
      <c r="M84" s="62"/>
      <c r="N84" s="62"/>
      <c r="O84" s="62"/>
      <c r="P84" s="62"/>
      <c r="Q84" s="62"/>
      <c r="R84" s="62"/>
      <c r="S84" s="62"/>
      <c r="T84" s="62"/>
      <c r="U84" s="62"/>
    </row>
    <row r="85" customFormat="false" ht="20.1" hidden="false" customHeight="true" outlineLevel="0" collapsed="false">
      <c r="D85" s="220"/>
    </row>
    <row r="86" customFormat="false" ht="20.1" hidden="false" customHeight="true" outlineLevel="0" collapsed="false">
      <c r="D86" s="221"/>
    </row>
    <row r="87" customFormat="false" ht="20.1" hidden="false" customHeight="true" outlineLevel="0" collapsed="false">
      <c r="B87" s="62"/>
      <c r="C87" s="62"/>
      <c r="D87" s="63"/>
      <c r="E87" s="63"/>
      <c r="F87" s="63"/>
      <c r="G87" s="63"/>
      <c r="H87" s="62"/>
      <c r="I87" s="62"/>
      <c r="J87" s="62"/>
      <c r="K87" s="62"/>
      <c r="L87" s="62"/>
      <c r="M87" s="62"/>
      <c r="N87" s="62"/>
      <c r="O87" s="62"/>
      <c r="P87" s="62"/>
      <c r="Q87" s="62"/>
      <c r="R87" s="62"/>
      <c r="S87" s="62"/>
      <c r="T87" s="62"/>
      <c r="U87" s="62"/>
    </row>
    <row r="88" customFormat="false" ht="30" hidden="false" customHeight="true" outlineLevel="0" collapsed="false">
      <c r="B88" s="62"/>
      <c r="C88" s="64" t="s">
        <v>515</v>
      </c>
      <c r="D88" s="64"/>
      <c r="E88" s="64"/>
      <c r="F88" s="64"/>
      <c r="G88" s="64"/>
      <c r="H88" s="64"/>
      <c r="I88" s="64"/>
      <c r="J88" s="64"/>
      <c r="K88" s="64"/>
      <c r="L88" s="64"/>
      <c r="M88" s="64"/>
      <c r="N88" s="64"/>
      <c r="O88" s="64"/>
      <c r="P88" s="64"/>
      <c r="Q88" s="64"/>
      <c r="R88" s="64"/>
      <c r="S88" s="64"/>
      <c r="T88" s="64"/>
      <c r="U88" s="62"/>
    </row>
    <row r="89" customFormat="false" ht="20.1" hidden="false" customHeight="true" outlineLevel="0" collapsed="false">
      <c r="B89" s="62"/>
      <c r="U89" s="62"/>
    </row>
    <row r="90" customFormat="false" ht="20.1" hidden="false" customHeight="true" outlineLevel="0" collapsed="false">
      <c r="B90" s="62"/>
      <c r="D90" s="65" t="s">
        <v>53</v>
      </c>
      <c r="E90" s="66" t="s">
        <v>137</v>
      </c>
      <c r="F90" s="67" t="s">
        <v>11</v>
      </c>
      <c r="G90" s="68" t="s">
        <v>55</v>
      </c>
      <c r="H90" s="68"/>
      <c r="I90" s="68"/>
      <c r="J90" s="68"/>
      <c r="K90" s="66" t="s">
        <v>56</v>
      </c>
      <c r="L90" s="68" t="s">
        <v>57</v>
      </c>
      <c r="M90" s="68"/>
      <c r="N90" s="68"/>
      <c r="O90" s="68"/>
      <c r="P90" s="68"/>
      <c r="Q90" s="68"/>
      <c r="R90" s="68"/>
      <c r="S90" s="68"/>
      <c r="U90" s="62"/>
    </row>
    <row r="91" customFormat="false" ht="20.1" hidden="false" customHeight="true" outlineLevel="0" collapsed="false">
      <c r="B91" s="62"/>
      <c r="D91" s="65"/>
      <c r="E91" s="66"/>
      <c r="F91" s="66"/>
      <c r="G91" s="70" t="s">
        <v>58</v>
      </c>
      <c r="H91" s="69" t="s">
        <v>59</v>
      </c>
      <c r="I91" s="67" t="s">
        <v>60</v>
      </c>
      <c r="J91" s="67"/>
      <c r="K91" s="69" t="s">
        <v>61</v>
      </c>
      <c r="L91" s="224" t="s">
        <v>58</v>
      </c>
      <c r="M91" s="225" t="s">
        <v>62</v>
      </c>
      <c r="N91" s="67" t="s">
        <v>60</v>
      </c>
      <c r="O91" s="67"/>
      <c r="P91" s="67"/>
      <c r="Q91" s="67"/>
      <c r="R91" s="67"/>
      <c r="S91" s="67"/>
      <c r="U91" s="62"/>
    </row>
    <row r="92" customFormat="false" ht="15" hidden="false" customHeight="true" outlineLevel="0" collapsed="false">
      <c r="B92" s="62"/>
      <c r="D92" s="318" t="s">
        <v>39</v>
      </c>
      <c r="E92" s="359" t="s">
        <v>40</v>
      </c>
      <c r="F92" s="382" t="n">
        <v>1</v>
      </c>
      <c r="G92" s="72" t="s">
        <v>114</v>
      </c>
      <c r="H92" s="74" t="s">
        <v>470</v>
      </c>
      <c r="I92" s="321" t="s">
        <v>471</v>
      </c>
      <c r="J92" s="321"/>
      <c r="K92" s="431" t="s">
        <v>111</v>
      </c>
      <c r="L92" s="352" t="s">
        <v>67</v>
      </c>
      <c r="M92" s="324" t="s">
        <v>67</v>
      </c>
      <c r="N92" s="78" t="s">
        <v>67</v>
      </c>
      <c r="O92" s="78"/>
      <c r="P92" s="78"/>
      <c r="Q92" s="78"/>
      <c r="R92" s="78"/>
      <c r="S92" s="78"/>
      <c r="U92" s="62"/>
    </row>
    <row r="93" customFormat="false" ht="15" hidden="false" customHeight="true" outlineLevel="0" collapsed="false">
      <c r="B93" s="62"/>
      <c r="D93" s="318"/>
      <c r="E93" s="359"/>
      <c r="F93" s="382"/>
      <c r="G93" s="72"/>
      <c r="H93" s="74"/>
      <c r="I93" s="325" t="s">
        <v>472</v>
      </c>
      <c r="J93" s="325"/>
      <c r="K93" s="431"/>
      <c r="L93" s="352"/>
      <c r="M93" s="324"/>
      <c r="N93" s="78"/>
      <c r="O93" s="78"/>
      <c r="P93" s="78"/>
      <c r="Q93" s="78"/>
      <c r="R93" s="78"/>
      <c r="S93" s="78"/>
      <c r="U93" s="62"/>
    </row>
    <row r="94" customFormat="false" ht="15" hidden="false" customHeight="true" outlineLevel="0" collapsed="false">
      <c r="B94" s="62"/>
      <c r="D94" s="318"/>
      <c r="E94" s="359"/>
      <c r="F94" s="382"/>
      <c r="G94" s="72"/>
      <c r="H94" s="74"/>
      <c r="I94" s="325" t="s">
        <v>473</v>
      </c>
      <c r="J94" s="325"/>
      <c r="K94" s="431"/>
      <c r="L94" s="352"/>
      <c r="M94" s="324"/>
      <c r="N94" s="78"/>
      <c r="O94" s="78"/>
      <c r="P94" s="78"/>
      <c r="Q94" s="78"/>
      <c r="R94" s="78"/>
      <c r="S94" s="78"/>
      <c r="U94" s="62"/>
    </row>
    <row r="95" customFormat="false" ht="27.95" hidden="false" customHeight="true" outlineLevel="0" collapsed="false">
      <c r="B95" s="62"/>
      <c r="D95" s="318"/>
      <c r="E95" s="359"/>
      <c r="F95" s="382"/>
      <c r="G95" s="72"/>
      <c r="H95" s="74"/>
      <c r="I95" s="360" t="s">
        <v>474</v>
      </c>
      <c r="J95" s="360"/>
      <c r="K95" s="431"/>
      <c r="L95" s="352"/>
      <c r="M95" s="324"/>
      <c r="N95" s="78"/>
      <c r="O95" s="78"/>
      <c r="P95" s="78"/>
      <c r="Q95" s="78"/>
      <c r="R95" s="78"/>
      <c r="S95" s="78"/>
      <c r="U95" s="62"/>
    </row>
    <row r="96" customFormat="false" ht="20.1" hidden="false" customHeight="true" outlineLevel="0" collapsed="false">
      <c r="B96" s="62"/>
      <c r="D96" s="432" t="s">
        <v>31</v>
      </c>
      <c r="E96" s="446" t="s">
        <v>32</v>
      </c>
      <c r="F96" s="499" t="n">
        <v>2</v>
      </c>
      <c r="G96" s="80" t="s">
        <v>63</v>
      </c>
      <c r="H96" s="384" t="s">
        <v>496</v>
      </c>
      <c r="I96" s="361" t="s">
        <v>497</v>
      </c>
      <c r="J96" s="361"/>
      <c r="K96" s="500" t="s">
        <v>111</v>
      </c>
      <c r="L96" s="606" t="s">
        <v>67</v>
      </c>
      <c r="M96" s="438" t="s">
        <v>67</v>
      </c>
      <c r="N96" s="439" t="s">
        <v>67</v>
      </c>
      <c r="O96" s="439"/>
      <c r="P96" s="439"/>
      <c r="Q96" s="439"/>
      <c r="R96" s="439"/>
      <c r="S96" s="439"/>
      <c r="U96" s="62"/>
    </row>
    <row r="97" customFormat="false" ht="20.1" hidden="false" customHeight="true" outlineLevel="0" collapsed="false">
      <c r="B97" s="62"/>
      <c r="D97" s="362" t="s">
        <v>20</v>
      </c>
      <c r="E97" s="363" t="s">
        <v>21</v>
      </c>
      <c r="F97" s="396" t="n">
        <v>3</v>
      </c>
      <c r="G97" s="364" t="s">
        <v>63</v>
      </c>
      <c r="H97" s="365" t="s">
        <v>516</v>
      </c>
      <c r="I97" s="366" t="s">
        <v>517</v>
      </c>
      <c r="J97" s="366"/>
      <c r="K97" s="367" t="s">
        <v>111</v>
      </c>
      <c r="L97" s="368" t="s">
        <v>67</v>
      </c>
      <c r="M97" s="99" t="s">
        <v>67</v>
      </c>
      <c r="N97" s="239" t="s">
        <v>67</v>
      </c>
      <c r="O97" s="239"/>
      <c r="P97" s="239"/>
      <c r="Q97" s="239"/>
      <c r="R97" s="239"/>
      <c r="S97" s="239"/>
      <c r="U97" s="62"/>
    </row>
    <row r="98" customFormat="false" ht="20.1" hidden="false" customHeight="true" outlineLevel="0" collapsed="false">
      <c r="B98" s="62"/>
      <c r="U98" s="62"/>
    </row>
    <row r="99" customFormat="false" ht="20.1" hidden="false" customHeight="true" outlineLevel="0" collapsed="false">
      <c r="B99" s="62"/>
      <c r="C99" s="101"/>
      <c r="D99" s="101"/>
      <c r="E99" s="102" t="str">
        <f aca="false">IF(OR(L92="-",L92= ""),H92,L92)</f>
        <v>Grand Austria Hotel</v>
      </c>
      <c r="F99" s="102"/>
      <c r="G99" s="102"/>
      <c r="H99" s="102"/>
      <c r="I99" s="102"/>
      <c r="J99" s="102"/>
      <c r="K99" s="102"/>
      <c r="L99" s="102"/>
      <c r="M99" s="102"/>
      <c r="N99" s="102"/>
      <c r="O99" s="103"/>
      <c r="P99" s="103"/>
      <c r="Q99" s="103"/>
      <c r="R99" s="103"/>
      <c r="S99" s="103"/>
      <c r="T99" s="101"/>
      <c r="U99" s="62"/>
    </row>
    <row r="100" customFormat="false" ht="50.1" hidden="false" customHeight="true" outlineLevel="0" collapsed="false">
      <c r="B100" s="62"/>
      <c r="C100" s="101"/>
      <c r="D100" s="103"/>
      <c r="E100" s="607" t="s">
        <v>53</v>
      </c>
      <c r="F100" s="608" t="s">
        <v>76</v>
      </c>
      <c r="G100" s="609" t="s">
        <v>77</v>
      </c>
      <c r="H100" s="610" t="s">
        <v>78</v>
      </c>
      <c r="I100" s="611" t="s">
        <v>79</v>
      </c>
      <c r="J100" s="610" t="s">
        <v>80</v>
      </c>
      <c r="K100" s="612" t="s">
        <v>81</v>
      </c>
      <c r="L100" s="610" t="s">
        <v>82</v>
      </c>
      <c r="M100" s="613" t="s">
        <v>83</v>
      </c>
      <c r="N100" s="609" t="s">
        <v>84</v>
      </c>
      <c r="O100" s="107" t="s">
        <v>85</v>
      </c>
      <c r="P100" s="108" t="s">
        <v>86</v>
      </c>
      <c r="Q100" s="108" t="s">
        <v>87</v>
      </c>
      <c r="R100" s="103"/>
      <c r="S100" s="103"/>
      <c r="T100" s="101"/>
      <c r="U100" s="62"/>
    </row>
    <row r="101" s="472" customFormat="true" ht="30" hidden="false" customHeight="false" outlineLevel="0" collapsed="false">
      <c r="B101" s="473"/>
      <c r="C101" s="580"/>
      <c r="D101" s="614"/>
      <c r="E101" s="615" t="s">
        <v>39</v>
      </c>
      <c r="F101" s="616" t="s">
        <v>40</v>
      </c>
      <c r="G101" s="112" t="n">
        <v>1</v>
      </c>
      <c r="H101" s="112" t="s">
        <v>67</v>
      </c>
      <c r="I101" s="112" t="n">
        <v>0</v>
      </c>
      <c r="J101" s="112" t="n">
        <v>172</v>
      </c>
      <c r="K101" s="112" t="s">
        <v>518</v>
      </c>
      <c r="L101" s="617" t="n">
        <f aca="false">J101/$J$104*100</f>
        <v>100</v>
      </c>
      <c r="M101" s="112" t="n">
        <v>1</v>
      </c>
      <c r="N101" s="618" t="n">
        <v>6</v>
      </c>
      <c r="O101" s="584" t="n">
        <f aca="false">IF(M101=1,1,0)</f>
        <v>1</v>
      </c>
      <c r="P101" s="585" t="n">
        <f aca="false">IF(M101=2,1,0)</f>
        <v>0</v>
      </c>
      <c r="Q101" s="586" t="n">
        <f aca="false">IF(M101=3,1,0)</f>
        <v>0</v>
      </c>
      <c r="R101" s="587"/>
      <c r="S101" s="587"/>
      <c r="T101" s="580"/>
      <c r="U101" s="473"/>
    </row>
    <row r="102" s="472" customFormat="true" ht="30" hidden="false" customHeight="false" outlineLevel="0" collapsed="false">
      <c r="B102" s="473"/>
      <c r="C102" s="580"/>
      <c r="D102" s="580"/>
      <c r="E102" s="619" t="s">
        <v>31</v>
      </c>
      <c r="F102" s="306" t="s">
        <v>32</v>
      </c>
      <c r="G102" s="242" t="n">
        <v>3</v>
      </c>
      <c r="H102" s="242" t="s">
        <v>67</v>
      </c>
      <c r="I102" s="242" t="n">
        <v>0</v>
      </c>
      <c r="J102" s="242" t="n">
        <v>172</v>
      </c>
      <c r="K102" s="242" t="s">
        <v>519</v>
      </c>
      <c r="L102" s="256" t="n">
        <f aca="false">J102/$J$104*100</f>
        <v>100</v>
      </c>
      <c r="M102" s="242" t="n">
        <v>2</v>
      </c>
      <c r="N102" s="588" t="n">
        <v>3</v>
      </c>
      <c r="O102" s="589" t="n">
        <f aca="false">IF(M102=1,1,0)</f>
        <v>0</v>
      </c>
      <c r="P102" s="590" t="n">
        <f aca="false">IF(M102=2,1,0)</f>
        <v>1</v>
      </c>
      <c r="Q102" s="591" t="n">
        <f aca="false">IF(M102=3,1,0)</f>
        <v>0</v>
      </c>
      <c r="R102" s="587"/>
      <c r="S102" s="587"/>
      <c r="T102" s="580"/>
      <c r="U102" s="473"/>
    </row>
    <row r="103" customFormat="false" ht="20.1" hidden="false" customHeight="true" outlineLevel="0" collapsed="false">
      <c r="B103" s="62"/>
      <c r="C103" s="101"/>
      <c r="D103" s="101"/>
      <c r="E103" s="349" t="s">
        <v>20</v>
      </c>
      <c r="F103" s="44" t="s">
        <v>21</v>
      </c>
      <c r="G103" s="245" t="n">
        <v>2</v>
      </c>
      <c r="H103" s="245" t="s">
        <v>67</v>
      </c>
      <c r="I103" s="245" t="n">
        <v>0</v>
      </c>
      <c r="J103" s="245" t="n">
        <v>109</v>
      </c>
      <c r="K103" s="245" t="s">
        <v>67</v>
      </c>
      <c r="L103" s="247" t="n">
        <f aca="false">J103/$J$104*100</f>
        <v>63.3720930232558</v>
      </c>
      <c r="M103" s="245" t="n">
        <v>3</v>
      </c>
      <c r="N103" s="248" t="n">
        <v>0</v>
      </c>
      <c r="O103" s="127" t="n">
        <f aca="false">IF(M103=1,1,0)</f>
        <v>0</v>
      </c>
      <c r="P103" s="128" t="n">
        <f aca="false">IF(M103=2,1,0)</f>
        <v>0</v>
      </c>
      <c r="Q103" s="129" t="n">
        <f aca="false">IF(M103=3,1,0)</f>
        <v>1</v>
      </c>
      <c r="R103" s="118"/>
      <c r="S103" s="118"/>
      <c r="T103" s="101"/>
      <c r="U103" s="62"/>
    </row>
    <row r="104" customFormat="false" ht="20.1" hidden="true" customHeight="true" outlineLevel="1" collapsed="false">
      <c r="B104" s="62"/>
      <c r="C104" s="101"/>
      <c r="D104" s="124"/>
      <c r="E104" s="124"/>
      <c r="F104" s="131"/>
      <c r="G104" s="131"/>
      <c r="H104" s="101"/>
      <c r="I104" s="179" t="s">
        <v>89</v>
      </c>
      <c r="J104" s="133" t="n">
        <f aca="false">MAX(J101:J103)</f>
        <v>172</v>
      </c>
      <c r="K104" s="249"/>
      <c r="L104" s="139"/>
      <c r="M104" s="101"/>
      <c r="N104" s="136" t="s">
        <v>90</v>
      </c>
      <c r="O104" s="137" t="n">
        <f aca="false">SUM(O101:O103)</f>
        <v>1</v>
      </c>
      <c r="P104" s="138" t="n">
        <f aca="false">SUM(P101:P103)</f>
        <v>1</v>
      </c>
      <c r="Q104" s="137" t="n">
        <f aca="false">SUM(Q101:Q103)</f>
        <v>1</v>
      </c>
      <c r="R104" s="160" t="n">
        <f aca="false">SUM(R101:R103)</f>
        <v>0</v>
      </c>
      <c r="S104" s="139"/>
      <c r="T104" s="101"/>
      <c r="U104" s="62"/>
    </row>
    <row r="105" customFormat="false" ht="20.1" hidden="false" customHeight="true" outlineLevel="0" collapsed="false">
      <c r="B105" s="62"/>
      <c r="C105" s="101"/>
      <c r="D105" s="101"/>
      <c r="E105" s="101"/>
      <c r="F105" s="101"/>
      <c r="G105" s="101"/>
      <c r="H105" s="101"/>
      <c r="I105" s="101"/>
      <c r="J105" s="101"/>
      <c r="K105" s="101"/>
      <c r="L105" s="101"/>
      <c r="M105" s="101"/>
      <c r="N105" s="101"/>
      <c r="O105" s="101"/>
      <c r="P105" s="101"/>
      <c r="Q105" s="101"/>
      <c r="R105" s="101"/>
      <c r="S105" s="101"/>
      <c r="T105" s="101"/>
      <c r="U105" s="62"/>
    </row>
    <row r="106" customFormat="false" ht="20.1" hidden="false" customHeight="true" outlineLevel="0" collapsed="false">
      <c r="B106" s="62"/>
      <c r="U106" s="62"/>
    </row>
    <row r="107" customFormat="false" ht="20.1" hidden="false" customHeight="true" outlineLevel="0" collapsed="false">
      <c r="B107" s="62"/>
      <c r="C107" s="141"/>
      <c r="D107" s="141"/>
      <c r="E107" s="142" t="str">
        <f aca="false">IF(OR(L96="-",L96= ""),H96,L96)</f>
        <v>Wasserkraft</v>
      </c>
      <c r="F107" s="142"/>
      <c r="G107" s="142"/>
      <c r="H107" s="142"/>
      <c r="I107" s="142"/>
      <c r="J107" s="142"/>
      <c r="K107" s="142"/>
      <c r="L107" s="142"/>
      <c r="M107" s="142"/>
      <c r="N107" s="142"/>
      <c r="O107" s="143"/>
      <c r="P107" s="143"/>
      <c r="Q107" s="143"/>
      <c r="R107" s="143"/>
      <c r="S107" s="143"/>
      <c r="T107" s="141"/>
      <c r="U107" s="62"/>
    </row>
    <row r="108" customFormat="false" ht="50.1" hidden="false" customHeight="true" outlineLevel="0" collapsed="false">
      <c r="B108" s="62"/>
      <c r="C108" s="141"/>
      <c r="D108" s="143"/>
      <c r="E108" s="607" t="s">
        <v>53</v>
      </c>
      <c r="F108" s="608" t="s">
        <v>76</v>
      </c>
      <c r="G108" s="609" t="s">
        <v>77</v>
      </c>
      <c r="H108" s="610" t="s">
        <v>78</v>
      </c>
      <c r="I108" s="611" t="s">
        <v>79</v>
      </c>
      <c r="J108" s="610" t="s">
        <v>80</v>
      </c>
      <c r="K108" s="612" t="s">
        <v>81</v>
      </c>
      <c r="L108" s="610" t="s">
        <v>82</v>
      </c>
      <c r="M108" s="613" t="s">
        <v>83</v>
      </c>
      <c r="N108" s="609" t="s">
        <v>84</v>
      </c>
      <c r="O108" s="107" t="s">
        <v>85</v>
      </c>
      <c r="P108" s="108" t="s">
        <v>86</v>
      </c>
      <c r="Q108" s="108" t="s">
        <v>87</v>
      </c>
      <c r="R108" s="143"/>
      <c r="S108" s="143"/>
      <c r="T108" s="141"/>
      <c r="U108" s="62"/>
    </row>
    <row r="109" s="472" customFormat="true" ht="30" hidden="false" customHeight="false" outlineLevel="0" collapsed="false">
      <c r="B109" s="473"/>
      <c r="C109" s="620"/>
      <c r="D109" s="621"/>
      <c r="E109" s="581" t="s">
        <v>39</v>
      </c>
      <c r="F109" s="359" t="s">
        <v>40</v>
      </c>
      <c r="G109" s="251" t="n">
        <v>3</v>
      </c>
      <c r="H109" s="251" t="s">
        <v>520</v>
      </c>
      <c r="I109" s="251" t="n">
        <v>0</v>
      </c>
      <c r="J109" s="251" t="n">
        <v>69</v>
      </c>
      <c r="K109" s="251" t="s">
        <v>67</v>
      </c>
      <c r="L109" s="582" t="n">
        <f aca="false">J109/$J$112*100</f>
        <v>60</v>
      </c>
      <c r="M109" s="251" t="n">
        <v>3</v>
      </c>
      <c r="N109" s="583" t="n">
        <v>0</v>
      </c>
      <c r="O109" s="584" t="n">
        <f aca="false">IF(M109=1,1,0)</f>
        <v>0</v>
      </c>
      <c r="P109" s="585" t="n">
        <f aca="false">IF(M109=2,1,0)</f>
        <v>0</v>
      </c>
      <c r="Q109" s="586" t="n">
        <f aca="false">IF(M109=3,1,0)</f>
        <v>1</v>
      </c>
      <c r="R109" s="622"/>
      <c r="S109" s="622"/>
      <c r="T109" s="620"/>
      <c r="U109" s="473"/>
    </row>
    <row r="110" s="472" customFormat="true" ht="30" hidden="false" customHeight="false" outlineLevel="0" collapsed="false">
      <c r="B110" s="473"/>
      <c r="C110" s="620"/>
      <c r="D110" s="620"/>
      <c r="E110" s="623" t="s">
        <v>31</v>
      </c>
      <c r="F110" s="596" t="s">
        <v>32</v>
      </c>
      <c r="G110" s="152" t="n">
        <v>1</v>
      </c>
      <c r="H110" s="152" t="s">
        <v>521</v>
      </c>
      <c r="I110" s="152" t="n">
        <v>0</v>
      </c>
      <c r="J110" s="152" t="n">
        <v>115</v>
      </c>
      <c r="K110" s="152" t="s">
        <v>67</v>
      </c>
      <c r="L110" s="443" t="n">
        <f aca="false">J110/$J$112*100</f>
        <v>100</v>
      </c>
      <c r="M110" s="152" t="n">
        <v>1</v>
      </c>
      <c r="N110" s="597" t="n">
        <v>6</v>
      </c>
      <c r="O110" s="589" t="n">
        <f aca="false">IF(M110=1,1,0)</f>
        <v>1</v>
      </c>
      <c r="P110" s="590" t="n">
        <f aca="false">IF(M110=2,1,0)</f>
        <v>0</v>
      </c>
      <c r="Q110" s="591" t="n">
        <f aca="false">IF(M110=3,1,0)</f>
        <v>0</v>
      </c>
      <c r="R110" s="622"/>
      <c r="S110" s="622"/>
      <c r="T110" s="620"/>
      <c r="U110" s="473"/>
    </row>
    <row r="111" s="472" customFormat="true" ht="30.75" hidden="false" customHeight="false" outlineLevel="0" collapsed="false">
      <c r="B111" s="473"/>
      <c r="C111" s="620"/>
      <c r="D111" s="621"/>
      <c r="E111" s="599" t="s">
        <v>20</v>
      </c>
      <c r="F111" s="405" t="s">
        <v>21</v>
      </c>
      <c r="G111" s="246" t="n">
        <v>2</v>
      </c>
      <c r="H111" s="246" t="s">
        <v>522</v>
      </c>
      <c r="I111" s="246" t="n">
        <v>0</v>
      </c>
      <c r="J111" s="246" t="n">
        <v>108</v>
      </c>
      <c r="K111" s="246" t="s">
        <v>67</v>
      </c>
      <c r="L111" s="600" t="n">
        <f aca="false">J111/$J$112*100</f>
        <v>93.9130434782609</v>
      </c>
      <c r="M111" s="246" t="n">
        <v>2</v>
      </c>
      <c r="N111" s="601" t="n">
        <v>3</v>
      </c>
      <c r="O111" s="602" t="n">
        <f aca="false">IF(M111=1,1,0)</f>
        <v>0</v>
      </c>
      <c r="P111" s="603" t="n">
        <f aca="false">IF(M111=2,1,0)</f>
        <v>1</v>
      </c>
      <c r="Q111" s="604" t="n">
        <f aca="false">IF(M111=3,1,0)</f>
        <v>0</v>
      </c>
      <c r="R111" s="622"/>
      <c r="S111" s="622"/>
      <c r="T111" s="620"/>
      <c r="U111" s="473"/>
    </row>
    <row r="112" customFormat="false" ht="20.1" hidden="true" customHeight="true" outlineLevel="1" collapsed="false">
      <c r="B112" s="62"/>
      <c r="C112" s="141"/>
      <c r="D112" s="141"/>
      <c r="E112" s="141"/>
      <c r="F112" s="157"/>
      <c r="G112" s="157"/>
      <c r="H112" s="141"/>
      <c r="I112" s="179" t="s">
        <v>89</v>
      </c>
      <c r="J112" s="133" t="n">
        <f aca="false">MAX(J109:J111)</f>
        <v>115</v>
      </c>
      <c r="K112" s="159"/>
      <c r="L112" s="147"/>
      <c r="M112" s="141"/>
      <c r="N112" s="136" t="s">
        <v>90</v>
      </c>
      <c r="O112" s="137" t="n">
        <f aca="false">SUM(O109:O111)</f>
        <v>1</v>
      </c>
      <c r="P112" s="138" t="n">
        <f aca="false">SUM(P109:P111)</f>
        <v>1</v>
      </c>
      <c r="Q112" s="137" t="n">
        <f aca="false">SUM(Q109:Q111)</f>
        <v>1</v>
      </c>
      <c r="R112" s="160" t="n">
        <f aca="false">SUM(R109:R111)</f>
        <v>0</v>
      </c>
      <c r="S112" s="161"/>
      <c r="T112" s="141"/>
      <c r="U112" s="62"/>
    </row>
    <row r="113" customFormat="false" ht="20.1" hidden="false" customHeight="true" outlineLevel="0" collapsed="false">
      <c r="B113" s="62"/>
      <c r="C113" s="141"/>
      <c r="D113" s="141"/>
      <c r="E113" s="141"/>
      <c r="F113" s="141"/>
      <c r="G113" s="141"/>
      <c r="H113" s="141"/>
      <c r="I113" s="141"/>
      <c r="J113" s="141"/>
      <c r="K113" s="141"/>
      <c r="L113" s="141"/>
      <c r="M113" s="141"/>
      <c r="N113" s="141"/>
      <c r="O113" s="141"/>
      <c r="P113" s="141"/>
      <c r="Q113" s="141"/>
      <c r="R113" s="141"/>
      <c r="S113" s="141"/>
      <c r="T113" s="141"/>
      <c r="U113" s="62"/>
    </row>
    <row r="114" customFormat="false" ht="20.1" hidden="false" customHeight="true" outlineLevel="0" collapsed="false">
      <c r="B114" s="62"/>
      <c r="D114" s="162"/>
      <c r="E114" s="162"/>
      <c r="F114" s="162"/>
      <c r="G114" s="162"/>
      <c r="H114" s="163"/>
      <c r="I114" s="162"/>
      <c r="J114" s="162"/>
      <c r="U114" s="62"/>
    </row>
    <row r="115" customFormat="false" ht="20.1" hidden="false" customHeight="true" outlineLevel="0" collapsed="false">
      <c r="B115" s="62"/>
      <c r="C115" s="164"/>
      <c r="D115" s="164"/>
      <c r="E115" s="165" t="str">
        <f aca="false">IF(OR(L97="-",L97= ""),H97,L97)</f>
        <v>Living Forest</v>
      </c>
      <c r="F115" s="165"/>
      <c r="G115" s="165"/>
      <c r="H115" s="165"/>
      <c r="I115" s="165"/>
      <c r="J115" s="165"/>
      <c r="K115" s="165"/>
      <c r="L115" s="165"/>
      <c r="M115" s="165"/>
      <c r="N115" s="165"/>
      <c r="O115" s="166"/>
      <c r="P115" s="166"/>
      <c r="Q115" s="166"/>
      <c r="R115" s="166"/>
      <c r="S115" s="166"/>
      <c r="T115" s="164"/>
      <c r="U115" s="167"/>
    </row>
    <row r="116" customFormat="false" ht="50.1" hidden="false" customHeight="true" outlineLevel="0" collapsed="false">
      <c r="B116" s="62"/>
      <c r="C116" s="164"/>
      <c r="D116" s="166"/>
      <c r="E116" s="607" t="s">
        <v>53</v>
      </c>
      <c r="F116" s="608" t="s">
        <v>76</v>
      </c>
      <c r="G116" s="609" t="s">
        <v>77</v>
      </c>
      <c r="H116" s="610" t="s">
        <v>78</v>
      </c>
      <c r="I116" s="611" t="s">
        <v>79</v>
      </c>
      <c r="J116" s="610" t="s">
        <v>80</v>
      </c>
      <c r="K116" s="612" t="s">
        <v>81</v>
      </c>
      <c r="L116" s="610" t="s">
        <v>82</v>
      </c>
      <c r="M116" s="613" t="s">
        <v>83</v>
      </c>
      <c r="N116" s="609" t="s">
        <v>84</v>
      </c>
      <c r="O116" s="107" t="s">
        <v>85</v>
      </c>
      <c r="P116" s="108" t="s">
        <v>86</v>
      </c>
      <c r="Q116" s="108" t="s">
        <v>87</v>
      </c>
      <c r="R116" s="166"/>
      <c r="S116" s="166"/>
      <c r="T116" s="164"/>
      <c r="U116" s="167"/>
    </row>
    <row r="117" customFormat="false" ht="20.1" hidden="false" customHeight="true" outlineLevel="0" collapsed="false">
      <c r="B117" s="62"/>
      <c r="C117" s="164"/>
      <c r="D117" s="171"/>
      <c r="E117" s="403" t="s">
        <v>39</v>
      </c>
      <c r="F117" s="110" t="s">
        <v>40</v>
      </c>
      <c r="G117" s="111" t="n">
        <v>1</v>
      </c>
      <c r="H117" s="111" t="s">
        <v>67</v>
      </c>
      <c r="I117" s="111" t="n">
        <v>2</v>
      </c>
      <c r="J117" s="111" t="n">
        <v>12</v>
      </c>
      <c r="K117" s="111" t="s">
        <v>67</v>
      </c>
      <c r="L117" s="113" t="n">
        <f aca="false">J117/$J$120*100</f>
        <v>100</v>
      </c>
      <c r="M117" s="111" t="n">
        <v>1</v>
      </c>
      <c r="N117" s="114" t="n">
        <v>6</v>
      </c>
      <c r="O117" s="116" t="n">
        <f aca="false">IF(M117=1,1,0)</f>
        <v>1</v>
      </c>
      <c r="P117" s="116" t="n">
        <f aca="false">IF(M117=2,1,0)</f>
        <v>0</v>
      </c>
      <c r="Q117" s="117" t="n">
        <f aca="false">IF(M117=3,1,0)</f>
        <v>0</v>
      </c>
      <c r="R117" s="170"/>
      <c r="S117" s="170"/>
      <c r="T117" s="164"/>
      <c r="U117" s="62"/>
    </row>
    <row r="118" s="472" customFormat="true" ht="45" hidden="false" customHeight="false" outlineLevel="0" collapsed="false">
      <c r="B118" s="473"/>
      <c r="C118" s="592"/>
      <c r="D118" s="592"/>
      <c r="E118" s="619" t="s">
        <v>31</v>
      </c>
      <c r="F118" s="306" t="s">
        <v>32</v>
      </c>
      <c r="G118" s="242" t="n">
        <v>2</v>
      </c>
      <c r="H118" s="242" t="s">
        <v>67</v>
      </c>
      <c r="I118" s="242" t="n">
        <v>2</v>
      </c>
      <c r="J118" s="242" t="n">
        <v>9</v>
      </c>
      <c r="K118" s="242" t="s">
        <v>523</v>
      </c>
      <c r="L118" s="256" t="n">
        <f aca="false">J118/$J$120*100</f>
        <v>75</v>
      </c>
      <c r="M118" s="242" t="n">
        <v>3</v>
      </c>
      <c r="N118" s="588" t="n">
        <v>0</v>
      </c>
      <c r="O118" s="590" t="n">
        <f aca="false">IF(M118=1,1,0)</f>
        <v>0</v>
      </c>
      <c r="P118" s="590" t="n">
        <f aca="false">IF(M118=2,1,0)</f>
        <v>0</v>
      </c>
      <c r="Q118" s="591" t="n">
        <f aca="false">IF(M118=3,1,0)</f>
        <v>1</v>
      </c>
      <c r="R118" s="593"/>
      <c r="S118" s="593"/>
      <c r="T118" s="592"/>
      <c r="U118" s="598"/>
    </row>
    <row r="119" s="472" customFormat="true" ht="45.75" hidden="false" customHeight="false" outlineLevel="0" collapsed="false">
      <c r="B119" s="473"/>
      <c r="C119" s="592"/>
      <c r="D119" s="592"/>
      <c r="E119" s="599" t="s">
        <v>20</v>
      </c>
      <c r="F119" s="405" t="s">
        <v>21</v>
      </c>
      <c r="G119" s="246" t="n">
        <v>3</v>
      </c>
      <c r="H119" s="246" t="s">
        <v>67</v>
      </c>
      <c r="I119" s="246" t="n">
        <v>2</v>
      </c>
      <c r="J119" s="246" t="n">
        <v>9</v>
      </c>
      <c r="K119" s="246" t="s">
        <v>524</v>
      </c>
      <c r="L119" s="600" t="n">
        <f aca="false">J119/$J$120*100</f>
        <v>75</v>
      </c>
      <c r="M119" s="246" t="n">
        <v>2</v>
      </c>
      <c r="N119" s="601" t="n">
        <v>3</v>
      </c>
      <c r="O119" s="603" t="n">
        <f aca="false">IF(M119=1,1,0)</f>
        <v>0</v>
      </c>
      <c r="P119" s="603" t="n">
        <f aca="false">IF(M119=2,1,0)</f>
        <v>1</v>
      </c>
      <c r="Q119" s="604" t="n">
        <f aca="false">IF(M119=3,1,0)</f>
        <v>0</v>
      </c>
      <c r="R119" s="593"/>
      <c r="S119" s="593"/>
      <c r="T119" s="592"/>
      <c r="U119" s="598"/>
    </row>
    <row r="120" customFormat="false" ht="20.1" hidden="true" customHeight="true" outlineLevel="1" collapsed="false">
      <c r="B120" s="62"/>
      <c r="C120" s="164"/>
      <c r="D120" s="164"/>
      <c r="E120" s="164"/>
      <c r="F120" s="178"/>
      <c r="G120" s="178"/>
      <c r="H120" s="164"/>
      <c r="I120" s="179" t="s">
        <v>89</v>
      </c>
      <c r="J120" s="133" t="n">
        <f aca="false">MAX(J117:J119)</f>
        <v>12</v>
      </c>
      <c r="K120" s="180"/>
      <c r="L120" s="170"/>
      <c r="M120" s="164"/>
      <c r="N120" s="136" t="s">
        <v>90</v>
      </c>
      <c r="O120" s="137" t="n">
        <f aca="false">SUM(O117:O119)</f>
        <v>1</v>
      </c>
      <c r="P120" s="138" t="n">
        <f aca="false">SUM(P117:P119)</f>
        <v>1</v>
      </c>
      <c r="Q120" s="137" t="n">
        <f aca="false">SUM(Q117:Q119)</f>
        <v>1</v>
      </c>
      <c r="R120" s="160" t="n">
        <f aca="false">SUM(R117:R119)</f>
        <v>0</v>
      </c>
      <c r="S120" s="181"/>
      <c r="T120" s="164"/>
      <c r="U120" s="173"/>
    </row>
    <row r="121" customFormat="false" ht="20.1" hidden="false" customHeight="true" outlineLevel="0" collapsed="false">
      <c r="B121" s="62"/>
      <c r="C121" s="164"/>
      <c r="D121" s="164"/>
      <c r="E121" s="164"/>
      <c r="F121" s="164"/>
      <c r="G121" s="164"/>
      <c r="H121" s="164"/>
      <c r="I121" s="164"/>
      <c r="J121" s="164"/>
      <c r="K121" s="164"/>
      <c r="L121" s="164"/>
      <c r="M121" s="164"/>
      <c r="N121" s="164"/>
      <c r="O121" s="164"/>
      <c r="P121" s="164"/>
      <c r="Q121" s="164"/>
      <c r="R121" s="164"/>
      <c r="S121" s="164"/>
      <c r="T121" s="164"/>
      <c r="U121" s="173"/>
    </row>
    <row r="122" customFormat="false" ht="20.1" hidden="false" customHeight="true" outlineLevel="0" collapsed="false">
      <c r="B122" s="62"/>
      <c r="D122" s="162"/>
      <c r="E122" s="162"/>
      <c r="F122" s="162"/>
      <c r="G122" s="162"/>
      <c r="H122" s="163"/>
      <c r="I122" s="162"/>
      <c r="J122" s="162"/>
      <c r="K122" s="162"/>
      <c r="U122" s="62"/>
    </row>
    <row r="123" customFormat="false" ht="30" hidden="false" customHeight="true" outlineLevel="0" collapsed="false">
      <c r="B123" s="62"/>
      <c r="C123" s="190"/>
      <c r="D123" s="191" t="s">
        <v>135</v>
      </c>
      <c r="E123" s="191"/>
      <c r="F123" s="191"/>
      <c r="G123" s="191"/>
      <c r="H123" s="191"/>
      <c r="I123" s="191"/>
      <c r="J123" s="191"/>
      <c r="K123" s="191"/>
      <c r="L123" s="191"/>
      <c r="M123" s="191"/>
      <c r="N123" s="191"/>
      <c r="O123" s="371"/>
      <c r="P123" s="371"/>
      <c r="Q123" s="371"/>
      <c r="R123" s="371"/>
      <c r="S123" s="371"/>
      <c r="T123" s="190"/>
      <c r="U123" s="62"/>
    </row>
    <row r="124" customFormat="false" ht="50.1" hidden="false" customHeight="true" outlineLevel="0" collapsed="false">
      <c r="B124" s="62"/>
      <c r="C124" s="190"/>
      <c r="D124" s="192" t="s">
        <v>53</v>
      </c>
      <c r="E124" s="193" t="s">
        <v>150</v>
      </c>
      <c r="F124" s="194" t="s">
        <v>84</v>
      </c>
      <c r="G124" s="195" t="s">
        <v>100</v>
      </c>
      <c r="H124" s="196" t="s">
        <v>101</v>
      </c>
      <c r="I124" s="196"/>
      <c r="J124" s="197" t="s">
        <v>102</v>
      </c>
      <c r="K124" s="198" t="s">
        <v>103</v>
      </c>
      <c r="L124" s="194" t="s">
        <v>104</v>
      </c>
      <c r="M124" s="198" t="s">
        <v>105</v>
      </c>
      <c r="N124" s="193" t="s">
        <v>107</v>
      </c>
      <c r="O124" s="372"/>
      <c r="P124" s="373"/>
      <c r="Q124" s="373"/>
      <c r="R124" s="373"/>
      <c r="S124" s="190"/>
      <c r="T124" s="190"/>
      <c r="U124" s="62"/>
    </row>
    <row r="125" customFormat="false" ht="20.1" hidden="false" customHeight="true" outlineLevel="0" collapsed="false">
      <c r="B125" s="62"/>
      <c r="C125" s="190"/>
      <c r="D125" s="605" t="s">
        <v>39</v>
      </c>
      <c r="E125" s="375" t="s">
        <v>40</v>
      </c>
      <c r="F125" s="258" t="n">
        <f aca="false">K125*6+L125*3+M125*0</f>
        <v>12</v>
      </c>
      <c r="G125" s="259" t="n">
        <v>0</v>
      </c>
      <c r="H125" s="482" t="s">
        <v>67</v>
      </c>
      <c r="I125" s="482"/>
      <c r="J125" s="258" t="n">
        <f aca="false">F125+G125</f>
        <v>12</v>
      </c>
      <c r="K125" s="258" t="n">
        <v>2</v>
      </c>
      <c r="L125" s="258" t="n">
        <v>0</v>
      </c>
      <c r="M125" s="258" t="n">
        <v>1</v>
      </c>
      <c r="N125" s="261" t="n">
        <f aca="false">(L101+L109+L117)/3</f>
        <v>86.6666666666667</v>
      </c>
      <c r="O125" s="376"/>
      <c r="P125" s="377"/>
      <c r="Q125" s="377"/>
      <c r="R125" s="377"/>
      <c r="S125" s="190"/>
      <c r="T125" s="190"/>
      <c r="U125" s="62"/>
    </row>
    <row r="126" customFormat="false" ht="20.1" hidden="false" customHeight="true" outlineLevel="0" collapsed="false">
      <c r="B126" s="62"/>
      <c r="C126" s="190"/>
      <c r="D126" s="624" t="s">
        <v>31</v>
      </c>
      <c r="E126" s="625" t="s">
        <v>32</v>
      </c>
      <c r="F126" s="262" t="n">
        <f aca="false">K126*6+L126*3+M126*0</f>
        <v>9</v>
      </c>
      <c r="G126" s="263" t="n">
        <v>0</v>
      </c>
      <c r="H126" s="263" t="s">
        <v>67</v>
      </c>
      <c r="I126" s="263"/>
      <c r="J126" s="262" t="n">
        <f aca="false">F126+G126</f>
        <v>9</v>
      </c>
      <c r="K126" s="262" t="n">
        <v>1</v>
      </c>
      <c r="L126" s="262" t="n">
        <v>1</v>
      </c>
      <c r="M126" s="262" t="n">
        <v>1</v>
      </c>
      <c r="N126" s="265" t="n">
        <f aca="false">(L102+L110+L118)/3</f>
        <v>91.6666666666667</v>
      </c>
      <c r="O126" s="376"/>
      <c r="P126" s="377"/>
      <c r="Q126" s="377"/>
      <c r="R126" s="377"/>
      <c r="S126" s="190"/>
      <c r="T126" s="190"/>
      <c r="U126" s="62"/>
    </row>
    <row r="127" customFormat="false" ht="20.1" hidden="false" customHeight="true" outlineLevel="0" collapsed="false">
      <c r="B127" s="62"/>
      <c r="C127" s="190"/>
      <c r="D127" s="626" t="s">
        <v>20</v>
      </c>
      <c r="E127" s="627" t="s">
        <v>21</v>
      </c>
      <c r="F127" s="271" t="n">
        <f aca="false">K127*6+L127*3+M127*0</f>
        <v>6</v>
      </c>
      <c r="G127" s="272" t="n">
        <v>0</v>
      </c>
      <c r="H127" s="272" t="s">
        <v>67</v>
      </c>
      <c r="I127" s="272"/>
      <c r="J127" s="271" t="n">
        <f aca="false">F127+G127</f>
        <v>6</v>
      </c>
      <c r="K127" s="271" t="n">
        <v>0</v>
      </c>
      <c r="L127" s="271" t="n">
        <v>2</v>
      </c>
      <c r="M127" s="271" t="n">
        <v>1</v>
      </c>
      <c r="N127" s="274" t="n">
        <f aca="false">(L103+L111+L119)/3</f>
        <v>77.4283788338389</v>
      </c>
      <c r="O127" s="376"/>
      <c r="P127" s="377"/>
      <c r="Q127" s="377"/>
      <c r="R127" s="377"/>
      <c r="S127" s="190"/>
      <c r="T127" s="190"/>
      <c r="U127" s="62"/>
    </row>
    <row r="128" customFormat="false" ht="20.1" hidden="false" customHeight="true" outlineLevel="0" collapsed="false">
      <c r="B128" s="62"/>
      <c r="C128" s="190"/>
      <c r="D128" s="190"/>
      <c r="E128" s="190"/>
      <c r="F128" s="190"/>
      <c r="G128" s="190"/>
      <c r="H128" s="190"/>
      <c r="I128" s="190"/>
      <c r="J128" s="190"/>
      <c r="K128" s="190"/>
      <c r="L128" s="190"/>
      <c r="M128" s="190"/>
      <c r="N128" s="190"/>
      <c r="O128" s="190"/>
      <c r="P128" s="190"/>
      <c r="Q128" s="190"/>
      <c r="R128" s="190"/>
      <c r="S128" s="190"/>
      <c r="T128" s="190"/>
      <c r="U128" s="62"/>
    </row>
    <row r="129" customFormat="false" ht="20.1" hidden="false" customHeight="true" outlineLevel="0" collapsed="false">
      <c r="B129" s="62"/>
      <c r="C129" s="62"/>
      <c r="D129" s="219"/>
      <c r="E129" s="219"/>
      <c r="F129" s="167"/>
      <c r="G129" s="167"/>
      <c r="H129" s="219"/>
      <c r="I129" s="219"/>
      <c r="J129" s="219"/>
      <c r="K129" s="62"/>
      <c r="L129" s="62"/>
      <c r="M129" s="62"/>
      <c r="N129" s="62"/>
      <c r="O129" s="62"/>
      <c r="P129" s="62"/>
      <c r="Q129" s="62"/>
      <c r="R129" s="62"/>
      <c r="S129" s="62"/>
      <c r="T129" s="62"/>
      <c r="U129" s="62"/>
    </row>
    <row r="130" customFormat="false" ht="20.1" hidden="false" customHeight="true" outlineLevel="0" collapsed="false"/>
  </sheetData>
  <mergeCells count="122">
    <mergeCell ref="A1:N2"/>
    <mergeCell ref="B4:I4"/>
    <mergeCell ref="K4:M4"/>
    <mergeCell ref="B5:C5"/>
    <mergeCell ref="B6:C6"/>
    <mergeCell ref="L6:L9"/>
    <mergeCell ref="B7:C7"/>
    <mergeCell ref="B8:C8"/>
    <mergeCell ref="B9:C9"/>
    <mergeCell ref="B10:C10"/>
    <mergeCell ref="L10:L12"/>
    <mergeCell ref="B11:C11"/>
    <mergeCell ref="B12:C12"/>
    <mergeCell ref="K13:L13"/>
    <mergeCell ref="B14:H14"/>
    <mergeCell ref="B15:C15"/>
    <mergeCell ref="B16:C16"/>
    <mergeCell ref="B17:C17"/>
    <mergeCell ref="B18:C18"/>
    <mergeCell ref="C21:T21"/>
    <mergeCell ref="D23:D24"/>
    <mergeCell ref="E23:E24"/>
    <mergeCell ref="F23:F24"/>
    <mergeCell ref="G23:J23"/>
    <mergeCell ref="L23:S23"/>
    <mergeCell ref="I24:J24"/>
    <mergeCell ref="N24:S24"/>
    <mergeCell ref="D25:D30"/>
    <mergeCell ref="E25:E30"/>
    <mergeCell ref="F25:F30"/>
    <mergeCell ref="G25:G30"/>
    <mergeCell ref="H25:H30"/>
    <mergeCell ref="I25:J25"/>
    <mergeCell ref="K25:K30"/>
    <mergeCell ref="L25:L30"/>
    <mergeCell ref="M25:M30"/>
    <mergeCell ref="N25:S30"/>
    <mergeCell ref="I26:J26"/>
    <mergeCell ref="I27:J27"/>
    <mergeCell ref="I28:J28"/>
    <mergeCell ref="I29:J29"/>
    <mergeCell ref="I30:J30"/>
    <mergeCell ref="I31:J31"/>
    <mergeCell ref="N31:S31"/>
    <mergeCell ref="D32:D35"/>
    <mergeCell ref="E32:E35"/>
    <mergeCell ref="F32:F35"/>
    <mergeCell ref="G32:G35"/>
    <mergeCell ref="H32:H35"/>
    <mergeCell ref="I32:J32"/>
    <mergeCell ref="K32:K35"/>
    <mergeCell ref="L32:L35"/>
    <mergeCell ref="M32:M35"/>
    <mergeCell ref="N32:S35"/>
    <mergeCell ref="I33:J33"/>
    <mergeCell ref="I34:J34"/>
    <mergeCell ref="I35:J35"/>
    <mergeCell ref="D36:D39"/>
    <mergeCell ref="E36:E39"/>
    <mergeCell ref="F36:F39"/>
    <mergeCell ref="G36:G39"/>
    <mergeCell ref="H36:H39"/>
    <mergeCell ref="I36:J36"/>
    <mergeCell ref="K36:K39"/>
    <mergeCell ref="L36:L39"/>
    <mergeCell ref="M36:M39"/>
    <mergeCell ref="N36:S39"/>
    <mergeCell ref="I37:J37"/>
    <mergeCell ref="I38:J38"/>
    <mergeCell ref="I39:J39"/>
    <mergeCell ref="E41:N41"/>
    <mergeCell ref="F47:G47"/>
    <mergeCell ref="F48:G48"/>
    <mergeCell ref="E50:N50"/>
    <mergeCell ref="F56:G56"/>
    <mergeCell ref="E59:N59"/>
    <mergeCell ref="F65:G65"/>
    <mergeCell ref="E68:N68"/>
    <mergeCell ref="F74:G74"/>
    <mergeCell ref="D77:S77"/>
    <mergeCell ref="H78:I78"/>
    <mergeCell ref="H79:I79"/>
    <mergeCell ref="H80:I80"/>
    <mergeCell ref="H81:I81"/>
    <mergeCell ref="H82:I82"/>
    <mergeCell ref="H83:I83"/>
    <mergeCell ref="C88:T88"/>
    <mergeCell ref="D90:D91"/>
    <mergeCell ref="E90:E91"/>
    <mergeCell ref="F90:F91"/>
    <mergeCell ref="G90:J90"/>
    <mergeCell ref="L90:S90"/>
    <mergeCell ref="I91:J91"/>
    <mergeCell ref="N91:S91"/>
    <mergeCell ref="D92:D95"/>
    <mergeCell ref="E92:E95"/>
    <mergeCell ref="F92:F95"/>
    <mergeCell ref="G92:G95"/>
    <mergeCell ref="H92:H95"/>
    <mergeCell ref="I92:J92"/>
    <mergeCell ref="K92:K95"/>
    <mergeCell ref="L92:L95"/>
    <mergeCell ref="M92:M95"/>
    <mergeCell ref="N92:S95"/>
    <mergeCell ref="I93:J93"/>
    <mergeCell ref="I94:J94"/>
    <mergeCell ref="I95:J95"/>
    <mergeCell ref="I96:J96"/>
    <mergeCell ref="N96:S96"/>
    <mergeCell ref="I97:J97"/>
    <mergeCell ref="N97:S97"/>
    <mergeCell ref="E99:N99"/>
    <mergeCell ref="F104:G104"/>
    <mergeCell ref="E107:N107"/>
    <mergeCell ref="F112:G112"/>
    <mergeCell ref="E115:N115"/>
    <mergeCell ref="F120:G120"/>
    <mergeCell ref="D123:N123"/>
    <mergeCell ref="H124:I124"/>
    <mergeCell ref="H125:I125"/>
    <mergeCell ref="H126:I126"/>
    <mergeCell ref="H127:I127"/>
  </mergeCells>
  <conditionalFormatting sqref="B6:C12">
    <cfRule type="expression" priority="2" aboveAverage="0" equalAverage="0" bottom="0" percent="0" rank="0" text="" dxfId="958">
      <formula>$I6="Nein"</formula>
    </cfRule>
    <cfRule type="expression" priority="3" aboveAverage="0" equalAverage="0" bottom="0" percent="0" rank="0" text="" dxfId="959">
      <formula>$I6="Ja"</formula>
    </cfRule>
  </conditionalFormatting>
  <conditionalFormatting sqref="D83:E83">
    <cfRule type="expression" priority="4" aboveAverage="0" equalAverage="0" bottom="0" percent="0" rank="0" text="" dxfId="960">
      <formula>$I83="Nein"</formula>
    </cfRule>
    <cfRule type="expression" priority="5" aboveAverage="0" equalAverage="0" bottom="0" percent="0" rank="0" text="" dxfId="961">
      <formula>$I83="Ja"</formula>
    </cfRule>
  </conditionalFormatting>
  <conditionalFormatting sqref="D13:I13">
    <cfRule type="expression" priority="6" aboveAverage="0" equalAverage="0" bottom="0" percent="0" rank="0" text="" dxfId="962">
      <formula>$I13="Nein"</formula>
    </cfRule>
    <cfRule type="expression" priority="7" aboveAverage="0" equalAverage="0" bottom="0" percent="0" rank="0" text="" dxfId="963">
      <formula>$I13="Ja"</formula>
    </cfRule>
  </conditionalFormatting>
  <conditionalFormatting sqref="D10:I10">
    <cfRule type="expression" priority="8" aboveAverage="0" equalAverage="0" bottom="0" percent="0" rank="0" text="" dxfId="964">
      <formula>$I10="Nein"</formula>
    </cfRule>
    <cfRule type="expression" priority="9" aboveAverage="0" equalAverage="0" bottom="0" percent="0" rank="0" text="" dxfId="965">
      <formula>$I10="Ja"</formula>
    </cfRule>
  </conditionalFormatting>
  <conditionalFormatting sqref="D7:I7">
    <cfRule type="expression" priority="10" aboveAverage="0" equalAverage="0" bottom="0" percent="0" rank="0" text="" dxfId="966">
      <formula>$I7="Nein"</formula>
    </cfRule>
    <cfRule type="expression" priority="11" aboveAverage="0" equalAverage="0" bottom="0" percent="0" rank="0" text="" dxfId="967">
      <formula>$I7="Ja"</formula>
    </cfRule>
  </conditionalFormatting>
  <conditionalFormatting sqref="D6:I6">
    <cfRule type="expression" priority="12" aboveAverage="0" equalAverage="0" bottom="0" percent="0" rank="0" text="" dxfId="968">
      <formula>$I6="Nein"</formula>
    </cfRule>
    <cfRule type="expression" priority="13" aboveAverage="0" equalAverage="0" bottom="0" percent="0" rank="0" text="" dxfId="969">
      <formula>$I6="Ja"</formula>
    </cfRule>
  </conditionalFormatting>
  <conditionalFormatting sqref="D6:I6">
    <cfRule type="expression" priority="14" aboveAverage="0" equalAverage="0" bottom="0" percent="0" rank="0" text="" dxfId="970">
      <formula>$I6="Nein"</formula>
    </cfRule>
    <cfRule type="expression" priority="15" aboveAverage="0" equalAverage="0" bottom="0" percent="0" rank="0" text="" dxfId="971">
      <formula>$I6="Ja"</formula>
    </cfRule>
  </conditionalFormatting>
  <conditionalFormatting sqref="D8:I8">
    <cfRule type="expression" priority="16" aboveAverage="0" equalAverage="0" bottom="0" percent="0" rank="0" text="" dxfId="972">
      <formula>$I8="Nein"</formula>
    </cfRule>
    <cfRule type="expression" priority="17" aboveAverage="0" equalAverage="0" bottom="0" percent="0" rank="0" text="" dxfId="973">
      <formula>$I8="Ja"</formula>
    </cfRule>
  </conditionalFormatting>
  <conditionalFormatting sqref="I9">
    <cfRule type="expression" priority="18" aboveAverage="0" equalAverage="0" bottom="0" percent="0" rank="0" text="" dxfId="974">
      <formula>$I9="Nein"</formula>
    </cfRule>
    <cfRule type="expression" priority="19" aboveAverage="0" equalAverage="0" bottom="0" percent="0" rank="0" text="" dxfId="975">
      <formula>$I9="Ja"</formula>
    </cfRule>
  </conditionalFormatting>
  <conditionalFormatting sqref="D9:H9">
    <cfRule type="expression" priority="20" aboveAverage="0" equalAverage="0" bottom="0" percent="0" rank="0" text="" dxfId="976">
      <formula>$I9="Nein"</formula>
    </cfRule>
    <cfRule type="expression" priority="21" aboveAverage="0" equalAverage="0" bottom="0" percent="0" rank="0" text="" dxfId="977">
      <formula>$I9="Ja"</formula>
    </cfRule>
  </conditionalFormatting>
  <conditionalFormatting sqref="I11">
    <cfRule type="expression" priority="22" aboveAverage="0" equalAverage="0" bottom="0" percent="0" rank="0" text="" dxfId="978">
      <formula>$I11="Nein"</formula>
    </cfRule>
    <cfRule type="expression" priority="23" aboveAverage="0" equalAverage="0" bottom="0" percent="0" rank="0" text="" dxfId="979">
      <formula>$I11="Ja"</formula>
    </cfRule>
  </conditionalFormatting>
  <conditionalFormatting sqref="D11:H11">
    <cfRule type="expression" priority="24" aboveAverage="0" equalAverage="0" bottom="0" percent="0" rank="0" text="" dxfId="980">
      <formula>$I11="Nein"</formula>
    </cfRule>
    <cfRule type="expression" priority="25" aboveAverage="0" equalAverage="0" bottom="0" percent="0" rank="0" text="" dxfId="981">
      <formula>$I11="Ja"</formula>
    </cfRule>
  </conditionalFormatting>
  <conditionalFormatting sqref="I12">
    <cfRule type="expression" priority="26" aboveAverage="0" equalAverage="0" bottom="0" percent="0" rank="0" text="" dxfId="982">
      <formula>$I12="Nein"</formula>
    </cfRule>
    <cfRule type="expression" priority="27" aboveAverage="0" equalAverage="0" bottom="0" percent="0" rank="0" text="" dxfId="983">
      <formula>$I12="Ja"</formula>
    </cfRule>
  </conditionalFormatting>
  <conditionalFormatting sqref="D12:H12">
    <cfRule type="expression" priority="28" aboveAverage="0" equalAverage="0" bottom="0" percent="0" rank="0" text="" dxfId="984">
      <formula>$I12="Nein"</formula>
    </cfRule>
    <cfRule type="expression" priority="29" aboveAverage="0" equalAverage="0" bottom="0" percent="0" rank="0" text="" dxfId="985">
      <formula>$I12="Ja"</formula>
    </cfRule>
  </conditionalFormatting>
  <conditionalFormatting sqref="D16:H16">
    <cfRule type="expression" priority="30" aboveAverage="0" equalAverage="0" bottom="0" percent="0" rank="0" text="" dxfId="986">
      <formula>$I16="Nein"</formula>
    </cfRule>
    <cfRule type="expression" priority="31" aboveAverage="0" equalAverage="0" bottom="0" percent="0" rank="0" text="" dxfId="987">
      <formula>$I16="Ja"</formula>
    </cfRule>
  </conditionalFormatting>
  <conditionalFormatting sqref="E44:F44">
    <cfRule type="expression" priority="32" aboveAverage="0" equalAverage="0" bottom="0" percent="0" rank="0" text="" dxfId="988">
      <formula>$I44="Nein"</formula>
    </cfRule>
    <cfRule type="expression" priority="33" aboveAverage="0" equalAverage="0" bottom="0" percent="0" rank="0" text="" dxfId="989">
      <formula>$I44="Ja"</formula>
    </cfRule>
  </conditionalFormatting>
  <conditionalFormatting sqref="E43:F43">
    <cfRule type="expression" priority="34" aboveAverage="0" equalAverage="0" bottom="0" percent="0" rank="0" text="" dxfId="990">
      <formula>$I43="Nein"</formula>
    </cfRule>
    <cfRule type="expression" priority="35" aboveAverage="0" equalAverage="0" bottom="0" percent="0" rank="0" text="" dxfId="991">
      <formula>$I43="Ja"</formula>
    </cfRule>
  </conditionalFormatting>
  <conditionalFormatting sqref="E43:F43">
    <cfRule type="expression" priority="36" aboveAverage="0" equalAverage="0" bottom="0" percent="0" rank="0" text="" dxfId="992">
      <formula>$I43="Nein"</formula>
    </cfRule>
    <cfRule type="expression" priority="37" aboveAverage="0" equalAverage="0" bottom="0" percent="0" rank="0" text="" dxfId="993">
      <formula>$I43="Ja"</formula>
    </cfRule>
  </conditionalFormatting>
  <conditionalFormatting sqref="E45:F45">
    <cfRule type="expression" priority="38" aboveAverage="0" equalAverage="0" bottom="0" percent="0" rank="0" text="" dxfId="994">
      <formula>$I45="Nein"</formula>
    </cfRule>
    <cfRule type="expression" priority="39" aboveAverage="0" equalAverage="0" bottom="0" percent="0" rank="0" text="" dxfId="995">
      <formula>$I45="Ja"</formula>
    </cfRule>
  </conditionalFormatting>
  <conditionalFormatting sqref="E46:F46">
    <cfRule type="expression" priority="40" aboveAverage="0" equalAverage="0" bottom="0" percent="0" rank="0" text="" dxfId="996">
      <formula>$I46="Nein"</formula>
    </cfRule>
    <cfRule type="expression" priority="41" aboveAverage="0" equalAverage="0" bottom="0" percent="0" rank="0" text="" dxfId="997">
      <formula>$I46="Ja"</formula>
    </cfRule>
  </conditionalFormatting>
  <conditionalFormatting sqref="E53:F53">
    <cfRule type="expression" priority="42" aboveAverage="0" equalAverage="0" bottom="0" percent="0" rank="0" text="" dxfId="998">
      <formula>$I53="Nein"</formula>
    </cfRule>
    <cfRule type="expression" priority="43" aboveAverage="0" equalAverage="0" bottom="0" percent="0" rank="0" text="" dxfId="999">
      <formula>$I53="Ja"</formula>
    </cfRule>
  </conditionalFormatting>
  <conditionalFormatting sqref="E52:F52">
    <cfRule type="expression" priority="44" aboveAverage="0" equalAverage="0" bottom="0" percent="0" rank="0" text="" dxfId="1000">
      <formula>$I52="Nein"</formula>
    </cfRule>
    <cfRule type="expression" priority="45" aboveAverage="0" equalAverage="0" bottom="0" percent="0" rank="0" text="" dxfId="1001">
      <formula>$I52="Ja"</formula>
    </cfRule>
  </conditionalFormatting>
  <conditionalFormatting sqref="E52:F52">
    <cfRule type="expression" priority="46" aboveAverage="0" equalAverage="0" bottom="0" percent="0" rank="0" text="" dxfId="1002">
      <formula>$I52="Nein"</formula>
    </cfRule>
    <cfRule type="expression" priority="47" aboveAverage="0" equalAverage="0" bottom="0" percent="0" rank="0" text="" dxfId="1003">
      <formula>$I52="Ja"</formula>
    </cfRule>
  </conditionalFormatting>
  <conditionalFormatting sqref="E54:F54">
    <cfRule type="expression" priority="48" aboveAverage="0" equalAverage="0" bottom="0" percent="0" rank="0" text="" dxfId="1004">
      <formula>$I54="Nein"</formula>
    </cfRule>
    <cfRule type="expression" priority="49" aboveAverage="0" equalAverage="0" bottom="0" percent="0" rank="0" text="" dxfId="1005">
      <formula>$I54="Ja"</formula>
    </cfRule>
  </conditionalFormatting>
  <conditionalFormatting sqref="E55:F55">
    <cfRule type="expression" priority="50" aboveAverage="0" equalAverage="0" bottom="0" percent="0" rank="0" text="" dxfId="1006">
      <formula>$I55="Nein"</formula>
    </cfRule>
    <cfRule type="expression" priority="51" aboveAverage="0" equalAverage="0" bottom="0" percent="0" rank="0" text="" dxfId="1007">
      <formula>$I55="Ja"</formula>
    </cfRule>
  </conditionalFormatting>
  <conditionalFormatting sqref="E62:F62">
    <cfRule type="expression" priority="52" aboveAverage="0" equalAverage="0" bottom="0" percent="0" rank="0" text="" dxfId="1008">
      <formula>$I62="Nein"</formula>
    </cfRule>
    <cfRule type="expression" priority="53" aboveAverage="0" equalAverage="0" bottom="0" percent="0" rank="0" text="" dxfId="1009">
      <formula>$I62="Ja"</formula>
    </cfRule>
  </conditionalFormatting>
  <conditionalFormatting sqref="E61:F61">
    <cfRule type="expression" priority="54" aboveAverage="0" equalAverage="0" bottom="0" percent="0" rank="0" text="" dxfId="1010">
      <formula>$I61="Nein"</formula>
    </cfRule>
    <cfRule type="expression" priority="55" aboveAverage="0" equalAverage="0" bottom="0" percent="0" rank="0" text="" dxfId="1011">
      <formula>$I61="Ja"</formula>
    </cfRule>
  </conditionalFormatting>
  <conditionalFormatting sqref="E61:F61">
    <cfRule type="expression" priority="56" aboveAverage="0" equalAverage="0" bottom="0" percent="0" rank="0" text="" dxfId="1012">
      <formula>$I61="Nein"</formula>
    </cfRule>
    <cfRule type="expression" priority="57" aboveAverage="0" equalAverage="0" bottom="0" percent="0" rank="0" text="" dxfId="1013">
      <formula>$I61="Ja"</formula>
    </cfRule>
  </conditionalFormatting>
  <conditionalFormatting sqref="E63:F63">
    <cfRule type="expression" priority="58" aboveAverage="0" equalAverage="0" bottom="0" percent="0" rank="0" text="" dxfId="1014">
      <formula>$I63="Nein"</formula>
    </cfRule>
    <cfRule type="expression" priority="59" aboveAverage="0" equalAverage="0" bottom="0" percent="0" rank="0" text="" dxfId="1015">
      <formula>$I63="Ja"</formula>
    </cfRule>
  </conditionalFormatting>
  <conditionalFormatting sqref="E64:F64">
    <cfRule type="expression" priority="60" aboveAverage="0" equalAverage="0" bottom="0" percent="0" rank="0" text="" dxfId="1016">
      <formula>$I64="Nein"</formula>
    </cfRule>
    <cfRule type="expression" priority="61" aboveAverage="0" equalAverage="0" bottom="0" percent="0" rank="0" text="" dxfId="1017">
      <formula>$I64="Ja"</formula>
    </cfRule>
  </conditionalFormatting>
  <conditionalFormatting sqref="E71:F71">
    <cfRule type="expression" priority="62" aboveAverage="0" equalAverage="0" bottom="0" percent="0" rank="0" text="" dxfId="1018">
      <formula>$I71="Nein"</formula>
    </cfRule>
    <cfRule type="expression" priority="63" aboveAverage="0" equalAverage="0" bottom="0" percent="0" rank="0" text="" dxfId="1019">
      <formula>$I71="Ja"</formula>
    </cfRule>
  </conditionalFormatting>
  <conditionalFormatting sqref="E70:F70">
    <cfRule type="expression" priority="64" aboveAverage="0" equalAverage="0" bottom="0" percent="0" rank="0" text="" dxfId="1020">
      <formula>$I70="Nein"</formula>
    </cfRule>
    <cfRule type="expression" priority="65" aboveAverage="0" equalAverage="0" bottom="0" percent="0" rank="0" text="" dxfId="1021">
      <formula>$I70="Ja"</formula>
    </cfRule>
  </conditionalFormatting>
  <conditionalFormatting sqref="E70:F70">
    <cfRule type="expression" priority="66" aboveAverage="0" equalAverage="0" bottom="0" percent="0" rank="0" text="" dxfId="1022">
      <formula>$I70="Nein"</formula>
    </cfRule>
    <cfRule type="expression" priority="67" aboveAverage="0" equalAverage="0" bottom="0" percent="0" rank="0" text="" dxfId="1023">
      <formula>$I70="Ja"</formula>
    </cfRule>
  </conditionalFormatting>
  <conditionalFormatting sqref="E72:F72">
    <cfRule type="expression" priority="68" aboveAverage="0" equalAverage="0" bottom="0" percent="0" rank="0" text="" dxfId="1024">
      <formula>$I72="Nein"</formula>
    </cfRule>
    <cfRule type="expression" priority="69" aboveAverage="0" equalAverage="0" bottom="0" percent="0" rank="0" text="" dxfId="1025">
      <formula>$I72="Ja"</formula>
    </cfRule>
  </conditionalFormatting>
  <conditionalFormatting sqref="E73:F73">
    <cfRule type="expression" priority="70" aboveAverage="0" equalAverage="0" bottom="0" percent="0" rank="0" text="" dxfId="1026">
      <formula>$I73="Nein"</formula>
    </cfRule>
    <cfRule type="expression" priority="71" aboveAverage="0" equalAverage="0" bottom="0" percent="0" rank="0" text="" dxfId="1027">
      <formula>$I73="Ja"</formula>
    </cfRule>
  </conditionalFormatting>
  <conditionalFormatting sqref="D81:E81">
    <cfRule type="expression" priority="72" aboveAverage="0" equalAverage="0" bottom="0" percent="0" rank="0" text="" dxfId="1028">
      <formula>$I81="Nein"</formula>
    </cfRule>
    <cfRule type="expression" priority="73" aboveAverage="0" equalAverage="0" bottom="0" percent="0" rank="0" text="" dxfId="1029">
      <formula>$I81="Ja"</formula>
    </cfRule>
  </conditionalFormatting>
  <conditionalFormatting sqref="D81:E81">
    <cfRule type="expression" priority="74" aboveAverage="0" equalAverage="0" bottom="0" percent="0" rank="0" text="" dxfId="1030">
      <formula>$I81="Nein"</formula>
    </cfRule>
    <cfRule type="expression" priority="75" aboveAverage="0" equalAverage="0" bottom="0" percent="0" rank="0" text="" dxfId="1031">
      <formula>$I81="Ja"</formula>
    </cfRule>
  </conditionalFormatting>
  <conditionalFormatting sqref="D82:E82">
    <cfRule type="expression" priority="76" aboveAverage="0" equalAverage="0" bottom="0" percent="0" rank="0" text="" dxfId="1032">
      <formula>$I82="Nein"</formula>
    </cfRule>
    <cfRule type="expression" priority="77" aboveAverage="0" equalAverage="0" bottom="0" percent="0" rank="0" text="" dxfId="1033">
      <formula>$I82="Ja"</formula>
    </cfRule>
  </conditionalFormatting>
  <conditionalFormatting sqref="D79:E79">
    <cfRule type="expression" priority="78" aboveAverage="0" equalAverage="0" bottom="0" percent="0" rank="0" text="" dxfId="1034">
      <formula>$I79="Nein"</formula>
    </cfRule>
    <cfRule type="expression" priority="79" aboveAverage="0" equalAverage="0" bottom="0" percent="0" rank="0" text="" dxfId="1035">
      <formula>$I79="Ja"</formula>
    </cfRule>
  </conditionalFormatting>
  <conditionalFormatting sqref="D80:E80">
    <cfRule type="expression" priority="80" aboveAverage="0" equalAverage="0" bottom="0" percent="0" rank="0" text="" dxfId="1036">
      <formula>$I80="Nein"</formula>
    </cfRule>
    <cfRule type="expression" priority="81" aboveAverage="0" equalAverage="0" bottom="0" percent="0" rank="0" text="" dxfId="1037">
      <formula>$I80="Ja"</formula>
    </cfRule>
  </conditionalFormatting>
  <conditionalFormatting sqref="D17:H17">
    <cfRule type="expression" priority="82" aboveAverage="0" equalAverage="0" bottom="0" percent="0" rank="0" text="" dxfId="1038">
      <formula>$I17="Nein"</formula>
    </cfRule>
    <cfRule type="expression" priority="83" aboveAverage="0" equalAverage="0" bottom="0" percent="0" rank="0" text="" dxfId="1039">
      <formula>$I17="Ja"</formula>
    </cfRule>
  </conditionalFormatting>
  <conditionalFormatting sqref="D96:E97">
    <cfRule type="expression" priority="84" aboveAverage="0" equalAverage="0" bottom="0" percent="0" rank="0" text="" dxfId="1040">
      <formula>$J96="Ja"</formula>
    </cfRule>
    <cfRule type="expression" priority="85" aboveAverage="0" equalAverage="0" bottom="0" percent="0" rank="0" text="" dxfId="1041">
      <formula>$J96="Nein"</formula>
    </cfRule>
  </conditionalFormatting>
  <conditionalFormatting sqref="D92:E92">
    <cfRule type="expression" priority="86" aboveAverage="0" equalAverage="0" bottom="0" percent="0" rank="0" text="" dxfId="1042">
      <formula>$J92="Ja"</formula>
    </cfRule>
    <cfRule type="expression" priority="87" aboveAverage="0" equalAverage="0" bottom="0" percent="0" rank="0" text="" dxfId="1043">
      <formula>$J92="Nein"</formula>
    </cfRule>
  </conditionalFormatting>
  <conditionalFormatting sqref="E101:F101">
    <cfRule type="expression" priority="88" aboveAverage="0" equalAverage="0" bottom="0" percent="0" rank="0" text="" dxfId="1044">
      <formula>$I101="Nein"</formula>
    </cfRule>
    <cfRule type="expression" priority="89" aboveAverage="0" equalAverage="0" bottom="0" percent="0" rank="0" text="" dxfId="1045">
      <formula>$I101="Ja"</formula>
    </cfRule>
  </conditionalFormatting>
  <conditionalFormatting sqref="E102:F102">
    <cfRule type="expression" priority="90" aboveAverage="0" equalAverage="0" bottom="0" percent="0" rank="0" text="" dxfId="1046">
      <formula>$I102="Nein"</formula>
    </cfRule>
    <cfRule type="expression" priority="91" aboveAverage="0" equalAverage="0" bottom="0" percent="0" rank="0" text="" dxfId="1047">
      <formula>$I102="Ja"</formula>
    </cfRule>
  </conditionalFormatting>
  <conditionalFormatting sqref="E103:F103">
    <cfRule type="expression" priority="92" aboveAverage="0" equalAverage="0" bottom="0" percent="0" rank="0" text="" dxfId="1048">
      <formula>$I103="Nein"</formula>
    </cfRule>
    <cfRule type="expression" priority="93" aboveAverage="0" equalAverage="0" bottom="0" percent="0" rank="0" text="" dxfId="1049">
      <formula>$I103="Ja"</formula>
    </cfRule>
  </conditionalFormatting>
  <conditionalFormatting sqref="E109:F109">
    <cfRule type="expression" priority="94" aboveAverage="0" equalAverage="0" bottom="0" percent="0" rank="0" text="" dxfId="1050">
      <formula>$I109="Nein"</formula>
    </cfRule>
    <cfRule type="expression" priority="95" aboveAverage="0" equalAverage="0" bottom="0" percent="0" rank="0" text="" dxfId="1051">
      <formula>$I109="Ja"</formula>
    </cfRule>
  </conditionalFormatting>
  <conditionalFormatting sqref="E110:F110">
    <cfRule type="expression" priority="96" aboveAverage="0" equalAverage="0" bottom="0" percent="0" rank="0" text="" dxfId="1052">
      <formula>$I110="Nein"</formula>
    </cfRule>
    <cfRule type="expression" priority="97" aboveAverage="0" equalAverage="0" bottom="0" percent="0" rank="0" text="" dxfId="1053">
      <formula>$I110="Ja"</formula>
    </cfRule>
  </conditionalFormatting>
  <conditionalFormatting sqref="E111:F111">
    <cfRule type="expression" priority="98" aboveAverage="0" equalAverage="0" bottom="0" percent="0" rank="0" text="" dxfId="1054">
      <formula>$I111="Nein"</formula>
    </cfRule>
    <cfRule type="expression" priority="99" aboveAverage="0" equalAverage="0" bottom="0" percent="0" rank="0" text="" dxfId="1055">
      <formula>$I111="Ja"</formula>
    </cfRule>
  </conditionalFormatting>
  <conditionalFormatting sqref="E117:F117">
    <cfRule type="expression" priority="100" aboveAverage="0" equalAverage="0" bottom="0" percent="0" rank="0" text="" dxfId="1056">
      <formula>$I117="Nein"</formula>
    </cfRule>
    <cfRule type="expression" priority="101" aboveAverage="0" equalAverage="0" bottom="0" percent="0" rank="0" text="" dxfId="1057">
      <formula>$I117="Ja"</formula>
    </cfRule>
  </conditionalFormatting>
  <conditionalFormatting sqref="E118:F118">
    <cfRule type="expression" priority="102" aboveAverage="0" equalAverage="0" bottom="0" percent="0" rank="0" text="" dxfId="1058">
      <formula>$I118="Nein"</formula>
    </cfRule>
    <cfRule type="expression" priority="103" aboveAverage="0" equalAverage="0" bottom="0" percent="0" rank="0" text="" dxfId="1059">
      <formula>$I118="Ja"</formula>
    </cfRule>
  </conditionalFormatting>
  <conditionalFormatting sqref="E119:F119">
    <cfRule type="expression" priority="104" aboveAverage="0" equalAverage="0" bottom="0" percent="0" rank="0" text="" dxfId="1060">
      <formula>$I119="Nein"</formula>
    </cfRule>
    <cfRule type="expression" priority="105" aboveAverage="0" equalAverage="0" bottom="0" percent="0" rank="0" text="" dxfId="1061">
      <formula>$I119="Ja"</formula>
    </cfRule>
  </conditionalFormatting>
  <conditionalFormatting sqref="D125:E125">
    <cfRule type="expression" priority="106" aboveAverage="0" equalAverage="0" bottom="0" percent="0" rank="0" text="" dxfId="1062">
      <formula>$I125="Nein"</formula>
    </cfRule>
    <cfRule type="expression" priority="107" aboveAverage="0" equalAverage="0" bottom="0" percent="0" rank="0" text="" dxfId="1063">
      <formula>$I125="Ja"</formula>
    </cfRule>
  </conditionalFormatting>
  <conditionalFormatting sqref="D126:E126">
    <cfRule type="expression" priority="108" aboveAverage="0" equalAverage="0" bottom="0" percent="0" rank="0" text="" dxfId="1064">
      <formula>$I126="Nein"</formula>
    </cfRule>
    <cfRule type="expression" priority="109" aboveAverage="0" equalAverage="0" bottom="0" percent="0" rank="0" text="" dxfId="1065">
      <formula>$I126="Ja"</formula>
    </cfRule>
  </conditionalFormatting>
  <conditionalFormatting sqref="D127:E127">
    <cfRule type="expression" priority="110" aboveAverage="0" equalAverage="0" bottom="0" percent="0" rank="0" text="" dxfId="1066">
      <formula>$I127="Nein"</formula>
    </cfRule>
    <cfRule type="expression" priority="111" aboveAverage="0" equalAverage="0" bottom="0" percent="0" rank="0" text="" dxfId="1067">
      <formula>$I127="Ja"</formula>
    </cfRule>
  </conditionalFormatting>
  <conditionalFormatting sqref="D18:H18">
    <cfRule type="expression" priority="112" aboveAverage="0" equalAverage="0" bottom="0" percent="0" rank="0" text="" dxfId="1068">
      <formula>$I18="Nein"</formula>
    </cfRule>
    <cfRule type="expression" priority="113" aboveAverage="0" equalAverage="0" bottom="0" percent="0" rank="0" text="" dxfId="1069">
      <formula>$I18="Ja"</formula>
    </cfRule>
  </conditionalFormatting>
  <dataValidations count="1">
    <dataValidation allowBlank="true" operator="between" showDropDown="false" showErrorMessage="true" showInputMessage="true" sqref="I6:I13 O16:O18"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192"/>
  <sheetViews>
    <sheetView showFormulas="false" showGridLines="false" showRowColHeaders="true" showZeros="true" rightToLeft="false" tabSelected="false" showOutlineSymbols="true" defaultGridColor="true" view="normal" topLeftCell="A179" colorId="64" zoomScale="100" zoomScaleNormal="100" zoomScalePageLayoutView="100" workbookViewId="0">
      <selection pane="topLeft" activeCell="C147" activeCellId="0" sqref="C147"/>
    </sheetView>
  </sheetViews>
  <sheetFormatPr defaultColWidth="11.43359375" defaultRowHeight="15" zeroHeight="false" outlineLevelRow="1" outlineLevelCol="1"/>
  <cols>
    <col collapsed="false" customWidth="true" hidden="false" outlineLevel="0" max="3" min="1" style="1" width="3.71"/>
    <col collapsed="false" customWidth="true" hidden="false" outlineLevel="0" max="14" min="4" style="1" width="20.71"/>
    <col collapsed="false" customWidth="true" hidden="true" outlineLevel="1" max="18" min="15" style="1" width="20.71"/>
    <col collapsed="false" customWidth="true" hidden="false" outlineLevel="0" max="19" min="19" style="1" width="20.71"/>
    <col collapsed="false" customWidth="true" hidden="false" outlineLevel="0" max="21" min="20" style="1" width="3.71"/>
    <col collapsed="false" customWidth="true" hidden="false" outlineLevel="0" max="22" min="22" style="1" width="15.88"/>
    <col collapsed="false" customWidth="true" hidden="false" outlineLevel="0" max="24" min="23" style="1" width="20.71"/>
    <col collapsed="false" customWidth="false" hidden="false" outlineLevel="0" max="1024" min="25" style="1" width="11.42"/>
  </cols>
  <sheetData>
    <row r="1" customFormat="false" ht="15" hidden="false" customHeight="false" outlineLevel="0" collapsed="false">
      <c r="A1" s="2" t="s">
        <v>525</v>
      </c>
      <c r="B1" s="2"/>
      <c r="C1" s="2"/>
      <c r="D1" s="2"/>
      <c r="E1" s="2"/>
      <c r="F1" s="2"/>
      <c r="G1" s="2"/>
      <c r="H1" s="2"/>
      <c r="I1" s="2"/>
      <c r="J1" s="2"/>
      <c r="K1" s="2"/>
      <c r="L1" s="2"/>
      <c r="M1" s="2"/>
      <c r="N1" s="2"/>
    </row>
    <row r="2" customFormat="false" ht="15" hidden="false" customHeight="false" outlineLevel="0" collapsed="false">
      <c r="A2" s="2"/>
      <c r="B2" s="2"/>
      <c r="C2" s="2"/>
      <c r="D2" s="2"/>
      <c r="E2" s="2"/>
      <c r="F2" s="2"/>
      <c r="G2" s="2"/>
      <c r="H2" s="2"/>
      <c r="I2" s="2"/>
      <c r="J2" s="2"/>
      <c r="K2" s="2"/>
      <c r="L2" s="2"/>
      <c r="M2" s="2"/>
      <c r="N2" s="2"/>
    </row>
    <row r="3" customFormat="false" ht="20.1" hidden="false" customHeight="true" outlineLevel="0" collapsed="false"/>
    <row r="4" customFormat="false" ht="15.75" hidden="false" customHeight="false" outlineLevel="0" collapsed="false">
      <c r="B4" s="3" t="s">
        <v>526</v>
      </c>
      <c r="C4" s="3"/>
      <c r="D4" s="3"/>
      <c r="E4" s="3"/>
      <c r="F4" s="3"/>
      <c r="G4" s="3"/>
      <c r="H4" s="3"/>
      <c r="J4" s="3" t="s">
        <v>2</v>
      </c>
      <c r="K4" s="3"/>
      <c r="L4" s="3"/>
      <c r="O4" s="4"/>
      <c r="P4" s="4"/>
      <c r="Q4" s="4"/>
      <c r="R4" s="5"/>
      <c r="S4" s="4"/>
      <c r="T4" s="4"/>
      <c r="U4" s="4"/>
      <c r="V4" s="4"/>
    </row>
    <row r="5" customFormat="false" ht="50.1" hidden="false" customHeight="true" outlineLevel="0" collapsed="false">
      <c r="B5" s="54" t="s">
        <v>527</v>
      </c>
      <c r="C5" s="54"/>
      <c r="D5" s="303" t="s">
        <v>4</v>
      </c>
      <c r="E5" s="9" t="s">
        <v>5</v>
      </c>
      <c r="F5" s="9" t="s">
        <v>6</v>
      </c>
      <c r="G5" s="57" t="s">
        <v>8</v>
      </c>
      <c r="H5" s="9" t="s">
        <v>528</v>
      </c>
      <c r="J5" s="11" t="s">
        <v>4</v>
      </c>
      <c r="K5" s="12" t="s">
        <v>10</v>
      </c>
      <c r="L5" s="13" t="s">
        <v>11</v>
      </c>
      <c r="O5" s="5"/>
      <c r="Q5" s="4"/>
      <c r="R5" s="4"/>
      <c r="S5" s="4"/>
      <c r="T5" s="5"/>
      <c r="U5" s="5"/>
    </row>
    <row r="6" customFormat="false" ht="20.1" hidden="false" customHeight="true" outlineLevel="0" collapsed="false">
      <c r="B6" s="14" t="n">
        <v>1</v>
      </c>
      <c r="C6" s="14"/>
      <c r="D6" s="16" t="s">
        <v>384</v>
      </c>
      <c r="E6" s="18" t="s">
        <v>28</v>
      </c>
      <c r="F6" s="359" t="s">
        <v>28</v>
      </c>
      <c r="G6" s="18" t="s">
        <v>28</v>
      </c>
      <c r="H6" s="304" t="s">
        <v>14</v>
      </c>
      <c r="J6" s="21" t="str">
        <f aca="false">D6</f>
        <v>Pauline Micke</v>
      </c>
      <c r="K6" s="22" t="n">
        <v>1</v>
      </c>
      <c r="L6" s="23" t="n">
        <v>1</v>
      </c>
      <c r="O6" s="24"/>
      <c r="T6" s="24"/>
      <c r="U6" s="24"/>
    </row>
    <row r="7" customFormat="false" ht="20.1" hidden="false" customHeight="true" outlineLevel="0" collapsed="false">
      <c r="B7" s="25" t="n">
        <v>2</v>
      </c>
      <c r="C7" s="25"/>
      <c r="D7" s="32" t="s">
        <v>17</v>
      </c>
      <c r="E7" s="32" t="s">
        <v>18</v>
      </c>
      <c r="F7" s="32" t="s">
        <v>19</v>
      </c>
      <c r="G7" s="32" t="s">
        <v>19</v>
      </c>
      <c r="H7" s="305" t="s">
        <v>14</v>
      </c>
      <c r="J7" s="30" t="str">
        <f aca="false">D7</f>
        <v>Judith Fulterer</v>
      </c>
      <c r="K7" s="22"/>
      <c r="L7" s="31" t="n">
        <v>2</v>
      </c>
      <c r="O7" s="24"/>
      <c r="T7" s="24"/>
      <c r="U7" s="24"/>
    </row>
    <row r="8" customFormat="false" ht="20.1" hidden="false" customHeight="true" outlineLevel="0" collapsed="false">
      <c r="B8" s="25" t="n">
        <v>3</v>
      </c>
      <c r="C8" s="25"/>
      <c r="D8" s="32" t="s">
        <v>15</v>
      </c>
      <c r="E8" s="32" t="s">
        <v>16</v>
      </c>
      <c r="F8" s="32" t="s">
        <v>16</v>
      </c>
      <c r="G8" s="32" t="s">
        <v>16</v>
      </c>
      <c r="H8" s="305" t="s">
        <v>14</v>
      </c>
      <c r="J8" s="30" t="str">
        <f aca="false">D8</f>
        <v>Devid Fulterer</v>
      </c>
      <c r="K8" s="22"/>
      <c r="L8" s="31" t="n">
        <v>3</v>
      </c>
      <c r="O8" s="24"/>
      <c r="T8" s="24"/>
      <c r="U8" s="24"/>
    </row>
    <row r="9" customFormat="false" ht="20.1" hidden="false" customHeight="true" outlineLevel="0" collapsed="false">
      <c r="B9" s="25" t="n">
        <v>4</v>
      </c>
      <c r="C9" s="25"/>
      <c r="D9" s="33" t="s">
        <v>39</v>
      </c>
      <c r="E9" s="33" t="s">
        <v>40</v>
      </c>
      <c r="F9" s="34" t="s">
        <v>40</v>
      </c>
      <c r="G9" s="32" t="s">
        <v>40</v>
      </c>
      <c r="H9" s="305" t="s">
        <v>14</v>
      </c>
      <c r="J9" s="35" t="str">
        <f aca="false">D9</f>
        <v>Markus Hagenauer</v>
      </c>
      <c r="K9" s="22"/>
      <c r="L9" s="36" t="n">
        <v>4</v>
      </c>
      <c r="O9" s="24"/>
      <c r="T9" s="24"/>
      <c r="U9" s="24"/>
    </row>
    <row r="10" customFormat="false" ht="20.1" hidden="false" customHeight="true" outlineLevel="0" collapsed="false">
      <c r="B10" s="25" t="n">
        <v>5</v>
      </c>
      <c r="C10" s="25"/>
      <c r="D10" s="33" t="s">
        <v>37</v>
      </c>
      <c r="E10" s="33" t="s">
        <v>38</v>
      </c>
      <c r="F10" s="34" t="s">
        <v>38</v>
      </c>
      <c r="G10" s="32" t="s">
        <v>35</v>
      </c>
      <c r="H10" s="305" t="s">
        <v>14</v>
      </c>
      <c r="J10" s="21" t="str">
        <f aca="false">D10</f>
        <v>Bea Kittner</v>
      </c>
      <c r="K10" s="22" t="n">
        <v>2</v>
      </c>
      <c r="L10" s="23" t="n">
        <v>1</v>
      </c>
      <c r="O10" s="24"/>
      <c r="T10" s="24"/>
      <c r="U10" s="24"/>
    </row>
    <row r="11" customFormat="false" ht="20.1" hidden="false" customHeight="true" outlineLevel="0" collapsed="false">
      <c r="B11" s="25" t="n">
        <v>6</v>
      </c>
      <c r="C11" s="25"/>
      <c r="D11" s="26" t="s">
        <v>31</v>
      </c>
      <c r="E11" s="33" t="s">
        <v>32</v>
      </c>
      <c r="F11" s="34" t="s">
        <v>32</v>
      </c>
      <c r="G11" s="28" t="s">
        <v>32</v>
      </c>
      <c r="H11" s="305" t="s">
        <v>14</v>
      </c>
      <c r="J11" s="30" t="str">
        <f aca="false">D11</f>
        <v>Daniel Zimmermann</v>
      </c>
      <c r="K11" s="22"/>
      <c r="L11" s="31" t="n">
        <v>2</v>
      </c>
      <c r="O11" s="24"/>
      <c r="T11" s="24"/>
      <c r="U11" s="24"/>
    </row>
    <row r="12" customFormat="false" ht="20.1" hidden="false" customHeight="true" outlineLevel="0" collapsed="false">
      <c r="B12" s="25" t="n">
        <v>7</v>
      </c>
      <c r="C12" s="25"/>
      <c r="D12" s="32" t="s">
        <v>20</v>
      </c>
      <c r="E12" s="32" t="s">
        <v>21</v>
      </c>
      <c r="F12" s="32" t="s">
        <v>21</v>
      </c>
      <c r="G12" s="32" t="s">
        <v>21</v>
      </c>
      <c r="H12" s="305" t="s">
        <v>14</v>
      </c>
      <c r="J12" s="30" t="str">
        <f aca="false">D12</f>
        <v>Andreas Micke</v>
      </c>
      <c r="K12" s="22"/>
      <c r="L12" s="31" t="n">
        <v>3</v>
      </c>
      <c r="O12" s="24"/>
      <c r="T12" s="24"/>
      <c r="U12" s="24"/>
    </row>
    <row r="13" customFormat="false" ht="20.1" hidden="false" customHeight="true" outlineLevel="0" collapsed="false">
      <c r="B13" s="25" t="n">
        <v>8</v>
      </c>
      <c r="C13" s="25"/>
      <c r="D13" s="33" t="s">
        <v>29</v>
      </c>
      <c r="E13" s="33" t="s">
        <v>30</v>
      </c>
      <c r="F13" s="34" t="s">
        <v>30</v>
      </c>
      <c r="G13" s="32" t="s">
        <v>30</v>
      </c>
      <c r="H13" s="305" t="s">
        <v>14</v>
      </c>
      <c r="J13" s="483" t="str">
        <f aca="false">D13</f>
        <v>Kai Maibaum</v>
      </c>
      <c r="K13" s="22"/>
      <c r="L13" s="50" t="n">
        <v>4</v>
      </c>
      <c r="O13" s="24"/>
      <c r="T13" s="24"/>
      <c r="U13" s="24"/>
    </row>
    <row r="14" customFormat="false" ht="20.1" hidden="false" customHeight="true" outlineLevel="0" collapsed="false">
      <c r="B14" s="25" t="n">
        <v>9</v>
      </c>
      <c r="C14" s="25"/>
      <c r="D14" s="26" t="s">
        <v>43</v>
      </c>
      <c r="E14" s="33" t="s">
        <v>44</v>
      </c>
      <c r="F14" s="34" t="s">
        <v>44</v>
      </c>
      <c r="G14" s="28" t="s">
        <v>44</v>
      </c>
      <c r="H14" s="305" t="s">
        <v>14</v>
      </c>
      <c r="J14" s="506" t="str">
        <f aca="false">D14</f>
        <v>Fabian Spaniol</v>
      </c>
      <c r="K14" s="22" t="n">
        <v>3</v>
      </c>
      <c r="L14" s="23" t="n">
        <v>1</v>
      </c>
      <c r="O14" s="24"/>
      <c r="T14" s="24"/>
      <c r="U14" s="24"/>
    </row>
    <row r="15" customFormat="false" ht="20.1" hidden="false" customHeight="true" outlineLevel="0" collapsed="false">
      <c r="B15" s="42" t="n">
        <v>10</v>
      </c>
      <c r="C15" s="42"/>
      <c r="D15" s="46" t="s">
        <v>22</v>
      </c>
      <c r="E15" s="46" t="s">
        <v>23</v>
      </c>
      <c r="F15" s="46" t="s">
        <v>23</v>
      </c>
      <c r="G15" s="46" t="s">
        <v>23</v>
      </c>
      <c r="H15" s="309" t="s">
        <v>14</v>
      </c>
      <c r="J15" s="483" t="str">
        <f aca="false">D15</f>
        <v>Jérôme Schätzle</v>
      </c>
      <c r="K15" s="22"/>
      <c r="L15" s="50" t="n">
        <v>2</v>
      </c>
      <c r="O15" s="24"/>
      <c r="T15" s="24"/>
      <c r="U15" s="24"/>
    </row>
    <row r="16" customFormat="false" ht="20.1" hidden="false" customHeight="true" outlineLevel="0" collapsed="false">
      <c r="D16" s="310"/>
      <c r="E16" s="310"/>
      <c r="F16" s="311"/>
      <c r="G16" s="162"/>
      <c r="H16" s="310"/>
      <c r="J16" s="51" t="s">
        <v>529</v>
      </c>
      <c r="K16" s="51"/>
      <c r="L16" s="52" t="n">
        <f aca="false">ROWS(L6:L15)</f>
        <v>10</v>
      </c>
      <c r="N16" s="4"/>
      <c r="O16" s="4"/>
      <c r="Q16" s="4"/>
      <c r="R16" s="4"/>
      <c r="S16" s="4"/>
      <c r="T16" s="4"/>
    </row>
    <row r="17" customFormat="false" ht="15.75" hidden="false" customHeight="false" outlineLevel="0" collapsed="false">
      <c r="B17" s="3" t="s">
        <v>530</v>
      </c>
      <c r="C17" s="3"/>
      <c r="D17" s="3"/>
      <c r="E17" s="3"/>
      <c r="F17" s="3"/>
      <c r="G17" s="3"/>
      <c r="K17" s="53"/>
      <c r="L17" s="53"/>
      <c r="M17" s="53"/>
      <c r="N17" s="5"/>
      <c r="O17" s="4"/>
      <c r="P17" s="4"/>
      <c r="R17" s="4"/>
      <c r="S17" s="4"/>
      <c r="T17" s="4"/>
      <c r="U17" s="4"/>
    </row>
    <row r="18" customFormat="false" ht="30.75" hidden="false" customHeight="true" outlineLevel="0" collapsed="false">
      <c r="B18" s="54" t="s">
        <v>51</v>
      </c>
      <c r="C18" s="54"/>
      <c r="D18" s="55" t="s">
        <v>4</v>
      </c>
      <c r="E18" s="9" t="s">
        <v>5</v>
      </c>
      <c r="F18" s="9" t="s">
        <v>6</v>
      </c>
      <c r="G18" s="57" t="s">
        <v>8</v>
      </c>
      <c r="K18" s="53"/>
      <c r="L18" s="53"/>
      <c r="M18" s="53"/>
      <c r="N18" s="5"/>
      <c r="O18" s="4"/>
      <c r="P18" s="4"/>
      <c r="R18" s="4"/>
      <c r="S18" s="4"/>
      <c r="T18" s="4"/>
      <c r="U18" s="4"/>
    </row>
    <row r="19" customFormat="false" ht="20.1" hidden="false" customHeight="true" outlineLevel="0" collapsed="false">
      <c r="B19" s="484" t="n">
        <v>1</v>
      </c>
      <c r="C19" s="484"/>
      <c r="D19" s="18" t="s">
        <v>12</v>
      </c>
      <c r="E19" s="18" t="s">
        <v>13</v>
      </c>
      <c r="F19" s="18" t="s">
        <v>13</v>
      </c>
      <c r="G19" s="485" t="s">
        <v>13</v>
      </c>
      <c r="N19" s="4"/>
      <c r="O19" s="4"/>
      <c r="Q19" s="4"/>
      <c r="R19" s="4"/>
      <c r="S19" s="4"/>
      <c r="T19" s="4"/>
    </row>
    <row r="20" customFormat="false" ht="20.1" hidden="false" customHeight="true" outlineLevel="0" collapsed="false">
      <c r="B20" s="486" t="n">
        <v>2</v>
      </c>
      <c r="C20" s="486"/>
      <c r="D20" s="43" t="s">
        <v>33</v>
      </c>
      <c r="E20" s="47" t="s">
        <v>34</v>
      </c>
      <c r="F20" s="46" t="s">
        <v>35</v>
      </c>
      <c r="G20" s="487" t="s">
        <v>35</v>
      </c>
      <c r="N20" s="4"/>
      <c r="O20" s="4"/>
      <c r="Q20" s="4"/>
      <c r="R20" s="4"/>
      <c r="S20" s="4"/>
      <c r="T20" s="4"/>
    </row>
    <row r="21" customFormat="false" ht="20.1" hidden="false" customHeight="true" outlineLevel="0" collapsed="false">
      <c r="L21" s="53"/>
      <c r="M21" s="53"/>
      <c r="N21" s="53"/>
      <c r="O21" s="5"/>
      <c r="P21" s="4"/>
      <c r="Q21" s="4"/>
      <c r="S21" s="4"/>
      <c r="T21" s="4"/>
      <c r="U21" s="4"/>
      <c r="V21" s="4"/>
    </row>
    <row r="22" customFormat="false" ht="20.1" hidden="false" customHeight="true" outlineLevel="0" collapsed="false">
      <c r="B22" s="62"/>
      <c r="C22" s="62"/>
      <c r="D22" s="63"/>
      <c r="E22" s="63"/>
      <c r="F22" s="63"/>
      <c r="G22" s="63"/>
      <c r="H22" s="62"/>
      <c r="I22" s="62"/>
      <c r="J22" s="62"/>
      <c r="K22" s="62"/>
      <c r="L22" s="62"/>
      <c r="M22" s="62"/>
      <c r="N22" s="62"/>
      <c r="O22" s="62"/>
      <c r="P22" s="62"/>
      <c r="Q22" s="62"/>
      <c r="R22" s="62"/>
      <c r="S22" s="62"/>
      <c r="T22" s="62"/>
      <c r="U22" s="62"/>
    </row>
    <row r="23" customFormat="false" ht="30" hidden="false" customHeight="true" outlineLevel="0" collapsed="false">
      <c r="B23" s="62"/>
      <c r="C23" s="64" t="s">
        <v>52</v>
      </c>
      <c r="D23" s="64"/>
      <c r="E23" s="64"/>
      <c r="F23" s="64"/>
      <c r="G23" s="64"/>
      <c r="H23" s="64"/>
      <c r="I23" s="64"/>
      <c r="J23" s="64"/>
      <c r="K23" s="64"/>
      <c r="L23" s="64"/>
      <c r="M23" s="64"/>
      <c r="N23" s="64"/>
      <c r="O23" s="64"/>
      <c r="P23" s="64"/>
      <c r="Q23" s="64"/>
      <c r="R23" s="64"/>
      <c r="S23" s="64"/>
      <c r="T23" s="64"/>
      <c r="U23" s="62"/>
    </row>
    <row r="24" customFormat="false" ht="20.1" hidden="false" customHeight="true" outlineLevel="0" collapsed="false">
      <c r="B24" s="62"/>
      <c r="U24" s="62"/>
    </row>
    <row r="25" customFormat="false" ht="20.1" hidden="false" customHeight="true" outlineLevel="0" collapsed="false">
      <c r="B25" s="62"/>
      <c r="D25" s="65" t="s">
        <v>53</v>
      </c>
      <c r="E25" s="66" t="s">
        <v>54</v>
      </c>
      <c r="F25" s="67" t="s">
        <v>11</v>
      </c>
      <c r="G25" s="66" t="s">
        <v>55</v>
      </c>
      <c r="H25" s="66"/>
      <c r="I25" s="66"/>
      <c r="J25" s="66"/>
      <c r="K25" s="66" t="s">
        <v>56</v>
      </c>
      <c r="L25" s="68" t="s">
        <v>57</v>
      </c>
      <c r="M25" s="68"/>
      <c r="N25" s="68"/>
      <c r="O25" s="68"/>
      <c r="P25" s="68"/>
      <c r="Q25" s="68"/>
      <c r="R25" s="68"/>
      <c r="S25" s="68"/>
      <c r="U25" s="62"/>
    </row>
    <row r="26" customFormat="false" ht="20.1" hidden="false" customHeight="true" outlineLevel="0" collapsed="false">
      <c r="B26" s="62"/>
      <c r="D26" s="65"/>
      <c r="E26" s="66"/>
      <c r="F26" s="66"/>
      <c r="G26" s="317" t="s">
        <v>58</v>
      </c>
      <c r="H26" s="317" t="s">
        <v>59</v>
      </c>
      <c r="I26" s="226" t="s">
        <v>60</v>
      </c>
      <c r="J26" s="226"/>
      <c r="K26" s="69" t="s">
        <v>61</v>
      </c>
      <c r="L26" s="69" t="s">
        <v>58</v>
      </c>
      <c r="M26" s="70" t="s">
        <v>62</v>
      </c>
      <c r="N26" s="67" t="s">
        <v>60</v>
      </c>
      <c r="O26" s="67"/>
      <c r="P26" s="67"/>
      <c r="Q26" s="67"/>
      <c r="R26" s="67"/>
      <c r="S26" s="67"/>
      <c r="U26" s="62"/>
    </row>
    <row r="27" customFormat="false" ht="15" hidden="false" customHeight="true" outlineLevel="0" collapsed="false">
      <c r="B27" s="62"/>
      <c r="D27" s="318" t="s">
        <v>384</v>
      </c>
      <c r="E27" s="16" t="s">
        <v>28</v>
      </c>
      <c r="F27" s="23" t="n">
        <v>1</v>
      </c>
      <c r="G27" s="72" t="s">
        <v>114</v>
      </c>
      <c r="H27" s="320" t="s">
        <v>445</v>
      </c>
      <c r="I27" s="321" t="s">
        <v>190</v>
      </c>
      <c r="J27" s="321"/>
      <c r="K27" s="351" t="s">
        <v>64</v>
      </c>
      <c r="L27" s="352" t="s">
        <v>67</v>
      </c>
      <c r="M27" s="324" t="s">
        <v>67</v>
      </c>
      <c r="N27" s="78" t="s">
        <v>67</v>
      </c>
      <c r="O27" s="78"/>
      <c r="P27" s="78"/>
      <c r="Q27" s="78"/>
      <c r="R27" s="78"/>
      <c r="S27" s="78"/>
      <c r="U27" s="62"/>
    </row>
    <row r="28" customFormat="false" ht="15" hidden="false" customHeight="true" outlineLevel="0" collapsed="false">
      <c r="B28" s="62"/>
      <c r="D28" s="318"/>
      <c r="E28" s="16"/>
      <c r="F28" s="23"/>
      <c r="G28" s="72"/>
      <c r="H28" s="320"/>
      <c r="I28" s="325" t="s">
        <v>191</v>
      </c>
      <c r="J28" s="325"/>
      <c r="K28" s="351"/>
      <c r="L28" s="352"/>
      <c r="M28" s="324"/>
      <c r="N28" s="78"/>
      <c r="O28" s="78"/>
      <c r="P28" s="78"/>
      <c r="Q28" s="78"/>
      <c r="R28" s="78"/>
      <c r="S28" s="78"/>
      <c r="U28" s="62"/>
    </row>
    <row r="29" customFormat="false" ht="15" hidden="false" customHeight="true" outlineLevel="0" collapsed="false">
      <c r="B29" s="62"/>
      <c r="D29" s="318"/>
      <c r="E29" s="16"/>
      <c r="F29" s="23"/>
      <c r="G29" s="72"/>
      <c r="H29" s="320"/>
      <c r="I29" s="628" t="s">
        <v>192</v>
      </c>
      <c r="J29" s="628"/>
      <c r="K29" s="351"/>
      <c r="L29" s="352"/>
      <c r="M29" s="324"/>
      <c r="N29" s="78"/>
      <c r="O29" s="78"/>
      <c r="P29" s="78"/>
      <c r="Q29" s="78"/>
      <c r="R29" s="78"/>
      <c r="S29" s="78"/>
      <c r="U29" s="62"/>
    </row>
    <row r="30" customFormat="false" ht="15" hidden="false" customHeight="true" outlineLevel="0" collapsed="false">
      <c r="B30" s="62"/>
      <c r="D30" s="318"/>
      <c r="E30" s="16"/>
      <c r="F30" s="23"/>
      <c r="G30" s="72"/>
      <c r="H30" s="320"/>
      <c r="I30" s="325" t="s">
        <v>193</v>
      </c>
      <c r="J30" s="325"/>
      <c r="K30" s="351"/>
      <c r="L30" s="352"/>
      <c r="M30" s="324"/>
      <c r="N30" s="78"/>
      <c r="O30" s="78"/>
      <c r="P30" s="78"/>
      <c r="Q30" s="78"/>
      <c r="R30" s="78"/>
      <c r="S30" s="78"/>
      <c r="U30" s="62"/>
    </row>
    <row r="31" customFormat="false" ht="15" hidden="false" customHeight="true" outlineLevel="0" collapsed="false">
      <c r="B31" s="62"/>
      <c r="D31" s="326" t="s">
        <v>17</v>
      </c>
      <c r="E31" s="306" t="s">
        <v>18</v>
      </c>
      <c r="F31" s="31" t="n">
        <v>2</v>
      </c>
      <c r="G31" s="80" t="s">
        <v>63</v>
      </c>
      <c r="H31" s="82" t="s">
        <v>64</v>
      </c>
      <c r="I31" s="328" t="s">
        <v>385</v>
      </c>
      <c r="J31" s="328"/>
      <c r="K31" s="329" t="s">
        <v>456</v>
      </c>
      <c r="L31" s="80" t="s">
        <v>63</v>
      </c>
      <c r="M31" s="384" t="s">
        <v>72</v>
      </c>
      <c r="N31" s="281" t="s">
        <v>388</v>
      </c>
      <c r="O31" s="281"/>
      <c r="P31" s="281"/>
      <c r="Q31" s="281"/>
      <c r="R31" s="281"/>
      <c r="S31" s="281"/>
      <c r="U31" s="62"/>
    </row>
    <row r="32" customFormat="false" ht="15" hidden="false" customHeight="true" outlineLevel="0" collapsed="false">
      <c r="B32" s="62"/>
      <c r="D32" s="326"/>
      <c r="E32" s="306"/>
      <c r="F32" s="31"/>
      <c r="G32" s="80"/>
      <c r="H32" s="82"/>
      <c r="I32" s="361" t="s">
        <v>386</v>
      </c>
      <c r="J32" s="361"/>
      <c r="K32" s="329"/>
      <c r="L32" s="80"/>
      <c r="M32" s="384"/>
      <c r="N32" s="281"/>
      <c r="O32" s="281"/>
      <c r="P32" s="281"/>
      <c r="Q32" s="281"/>
      <c r="R32" s="281"/>
      <c r="S32" s="281"/>
      <c r="U32" s="62"/>
    </row>
    <row r="33" customFormat="false" ht="15" hidden="false" customHeight="true" outlineLevel="0" collapsed="false">
      <c r="B33" s="62"/>
      <c r="D33" s="333" t="s">
        <v>15</v>
      </c>
      <c r="E33" s="33" t="s">
        <v>16</v>
      </c>
      <c r="F33" s="383" t="n">
        <v>3</v>
      </c>
      <c r="G33" s="87" t="s">
        <v>63</v>
      </c>
      <c r="H33" s="89" t="s">
        <v>457</v>
      </c>
      <c r="I33" s="338" t="s">
        <v>458</v>
      </c>
      <c r="J33" s="338"/>
      <c r="K33" s="579" t="s">
        <v>64</v>
      </c>
      <c r="L33" s="437" t="s">
        <v>67</v>
      </c>
      <c r="M33" s="438" t="s">
        <v>67</v>
      </c>
      <c r="N33" s="569" t="s">
        <v>67</v>
      </c>
      <c r="O33" s="569"/>
      <c r="P33" s="569"/>
      <c r="Q33" s="569"/>
      <c r="R33" s="569"/>
      <c r="S33" s="569"/>
      <c r="U33" s="62"/>
    </row>
    <row r="34" customFormat="false" ht="15" hidden="false" customHeight="true" outlineLevel="0" collapsed="false">
      <c r="B34" s="62"/>
      <c r="D34" s="333"/>
      <c r="E34" s="33"/>
      <c r="F34" s="383"/>
      <c r="G34" s="87"/>
      <c r="H34" s="89"/>
      <c r="I34" s="338" t="s">
        <v>459</v>
      </c>
      <c r="J34" s="338"/>
      <c r="K34" s="579"/>
      <c r="L34" s="437"/>
      <c r="M34" s="438"/>
      <c r="N34" s="569"/>
      <c r="O34" s="569"/>
      <c r="P34" s="569"/>
      <c r="Q34" s="569"/>
      <c r="R34" s="569"/>
      <c r="S34" s="569"/>
      <c r="U34" s="62"/>
    </row>
    <row r="35" customFormat="false" ht="15" hidden="false" customHeight="true" outlineLevel="0" collapsed="false">
      <c r="B35" s="62"/>
      <c r="D35" s="333"/>
      <c r="E35" s="33"/>
      <c r="F35" s="383"/>
      <c r="G35" s="87"/>
      <c r="H35" s="89"/>
      <c r="I35" s="357" t="s">
        <v>460</v>
      </c>
      <c r="J35" s="357"/>
      <c r="K35" s="579"/>
      <c r="L35" s="437"/>
      <c r="M35" s="438"/>
      <c r="N35" s="569"/>
      <c r="O35" s="569"/>
      <c r="P35" s="569"/>
      <c r="Q35" s="569"/>
      <c r="R35" s="569"/>
      <c r="S35" s="569"/>
      <c r="U35" s="62"/>
    </row>
    <row r="36" customFormat="false" ht="30" hidden="false" customHeight="true" outlineLevel="0" collapsed="false">
      <c r="B36" s="62"/>
      <c r="D36" s="49" t="s">
        <v>39</v>
      </c>
      <c r="E36" s="44" t="s">
        <v>40</v>
      </c>
      <c r="F36" s="396" t="n">
        <v>4</v>
      </c>
      <c r="G36" s="491" t="s">
        <v>63</v>
      </c>
      <c r="H36" s="440" t="s">
        <v>531</v>
      </c>
      <c r="I36" s="286" t="s">
        <v>532</v>
      </c>
      <c r="J36" s="286"/>
      <c r="K36" s="441" t="s">
        <v>111</v>
      </c>
      <c r="L36" s="442" t="s">
        <v>67</v>
      </c>
      <c r="M36" s="345" t="s">
        <v>67</v>
      </c>
      <c r="N36" s="100" t="s">
        <v>67</v>
      </c>
      <c r="O36" s="100"/>
      <c r="P36" s="100"/>
      <c r="Q36" s="100"/>
      <c r="R36" s="100"/>
      <c r="S36" s="100"/>
      <c r="U36" s="62"/>
    </row>
    <row r="37" customFormat="false" ht="20.1" hidden="false" customHeight="true" outlineLevel="0" collapsed="false">
      <c r="B37" s="62"/>
      <c r="U37" s="62"/>
    </row>
    <row r="38" customFormat="false" ht="20.1" hidden="false" customHeight="true" outlineLevel="0" collapsed="false">
      <c r="B38" s="62"/>
      <c r="C38" s="101"/>
      <c r="D38" s="101"/>
      <c r="E38" s="102" t="str">
        <f aca="false">IF(OR(M27="-",M27= ""),H27,M27)</f>
        <v>Raja of the Ganges</v>
      </c>
      <c r="F38" s="102"/>
      <c r="G38" s="102"/>
      <c r="H38" s="102"/>
      <c r="I38" s="102"/>
      <c r="J38" s="102"/>
      <c r="K38" s="102"/>
      <c r="L38" s="102"/>
      <c r="M38" s="102"/>
      <c r="N38" s="102"/>
      <c r="O38" s="103"/>
      <c r="P38" s="103"/>
      <c r="Q38" s="103"/>
      <c r="R38" s="103"/>
      <c r="S38" s="103"/>
      <c r="T38" s="101"/>
      <c r="U38" s="62"/>
    </row>
    <row r="39" customFormat="false" ht="50.1" hidden="false" customHeight="true" outlineLevel="0" collapsed="false">
      <c r="B39" s="62"/>
      <c r="C39" s="101"/>
      <c r="D39" s="103"/>
      <c r="E39" s="65" t="s">
        <v>53</v>
      </c>
      <c r="F39" s="104" t="s">
        <v>76</v>
      </c>
      <c r="G39" s="67" t="s">
        <v>77</v>
      </c>
      <c r="H39" s="66" t="s">
        <v>78</v>
      </c>
      <c r="I39" s="54" t="s">
        <v>79</v>
      </c>
      <c r="J39" s="66" t="s">
        <v>80</v>
      </c>
      <c r="K39" s="105" t="s">
        <v>81</v>
      </c>
      <c r="L39" s="66" t="s">
        <v>82</v>
      </c>
      <c r="M39" s="106" t="s">
        <v>83</v>
      </c>
      <c r="N39" s="67" t="s">
        <v>84</v>
      </c>
      <c r="O39" s="107" t="s">
        <v>85</v>
      </c>
      <c r="P39" s="108" t="s">
        <v>86</v>
      </c>
      <c r="Q39" s="108" t="s">
        <v>87</v>
      </c>
      <c r="R39" s="108" t="s">
        <v>88</v>
      </c>
      <c r="S39" s="103"/>
      <c r="T39" s="101"/>
      <c r="U39" s="62"/>
    </row>
    <row r="40" customFormat="false" ht="20.1" hidden="false" customHeight="true" outlineLevel="0" collapsed="false">
      <c r="B40" s="62"/>
      <c r="C40" s="101"/>
      <c r="D40" s="101"/>
      <c r="E40" s="403" t="s">
        <v>384</v>
      </c>
      <c r="F40" s="110" t="s">
        <v>28</v>
      </c>
      <c r="G40" s="111" t="n">
        <v>3</v>
      </c>
      <c r="H40" s="111" t="s">
        <v>67</v>
      </c>
      <c r="I40" s="111" t="n">
        <v>-58</v>
      </c>
      <c r="J40" s="111" t="n">
        <v>1</v>
      </c>
      <c r="K40" s="111" t="s">
        <v>67</v>
      </c>
      <c r="L40" s="113" t="n">
        <f aca="false">($I$40-J40)/($I$40-$J$40)*100</f>
        <v>100</v>
      </c>
      <c r="M40" s="111" t="n">
        <v>1</v>
      </c>
      <c r="N40" s="114" t="n">
        <v>6</v>
      </c>
      <c r="O40" s="115" t="n">
        <f aca="false">IF(M40=1,1,0)</f>
        <v>1</v>
      </c>
      <c r="P40" s="116" t="n">
        <f aca="false">IF(M40=2,1,0)</f>
        <v>0</v>
      </c>
      <c r="Q40" s="116" t="n">
        <f aca="false">IF(M40=3,1,0)</f>
        <v>0</v>
      </c>
      <c r="R40" s="117" t="n">
        <f aca="false">IF(M40=4,1,0)</f>
        <v>0</v>
      </c>
      <c r="S40" s="118"/>
      <c r="T40" s="101"/>
      <c r="U40" s="62"/>
    </row>
    <row r="41" customFormat="false" ht="20.1" hidden="false" customHeight="true" outlineLevel="0" collapsed="false">
      <c r="B41" s="62"/>
      <c r="C41" s="101"/>
      <c r="D41" s="101"/>
      <c r="E41" s="326" t="s">
        <v>17</v>
      </c>
      <c r="F41" s="33" t="s">
        <v>19</v>
      </c>
      <c r="G41" s="241" t="n">
        <v>1</v>
      </c>
      <c r="H41" s="241" t="s">
        <v>67</v>
      </c>
      <c r="I41" s="241" t="n">
        <v>-59</v>
      </c>
      <c r="J41" s="241" t="n">
        <v>-22</v>
      </c>
      <c r="K41" s="241" t="s">
        <v>67</v>
      </c>
      <c r="L41" s="243" t="n">
        <f aca="false">($I$40-J41)/($I$40-$J$40)*100</f>
        <v>61.0169491525424</v>
      </c>
      <c r="M41" s="241" t="n">
        <v>4</v>
      </c>
      <c r="N41" s="244" t="n">
        <v>0</v>
      </c>
      <c r="O41" s="121" t="n">
        <f aca="false">IF(M41=1,1,0)</f>
        <v>0</v>
      </c>
      <c r="P41" s="122" t="n">
        <f aca="false">IF(M41=2,1,0)</f>
        <v>0</v>
      </c>
      <c r="Q41" s="122" t="n">
        <f aca="false">IF(M41=3,1,0)</f>
        <v>0</v>
      </c>
      <c r="R41" s="123" t="n">
        <f aca="false">IF(M41=4,1,0)</f>
        <v>1</v>
      </c>
      <c r="S41" s="118"/>
      <c r="T41" s="101"/>
      <c r="U41" s="62"/>
    </row>
    <row r="42" customFormat="false" ht="20.1" hidden="false" customHeight="true" outlineLevel="0" collapsed="false">
      <c r="B42" s="62"/>
      <c r="C42" s="101"/>
      <c r="D42" s="101"/>
      <c r="E42" s="326" t="s">
        <v>15</v>
      </c>
      <c r="F42" s="33" t="s">
        <v>16</v>
      </c>
      <c r="G42" s="241" t="n">
        <v>2</v>
      </c>
      <c r="H42" s="241" t="s">
        <v>67</v>
      </c>
      <c r="I42" s="241" t="n">
        <v>-59</v>
      </c>
      <c r="J42" s="241" t="n">
        <v>-13</v>
      </c>
      <c r="K42" s="241" t="s">
        <v>67</v>
      </c>
      <c r="L42" s="243" t="n">
        <f aca="false">($I$40-J42)/($I$40-$J$40)*100</f>
        <v>76.271186440678</v>
      </c>
      <c r="M42" s="241" t="n">
        <v>2</v>
      </c>
      <c r="N42" s="244" t="n">
        <v>3</v>
      </c>
      <c r="O42" s="121" t="n">
        <f aca="false">IF(M42=1,1,0)</f>
        <v>0</v>
      </c>
      <c r="P42" s="122" t="n">
        <f aca="false">IF(M42=2,1,0)</f>
        <v>1</v>
      </c>
      <c r="Q42" s="122" t="n">
        <f aca="false">IF(M42=3,1,0)</f>
        <v>0</v>
      </c>
      <c r="R42" s="123" t="n">
        <f aca="false">IF(M42=4,1,0)</f>
        <v>0</v>
      </c>
      <c r="S42" s="118"/>
      <c r="T42" s="101"/>
      <c r="U42" s="62"/>
    </row>
    <row r="43" customFormat="false" ht="20.1" hidden="false" customHeight="true" outlineLevel="0" collapsed="false">
      <c r="B43" s="62"/>
      <c r="C43" s="101"/>
      <c r="D43" s="124"/>
      <c r="E43" s="349" t="s">
        <v>39</v>
      </c>
      <c r="F43" s="44" t="s">
        <v>40</v>
      </c>
      <c r="G43" s="245" t="n">
        <v>4</v>
      </c>
      <c r="H43" s="245" t="s">
        <v>67</v>
      </c>
      <c r="I43" s="245" t="n">
        <v>-58</v>
      </c>
      <c r="J43" s="245" t="n">
        <v>-16</v>
      </c>
      <c r="K43" s="245" t="s">
        <v>67</v>
      </c>
      <c r="L43" s="247" t="n">
        <f aca="false">($I$40-J43)/($I$40-$J$40)*100</f>
        <v>71.1864406779661</v>
      </c>
      <c r="M43" s="245" t="n">
        <v>3</v>
      </c>
      <c r="N43" s="248" t="n">
        <v>1</v>
      </c>
      <c r="O43" s="127" t="n">
        <f aca="false">IF(M43=1,1,0)</f>
        <v>0</v>
      </c>
      <c r="P43" s="128" t="n">
        <f aca="false">IF(M43=2,1,0)</f>
        <v>0</v>
      </c>
      <c r="Q43" s="128" t="n">
        <f aca="false">IF(M43=3,1,0)</f>
        <v>1</v>
      </c>
      <c r="R43" s="129" t="n">
        <f aca="false">IF(M43=4,1,0)</f>
        <v>0</v>
      </c>
      <c r="S43" s="118"/>
      <c r="T43" s="101"/>
      <c r="U43" s="62"/>
    </row>
    <row r="44" customFormat="false" ht="20.1" hidden="true" customHeight="true" outlineLevel="1" collapsed="false">
      <c r="B44" s="62"/>
      <c r="C44" s="101"/>
      <c r="D44" s="130"/>
      <c r="E44" s="130"/>
      <c r="F44" s="131"/>
      <c r="G44" s="131"/>
      <c r="H44" s="101"/>
      <c r="I44" s="132" t="s">
        <v>89</v>
      </c>
      <c r="J44" s="133" t="n">
        <f aca="false">MAX(J40:J43)</f>
        <v>1</v>
      </c>
      <c r="K44" s="134"/>
      <c r="L44" s="135"/>
      <c r="M44" s="101"/>
      <c r="N44" s="136" t="s">
        <v>90</v>
      </c>
      <c r="O44" s="137" t="n">
        <f aca="false">SUM(O40:O43)</f>
        <v>1</v>
      </c>
      <c r="P44" s="138" t="n">
        <f aca="false">SUM(P40:P43)</f>
        <v>1</v>
      </c>
      <c r="Q44" s="137" t="n">
        <f aca="false">SUM(Q40:Q43)</f>
        <v>1</v>
      </c>
      <c r="R44" s="137" t="n">
        <f aca="false">SUM(R40:R43)</f>
        <v>1</v>
      </c>
      <c r="S44" s="139"/>
      <c r="T44" s="101"/>
      <c r="U44" s="62"/>
    </row>
    <row r="45" customFormat="false" ht="20.1" hidden="false" customHeight="true" outlineLevel="0" collapsed="false">
      <c r="B45" s="62"/>
      <c r="C45" s="101"/>
      <c r="D45" s="101"/>
      <c r="E45" s="101"/>
      <c r="F45" s="140"/>
      <c r="G45" s="140"/>
      <c r="H45" s="103"/>
      <c r="I45" s="101"/>
      <c r="J45" s="101"/>
      <c r="K45" s="101"/>
      <c r="L45" s="101"/>
      <c r="M45" s="101"/>
      <c r="N45" s="101"/>
      <c r="O45" s="101"/>
      <c r="P45" s="101"/>
      <c r="Q45" s="101"/>
      <c r="R45" s="101"/>
      <c r="S45" s="101"/>
      <c r="T45" s="101"/>
      <c r="U45" s="62"/>
    </row>
    <row r="46" customFormat="false" ht="20.1" hidden="false" customHeight="true" outlineLevel="0" collapsed="false">
      <c r="B46" s="62"/>
      <c r="U46" s="62"/>
    </row>
    <row r="47" customFormat="false" ht="20.1" hidden="false" customHeight="true" outlineLevel="0" collapsed="false">
      <c r="B47" s="62"/>
      <c r="C47" s="141"/>
      <c r="D47" s="141"/>
      <c r="E47" s="142" t="str">
        <f aca="false">IF(OR(M31="-",M31= ""),H31,M31)</f>
        <v>Nippon</v>
      </c>
      <c r="F47" s="142"/>
      <c r="G47" s="142"/>
      <c r="H47" s="142"/>
      <c r="I47" s="142"/>
      <c r="J47" s="142"/>
      <c r="K47" s="142"/>
      <c r="L47" s="142"/>
      <c r="M47" s="142"/>
      <c r="N47" s="142"/>
      <c r="O47" s="143"/>
      <c r="P47" s="143"/>
      <c r="Q47" s="143"/>
      <c r="R47" s="143"/>
      <c r="S47" s="143"/>
      <c r="T47" s="141"/>
      <c r="U47" s="62"/>
    </row>
    <row r="48" customFormat="false" ht="50.1" hidden="false" customHeight="true" outlineLevel="0" collapsed="false">
      <c r="B48" s="62"/>
      <c r="C48" s="141"/>
      <c r="D48" s="143"/>
      <c r="E48" s="65" t="s">
        <v>53</v>
      </c>
      <c r="F48" s="104" t="s">
        <v>76</v>
      </c>
      <c r="G48" s="67" t="s">
        <v>77</v>
      </c>
      <c r="H48" s="66" t="s">
        <v>78</v>
      </c>
      <c r="I48" s="54" t="s">
        <v>79</v>
      </c>
      <c r="J48" s="66" t="s">
        <v>80</v>
      </c>
      <c r="K48" s="105" t="s">
        <v>81</v>
      </c>
      <c r="L48" s="66" t="s">
        <v>82</v>
      </c>
      <c r="M48" s="106" t="s">
        <v>83</v>
      </c>
      <c r="N48" s="67" t="s">
        <v>84</v>
      </c>
      <c r="O48" s="107" t="s">
        <v>85</v>
      </c>
      <c r="P48" s="108" t="s">
        <v>86</v>
      </c>
      <c r="Q48" s="108" t="s">
        <v>87</v>
      </c>
      <c r="R48" s="108" t="s">
        <v>88</v>
      </c>
      <c r="S48" s="143"/>
      <c r="T48" s="141"/>
      <c r="U48" s="62"/>
    </row>
    <row r="49" customFormat="false" ht="20.1" hidden="false" customHeight="true" outlineLevel="0" collapsed="false">
      <c r="B49" s="62"/>
      <c r="C49" s="141"/>
      <c r="D49" s="141"/>
      <c r="E49" s="318" t="s">
        <v>384</v>
      </c>
      <c r="F49" s="16" t="s">
        <v>28</v>
      </c>
      <c r="G49" s="250" t="n">
        <v>1</v>
      </c>
      <c r="H49" s="250" t="s">
        <v>67</v>
      </c>
      <c r="I49" s="250" t="n">
        <v>10</v>
      </c>
      <c r="J49" s="250" t="n">
        <v>163</v>
      </c>
      <c r="K49" s="250" t="s">
        <v>67</v>
      </c>
      <c r="L49" s="253" t="n">
        <f aca="false">IF(J49="",0,(J49/J53)*100)</f>
        <v>74.0909090909091</v>
      </c>
      <c r="M49" s="250" t="n">
        <v>3</v>
      </c>
      <c r="N49" s="254" t="n">
        <v>1</v>
      </c>
      <c r="O49" s="115" t="n">
        <f aca="false">IF(M49=1,1,0)</f>
        <v>0</v>
      </c>
      <c r="P49" s="116" t="n">
        <f aca="false">IF(M49=2,1,0)</f>
        <v>0</v>
      </c>
      <c r="Q49" s="116" t="n">
        <f aca="false">IF(M49=3,1,0)</f>
        <v>1</v>
      </c>
      <c r="R49" s="117" t="n">
        <f aca="false">IF(M49=4,1,0)</f>
        <v>0</v>
      </c>
      <c r="S49" s="147"/>
      <c r="T49" s="141"/>
      <c r="U49" s="62"/>
    </row>
    <row r="50" customFormat="false" ht="20.1" hidden="false" customHeight="true" outlineLevel="0" collapsed="false">
      <c r="B50" s="62"/>
      <c r="C50" s="141"/>
      <c r="D50" s="148"/>
      <c r="E50" s="174" t="s">
        <v>17</v>
      </c>
      <c r="F50" s="175" t="s">
        <v>18</v>
      </c>
      <c r="G50" s="151" t="n">
        <v>4</v>
      </c>
      <c r="H50" s="151" t="s">
        <v>67</v>
      </c>
      <c r="I50" s="151" t="n">
        <v>13</v>
      </c>
      <c r="J50" s="151" t="n">
        <v>220</v>
      </c>
      <c r="K50" s="151" t="s">
        <v>67</v>
      </c>
      <c r="L50" s="153" t="n">
        <f aca="false">IF(J50="",0,(J50/J53)*100)</f>
        <v>100</v>
      </c>
      <c r="M50" s="151" t="n">
        <v>1</v>
      </c>
      <c r="N50" s="154" t="n">
        <v>6</v>
      </c>
      <c r="O50" s="121" t="n">
        <f aca="false">IF(M50=1,1,0)</f>
        <v>1</v>
      </c>
      <c r="P50" s="122" t="n">
        <f aca="false">IF(M50=2,1,0)</f>
        <v>0</v>
      </c>
      <c r="Q50" s="122" t="n">
        <f aca="false">IF(M50=3,1,0)</f>
        <v>0</v>
      </c>
      <c r="R50" s="123" t="n">
        <f aca="false">IF(M50=4,1,0)</f>
        <v>0</v>
      </c>
      <c r="S50" s="147"/>
      <c r="T50" s="141"/>
      <c r="U50" s="62"/>
    </row>
    <row r="51" customFormat="false" ht="20.1" hidden="false" customHeight="true" outlineLevel="0" collapsed="false">
      <c r="B51" s="62"/>
      <c r="C51" s="141"/>
      <c r="D51" s="141"/>
      <c r="E51" s="326" t="s">
        <v>15</v>
      </c>
      <c r="F51" s="33" t="s">
        <v>16</v>
      </c>
      <c r="G51" s="241" t="n">
        <v>3</v>
      </c>
      <c r="H51" s="241" t="s">
        <v>67</v>
      </c>
      <c r="I51" s="241" t="n">
        <v>12</v>
      </c>
      <c r="J51" s="241" t="n">
        <v>179</v>
      </c>
      <c r="K51" s="241" t="s">
        <v>67</v>
      </c>
      <c r="L51" s="243" t="n">
        <f aca="false">IF(J51="",0,(J51/J53)*100)</f>
        <v>81.3636363636364</v>
      </c>
      <c r="M51" s="241" t="n">
        <v>2</v>
      </c>
      <c r="N51" s="244" t="n">
        <v>3</v>
      </c>
      <c r="O51" s="121" t="n">
        <f aca="false">IF(M51=1,1,0)</f>
        <v>0</v>
      </c>
      <c r="P51" s="122" t="n">
        <f aca="false">IF(M51=2,1,0)</f>
        <v>1</v>
      </c>
      <c r="Q51" s="122" t="n">
        <f aca="false">IF(M51=3,1,0)</f>
        <v>0</v>
      </c>
      <c r="R51" s="123" t="n">
        <f aca="false">IF(M51=4,1,0)</f>
        <v>0</v>
      </c>
      <c r="S51" s="147"/>
      <c r="T51" s="141"/>
      <c r="U51" s="62"/>
    </row>
    <row r="52" customFormat="false" ht="20.1" hidden="false" customHeight="true" outlineLevel="0" collapsed="false">
      <c r="B52" s="62"/>
      <c r="C52" s="141"/>
      <c r="D52" s="141"/>
      <c r="E52" s="349" t="s">
        <v>39</v>
      </c>
      <c r="F52" s="44" t="s">
        <v>40</v>
      </c>
      <c r="G52" s="245" t="n">
        <v>2</v>
      </c>
      <c r="H52" s="245" t="s">
        <v>67</v>
      </c>
      <c r="I52" s="245" t="n">
        <v>11</v>
      </c>
      <c r="J52" s="245" t="n">
        <v>143</v>
      </c>
      <c r="K52" s="245" t="s">
        <v>67</v>
      </c>
      <c r="L52" s="247" t="n">
        <f aca="false">IF(J52="",0,(J52/J53)*100)</f>
        <v>65</v>
      </c>
      <c r="M52" s="245" t="n">
        <v>4</v>
      </c>
      <c r="N52" s="248" t="n">
        <v>0</v>
      </c>
      <c r="O52" s="127" t="n">
        <f aca="false">IF(M52=1,1,0)</f>
        <v>0</v>
      </c>
      <c r="P52" s="128" t="n">
        <f aca="false">IF(M52=2,1,0)</f>
        <v>0</v>
      </c>
      <c r="Q52" s="128" t="n">
        <f aca="false">IF(M52=3,1,0)</f>
        <v>0</v>
      </c>
      <c r="R52" s="129" t="n">
        <f aca="false">IF(M52=4,1,0)</f>
        <v>1</v>
      </c>
      <c r="S52" s="147"/>
      <c r="T52" s="141"/>
      <c r="U52" s="62"/>
    </row>
    <row r="53" customFormat="false" ht="20.1" hidden="true" customHeight="true" outlineLevel="1" collapsed="false">
      <c r="B53" s="62"/>
      <c r="C53" s="141"/>
      <c r="D53" s="141"/>
      <c r="E53" s="141"/>
      <c r="F53" s="157"/>
      <c r="G53" s="157"/>
      <c r="H53" s="141"/>
      <c r="I53" s="158" t="s">
        <v>89</v>
      </c>
      <c r="J53" s="133" t="n">
        <f aca="false">MAX(J49:J52)</f>
        <v>220</v>
      </c>
      <c r="K53" s="159"/>
      <c r="L53" s="147"/>
      <c r="M53" s="141"/>
      <c r="N53" s="136" t="s">
        <v>90</v>
      </c>
      <c r="O53" s="137" t="n">
        <f aca="false">SUM(O49:O52)</f>
        <v>1</v>
      </c>
      <c r="P53" s="138" t="n">
        <f aca="false">SUM(P49:P52)</f>
        <v>1</v>
      </c>
      <c r="Q53" s="137" t="n">
        <f aca="false">SUM(Q49:Q52)</f>
        <v>1</v>
      </c>
      <c r="R53" s="160" t="n">
        <f aca="false">SUM(R49:R52)</f>
        <v>1</v>
      </c>
      <c r="S53" s="161"/>
      <c r="T53" s="141"/>
      <c r="U53" s="62"/>
    </row>
    <row r="54" customFormat="false" ht="20.1" hidden="false" customHeight="true" outlineLevel="0" collapsed="false">
      <c r="B54" s="62"/>
      <c r="C54" s="141"/>
      <c r="D54" s="141"/>
      <c r="E54" s="141"/>
      <c r="F54" s="141"/>
      <c r="G54" s="141"/>
      <c r="H54" s="141"/>
      <c r="I54" s="141"/>
      <c r="J54" s="141"/>
      <c r="K54" s="141"/>
      <c r="L54" s="141"/>
      <c r="M54" s="141"/>
      <c r="N54" s="141"/>
      <c r="O54" s="141"/>
      <c r="P54" s="141"/>
      <c r="Q54" s="141"/>
      <c r="R54" s="141"/>
      <c r="S54" s="141"/>
      <c r="T54" s="141"/>
      <c r="U54" s="62"/>
    </row>
    <row r="55" customFormat="false" ht="20.1" hidden="false" customHeight="true" outlineLevel="0" collapsed="false">
      <c r="B55" s="62"/>
      <c r="D55" s="162"/>
      <c r="E55" s="162"/>
      <c r="F55" s="162"/>
      <c r="G55" s="162"/>
      <c r="H55" s="163"/>
      <c r="I55" s="162"/>
      <c r="J55" s="162"/>
      <c r="U55" s="62"/>
    </row>
    <row r="56" customFormat="false" ht="20.1" hidden="false" customHeight="true" outlineLevel="0" collapsed="false">
      <c r="B56" s="62"/>
      <c r="C56" s="164"/>
      <c r="D56" s="164"/>
      <c r="E56" s="165" t="str">
        <f aca="false">IF(OR(M33="-",M33= ""),H33,M33)</f>
        <v>Welcome To…</v>
      </c>
      <c r="F56" s="165"/>
      <c r="G56" s="165"/>
      <c r="H56" s="165"/>
      <c r="I56" s="165"/>
      <c r="J56" s="165"/>
      <c r="K56" s="165"/>
      <c r="L56" s="165"/>
      <c r="M56" s="165"/>
      <c r="N56" s="165"/>
      <c r="O56" s="166"/>
      <c r="P56" s="166"/>
      <c r="Q56" s="166"/>
      <c r="R56" s="166"/>
      <c r="S56" s="166"/>
      <c r="T56" s="164"/>
      <c r="U56" s="167"/>
      <c r="V56" s="168"/>
      <c r="W56" s="168"/>
    </row>
    <row r="57" customFormat="false" ht="50.1" hidden="false" customHeight="true" outlineLevel="0" collapsed="false">
      <c r="B57" s="62"/>
      <c r="C57" s="164"/>
      <c r="D57" s="166"/>
      <c r="E57" s="65" t="s">
        <v>53</v>
      </c>
      <c r="F57" s="104" t="s">
        <v>76</v>
      </c>
      <c r="G57" s="67" t="s">
        <v>77</v>
      </c>
      <c r="H57" s="66" t="s">
        <v>78</v>
      </c>
      <c r="I57" s="54" t="s">
        <v>79</v>
      </c>
      <c r="J57" s="66" t="s">
        <v>80</v>
      </c>
      <c r="K57" s="105" t="s">
        <v>81</v>
      </c>
      <c r="L57" s="66" t="s">
        <v>82</v>
      </c>
      <c r="M57" s="106" t="s">
        <v>83</v>
      </c>
      <c r="N57" s="67" t="s">
        <v>84</v>
      </c>
      <c r="O57" s="107" t="s">
        <v>85</v>
      </c>
      <c r="P57" s="108" t="s">
        <v>86</v>
      </c>
      <c r="Q57" s="108" t="s">
        <v>87</v>
      </c>
      <c r="R57" s="13" t="s">
        <v>88</v>
      </c>
      <c r="S57" s="166"/>
      <c r="T57" s="164"/>
      <c r="U57" s="167"/>
      <c r="V57" s="168"/>
      <c r="W57" s="168"/>
    </row>
    <row r="58" customFormat="false" ht="20.1" hidden="false" customHeight="true" outlineLevel="0" collapsed="false">
      <c r="B58" s="62"/>
      <c r="C58" s="164"/>
      <c r="D58" s="164"/>
      <c r="E58" s="318" t="s">
        <v>384</v>
      </c>
      <c r="F58" s="16" t="s">
        <v>28</v>
      </c>
      <c r="G58" s="250" t="s">
        <v>67</v>
      </c>
      <c r="H58" s="250" t="s">
        <v>67</v>
      </c>
      <c r="I58" s="250" t="n">
        <v>0</v>
      </c>
      <c r="J58" s="250" t="n">
        <v>41</v>
      </c>
      <c r="K58" s="250" t="s">
        <v>67</v>
      </c>
      <c r="L58" s="253" t="n">
        <f aca="false">IF(J58="",0,(J58/J62)*100)</f>
        <v>60.2941176470588</v>
      </c>
      <c r="M58" s="250" t="n">
        <v>3</v>
      </c>
      <c r="N58" s="254" t="n">
        <v>1</v>
      </c>
      <c r="O58" s="115" t="n">
        <f aca="false">IF(M58=1,1,0)</f>
        <v>0</v>
      </c>
      <c r="P58" s="116" t="n">
        <f aca="false">IF(M58=2,1,0)</f>
        <v>0</v>
      </c>
      <c r="Q58" s="116" t="n">
        <f aca="false">IF(M58=3,1,0)</f>
        <v>1</v>
      </c>
      <c r="R58" s="117" t="n">
        <f aca="false">IF(M58=4,1,0)</f>
        <v>0</v>
      </c>
      <c r="S58" s="170"/>
      <c r="T58" s="164"/>
      <c r="U58" s="62"/>
    </row>
    <row r="59" customFormat="false" ht="20.1" hidden="false" customHeight="true" outlineLevel="0" collapsed="false">
      <c r="B59" s="62"/>
      <c r="C59" s="164"/>
      <c r="D59" s="171"/>
      <c r="E59" s="326" t="s">
        <v>17</v>
      </c>
      <c r="F59" s="33" t="s">
        <v>18</v>
      </c>
      <c r="G59" s="241" t="s">
        <v>67</v>
      </c>
      <c r="H59" s="241" t="s">
        <v>67</v>
      </c>
      <c r="I59" s="241" t="n">
        <v>0</v>
      </c>
      <c r="J59" s="241" t="n">
        <v>63</v>
      </c>
      <c r="K59" s="241" t="s">
        <v>67</v>
      </c>
      <c r="L59" s="243" t="n">
        <f aca="false">IF(J59="",0,(J59/J62)*100)</f>
        <v>92.6470588235294</v>
      </c>
      <c r="M59" s="241" t="n">
        <v>2</v>
      </c>
      <c r="N59" s="244" t="n">
        <v>3</v>
      </c>
      <c r="O59" s="121" t="n">
        <f aca="false">IF(M59=1,1,0)</f>
        <v>0</v>
      </c>
      <c r="P59" s="122" t="n">
        <f aca="false">IF(M59=2,1,0)</f>
        <v>1</v>
      </c>
      <c r="Q59" s="122" t="n">
        <f aca="false">IF(M59=3,1,0)</f>
        <v>0</v>
      </c>
      <c r="R59" s="123" t="n">
        <f aca="false">IF(M59=4,1,0)</f>
        <v>0</v>
      </c>
      <c r="S59" s="170"/>
      <c r="T59" s="164"/>
      <c r="U59" s="173"/>
    </row>
    <row r="60" customFormat="false" ht="20.1" hidden="false" customHeight="true" outlineLevel="0" collapsed="false">
      <c r="B60" s="62"/>
      <c r="C60" s="164"/>
      <c r="D60" s="164"/>
      <c r="E60" s="174" t="s">
        <v>15</v>
      </c>
      <c r="F60" s="175" t="s">
        <v>16</v>
      </c>
      <c r="G60" s="151" t="s">
        <v>67</v>
      </c>
      <c r="H60" s="151" t="s">
        <v>67</v>
      </c>
      <c r="I60" s="151" t="n">
        <v>0</v>
      </c>
      <c r="J60" s="151" t="n">
        <v>68</v>
      </c>
      <c r="K60" s="151" t="s">
        <v>67</v>
      </c>
      <c r="L60" s="153" t="n">
        <f aca="false">IF(J60="",0,(J60/J62)*100)</f>
        <v>100</v>
      </c>
      <c r="M60" s="151" t="n">
        <v>1</v>
      </c>
      <c r="N60" s="154" t="n">
        <v>6</v>
      </c>
      <c r="O60" s="121" t="n">
        <f aca="false">IF(M60=1,1,0)</f>
        <v>1</v>
      </c>
      <c r="P60" s="122" t="n">
        <f aca="false">IF(M60=2,1,0)</f>
        <v>0</v>
      </c>
      <c r="Q60" s="122" t="n">
        <f aca="false">IF(M60=3,1,0)</f>
        <v>0</v>
      </c>
      <c r="R60" s="123" t="n">
        <f aca="false">IF(M60=4,1,0)</f>
        <v>0</v>
      </c>
      <c r="S60" s="170"/>
      <c r="T60" s="164"/>
      <c r="U60" s="173"/>
    </row>
    <row r="61" customFormat="false" ht="20.1" hidden="false" customHeight="true" outlineLevel="0" collapsed="false">
      <c r="B61" s="62"/>
      <c r="C61" s="164"/>
      <c r="D61" s="164"/>
      <c r="E61" s="349" t="s">
        <v>39</v>
      </c>
      <c r="F61" s="44" t="s">
        <v>40</v>
      </c>
      <c r="G61" s="245" t="s">
        <v>67</v>
      </c>
      <c r="H61" s="245" t="s">
        <v>67</v>
      </c>
      <c r="I61" s="245" t="n">
        <v>0</v>
      </c>
      <c r="J61" s="245" t="n">
        <v>23</v>
      </c>
      <c r="K61" s="245" t="s">
        <v>67</v>
      </c>
      <c r="L61" s="247" t="n">
        <f aca="false">IF(J61="",0,(J61/J62)*100)</f>
        <v>33.8235294117647</v>
      </c>
      <c r="M61" s="245" t="n">
        <v>4</v>
      </c>
      <c r="N61" s="248" t="n">
        <v>0</v>
      </c>
      <c r="O61" s="127" t="n">
        <f aca="false">IF(M61=1,1,0)</f>
        <v>0</v>
      </c>
      <c r="P61" s="128" t="n">
        <f aca="false">IF(M61=2,1,0)</f>
        <v>0</v>
      </c>
      <c r="Q61" s="128" t="n">
        <f aca="false">IF(M61=3,1,0)</f>
        <v>0</v>
      </c>
      <c r="R61" s="129" t="n">
        <f aca="false">IF(M61=4,1,0)</f>
        <v>1</v>
      </c>
      <c r="S61" s="170"/>
      <c r="T61" s="164"/>
      <c r="U61" s="173"/>
    </row>
    <row r="62" customFormat="false" ht="20.1" hidden="true" customHeight="true" outlineLevel="1" collapsed="false">
      <c r="B62" s="62"/>
      <c r="C62" s="164"/>
      <c r="D62" s="164"/>
      <c r="E62" s="164"/>
      <c r="F62" s="178"/>
      <c r="G62" s="178"/>
      <c r="H62" s="164"/>
      <c r="I62" s="179" t="s">
        <v>89</v>
      </c>
      <c r="J62" s="133" t="n">
        <f aca="false">MAX(J58:J61)</f>
        <v>68</v>
      </c>
      <c r="K62" s="180"/>
      <c r="L62" s="170"/>
      <c r="M62" s="164"/>
      <c r="N62" s="136"/>
      <c r="O62" s="137" t="n">
        <f aca="false">SUM(O58:O61)</f>
        <v>1</v>
      </c>
      <c r="P62" s="138" t="n">
        <f aca="false">SUM(P58:P61)</f>
        <v>1</v>
      </c>
      <c r="Q62" s="137" t="n">
        <f aca="false">SUM(Q58:Q61)</f>
        <v>1</v>
      </c>
      <c r="R62" s="160" t="n">
        <f aca="false">SUM(R58:R61)</f>
        <v>1</v>
      </c>
      <c r="S62" s="181"/>
      <c r="T62" s="164"/>
      <c r="U62" s="173"/>
    </row>
    <row r="63" customFormat="false" ht="20.1" hidden="false" customHeight="true" outlineLevel="0" collapsed="false">
      <c r="B63" s="62"/>
      <c r="C63" s="164"/>
      <c r="D63" s="164"/>
      <c r="E63" s="164"/>
      <c r="F63" s="164"/>
      <c r="G63" s="164"/>
      <c r="H63" s="164"/>
      <c r="I63" s="164"/>
      <c r="J63" s="164"/>
      <c r="K63" s="164"/>
      <c r="L63" s="164"/>
      <c r="M63" s="164"/>
      <c r="N63" s="164"/>
      <c r="O63" s="164"/>
      <c r="P63" s="164"/>
      <c r="Q63" s="164"/>
      <c r="R63" s="164"/>
      <c r="S63" s="164"/>
      <c r="T63" s="164"/>
      <c r="U63" s="173"/>
    </row>
    <row r="64" customFormat="false" ht="20.1" hidden="false" customHeight="true" outlineLevel="0" collapsed="false">
      <c r="B64" s="62"/>
      <c r="D64" s="162"/>
      <c r="E64" s="162"/>
      <c r="F64" s="162"/>
      <c r="G64" s="162"/>
      <c r="H64" s="163"/>
      <c r="I64" s="162"/>
      <c r="J64" s="162"/>
      <c r="K64" s="162"/>
      <c r="U64" s="62"/>
    </row>
    <row r="65" customFormat="false" ht="20.1" hidden="false" customHeight="true" outlineLevel="0" collapsed="false">
      <c r="B65" s="62"/>
      <c r="C65" s="182"/>
      <c r="D65" s="182"/>
      <c r="E65" s="183" t="str">
        <f aca="false">IF(OR(M36="-",M36= ""),H36,M36)</f>
        <v>Eine wundervolle Welt</v>
      </c>
      <c r="F65" s="183"/>
      <c r="G65" s="183"/>
      <c r="H65" s="183"/>
      <c r="I65" s="183"/>
      <c r="J65" s="183"/>
      <c r="K65" s="183"/>
      <c r="L65" s="183"/>
      <c r="M65" s="183"/>
      <c r="N65" s="183"/>
      <c r="O65" s="184"/>
      <c r="P65" s="184"/>
      <c r="Q65" s="184"/>
      <c r="R65" s="184"/>
      <c r="S65" s="184"/>
      <c r="T65" s="182"/>
      <c r="U65" s="62"/>
    </row>
    <row r="66" customFormat="false" ht="50.1" hidden="false" customHeight="true" outlineLevel="0" collapsed="false">
      <c r="B66" s="62"/>
      <c r="C66" s="182"/>
      <c r="D66" s="184"/>
      <c r="E66" s="65" t="s">
        <v>53</v>
      </c>
      <c r="F66" s="104" t="s">
        <v>76</v>
      </c>
      <c r="G66" s="67" t="s">
        <v>77</v>
      </c>
      <c r="H66" s="66" t="s">
        <v>78</v>
      </c>
      <c r="I66" s="54" t="s">
        <v>79</v>
      </c>
      <c r="J66" s="66" t="s">
        <v>80</v>
      </c>
      <c r="K66" s="105" t="s">
        <v>81</v>
      </c>
      <c r="L66" s="66" t="s">
        <v>82</v>
      </c>
      <c r="M66" s="106" t="s">
        <v>83</v>
      </c>
      <c r="N66" s="67" t="s">
        <v>84</v>
      </c>
      <c r="O66" s="107" t="s">
        <v>85</v>
      </c>
      <c r="P66" s="108" t="s">
        <v>86</v>
      </c>
      <c r="Q66" s="108" t="s">
        <v>87</v>
      </c>
      <c r="R66" s="13" t="s">
        <v>88</v>
      </c>
      <c r="S66" s="184"/>
      <c r="T66" s="182"/>
      <c r="U66" s="62"/>
    </row>
    <row r="67" customFormat="false" ht="20.1" hidden="false" customHeight="true" outlineLevel="0" collapsed="false">
      <c r="B67" s="62"/>
      <c r="C67" s="182"/>
      <c r="D67" s="182"/>
      <c r="E67" s="318" t="s">
        <v>384</v>
      </c>
      <c r="F67" s="16" t="s">
        <v>28</v>
      </c>
      <c r="G67" s="250" t="s">
        <v>67</v>
      </c>
      <c r="H67" s="250" t="s">
        <v>533</v>
      </c>
      <c r="I67" s="250" t="n">
        <v>0</v>
      </c>
      <c r="J67" s="250" t="n">
        <v>52</v>
      </c>
      <c r="K67" s="250" t="s">
        <v>67</v>
      </c>
      <c r="L67" s="253" t="n">
        <f aca="false">IF(J67="",0,(J67/J71)*100)</f>
        <v>68.421052631579</v>
      </c>
      <c r="M67" s="250" t="n">
        <v>3</v>
      </c>
      <c r="N67" s="254" t="n">
        <v>1</v>
      </c>
      <c r="O67" s="115" t="n">
        <f aca="false">IF(M67=1,1,0)</f>
        <v>0</v>
      </c>
      <c r="P67" s="116" t="n">
        <f aca="false">IF(M67=2,1,0)</f>
        <v>0</v>
      </c>
      <c r="Q67" s="116" t="n">
        <f aca="false">IF(M67=3,1,0)</f>
        <v>1</v>
      </c>
      <c r="R67" s="117" t="n">
        <f aca="false">IF(M67=4,1,0)</f>
        <v>0</v>
      </c>
      <c r="S67" s="185"/>
      <c r="T67" s="182"/>
      <c r="U67" s="62"/>
    </row>
    <row r="68" customFormat="false" ht="20.1" hidden="false" customHeight="true" outlineLevel="0" collapsed="false">
      <c r="B68" s="62"/>
      <c r="C68" s="182"/>
      <c r="D68" s="182"/>
      <c r="E68" s="174" t="s">
        <v>17</v>
      </c>
      <c r="F68" s="175" t="s">
        <v>18</v>
      </c>
      <c r="G68" s="151" t="s">
        <v>67</v>
      </c>
      <c r="H68" s="151" t="s">
        <v>534</v>
      </c>
      <c r="I68" s="151" t="n">
        <v>0</v>
      </c>
      <c r="J68" s="151" t="n">
        <v>76</v>
      </c>
      <c r="K68" s="151" t="s">
        <v>67</v>
      </c>
      <c r="L68" s="153" t="n">
        <f aca="false">IF(J68="",0,(J68/J71)*100)</f>
        <v>100</v>
      </c>
      <c r="M68" s="151" t="n">
        <v>1</v>
      </c>
      <c r="N68" s="154" t="n">
        <v>6</v>
      </c>
      <c r="O68" s="121" t="n">
        <f aca="false">IF(M68=1,1,0)</f>
        <v>1</v>
      </c>
      <c r="P68" s="122" t="n">
        <f aca="false">IF(M68=2,1,0)</f>
        <v>0</v>
      </c>
      <c r="Q68" s="122" t="n">
        <f aca="false">IF(M68=3,1,0)</f>
        <v>0</v>
      </c>
      <c r="R68" s="123" t="n">
        <f aca="false">IF(M68=4,1,0)</f>
        <v>0</v>
      </c>
      <c r="S68" s="185"/>
      <c r="T68" s="182"/>
      <c r="U68" s="62"/>
    </row>
    <row r="69" customFormat="false" ht="20.1" hidden="false" customHeight="true" outlineLevel="0" collapsed="false">
      <c r="B69" s="62"/>
      <c r="C69" s="182"/>
      <c r="D69" s="182"/>
      <c r="E69" s="326" t="s">
        <v>15</v>
      </c>
      <c r="F69" s="33" t="s">
        <v>16</v>
      </c>
      <c r="G69" s="241" t="s">
        <v>67</v>
      </c>
      <c r="H69" s="241" t="s">
        <v>535</v>
      </c>
      <c r="I69" s="241" t="n">
        <v>0</v>
      </c>
      <c r="J69" s="241" t="n">
        <v>42</v>
      </c>
      <c r="K69" s="241" t="s">
        <v>67</v>
      </c>
      <c r="L69" s="243" t="n">
        <f aca="false">IF(J69="",0,(J69/J71)*100)</f>
        <v>55.2631578947369</v>
      </c>
      <c r="M69" s="241" t="n">
        <v>4</v>
      </c>
      <c r="N69" s="244" t="n">
        <v>0</v>
      </c>
      <c r="O69" s="121" t="n">
        <f aca="false">IF(M69=1,1,0)</f>
        <v>0</v>
      </c>
      <c r="P69" s="122" t="n">
        <f aca="false">IF(M69=2,1,0)</f>
        <v>0</v>
      </c>
      <c r="Q69" s="122" t="n">
        <f aca="false">IF(M69=3,1,0)</f>
        <v>0</v>
      </c>
      <c r="R69" s="123" t="n">
        <f aca="false">IF(M69=4,1,0)</f>
        <v>1</v>
      </c>
      <c r="S69" s="185"/>
      <c r="T69" s="182"/>
      <c r="U69" s="62"/>
    </row>
    <row r="70" customFormat="false" ht="20.1" hidden="false" customHeight="true" outlineLevel="0" collapsed="false">
      <c r="B70" s="62"/>
      <c r="C70" s="182"/>
      <c r="D70" s="186"/>
      <c r="E70" s="349" t="s">
        <v>39</v>
      </c>
      <c r="F70" s="44" t="s">
        <v>40</v>
      </c>
      <c r="G70" s="245" t="s">
        <v>67</v>
      </c>
      <c r="H70" s="245" t="s">
        <v>536</v>
      </c>
      <c r="I70" s="245" t="n">
        <v>0</v>
      </c>
      <c r="J70" s="245" t="n">
        <v>62</v>
      </c>
      <c r="K70" s="245" t="s">
        <v>67</v>
      </c>
      <c r="L70" s="247" t="n">
        <f aca="false">IF(J70="",0,(J70/J71)*100)</f>
        <v>81.5789473684211</v>
      </c>
      <c r="M70" s="245" t="n">
        <v>2</v>
      </c>
      <c r="N70" s="248" t="n">
        <v>3</v>
      </c>
      <c r="O70" s="127" t="n">
        <f aca="false">IF(M70=1,1,0)</f>
        <v>0</v>
      </c>
      <c r="P70" s="128" t="n">
        <f aca="false">IF(M70=2,1,0)</f>
        <v>1</v>
      </c>
      <c r="Q70" s="128" t="n">
        <f aca="false">IF(M70=3,1,0)</f>
        <v>0</v>
      </c>
      <c r="R70" s="129" t="n">
        <f aca="false">IF(M70=4,1,0)</f>
        <v>0</v>
      </c>
      <c r="S70" s="185"/>
      <c r="T70" s="182"/>
      <c r="U70" s="62"/>
    </row>
    <row r="71" customFormat="false" ht="20.1" hidden="true" customHeight="true" outlineLevel="1" collapsed="false">
      <c r="B71" s="62"/>
      <c r="C71" s="182"/>
      <c r="D71" s="182"/>
      <c r="E71" s="182"/>
      <c r="F71" s="187"/>
      <c r="G71" s="187"/>
      <c r="H71" s="182"/>
      <c r="I71" s="158" t="s">
        <v>89</v>
      </c>
      <c r="J71" s="133" t="n">
        <f aca="false">MAX(J67:J70)</f>
        <v>76</v>
      </c>
      <c r="K71" s="188"/>
      <c r="L71" s="185"/>
      <c r="M71" s="182"/>
      <c r="N71" s="136" t="s">
        <v>90</v>
      </c>
      <c r="O71" s="137" t="n">
        <f aca="false">SUM(O67:O70)</f>
        <v>1</v>
      </c>
      <c r="P71" s="138" t="n">
        <f aca="false">SUM(P67:P70)</f>
        <v>1</v>
      </c>
      <c r="Q71" s="137" t="n">
        <f aca="false">SUM(Q67:Q70)</f>
        <v>1</v>
      </c>
      <c r="R71" s="160" t="n">
        <f aca="false">SUM(R67:R70)</f>
        <v>1</v>
      </c>
      <c r="S71" s="189"/>
      <c r="T71" s="182"/>
      <c r="U71" s="62"/>
    </row>
    <row r="72" customFormat="false" ht="20.1" hidden="false" customHeight="true" outlineLevel="0" collapsed="false">
      <c r="B72" s="62"/>
      <c r="C72" s="182"/>
      <c r="D72" s="182"/>
      <c r="E72" s="182"/>
      <c r="F72" s="182"/>
      <c r="G72" s="182"/>
      <c r="H72" s="182"/>
      <c r="I72" s="182"/>
      <c r="J72" s="182"/>
      <c r="K72" s="182"/>
      <c r="L72" s="182"/>
      <c r="M72" s="182"/>
      <c r="N72" s="182"/>
      <c r="O72" s="182"/>
      <c r="P72" s="182"/>
      <c r="Q72" s="182"/>
      <c r="R72" s="182"/>
      <c r="S72" s="182"/>
      <c r="T72" s="182"/>
      <c r="U72" s="62"/>
    </row>
    <row r="73" customFormat="false" ht="20.1" hidden="false" customHeight="true" outlineLevel="0" collapsed="false">
      <c r="B73" s="62"/>
      <c r="D73" s="5"/>
      <c r="E73" s="5"/>
      <c r="F73" s="5"/>
      <c r="G73" s="5"/>
      <c r="H73" s="5"/>
      <c r="I73" s="5"/>
      <c r="J73" s="5"/>
      <c r="U73" s="62"/>
    </row>
    <row r="74" customFormat="false" ht="30" hidden="false" customHeight="true" outlineLevel="0" collapsed="false">
      <c r="B74" s="62"/>
      <c r="C74" s="190"/>
      <c r="D74" s="191" t="s">
        <v>99</v>
      </c>
      <c r="E74" s="191"/>
      <c r="F74" s="191"/>
      <c r="G74" s="191"/>
      <c r="H74" s="191"/>
      <c r="I74" s="191"/>
      <c r="J74" s="191"/>
      <c r="K74" s="191"/>
      <c r="L74" s="191"/>
      <c r="M74" s="191"/>
      <c r="N74" s="191"/>
      <c r="O74" s="191"/>
      <c r="P74" s="191"/>
      <c r="Q74" s="191"/>
      <c r="R74" s="191"/>
      <c r="S74" s="191"/>
      <c r="T74" s="190"/>
      <c r="U74" s="62"/>
    </row>
    <row r="75" customFormat="false" ht="50.1" hidden="false" customHeight="true" outlineLevel="0" collapsed="false">
      <c r="B75" s="62"/>
      <c r="C75" s="190"/>
      <c r="D75" s="192" t="s">
        <v>53</v>
      </c>
      <c r="E75" s="193" t="s">
        <v>54</v>
      </c>
      <c r="F75" s="194" t="s">
        <v>84</v>
      </c>
      <c r="G75" s="195" t="s">
        <v>100</v>
      </c>
      <c r="H75" s="196" t="s">
        <v>101</v>
      </c>
      <c r="I75" s="196"/>
      <c r="J75" s="197" t="s">
        <v>102</v>
      </c>
      <c r="K75" s="198" t="s">
        <v>103</v>
      </c>
      <c r="L75" s="194" t="s">
        <v>104</v>
      </c>
      <c r="M75" s="198" t="s">
        <v>105</v>
      </c>
      <c r="N75" s="194" t="s">
        <v>106</v>
      </c>
      <c r="O75" s="199"/>
      <c r="P75" s="200"/>
      <c r="Q75" s="200"/>
      <c r="R75" s="200"/>
      <c r="S75" s="193" t="s">
        <v>107</v>
      </c>
      <c r="T75" s="190"/>
      <c r="U75" s="62"/>
    </row>
    <row r="76" customFormat="false" ht="20.1" hidden="false" customHeight="true" outlineLevel="0" collapsed="false">
      <c r="B76" s="62"/>
      <c r="C76" s="190"/>
      <c r="D76" s="425" t="s">
        <v>17</v>
      </c>
      <c r="E76" s="302" t="s">
        <v>18</v>
      </c>
      <c r="F76" s="203" t="n">
        <f aca="false">(K76*6+L76*3+M76*1+N76*0)</f>
        <v>15</v>
      </c>
      <c r="G76" s="203" t="n">
        <v>0</v>
      </c>
      <c r="H76" s="204" t="s">
        <v>67</v>
      </c>
      <c r="I76" s="204"/>
      <c r="J76" s="203" t="n">
        <f aca="false">F76+G76</f>
        <v>15</v>
      </c>
      <c r="K76" s="203" t="n">
        <v>2</v>
      </c>
      <c r="L76" s="203" t="n">
        <v>1</v>
      </c>
      <c r="M76" s="203" t="n">
        <v>0</v>
      </c>
      <c r="N76" s="203" t="n">
        <v>1</v>
      </c>
      <c r="O76" s="203"/>
      <c r="P76" s="203"/>
      <c r="Q76" s="203"/>
      <c r="R76" s="203"/>
      <c r="S76" s="205" t="n">
        <f aca="false">(L41+L50+L59+L68)/4</f>
        <v>88.4160019940179</v>
      </c>
      <c r="T76" s="190"/>
      <c r="U76" s="62"/>
      <c r="W76" s="206"/>
      <c r="X76" s="206"/>
      <c r="Y76" s="206"/>
      <c r="Z76" s="206"/>
    </row>
    <row r="77" customFormat="false" ht="20.1" hidden="false" customHeight="true" outlineLevel="0" collapsed="false">
      <c r="B77" s="62"/>
      <c r="C77" s="190"/>
      <c r="D77" s="444" t="s">
        <v>15</v>
      </c>
      <c r="E77" s="208" t="s">
        <v>16</v>
      </c>
      <c r="F77" s="209" t="n">
        <f aca="false">(K77*6+L77*3+M77*1+N77*0)</f>
        <v>12</v>
      </c>
      <c r="G77" s="209" t="n">
        <v>0</v>
      </c>
      <c r="H77" s="210" t="s">
        <v>67</v>
      </c>
      <c r="I77" s="210"/>
      <c r="J77" s="209" t="n">
        <f aca="false">F77+G77</f>
        <v>12</v>
      </c>
      <c r="K77" s="209" t="n">
        <v>1</v>
      </c>
      <c r="L77" s="209" t="n">
        <v>2</v>
      </c>
      <c r="M77" s="209" t="n">
        <v>0</v>
      </c>
      <c r="N77" s="209" t="n">
        <v>1</v>
      </c>
      <c r="O77" s="209"/>
      <c r="P77" s="209"/>
      <c r="Q77" s="209"/>
      <c r="R77" s="209"/>
      <c r="S77" s="211" t="n">
        <f aca="false">(L42+L51+L60+L69)/4</f>
        <v>78.2244951747628</v>
      </c>
      <c r="T77" s="190"/>
      <c r="U77" s="62"/>
      <c r="W77" s="212"/>
      <c r="X77" s="212"/>
      <c r="Y77" s="212"/>
      <c r="Z77" s="212"/>
    </row>
    <row r="78" customFormat="false" ht="20.1" hidden="false" customHeight="true" outlineLevel="0" collapsed="false">
      <c r="B78" s="62"/>
      <c r="C78" s="190"/>
      <c r="D78" s="444" t="s">
        <v>384</v>
      </c>
      <c r="E78" s="208" t="s">
        <v>28</v>
      </c>
      <c r="F78" s="209" t="n">
        <f aca="false">(K78*6+L78*3+M78*1+N78*0)</f>
        <v>9</v>
      </c>
      <c r="G78" s="209" t="n">
        <v>0</v>
      </c>
      <c r="H78" s="210" t="s">
        <v>67</v>
      </c>
      <c r="I78" s="210"/>
      <c r="J78" s="209" t="n">
        <f aca="false">F78+G78</f>
        <v>9</v>
      </c>
      <c r="K78" s="209" t="n">
        <v>1</v>
      </c>
      <c r="L78" s="209" t="n">
        <v>0</v>
      </c>
      <c r="M78" s="209" t="n">
        <v>3</v>
      </c>
      <c r="N78" s="209" t="n">
        <v>0</v>
      </c>
      <c r="O78" s="209"/>
      <c r="P78" s="209"/>
      <c r="Q78" s="209"/>
      <c r="R78" s="209"/>
      <c r="S78" s="211" t="n">
        <f aca="false">(L40+L49+L58+L67)/4</f>
        <v>75.7015198423867</v>
      </c>
      <c r="T78" s="190"/>
      <c r="U78" s="62"/>
      <c r="W78" s="212"/>
      <c r="X78" s="212"/>
      <c r="Y78" s="212"/>
      <c r="Z78" s="212"/>
    </row>
    <row r="79" customFormat="false" ht="20.1" hidden="false" customHeight="true" outlineLevel="0" collapsed="false">
      <c r="B79" s="62"/>
      <c r="C79" s="190"/>
      <c r="D79" s="427" t="s">
        <v>39</v>
      </c>
      <c r="E79" s="215" t="s">
        <v>40</v>
      </c>
      <c r="F79" s="216" t="n">
        <f aca="false">(K79*6+L79*3+M79*1+N79*0)</f>
        <v>4</v>
      </c>
      <c r="G79" s="216" t="n">
        <v>0</v>
      </c>
      <c r="H79" s="217" t="s">
        <v>67</v>
      </c>
      <c r="I79" s="217"/>
      <c r="J79" s="216" t="n">
        <f aca="false">F79+G79</f>
        <v>4</v>
      </c>
      <c r="K79" s="216" t="n">
        <v>0</v>
      </c>
      <c r="L79" s="216" t="n">
        <v>1</v>
      </c>
      <c r="M79" s="216" t="n">
        <v>1</v>
      </c>
      <c r="N79" s="216" t="n">
        <v>2</v>
      </c>
      <c r="O79" s="216"/>
      <c r="P79" s="216"/>
      <c r="Q79" s="216"/>
      <c r="R79" s="216"/>
      <c r="S79" s="218" t="n">
        <f aca="false">(L43+L52+L61+L70)/4</f>
        <v>62.897229364538</v>
      </c>
      <c r="T79" s="190"/>
      <c r="U79" s="62"/>
      <c r="W79" s="212"/>
      <c r="X79" s="212"/>
      <c r="Y79" s="212"/>
      <c r="Z79" s="212"/>
      <c r="AB79" s="212"/>
      <c r="AC79" s="212"/>
      <c r="AD79" s="212"/>
      <c r="AE79" s="212"/>
    </row>
    <row r="80" customFormat="false" ht="20.1" hidden="false" customHeight="true" outlineLevel="0" collapsed="false">
      <c r="B80" s="62"/>
      <c r="C80" s="190"/>
      <c r="D80" s="422"/>
      <c r="E80" s="422"/>
      <c r="F80" s="275"/>
      <c r="G80" s="275"/>
      <c r="H80" s="423"/>
      <c r="I80" s="423"/>
      <c r="J80" s="275"/>
      <c r="K80" s="275"/>
      <c r="L80" s="275"/>
      <c r="M80" s="275"/>
      <c r="N80" s="275"/>
      <c r="O80" s="275"/>
      <c r="P80" s="275"/>
      <c r="Q80" s="275"/>
      <c r="R80" s="275"/>
      <c r="S80" s="424"/>
      <c r="T80" s="190"/>
      <c r="U80" s="62"/>
      <c r="W80" s="212"/>
      <c r="X80" s="212"/>
      <c r="Y80" s="212"/>
      <c r="Z80" s="212"/>
    </row>
    <row r="81" customFormat="false" ht="20.1" hidden="false" customHeight="true" outlineLevel="0" collapsed="false">
      <c r="B81" s="62"/>
      <c r="C81" s="62"/>
      <c r="D81" s="219"/>
      <c r="E81" s="219"/>
      <c r="F81" s="167"/>
      <c r="G81" s="167"/>
      <c r="H81" s="219"/>
      <c r="I81" s="219"/>
      <c r="J81" s="219"/>
      <c r="K81" s="62"/>
      <c r="L81" s="62"/>
      <c r="M81" s="62"/>
      <c r="N81" s="62"/>
      <c r="O81" s="62"/>
      <c r="P81" s="62"/>
      <c r="Q81" s="62"/>
      <c r="R81" s="62"/>
      <c r="S81" s="62"/>
      <c r="T81" s="62"/>
      <c r="U81" s="62"/>
    </row>
    <row r="82" customFormat="false" ht="20.1" hidden="false" customHeight="true" outlineLevel="0" collapsed="false">
      <c r="D82" s="220"/>
    </row>
    <row r="83" customFormat="false" ht="20.1" hidden="false" customHeight="true" outlineLevel="0" collapsed="false">
      <c r="D83" s="221"/>
    </row>
    <row r="84" customFormat="false" ht="20.1" hidden="false" customHeight="true" outlineLevel="0" collapsed="false">
      <c r="B84" s="62"/>
      <c r="C84" s="62"/>
      <c r="D84" s="63"/>
      <c r="E84" s="63"/>
      <c r="F84" s="63"/>
      <c r="G84" s="63"/>
      <c r="H84" s="62"/>
      <c r="I84" s="62"/>
      <c r="J84" s="62"/>
      <c r="K84" s="62"/>
      <c r="L84" s="62"/>
      <c r="M84" s="62"/>
      <c r="N84" s="62"/>
      <c r="O84" s="62"/>
      <c r="P84" s="62"/>
      <c r="Q84" s="62"/>
      <c r="R84" s="62"/>
      <c r="S84" s="62"/>
      <c r="T84" s="62"/>
      <c r="U84" s="62"/>
    </row>
    <row r="85" customFormat="false" ht="30" hidden="false" customHeight="true" outlineLevel="0" collapsed="false">
      <c r="B85" s="62"/>
      <c r="C85" s="64" t="s">
        <v>108</v>
      </c>
      <c r="D85" s="64"/>
      <c r="E85" s="64"/>
      <c r="F85" s="64"/>
      <c r="G85" s="64"/>
      <c r="H85" s="64"/>
      <c r="I85" s="64"/>
      <c r="J85" s="64"/>
      <c r="K85" s="64"/>
      <c r="L85" s="64"/>
      <c r="M85" s="64"/>
      <c r="N85" s="64"/>
      <c r="O85" s="64"/>
      <c r="P85" s="64"/>
      <c r="Q85" s="64"/>
      <c r="R85" s="64"/>
      <c r="S85" s="64"/>
      <c r="T85" s="64"/>
      <c r="U85" s="62"/>
    </row>
    <row r="86" customFormat="false" ht="20.1" hidden="false" customHeight="true" outlineLevel="0" collapsed="false">
      <c r="B86" s="62"/>
      <c r="U86" s="62"/>
    </row>
    <row r="87" customFormat="false" ht="20.1" hidden="false" customHeight="true" outlineLevel="0" collapsed="false">
      <c r="B87" s="62"/>
      <c r="D87" s="65" t="s">
        <v>53</v>
      </c>
      <c r="E87" s="66" t="s">
        <v>54</v>
      </c>
      <c r="F87" s="67" t="s">
        <v>11</v>
      </c>
      <c r="G87" s="223" t="s">
        <v>55</v>
      </c>
      <c r="H87" s="223"/>
      <c r="I87" s="223"/>
      <c r="J87" s="223"/>
      <c r="K87" s="66" t="s">
        <v>56</v>
      </c>
      <c r="L87" s="68" t="s">
        <v>57</v>
      </c>
      <c r="M87" s="68"/>
      <c r="N87" s="68"/>
      <c r="O87" s="68"/>
      <c r="P87" s="68"/>
      <c r="Q87" s="68"/>
      <c r="R87" s="68"/>
      <c r="S87" s="68"/>
      <c r="U87" s="62"/>
    </row>
    <row r="88" customFormat="false" ht="20.1" hidden="false" customHeight="true" outlineLevel="0" collapsed="false">
      <c r="B88" s="62"/>
      <c r="D88" s="65"/>
      <c r="E88" s="66"/>
      <c r="F88" s="66"/>
      <c r="G88" s="70" t="s">
        <v>58</v>
      </c>
      <c r="H88" s="69" t="s">
        <v>59</v>
      </c>
      <c r="I88" s="67" t="s">
        <v>60</v>
      </c>
      <c r="J88" s="67"/>
      <c r="K88" s="69" t="s">
        <v>61</v>
      </c>
      <c r="L88" s="224" t="s">
        <v>58</v>
      </c>
      <c r="M88" s="225" t="s">
        <v>62</v>
      </c>
      <c r="N88" s="67" t="s">
        <v>60</v>
      </c>
      <c r="O88" s="67"/>
      <c r="P88" s="67"/>
      <c r="Q88" s="67"/>
      <c r="R88" s="67"/>
      <c r="S88" s="67"/>
      <c r="U88" s="62"/>
    </row>
    <row r="89" customFormat="false" ht="15" hidden="false" customHeight="true" outlineLevel="0" collapsed="false">
      <c r="B89" s="62"/>
      <c r="D89" s="318" t="s">
        <v>37</v>
      </c>
      <c r="E89" s="18" t="s">
        <v>38</v>
      </c>
      <c r="F89" s="23" t="n">
        <v>1</v>
      </c>
      <c r="G89" s="72" t="s">
        <v>114</v>
      </c>
      <c r="H89" s="470" t="s">
        <v>470</v>
      </c>
      <c r="I89" s="321" t="s">
        <v>471</v>
      </c>
      <c r="J89" s="321"/>
      <c r="K89" s="351" t="s">
        <v>331</v>
      </c>
      <c r="L89" s="352" t="s">
        <v>67</v>
      </c>
      <c r="M89" s="324" t="s">
        <v>67</v>
      </c>
      <c r="N89" s="78" t="s">
        <v>67</v>
      </c>
      <c r="O89" s="78"/>
      <c r="P89" s="78"/>
      <c r="Q89" s="78"/>
      <c r="R89" s="78"/>
      <c r="S89" s="78"/>
      <c r="U89" s="62"/>
    </row>
    <row r="90" customFormat="false" ht="15" hidden="false" customHeight="true" outlineLevel="0" collapsed="false">
      <c r="B90" s="62"/>
      <c r="D90" s="318"/>
      <c r="E90" s="18"/>
      <c r="F90" s="23"/>
      <c r="G90" s="72"/>
      <c r="H90" s="470"/>
      <c r="I90" s="325" t="s">
        <v>472</v>
      </c>
      <c r="J90" s="325"/>
      <c r="K90" s="351"/>
      <c r="L90" s="352"/>
      <c r="M90" s="324"/>
      <c r="N90" s="78"/>
      <c r="O90" s="78"/>
      <c r="P90" s="78"/>
      <c r="Q90" s="78"/>
      <c r="R90" s="78"/>
      <c r="S90" s="78"/>
      <c r="U90" s="62"/>
    </row>
    <row r="91" customFormat="false" ht="15" hidden="false" customHeight="true" outlineLevel="0" collapsed="false">
      <c r="B91" s="62"/>
      <c r="D91" s="318"/>
      <c r="E91" s="18"/>
      <c r="F91" s="23"/>
      <c r="G91" s="72"/>
      <c r="H91" s="470"/>
      <c r="I91" s="325" t="s">
        <v>473</v>
      </c>
      <c r="J91" s="325"/>
      <c r="K91" s="351"/>
      <c r="L91" s="352"/>
      <c r="M91" s="324"/>
      <c r="N91" s="78"/>
      <c r="O91" s="78"/>
      <c r="P91" s="78"/>
      <c r="Q91" s="78"/>
      <c r="R91" s="78"/>
      <c r="S91" s="78"/>
      <c r="U91" s="62"/>
    </row>
    <row r="92" customFormat="false" ht="27.95" hidden="false" customHeight="true" outlineLevel="0" collapsed="false">
      <c r="B92" s="62"/>
      <c r="D92" s="318"/>
      <c r="E92" s="18"/>
      <c r="F92" s="23"/>
      <c r="G92" s="72"/>
      <c r="H92" s="470"/>
      <c r="I92" s="325" t="s">
        <v>474</v>
      </c>
      <c r="J92" s="325"/>
      <c r="K92" s="351"/>
      <c r="L92" s="352"/>
      <c r="M92" s="324"/>
      <c r="N92" s="78"/>
      <c r="O92" s="78"/>
      <c r="P92" s="78"/>
      <c r="Q92" s="78"/>
      <c r="R92" s="78"/>
      <c r="S92" s="78"/>
      <c r="U92" s="62"/>
    </row>
    <row r="93" customFormat="false" ht="15" hidden="false" customHeight="true" outlineLevel="0" collapsed="false">
      <c r="B93" s="62"/>
      <c r="D93" s="629" t="s">
        <v>31</v>
      </c>
      <c r="E93" s="465" t="s">
        <v>32</v>
      </c>
      <c r="F93" s="36" t="n">
        <v>2</v>
      </c>
      <c r="G93" s="513" t="s">
        <v>63</v>
      </c>
      <c r="H93" s="565" t="s">
        <v>331</v>
      </c>
      <c r="I93" s="281" t="s">
        <v>537</v>
      </c>
      <c r="J93" s="281"/>
      <c r="K93" s="500" t="s">
        <v>111</v>
      </c>
      <c r="L93" s="513" t="s">
        <v>114</v>
      </c>
      <c r="M93" s="630" t="s">
        <v>538</v>
      </c>
      <c r="N93" s="631" t="s">
        <v>539</v>
      </c>
      <c r="O93" s="631"/>
      <c r="P93" s="631"/>
      <c r="Q93" s="631"/>
      <c r="R93" s="631"/>
      <c r="S93" s="631"/>
      <c r="U93" s="62"/>
    </row>
    <row r="94" customFormat="false" ht="15" hidden="false" customHeight="true" outlineLevel="0" collapsed="false">
      <c r="B94" s="62"/>
      <c r="D94" s="629"/>
      <c r="E94" s="465"/>
      <c r="F94" s="36"/>
      <c r="G94" s="513"/>
      <c r="H94" s="565"/>
      <c r="I94" s="281"/>
      <c r="J94" s="281"/>
      <c r="K94" s="500"/>
      <c r="L94" s="513"/>
      <c r="M94" s="630"/>
      <c r="N94" s="632" t="s">
        <v>540</v>
      </c>
      <c r="O94" s="632"/>
      <c r="P94" s="632"/>
      <c r="Q94" s="632"/>
      <c r="R94" s="632"/>
      <c r="S94" s="632"/>
      <c r="U94" s="62"/>
    </row>
    <row r="95" customFormat="false" ht="15" hidden="false" customHeight="true" outlineLevel="0" collapsed="false">
      <c r="B95" s="62"/>
      <c r="D95" s="432" t="s">
        <v>20</v>
      </c>
      <c r="E95" s="433" t="s">
        <v>21</v>
      </c>
      <c r="F95" s="36" t="n">
        <v>3</v>
      </c>
      <c r="G95" s="434" t="s">
        <v>63</v>
      </c>
      <c r="H95" s="435" t="s">
        <v>541</v>
      </c>
      <c r="I95" s="335" t="s">
        <v>542</v>
      </c>
      <c r="J95" s="335"/>
      <c r="K95" s="633" t="s">
        <v>543</v>
      </c>
      <c r="L95" s="606" t="s">
        <v>67</v>
      </c>
      <c r="M95" s="438" t="s">
        <v>67</v>
      </c>
      <c r="N95" s="439" t="s">
        <v>67</v>
      </c>
      <c r="O95" s="439"/>
      <c r="P95" s="439"/>
      <c r="Q95" s="439"/>
      <c r="R95" s="439"/>
      <c r="S95" s="439"/>
      <c r="U95" s="62"/>
    </row>
    <row r="96" customFormat="false" ht="27.95" hidden="false" customHeight="true" outlineLevel="0" collapsed="false">
      <c r="B96" s="62"/>
      <c r="D96" s="432"/>
      <c r="E96" s="433"/>
      <c r="F96" s="36"/>
      <c r="G96" s="434"/>
      <c r="H96" s="435"/>
      <c r="I96" s="338" t="s">
        <v>544</v>
      </c>
      <c r="J96" s="338"/>
      <c r="K96" s="633"/>
      <c r="L96" s="606"/>
      <c r="M96" s="438"/>
      <c r="N96" s="439"/>
      <c r="O96" s="439"/>
      <c r="P96" s="439"/>
      <c r="Q96" s="439"/>
      <c r="R96" s="439"/>
      <c r="S96" s="439"/>
      <c r="U96" s="62"/>
    </row>
    <row r="97" customFormat="false" ht="15" hidden="false" customHeight="true" outlineLevel="0" collapsed="false">
      <c r="B97" s="62"/>
      <c r="D97" s="432"/>
      <c r="E97" s="433"/>
      <c r="F97" s="36"/>
      <c r="G97" s="434"/>
      <c r="H97" s="435"/>
      <c r="I97" s="357" t="s">
        <v>545</v>
      </c>
      <c r="J97" s="357"/>
      <c r="K97" s="633"/>
      <c r="L97" s="606"/>
      <c r="M97" s="438"/>
      <c r="N97" s="439"/>
      <c r="O97" s="439"/>
      <c r="P97" s="439"/>
      <c r="Q97" s="439"/>
      <c r="R97" s="439"/>
      <c r="S97" s="439"/>
      <c r="U97" s="62"/>
    </row>
    <row r="98" customFormat="false" ht="20.1" hidden="false" customHeight="true" outlineLevel="0" collapsed="false">
      <c r="B98" s="62"/>
      <c r="D98" s="349" t="s">
        <v>29</v>
      </c>
      <c r="E98" s="44" t="s">
        <v>30</v>
      </c>
      <c r="F98" s="396" t="n">
        <v>4</v>
      </c>
      <c r="G98" s="358" t="s">
        <v>114</v>
      </c>
      <c r="H98" s="96" t="s">
        <v>546</v>
      </c>
      <c r="I98" s="348" t="s">
        <v>67</v>
      </c>
      <c r="J98" s="348"/>
      <c r="K98" s="634" t="s">
        <v>470</v>
      </c>
      <c r="L98" s="442" t="s">
        <v>67</v>
      </c>
      <c r="M98" s="345" t="s">
        <v>67</v>
      </c>
      <c r="N98" s="239" t="s">
        <v>67</v>
      </c>
      <c r="O98" s="239"/>
      <c r="P98" s="239"/>
      <c r="Q98" s="239"/>
      <c r="R98" s="239"/>
      <c r="S98" s="239"/>
      <c r="U98" s="62"/>
    </row>
    <row r="99" customFormat="false" ht="20.1" hidden="false" customHeight="true" outlineLevel="0" collapsed="false">
      <c r="B99" s="62"/>
      <c r="U99" s="62"/>
    </row>
    <row r="100" customFormat="false" ht="20.1" hidden="false" customHeight="true" outlineLevel="0" collapsed="false">
      <c r="B100" s="62"/>
      <c r="C100" s="101"/>
      <c r="D100" s="101"/>
      <c r="E100" s="102" t="str">
        <f aca="false">IF(OR(L89="-",L89= ""),H89,L89)</f>
        <v>Grand Austria Hotel</v>
      </c>
      <c r="F100" s="102"/>
      <c r="G100" s="102"/>
      <c r="H100" s="102"/>
      <c r="I100" s="102"/>
      <c r="J100" s="102"/>
      <c r="K100" s="102"/>
      <c r="L100" s="102"/>
      <c r="M100" s="102"/>
      <c r="N100" s="102"/>
      <c r="O100" s="103"/>
      <c r="P100" s="103"/>
      <c r="Q100" s="103"/>
      <c r="R100" s="103"/>
      <c r="S100" s="103"/>
      <c r="T100" s="101"/>
      <c r="U100" s="62"/>
    </row>
    <row r="101" customFormat="false" ht="50.1" hidden="false" customHeight="true" outlineLevel="0" collapsed="false">
      <c r="B101" s="62"/>
      <c r="C101" s="101"/>
      <c r="D101" s="103"/>
      <c r="E101" s="65" t="s">
        <v>53</v>
      </c>
      <c r="F101" s="104" t="s">
        <v>76</v>
      </c>
      <c r="G101" s="67" t="s">
        <v>77</v>
      </c>
      <c r="H101" s="66" t="s">
        <v>78</v>
      </c>
      <c r="I101" s="54" t="s">
        <v>79</v>
      </c>
      <c r="J101" s="66" t="s">
        <v>80</v>
      </c>
      <c r="K101" s="105" t="s">
        <v>81</v>
      </c>
      <c r="L101" s="66" t="s">
        <v>82</v>
      </c>
      <c r="M101" s="106" t="s">
        <v>83</v>
      </c>
      <c r="N101" s="67" t="s">
        <v>84</v>
      </c>
      <c r="O101" s="107" t="s">
        <v>85</v>
      </c>
      <c r="P101" s="108" t="s">
        <v>86</v>
      </c>
      <c r="Q101" s="108" t="s">
        <v>87</v>
      </c>
      <c r="R101" s="13" t="s">
        <v>88</v>
      </c>
      <c r="S101" s="103"/>
      <c r="T101" s="101"/>
      <c r="U101" s="62"/>
    </row>
    <row r="102" customFormat="false" ht="20.1" hidden="false" customHeight="true" outlineLevel="0" collapsed="false">
      <c r="B102" s="62"/>
      <c r="C102" s="101"/>
      <c r="D102" s="124"/>
      <c r="E102" s="318" t="s">
        <v>37</v>
      </c>
      <c r="F102" s="16" t="s">
        <v>38</v>
      </c>
      <c r="G102" s="250" t="n">
        <v>1</v>
      </c>
      <c r="H102" s="250" t="s">
        <v>67</v>
      </c>
      <c r="I102" s="250" t="n">
        <v>0</v>
      </c>
      <c r="J102" s="251" t="n">
        <v>143</v>
      </c>
      <c r="K102" s="250" t="s">
        <v>67</v>
      </c>
      <c r="L102" s="253" t="n">
        <f aca="false">IF(J102="",0,(J102/J106)*100)</f>
        <v>74.0932642487047</v>
      </c>
      <c r="M102" s="250" t="n">
        <v>2</v>
      </c>
      <c r="N102" s="254" t="n">
        <v>3</v>
      </c>
      <c r="O102" s="115" t="n">
        <f aca="false">IF(M102=1,1,0)</f>
        <v>0</v>
      </c>
      <c r="P102" s="116" t="n">
        <f aca="false">IF(M102=2,1,0)</f>
        <v>1</v>
      </c>
      <c r="Q102" s="116" t="n">
        <f aca="false">IF(M102=3,1,0)</f>
        <v>0</v>
      </c>
      <c r="R102" s="117" t="n">
        <f aca="false">IF(M102=4,1,0)</f>
        <v>0</v>
      </c>
      <c r="S102" s="118"/>
      <c r="T102" s="101"/>
      <c r="U102" s="62"/>
    </row>
    <row r="103" customFormat="false" ht="20.1" hidden="false" customHeight="true" outlineLevel="0" collapsed="false">
      <c r="B103" s="62"/>
      <c r="C103" s="101"/>
      <c r="D103" s="101"/>
      <c r="E103" s="79" t="s">
        <v>31</v>
      </c>
      <c r="F103" s="33" t="s">
        <v>32</v>
      </c>
      <c r="G103" s="241" t="n">
        <v>2</v>
      </c>
      <c r="H103" s="241" t="s">
        <v>67</v>
      </c>
      <c r="I103" s="241" t="n">
        <v>0</v>
      </c>
      <c r="J103" s="242" t="n">
        <v>122</v>
      </c>
      <c r="K103" s="242" t="s">
        <v>67</v>
      </c>
      <c r="L103" s="243" t="n">
        <f aca="false">IF(J103="",0,(J103/J106)*100)</f>
        <v>63.2124352331606</v>
      </c>
      <c r="M103" s="241" t="n">
        <v>3</v>
      </c>
      <c r="N103" s="244" t="n">
        <v>1</v>
      </c>
      <c r="O103" s="121" t="n">
        <f aca="false">IF(M103=1,1,0)</f>
        <v>0</v>
      </c>
      <c r="P103" s="122" t="n">
        <f aca="false">IF(M103=2,1,0)</f>
        <v>0</v>
      </c>
      <c r="Q103" s="122" t="n">
        <f aca="false">IF(M103=3,1,0)</f>
        <v>1</v>
      </c>
      <c r="R103" s="123" t="n">
        <f aca="false">IF(M103=4,1,0)</f>
        <v>0</v>
      </c>
      <c r="S103" s="118"/>
      <c r="T103" s="101"/>
      <c r="U103" s="62"/>
    </row>
    <row r="104" customFormat="false" ht="20.1" hidden="false" customHeight="true" outlineLevel="0" collapsed="false">
      <c r="B104" s="62"/>
      <c r="C104" s="101"/>
      <c r="D104" s="101"/>
      <c r="E104" s="174" t="s">
        <v>20</v>
      </c>
      <c r="F104" s="175" t="s">
        <v>21</v>
      </c>
      <c r="G104" s="151" t="n">
        <v>4</v>
      </c>
      <c r="H104" s="151" t="s">
        <v>67</v>
      </c>
      <c r="I104" s="151" t="n">
        <v>0</v>
      </c>
      <c r="J104" s="152" t="n">
        <v>193</v>
      </c>
      <c r="K104" s="151" t="s">
        <v>67</v>
      </c>
      <c r="L104" s="153" t="n">
        <f aca="false">IF(J104="",0,(J104/J106)*100)</f>
        <v>100</v>
      </c>
      <c r="M104" s="151" t="n">
        <v>1</v>
      </c>
      <c r="N104" s="154" t="n">
        <v>6</v>
      </c>
      <c r="O104" s="121" t="n">
        <f aca="false">IF(M104=1,1,0)</f>
        <v>1</v>
      </c>
      <c r="P104" s="122" t="n">
        <f aca="false">IF(M104=2,1,0)</f>
        <v>0</v>
      </c>
      <c r="Q104" s="122" t="n">
        <f aca="false">IF(M104=3,1,0)</f>
        <v>0</v>
      </c>
      <c r="R104" s="123" t="n">
        <f aca="false">IF(M104=4,1,0)</f>
        <v>0</v>
      </c>
      <c r="S104" s="118"/>
      <c r="T104" s="101"/>
      <c r="U104" s="62"/>
    </row>
    <row r="105" customFormat="false" ht="20.1" hidden="false" customHeight="true" outlineLevel="0" collapsed="false">
      <c r="B105" s="62"/>
      <c r="C105" s="101"/>
      <c r="D105" s="101"/>
      <c r="E105" s="349" t="s">
        <v>29</v>
      </c>
      <c r="F105" s="44" t="s">
        <v>30</v>
      </c>
      <c r="G105" s="245" t="n">
        <v>3</v>
      </c>
      <c r="H105" s="246" t="s">
        <v>67</v>
      </c>
      <c r="I105" s="245" t="n">
        <v>0</v>
      </c>
      <c r="J105" s="246" t="n">
        <v>60</v>
      </c>
      <c r="K105" s="246" t="s">
        <v>67</v>
      </c>
      <c r="L105" s="247" t="n">
        <f aca="false">IF(J105="",0,(J105/J106)*100)</f>
        <v>31.0880829015544</v>
      </c>
      <c r="M105" s="245" t="n">
        <v>4</v>
      </c>
      <c r="N105" s="248" t="n">
        <v>0</v>
      </c>
      <c r="O105" s="127" t="n">
        <f aca="false">IF(M105=1,1,0)</f>
        <v>0</v>
      </c>
      <c r="P105" s="128" t="n">
        <f aca="false">IF(M105=2,1,0)</f>
        <v>0</v>
      </c>
      <c r="Q105" s="128" t="n">
        <f aca="false">IF(M105=3,1,0)</f>
        <v>0</v>
      </c>
      <c r="R105" s="129" t="n">
        <f aca="false">IF(M105=4,1,0)</f>
        <v>1</v>
      </c>
      <c r="S105" s="118"/>
      <c r="T105" s="101"/>
      <c r="U105" s="62"/>
    </row>
    <row r="106" customFormat="false" ht="20.1" hidden="true" customHeight="true" outlineLevel="1" collapsed="false">
      <c r="B106" s="62"/>
      <c r="C106" s="101"/>
      <c r="D106" s="124"/>
      <c r="E106" s="124"/>
      <c r="F106" s="131"/>
      <c r="G106" s="131"/>
      <c r="H106" s="101"/>
      <c r="I106" s="179" t="s">
        <v>89</v>
      </c>
      <c r="J106" s="133" t="n">
        <f aca="false">MAX(J102:J105)</f>
        <v>193</v>
      </c>
      <c r="K106" s="249"/>
      <c r="L106" s="139"/>
      <c r="M106" s="101"/>
      <c r="N106" s="136" t="s">
        <v>90</v>
      </c>
      <c r="O106" s="137" t="n">
        <f aca="false">SUM(O102:O105)</f>
        <v>1</v>
      </c>
      <c r="P106" s="138" t="n">
        <f aca="false">SUM(P102:P105)</f>
        <v>1</v>
      </c>
      <c r="Q106" s="137" t="n">
        <f aca="false">SUM(Q102:Q105)</f>
        <v>1</v>
      </c>
      <c r="R106" s="160" t="n">
        <f aca="false">SUM(R102:R105)</f>
        <v>1</v>
      </c>
      <c r="S106" s="139"/>
      <c r="T106" s="101"/>
      <c r="U106" s="62"/>
    </row>
    <row r="107" customFormat="false" ht="20.1" hidden="false" customHeight="true" outlineLevel="0" collapsed="false">
      <c r="B107" s="62"/>
      <c r="C107" s="101"/>
      <c r="D107" s="101"/>
      <c r="E107" s="101"/>
      <c r="F107" s="101"/>
      <c r="G107" s="101"/>
      <c r="H107" s="101"/>
      <c r="I107" s="101"/>
      <c r="J107" s="101"/>
      <c r="K107" s="101"/>
      <c r="L107" s="101"/>
      <c r="M107" s="101"/>
      <c r="N107" s="101"/>
      <c r="O107" s="101"/>
      <c r="P107" s="101"/>
      <c r="Q107" s="101"/>
      <c r="R107" s="101"/>
      <c r="S107" s="101"/>
      <c r="T107" s="101"/>
      <c r="U107" s="62"/>
    </row>
    <row r="108" customFormat="false" ht="20.1" hidden="false" customHeight="true" outlineLevel="0" collapsed="false">
      <c r="B108" s="62"/>
      <c r="U108" s="62"/>
    </row>
    <row r="109" customFormat="false" ht="20.1" hidden="false" customHeight="true" outlineLevel="0" collapsed="false">
      <c r="B109" s="62"/>
      <c r="C109" s="141"/>
      <c r="D109" s="141"/>
      <c r="E109" s="142" t="str">
        <f aca="false">IF(OR(M93="-",M93= ""),H93,M93)</f>
        <v>Underwater Cities</v>
      </c>
      <c r="F109" s="142"/>
      <c r="G109" s="142"/>
      <c r="H109" s="142"/>
      <c r="I109" s="142"/>
      <c r="J109" s="142"/>
      <c r="K109" s="142"/>
      <c r="L109" s="142"/>
      <c r="M109" s="142"/>
      <c r="N109" s="142"/>
      <c r="O109" s="143"/>
      <c r="P109" s="143"/>
      <c r="Q109" s="143"/>
      <c r="R109" s="143"/>
      <c r="S109" s="143"/>
      <c r="T109" s="141"/>
      <c r="U109" s="62"/>
    </row>
    <row r="110" customFormat="false" ht="50.1" hidden="false" customHeight="true" outlineLevel="0" collapsed="false">
      <c r="B110" s="62"/>
      <c r="C110" s="141"/>
      <c r="D110" s="143"/>
      <c r="E110" s="65" t="s">
        <v>53</v>
      </c>
      <c r="F110" s="104" t="s">
        <v>76</v>
      </c>
      <c r="G110" s="67" t="s">
        <v>77</v>
      </c>
      <c r="H110" s="66" t="s">
        <v>78</v>
      </c>
      <c r="I110" s="54" t="s">
        <v>79</v>
      </c>
      <c r="J110" s="66" t="s">
        <v>80</v>
      </c>
      <c r="K110" s="105" t="s">
        <v>81</v>
      </c>
      <c r="L110" s="66" t="s">
        <v>82</v>
      </c>
      <c r="M110" s="106" t="s">
        <v>83</v>
      </c>
      <c r="N110" s="67" t="s">
        <v>84</v>
      </c>
      <c r="O110" s="107" t="s">
        <v>85</v>
      </c>
      <c r="P110" s="108" t="s">
        <v>86</v>
      </c>
      <c r="Q110" s="108" t="s">
        <v>87</v>
      </c>
      <c r="R110" s="13" t="s">
        <v>88</v>
      </c>
      <c r="S110" s="143"/>
      <c r="T110" s="141"/>
      <c r="U110" s="62"/>
    </row>
    <row r="111" customFormat="false" ht="20.1" hidden="false" customHeight="true" outlineLevel="0" collapsed="false">
      <c r="B111" s="62"/>
      <c r="C111" s="141"/>
      <c r="D111" s="148"/>
      <c r="E111" s="318" t="s">
        <v>37</v>
      </c>
      <c r="F111" s="16" t="s">
        <v>38</v>
      </c>
      <c r="G111" s="250" t="n">
        <v>1</v>
      </c>
      <c r="H111" s="250" t="s">
        <v>547</v>
      </c>
      <c r="I111" s="250" t="n">
        <v>2</v>
      </c>
      <c r="J111" s="251" t="n">
        <v>82</v>
      </c>
      <c r="K111" s="250" t="s">
        <v>67</v>
      </c>
      <c r="L111" s="253" t="n">
        <f aca="false">IF(J111="",0,(J111/J115)*100)</f>
        <v>70.6896551724138</v>
      </c>
      <c r="M111" s="250" t="n">
        <v>3</v>
      </c>
      <c r="N111" s="254" t="n">
        <v>1</v>
      </c>
      <c r="O111" s="115" t="n">
        <f aca="false">IF(M111=1,1,0)</f>
        <v>0</v>
      </c>
      <c r="P111" s="116" t="n">
        <f aca="false">IF(M111=2,1,0)</f>
        <v>0</v>
      </c>
      <c r="Q111" s="116" t="n">
        <f aca="false">IF(M111=3,1,0)</f>
        <v>1</v>
      </c>
      <c r="R111" s="117" t="n">
        <f aca="false">IF(M111=4,1,0)</f>
        <v>0</v>
      </c>
      <c r="S111" s="147"/>
      <c r="T111" s="141"/>
      <c r="U111" s="62"/>
    </row>
    <row r="112" customFormat="false" ht="20.1" hidden="false" customHeight="true" outlineLevel="0" collapsed="false">
      <c r="B112" s="62"/>
      <c r="C112" s="141"/>
      <c r="D112" s="141"/>
      <c r="E112" s="79" t="s">
        <v>31</v>
      </c>
      <c r="F112" s="33" t="s">
        <v>32</v>
      </c>
      <c r="G112" s="241" t="n">
        <v>4</v>
      </c>
      <c r="H112" s="241" t="s">
        <v>548</v>
      </c>
      <c r="I112" s="241" t="n">
        <v>2</v>
      </c>
      <c r="J112" s="242" t="n">
        <v>99</v>
      </c>
      <c r="K112" s="242" t="s">
        <v>67</v>
      </c>
      <c r="L112" s="243" t="n">
        <f aca="false">IF(J112="",0,(J112/J115)*100)</f>
        <v>85.3448275862069</v>
      </c>
      <c r="M112" s="241" t="n">
        <v>2</v>
      </c>
      <c r="N112" s="244" t="n">
        <v>3</v>
      </c>
      <c r="O112" s="121" t="n">
        <f aca="false">IF(M112=1,1,0)</f>
        <v>0</v>
      </c>
      <c r="P112" s="122" t="n">
        <f aca="false">IF(M112=2,1,0)</f>
        <v>1</v>
      </c>
      <c r="Q112" s="122" t="n">
        <f aca="false">IF(M112=3,1,0)</f>
        <v>0</v>
      </c>
      <c r="R112" s="123" t="n">
        <f aca="false">IF(M112=4,1,0)</f>
        <v>0</v>
      </c>
      <c r="S112" s="147"/>
      <c r="T112" s="141"/>
      <c r="U112" s="62"/>
    </row>
    <row r="113" customFormat="false" ht="20.1" hidden="false" customHeight="true" outlineLevel="0" collapsed="false">
      <c r="B113" s="62"/>
      <c r="C113" s="141"/>
      <c r="D113" s="148"/>
      <c r="E113" s="174" t="s">
        <v>20</v>
      </c>
      <c r="F113" s="175" t="s">
        <v>21</v>
      </c>
      <c r="G113" s="151" t="n">
        <v>2</v>
      </c>
      <c r="H113" s="151" t="s">
        <v>549</v>
      </c>
      <c r="I113" s="151" t="n">
        <v>2</v>
      </c>
      <c r="J113" s="152" t="n">
        <v>116</v>
      </c>
      <c r="K113" s="151" t="s">
        <v>67</v>
      </c>
      <c r="L113" s="153" t="n">
        <f aca="false">IF(J113="",0,(J113/J115)*100)</f>
        <v>100</v>
      </c>
      <c r="M113" s="151" t="n">
        <v>1</v>
      </c>
      <c r="N113" s="154" t="n">
        <v>6</v>
      </c>
      <c r="O113" s="121" t="n">
        <f aca="false">IF(M113=1,1,0)</f>
        <v>1</v>
      </c>
      <c r="P113" s="122" t="n">
        <f aca="false">IF(M113=2,1,0)</f>
        <v>0</v>
      </c>
      <c r="Q113" s="122" t="n">
        <f aca="false">IF(M113=3,1,0)</f>
        <v>0</v>
      </c>
      <c r="R113" s="123" t="n">
        <f aca="false">IF(M113=4,1,0)</f>
        <v>0</v>
      </c>
      <c r="S113" s="147"/>
      <c r="T113" s="141"/>
      <c r="U113" s="62"/>
    </row>
    <row r="114" customFormat="false" ht="20.1" hidden="false" customHeight="true" outlineLevel="0" collapsed="false">
      <c r="B114" s="62"/>
      <c r="C114" s="141"/>
      <c r="D114" s="141"/>
      <c r="E114" s="349" t="s">
        <v>29</v>
      </c>
      <c r="F114" s="44" t="s">
        <v>30</v>
      </c>
      <c r="G114" s="245" t="n">
        <v>3</v>
      </c>
      <c r="H114" s="246" t="s">
        <v>550</v>
      </c>
      <c r="I114" s="245" t="n">
        <v>2</v>
      </c>
      <c r="J114" s="246" t="n">
        <v>70</v>
      </c>
      <c r="K114" s="246" t="s">
        <v>67</v>
      </c>
      <c r="L114" s="247" t="n">
        <f aca="false">IF(J114="",0,(J114/J115)*100)</f>
        <v>60.3448275862069</v>
      </c>
      <c r="M114" s="245" t="n">
        <v>4</v>
      </c>
      <c r="N114" s="248" t="n">
        <v>0</v>
      </c>
      <c r="O114" s="127" t="n">
        <f aca="false">IF(M114=1,1,0)</f>
        <v>0</v>
      </c>
      <c r="P114" s="128" t="n">
        <f aca="false">IF(M114=2,1,0)</f>
        <v>0</v>
      </c>
      <c r="Q114" s="128" t="n">
        <f aca="false">IF(M114=3,1,0)</f>
        <v>0</v>
      </c>
      <c r="R114" s="129" t="n">
        <f aca="false">IF(M114=4,1,0)</f>
        <v>1</v>
      </c>
      <c r="S114" s="147"/>
      <c r="T114" s="141"/>
      <c r="U114" s="62"/>
    </row>
    <row r="115" customFormat="false" ht="20.1" hidden="true" customHeight="true" outlineLevel="1" collapsed="false">
      <c r="B115" s="62"/>
      <c r="C115" s="141"/>
      <c r="D115" s="141"/>
      <c r="E115" s="148"/>
      <c r="F115" s="502"/>
      <c r="G115" s="502"/>
      <c r="H115" s="148"/>
      <c r="I115" s="503" t="s">
        <v>89</v>
      </c>
      <c r="J115" s="136" t="n">
        <f aca="false">MAX(J111:J114)</f>
        <v>116</v>
      </c>
      <c r="K115" s="504"/>
      <c r="L115" s="161"/>
      <c r="M115" s="148"/>
      <c r="N115" s="136" t="s">
        <v>90</v>
      </c>
      <c r="O115" s="137" t="n">
        <f aca="false">SUM(O111:O114)</f>
        <v>1</v>
      </c>
      <c r="P115" s="138" t="n">
        <f aca="false">SUM(P111:P114)</f>
        <v>1</v>
      </c>
      <c r="Q115" s="137" t="n">
        <f aca="false">SUM(Q111:Q114)</f>
        <v>1</v>
      </c>
      <c r="R115" s="160" t="n">
        <f aca="false">SUM(R111:R114)</f>
        <v>1</v>
      </c>
      <c r="S115" s="161"/>
      <c r="T115" s="141"/>
      <c r="U115" s="62"/>
    </row>
    <row r="116" customFormat="false" ht="20.1" hidden="false" customHeight="true" outlineLevel="0" collapsed="false">
      <c r="B116" s="62"/>
      <c r="C116" s="141"/>
      <c r="D116" s="141"/>
      <c r="E116" s="141"/>
      <c r="F116" s="141"/>
      <c r="G116" s="141"/>
      <c r="H116" s="141"/>
      <c r="I116" s="141"/>
      <c r="J116" s="141"/>
      <c r="K116" s="141"/>
      <c r="L116" s="141"/>
      <c r="M116" s="141"/>
      <c r="N116" s="141"/>
      <c r="O116" s="141"/>
      <c r="P116" s="141"/>
      <c r="Q116" s="141"/>
      <c r="R116" s="141"/>
      <c r="S116" s="141"/>
      <c r="T116" s="141"/>
      <c r="U116" s="62"/>
    </row>
    <row r="117" customFormat="false" ht="20.1" hidden="false" customHeight="true" outlineLevel="0" collapsed="false">
      <c r="B117" s="62"/>
      <c r="D117" s="162"/>
      <c r="E117" s="162"/>
      <c r="F117" s="162"/>
      <c r="G117" s="162"/>
      <c r="H117" s="163"/>
      <c r="I117" s="162"/>
      <c r="J117" s="162"/>
      <c r="U117" s="62"/>
    </row>
    <row r="118" customFormat="false" ht="20.1" hidden="false" customHeight="true" outlineLevel="0" collapsed="false">
      <c r="B118" s="62"/>
      <c r="C118" s="164"/>
      <c r="D118" s="164"/>
      <c r="E118" s="165" t="str">
        <f aca="false">IF(OR(M95="-",M95= ""),H95,M95)</f>
        <v>Flügelschlag</v>
      </c>
      <c r="F118" s="165"/>
      <c r="G118" s="165"/>
      <c r="H118" s="165"/>
      <c r="I118" s="165"/>
      <c r="J118" s="165"/>
      <c r="K118" s="165"/>
      <c r="L118" s="165"/>
      <c r="M118" s="165"/>
      <c r="N118" s="165"/>
      <c r="O118" s="166"/>
      <c r="P118" s="166"/>
      <c r="Q118" s="166"/>
      <c r="R118" s="166"/>
      <c r="S118" s="166"/>
      <c r="T118" s="164"/>
      <c r="U118" s="167"/>
    </row>
    <row r="119" customFormat="false" ht="50.1" hidden="false" customHeight="true" outlineLevel="0" collapsed="false">
      <c r="B119" s="62"/>
      <c r="C119" s="164"/>
      <c r="D119" s="166"/>
      <c r="E119" s="65" t="s">
        <v>53</v>
      </c>
      <c r="F119" s="104" t="s">
        <v>76</v>
      </c>
      <c r="G119" s="67" t="s">
        <v>77</v>
      </c>
      <c r="H119" s="66" t="s">
        <v>78</v>
      </c>
      <c r="I119" s="54" t="s">
        <v>79</v>
      </c>
      <c r="J119" s="66" t="s">
        <v>80</v>
      </c>
      <c r="K119" s="105" t="s">
        <v>81</v>
      </c>
      <c r="L119" s="66" t="s">
        <v>82</v>
      </c>
      <c r="M119" s="106" t="s">
        <v>83</v>
      </c>
      <c r="N119" s="67" t="s">
        <v>84</v>
      </c>
      <c r="O119" s="107" t="s">
        <v>85</v>
      </c>
      <c r="P119" s="108" t="s">
        <v>86</v>
      </c>
      <c r="Q119" s="108" t="s">
        <v>87</v>
      </c>
      <c r="R119" s="13" t="s">
        <v>88</v>
      </c>
      <c r="S119" s="166"/>
      <c r="T119" s="164"/>
      <c r="U119" s="167"/>
    </row>
    <row r="120" customFormat="false" ht="29.1" hidden="false" customHeight="true" outlineLevel="0" collapsed="false">
      <c r="B120" s="62"/>
      <c r="C120" s="164"/>
      <c r="D120" s="171"/>
      <c r="E120" s="318" t="s">
        <v>37</v>
      </c>
      <c r="F120" s="16" t="s">
        <v>38</v>
      </c>
      <c r="G120" s="250" t="n">
        <v>1</v>
      </c>
      <c r="H120" s="250" t="s">
        <v>67</v>
      </c>
      <c r="I120" s="250" t="n">
        <v>0</v>
      </c>
      <c r="J120" s="251" t="n">
        <v>64</v>
      </c>
      <c r="K120" s="251" t="s">
        <v>551</v>
      </c>
      <c r="L120" s="253" t="n">
        <f aca="false">IF(J120="",0,(J120/J124)*100)</f>
        <v>73.5632183908046</v>
      </c>
      <c r="M120" s="250" t="n">
        <v>4</v>
      </c>
      <c r="N120" s="254" t="n">
        <v>0</v>
      </c>
      <c r="O120" s="115" t="n">
        <f aca="false">IF(M120=1,1,0)</f>
        <v>0</v>
      </c>
      <c r="P120" s="116" t="n">
        <f aca="false">IF(M120=2,1,0)</f>
        <v>0</v>
      </c>
      <c r="Q120" s="116" t="n">
        <f aca="false">IF(M120=3,1,0)</f>
        <v>0</v>
      </c>
      <c r="R120" s="117" t="n">
        <f aca="false">IF(M120=4,1,0)</f>
        <v>1</v>
      </c>
      <c r="S120" s="170"/>
      <c r="T120" s="164"/>
      <c r="U120" s="62"/>
    </row>
    <row r="121" customFormat="false" ht="20.1" hidden="false" customHeight="true" outlineLevel="0" collapsed="false">
      <c r="B121" s="62"/>
      <c r="C121" s="164"/>
      <c r="D121" s="164"/>
      <c r="E121" s="149" t="s">
        <v>31</v>
      </c>
      <c r="F121" s="175" t="s">
        <v>32</v>
      </c>
      <c r="G121" s="151" t="n">
        <v>2</v>
      </c>
      <c r="H121" s="151" t="s">
        <v>67</v>
      </c>
      <c r="I121" s="151" t="n">
        <v>0</v>
      </c>
      <c r="J121" s="152" t="n">
        <v>87</v>
      </c>
      <c r="K121" s="152" t="s">
        <v>67</v>
      </c>
      <c r="L121" s="153" t="n">
        <f aca="false">IF(J121="",0,(J121/J124)*100)</f>
        <v>100</v>
      </c>
      <c r="M121" s="151" t="n">
        <v>1</v>
      </c>
      <c r="N121" s="154" t="n">
        <v>6</v>
      </c>
      <c r="O121" s="121" t="n">
        <f aca="false">IF(M121=1,1,0)</f>
        <v>1</v>
      </c>
      <c r="P121" s="122" t="n">
        <f aca="false">IF(M121=2,1,0)</f>
        <v>0</v>
      </c>
      <c r="Q121" s="122" t="n">
        <f aca="false">IF(M121=3,1,0)</f>
        <v>0</v>
      </c>
      <c r="R121" s="123" t="n">
        <f aca="false">IF(M121=4,1,0)</f>
        <v>0</v>
      </c>
      <c r="S121" s="170"/>
      <c r="T121" s="164"/>
      <c r="U121" s="173"/>
    </row>
    <row r="122" customFormat="false" ht="20.1" hidden="false" customHeight="true" outlineLevel="0" collapsed="false">
      <c r="B122" s="62"/>
      <c r="C122" s="164"/>
      <c r="D122" s="164"/>
      <c r="E122" s="326" t="s">
        <v>20</v>
      </c>
      <c r="F122" s="33" t="s">
        <v>21</v>
      </c>
      <c r="G122" s="241" t="n">
        <v>4</v>
      </c>
      <c r="H122" s="241" t="s">
        <v>67</v>
      </c>
      <c r="I122" s="241" t="n">
        <v>0</v>
      </c>
      <c r="J122" s="242" t="n">
        <v>83</v>
      </c>
      <c r="K122" s="241" t="s">
        <v>67</v>
      </c>
      <c r="L122" s="243" t="n">
        <f aca="false">IF(J122="",0,(J122/J124)*100)</f>
        <v>95.4022988505747</v>
      </c>
      <c r="M122" s="241" t="n">
        <v>2</v>
      </c>
      <c r="N122" s="244" t="n">
        <v>3</v>
      </c>
      <c r="O122" s="121" t="n">
        <f aca="false">IF(M122=1,1,0)</f>
        <v>0</v>
      </c>
      <c r="P122" s="122" t="n">
        <f aca="false">IF(M122=2,1,0)</f>
        <v>1</v>
      </c>
      <c r="Q122" s="122" t="n">
        <f aca="false">IF(M122=3,1,0)</f>
        <v>0</v>
      </c>
      <c r="R122" s="123" t="n">
        <f aca="false">IF(M122=4,1,0)</f>
        <v>0</v>
      </c>
      <c r="S122" s="170"/>
      <c r="T122" s="164"/>
      <c r="U122" s="173"/>
    </row>
    <row r="123" customFormat="false" ht="29.1" hidden="false" customHeight="true" outlineLevel="0" collapsed="false">
      <c r="B123" s="62"/>
      <c r="C123" s="164"/>
      <c r="D123" s="164"/>
      <c r="E123" s="349" t="s">
        <v>29</v>
      </c>
      <c r="F123" s="44" t="s">
        <v>30</v>
      </c>
      <c r="G123" s="245" t="n">
        <v>3</v>
      </c>
      <c r="H123" s="246" t="s">
        <v>67</v>
      </c>
      <c r="I123" s="245" t="n">
        <v>0</v>
      </c>
      <c r="J123" s="246" t="n">
        <v>64</v>
      </c>
      <c r="K123" s="246" t="s">
        <v>552</v>
      </c>
      <c r="L123" s="247" t="n">
        <f aca="false">IF(J123="",0,(J123/J124)*100)</f>
        <v>73.5632183908046</v>
      </c>
      <c r="M123" s="245" t="n">
        <v>3</v>
      </c>
      <c r="N123" s="248" t="n">
        <v>1</v>
      </c>
      <c r="O123" s="127" t="n">
        <f aca="false">IF(M123=1,1,0)</f>
        <v>0</v>
      </c>
      <c r="P123" s="128" t="n">
        <f aca="false">IF(M123=2,1,0)</f>
        <v>0</v>
      </c>
      <c r="Q123" s="128" t="n">
        <f aca="false">IF(M123=3,1,0)</f>
        <v>1</v>
      </c>
      <c r="R123" s="129" t="n">
        <f aca="false">IF(M123=4,1,0)</f>
        <v>0</v>
      </c>
      <c r="S123" s="170"/>
      <c r="T123" s="164"/>
      <c r="U123" s="173"/>
    </row>
    <row r="124" customFormat="false" ht="20.1" hidden="true" customHeight="true" outlineLevel="1" collapsed="false">
      <c r="B124" s="62"/>
      <c r="C124" s="164"/>
      <c r="D124" s="164"/>
      <c r="E124" s="164"/>
      <c r="F124" s="178"/>
      <c r="G124" s="178"/>
      <c r="H124" s="164"/>
      <c r="I124" s="179" t="s">
        <v>89</v>
      </c>
      <c r="J124" s="133" t="n">
        <f aca="false">MAX(J120:J123)</f>
        <v>87</v>
      </c>
      <c r="K124" s="180"/>
      <c r="L124" s="170"/>
      <c r="M124" s="164"/>
      <c r="N124" s="136" t="s">
        <v>90</v>
      </c>
      <c r="O124" s="137" t="n">
        <f aca="false">SUM(O120:O123)</f>
        <v>1</v>
      </c>
      <c r="P124" s="138" t="n">
        <f aca="false">SUM(P120:P123)</f>
        <v>1</v>
      </c>
      <c r="Q124" s="137" t="n">
        <f aca="false">SUM(Q120:Q123)</f>
        <v>1</v>
      </c>
      <c r="R124" s="160" t="n">
        <f aca="false">SUM(R120:R123)</f>
        <v>1</v>
      </c>
      <c r="S124" s="181"/>
      <c r="T124" s="164"/>
      <c r="U124" s="173"/>
    </row>
    <row r="125" customFormat="false" ht="20.1" hidden="false" customHeight="true" outlineLevel="0" collapsed="false">
      <c r="B125" s="62"/>
      <c r="C125" s="164"/>
      <c r="D125" s="164"/>
      <c r="E125" s="164"/>
      <c r="F125" s="164"/>
      <c r="G125" s="164"/>
      <c r="H125" s="164"/>
      <c r="I125" s="164"/>
      <c r="J125" s="164"/>
      <c r="K125" s="164"/>
      <c r="L125" s="164"/>
      <c r="M125" s="164"/>
      <c r="N125" s="164"/>
      <c r="O125" s="164"/>
      <c r="P125" s="164"/>
      <c r="Q125" s="164"/>
      <c r="R125" s="164"/>
      <c r="S125" s="164"/>
      <c r="T125" s="164"/>
      <c r="U125" s="173"/>
    </row>
    <row r="126" customFormat="false" ht="20.1" hidden="false" customHeight="true" outlineLevel="0" collapsed="false">
      <c r="B126" s="62"/>
      <c r="D126" s="162"/>
      <c r="E126" s="162"/>
      <c r="F126" s="162"/>
      <c r="G126" s="162"/>
      <c r="H126" s="163"/>
      <c r="I126" s="162"/>
      <c r="J126" s="162"/>
      <c r="K126" s="162"/>
      <c r="U126" s="62"/>
    </row>
    <row r="127" customFormat="false" ht="20.1" hidden="false" customHeight="true" outlineLevel="0" collapsed="false">
      <c r="B127" s="62"/>
      <c r="C127" s="182"/>
      <c r="D127" s="182"/>
      <c r="E127" s="183" t="str">
        <f aca="false">IF(OR(L98="-",L98= ""),H98,L98)</f>
        <v>Helios</v>
      </c>
      <c r="F127" s="183"/>
      <c r="G127" s="183"/>
      <c r="H127" s="183"/>
      <c r="I127" s="183"/>
      <c r="J127" s="183"/>
      <c r="K127" s="183"/>
      <c r="L127" s="183"/>
      <c r="M127" s="183"/>
      <c r="N127" s="183"/>
      <c r="O127" s="184"/>
      <c r="P127" s="184"/>
      <c r="Q127" s="184"/>
      <c r="R127" s="184"/>
      <c r="S127" s="184"/>
      <c r="T127" s="182"/>
      <c r="U127" s="62"/>
    </row>
    <row r="128" customFormat="false" ht="50.1" hidden="false" customHeight="true" outlineLevel="0" collapsed="false">
      <c r="B128" s="62"/>
      <c r="C128" s="182"/>
      <c r="D128" s="184"/>
      <c r="E128" s="65" t="s">
        <v>53</v>
      </c>
      <c r="F128" s="104" t="s">
        <v>76</v>
      </c>
      <c r="G128" s="67" t="s">
        <v>77</v>
      </c>
      <c r="H128" s="66" t="s">
        <v>78</v>
      </c>
      <c r="I128" s="54" t="s">
        <v>79</v>
      </c>
      <c r="J128" s="66" t="s">
        <v>80</v>
      </c>
      <c r="K128" s="105" t="s">
        <v>81</v>
      </c>
      <c r="L128" s="66" t="s">
        <v>82</v>
      </c>
      <c r="M128" s="106" t="s">
        <v>83</v>
      </c>
      <c r="N128" s="67" t="s">
        <v>84</v>
      </c>
      <c r="O128" s="107" t="s">
        <v>85</v>
      </c>
      <c r="P128" s="108" t="s">
        <v>86</v>
      </c>
      <c r="Q128" s="108" t="s">
        <v>87</v>
      </c>
      <c r="R128" s="13" t="s">
        <v>88</v>
      </c>
      <c r="S128" s="184"/>
      <c r="T128" s="182"/>
      <c r="U128" s="62"/>
    </row>
    <row r="129" customFormat="false" ht="20.1" hidden="false" customHeight="true" outlineLevel="0" collapsed="false">
      <c r="B129" s="62"/>
      <c r="C129" s="182"/>
      <c r="D129" s="182"/>
      <c r="E129" s="318" t="s">
        <v>37</v>
      </c>
      <c r="F129" s="16" t="s">
        <v>38</v>
      </c>
      <c r="G129" s="250" t="n">
        <v>3</v>
      </c>
      <c r="H129" s="250" t="s">
        <v>67</v>
      </c>
      <c r="I129" s="250" t="n">
        <v>0</v>
      </c>
      <c r="J129" s="251" t="n">
        <v>120</v>
      </c>
      <c r="K129" s="250" t="s">
        <v>67</v>
      </c>
      <c r="L129" s="253" t="n">
        <f aca="false">IF(J129="",0,(J129/J133)*100)</f>
        <v>68.1818181818182</v>
      </c>
      <c r="M129" s="250" t="n">
        <v>2</v>
      </c>
      <c r="N129" s="254" t="n">
        <v>3</v>
      </c>
      <c r="O129" s="115" t="n">
        <f aca="false">IF(M129=1,1,0)</f>
        <v>0</v>
      </c>
      <c r="P129" s="116" t="n">
        <f aca="false">IF(M129=2,1,0)</f>
        <v>1</v>
      </c>
      <c r="Q129" s="116" t="n">
        <f aca="false">IF(M129=3,1,0)</f>
        <v>0</v>
      </c>
      <c r="R129" s="117" t="n">
        <f aca="false">IF(M129=4,1,0)</f>
        <v>0</v>
      </c>
      <c r="S129" s="185"/>
      <c r="T129" s="182"/>
      <c r="U129" s="62"/>
    </row>
    <row r="130" customFormat="false" ht="20.1" hidden="false" customHeight="true" outlineLevel="0" collapsed="false">
      <c r="B130" s="62"/>
      <c r="C130" s="182"/>
      <c r="D130" s="182"/>
      <c r="E130" s="79" t="s">
        <v>31</v>
      </c>
      <c r="F130" s="33" t="s">
        <v>32</v>
      </c>
      <c r="G130" s="241" t="n">
        <v>2</v>
      </c>
      <c r="H130" s="241" t="s">
        <v>67</v>
      </c>
      <c r="I130" s="241" t="n">
        <v>0</v>
      </c>
      <c r="J130" s="242" t="n">
        <v>101</v>
      </c>
      <c r="K130" s="242" t="s">
        <v>67</v>
      </c>
      <c r="L130" s="243" t="n">
        <f aca="false">IF(J130="",0,(J130/J133)*100)</f>
        <v>57.3863636363636</v>
      </c>
      <c r="M130" s="241" t="n">
        <v>3</v>
      </c>
      <c r="N130" s="244" t="n">
        <v>1</v>
      </c>
      <c r="O130" s="121" t="n">
        <f aca="false">IF(M130=1,1,0)</f>
        <v>0</v>
      </c>
      <c r="P130" s="122" t="n">
        <f aca="false">IF(M130=2,1,0)</f>
        <v>0</v>
      </c>
      <c r="Q130" s="122" t="n">
        <f aca="false">IF(M130=3,1,0)</f>
        <v>1</v>
      </c>
      <c r="R130" s="123" t="n">
        <f aca="false">IF(M130=4,1,0)</f>
        <v>0</v>
      </c>
      <c r="S130" s="185"/>
      <c r="T130" s="182"/>
      <c r="U130" s="62"/>
    </row>
    <row r="131" customFormat="false" ht="20.1" hidden="false" customHeight="true" outlineLevel="0" collapsed="false">
      <c r="B131" s="62"/>
      <c r="C131" s="182"/>
      <c r="D131" s="182"/>
      <c r="E131" s="174" t="s">
        <v>20</v>
      </c>
      <c r="F131" s="175" t="s">
        <v>21</v>
      </c>
      <c r="G131" s="151" t="n">
        <v>1</v>
      </c>
      <c r="H131" s="151" t="s">
        <v>67</v>
      </c>
      <c r="I131" s="151" t="n">
        <v>0</v>
      </c>
      <c r="J131" s="152" t="n">
        <v>176</v>
      </c>
      <c r="K131" s="151" t="s">
        <v>67</v>
      </c>
      <c r="L131" s="153" t="n">
        <f aca="false">IF(J131="",0,(J131/J133)*100)</f>
        <v>100</v>
      </c>
      <c r="M131" s="151" t="n">
        <v>1</v>
      </c>
      <c r="N131" s="154" t="n">
        <v>6</v>
      </c>
      <c r="O131" s="121" t="n">
        <f aca="false">IF(M131=1,1,0)</f>
        <v>1</v>
      </c>
      <c r="P131" s="122" t="n">
        <f aca="false">IF(M131=2,1,0)</f>
        <v>0</v>
      </c>
      <c r="Q131" s="122" t="n">
        <f aca="false">IF(M131=3,1,0)</f>
        <v>0</v>
      </c>
      <c r="R131" s="123" t="n">
        <f aca="false">IF(M131=4,1,0)</f>
        <v>0</v>
      </c>
      <c r="S131" s="185"/>
      <c r="T131" s="182"/>
      <c r="U131" s="62"/>
    </row>
    <row r="132" customFormat="false" ht="20.1" hidden="false" customHeight="true" outlineLevel="0" collapsed="false">
      <c r="B132" s="62"/>
      <c r="C132" s="182"/>
      <c r="D132" s="186"/>
      <c r="E132" s="349" t="s">
        <v>29</v>
      </c>
      <c r="F132" s="44" t="s">
        <v>30</v>
      </c>
      <c r="G132" s="245" t="n">
        <v>4</v>
      </c>
      <c r="H132" s="246" t="s">
        <v>67</v>
      </c>
      <c r="I132" s="245" t="n">
        <v>0</v>
      </c>
      <c r="J132" s="246" t="n">
        <v>67</v>
      </c>
      <c r="K132" s="246" t="s">
        <v>67</v>
      </c>
      <c r="L132" s="247" t="n">
        <f aca="false">IF(J132="",0,(J132/J133)*100)</f>
        <v>38.0681818181818</v>
      </c>
      <c r="M132" s="245" t="n">
        <v>4</v>
      </c>
      <c r="N132" s="248" t="n">
        <v>0</v>
      </c>
      <c r="O132" s="127" t="n">
        <f aca="false">IF(M132=1,1,0)</f>
        <v>0</v>
      </c>
      <c r="P132" s="128" t="n">
        <f aca="false">IF(M132=2,1,0)</f>
        <v>0</v>
      </c>
      <c r="Q132" s="128" t="n">
        <f aca="false">IF(M132=3,1,0)</f>
        <v>0</v>
      </c>
      <c r="R132" s="129" t="n">
        <f aca="false">IF(M132=4,1,0)</f>
        <v>1</v>
      </c>
      <c r="S132" s="185"/>
      <c r="T132" s="182"/>
      <c r="U132" s="62"/>
    </row>
    <row r="133" customFormat="false" ht="20.1" hidden="true" customHeight="true" outlineLevel="1" collapsed="false">
      <c r="B133" s="62"/>
      <c r="C133" s="182"/>
      <c r="D133" s="182"/>
      <c r="E133" s="182"/>
      <c r="F133" s="187"/>
      <c r="G133" s="187"/>
      <c r="H133" s="182"/>
      <c r="I133" s="179" t="s">
        <v>89</v>
      </c>
      <c r="J133" s="133" t="n">
        <f aca="false">MAX(J129:J132)</f>
        <v>176</v>
      </c>
      <c r="K133" s="188"/>
      <c r="L133" s="185"/>
      <c r="M133" s="182"/>
      <c r="N133" s="136" t="s">
        <v>90</v>
      </c>
      <c r="O133" s="137" t="n">
        <f aca="false">SUM(O129:O132)</f>
        <v>1</v>
      </c>
      <c r="P133" s="138" t="n">
        <f aca="false">SUM(P129:P132)</f>
        <v>1</v>
      </c>
      <c r="Q133" s="137" t="n">
        <f aca="false">SUM(Q129:Q132)</f>
        <v>1</v>
      </c>
      <c r="R133" s="160" t="n">
        <f aca="false">SUM(R129:R132)</f>
        <v>1</v>
      </c>
      <c r="S133" s="189"/>
      <c r="T133" s="182"/>
      <c r="U133" s="62"/>
    </row>
    <row r="134" customFormat="false" ht="20.1" hidden="false" customHeight="true" outlineLevel="0" collapsed="false">
      <c r="B134" s="62"/>
      <c r="C134" s="182"/>
      <c r="D134" s="182"/>
      <c r="E134" s="182"/>
      <c r="F134" s="182"/>
      <c r="G134" s="182"/>
      <c r="H134" s="182"/>
      <c r="I134" s="182"/>
      <c r="J134" s="182"/>
      <c r="K134" s="182"/>
      <c r="L134" s="182"/>
      <c r="M134" s="182"/>
      <c r="N134" s="182"/>
      <c r="O134" s="182"/>
      <c r="P134" s="182"/>
      <c r="Q134" s="182"/>
      <c r="R134" s="182"/>
      <c r="S134" s="182"/>
      <c r="T134" s="182"/>
      <c r="U134" s="62"/>
    </row>
    <row r="135" customFormat="false" ht="20.1" hidden="false" customHeight="true" outlineLevel="0" collapsed="false">
      <c r="B135" s="62"/>
      <c r="D135" s="5"/>
      <c r="E135" s="5"/>
      <c r="F135" s="5"/>
      <c r="G135" s="5"/>
      <c r="H135" s="5"/>
      <c r="I135" s="5"/>
      <c r="J135" s="5"/>
      <c r="U135" s="62"/>
    </row>
    <row r="136" customFormat="false" ht="30" hidden="false" customHeight="true" outlineLevel="0" collapsed="false">
      <c r="B136" s="62"/>
      <c r="C136" s="190"/>
      <c r="D136" s="191" t="s">
        <v>135</v>
      </c>
      <c r="E136" s="191"/>
      <c r="F136" s="191"/>
      <c r="G136" s="191"/>
      <c r="H136" s="191"/>
      <c r="I136" s="191"/>
      <c r="J136" s="191"/>
      <c r="K136" s="191"/>
      <c r="L136" s="191"/>
      <c r="M136" s="191"/>
      <c r="N136" s="191"/>
      <c r="O136" s="191"/>
      <c r="P136" s="191"/>
      <c r="Q136" s="191"/>
      <c r="R136" s="191"/>
      <c r="S136" s="191"/>
      <c r="T136" s="190"/>
      <c r="U136" s="62"/>
    </row>
    <row r="137" customFormat="false" ht="50.1" hidden="false" customHeight="true" outlineLevel="0" collapsed="false">
      <c r="B137" s="62"/>
      <c r="C137" s="190"/>
      <c r="D137" s="192" t="s">
        <v>53</v>
      </c>
      <c r="E137" s="193" t="s">
        <v>54</v>
      </c>
      <c r="F137" s="194" t="s">
        <v>84</v>
      </c>
      <c r="G137" s="195" t="s">
        <v>100</v>
      </c>
      <c r="H137" s="196" t="s">
        <v>101</v>
      </c>
      <c r="I137" s="196"/>
      <c r="J137" s="197" t="s">
        <v>102</v>
      </c>
      <c r="K137" s="198" t="s">
        <v>103</v>
      </c>
      <c r="L137" s="194" t="s">
        <v>104</v>
      </c>
      <c r="M137" s="198" t="s">
        <v>105</v>
      </c>
      <c r="N137" s="194" t="s">
        <v>106</v>
      </c>
      <c r="O137" s="199"/>
      <c r="P137" s="200"/>
      <c r="Q137" s="200"/>
      <c r="R137" s="200"/>
      <c r="S137" s="193" t="s">
        <v>107</v>
      </c>
      <c r="T137" s="190"/>
      <c r="U137" s="62"/>
    </row>
    <row r="138" customFormat="false" ht="20.1" hidden="false" customHeight="true" outlineLevel="0" collapsed="false">
      <c r="B138" s="62"/>
      <c r="C138" s="190"/>
      <c r="D138" s="425" t="s">
        <v>20</v>
      </c>
      <c r="E138" s="302" t="s">
        <v>21</v>
      </c>
      <c r="F138" s="258" t="n">
        <f aca="false">K138*6+L138*3+M138*1+N138*0</f>
        <v>21</v>
      </c>
      <c r="G138" s="259" t="n">
        <v>0</v>
      </c>
      <c r="H138" s="259" t="s">
        <v>67</v>
      </c>
      <c r="I138" s="259"/>
      <c r="J138" s="258" t="n">
        <f aca="false">F138+G138</f>
        <v>21</v>
      </c>
      <c r="K138" s="258" t="n">
        <v>3</v>
      </c>
      <c r="L138" s="258" t="n">
        <v>1</v>
      </c>
      <c r="M138" s="258" t="n">
        <v>0</v>
      </c>
      <c r="N138" s="258" t="n">
        <v>0</v>
      </c>
      <c r="O138" s="260"/>
      <c r="P138" s="259"/>
      <c r="Q138" s="259"/>
      <c r="R138" s="259"/>
      <c r="S138" s="261" t="n">
        <f aca="false">(L104++L113+L122+L131)/4</f>
        <v>98.8505747126437</v>
      </c>
      <c r="T138" s="190"/>
      <c r="U138" s="62"/>
    </row>
    <row r="139" customFormat="false" ht="20.1" hidden="false" customHeight="true" outlineLevel="0" collapsed="false">
      <c r="B139" s="62"/>
      <c r="C139" s="190"/>
      <c r="D139" s="444" t="s">
        <v>31</v>
      </c>
      <c r="E139" s="208" t="s">
        <v>32</v>
      </c>
      <c r="F139" s="262" t="n">
        <f aca="false">K139*6+L139*3+M139*1+N139*0</f>
        <v>11</v>
      </c>
      <c r="G139" s="263" t="n">
        <v>0</v>
      </c>
      <c r="H139" s="263" t="s">
        <v>67</v>
      </c>
      <c r="I139" s="263"/>
      <c r="J139" s="262" t="n">
        <f aca="false">F139+G139</f>
        <v>11</v>
      </c>
      <c r="K139" s="262" t="n">
        <v>1</v>
      </c>
      <c r="L139" s="262" t="n">
        <v>1</v>
      </c>
      <c r="M139" s="262" t="n">
        <v>2</v>
      </c>
      <c r="N139" s="262" t="n">
        <v>0</v>
      </c>
      <c r="O139" s="264"/>
      <c r="P139" s="263"/>
      <c r="Q139" s="263"/>
      <c r="R139" s="263"/>
      <c r="S139" s="265" t="n">
        <f aca="false">(L103+L112+L121+L130)/4</f>
        <v>76.4859066139328</v>
      </c>
      <c r="T139" s="190"/>
      <c r="U139" s="62"/>
      <c r="Y139" s="266"/>
      <c r="Z139" s="266"/>
      <c r="AA139" s="267"/>
      <c r="AB139" s="267"/>
      <c r="AC139" s="268"/>
      <c r="AD139" s="268"/>
      <c r="AE139" s="268"/>
    </row>
    <row r="140" customFormat="false" ht="20.1" hidden="false" customHeight="true" outlineLevel="0" collapsed="false">
      <c r="B140" s="62"/>
      <c r="C140" s="190"/>
      <c r="D140" s="444" t="s">
        <v>37</v>
      </c>
      <c r="E140" s="208" t="s">
        <v>38</v>
      </c>
      <c r="F140" s="262" t="n">
        <f aca="false">K140*6+L140*3+M140*1+N140*0</f>
        <v>7</v>
      </c>
      <c r="G140" s="263" t="n">
        <v>0</v>
      </c>
      <c r="H140" s="263" t="s">
        <v>67</v>
      </c>
      <c r="I140" s="263"/>
      <c r="J140" s="262" t="n">
        <f aca="false">F140+G140</f>
        <v>7</v>
      </c>
      <c r="K140" s="262" t="n">
        <v>0</v>
      </c>
      <c r="L140" s="262" t="n">
        <v>2</v>
      </c>
      <c r="M140" s="262" t="n">
        <v>1</v>
      </c>
      <c r="N140" s="262" t="n">
        <v>1</v>
      </c>
      <c r="O140" s="264"/>
      <c r="P140" s="263"/>
      <c r="Q140" s="263"/>
      <c r="R140" s="263"/>
      <c r="S140" s="265" t="n">
        <f aca="false">(L102+L111+L120+L129)/4</f>
        <v>71.6319889984353</v>
      </c>
      <c r="T140" s="190"/>
      <c r="U140" s="62"/>
    </row>
    <row r="141" customFormat="false" ht="20.1" hidden="false" customHeight="true" outlineLevel="0" collapsed="false">
      <c r="B141" s="62"/>
      <c r="C141" s="190"/>
      <c r="D141" s="427" t="s">
        <v>29</v>
      </c>
      <c r="E141" s="215" t="s">
        <v>30</v>
      </c>
      <c r="F141" s="271" t="n">
        <f aca="false">K141*6+L141*3+M141*1+N141*0</f>
        <v>1</v>
      </c>
      <c r="G141" s="272" t="n">
        <v>0</v>
      </c>
      <c r="H141" s="272" t="s">
        <v>67</v>
      </c>
      <c r="I141" s="272"/>
      <c r="J141" s="271" t="n">
        <f aca="false">F141+G141</f>
        <v>1</v>
      </c>
      <c r="K141" s="271" t="n">
        <v>0</v>
      </c>
      <c r="L141" s="271" t="n">
        <v>0</v>
      </c>
      <c r="M141" s="271" t="n">
        <v>1</v>
      </c>
      <c r="N141" s="271" t="n">
        <v>3</v>
      </c>
      <c r="O141" s="273"/>
      <c r="P141" s="272"/>
      <c r="Q141" s="272"/>
      <c r="R141" s="272"/>
      <c r="S141" s="274" t="n">
        <f aca="false">(L105+L114+L123+L132)/4</f>
        <v>50.7660776741869</v>
      </c>
      <c r="T141" s="190"/>
      <c r="U141" s="62"/>
    </row>
    <row r="142" customFormat="false" ht="20.1" hidden="false" customHeight="true" outlineLevel="0" collapsed="false">
      <c r="B142" s="62"/>
      <c r="C142" s="190"/>
      <c r="D142" s="445"/>
      <c r="E142" s="445"/>
      <c r="F142" s="429"/>
      <c r="G142" s="377"/>
      <c r="H142" s="430"/>
      <c r="I142" s="430"/>
      <c r="J142" s="429"/>
      <c r="K142" s="429"/>
      <c r="L142" s="544"/>
      <c r="M142" s="544"/>
      <c r="N142" s="429"/>
      <c r="O142" s="376"/>
      <c r="P142" s="377"/>
      <c r="Q142" s="377"/>
      <c r="R142" s="377"/>
      <c r="S142" s="408"/>
      <c r="T142" s="190"/>
      <c r="U142" s="62"/>
    </row>
    <row r="143" customFormat="false" ht="20.1" hidden="false" customHeight="true" outlineLevel="0" collapsed="false">
      <c r="B143" s="62"/>
      <c r="C143" s="62"/>
      <c r="D143" s="219"/>
      <c r="E143" s="219"/>
      <c r="F143" s="167"/>
      <c r="G143" s="167"/>
      <c r="H143" s="219"/>
      <c r="I143" s="219"/>
      <c r="J143" s="219"/>
      <c r="K143" s="62"/>
      <c r="L143" s="62"/>
      <c r="M143" s="62"/>
      <c r="N143" s="62"/>
      <c r="O143" s="62"/>
      <c r="P143" s="62"/>
      <c r="Q143" s="62"/>
      <c r="R143" s="62"/>
      <c r="S143" s="62"/>
      <c r="T143" s="62"/>
      <c r="U143" s="62"/>
    </row>
    <row r="144" customFormat="false" ht="20.1" hidden="false" customHeight="true" outlineLevel="0" collapsed="false"/>
    <row r="145" customFormat="false" ht="20.1" hidden="false" customHeight="true" outlineLevel="0" collapsed="false"/>
    <row r="146" customFormat="false" ht="20.1" hidden="false" customHeight="true" outlineLevel="0" collapsed="false">
      <c r="B146" s="62"/>
      <c r="C146" s="62"/>
      <c r="D146" s="63"/>
      <c r="E146" s="63"/>
      <c r="F146" s="63"/>
      <c r="G146" s="63"/>
      <c r="H146" s="62"/>
      <c r="I146" s="62"/>
      <c r="J146" s="62"/>
      <c r="K146" s="62"/>
      <c r="L146" s="62"/>
      <c r="M146" s="62"/>
      <c r="N146" s="62"/>
      <c r="O146" s="62"/>
      <c r="P146" s="62"/>
      <c r="Q146" s="62"/>
      <c r="R146" s="62"/>
      <c r="S146" s="62"/>
      <c r="T146" s="62"/>
      <c r="U146" s="62"/>
    </row>
    <row r="147" customFormat="false" ht="30" hidden="false" customHeight="true" outlineLevel="0" collapsed="false">
      <c r="B147" s="62"/>
      <c r="C147" s="64" t="s">
        <v>407</v>
      </c>
      <c r="D147" s="64"/>
      <c r="E147" s="64"/>
      <c r="F147" s="64"/>
      <c r="G147" s="64"/>
      <c r="H147" s="64"/>
      <c r="I147" s="64"/>
      <c r="J147" s="64"/>
      <c r="K147" s="64"/>
      <c r="L147" s="64"/>
      <c r="M147" s="64"/>
      <c r="N147" s="64"/>
      <c r="O147" s="64"/>
      <c r="P147" s="64"/>
      <c r="Q147" s="64"/>
      <c r="R147" s="64"/>
      <c r="S147" s="64"/>
      <c r="T147" s="64"/>
      <c r="U147" s="62"/>
    </row>
    <row r="148" customFormat="false" ht="20.1" hidden="false" customHeight="true" outlineLevel="0" collapsed="false">
      <c r="B148" s="62"/>
      <c r="U148" s="62"/>
    </row>
    <row r="149" customFormat="false" ht="20.1" hidden="false" customHeight="true" outlineLevel="0" collapsed="false">
      <c r="B149" s="62"/>
      <c r="D149" s="65" t="s">
        <v>53</v>
      </c>
      <c r="E149" s="66" t="s">
        <v>137</v>
      </c>
      <c r="F149" s="67" t="s">
        <v>11</v>
      </c>
      <c r="G149" s="68" t="s">
        <v>55</v>
      </c>
      <c r="H149" s="68"/>
      <c r="I149" s="68"/>
      <c r="J149" s="68"/>
      <c r="K149" s="66" t="s">
        <v>56</v>
      </c>
      <c r="L149" s="68" t="s">
        <v>57</v>
      </c>
      <c r="M149" s="68"/>
      <c r="N149" s="68"/>
      <c r="O149" s="68"/>
      <c r="P149" s="68"/>
      <c r="Q149" s="68"/>
      <c r="R149" s="68"/>
      <c r="S149" s="68"/>
      <c r="U149" s="62"/>
    </row>
    <row r="150" customFormat="false" ht="20.1" hidden="false" customHeight="true" outlineLevel="0" collapsed="false">
      <c r="B150" s="62"/>
      <c r="D150" s="65"/>
      <c r="E150" s="66"/>
      <c r="F150" s="66"/>
      <c r="G150" s="70" t="s">
        <v>58</v>
      </c>
      <c r="H150" s="69" t="s">
        <v>59</v>
      </c>
      <c r="I150" s="67" t="s">
        <v>60</v>
      </c>
      <c r="J150" s="67"/>
      <c r="K150" s="69" t="s">
        <v>61</v>
      </c>
      <c r="L150" s="224" t="s">
        <v>58</v>
      </c>
      <c r="M150" s="225" t="s">
        <v>62</v>
      </c>
      <c r="N150" s="226" t="s">
        <v>60</v>
      </c>
      <c r="O150" s="226"/>
      <c r="P150" s="226"/>
      <c r="Q150" s="226"/>
      <c r="R150" s="226"/>
      <c r="S150" s="226"/>
      <c r="U150" s="62"/>
    </row>
    <row r="151" customFormat="false" ht="20.1" hidden="false" customHeight="true" outlineLevel="0" collapsed="false">
      <c r="B151" s="62"/>
      <c r="D151" s="635" t="s">
        <v>43</v>
      </c>
      <c r="E151" s="636" t="s">
        <v>44</v>
      </c>
      <c r="F151" s="308" t="n">
        <v>1</v>
      </c>
      <c r="G151" s="72" t="s">
        <v>63</v>
      </c>
      <c r="H151" s="470" t="s">
        <v>209</v>
      </c>
      <c r="I151" s="277" t="s">
        <v>292</v>
      </c>
      <c r="J151" s="277"/>
      <c r="K151" s="637" t="s">
        <v>111</v>
      </c>
      <c r="L151" s="638" t="s">
        <v>67</v>
      </c>
      <c r="M151" s="462" t="s">
        <v>67</v>
      </c>
      <c r="N151" s="463" t="s">
        <v>67</v>
      </c>
      <c r="O151" s="463"/>
      <c r="P151" s="463"/>
      <c r="Q151" s="463"/>
      <c r="R151" s="463"/>
      <c r="S151" s="463"/>
      <c r="U151" s="62"/>
    </row>
    <row r="152" customFormat="false" ht="20.1" hidden="false" customHeight="true" outlineLevel="0" collapsed="false">
      <c r="B152" s="62"/>
      <c r="D152" s="432" t="s">
        <v>22</v>
      </c>
      <c r="E152" s="446" t="s">
        <v>23</v>
      </c>
      <c r="F152" s="36" t="n">
        <v>2</v>
      </c>
      <c r="G152" s="80" t="s">
        <v>63</v>
      </c>
      <c r="H152" s="384" t="s">
        <v>409</v>
      </c>
      <c r="I152" s="328" t="s">
        <v>67</v>
      </c>
      <c r="J152" s="328"/>
      <c r="K152" s="468" t="s">
        <v>111</v>
      </c>
      <c r="L152" s="606" t="s">
        <v>67</v>
      </c>
      <c r="M152" s="639" t="s">
        <v>67</v>
      </c>
      <c r="N152" s="469" t="s">
        <v>67</v>
      </c>
      <c r="O152" s="469"/>
      <c r="P152" s="469"/>
      <c r="Q152" s="469"/>
      <c r="R152" s="469"/>
      <c r="S152" s="469"/>
      <c r="U152" s="62"/>
    </row>
    <row r="153" customFormat="false" ht="28.5" hidden="false" customHeight="true" outlineLevel="0" collapsed="false">
      <c r="B153" s="62"/>
      <c r="D153" s="326" t="s">
        <v>22</v>
      </c>
      <c r="E153" s="34" t="s">
        <v>23</v>
      </c>
      <c r="F153" s="31" t="n">
        <v>3</v>
      </c>
      <c r="G153" s="232" t="s">
        <v>63</v>
      </c>
      <c r="H153" s="89" t="s">
        <v>195</v>
      </c>
      <c r="I153" s="335" t="s">
        <v>197</v>
      </c>
      <c r="J153" s="335"/>
      <c r="K153" s="386"/>
      <c r="L153" s="551"/>
      <c r="M153" s="388"/>
      <c r="N153" s="552"/>
      <c r="O153" s="552"/>
      <c r="P153" s="552"/>
      <c r="Q153" s="552"/>
      <c r="R153" s="552"/>
      <c r="S153" s="552"/>
      <c r="U153" s="62"/>
    </row>
    <row r="154" customFormat="false" ht="15" hidden="false" customHeight="true" outlineLevel="0" collapsed="false">
      <c r="B154" s="62"/>
      <c r="D154" s="326"/>
      <c r="E154" s="34"/>
      <c r="F154" s="31"/>
      <c r="G154" s="232"/>
      <c r="H154" s="89"/>
      <c r="I154" s="338" t="s">
        <v>212</v>
      </c>
      <c r="J154" s="338"/>
      <c r="K154" s="390"/>
      <c r="L154" s="558"/>
      <c r="M154" s="392"/>
      <c r="N154" s="640"/>
      <c r="O154" s="641"/>
      <c r="P154" s="641"/>
      <c r="Q154" s="641"/>
      <c r="R154" s="641"/>
      <c r="S154" s="642"/>
      <c r="U154" s="62"/>
    </row>
    <row r="155" customFormat="false" ht="15" hidden="false" customHeight="true" outlineLevel="0" collapsed="false">
      <c r="B155" s="62"/>
      <c r="D155" s="326"/>
      <c r="E155" s="34"/>
      <c r="F155" s="31"/>
      <c r="G155" s="232"/>
      <c r="H155" s="89"/>
      <c r="I155" s="338" t="s">
        <v>199</v>
      </c>
      <c r="J155" s="338"/>
      <c r="K155" s="390"/>
      <c r="L155" s="558"/>
      <c r="M155" s="392"/>
      <c r="N155" s="640"/>
      <c r="O155" s="641"/>
      <c r="P155" s="641"/>
      <c r="Q155" s="641"/>
      <c r="R155" s="641"/>
      <c r="S155" s="642"/>
      <c r="U155" s="62"/>
    </row>
    <row r="156" customFormat="false" ht="15.75" hidden="false" customHeight="true" outlineLevel="0" collapsed="false">
      <c r="B156" s="62"/>
      <c r="D156" s="362" t="s">
        <v>43</v>
      </c>
      <c r="E156" s="45" t="s">
        <v>44</v>
      </c>
      <c r="F156" s="50" t="n">
        <v>4</v>
      </c>
      <c r="G156" s="358" t="s">
        <v>63</v>
      </c>
      <c r="H156" s="96" t="s">
        <v>217</v>
      </c>
      <c r="I156" s="342" t="s">
        <v>218</v>
      </c>
      <c r="J156" s="342"/>
      <c r="K156" s="398"/>
      <c r="L156" s="560"/>
      <c r="M156" s="400"/>
      <c r="N156" s="402"/>
      <c r="O156" s="402"/>
      <c r="P156" s="402"/>
      <c r="Q156" s="402"/>
      <c r="R156" s="402"/>
      <c r="S156" s="402"/>
      <c r="U156" s="62"/>
    </row>
    <row r="157" customFormat="false" ht="15.75" hidden="false" customHeight="true" outlineLevel="0" collapsed="false">
      <c r="B157" s="62"/>
      <c r="D157" s="362"/>
      <c r="E157" s="45"/>
      <c r="F157" s="50"/>
      <c r="G157" s="358"/>
      <c r="H157" s="96"/>
      <c r="I157" s="348" t="s">
        <v>219</v>
      </c>
      <c r="J157" s="348"/>
      <c r="K157" s="643"/>
      <c r="L157" s="644"/>
      <c r="M157" s="644"/>
      <c r="N157" s="645"/>
      <c r="O157" s="645"/>
      <c r="P157" s="645"/>
      <c r="Q157" s="645"/>
      <c r="R157" s="645"/>
      <c r="S157" s="646"/>
      <c r="U157" s="62"/>
    </row>
    <row r="158" customFormat="false" ht="20.1" hidden="false" customHeight="true" outlineLevel="0" collapsed="false">
      <c r="B158" s="62"/>
      <c r="U158" s="62"/>
    </row>
    <row r="159" customFormat="false" ht="20.1" hidden="false" customHeight="true" outlineLevel="0" collapsed="false">
      <c r="B159" s="62"/>
      <c r="C159" s="101"/>
      <c r="D159" s="101"/>
      <c r="E159" s="102" t="str">
        <f aca="false">IF(OR(M151="-",M151= ""),H151,M151)</f>
        <v>Patchwork</v>
      </c>
      <c r="F159" s="102"/>
      <c r="G159" s="102"/>
      <c r="H159" s="102"/>
      <c r="I159" s="102"/>
      <c r="J159" s="102"/>
      <c r="K159" s="102"/>
      <c r="L159" s="102"/>
      <c r="M159" s="102"/>
      <c r="N159" s="102"/>
      <c r="O159" s="103"/>
      <c r="P159" s="103"/>
      <c r="Q159" s="103"/>
      <c r="R159" s="103"/>
      <c r="S159" s="103"/>
      <c r="T159" s="101"/>
      <c r="U159" s="62"/>
    </row>
    <row r="160" customFormat="false" ht="50.1" hidden="false" customHeight="true" outlineLevel="0" collapsed="false">
      <c r="B160" s="62"/>
      <c r="C160" s="101"/>
      <c r="D160" s="103"/>
      <c r="E160" s="65" t="s">
        <v>53</v>
      </c>
      <c r="F160" s="104" t="s">
        <v>76</v>
      </c>
      <c r="G160" s="67" t="s">
        <v>77</v>
      </c>
      <c r="H160" s="66" t="s">
        <v>78</v>
      </c>
      <c r="I160" s="54" t="s">
        <v>79</v>
      </c>
      <c r="J160" s="66" t="s">
        <v>80</v>
      </c>
      <c r="K160" s="105" t="s">
        <v>81</v>
      </c>
      <c r="L160" s="66" t="s">
        <v>82</v>
      </c>
      <c r="M160" s="106" t="s">
        <v>83</v>
      </c>
      <c r="N160" s="67" t="s">
        <v>84</v>
      </c>
      <c r="O160" s="107" t="s">
        <v>85</v>
      </c>
      <c r="P160" s="108" t="s">
        <v>86</v>
      </c>
      <c r="Q160" s="103"/>
      <c r="R160" s="103"/>
      <c r="S160" s="103"/>
      <c r="T160" s="101"/>
      <c r="U160" s="62"/>
    </row>
    <row r="161" customFormat="false" ht="20.1" hidden="false" customHeight="true" outlineLevel="0" collapsed="false">
      <c r="B161" s="62"/>
      <c r="C161" s="101"/>
      <c r="D161" s="124"/>
      <c r="E161" s="71" t="s">
        <v>43</v>
      </c>
      <c r="F161" s="16" t="s">
        <v>44</v>
      </c>
      <c r="G161" s="250" t="n">
        <v>1</v>
      </c>
      <c r="H161" s="250" t="s">
        <v>67</v>
      </c>
      <c r="I161" s="250" t="n">
        <v>0</v>
      </c>
      <c r="J161" s="250" t="n">
        <v>1</v>
      </c>
      <c r="K161" s="250" t="s">
        <v>67</v>
      </c>
      <c r="L161" s="253" t="n">
        <f aca="false">IF(J161="",0,(J161/J163)*100)</f>
        <v>4.34782608695652</v>
      </c>
      <c r="M161" s="250" t="n">
        <v>2</v>
      </c>
      <c r="N161" s="254" t="n">
        <v>0</v>
      </c>
      <c r="O161" s="116" t="n">
        <f aca="false">IF(M161=1,1,0)</f>
        <v>0</v>
      </c>
      <c r="P161" s="117" t="n">
        <f aca="false">IF(M161=2,1,0)</f>
        <v>1</v>
      </c>
      <c r="Q161" s="118"/>
      <c r="R161" s="118"/>
      <c r="S161" s="118"/>
      <c r="T161" s="101"/>
      <c r="U161" s="62"/>
    </row>
    <row r="162" customFormat="false" ht="20.1" hidden="false" customHeight="true" outlineLevel="0" collapsed="false">
      <c r="B162" s="62"/>
      <c r="C162" s="101"/>
      <c r="D162" s="101"/>
      <c r="E162" s="350" t="s">
        <v>22</v>
      </c>
      <c r="F162" s="294" t="s">
        <v>23</v>
      </c>
      <c r="G162" s="295" t="n">
        <v>2</v>
      </c>
      <c r="H162" s="295" t="s">
        <v>67</v>
      </c>
      <c r="I162" s="295" t="n">
        <v>0</v>
      </c>
      <c r="J162" s="295" t="n">
        <v>23</v>
      </c>
      <c r="K162" s="296" t="s">
        <v>67</v>
      </c>
      <c r="L162" s="297" t="n">
        <f aca="false">IF(J162="",0,(J162/J163)*100)</f>
        <v>100</v>
      </c>
      <c r="M162" s="295" t="n">
        <v>1</v>
      </c>
      <c r="N162" s="298" t="n">
        <v>6</v>
      </c>
      <c r="O162" s="128" t="n">
        <f aca="false">IF(M162=1,1,0)</f>
        <v>1</v>
      </c>
      <c r="P162" s="129" t="n">
        <f aca="false">IF(M162=2,1,0)</f>
        <v>0</v>
      </c>
      <c r="Q162" s="118"/>
      <c r="R162" s="118"/>
      <c r="S162" s="118"/>
      <c r="T162" s="101"/>
      <c r="U162" s="62"/>
    </row>
    <row r="163" customFormat="false" ht="20.1" hidden="true" customHeight="true" outlineLevel="1" collapsed="false">
      <c r="B163" s="62"/>
      <c r="C163" s="101"/>
      <c r="D163" s="124"/>
      <c r="E163" s="124"/>
      <c r="F163" s="131"/>
      <c r="G163" s="131"/>
      <c r="H163" s="101"/>
      <c r="I163" s="179" t="s">
        <v>89</v>
      </c>
      <c r="J163" s="133" t="n">
        <f aca="false">MAX(J161:J162)</f>
        <v>23</v>
      </c>
      <c r="K163" s="249"/>
      <c r="L163" s="139"/>
      <c r="M163" s="101"/>
      <c r="N163" s="136" t="s">
        <v>90</v>
      </c>
      <c r="O163" s="137" t="n">
        <f aca="false">SUM(O161:O162)</f>
        <v>1</v>
      </c>
      <c r="P163" s="160" t="n">
        <f aca="false">SUM(P161:P162)</f>
        <v>1</v>
      </c>
      <c r="Q163" s="139"/>
      <c r="R163" s="139"/>
      <c r="S163" s="139"/>
      <c r="T163" s="101"/>
      <c r="U163" s="62"/>
    </row>
    <row r="164" customFormat="false" ht="20.1" hidden="false" customHeight="true" outlineLevel="0" collapsed="false">
      <c r="B164" s="62"/>
      <c r="C164" s="101"/>
      <c r="D164" s="101"/>
      <c r="E164" s="101"/>
      <c r="F164" s="101"/>
      <c r="G164" s="101"/>
      <c r="H164" s="101"/>
      <c r="I164" s="101"/>
      <c r="J164" s="101"/>
      <c r="K164" s="101"/>
      <c r="L164" s="101"/>
      <c r="M164" s="101"/>
      <c r="N164" s="101"/>
      <c r="O164" s="101"/>
      <c r="P164" s="101"/>
      <c r="Q164" s="101"/>
      <c r="R164" s="101"/>
      <c r="S164" s="101"/>
      <c r="T164" s="101"/>
      <c r="U164" s="62"/>
    </row>
    <row r="165" customFormat="false" ht="20.1" hidden="false" customHeight="true" outlineLevel="0" collapsed="false">
      <c r="B165" s="62"/>
      <c r="U165" s="62"/>
    </row>
    <row r="166" customFormat="false" ht="20.1" hidden="false" customHeight="true" outlineLevel="0" collapsed="false">
      <c r="B166" s="62"/>
      <c r="C166" s="141"/>
      <c r="D166" s="141"/>
      <c r="E166" s="561" t="str">
        <f aca="false">H152</f>
        <v>Targi</v>
      </c>
      <c r="F166" s="561"/>
      <c r="G166" s="561"/>
      <c r="H166" s="561"/>
      <c r="I166" s="561"/>
      <c r="J166" s="561"/>
      <c r="K166" s="561"/>
      <c r="L166" s="561"/>
      <c r="M166" s="561"/>
      <c r="N166" s="561"/>
      <c r="O166" s="143"/>
      <c r="P166" s="143"/>
      <c r="Q166" s="143"/>
      <c r="R166" s="143"/>
      <c r="S166" s="143"/>
      <c r="T166" s="141"/>
      <c r="U166" s="62"/>
    </row>
    <row r="167" customFormat="false" ht="50.1" hidden="false" customHeight="true" outlineLevel="0" collapsed="false">
      <c r="B167" s="62"/>
      <c r="C167" s="141"/>
      <c r="D167" s="143"/>
      <c r="E167" s="65" t="s">
        <v>53</v>
      </c>
      <c r="F167" s="104" t="s">
        <v>76</v>
      </c>
      <c r="G167" s="67" t="s">
        <v>77</v>
      </c>
      <c r="H167" s="66" t="s">
        <v>78</v>
      </c>
      <c r="I167" s="54" t="s">
        <v>79</v>
      </c>
      <c r="J167" s="66" t="s">
        <v>80</v>
      </c>
      <c r="K167" s="105" t="s">
        <v>81</v>
      </c>
      <c r="L167" s="66" t="s">
        <v>82</v>
      </c>
      <c r="M167" s="106" t="s">
        <v>83</v>
      </c>
      <c r="N167" s="67" t="s">
        <v>84</v>
      </c>
      <c r="O167" s="107" t="s">
        <v>85</v>
      </c>
      <c r="P167" s="108" t="s">
        <v>86</v>
      </c>
      <c r="Q167" s="143"/>
      <c r="R167" s="143"/>
      <c r="S167" s="143"/>
      <c r="T167" s="141"/>
      <c r="U167" s="62"/>
    </row>
    <row r="168" customFormat="false" ht="20.1" hidden="false" customHeight="true" outlineLevel="0" collapsed="false">
      <c r="B168" s="62"/>
      <c r="C168" s="141"/>
      <c r="D168" s="148"/>
      <c r="E168" s="71" t="s">
        <v>43</v>
      </c>
      <c r="F168" s="16" t="s">
        <v>44</v>
      </c>
      <c r="G168" s="250" t="n">
        <v>2</v>
      </c>
      <c r="H168" s="250" t="s">
        <v>67</v>
      </c>
      <c r="I168" s="250" t="n">
        <v>4</v>
      </c>
      <c r="J168" s="250" t="n">
        <v>31</v>
      </c>
      <c r="K168" s="250" t="s">
        <v>67</v>
      </c>
      <c r="L168" s="253" t="n">
        <f aca="false">IF(J168="",0,(J168/J170)*100)</f>
        <v>88.5714285714286</v>
      </c>
      <c r="M168" s="250" t="n">
        <v>2</v>
      </c>
      <c r="N168" s="254" t="n">
        <v>0</v>
      </c>
      <c r="O168" s="115" t="n">
        <f aca="false">IF(M168=1,1,0)</f>
        <v>0</v>
      </c>
      <c r="P168" s="117" t="n">
        <f aca="false">IF(M168=2,1,0)</f>
        <v>1</v>
      </c>
      <c r="Q168" s="147"/>
      <c r="R168" s="147"/>
      <c r="S168" s="147"/>
      <c r="T168" s="141"/>
      <c r="U168" s="62"/>
    </row>
    <row r="169" customFormat="false" ht="20.1" hidden="false" customHeight="true" outlineLevel="0" collapsed="false">
      <c r="B169" s="62"/>
      <c r="C169" s="141"/>
      <c r="D169" s="141"/>
      <c r="E169" s="350" t="s">
        <v>22</v>
      </c>
      <c r="F169" s="294" t="s">
        <v>23</v>
      </c>
      <c r="G169" s="295" t="n">
        <v>1</v>
      </c>
      <c r="H169" s="295" t="s">
        <v>67</v>
      </c>
      <c r="I169" s="295" t="n">
        <v>4</v>
      </c>
      <c r="J169" s="295" t="n">
        <v>35</v>
      </c>
      <c r="K169" s="296" t="s">
        <v>67</v>
      </c>
      <c r="L169" s="297" t="n">
        <f aca="false">IF(J169="",0,(J169/J170)*100)</f>
        <v>100</v>
      </c>
      <c r="M169" s="295" t="n">
        <v>1</v>
      </c>
      <c r="N169" s="298" t="n">
        <v>6</v>
      </c>
      <c r="O169" s="127" t="n">
        <f aca="false">IF(M169=1,1,0)</f>
        <v>1</v>
      </c>
      <c r="P169" s="129" t="n">
        <f aca="false">IF(M169=2,1,0)</f>
        <v>0</v>
      </c>
      <c r="Q169" s="147"/>
      <c r="R169" s="147"/>
      <c r="S169" s="147"/>
      <c r="T169" s="141"/>
      <c r="U169" s="62"/>
    </row>
    <row r="170" customFormat="false" ht="20.1" hidden="true" customHeight="true" outlineLevel="1" collapsed="false">
      <c r="B170" s="62"/>
      <c r="C170" s="141"/>
      <c r="D170" s="141"/>
      <c r="E170" s="141"/>
      <c r="F170" s="157"/>
      <c r="G170" s="157"/>
      <c r="H170" s="141"/>
      <c r="I170" s="179" t="s">
        <v>89</v>
      </c>
      <c r="J170" s="133" t="n">
        <f aca="false">MAX(J168:J169)</f>
        <v>35</v>
      </c>
      <c r="K170" s="159"/>
      <c r="L170" s="147"/>
      <c r="M170" s="141"/>
      <c r="N170" s="136" t="s">
        <v>90</v>
      </c>
      <c r="O170" s="137" t="n">
        <f aca="false">SUM(O168:O169)</f>
        <v>1</v>
      </c>
      <c r="P170" s="160" t="n">
        <f aca="false">SUM(P168:P169)</f>
        <v>1</v>
      </c>
      <c r="Q170" s="161"/>
      <c r="R170" s="161"/>
      <c r="S170" s="161"/>
      <c r="T170" s="141"/>
      <c r="U170" s="62"/>
    </row>
    <row r="171" customFormat="false" ht="20.1" hidden="false" customHeight="true" outlineLevel="0" collapsed="false">
      <c r="B171" s="62"/>
      <c r="C171" s="141"/>
      <c r="D171" s="141"/>
      <c r="E171" s="141"/>
      <c r="F171" s="141"/>
      <c r="G171" s="141"/>
      <c r="H171" s="141"/>
      <c r="I171" s="141"/>
      <c r="J171" s="141"/>
      <c r="K171" s="141"/>
      <c r="L171" s="141"/>
      <c r="M171" s="141"/>
      <c r="N171" s="141"/>
      <c r="O171" s="141"/>
      <c r="P171" s="141"/>
      <c r="Q171" s="141"/>
      <c r="R171" s="141"/>
      <c r="S171" s="141"/>
      <c r="T171" s="141"/>
      <c r="U171" s="62"/>
    </row>
    <row r="172" customFormat="false" ht="20.1" hidden="false" customHeight="true" outlineLevel="0" collapsed="false">
      <c r="B172" s="62"/>
      <c r="D172" s="162"/>
      <c r="E172" s="162"/>
      <c r="F172" s="162"/>
      <c r="G172" s="162"/>
      <c r="H172" s="163"/>
      <c r="I172" s="162"/>
      <c r="J172" s="162"/>
      <c r="U172" s="62"/>
    </row>
    <row r="173" customFormat="false" ht="20.1" hidden="false" customHeight="true" outlineLevel="0" collapsed="false">
      <c r="B173" s="62"/>
      <c r="C173" s="164"/>
      <c r="D173" s="164"/>
      <c r="E173" s="562" t="str">
        <f aca="false">H153</f>
        <v>Die Burgen von 
Burgund</v>
      </c>
      <c r="F173" s="562"/>
      <c r="G173" s="562"/>
      <c r="H173" s="562"/>
      <c r="I173" s="562"/>
      <c r="J173" s="562"/>
      <c r="K173" s="562"/>
      <c r="L173" s="562"/>
      <c r="M173" s="562"/>
      <c r="N173" s="562"/>
      <c r="O173" s="166"/>
      <c r="P173" s="166"/>
      <c r="Q173" s="166"/>
      <c r="R173" s="166"/>
      <c r="S173" s="166"/>
      <c r="T173" s="164"/>
      <c r="U173" s="167"/>
    </row>
    <row r="174" customFormat="false" ht="50.1" hidden="false" customHeight="true" outlineLevel="0" collapsed="false">
      <c r="B174" s="62"/>
      <c r="C174" s="164"/>
      <c r="D174" s="166"/>
      <c r="E174" s="65" t="s">
        <v>53</v>
      </c>
      <c r="F174" s="104" t="s">
        <v>76</v>
      </c>
      <c r="G174" s="67" t="s">
        <v>77</v>
      </c>
      <c r="H174" s="66" t="s">
        <v>78</v>
      </c>
      <c r="I174" s="54" t="s">
        <v>79</v>
      </c>
      <c r="J174" s="66" t="s">
        <v>80</v>
      </c>
      <c r="K174" s="105" t="s">
        <v>81</v>
      </c>
      <c r="L174" s="66" t="s">
        <v>82</v>
      </c>
      <c r="M174" s="106" t="s">
        <v>83</v>
      </c>
      <c r="N174" s="67" t="s">
        <v>84</v>
      </c>
      <c r="O174" s="107" t="s">
        <v>85</v>
      </c>
      <c r="P174" s="108" t="s">
        <v>86</v>
      </c>
      <c r="Q174" s="166"/>
      <c r="R174" s="166"/>
      <c r="S174" s="166"/>
      <c r="T174" s="164"/>
      <c r="U174" s="167"/>
    </row>
    <row r="175" customFormat="false" ht="20.1" hidden="false" customHeight="true" outlineLevel="0" collapsed="false">
      <c r="B175" s="62"/>
      <c r="C175" s="164"/>
      <c r="D175" s="171"/>
      <c r="E175" s="71" t="s">
        <v>43</v>
      </c>
      <c r="F175" s="16" t="s">
        <v>44</v>
      </c>
      <c r="G175" s="250" t="n">
        <v>2</v>
      </c>
      <c r="H175" s="250" t="s">
        <v>120</v>
      </c>
      <c r="I175" s="250" t="n">
        <v>0</v>
      </c>
      <c r="J175" s="250" t="n">
        <v>191</v>
      </c>
      <c r="K175" s="250" t="s">
        <v>67</v>
      </c>
      <c r="L175" s="253" t="n">
        <f aca="false">IF(J175="",0,(J175/J177)*100)</f>
        <v>98.9637305699482</v>
      </c>
      <c r="M175" s="250" t="n">
        <v>2</v>
      </c>
      <c r="N175" s="254" t="n">
        <v>0</v>
      </c>
      <c r="O175" s="116" t="n">
        <f aca="false">IF(M175=1,1,0)</f>
        <v>0</v>
      </c>
      <c r="P175" s="117" t="n">
        <f aca="false">IF(M175=2,1,0)</f>
        <v>1</v>
      </c>
      <c r="Q175" s="170"/>
      <c r="R175" s="170"/>
      <c r="S175" s="170"/>
      <c r="T175" s="164"/>
      <c r="U175" s="62"/>
    </row>
    <row r="176" customFormat="false" ht="20.1" hidden="false" customHeight="true" outlineLevel="0" collapsed="false">
      <c r="B176" s="62"/>
      <c r="C176" s="164"/>
      <c r="D176" s="164"/>
      <c r="E176" s="350" t="s">
        <v>22</v>
      </c>
      <c r="F176" s="294" t="s">
        <v>23</v>
      </c>
      <c r="G176" s="295" t="n">
        <v>1</v>
      </c>
      <c r="H176" s="295" t="s">
        <v>204</v>
      </c>
      <c r="I176" s="295" t="n">
        <v>0</v>
      </c>
      <c r="J176" s="295" t="n">
        <v>193</v>
      </c>
      <c r="K176" s="296" t="s">
        <v>67</v>
      </c>
      <c r="L176" s="297" t="n">
        <f aca="false">IF(J176="",0,(J176/J177)*100)</f>
        <v>100</v>
      </c>
      <c r="M176" s="295" t="n">
        <v>1</v>
      </c>
      <c r="N176" s="298" t="n">
        <v>6</v>
      </c>
      <c r="O176" s="128" t="n">
        <f aca="false">IF(M176=1,1,0)</f>
        <v>1</v>
      </c>
      <c r="P176" s="129" t="n">
        <f aca="false">IF(M176=2,1,0)</f>
        <v>0</v>
      </c>
      <c r="Q176" s="170"/>
      <c r="R176" s="170"/>
      <c r="S176" s="170"/>
      <c r="T176" s="164"/>
      <c r="U176" s="173"/>
    </row>
    <row r="177" customFormat="false" ht="20.1" hidden="true" customHeight="true" outlineLevel="1" collapsed="false">
      <c r="B177" s="62"/>
      <c r="C177" s="164"/>
      <c r="D177" s="164"/>
      <c r="E177" s="164"/>
      <c r="F177" s="178"/>
      <c r="G177" s="178"/>
      <c r="H177" s="164"/>
      <c r="I177" s="179" t="s">
        <v>89</v>
      </c>
      <c r="J177" s="133" t="n">
        <f aca="false">MAX(J175:J176)</f>
        <v>193</v>
      </c>
      <c r="K177" s="180"/>
      <c r="L177" s="170"/>
      <c r="M177" s="164"/>
      <c r="N177" s="136" t="s">
        <v>90</v>
      </c>
      <c r="O177" s="137" t="n">
        <f aca="false">SUM(O175:O176)</f>
        <v>1</v>
      </c>
      <c r="P177" s="160" t="n">
        <f aca="false">SUM(P175:P176)</f>
        <v>1</v>
      </c>
      <c r="Q177" s="181"/>
      <c r="R177" s="181"/>
      <c r="S177" s="181"/>
      <c r="T177" s="164"/>
      <c r="U177" s="173"/>
    </row>
    <row r="178" customFormat="false" ht="20.1" hidden="false" customHeight="true" outlineLevel="0" collapsed="false">
      <c r="B178" s="62"/>
      <c r="C178" s="164"/>
      <c r="D178" s="164"/>
      <c r="E178" s="164"/>
      <c r="F178" s="164"/>
      <c r="G178" s="164"/>
      <c r="H178" s="164"/>
      <c r="I178" s="164"/>
      <c r="J178" s="164"/>
      <c r="K178" s="164"/>
      <c r="L178" s="164"/>
      <c r="M178" s="164"/>
      <c r="N178" s="164"/>
      <c r="O178" s="164"/>
      <c r="P178" s="164"/>
      <c r="Q178" s="164"/>
      <c r="R178" s="164"/>
      <c r="S178" s="164"/>
      <c r="T178" s="164"/>
      <c r="U178" s="173"/>
    </row>
    <row r="179" customFormat="false" ht="20.1" hidden="false" customHeight="true" outlineLevel="0" collapsed="false">
      <c r="B179" s="62"/>
      <c r="D179" s="162"/>
      <c r="E179" s="162"/>
      <c r="F179" s="162"/>
      <c r="G179" s="162"/>
      <c r="H179" s="163"/>
      <c r="I179" s="162"/>
      <c r="J179" s="162"/>
      <c r="K179" s="162"/>
      <c r="U179" s="62"/>
    </row>
    <row r="180" customFormat="false" ht="20.1" hidden="false" customHeight="true" outlineLevel="0" collapsed="false">
      <c r="B180" s="62"/>
      <c r="C180" s="182"/>
      <c r="D180" s="182"/>
      <c r="E180" s="183" t="str">
        <f aca="false">IF(OR(L156="-",L156= ""),H156,L156)</f>
        <v>Dice Hospital</v>
      </c>
      <c r="F180" s="183"/>
      <c r="G180" s="183"/>
      <c r="H180" s="183"/>
      <c r="I180" s="183"/>
      <c r="J180" s="183"/>
      <c r="K180" s="183"/>
      <c r="L180" s="183"/>
      <c r="M180" s="183"/>
      <c r="N180" s="183"/>
      <c r="O180" s="184"/>
      <c r="P180" s="184"/>
      <c r="Q180" s="184"/>
      <c r="R180" s="184"/>
      <c r="S180" s="184"/>
      <c r="T180" s="182"/>
      <c r="U180" s="62"/>
    </row>
    <row r="181" customFormat="false" ht="50.1" hidden="false" customHeight="true" outlineLevel="0" collapsed="false">
      <c r="B181" s="62"/>
      <c r="C181" s="182"/>
      <c r="D181" s="184"/>
      <c r="E181" s="65" t="s">
        <v>53</v>
      </c>
      <c r="F181" s="104" t="s">
        <v>76</v>
      </c>
      <c r="G181" s="67" t="s">
        <v>77</v>
      </c>
      <c r="H181" s="66" t="s">
        <v>78</v>
      </c>
      <c r="I181" s="54" t="s">
        <v>79</v>
      </c>
      <c r="J181" s="66" t="s">
        <v>80</v>
      </c>
      <c r="K181" s="105" t="s">
        <v>81</v>
      </c>
      <c r="L181" s="66" t="s">
        <v>82</v>
      </c>
      <c r="M181" s="106" t="s">
        <v>83</v>
      </c>
      <c r="N181" s="67" t="s">
        <v>84</v>
      </c>
      <c r="O181" s="107" t="s">
        <v>85</v>
      </c>
      <c r="P181" s="108" t="s">
        <v>86</v>
      </c>
      <c r="Q181" s="184"/>
      <c r="R181" s="184"/>
      <c r="S181" s="184"/>
      <c r="T181" s="182"/>
      <c r="U181" s="62"/>
    </row>
    <row r="182" customFormat="false" ht="20.1" hidden="false" customHeight="true" outlineLevel="0" collapsed="false">
      <c r="B182" s="62"/>
      <c r="C182" s="182"/>
      <c r="D182" s="182"/>
      <c r="E182" s="71" t="s">
        <v>43</v>
      </c>
      <c r="F182" s="16" t="s">
        <v>44</v>
      </c>
      <c r="G182" s="250" t="n">
        <v>2</v>
      </c>
      <c r="H182" s="250" t="s">
        <v>553</v>
      </c>
      <c r="I182" s="250" t="n">
        <v>0</v>
      </c>
      <c r="J182" s="250" t="n">
        <v>61</v>
      </c>
      <c r="K182" s="250" t="s">
        <v>67</v>
      </c>
      <c r="L182" s="253" t="n">
        <f aca="false">IF(J182="",0,(J182/J184)*100)</f>
        <v>93.8461538461538</v>
      </c>
      <c r="M182" s="250" t="n">
        <v>2</v>
      </c>
      <c r="N182" s="254" t="n">
        <v>0</v>
      </c>
      <c r="O182" s="116" t="n">
        <f aca="false">IF(M182=1,1,0)</f>
        <v>0</v>
      </c>
      <c r="P182" s="117" t="n">
        <f aca="false">IF(M182=2,1,0)</f>
        <v>1</v>
      </c>
      <c r="Q182" s="185"/>
      <c r="R182" s="185"/>
      <c r="S182" s="185"/>
      <c r="T182" s="182"/>
      <c r="U182" s="62"/>
    </row>
    <row r="183" customFormat="false" ht="20.1" hidden="false" customHeight="true" outlineLevel="0" collapsed="false">
      <c r="B183" s="62"/>
      <c r="C183" s="182"/>
      <c r="D183" s="182"/>
      <c r="E183" s="350" t="s">
        <v>22</v>
      </c>
      <c r="F183" s="294" t="s">
        <v>23</v>
      </c>
      <c r="G183" s="295" t="n">
        <v>1</v>
      </c>
      <c r="H183" s="295" t="s">
        <v>221</v>
      </c>
      <c r="I183" s="295" t="n">
        <v>0</v>
      </c>
      <c r="J183" s="295" t="n">
        <v>65</v>
      </c>
      <c r="K183" s="296" t="s">
        <v>67</v>
      </c>
      <c r="L183" s="297" t="n">
        <f aca="false">IF(J183="",0,(J183/J184)*100)</f>
        <v>100</v>
      </c>
      <c r="M183" s="295" t="n">
        <v>1</v>
      </c>
      <c r="N183" s="298" t="n">
        <v>6</v>
      </c>
      <c r="O183" s="128" t="n">
        <f aca="false">IF(M183=1,1,0)</f>
        <v>1</v>
      </c>
      <c r="P183" s="129" t="n">
        <f aca="false">IF(M183=2,1,0)</f>
        <v>0</v>
      </c>
      <c r="Q183" s="185"/>
      <c r="R183" s="185"/>
      <c r="S183" s="185"/>
      <c r="T183" s="182"/>
      <c r="U183" s="62"/>
    </row>
    <row r="184" customFormat="false" ht="20.1" hidden="true" customHeight="true" outlineLevel="1" collapsed="false">
      <c r="B184" s="62"/>
      <c r="C184" s="182"/>
      <c r="D184" s="182"/>
      <c r="E184" s="182"/>
      <c r="F184" s="187"/>
      <c r="G184" s="187"/>
      <c r="H184" s="182"/>
      <c r="I184" s="179" t="s">
        <v>89</v>
      </c>
      <c r="J184" s="133" t="n">
        <f aca="false">MAX(J182:J183)</f>
        <v>65</v>
      </c>
      <c r="K184" s="188"/>
      <c r="L184" s="185"/>
      <c r="M184" s="182"/>
      <c r="N184" s="136" t="s">
        <v>90</v>
      </c>
      <c r="O184" s="137" t="n">
        <f aca="false">SUM(O182:O183)</f>
        <v>1</v>
      </c>
      <c r="P184" s="160" t="n">
        <f aca="false">SUM(P182:P183)</f>
        <v>1</v>
      </c>
      <c r="Q184" s="189"/>
      <c r="R184" s="189"/>
      <c r="S184" s="189"/>
      <c r="T184" s="182"/>
      <c r="U184" s="62"/>
    </row>
    <row r="185" customFormat="false" ht="20.1" hidden="false" customHeight="true" outlineLevel="0" collapsed="false">
      <c r="B185" s="62"/>
      <c r="C185" s="182"/>
      <c r="D185" s="182"/>
      <c r="E185" s="182"/>
      <c r="F185" s="182"/>
      <c r="G185" s="182"/>
      <c r="H185" s="182"/>
      <c r="I185" s="182"/>
      <c r="J185" s="182"/>
      <c r="K185" s="182"/>
      <c r="L185" s="182"/>
      <c r="M185" s="182"/>
      <c r="N185" s="182"/>
      <c r="O185" s="182"/>
      <c r="P185" s="182"/>
      <c r="Q185" s="182"/>
      <c r="R185" s="182"/>
      <c r="S185" s="182"/>
      <c r="T185" s="182"/>
      <c r="U185" s="62"/>
    </row>
    <row r="186" customFormat="false" ht="20.1" hidden="false" customHeight="true" outlineLevel="0" collapsed="false">
      <c r="B186" s="62"/>
      <c r="D186" s="5"/>
      <c r="E186" s="5"/>
      <c r="F186" s="5"/>
      <c r="G186" s="5"/>
      <c r="H186" s="5"/>
      <c r="I186" s="5"/>
      <c r="J186" s="5"/>
      <c r="U186" s="62"/>
    </row>
    <row r="187" customFormat="false" ht="30" hidden="false" customHeight="true" outlineLevel="0" collapsed="false">
      <c r="B187" s="62"/>
      <c r="C187" s="190"/>
      <c r="D187" s="371"/>
      <c r="E187" s="191" t="s">
        <v>149</v>
      </c>
      <c r="F187" s="191"/>
      <c r="G187" s="191"/>
      <c r="H187" s="191"/>
      <c r="I187" s="191"/>
      <c r="J187" s="191"/>
      <c r="K187" s="191"/>
      <c r="L187" s="191"/>
      <c r="M187" s="191"/>
      <c r="N187" s="191"/>
      <c r="O187" s="371"/>
      <c r="P187" s="371"/>
      <c r="Q187" s="371"/>
      <c r="R187" s="371"/>
      <c r="S187" s="371"/>
      <c r="T187" s="190"/>
      <c r="U187" s="62"/>
    </row>
    <row r="188" customFormat="false" ht="50.1" hidden="false" customHeight="true" outlineLevel="0" collapsed="false">
      <c r="B188" s="62"/>
      <c r="C188" s="190"/>
      <c r="D188" s="190"/>
      <c r="E188" s="192" t="s">
        <v>53</v>
      </c>
      <c r="F188" s="193" t="s">
        <v>150</v>
      </c>
      <c r="G188" s="194" t="s">
        <v>84</v>
      </c>
      <c r="H188" s="195" t="s">
        <v>100</v>
      </c>
      <c r="I188" s="196" t="s">
        <v>101</v>
      </c>
      <c r="J188" s="196"/>
      <c r="K188" s="197" t="s">
        <v>102</v>
      </c>
      <c r="L188" s="198" t="s">
        <v>103</v>
      </c>
      <c r="M188" s="194" t="s">
        <v>104</v>
      </c>
      <c r="N188" s="193" t="s">
        <v>107</v>
      </c>
      <c r="O188" s="372"/>
      <c r="P188" s="373"/>
      <c r="Q188" s="373"/>
      <c r="R188" s="373"/>
      <c r="S188" s="372"/>
      <c r="T188" s="190"/>
      <c r="U188" s="62"/>
    </row>
    <row r="189" customFormat="false" ht="20.1" hidden="false" customHeight="true" outlineLevel="0" collapsed="false">
      <c r="B189" s="62"/>
      <c r="C189" s="190"/>
      <c r="D189" s="190"/>
      <c r="E189" s="575" t="s">
        <v>22</v>
      </c>
      <c r="F189" s="419" t="s">
        <v>23</v>
      </c>
      <c r="G189" s="258" t="n">
        <f aca="false">L189*6+M189*0</f>
        <v>24</v>
      </c>
      <c r="H189" s="259" t="n">
        <v>0</v>
      </c>
      <c r="I189" s="259" t="s">
        <v>67</v>
      </c>
      <c r="J189" s="259"/>
      <c r="K189" s="258" t="n">
        <f aca="false">G189+H189</f>
        <v>24</v>
      </c>
      <c r="L189" s="258" t="n">
        <v>4</v>
      </c>
      <c r="M189" s="258" t="n">
        <v>0</v>
      </c>
      <c r="N189" s="261" t="n">
        <f aca="false">(L162+L169+L176+L183)/4</f>
        <v>100</v>
      </c>
      <c r="O189" s="376"/>
      <c r="P189" s="377"/>
      <c r="Q189" s="377"/>
      <c r="R189" s="377"/>
      <c r="S189" s="408"/>
      <c r="T189" s="190"/>
      <c r="U189" s="62"/>
    </row>
    <row r="190" customFormat="false" ht="20.1" hidden="false" customHeight="true" outlineLevel="0" collapsed="false">
      <c r="B190" s="62"/>
      <c r="C190" s="190"/>
      <c r="D190" s="190"/>
      <c r="E190" s="427" t="s">
        <v>43</v>
      </c>
      <c r="F190" s="215" t="s">
        <v>44</v>
      </c>
      <c r="G190" s="271" t="n">
        <f aca="false">L190*6+M190*0</f>
        <v>0</v>
      </c>
      <c r="H190" s="272" t="n">
        <v>0</v>
      </c>
      <c r="I190" s="272" t="s">
        <v>67</v>
      </c>
      <c r="J190" s="272"/>
      <c r="K190" s="271" t="n">
        <f aca="false">G190+H190</f>
        <v>0</v>
      </c>
      <c r="L190" s="271" t="n">
        <v>0</v>
      </c>
      <c r="M190" s="271" t="n">
        <v>4</v>
      </c>
      <c r="N190" s="274" t="n">
        <f aca="false">(L161+L168+L175+L182)/4</f>
        <v>71.4322847686218</v>
      </c>
      <c r="O190" s="376"/>
      <c r="P190" s="377"/>
      <c r="Q190" s="377"/>
      <c r="R190" s="377"/>
      <c r="S190" s="408"/>
      <c r="T190" s="190"/>
      <c r="U190" s="62"/>
    </row>
    <row r="191" customFormat="false" ht="20.1" hidden="false" customHeight="true" outlineLevel="0" collapsed="false">
      <c r="B191" s="62"/>
      <c r="C191" s="190"/>
      <c r="D191" s="190"/>
      <c r="E191" s="190"/>
      <c r="F191" s="275"/>
      <c r="G191" s="275"/>
      <c r="H191" s="275"/>
      <c r="I191" s="275"/>
      <c r="J191" s="275"/>
      <c r="K191" s="275"/>
      <c r="L191" s="275"/>
      <c r="M191" s="275"/>
      <c r="N191" s="275"/>
      <c r="O191" s="275"/>
      <c r="P191" s="275"/>
      <c r="Q191" s="275"/>
      <c r="R191" s="275"/>
      <c r="S191" s="275"/>
      <c r="T191" s="190"/>
      <c r="U191" s="62"/>
    </row>
    <row r="192" customFormat="false" ht="20.1" hidden="false" customHeight="true" outlineLevel="0" collapsed="false">
      <c r="B192" s="62"/>
      <c r="C192" s="62"/>
      <c r="D192" s="219"/>
      <c r="E192" s="219"/>
      <c r="F192" s="167"/>
      <c r="G192" s="167"/>
      <c r="H192" s="219"/>
      <c r="I192" s="219"/>
      <c r="J192" s="219"/>
      <c r="K192" s="62"/>
      <c r="L192" s="62"/>
      <c r="M192" s="62"/>
      <c r="N192" s="62"/>
      <c r="O192" s="62"/>
      <c r="P192" s="62"/>
      <c r="Q192" s="62"/>
      <c r="R192" s="62"/>
      <c r="S192" s="62"/>
      <c r="T192" s="62"/>
      <c r="U192" s="62"/>
    </row>
  </sheetData>
  <mergeCells count="187">
    <mergeCell ref="A1:N2"/>
    <mergeCell ref="B4:H4"/>
    <mergeCell ref="J4:L4"/>
    <mergeCell ref="B5:C5"/>
    <mergeCell ref="B6:C6"/>
    <mergeCell ref="K6:K9"/>
    <mergeCell ref="B7:C7"/>
    <mergeCell ref="B8:C8"/>
    <mergeCell ref="B9:C9"/>
    <mergeCell ref="B10:C10"/>
    <mergeCell ref="K10:K13"/>
    <mergeCell ref="B11:C11"/>
    <mergeCell ref="B12:C12"/>
    <mergeCell ref="B13:C13"/>
    <mergeCell ref="B14:C14"/>
    <mergeCell ref="K14:K15"/>
    <mergeCell ref="B15:C15"/>
    <mergeCell ref="J16:K16"/>
    <mergeCell ref="B17:G17"/>
    <mergeCell ref="B18:C18"/>
    <mergeCell ref="B19:C19"/>
    <mergeCell ref="B20:C20"/>
    <mergeCell ref="C23:T23"/>
    <mergeCell ref="D25:D26"/>
    <mergeCell ref="E25:E26"/>
    <mergeCell ref="F25:F26"/>
    <mergeCell ref="G25:J25"/>
    <mergeCell ref="L25:S25"/>
    <mergeCell ref="I26:J26"/>
    <mergeCell ref="N26:S26"/>
    <mergeCell ref="D27:D30"/>
    <mergeCell ref="E27:E30"/>
    <mergeCell ref="F27:F30"/>
    <mergeCell ref="G27:G30"/>
    <mergeCell ref="H27:H30"/>
    <mergeCell ref="I27:J27"/>
    <mergeCell ref="K27:K30"/>
    <mergeCell ref="L27:L30"/>
    <mergeCell ref="M27:M30"/>
    <mergeCell ref="N27:S30"/>
    <mergeCell ref="I28:J28"/>
    <mergeCell ref="I29:J29"/>
    <mergeCell ref="I30:J30"/>
    <mergeCell ref="D31:D32"/>
    <mergeCell ref="E31:E32"/>
    <mergeCell ref="F31:F32"/>
    <mergeCell ref="G31:G32"/>
    <mergeCell ref="H31:H32"/>
    <mergeCell ref="I31:J31"/>
    <mergeCell ref="K31:K32"/>
    <mergeCell ref="L31:L32"/>
    <mergeCell ref="M31:M32"/>
    <mergeCell ref="N31:S32"/>
    <mergeCell ref="I32:J32"/>
    <mergeCell ref="D33:D35"/>
    <mergeCell ref="E33:E35"/>
    <mergeCell ref="F33:F35"/>
    <mergeCell ref="G33:G35"/>
    <mergeCell ref="H33:H35"/>
    <mergeCell ref="I33:J33"/>
    <mergeCell ref="K33:K35"/>
    <mergeCell ref="L33:L35"/>
    <mergeCell ref="M33:M35"/>
    <mergeCell ref="N33:S35"/>
    <mergeCell ref="I34:J34"/>
    <mergeCell ref="I35:J35"/>
    <mergeCell ref="I36:J36"/>
    <mergeCell ref="N36:S36"/>
    <mergeCell ref="E38:N38"/>
    <mergeCell ref="F44:G44"/>
    <mergeCell ref="F45:G45"/>
    <mergeCell ref="E47:N47"/>
    <mergeCell ref="F53:G53"/>
    <mergeCell ref="E56:N56"/>
    <mergeCell ref="F62:G62"/>
    <mergeCell ref="E65:N65"/>
    <mergeCell ref="F71:G71"/>
    <mergeCell ref="D74:S74"/>
    <mergeCell ref="H75:I75"/>
    <mergeCell ref="H76:I76"/>
    <mergeCell ref="H77:I77"/>
    <mergeCell ref="H78:I78"/>
    <mergeCell ref="H79:I79"/>
    <mergeCell ref="H80:I80"/>
    <mergeCell ref="C85:T85"/>
    <mergeCell ref="D87:D88"/>
    <mergeCell ref="E87:E88"/>
    <mergeCell ref="F87:F88"/>
    <mergeCell ref="G87:J87"/>
    <mergeCell ref="L87:S87"/>
    <mergeCell ref="I88:J88"/>
    <mergeCell ref="N88:S88"/>
    <mergeCell ref="D89:D92"/>
    <mergeCell ref="E89:E92"/>
    <mergeCell ref="F89:F92"/>
    <mergeCell ref="G89:G92"/>
    <mergeCell ref="H89:H92"/>
    <mergeCell ref="I89:J89"/>
    <mergeCell ref="K89:K92"/>
    <mergeCell ref="L89:L92"/>
    <mergeCell ref="M89:M92"/>
    <mergeCell ref="N89:S92"/>
    <mergeCell ref="I90:J90"/>
    <mergeCell ref="I91:J91"/>
    <mergeCell ref="I92:J92"/>
    <mergeCell ref="D93:D94"/>
    <mergeCell ref="E93:E94"/>
    <mergeCell ref="F93:F94"/>
    <mergeCell ref="G93:G94"/>
    <mergeCell ref="H93:H94"/>
    <mergeCell ref="I93:J94"/>
    <mergeCell ref="K93:K94"/>
    <mergeCell ref="L93:L94"/>
    <mergeCell ref="M93:M94"/>
    <mergeCell ref="N93:S93"/>
    <mergeCell ref="N94:S94"/>
    <mergeCell ref="D95:D97"/>
    <mergeCell ref="E95:E97"/>
    <mergeCell ref="F95:F97"/>
    <mergeCell ref="G95:G97"/>
    <mergeCell ref="H95:H97"/>
    <mergeCell ref="I95:J95"/>
    <mergeCell ref="K95:K97"/>
    <mergeCell ref="L95:L97"/>
    <mergeCell ref="M95:M97"/>
    <mergeCell ref="N95:S97"/>
    <mergeCell ref="I96:J96"/>
    <mergeCell ref="I97:J97"/>
    <mergeCell ref="I98:J98"/>
    <mergeCell ref="N98:S98"/>
    <mergeCell ref="E100:N100"/>
    <mergeCell ref="F106:G106"/>
    <mergeCell ref="E109:N109"/>
    <mergeCell ref="F115:G115"/>
    <mergeCell ref="E118:N118"/>
    <mergeCell ref="F124:G124"/>
    <mergeCell ref="E127:N127"/>
    <mergeCell ref="F133:G133"/>
    <mergeCell ref="D136:S136"/>
    <mergeCell ref="H137:I137"/>
    <mergeCell ref="H138:I138"/>
    <mergeCell ref="H139:I139"/>
    <mergeCell ref="Y139:Z139"/>
    <mergeCell ref="H140:I140"/>
    <mergeCell ref="H141:I141"/>
    <mergeCell ref="H142:I142"/>
    <mergeCell ref="C147:T147"/>
    <mergeCell ref="D149:D150"/>
    <mergeCell ref="E149:E150"/>
    <mergeCell ref="F149:F150"/>
    <mergeCell ref="G149:J149"/>
    <mergeCell ref="L149:S149"/>
    <mergeCell ref="I150:J150"/>
    <mergeCell ref="N150:S150"/>
    <mergeCell ref="I151:J151"/>
    <mergeCell ref="N151:S151"/>
    <mergeCell ref="I152:J152"/>
    <mergeCell ref="N152:S152"/>
    <mergeCell ref="D153:D155"/>
    <mergeCell ref="E153:E155"/>
    <mergeCell ref="F153:F155"/>
    <mergeCell ref="G153:G155"/>
    <mergeCell ref="H153:H155"/>
    <mergeCell ref="I153:J153"/>
    <mergeCell ref="N153:S153"/>
    <mergeCell ref="I154:J154"/>
    <mergeCell ref="I155:J155"/>
    <mergeCell ref="D156:D157"/>
    <mergeCell ref="E156:E157"/>
    <mergeCell ref="F156:F157"/>
    <mergeCell ref="G156:G157"/>
    <mergeCell ref="H156:H157"/>
    <mergeCell ref="I156:J156"/>
    <mergeCell ref="N156:S156"/>
    <mergeCell ref="I157:J157"/>
    <mergeCell ref="E159:N159"/>
    <mergeCell ref="F163:G163"/>
    <mergeCell ref="E166:N166"/>
    <mergeCell ref="F170:G170"/>
    <mergeCell ref="E173:N173"/>
    <mergeCell ref="F177:G177"/>
    <mergeCell ref="E180:N180"/>
    <mergeCell ref="F184:G184"/>
    <mergeCell ref="E187:N187"/>
    <mergeCell ref="I188:J188"/>
    <mergeCell ref="I189:J189"/>
    <mergeCell ref="I190:J190"/>
  </mergeCells>
  <conditionalFormatting sqref="B6:C13 B14:B15 D7:H10 D16:H16 D13:H13 D6:G6 D11:G12 D14:G15">
    <cfRule type="expression" priority="2" aboveAverage="0" equalAverage="0" bottom="0" percent="0" rank="0" text="" dxfId="1070">
      <formula>$H6="Nein"</formula>
    </cfRule>
    <cfRule type="expression" priority="3" aboveAverage="0" equalAverage="0" bottom="0" percent="0" rank="0" text="" dxfId="1071">
      <formula>$H6="Ja"</formula>
    </cfRule>
  </conditionalFormatting>
  <conditionalFormatting sqref="D80:E80">
    <cfRule type="expression" priority="4" aboveAverage="0" equalAverage="0" bottom="0" percent="0" rank="0" text="" dxfId="1072">
      <formula>$I80="Nein"</formula>
    </cfRule>
    <cfRule type="expression" priority="5" aboveAverage="0" equalAverage="0" bottom="0" percent="0" rank="0" text="" dxfId="1073">
      <formula>$I80="Ja"</formula>
    </cfRule>
  </conditionalFormatting>
  <conditionalFormatting sqref="H14:H15">
    <cfRule type="expression" priority="6" aboveAverage="0" equalAverage="0" bottom="0" percent="0" rank="0" text="" dxfId="1074">
      <formula>$H14="Nein"</formula>
    </cfRule>
    <cfRule type="expression" priority="7" aboveAverage="0" equalAverage="0" bottom="0" percent="0" rank="0" text="" dxfId="1075">
      <formula>$H14="Ja"</formula>
    </cfRule>
  </conditionalFormatting>
  <conditionalFormatting sqref="D151:E152">
    <cfRule type="expression" priority="8" aboveAverage="0" equalAverage="0" bottom="0" percent="0" rank="0" text="" dxfId="1076">
      <formula>$J151="Ja"</formula>
    </cfRule>
    <cfRule type="expression" priority="9" aboveAverage="0" equalAverage="0" bottom="0" percent="0" rank="0" text="" dxfId="1077">
      <formula>$J151="Nein"</formula>
    </cfRule>
  </conditionalFormatting>
  <conditionalFormatting sqref="E190:F190">
    <cfRule type="expression" priority="10" aboveAverage="0" equalAverage="0" bottom="0" percent="0" rank="0" text="" dxfId="1078">
      <formula>$I190="Nein"</formula>
    </cfRule>
    <cfRule type="expression" priority="11" aboveAverage="0" equalAverage="0" bottom="0" percent="0" rank="0" text="" dxfId="1079">
      <formula>$I190="Ja"</formula>
    </cfRule>
  </conditionalFormatting>
  <conditionalFormatting sqref="D142:E142">
    <cfRule type="expression" priority="12" aboveAverage="0" equalAverage="0" bottom="0" percent="0" rank="0" text="" dxfId="1080">
      <formula>$I142="Nein"</formula>
    </cfRule>
    <cfRule type="expression" priority="13" aboveAverage="0" equalAverage="0" bottom="0" percent="0" rank="0" text="" dxfId="1081">
      <formula>$I142="Ja"</formula>
    </cfRule>
  </conditionalFormatting>
  <conditionalFormatting sqref="D138:E138">
    <cfRule type="expression" priority="14" aboveAverage="0" equalAverage="0" bottom="0" percent="0" rank="0" text="" dxfId="1082">
      <formula>$I138="Nein"</formula>
    </cfRule>
    <cfRule type="expression" priority="15" aboveAverage="0" equalAverage="0" bottom="0" percent="0" rank="0" text="" dxfId="1083">
      <formula>$I138="Ja"</formula>
    </cfRule>
  </conditionalFormatting>
  <conditionalFormatting sqref="D139:E139">
    <cfRule type="expression" priority="16" aboveAverage="0" equalAverage="0" bottom="0" percent="0" rank="0" text="" dxfId="1084">
      <formula>$I139="Nein"</formula>
    </cfRule>
    <cfRule type="expression" priority="17" aboveAverage="0" equalAverage="0" bottom="0" percent="0" rank="0" text="" dxfId="1085">
      <formula>$I139="Ja"</formula>
    </cfRule>
  </conditionalFormatting>
  <conditionalFormatting sqref="D140:E140">
    <cfRule type="expression" priority="18" aboveAverage="0" equalAverage="0" bottom="0" percent="0" rank="0" text="" dxfId="1086">
      <formula>$I140="Nein"</formula>
    </cfRule>
    <cfRule type="expression" priority="19" aboveAverage="0" equalAverage="0" bottom="0" percent="0" rank="0" text="" dxfId="1087">
      <formula>$I140="Ja"</formula>
    </cfRule>
  </conditionalFormatting>
  <conditionalFormatting sqref="D141:E141">
    <cfRule type="expression" priority="20" aboveAverage="0" equalAverage="0" bottom="0" percent="0" rank="0" text="" dxfId="1088">
      <formula>$I141="Nein"</formula>
    </cfRule>
    <cfRule type="expression" priority="21" aboveAverage="0" equalAverage="0" bottom="0" percent="0" rank="0" text="" dxfId="1089">
      <formula>$I141="Ja"</formula>
    </cfRule>
  </conditionalFormatting>
  <conditionalFormatting sqref="E189:F189">
    <cfRule type="expression" priority="22" aboveAverage="0" equalAverage="0" bottom="0" percent="0" rank="0" text="" dxfId="1090">
      <formula>$I189="Nein"</formula>
    </cfRule>
    <cfRule type="expression" priority="23" aboveAverage="0" equalAverage="0" bottom="0" percent="0" rank="0" text="" dxfId="1091">
      <formula>$I189="Ja"</formula>
    </cfRule>
  </conditionalFormatting>
  <conditionalFormatting sqref="H6">
    <cfRule type="expression" priority="24" aboveAverage="0" equalAverage="0" bottom="0" percent="0" rank="0" text="" dxfId="1092">
      <formula>$H6="Nein"</formula>
    </cfRule>
    <cfRule type="expression" priority="25" aboveAverage="0" equalAverage="0" bottom="0" percent="0" rank="0" text="" dxfId="1093">
      <formula>$H6="Ja"</formula>
    </cfRule>
  </conditionalFormatting>
  <conditionalFormatting sqref="H11">
    <cfRule type="expression" priority="26" aboveAverage="0" equalAverage="0" bottom="0" percent="0" rank="0" text="" dxfId="1094">
      <formula>$H11="Nein"</formula>
    </cfRule>
    <cfRule type="expression" priority="27" aboveAverage="0" equalAverage="0" bottom="0" percent="0" rank="0" text="" dxfId="1095">
      <formula>$H11="Ja"</formula>
    </cfRule>
  </conditionalFormatting>
  <conditionalFormatting sqref="H12">
    <cfRule type="expression" priority="28" aboveAverage="0" equalAverage="0" bottom="0" percent="0" rank="0" text="" dxfId="1096">
      <formula>$H12="Nein"</formula>
    </cfRule>
    <cfRule type="expression" priority="29" aboveAverage="0" equalAverage="0" bottom="0" percent="0" rank="0" text="" dxfId="1097">
      <formula>$H12="Ja"</formula>
    </cfRule>
  </conditionalFormatting>
  <conditionalFormatting sqref="D19:G19 F20:G20">
    <cfRule type="expression" priority="30" aboveAverage="0" equalAverage="0" bottom="0" percent="0" rank="0" text="" dxfId="1098">
      <formula>$I19="Nein"</formula>
    </cfRule>
    <cfRule type="expression" priority="31" aboveAverage="0" equalAverage="0" bottom="0" percent="0" rank="0" text="" dxfId="1099">
      <formula>$I19="Ja"</formula>
    </cfRule>
  </conditionalFormatting>
  <conditionalFormatting sqref="D19:G19 F20:G20">
    <cfRule type="expression" priority="32" aboveAverage="0" equalAverage="0" bottom="0" percent="0" rank="0" text="" dxfId="1100">
      <formula>$I19="Nein"</formula>
    </cfRule>
    <cfRule type="expression" priority="33" aboveAverage="0" equalAverage="0" bottom="0" percent="0" rank="0" text="" dxfId="1101">
      <formula>$I19="Ja"</formula>
    </cfRule>
  </conditionalFormatting>
  <conditionalFormatting sqref="D20:E20">
    <cfRule type="expression" priority="34" aboveAverage="0" equalAverage="0" bottom="0" percent="0" rank="0" text="" dxfId="1102">
      <formula>$I20="Nein"</formula>
    </cfRule>
    <cfRule type="expression" priority="35" aboveAverage="0" equalAverage="0" bottom="0" percent="0" rank="0" text="" dxfId="1103">
      <formula>$I20="Ja"</formula>
    </cfRule>
  </conditionalFormatting>
  <conditionalFormatting sqref="E40:F43">
    <cfRule type="expression" priority="36" aboveAverage="0" equalAverage="0" bottom="0" percent="0" rank="0" text="" dxfId="1104">
      <formula>$H40="Nein"</formula>
    </cfRule>
    <cfRule type="expression" priority="37" aboveAverage="0" equalAverage="0" bottom="0" percent="0" rank="0" text="" dxfId="1105">
      <formula>$H40="Ja"</formula>
    </cfRule>
  </conditionalFormatting>
  <conditionalFormatting sqref="E49:F52">
    <cfRule type="expression" priority="38" aboveAverage="0" equalAverage="0" bottom="0" percent="0" rank="0" text="" dxfId="1106">
      <formula>$H49="Nein"</formula>
    </cfRule>
    <cfRule type="expression" priority="39" aboveAverage="0" equalAverage="0" bottom="0" percent="0" rank="0" text="" dxfId="1107">
      <formula>$H49="Ja"</formula>
    </cfRule>
  </conditionalFormatting>
  <conditionalFormatting sqref="E58:F61">
    <cfRule type="expression" priority="40" aboveAverage="0" equalAverage="0" bottom="0" percent="0" rank="0" text="" dxfId="1108">
      <formula>$H58="Nein"</formula>
    </cfRule>
    <cfRule type="expression" priority="41" aboveAverage="0" equalAverage="0" bottom="0" percent="0" rank="0" text="" dxfId="1109">
      <formula>$H58="Ja"</formula>
    </cfRule>
  </conditionalFormatting>
  <conditionalFormatting sqref="E67:F70">
    <cfRule type="expression" priority="42" aboveAverage="0" equalAverage="0" bottom="0" percent="0" rank="0" text="" dxfId="1110">
      <formula>$H67="Nein"</formula>
    </cfRule>
    <cfRule type="expression" priority="43" aboveAverage="0" equalAverage="0" bottom="0" percent="0" rank="0" text="" dxfId="1111">
      <formula>$H67="Ja"</formula>
    </cfRule>
  </conditionalFormatting>
  <conditionalFormatting sqref="D76:E76">
    <cfRule type="expression" priority="44" aboveAverage="0" equalAverage="0" bottom="0" percent="0" rank="0" text="" dxfId="1112">
      <formula>$H76="Nein"</formula>
    </cfRule>
    <cfRule type="expression" priority="45" aboveAverage="0" equalAverage="0" bottom="0" percent="0" rank="0" text="" dxfId="1113">
      <formula>$H76="Ja"</formula>
    </cfRule>
  </conditionalFormatting>
  <conditionalFormatting sqref="D77:E77">
    <cfRule type="expression" priority="46" aboveAverage="0" equalAverage="0" bottom="0" percent="0" rank="0" text="" dxfId="1114">
      <formula>$H77="Nein"</formula>
    </cfRule>
    <cfRule type="expression" priority="47" aboveAverage="0" equalAverage="0" bottom="0" percent="0" rank="0" text="" dxfId="1115">
      <formula>$H77="Ja"</formula>
    </cfRule>
  </conditionalFormatting>
  <conditionalFormatting sqref="D78:E78">
    <cfRule type="expression" priority="48" aboveAverage="0" equalAverage="0" bottom="0" percent="0" rank="0" text="" dxfId="1116">
      <formula>$H78="Nein"</formula>
    </cfRule>
    <cfRule type="expression" priority="49" aboveAverage="0" equalAverage="0" bottom="0" percent="0" rank="0" text="" dxfId="1117">
      <formula>$H78="Ja"</formula>
    </cfRule>
  </conditionalFormatting>
  <conditionalFormatting sqref="D79:E79">
    <cfRule type="expression" priority="50" aboveAverage="0" equalAverage="0" bottom="0" percent="0" rank="0" text="" dxfId="1118">
      <formula>$H79="Nein"</formula>
    </cfRule>
    <cfRule type="expression" priority="51" aboveAverage="0" equalAverage="0" bottom="0" percent="0" rank="0" text="" dxfId="1119">
      <formula>$H79="Ja"</formula>
    </cfRule>
  </conditionalFormatting>
  <conditionalFormatting sqref="E102:F105">
    <cfRule type="expression" priority="52" aboveAverage="0" equalAverage="0" bottom="0" percent="0" rank="0" text="" dxfId="1120">
      <formula>$H102="Nein"</formula>
    </cfRule>
    <cfRule type="expression" priority="53" aboveAverage="0" equalAverage="0" bottom="0" percent="0" rank="0" text="" dxfId="1121">
      <formula>$H102="Ja"</formula>
    </cfRule>
  </conditionalFormatting>
  <conditionalFormatting sqref="E111:F114">
    <cfRule type="expression" priority="54" aboveAverage="0" equalAverage="0" bottom="0" percent="0" rank="0" text="" dxfId="1122">
      <formula>$H111="Nein"</formula>
    </cfRule>
    <cfRule type="expression" priority="55" aboveAverage="0" equalAverage="0" bottom="0" percent="0" rank="0" text="" dxfId="1123">
      <formula>$H111="Ja"</formula>
    </cfRule>
  </conditionalFormatting>
  <conditionalFormatting sqref="E120:F123">
    <cfRule type="expression" priority="56" aboveAverage="0" equalAverage="0" bottom="0" percent="0" rank="0" text="" dxfId="1124">
      <formula>$H120="Nein"</formula>
    </cfRule>
    <cfRule type="expression" priority="57" aboveAverage="0" equalAverage="0" bottom="0" percent="0" rank="0" text="" dxfId="1125">
      <formula>$H120="Ja"</formula>
    </cfRule>
  </conditionalFormatting>
  <conditionalFormatting sqref="E129:F132">
    <cfRule type="expression" priority="58" aboveAverage="0" equalAverage="0" bottom="0" percent="0" rank="0" text="" dxfId="1126">
      <formula>$H129="Nein"</formula>
    </cfRule>
    <cfRule type="expression" priority="59" aboveAverage="0" equalAverage="0" bottom="0" percent="0" rank="0" text="" dxfId="1127">
      <formula>$H129="Ja"</formula>
    </cfRule>
  </conditionalFormatting>
  <conditionalFormatting sqref="E161:F162">
    <cfRule type="expression" priority="60" aboveAverage="0" equalAverage="0" bottom="0" percent="0" rank="0" text="" dxfId="1128">
      <formula>$H161="Nein"</formula>
    </cfRule>
    <cfRule type="expression" priority="61" aboveAverage="0" equalAverage="0" bottom="0" percent="0" rank="0" text="" dxfId="1129">
      <formula>$H161="Ja"</formula>
    </cfRule>
  </conditionalFormatting>
  <conditionalFormatting sqref="E168:F169">
    <cfRule type="expression" priority="62" aboveAverage="0" equalAverage="0" bottom="0" percent="0" rank="0" text="" dxfId="1130">
      <formula>$H168="Nein"</formula>
    </cfRule>
    <cfRule type="expression" priority="63" aboveAverage="0" equalAverage="0" bottom="0" percent="0" rank="0" text="" dxfId="1131">
      <formula>$H168="Ja"</formula>
    </cfRule>
  </conditionalFormatting>
  <conditionalFormatting sqref="E182:F183">
    <cfRule type="expression" priority="64" aboveAverage="0" equalAverage="0" bottom="0" percent="0" rank="0" text="" dxfId="1132">
      <formula>$H182="Nein"</formula>
    </cfRule>
    <cfRule type="expression" priority="65" aboveAverage="0" equalAverage="0" bottom="0" percent="0" rank="0" text="" dxfId="1133">
      <formula>$H182="Ja"</formula>
    </cfRule>
  </conditionalFormatting>
  <conditionalFormatting sqref="E175:F176">
    <cfRule type="expression" priority="66" aboveAverage="0" equalAverage="0" bottom="0" percent="0" rank="0" text="" dxfId="1134">
      <formula>$H175="Nein"</formula>
    </cfRule>
    <cfRule type="expression" priority="67" aboveAverage="0" equalAverage="0" bottom="0" percent="0" rank="0" text="" dxfId="1135">
      <formula>$H175="Ja"</formula>
    </cfRule>
  </conditionalFormatting>
  <dataValidations count="1">
    <dataValidation allowBlank="true" operator="between" showDropDown="false" showErrorMessage="true" showInputMessage="true" sqref="H6:H16"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214"/>
  <sheetViews>
    <sheetView showFormulas="false" showGridLines="false" showRowColHeaders="true" showZeros="true" rightToLeft="false" tabSelected="false" showOutlineSymbols="true" defaultGridColor="true" view="normal" topLeftCell="A151" colorId="64" zoomScale="100" zoomScaleNormal="100" zoomScalePageLayoutView="100" workbookViewId="0">
      <selection pane="topLeft" activeCell="C152" activeCellId="0" sqref="C152"/>
    </sheetView>
  </sheetViews>
  <sheetFormatPr defaultColWidth="11.43359375" defaultRowHeight="15" zeroHeight="false" outlineLevelRow="1" outlineLevelCol="1"/>
  <cols>
    <col collapsed="false" customWidth="true" hidden="false" outlineLevel="0" max="3" min="1" style="1" width="3.71"/>
    <col collapsed="false" customWidth="true" hidden="false" outlineLevel="0" max="14" min="4" style="1" width="20.71"/>
    <col collapsed="false" customWidth="true" hidden="true" outlineLevel="1" max="18" min="15" style="1" width="20.71"/>
    <col collapsed="false" customWidth="true" hidden="false" outlineLevel="0" max="19" min="19" style="1" width="20.71"/>
    <col collapsed="false" customWidth="true" hidden="false" outlineLevel="0" max="21" min="20" style="1" width="3.71"/>
    <col collapsed="false" customWidth="true" hidden="false" outlineLevel="0" max="22" min="22" style="1" width="15.88"/>
    <col collapsed="false" customWidth="true" hidden="false" outlineLevel="0" max="24" min="23" style="1" width="20.71"/>
    <col collapsed="false" customWidth="false" hidden="false" outlineLevel="0" max="1024" min="25" style="1" width="11.42"/>
  </cols>
  <sheetData>
    <row r="1" customFormat="false" ht="15" hidden="false" customHeight="false" outlineLevel="0" collapsed="false">
      <c r="A1" s="2" t="s">
        <v>554</v>
      </c>
      <c r="B1" s="2"/>
      <c r="C1" s="2"/>
      <c r="D1" s="2"/>
      <c r="E1" s="2"/>
      <c r="F1" s="2"/>
      <c r="G1" s="2"/>
      <c r="H1" s="2"/>
      <c r="I1" s="2"/>
      <c r="J1" s="2"/>
      <c r="K1" s="2"/>
      <c r="L1" s="2"/>
      <c r="M1" s="2"/>
      <c r="N1" s="2"/>
    </row>
    <row r="2" customFormat="false" ht="15" hidden="false" customHeight="false" outlineLevel="0" collapsed="false">
      <c r="A2" s="2"/>
      <c r="B2" s="2"/>
      <c r="C2" s="2"/>
      <c r="D2" s="2"/>
      <c r="E2" s="2"/>
      <c r="F2" s="2"/>
      <c r="G2" s="2"/>
      <c r="H2" s="2"/>
      <c r="I2" s="2"/>
      <c r="J2" s="2"/>
      <c r="K2" s="2"/>
      <c r="L2" s="2"/>
      <c r="M2" s="2"/>
      <c r="N2" s="2"/>
    </row>
    <row r="3" customFormat="false" ht="20.1" hidden="false" customHeight="true" outlineLevel="0" collapsed="false"/>
    <row r="4" customFormat="false" ht="15.75" hidden="false" customHeight="false" outlineLevel="0" collapsed="false">
      <c r="B4" s="3" t="s">
        <v>555</v>
      </c>
      <c r="C4" s="3"/>
      <c r="D4" s="3"/>
      <c r="E4" s="3"/>
      <c r="F4" s="3"/>
      <c r="G4" s="3"/>
      <c r="H4" s="3"/>
      <c r="J4" s="3" t="s">
        <v>2</v>
      </c>
      <c r="K4" s="3"/>
      <c r="L4" s="3"/>
      <c r="O4" s="4"/>
      <c r="P4" s="4"/>
      <c r="Q4" s="4"/>
      <c r="R4" s="5"/>
      <c r="S4" s="4"/>
      <c r="T4" s="4"/>
      <c r="U4" s="4"/>
      <c r="V4" s="4"/>
    </row>
    <row r="5" customFormat="false" ht="50.1" hidden="false" customHeight="true" outlineLevel="0" collapsed="false">
      <c r="B5" s="54" t="s">
        <v>556</v>
      </c>
      <c r="C5" s="54"/>
      <c r="D5" s="303" t="s">
        <v>4</v>
      </c>
      <c r="E5" s="9" t="s">
        <v>5</v>
      </c>
      <c r="F5" s="9" t="s">
        <v>6</v>
      </c>
      <c r="G5" s="57" t="s">
        <v>8</v>
      </c>
      <c r="H5" s="9" t="s">
        <v>557</v>
      </c>
      <c r="J5" s="11" t="s">
        <v>4</v>
      </c>
      <c r="K5" s="12" t="s">
        <v>10</v>
      </c>
      <c r="L5" s="13" t="s">
        <v>11</v>
      </c>
      <c r="O5" s="5"/>
      <c r="Q5" s="4"/>
      <c r="R5" s="4"/>
      <c r="S5" s="4"/>
      <c r="T5" s="5"/>
      <c r="U5" s="5"/>
    </row>
    <row r="6" customFormat="false" ht="20.1" hidden="false" customHeight="true" outlineLevel="0" collapsed="false">
      <c r="B6" s="14" t="n">
        <v>1</v>
      </c>
      <c r="C6" s="14"/>
      <c r="D6" s="18" t="s">
        <v>17</v>
      </c>
      <c r="E6" s="18" t="s">
        <v>18</v>
      </c>
      <c r="F6" s="18" t="s">
        <v>19</v>
      </c>
      <c r="G6" s="18" t="s">
        <v>19</v>
      </c>
      <c r="H6" s="304" t="s">
        <v>14</v>
      </c>
      <c r="J6" s="21" t="str">
        <f aca="false">D6</f>
        <v>Judith Fulterer</v>
      </c>
      <c r="K6" s="22" t="n">
        <v>1</v>
      </c>
      <c r="L6" s="23" t="n">
        <v>1</v>
      </c>
      <c r="O6" s="24"/>
      <c r="T6" s="24"/>
      <c r="U6" s="24"/>
    </row>
    <row r="7" customFormat="false" ht="20.1" hidden="false" customHeight="true" outlineLevel="0" collapsed="false">
      <c r="B7" s="25" t="n">
        <v>2</v>
      </c>
      <c r="C7" s="25"/>
      <c r="D7" s="32" t="s">
        <v>15</v>
      </c>
      <c r="E7" s="32" t="s">
        <v>16</v>
      </c>
      <c r="F7" s="32" t="s">
        <v>16</v>
      </c>
      <c r="G7" s="32" t="s">
        <v>16</v>
      </c>
      <c r="H7" s="305" t="s">
        <v>14</v>
      </c>
      <c r="J7" s="30" t="str">
        <f aca="false">D7</f>
        <v>Devid Fulterer</v>
      </c>
      <c r="K7" s="22"/>
      <c r="L7" s="31" t="n">
        <v>2</v>
      </c>
      <c r="O7" s="24"/>
      <c r="T7" s="24"/>
      <c r="U7" s="24"/>
    </row>
    <row r="8" customFormat="false" ht="20.1" hidden="false" customHeight="true" outlineLevel="0" collapsed="false">
      <c r="B8" s="25" t="n">
        <v>3</v>
      </c>
      <c r="C8" s="25"/>
      <c r="D8" s="33" t="s">
        <v>384</v>
      </c>
      <c r="E8" s="32" t="s">
        <v>28</v>
      </c>
      <c r="F8" s="306" t="s">
        <v>28</v>
      </c>
      <c r="G8" s="32" t="s">
        <v>28</v>
      </c>
      <c r="H8" s="305" t="s">
        <v>14</v>
      </c>
      <c r="J8" s="30" t="str">
        <f aca="false">D8</f>
        <v>Pauline Micke</v>
      </c>
      <c r="K8" s="22"/>
      <c r="L8" s="31" t="n">
        <v>3</v>
      </c>
      <c r="O8" s="24"/>
      <c r="T8" s="24"/>
      <c r="U8" s="24"/>
    </row>
    <row r="9" customFormat="false" ht="20.1" hidden="false" customHeight="true" outlineLevel="0" collapsed="false">
      <c r="B9" s="25" t="n">
        <v>4</v>
      </c>
      <c r="C9" s="25"/>
      <c r="D9" s="32" t="s">
        <v>20</v>
      </c>
      <c r="E9" s="32" t="s">
        <v>21</v>
      </c>
      <c r="F9" s="32" t="s">
        <v>21</v>
      </c>
      <c r="G9" s="32" t="s">
        <v>21</v>
      </c>
      <c r="H9" s="305" t="s">
        <v>14</v>
      </c>
      <c r="J9" s="35" t="str">
        <f aca="false">D9</f>
        <v>Andreas Micke</v>
      </c>
      <c r="K9" s="22"/>
      <c r="L9" s="36" t="n">
        <v>4</v>
      </c>
      <c r="O9" s="24"/>
      <c r="T9" s="24"/>
      <c r="U9" s="24"/>
    </row>
    <row r="10" customFormat="false" ht="20.1" hidden="false" customHeight="true" outlineLevel="0" collapsed="false">
      <c r="B10" s="25" t="n">
        <v>5</v>
      </c>
      <c r="C10" s="25"/>
      <c r="D10" s="33" t="s">
        <v>39</v>
      </c>
      <c r="E10" s="33" t="s">
        <v>40</v>
      </c>
      <c r="F10" s="34" t="s">
        <v>40</v>
      </c>
      <c r="G10" s="32" t="s">
        <v>40</v>
      </c>
      <c r="H10" s="305" t="s">
        <v>14</v>
      </c>
      <c r="J10" s="21" t="str">
        <f aca="false">D10</f>
        <v>Markus Hagenauer</v>
      </c>
      <c r="K10" s="37" t="n">
        <v>2</v>
      </c>
      <c r="L10" s="23" t="n">
        <v>1</v>
      </c>
      <c r="O10" s="24"/>
      <c r="T10" s="24"/>
      <c r="U10" s="24"/>
    </row>
    <row r="11" customFormat="false" ht="20.1" hidden="false" customHeight="true" outlineLevel="0" collapsed="false">
      <c r="B11" s="25" t="n">
        <v>6</v>
      </c>
      <c r="C11" s="25"/>
      <c r="D11" s="33" t="s">
        <v>31</v>
      </c>
      <c r="E11" s="33" t="s">
        <v>32</v>
      </c>
      <c r="F11" s="34" t="s">
        <v>32</v>
      </c>
      <c r="G11" s="32" t="s">
        <v>32</v>
      </c>
      <c r="H11" s="305" t="s">
        <v>14</v>
      </c>
      <c r="J11" s="30" t="str">
        <f aca="false">D11</f>
        <v>Daniel Zimmermann</v>
      </c>
      <c r="K11" s="37"/>
      <c r="L11" s="31" t="n">
        <v>2</v>
      </c>
      <c r="O11" s="24"/>
      <c r="T11" s="24"/>
      <c r="U11" s="24"/>
    </row>
    <row r="12" customFormat="false" ht="20.1" hidden="false" customHeight="true" outlineLevel="0" collapsed="false">
      <c r="B12" s="25" t="n">
        <v>7</v>
      </c>
      <c r="C12" s="25"/>
      <c r="D12" s="33" t="s">
        <v>37</v>
      </c>
      <c r="E12" s="33" t="s">
        <v>38</v>
      </c>
      <c r="F12" s="34" t="s">
        <v>38</v>
      </c>
      <c r="G12" s="32" t="s">
        <v>35</v>
      </c>
      <c r="H12" s="305" t="s">
        <v>14</v>
      </c>
      <c r="J12" s="30" t="str">
        <f aca="false">D12</f>
        <v>Bea Kittner</v>
      </c>
      <c r="K12" s="37"/>
      <c r="L12" s="31" t="n">
        <v>3</v>
      </c>
      <c r="O12" s="24"/>
      <c r="T12" s="24"/>
      <c r="U12" s="24"/>
    </row>
    <row r="13" customFormat="false" ht="20.1" hidden="false" customHeight="true" outlineLevel="0" collapsed="false">
      <c r="B13" s="25" t="n">
        <v>8</v>
      </c>
      <c r="C13" s="25"/>
      <c r="D13" s="32" t="s">
        <v>22</v>
      </c>
      <c r="E13" s="32" t="s">
        <v>23</v>
      </c>
      <c r="F13" s="32" t="s">
        <v>23</v>
      </c>
      <c r="G13" s="32" t="s">
        <v>23</v>
      </c>
      <c r="H13" s="305" t="s">
        <v>36</v>
      </c>
      <c r="J13" s="35" t="str">
        <f aca="false">D13</f>
        <v>Jérôme Schätzle</v>
      </c>
      <c r="K13" s="37"/>
      <c r="L13" s="36" t="n">
        <v>4</v>
      </c>
      <c r="O13" s="24"/>
      <c r="T13" s="24"/>
      <c r="U13" s="24"/>
    </row>
    <row r="14" customFormat="false" ht="20.1" hidden="false" customHeight="true" outlineLevel="0" collapsed="false">
      <c r="B14" s="25" t="n">
        <v>9</v>
      </c>
      <c r="C14" s="25"/>
      <c r="D14" s="33" t="s">
        <v>29</v>
      </c>
      <c r="E14" s="33" t="s">
        <v>30</v>
      </c>
      <c r="F14" s="34" t="s">
        <v>30</v>
      </c>
      <c r="G14" s="32" t="s">
        <v>30</v>
      </c>
      <c r="H14" s="305" t="s">
        <v>14</v>
      </c>
      <c r="J14" s="21" t="str">
        <f aca="false">D14</f>
        <v>Kai Maibaum</v>
      </c>
      <c r="K14" s="22" t="n">
        <v>3</v>
      </c>
      <c r="L14" s="23" t="n">
        <v>1</v>
      </c>
      <c r="O14" s="24"/>
      <c r="T14" s="24"/>
      <c r="U14" s="24"/>
    </row>
    <row r="15" customFormat="false" ht="20.1" hidden="false" customHeight="true" outlineLevel="0" collapsed="false">
      <c r="B15" s="25" t="n">
        <v>10</v>
      </c>
      <c r="C15" s="25"/>
      <c r="D15" s="26" t="s">
        <v>43</v>
      </c>
      <c r="E15" s="33" t="s">
        <v>44</v>
      </c>
      <c r="F15" s="34" t="s">
        <v>44</v>
      </c>
      <c r="G15" s="28" t="s">
        <v>44</v>
      </c>
      <c r="H15" s="29" t="s">
        <v>14</v>
      </c>
      <c r="J15" s="30" t="str">
        <f aca="false">D15</f>
        <v>Fabian Spaniol</v>
      </c>
      <c r="K15" s="22"/>
      <c r="L15" s="31" t="n">
        <v>2</v>
      </c>
      <c r="O15" s="24"/>
      <c r="T15" s="24"/>
      <c r="U15" s="24"/>
    </row>
    <row r="16" customFormat="false" ht="20.1" hidden="false" customHeight="true" outlineLevel="0" collapsed="false">
      <c r="B16" s="25" t="n">
        <v>11</v>
      </c>
      <c r="C16" s="25"/>
      <c r="D16" s="32" t="s">
        <v>12</v>
      </c>
      <c r="E16" s="32" t="s">
        <v>13</v>
      </c>
      <c r="F16" s="32" t="s">
        <v>13</v>
      </c>
      <c r="G16" s="32" t="s">
        <v>13</v>
      </c>
      <c r="H16" s="305" t="s">
        <v>14</v>
      </c>
      <c r="J16" s="39" t="str">
        <f aca="false">D16</f>
        <v>Jonas Röhrig</v>
      </c>
      <c r="K16" s="22"/>
      <c r="L16" s="31" t="n">
        <v>3</v>
      </c>
      <c r="O16" s="24"/>
      <c r="T16" s="24"/>
      <c r="U16" s="24"/>
    </row>
    <row r="17" customFormat="false" ht="20.1" hidden="false" customHeight="true" outlineLevel="0" collapsed="false">
      <c r="B17" s="42" t="n">
        <v>12</v>
      </c>
      <c r="C17" s="42"/>
      <c r="D17" s="44" t="s">
        <v>33</v>
      </c>
      <c r="E17" s="44" t="s">
        <v>34</v>
      </c>
      <c r="F17" s="45" t="s">
        <v>35</v>
      </c>
      <c r="G17" s="46" t="s">
        <v>35</v>
      </c>
      <c r="H17" s="309" t="s">
        <v>36</v>
      </c>
      <c r="J17" s="49" t="str">
        <f aca="false">D17</f>
        <v>Marc Lambrecht</v>
      </c>
      <c r="K17" s="22"/>
      <c r="L17" s="50" t="n">
        <v>4</v>
      </c>
      <c r="O17" s="24"/>
      <c r="T17" s="24"/>
      <c r="U17" s="24"/>
    </row>
    <row r="18" customFormat="false" ht="20.1" hidden="false" customHeight="true" outlineLevel="0" collapsed="false">
      <c r="D18" s="162"/>
      <c r="E18" s="162"/>
      <c r="F18" s="162"/>
      <c r="G18" s="162"/>
      <c r="H18" s="310"/>
      <c r="J18" s="51" t="s">
        <v>558</v>
      </c>
      <c r="K18" s="51"/>
      <c r="L18" s="52" t="n">
        <f aca="false">ROWS(L6:L17)</f>
        <v>12</v>
      </c>
      <c r="N18" s="4"/>
      <c r="O18" s="4"/>
      <c r="Q18" s="4"/>
      <c r="R18" s="4"/>
      <c r="S18" s="4"/>
      <c r="T18" s="4"/>
    </row>
    <row r="19" customFormat="false" ht="15.75" hidden="false" customHeight="false" outlineLevel="0" collapsed="false">
      <c r="B19" s="3" t="s">
        <v>559</v>
      </c>
      <c r="C19" s="3"/>
      <c r="D19" s="3"/>
      <c r="E19" s="3"/>
      <c r="F19" s="3"/>
      <c r="G19" s="3"/>
      <c r="K19" s="53"/>
      <c r="L19" s="53"/>
      <c r="M19" s="53"/>
      <c r="N19" s="5"/>
      <c r="O19" s="4"/>
      <c r="P19" s="4"/>
      <c r="R19" s="4"/>
      <c r="S19" s="4"/>
      <c r="T19" s="4"/>
      <c r="U19" s="4"/>
    </row>
    <row r="20" customFormat="false" ht="30.75" hidden="false" customHeight="true" outlineLevel="0" collapsed="false">
      <c r="B20" s="54" t="s">
        <v>51</v>
      </c>
      <c r="C20" s="54"/>
      <c r="D20" s="55" t="s">
        <v>4</v>
      </c>
      <c r="E20" s="9" t="s">
        <v>5</v>
      </c>
      <c r="F20" s="9" t="s">
        <v>6</v>
      </c>
      <c r="G20" s="57" t="s">
        <v>8</v>
      </c>
      <c r="K20" s="53"/>
      <c r="L20" s="53"/>
      <c r="M20" s="53"/>
      <c r="N20" s="5"/>
      <c r="O20" s="4"/>
      <c r="P20" s="4"/>
      <c r="R20" s="4"/>
      <c r="S20" s="4"/>
      <c r="T20" s="4"/>
      <c r="U20" s="4"/>
    </row>
    <row r="21" customFormat="false" ht="20.1" hidden="false" customHeight="true" outlineLevel="0" collapsed="false">
      <c r="B21" s="484" t="n">
        <v>1</v>
      </c>
      <c r="C21" s="484"/>
      <c r="D21" s="15" t="s">
        <v>560</v>
      </c>
      <c r="E21" s="16" t="s">
        <v>561</v>
      </c>
      <c r="F21" s="17" t="s">
        <v>561</v>
      </c>
      <c r="G21" s="647" t="s">
        <v>35</v>
      </c>
      <c r="N21" s="4"/>
      <c r="O21" s="4"/>
      <c r="Q21" s="4"/>
      <c r="R21" s="4"/>
      <c r="S21" s="4"/>
      <c r="T21" s="4"/>
    </row>
    <row r="22" customFormat="false" ht="20.1" hidden="false" customHeight="true" outlineLevel="0" collapsed="false">
      <c r="B22" s="486" t="n">
        <v>2</v>
      </c>
      <c r="C22" s="486"/>
      <c r="D22" s="43" t="s">
        <v>562</v>
      </c>
      <c r="E22" s="44" t="s">
        <v>563</v>
      </c>
      <c r="F22" s="45" t="s">
        <v>563</v>
      </c>
      <c r="G22" s="648" t="s">
        <v>35</v>
      </c>
      <c r="N22" s="488"/>
      <c r="O22" s="4"/>
      <c r="P22" s="4"/>
      <c r="R22" s="4"/>
      <c r="S22" s="4"/>
      <c r="T22" s="4"/>
      <c r="U22" s="4"/>
    </row>
    <row r="23" customFormat="false" ht="20.1" hidden="false" customHeight="true" outlineLevel="0" collapsed="false">
      <c r="L23" s="53"/>
      <c r="M23" s="53"/>
      <c r="N23" s="53"/>
      <c r="O23" s="5"/>
      <c r="P23" s="4"/>
      <c r="Q23" s="4"/>
      <c r="S23" s="4"/>
      <c r="T23" s="4"/>
      <c r="U23" s="4"/>
      <c r="V23" s="4"/>
    </row>
    <row r="24" customFormat="false" ht="20.1" hidden="false" customHeight="true" outlineLevel="0" collapsed="false">
      <c r="B24" s="62"/>
      <c r="C24" s="62"/>
      <c r="D24" s="63"/>
      <c r="E24" s="63"/>
      <c r="F24" s="63"/>
      <c r="G24" s="63"/>
      <c r="H24" s="62"/>
      <c r="I24" s="62"/>
      <c r="J24" s="62"/>
      <c r="K24" s="62"/>
      <c r="L24" s="62"/>
      <c r="M24" s="62"/>
      <c r="N24" s="62"/>
      <c r="O24" s="62"/>
      <c r="P24" s="62"/>
      <c r="Q24" s="62"/>
      <c r="R24" s="62"/>
      <c r="S24" s="62"/>
      <c r="T24" s="62"/>
      <c r="U24" s="62"/>
    </row>
    <row r="25" customFormat="false" ht="30" hidden="false" customHeight="true" outlineLevel="0" collapsed="false">
      <c r="B25" s="62"/>
      <c r="C25" s="64" t="s">
        <v>52</v>
      </c>
      <c r="D25" s="64"/>
      <c r="E25" s="64"/>
      <c r="F25" s="64"/>
      <c r="G25" s="64"/>
      <c r="H25" s="64"/>
      <c r="I25" s="64"/>
      <c r="J25" s="64"/>
      <c r="K25" s="64"/>
      <c r="L25" s="64"/>
      <c r="M25" s="64"/>
      <c r="N25" s="64"/>
      <c r="O25" s="64"/>
      <c r="P25" s="64"/>
      <c r="Q25" s="64"/>
      <c r="R25" s="64"/>
      <c r="S25" s="64"/>
      <c r="T25" s="64"/>
      <c r="U25" s="62"/>
    </row>
    <row r="26" customFormat="false" ht="20.1" hidden="false" customHeight="true" outlineLevel="0" collapsed="false">
      <c r="B26" s="62"/>
      <c r="U26" s="62"/>
    </row>
    <row r="27" customFormat="false" ht="20.1" hidden="false" customHeight="true" outlineLevel="0" collapsed="false">
      <c r="B27" s="62"/>
      <c r="D27" s="65" t="s">
        <v>53</v>
      </c>
      <c r="E27" s="66" t="s">
        <v>54</v>
      </c>
      <c r="F27" s="67" t="s">
        <v>11</v>
      </c>
      <c r="G27" s="66" t="s">
        <v>55</v>
      </c>
      <c r="H27" s="66"/>
      <c r="I27" s="66"/>
      <c r="J27" s="66"/>
      <c r="K27" s="66" t="s">
        <v>56</v>
      </c>
      <c r="L27" s="68" t="s">
        <v>57</v>
      </c>
      <c r="M27" s="68"/>
      <c r="N27" s="68"/>
      <c r="O27" s="68"/>
      <c r="P27" s="68"/>
      <c r="Q27" s="68"/>
      <c r="R27" s="68"/>
      <c r="S27" s="68"/>
      <c r="U27" s="62"/>
    </row>
    <row r="28" customFormat="false" ht="20.1" hidden="false" customHeight="true" outlineLevel="0" collapsed="false">
      <c r="B28" s="62"/>
      <c r="D28" s="65"/>
      <c r="E28" s="66"/>
      <c r="F28" s="66"/>
      <c r="G28" s="317" t="s">
        <v>58</v>
      </c>
      <c r="H28" s="317" t="s">
        <v>59</v>
      </c>
      <c r="I28" s="226" t="s">
        <v>60</v>
      </c>
      <c r="J28" s="226"/>
      <c r="K28" s="69" t="s">
        <v>61</v>
      </c>
      <c r="L28" s="69" t="s">
        <v>58</v>
      </c>
      <c r="M28" s="70" t="s">
        <v>62</v>
      </c>
      <c r="N28" s="67" t="s">
        <v>60</v>
      </c>
      <c r="O28" s="67"/>
      <c r="P28" s="67"/>
      <c r="Q28" s="67"/>
      <c r="R28" s="67"/>
      <c r="S28" s="67"/>
      <c r="U28" s="62"/>
    </row>
    <row r="29" customFormat="false" ht="20.1" hidden="false" customHeight="true" outlineLevel="0" collapsed="false">
      <c r="B29" s="62"/>
      <c r="D29" s="456" t="s">
        <v>17</v>
      </c>
      <c r="E29" s="457" t="s">
        <v>18</v>
      </c>
      <c r="F29" s="308" t="n">
        <v>1</v>
      </c>
      <c r="G29" s="496" t="s">
        <v>63</v>
      </c>
      <c r="H29" s="459" t="s">
        <v>531</v>
      </c>
      <c r="I29" s="321" t="s">
        <v>564</v>
      </c>
      <c r="J29" s="321"/>
      <c r="K29" s="649" t="s">
        <v>111</v>
      </c>
      <c r="L29" s="461" t="s">
        <v>67</v>
      </c>
      <c r="M29" s="462" t="s">
        <v>67</v>
      </c>
      <c r="N29" s="463" t="s">
        <v>67</v>
      </c>
      <c r="O29" s="463"/>
      <c r="P29" s="463"/>
      <c r="Q29" s="463"/>
      <c r="R29" s="463"/>
      <c r="S29" s="463"/>
      <c r="U29" s="62"/>
    </row>
    <row r="30" customFormat="false" ht="15" hidden="false" customHeight="true" outlineLevel="0" collapsed="false">
      <c r="B30" s="62"/>
      <c r="D30" s="326" t="s">
        <v>15</v>
      </c>
      <c r="E30" s="306" t="s">
        <v>16</v>
      </c>
      <c r="F30" s="31" t="n">
        <v>2</v>
      </c>
      <c r="G30" s="476" t="s">
        <v>63</v>
      </c>
      <c r="H30" s="82" t="s">
        <v>457</v>
      </c>
      <c r="I30" s="328" t="s">
        <v>458</v>
      </c>
      <c r="J30" s="328"/>
      <c r="K30" s="650" t="s">
        <v>470</v>
      </c>
      <c r="L30" s="330" t="s">
        <v>67</v>
      </c>
      <c r="M30" s="331" t="s">
        <v>67</v>
      </c>
      <c r="N30" s="86" t="s">
        <v>67</v>
      </c>
      <c r="O30" s="86"/>
      <c r="P30" s="86"/>
      <c r="Q30" s="86"/>
      <c r="R30" s="86"/>
      <c r="S30" s="86"/>
      <c r="U30" s="62"/>
    </row>
    <row r="31" customFormat="false" ht="15" hidden="false" customHeight="true" outlineLevel="0" collapsed="false">
      <c r="B31" s="62"/>
      <c r="D31" s="326"/>
      <c r="E31" s="306"/>
      <c r="F31" s="31"/>
      <c r="G31" s="476"/>
      <c r="H31" s="82"/>
      <c r="I31" s="332" t="s">
        <v>459</v>
      </c>
      <c r="J31" s="332"/>
      <c r="K31" s="650"/>
      <c r="L31" s="330"/>
      <c r="M31" s="331"/>
      <c r="N31" s="86"/>
      <c r="O31" s="86"/>
      <c r="P31" s="86"/>
      <c r="Q31" s="86"/>
      <c r="R31" s="86"/>
      <c r="S31" s="86"/>
      <c r="U31" s="62"/>
    </row>
    <row r="32" customFormat="false" ht="15" hidden="false" customHeight="true" outlineLevel="0" collapsed="false">
      <c r="B32" s="62"/>
      <c r="D32" s="326"/>
      <c r="E32" s="306"/>
      <c r="F32" s="31"/>
      <c r="G32" s="476"/>
      <c r="H32" s="82"/>
      <c r="I32" s="361" t="s">
        <v>460</v>
      </c>
      <c r="J32" s="361"/>
      <c r="K32" s="650"/>
      <c r="L32" s="330"/>
      <c r="M32" s="331"/>
      <c r="N32" s="86"/>
      <c r="O32" s="86"/>
      <c r="P32" s="86"/>
      <c r="Q32" s="86"/>
      <c r="R32" s="86"/>
      <c r="S32" s="86"/>
      <c r="U32" s="62"/>
    </row>
    <row r="33" customFormat="false" ht="15" hidden="false" customHeight="true" outlineLevel="0" collapsed="false">
      <c r="B33" s="62"/>
      <c r="D33" s="333" t="s">
        <v>384</v>
      </c>
      <c r="E33" s="33" t="s">
        <v>28</v>
      </c>
      <c r="F33" s="31" t="n">
        <v>3</v>
      </c>
      <c r="G33" s="87" t="s">
        <v>114</v>
      </c>
      <c r="H33" s="89" t="s">
        <v>470</v>
      </c>
      <c r="I33" s="335" t="s">
        <v>471</v>
      </c>
      <c r="J33" s="335"/>
      <c r="K33" s="353" t="s">
        <v>111</v>
      </c>
      <c r="L33" s="330" t="s">
        <v>67</v>
      </c>
      <c r="M33" s="331" t="s">
        <v>67</v>
      </c>
      <c r="N33" s="337" t="s">
        <v>67</v>
      </c>
      <c r="O33" s="337"/>
      <c r="P33" s="337"/>
      <c r="Q33" s="337"/>
      <c r="R33" s="337"/>
      <c r="S33" s="337"/>
      <c r="U33" s="62"/>
    </row>
    <row r="34" customFormat="false" ht="15" hidden="false" customHeight="true" outlineLevel="0" collapsed="false">
      <c r="B34" s="62"/>
      <c r="D34" s="333"/>
      <c r="E34" s="33"/>
      <c r="F34" s="31"/>
      <c r="G34" s="87"/>
      <c r="H34" s="89"/>
      <c r="I34" s="338" t="s">
        <v>565</v>
      </c>
      <c r="J34" s="338"/>
      <c r="K34" s="353"/>
      <c r="L34" s="330"/>
      <c r="M34" s="331"/>
      <c r="N34" s="337"/>
      <c r="O34" s="337"/>
      <c r="P34" s="337"/>
      <c r="Q34" s="337"/>
      <c r="R34" s="337"/>
      <c r="S34" s="337"/>
      <c r="U34" s="62"/>
    </row>
    <row r="35" customFormat="false" ht="15" hidden="false" customHeight="true" outlineLevel="0" collapsed="false">
      <c r="B35" s="62"/>
      <c r="D35" s="333"/>
      <c r="E35" s="33"/>
      <c r="F35" s="31"/>
      <c r="G35" s="87"/>
      <c r="H35" s="89"/>
      <c r="I35" s="338" t="s">
        <v>473</v>
      </c>
      <c r="J35" s="338"/>
      <c r="K35" s="353"/>
      <c r="L35" s="330"/>
      <c r="M35" s="331"/>
      <c r="N35" s="337"/>
      <c r="O35" s="337"/>
      <c r="P35" s="337"/>
      <c r="Q35" s="337"/>
      <c r="R35" s="337"/>
      <c r="S35" s="337"/>
      <c r="U35" s="62"/>
    </row>
    <row r="36" customFormat="false" ht="27.95" hidden="false" customHeight="true" outlineLevel="0" collapsed="false">
      <c r="B36" s="62"/>
      <c r="D36" s="333"/>
      <c r="E36" s="33"/>
      <c r="F36" s="31"/>
      <c r="G36" s="87"/>
      <c r="H36" s="89"/>
      <c r="I36" s="338" t="s">
        <v>566</v>
      </c>
      <c r="J36" s="338"/>
      <c r="K36" s="353"/>
      <c r="L36" s="330"/>
      <c r="M36" s="331"/>
      <c r="N36" s="337"/>
      <c r="O36" s="337"/>
      <c r="P36" s="337"/>
      <c r="Q36" s="337"/>
      <c r="R36" s="337"/>
      <c r="S36" s="337"/>
      <c r="U36" s="62"/>
    </row>
    <row r="37" customFormat="false" ht="15" hidden="false" customHeight="true" outlineLevel="0" collapsed="false">
      <c r="B37" s="62"/>
      <c r="D37" s="362" t="s">
        <v>20</v>
      </c>
      <c r="E37" s="44" t="s">
        <v>21</v>
      </c>
      <c r="F37" s="340" t="n">
        <v>4</v>
      </c>
      <c r="G37" s="491" t="s">
        <v>63</v>
      </c>
      <c r="H37" s="341" t="s">
        <v>173</v>
      </c>
      <c r="I37" s="342" t="s">
        <v>412</v>
      </c>
      <c r="J37" s="342"/>
      <c r="K37" s="651" t="s">
        <v>567</v>
      </c>
      <c r="L37" s="344" t="s">
        <v>67</v>
      </c>
      <c r="M37" s="345" t="s">
        <v>67</v>
      </c>
      <c r="N37" s="346" t="s">
        <v>67</v>
      </c>
      <c r="O37" s="346"/>
      <c r="P37" s="346"/>
      <c r="Q37" s="346"/>
      <c r="R37" s="346"/>
      <c r="S37" s="346"/>
      <c r="U37" s="62"/>
    </row>
    <row r="38" customFormat="false" ht="27.95" hidden="false" customHeight="true" outlineLevel="0" collapsed="false">
      <c r="B38" s="62"/>
      <c r="D38" s="362"/>
      <c r="E38" s="44"/>
      <c r="F38" s="340"/>
      <c r="G38" s="491"/>
      <c r="H38" s="341"/>
      <c r="I38" s="347" t="s">
        <v>568</v>
      </c>
      <c r="J38" s="347"/>
      <c r="K38" s="651"/>
      <c r="L38" s="344"/>
      <c r="M38" s="345"/>
      <c r="N38" s="346"/>
      <c r="O38" s="346"/>
      <c r="P38" s="346"/>
      <c r="Q38" s="346"/>
      <c r="R38" s="346"/>
      <c r="S38" s="346"/>
      <c r="U38" s="62"/>
    </row>
    <row r="39" customFormat="false" ht="15" hidden="false" customHeight="true" outlineLevel="0" collapsed="false">
      <c r="B39" s="62"/>
      <c r="D39" s="362"/>
      <c r="E39" s="44"/>
      <c r="F39" s="340"/>
      <c r="G39" s="491"/>
      <c r="H39" s="341"/>
      <c r="I39" s="347" t="s">
        <v>176</v>
      </c>
      <c r="J39" s="347"/>
      <c r="K39" s="651"/>
      <c r="L39" s="344"/>
      <c r="M39" s="345"/>
      <c r="N39" s="346"/>
      <c r="O39" s="346"/>
      <c r="P39" s="346"/>
      <c r="Q39" s="346"/>
      <c r="R39" s="346"/>
      <c r="S39" s="346"/>
      <c r="U39" s="62"/>
    </row>
    <row r="40" customFormat="false" ht="15" hidden="false" customHeight="true" outlineLevel="0" collapsed="false">
      <c r="B40" s="62"/>
      <c r="D40" s="362"/>
      <c r="E40" s="44"/>
      <c r="F40" s="340"/>
      <c r="G40" s="491"/>
      <c r="H40" s="341"/>
      <c r="I40" s="347" t="s">
        <v>508</v>
      </c>
      <c r="J40" s="347"/>
      <c r="K40" s="651"/>
      <c r="L40" s="344"/>
      <c r="M40" s="345"/>
      <c r="N40" s="346"/>
      <c r="O40" s="346"/>
      <c r="P40" s="346"/>
      <c r="Q40" s="346"/>
      <c r="R40" s="346"/>
      <c r="S40" s="346"/>
      <c r="U40" s="62"/>
    </row>
    <row r="41" customFormat="false" ht="27.95" hidden="false" customHeight="true" outlineLevel="0" collapsed="false">
      <c r="B41" s="62"/>
      <c r="D41" s="362"/>
      <c r="E41" s="44"/>
      <c r="F41" s="340"/>
      <c r="G41" s="491"/>
      <c r="H41" s="341"/>
      <c r="I41" s="347" t="s">
        <v>415</v>
      </c>
      <c r="J41" s="347"/>
      <c r="K41" s="651"/>
      <c r="L41" s="344"/>
      <c r="M41" s="345"/>
      <c r="N41" s="346"/>
      <c r="O41" s="346"/>
      <c r="P41" s="346"/>
      <c r="Q41" s="346"/>
      <c r="R41" s="346"/>
      <c r="S41" s="346"/>
      <c r="U41" s="62"/>
    </row>
    <row r="42" customFormat="false" ht="15" hidden="false" customHeight="true" outlineLevel="0" collapsed="false">
      <c r="B42" s="62"/>
      <c r="D42" s="362"/>
      <c r="E42" s="44"/>
      <c r="F42" s="340"/>
      <c r="G42" s="491"/>
      <c r="H42" s="341"/>
      <c r="I42" s="348" t="s">
        <v>416</v>
      </c>
      <c r="J42" s="348"/>
      <c r="K42" s="651"/>
      <c r="L42" s="344"/>
      <c r="M42" s="345"/>
      <c r="N42" s="346"/>
      <c r="O42" s="346"/>
      <c r="P42" s="346"/>
      <c r="Q42" s="346"/>
      <c r="R42" s="346"/>
      <c r="S42" s="346"/>
      <c r="U42" s="62"/>
    </row>
    <row r="43" customFormat="false" ht="20.1" hidden="false" customHeight="true" outlineLevel="0" collapsed="false">
      <c r="B43" s="62"/>
      <c r="U43" s="62"/>
    </row>
    <row r="44" customFormat="false" ht="20.1" hidden="false" customHeight="true" outlineLevel="0" collapsed="false">
      <c r="B44" s="62"/>
      <c r="C44" s="101"/>
      <c r="D44" s="101"/>
      <c r="E44" s="102" t="str">
        <f aca="false">IF(OR(M29="-",M29= ""),H29,M29)</f>
        <v>Eine wundervolle Welt</v>
      </c>
      <c r="F44" s="102"/>
      <c r="G44" s="102"/>
      <c r="H44" s="102"/>
      <c r="I44" s="102"/>
      <c r="J44" s="102"/>
      <c r="K44" s="102"/>
      <c r="L44" s="102"/>
      <c r="M44" s="102"/>
      <c r="N44" s="102"/>
      <c r="O44" s="103"/>
      <c r="P44" s="103"/>
      <c r="Q44" s="103"/>
      <c r="R44" s="103"/>
      <c r="S44" s="103"/>
      <c r="T44" s="101"/>
      <c r="U44" s="62"/>
    </row>
    <row r="45" customFormat="false" ht="50.1" hidden="false" customHeight="true" outlineLevel="0" collapsed="false">
      <c r="B45" s="62"/>
      <c r="C45" s="101"/>
      <c r="D45" s="103"/>
      <c r="E45" s="65" t="s">
        <v>53</v>
      </c>
      <c r="F45" s="104" t="s">
        <v>76</v>
      </c>
      <c r="G45" s="67" t="s">
        <v>77</v>
      </c>
      <c r="H45" s="66" t="s">
        <v>78</v>
      </c>
      <c r="I45" s="54" t="s">
        <v>79</v>
      </c>
      <c r="J45" s="66" t="s">
        <v>80</v>
      </c>
      <c r="K45" s="105" t="s">
        <v>81</v>
      </c>
      <c r="L45" s="66" t="s">
        <v>82</v>
      </c>
      <c r="M45" s="106" t="s">
        <v>83</v>
      </c>
      <c r="N45" s="67" t="s">
        <v>84</v>
      </c>
      <c r="O45" s="107" t="s">
        <v>85</v>
      </c>
      <c r="P45" s="108" t="s">
        <v>86</v>
      </c>
      <c r="Q45" s="108" t="s">
        <v>87</v>
      </c>
      <c r="R45" s="108" t="s">
        <v>88</v>
      </c>
      <c r="S45" s="103"/>
      <c r="T45" s="101"/>
      <c r="U45" s="62"/>
    </row>
    <row r="46" customFormat="false" ht="20.1" hidden="false" customHeight="true" outlineLevel="0" collapsed="false">
      <c r="B46" s="62"/>
      <c r="C46" s="101"/>
      <c r="D46" s="101"/>
      <c r="E46" s="318" t="s">
        <v>17</v>
      </c>
      <c r="F46" s="16" t="s">
        <v>18</v>
      </c>
      <c r="G46" s="250" t="s">
        <v>67</v>
      </c>
      <c r="H46" s="250" t="s">
        <v>67</v>
      </c>
      <c r="I46" s="250" t="n">
        <v>0</v>
      </c>
      <c r="J46" s="250" t="n">
        <v>52</v>
      </c>
      <c r="K46" s="250" t="s">
        <v>67</v>
      </c>
      <c r="L46" s="253" t="n">
        <f aca="false">IF(J46="",0,(J46/J50)*100)</f>
        <v>91.2280701754386</v>
      </c>
      <c r="M46" s="250" t="n">
        <v>2</v>
      </c>
      <c r="N46" s="254" t="n">
        <v>3</v>
      </c>
      <c r="O46" s="115" t="n">
        <f aca="false">IF(M46=1,1,0)</f>
        <v>0</v>
      </c>
      <c r="P46" s="116" t="n">
        <f aca="false">IF(M46=2,1,0)</f>
        <v>1</v>
      </c>
      <c r="Q46" s="116" t="n">
        <f aca="false">IF(M46=3,1,0)</f>
        <v>0</v>
      </c>
      <c r="R46" s="117" t="n">
        <f aca="false">IF(M46=4,1,0)</f>
        <v>0</v>
      </c>
      <c r="S46" s="118"/>
      <c r="T46" s="101"/>
      <c r="U46" s="62"/>
    </row>
    <row r="47" customFormat="false" ht="20.1" hidden="false" customHeight="true" outlineLevel="0" collapsed="false">
      <c r="B47" s="62"/>
      <c r="C47" s="101"/>
      <c r="D47" s="101"/>
      <c r="E47" s="174" t="s">
        <v>15</v>
      </c>
      <c r="F47" s="175" t="s">
        <v>16</v>
      </c>
      <c r="G47" s="151" t="s">
        <v>67</v>
      </c>
      <c r="H47" s="151" t="s">
        <v>67</v>
      </c>
      <c r="I47" s="151" t="n">
        <v>0</v>
      </c>
      <c r="J47" s="151" t="n">
        <v>57</v>
      </c>
      <c r="K47" s="151" t="s">
        <v>67</v>
      </c>
      <c r="L47" s="153" t="n">
        <f aca="false">IF(J47="",0,(J47/J50)*100)</f>
        <v>100</v>
      </c>
      <c r="M47" s="151" t="n">
        <v>1</v>
      </c>
      <c r="N47" s="154" t="n">
        <v>6</v>
      </c>
      <c r="O47" s="121" t="n">
        <f aca="false">IF(M47=1,1,0)</f>
        <v>1</v>
      </c>
      <c r="P47" s="122" t="n">
        <f aca="false">IF(M47=2,1,0)</f>
        <v>0</v>
      </c>
      <c r="Q47" s="122" t="n">
        <f aca="false">IF(M47=3,1,0)</f>
        <v>0</v>
      </c>
      <c r="R47" s="123" t="n">
        <f aca="false">IF(M47=4,1,0)</f>
        <v>0</v>
      </c>
      <c r="S47" s="118"/>
      <c r="T47" s="101"/>
      <c r="U47" s="62"/>
    </row>
    <row r="48" customFormat="false" ht="20.1" hidden="false" customHeight="true" outlineLevel="0" collapsed="false">
      <c r="B48" s="62"/>
      <c r="C48" s="101"/>
      <c r="D48" s="101"/>
      <c r="E48" s="326" t="s">
        <v>384</v>
      </c>
      <c r="F48" s="33" t="s">
        <v>28</v>
      </c>
      <c r="G48" s="241" t="s">
        <v>67</v>
      </c>
      <c r="H48" s="241" t="s">
        <v>67</v>
      </c>
      <c r="I48" s="241" t="n">
        <v>0</v>
      </c>
      <c r="J48" s="241" t="n">
        <v>38</v>
      </c>
      <c r="K48" s="241" t="s">
        <v>67</v>
      </c>
      <c r="L48" s="243" t="n">
        <f aca="false">IF(J48="",0,(J48/J50)*100)</f>
        <v>66.6666666666667</v>
      </c>
      <c r="M48" s="241" t="n">
        <v>4</v>
      </c>
      <c r="N48" s="244" t="n">
        <v>0</v>
      </c>
      <c r="O48" s="121" t="n">
        <f aca="false">IF(M48=1,1,0)</f>
        <v>0</v>
      </c>
      <c r="P48" s="122" t="n">
        <f aca="false">IF(M48=2,1,0)</f>
        <v>0</v>
      </c>
      <c r="Q48" s="122" t="n">
        <f aca="false">IF(M48=3,1,0)</f>
        <v>0</v>
      </c>
      <c r="R48" s="123" t="n">
        <f aca="false">IF(M48=4,1,0)</f>
        <v>1</v>
      </c>
      <c r="S48" s="118"/>
      <c r="T48" s="101"/>
      <c r="U48" s="62"/>
    </row>
    <row r="49" customFormat="false" ht="20.1" hidden="false" customHeight="true" outlineLevel="0" collapsed="false">
      <c r="B49" s="62"/>
      <c r="C49" s="101"/>
      <c r="D49" s="124"/>
      <c r="E49" s="349" t="s">
        <v>20</v>
      </c>
      <c r="F49" s="44" t="s">
        <v>21</v>
      </c>
      <c r="G49" s="245" t="s">
        <v>67</v>
      </c>
      <c r="H49" s="245" t="s">
        <v>67</v>
      </c>
      <c r="I49" s="245" t="n">
        <v>0</v>
      </c>
      <c r="J49" s="245" t="n">
        <v>45</v>
      </c>
      <c r="K49" s="245" t="s">
        <v>67</v>
      </c>
      <c r="L49" s="247" t="n">
        <f aca="false">IF(J49="",0,(J49/J50)*100)</f>
        <v>78.9473684210526</v>
      </c>
      <c r="M49" s="245" t="n">
        <v>3</v>
      </c>
      <c r="N49" s="248" t="n">
        <v>1</v>
      </c>
      <c r="O49" s="127" t="n">
        <f aca="false">IF(M49=1,1,0)</f>
        <v>0</v>
      </c>
      <c r="P49" s="128" t="n">
        <f aca="false">IF(M49=2,1,0)</f>
        <v>0</v>
      </c>
      <c r="Q49" s="128" t="n">
        <f aca="false">IF(M49=3,1,0)</f>
        <v>1</v>
      </c>
      <c r="R49" s="129" t="n">
        <f aca="false">IF(M49=4,1,0)</f>
        <v>0</v>
      </c>
      <c r="S49" s="118"/>
      <c r="T49" s="101"/>
      <c r="U49" s="62"/>
    </row>
    <row r="50" customFormat="false" ht="20.1" hidden="true" customHeight="true" outlineLevel="1" collapsed="false">
      <c r="B50" s="62"/>
      <c r="C50" s="101"/>
      <c r="D50" s="130"/>
      <c r="E50" s="130"/>
      <c r="F50" s="131"/>
      <c r="G50" s="131"/>
      <c r="H50" s="101"/>
      <c r="I50" s="132" t="s">
        <v>89</v>
      </c>
      <c r="J50" s="133" t="n">
        <f aca="false">MAX(J46:J49)</f>
        <v>57</v>
      </c>
      <c r="K50" s="134"/>
      <c r="L50" s="135"/>
      <c r="M50" s="101"/>
      <c r="N50" s="136" t="s">
        <v>90</v>
      </c>
      <c r="O50" s="137" t="n">
        <f aca="false">SUM(O46:O49)</f>
        <v>1</v>
      </c>
      <c r="P50" s="138" t="n">
        <f aca="false">SUM(P46:P49)</f>
        <v>1</v>
      </c>
      <c r="Q50" s="137" t="n">
        <f aca="false">SUM(Q46:Q49)</f>
        <v>1</v>
      </c>
      <c r="R50" s="137" t="n">
        <f aca="false">SUM(R46:R49)</f>
        <v>1</v>
      </c>
      <c r="S50" s="139"/>
      <c r="T50" s="101"/>
      <c r="U50" s="62"/>
    </row>
    <row r="51" customFormat="false" ht="20.1" hidden="false" customHeight="true" outlineLevel="0" collapsed="false">
      <c r="B51" s="62"/>
      <c r="C51" s="101"/>
      <c r="D51" s="101"/>
      <c r="E51" s="101"/>
      <c r="F51" s="140"/>
      <c r="G51" s="140"/>
      <c r="H51" s="103"/>
      <c r="I51" s="101"/>
      <c r="J51" s="101"/>
      <c r="K51" s="101"/>
      <c r="L51" s="101"/>
      <c r="M51" s="101"/>
      <c r="N51" s="101"/>
      <c r="O51" s="101"/>
      <c r="P51" s="101"/>
      <c r="Q51" s="101"/>
      <c r="R51" s="101"/>
      <c r="S51" s="101"/>
      <c r="T51" s="101"/>
      <c r="U51" s="62"/>
    </row>
    <row r="52" customFormat="false" ht="20.1" hidden="false" customHeight="true" outlineLevel="0" collapsed="false">
      <c r="B52" s="62"/>
      <c r="U52" s="62"/>
    </row>
    <row r="53" customFormat="false" ht="20.1" hidden="false" customHeight="true" outlineLevel="0" collapsed="false">
      <c r="B53" s="62"/>
      <c r="C53" s="141"/>
      <c r="D53" s="141"/>
      <c r="E53" s="142" t="str">
        <f aca="false">IF(OR(M30="-",M30= ""),H30,M30)</f>
        <v>Welcome To…</v>
      </c>
      <c r="F53" s="142"/>
      <c r="G53" s="142"/>
      <c r="H53" s="142"/>
      <c r="I53" s="142"/>
      <c r="J53" s="142"/>
      <c r="K53" s="142"/>
      <c r="L53" s="142"/>
      <c r="M53" s="142"/>
      <c r="N53" s="142"/>
      <c r="O53" s="143"/>
      <c r="P53" s="143"/>
      <c r="Q53" s="143"/>
      <c r="R53" s="143"/>
      <c r="S53" s="143"/>
      <c r="T53" s="141"/>
      <c r="U53" s="62"/>
    </row>
    <row r="54" customFormat="false" ht="50.1" hidden="false" customHeight="true" outlineLevel="0" collapsed="false">
      <c r="B54" s="62"/>
      <c r="C54" s="141"/>
      <c r="D54" s="143"/>
      <c r="E54" s="65" t="s">
        <v>53</v>
      </c>
      <c r="F54" s="104" t="s">
        <v>76</v>
      </c>
      <c r="G54" s="67" t="s">
        <v>77</v>
      </c>
      <c r="H54" s="66" t="s">
        <v>78</v>
      </c>
      <c r="I54" s="54" t="s">
        <v>79</v>
      </c>
      <c r="J54" s="66" t="s">
        <v>80</v>
      </c>
      <c r="K54" s="105" t="s">
        <v>81</v>
      </c>
      <c r="L54" s="66" t="s">
        <v>82</v>
      </c>
      <c r="M54" s="106" t="s">
        <v>83</v>
      </c>
      <c r="N54" s="67" t="s">
        <v>84</v>
      </c>
      <c r="O54" s="107" t="s">
        <v>85</v>
      </c>
      <c r="P54" s="108" t="s">
        <v>86</v>
      </c>
      <c r="Q54" s="108" t="s">
        <v>87</v>
      </c>
      <c r="R54" s="108" t="s">
        <v>88</v>
      </c>
      <c r="S54" s="143"/>
      <c r="T54" s="141"/>
      <c r="U54" s="62"/>
    </row>
    <row r="55" customFormat="false" ht="20.1" hidden="false" customHeight="true" outlineLevel="0" collapsed="false">
      <c r="B55" s="62"/>
      <c r="C55" s="141"/>
      <c r="D55" s="141"/>
      <c r="E55" s="318" t="s">
        <v>17</v>
      </c>
      <c r="F55" s="16" t="s">
        <v>18</v>
      </c>
      <c r="G55" s="250" t="s">
        <v>67</v>
      </c>
      <c r="H55" s="250" t="s">
        <v>67</v>
      </c>
      <c r="I55" s="250" t="n">
        <v>0</v>
      </c>
      <c r="J55" s="250" t="n">
        <v>77</v>
      </c>
      <c r="K55" s="250" t="s">
        <v>67</v>
      </c>
      <c r="L55" s="253" t="n">
        <f aca="false">IF(J55="",0,(J55/J59)*100)</f>
        <v>90.5882352941176</v>
      </c>
      <c r="M55" s="250" t="n">
        <v>3</v>
      </c>
      <c r="N55" s="254" t="n">
        <v>1</v>
      </c>
      <c r="O55" s="115" t="n">
        <f aca="false">IF(M55=1,1,0)</f>
        <v>0</v>
      </c>
      <c r="P55" s="116" t="n">
        <f aca="false">IF(M55=2,1,0)</f>
        <v>0</v>
      </c>
      <c r="Q55" s="116" t="n">
        <f aca="false">IF(M55=3,1,0)</f>
        <v>1</v>
      </c>
      <c r="R55" s="117" t="n">
        <f aca="false">IF(M55=4,1,0)</f>
        <v>0</v>
      </c>
      <c r="S55" s="147"/>
      <c r="T55" s="141"/>
      <c r="U55" s="62"/>
    </row>
    <row r="56" customFormat="false" ht="20.1" hidden="false" customHeight="true" outlineLevel="0" collapsed="false">
      <c r="B56" s="62"/>
      <c r="C56" s="141"/>
      <c r="D56" s="148"/>
      <c r="E56" s="174" t="s">
        <v>15</v>
      </c>
      <c r="F56" s="175" t="s">
        <v>16</v>
      </c>
      <c r="G56" s="151" t="s">
        <v>67</v>
      </c>
      <c r="H56" s="151" t="s">
        <v>67</v>
      </c>
      <c r="I56" s="151" t="n">
        <v>0</v>
      </c>
      <c r="J56" s="151" t="n">
        <v>85</v>
      </c>
      <c r="K56" s="151" t="s">
        <v>67</v>
      </c>
      <c r="L56" s="153" t="n">
        <f aca="false">IF(J56="",0,(J56/J59)*100)</f>
        <v>100</v>
      </c>
      <c r="M56" s="151" t="n">
        <v>1</v>
      </c>
      <c r="N56" s="154" t="n">
        <v>6</v>
      </c>
      <c r="O56" s="121" t="n">
        <f aca="false">IF(M56=1,1,0)</f>
        <v>1</v>
      </c>
      <c r="P56" s="122" t="n">
        <f aca="false">IF(M56=2,1,0)</f>
        <v>0</v>
      </c>
      <c r="Q56" s="122" t="n">
        <f aca="false">IF(M56=3,1,0)</f>
        <v>0</v>
      </c>
      <c r="R56" s="123" t="n">
        <f aca="false">IF(M56=4,1,0)</f>
        <v>0</v>
      </c>
      <c r="S56" s="147"/>
      <c r="T56" s="141"/>
      <c r="U56" s="62"/>
    </row>
    <row r="57" customFormat="false" ht="20.1" hidden="false" customHeight="true" outlineLevel="0" collapsed="false">
      <c r="B57" s="62"/>
      <c r="C57" s="141"/>
      <c r="D57" s="141"/>
      <c r="E57" s="326" t="s">
        <v>384</v>
      </c>
      <c r="F57" s="33" t="s">
        <v>28</v>
      </c>
      <c r="G57" s="241" t="s">
        <v>67</v>
      </c>
      <c r="H57" s="241" t="s">
        <v>67</v>
      </c>
      <c r="I57" s="241" t="n">
        <v>0</v>
      </c>
      <c r="J57" s="241" t="n">
        <v>82</v>
      </c>
      <c r="K57" s="241" t="s">
        <v>67</v>
      </c>
      <c r="L57" s="243" t="n">
        <f aca="false">IF(J57="",0,(J57/J59)*100)</f>
        <v>96.4705882352941</v>
      </c>
      <c r="M57" s="241" t="n">
        <v>2</v>
      </c>
      <c r="N57" s="244" t="n">
        <v>3</v>
      </c>
      <c r="O57" s="121" t="n">
        <f aca="false">IF(M57=1,1,0)</f>
        <v>0</v>
      </c>
      <c r="P57" s="122" t="n">
        <f aca="false">IF(M57=2,1,0)</f>
        <v>1</v>
      </c>
      <c r="Q57" s="122" t="n">
        <f aca="false">IF(M57=3,1,0)</f>
        <v>0</v>
      </c>
      <c r="R57" s="123" t="n">
        <f aca="false">IF(M57=4,1,0)</f>
        <v>0</v>
      </c>
      <c r="S57" s="147"/>
      <c r="T57" s="141"/>
      <c r="U57" s="62"/>
    </row>
    <row r="58" customFormat="false" ht="20.1" hidden="false" customHeight="true" outlineLevel="0" collapsed="false">
      <c r="B58" s="62"/>
      <c r="C58" s="141"/>
      <c r="D58" s="141"/>
      <c r="E58" s="349" t="s">
        <v>20</v>
      </c>
      <c r="F58" s="44" t="s">
        <v>21</v>
      </c>
      <c r="G58" s="245" t="s">
        <v>67</v>
      </c>
      <c r="H58" s="245" t="s">
        <v>67</v>
      </c>
      <c r="I58" s="245" t="n">
        <v>0</v>
      </c>
      <c r="J58" s="245" t="n">
        <v>65</v>
      </c>
      <c r="K58" s="245" t="s">
        <v>67</v>
      </c>
      <c r="L58" s="247" t="n">
        <f aca="false">IF(J58="",0,(J58/J59)*100)</f>
        <v>76.4705882352941</v>
      </c>
      <c r="M58" s="245" t="n">
        <v>4</v>
      </c>
      <c r="N58" s="248" t="n">
        <v>0</v>
      </c>
      <c r="O58" s="127" t="n">
        <f aca="false">IF(M58=1,1,0)</f>
        <v>0</v>
      </c>
      <c r="P58" s="128" t="n">
        <f aca="false">IF(M58=2,1,0)</f>
        <v>0</v>
      </c>
      <c r="Q58" s="128" t="n">
        <f aca="false">IF(M58=3,1,0)</f>
        <v>0</v>
      </c>
      <c r="R58" s="129" t="n">
        <f aca="false">IF(M58=4,1,0)</f>
        <v>1</v>
      </c>
      <c r="S58" s="147"/>
      <c r="T58" s="141"/>
      <c r="U58" s="62"/>
    </row>
    <row r="59" customFormat="false" ht="20.1" hidden="true" customHeight="true" outlineLevel="1" collapsed="false">
      <c r="B59" s="62"/>
      <c r="C59" s="141"/>
      <c r="D59" s="141"/>
      <c r="E59" s="141"/>
      <c r="F59" s="157"/>
      <c r="G59" s="157"/>
      <c r="H59" s="141"/>
      <c r="I59" s="158" t="s">
        <v>89</v>
      </c>
      <c r="J59" s="133" t="n">
        <f aca="false">MAX(J55:J58)</f>
        <v>85</v>
      </c>
      <c r="K59" s="159"/>
      <c r="L59" s="147"/>
      <c r="M59" s="141"/>
      <c r="N59" s="136" t="s">
        <v>90</v>
      </c>
      <c r="O59" s="137" t="n">
        <f aca="false">SUM(O55:O58)</f>
        <v>1</v>
      </c>
      <c r="P59" s="138" t="n">
        <f aca="false">SUM(P55:P58)</f>
        <v>1</v>
      </c>
      <c r="Q59" s="137" t="n">
        <f aca="false">SUM(Q55:Q58)</f>
        <v>1</v>
      </c>
      <c r="R59" s="160" t="n">
        <f aca="false">SUM(R55:R58)</f>
        <v>1</v>
      </c>
      <c r="S59" s="161"/>
      <c r="T59" s="141"/>
      <c r="U59" s="62"/>
    </row>
    <row r="60" customFormat="false" ht="20.1" hidden="false" customHeight="true" outlineLevel="0" collapsed="false">
      <c r="B60" s="62"/>
      <c r="C60" s="141"/>
      <c r="D60" s="141"/>
      <c r="E60" s="141"/>
      <c r="F60" s="141"/>
      <c r="G60" s="141"/>
      <c r="H60" s="141"/>
      <c r="I60" s="141"/>
      <c r="J60" s="141"/>
      <c r="K60" s="141"/>
      <c r="L60" s="141"/>
      <c r="M60" s="141"/>
      <c r="N60" s="141"/>
      <c r="O60" s="141"/>
      <c r="P60" s="141"/>
      <c r="Q60" s="141"/>
      <c r="R60" s="141"/>
      <c r="S60" s="141"/>
      <c r="T60" s="141"/>
      <c r="U60" s="62"/>
    </row>
    <row r="61" customFormat="false" ht="20.1" hidden="false" customHeight="true" outlineLevel="0" collapsed="false">
      <c r="B61" s="62"/>
      <c r="D61" s="162"/>
      <c r="E61" s="162"/>
      <c r="F61" s="162"/>
      <c r="G61" s="162"/>
      <c r="H61" s="163"/>
      <c r="I61" s="162"/>
      <c r="J61" s="162"/>
      <c r="U61" s="62"/>
    </row>
    <row r="62" customFormat="false" ht="20.1" hidden="false" customHeight="true" outlineLevel="0" collapsed="false">
      <c r="B62" s="62"/>
      <c r="C62" s="164"/>
      <c r="D62" s="164"/>
      <c r="E62" s="165" t="str">
        <f aca="false">IF(OR(M33="-",M33= ""),H33,M33)</f>
        <v>Grand Austria Hotel</v>
      </c>
      <c r="F62" s="165"/>
      <c r="G62" s="165"/>
      <c r="H62" s="165"/>
      <c r="I62" s="165"/>
      <c r="J62" s="165"/>
      <c r="K62" s="165"/>
      <c r="L62" s="165"/>
      <c r="M62" s="165"/>
      <c r="N62" s="165"/>
      <c r="O62" s="166"/>
      <c r="P62" s="166"/>
      <c r="Q62" s="166"/>
      <c r="R62" s="166"/>
      <c r="S62" s="166"/>
      <c r="T62" s="164"/>
      <c r="U62" s="167"/>
      <c r="V62" s="168"/>
      <c r="W62" s="168"/>
    </row>
    <row r="63" customFormat="false" ht="50.1" hidden="false" customHeight="true" outlineLevel="0" collapsed="false">
      <c r="B63" s="62"/>
      <c r="C63" s="164"/>
      <c r="D63" s="166"/>
      <c r="E63" s="65" t="s">
        <v>53</v>
      </c>
      <c r="F63" s="104" t="s">
        <v>76</v>
      </c>
      <c r="G63" s="67" t="s">
        <v>77</v>
      </c>
      <c r="H63" s="66" t="s">
        <v>78</v>
      </c>
      <c r="I63" s="54" t="s">
        <v>79</v>
      </c>
      <c r="J63" s="66" t="s">
        <v>80</v>
      </c>
      <c r="K63" s="105" t="s">
        <v>81</v>
      </c>
      <c r="L63" s="66" t="s">
        <v>82</v>
      </c>
      <c r="M63" s="106" t="s">
        <v>83</v>
      </c>
      <c r="N63" s="67" t="s">
        <v>84</v>
      </c>
      <c r="O63" s="107" t="s">
        <v>85</v>
      </c>
      <c r="P63" s="108" t="s">
        <v>86</v>
      </c>
      <c r="Q63" s="108" t="s">
        <v>87</v>
      </c>
      <c r="R63" s="13" t="s">
        <v>88</v>
      </c>
      <c r="S63" s="166"/>
      <c r="T63" s="164"/>
      <c r="U63" s="167"/>
      <c r="V63" s="168"/>
      <c r="W63" s="168"/>
    </row>
    <row r="64" customFormat="false" ht="20.1" hidden="false" customHeight="true" outlineLevel="0" collapsed="false">
      <c r="B64" s="62"/>
      <c r="C64" s="164"/>
      <c r="D64" s="164"/>
      <c r="E64" s="403" t="s">
        <v>17</v>
      </c>
      <c r="F64" s="110" t="s">
        <v>19</v>
      </c>
      <c r="G64" s="111" t="n">
        <v>4</v>
      </c>
      <c r="H64" s="111" t="s">
        <v>67</v>
      </c>
      <c r="I64" s="111" t="n">
        <v>0</v>
      </c>
      <c r="J64" s="111" t="n">
        <v>166</v>
      </c>
      <c r="K64" s="111" t="s">
        <v>67</v>
      </c>
      <c r="L64" s="113" t="n">
        <f aca="false">IF(J64="",0,(J64/J68)*100)</f>
        <v>100</v>
      </c>
      <c r="M64" s="111" t="n">
        <v>1</v>
      </c>
      <c r="N64" s="114" t="n">
        <v>6</v>
      </c>
      <c r="O64" s="115" t="n">
        <f aca="false">IF(M64=1,1,0)</f>
        <v>1</v>
      </c>
      <c r="P64" s="116" t="n">
        <f aca="false">IF(M64=2,1,0)</f>
        <v>0</v>
      </c>
      <c r="Q64" s="116" t="n">
        <f aca="false">IF(M64=3,1,0)</f>
        <v>0</v>
      </c>
      <c r="R64" s="117" t="n">
        <f aca="false">IF(M64=4,1,0)</f>
        <v>0</v>
      </c>
      <c r="S64" s="170"/>
      <c r="T64" s="164"/>
      <c r="U64" s="62"/>
    </row>
    <row r="65" customFormat="false" ht="20.1" hidden="false" customHeight="true" outlineLevel="0" collapsed="false">
      <c r="B65" s="62"/>
      <c r="C65" s="164"/>
      <c r="D65" s="171"/>
      <c r="E65" s="326" t="s">
        <v>15</v>
      </c>
      <c r="F65" s="33" t="s">
        <v>16</v>
      </c>
      <c r="G65" s="241" t="n">
        <v>2</v>
      </c>
      <c r="H65" s="241" t="s">
        <v>67</v>
      </c>
      <c r="I65" s="241" t="n">
        <v>0</v>
      </c>
      <c r="J65" s="241" t="n">
        <v>129</v>
      </c>
      <c r="K65" s="241" t="s">
        <v>67</v>
      </c>
      <c r="L65" s="243" t="n">
        <f aca="false">IF(J65="",0,(J65/J68)*100)</f>
        <v>77.710843373494</v>
      </c>
      <c r="M65" s="241" t="n">
        <v>4</v>
      </c>
      <c r="N65" s="244" t="n">
        <v>0</v>
      </c>
      <c r="O65" s="121" t="n">
        <f aca="false">IF(M65=1,1,0)</f>
        <v>0</v>
      </c>
      <c r="P65" s="122" t="n">
        <f aca="false">IF(M65=2,1,0)</f>
        <v>0</v>
      </c>
      <c r="Q65" s="122" t="n">
        <f aca="false">IF(M65=3,1,0)</f>
        <v>0</v>
      </c>
      <c r="R65" s="123" t="n">
        <f aca="false">IF(M65=4,1,0)</f>
        <v>1</v>
      </c>
      <c r="S65" s="170"/>
      <c r="T65" s="164"/>
      <c r="U65" s="173"/>
    </row>
    <row r="66" customFormat="false" ht="20.1" hidden="false" customHeight="true" outlineLevel="0" collapsed="false">
      <c r="B66" s="62"/>
      <c r="C66" s="164"/>
      <c r="D66" s="164"/>
      <c r="E66" s="326" t="s">
        <v>384</v>
      </c>
      <c r="F66" s="33" t="s">
        <v>28</v>
      </c>
      <c r="G66" s="241" t="n">
        <v>3</v>
      </c>
      <c r="H66" s="241" t="s">
        <v>67</v>
      </c>
      <c r="I66" s="241" t="n">
        <v>0</v>
      </c>
      <c r="J66" s="241" t="n">
        <v>133</v>
      </c>
      <c r="K66" s="241" t="s">
        <v>67</v>
      </c>
      <c r="L66" s="243" t="n">
        <f aca="false">IF(J66="",0,(J66/J68)*100)</f>
        <v>80.1204819277108</v>
      </c>
      <c r="M66" s="241" t="n">
        <v>3</v>
      </c>
      <c r="N66" s="244" t="n">
        <v>1</v>
      </c>
      <c r="O66" s="121" t="n">
        <f aca="false">IF(M66=1,1,0)</f>
        <v>0</v>
      </c>
      <c r="P66" s="122" t="n">
        <f aca="false">IF(M66=2,1,0)</f>
        <v>0</v>
      </c>
      <c r="Q66" s="122" t="n">
        <f aca="false">IF(M66=3,1,0)</f>
        <v>1</v>
      </c>
      <c r="R66" s="123" t="n">
        <f aca="false">IF(M66=4,1,0)</f>
        <v>0</v>
      </c>
      <c r="S66" s="170"/>
      <c r="T66" s="164"/>
      <c r="U66" s="173"/>
    </row>
    <row r="67" customFormat="false" ht="20.1" hidden="false" customHeight="true" outlineLevel="0" collapsed="false">
      <c r="B67" s="62"/>
      <c r="C67" s="164"/>
      <c r="D67" s="164"/>
      <c r="E67" s="349" t="s">
        <v>20</v>
      </c>
      <c r="F67" s="44" t="s">
        <v>21</v>
      </c>
      <c r="G67" s="245" t="n">
        <v>1</v>
      </c>
      <c r="H67" s="245" t="s">
        <v>67</v>
      </c>
      <c r="I67" s="245" t="n">
        <v>0</v>
      </c>
      <c r="J67" s="245" t="n">
        <v>155</v>
      </c>
      <c r="K67" s="245" t="s">
        <v>67</v>
      </c>
      <c r="L67" s="247" t="n">
        <f aca="false">IF(J67="",0,(J67/J68)*100)</f>
        <v>93.3734939759036</v>
      </c>
      <c r="M67" s="245" t="n">
        <v>2</v>
      </c>
      <c r="N67" s="248" t="n">
        <v>3</v>
      </c>
      <c r="O67" s="127" t="n">
        <f aca="false">IF(M67=1,1,0)</f>
        <v>0</v>
      </c>
      <c r="P67" s="128" t="n">
        <f aca="false">IF(M67=2,1,0)</f>
        <v>1</v>
      </c>
      <c r="Q67" s="128" t="n">
        <f aca="false">IF(M67=3,1,0)</f>
        <v>0</v>
      </c>
      <c r="R67" s="129" t="n">
        <f aca="false">IF(M67=4,1,0)</f>
        <v>0</v>
      </c>
      <c r="S67" s="170"/>
      <c r="T67" s="164"/>
      <c r="U67" s="173"/>
    </row>
    <row r="68" customFormat="false" ht="20.1" hidden="true" customHeight="true" outlineLevel="1" collapsed="false">
      <c r="B68" s="62"/>
      <c r="C68" s="164"/>
      <c r="D68" s="164"/>
      <c r="E68" s="164"/>
      <c r="F68" s="178"/>
      <c r="G68" s="178"/>
      <c r="H68" s="164"/>
      <c r="I68" s="179" t="s">
        <v>89</v>
      </c>
      <c r="J68" s="133" t="n">
        <f aca="false">MAX(J64:J67)</f>
        <v>166</v>
      </c>
      <c r="K68" s="180"/>
      <c r="L68" s="170"/>
      <c r="M68" s="164"/>
      <c r="N68" s="136"/>
      <c r="O68" s="137" t="n">
        <f aca="false">SUM(O64:O67)</f>
        <v>1</v>
      </c>
      <c r="P68" s="138" t="n">
        <f aca="false">SUM(P64:P67)</f>
        <v>1</v>
      </c>
      <c r="Q68" s="137" t="n">
        <f aca="false">SUM(Q64:Q67)</f>
        <v>1</v>
      </c>
      <c r="R68" s="160" t="n">
        <f aca="false">SUM(R64:R67)</f>
        <v>1</v>
      </c>
      <c r="S68" s="181"/>
      <c r="T68" s="164"/>
      <c r="U68" s="173"/>
    </row>
    <row r="69" customFormat="false" ht="20.1" hidden="false" customHeight="true" outlineLevel="0" collapsed="false">
      <c r="B69" s="62"/>
      <c r="C69" s="164"/>
      <c r="D69" s="164"/>
      <c r="E69" s="164"/>
      <c r="F69" s="164"/>
      <c r="G69" s="164"/>
      <c r="H69" s="164"/>
      <c r="I69" s="164"/>
      <c r="J69" s="164"/>
      <c r="K69" s="164"/>
      <c r="L69" s="164"/>
      <c r="M69" s="164"/>
      <c r="N69" s="164"/>
      <c r="O69" s="164"/>
      <c r="P69" s="164"/>
      <c r="Q69" s="164"/>
      <c r="R69" s="164"/>
      <c r="S69" s="164"/>
      <c r="T69" s="164"/>
      <c r="U69" s="173"/>
    </row>
    <row r="70" customFormat="false" ht="20.1" hidden="false" customHeight="true" outlineLevel="0" collapsed="false">
      <c r="B70" s="62"/>
      <c r="D70" s="162"/>
      <c r="E70" s="162"/>
      <c r="F70" s="162"/>
      <c r="G70" s="162"/>
      <c r="H70" s="163"/>
      <c r="I70" s="162"/>
      <c r="J70" s="162"/>
      <c r="K70" s="162"/>
      <c r="U70" s="62"/>
    </row>
    <row r="71" customFormat="false" ht="20.1" hidden="false" customHeight="true" outlineLevel="0" collapsed="false">
      <c r="B71" s="62"/>
      <c r="C71" s="182"/>
      <c r="D71" s="182"/>
      <c r="E71" s="183" t="str">
        <f aca="false">IF(OR(M37="-",M37= ""),H37,M37)</f>
        <v>Agricola</v>
      </c>
      <c r="F71" s="183"/>
      <c r="G71" s="183"/>
      <c r="H71" s="183"/>
      <c r="I71" s="183"/>
      <c r="J71" s="183"/>
      <c r="K71" s="183"/>
      <c r="L71" s="183"/>
      <c r="M71" s="183"/>
      <c r="N71" s="183"/>
      <c r="O71" s="184"/>
      <c r="P71" s="184"/>
      <c r="Q71" s="184"/>
      <c r="R71" s="184"/>
      <c r="S71" s="184"/>
      <c r="T71" s="182"/>
      <c r="U71" s="62"/>
    </row>
    <row r="72" customFormat="false" ht="50.1" hidden="false" customHeight="true" outlineLevel="0" collapsed="false">
      <c r="B72" s="62"/>
      <c r="C72" s="182"/>
      <c r="D72" s="184"/>
      <c r="E72" s="65" t="s">
        <v>53</v>
      </c>
      <c r="F72" s="104" t="s">
        <v>76</v>
      </c>
      <c r="G72" s="67" t="s">
        <v>77</v>
      </c>
      <c r="H72" s="66" t="s">
        <v>78</v>
      </c>
      <c r="I72" s="54" t="s">
        <v>79</v>
      </c>
      <c r="J72" s="66" t="s">
        <v>80</v>
      </c>
      <c r="K72" s="105" t="s">
        <v>81</v>
      </c>
      <c r="L72" s="66" t="s">
        <v>82</v>
      </c>
      <c r="M72" s="106" t="s">
        <v>83</v>
      </c>
      <c r="N72" s="67" t="s">
        <v>84</v>
      </c>
      <c r="O72" s="107" t="s">
        <v>85</v>
      </c>
      <c r="P72" s="108" t="s">
        <v>86</v>
      </c>
      <c r="Q72" s="108" t="s">
        <v>87</v>
      </c>
      <c r="R72" s="13" t="s">
        <v>88</v>
      </c>
      <c r="S72" s="184"/>
      <c r="T72" s="182"/>
      <c r="U72" s="62"/>
    </row>
    <row r="73" customFormat="false" ht="27.95" hidden="false" customHeight="true" outlineLevel="0" collapsed="false">
      <c r="B73" s="62"/>
      <c r="C73" s="182"/>
      <c r="D73" s="182"/>
      <c r="E73" s="318" t="s">
        <v>17</v>
      </c>
      <c r="F73" s="16" t="s">
        <v>18</v>
      </c>
      <c r="G73" s="250" t="n">
        <v>2</v>
      </c>
      <c r="H73" s="250" t="s">
        <v>67</v>
      </c>
      <c r="I73" s="250" t="n">
        <v>-14</v>
      </c>
      <c r="J73" s="250" t="n">
        <v>45</v>
      </c>
      <c r="K73" s="251" t="s">
        <v>569</v>
      </c>
      <c r="L73" s="253" t="n">
        <f aca="false">IF(J73="",0,(J73/J77)*100)</f>
        <v>95.7446808510638</v>
      </c>
      <c r="M73" s="250" t="n">
        <v>3</v>
      </c>
      <c r="N73" s="254" t="n">
        <v>1</v>
      </c>
      <c r="O73" s="115" t="n">
        <f aca="false">IF(M73=1,1,0)</f>
        <v>0</v>
      </c>
      <c r="P73" s="116" t="n">
        <f aca="false">IF(M73=2,1,0)</f>
        <v>0</v>
      </c>
      <c r="Q73" s="116" t="n">
        <f aca="false">IF(M73=3,1,0)</f>
        <v>1</v>
      </c>
      <c r="R73" s="117" t="n">
        <f aca="false">IF(M73=4,1,0)</f>
        <v>0</v>
      </c>
      <c r="S73" s="185"/>
      <c r="T73" s="182"/>
      <c r="U73" s="62"/>
    </row>
    <row r="74" customFormat="false" ht="27.95" hidden="false" customHeight="true" outlineLevel="0" collapsed="false">
      <c r="B74" s="62"/>
      <c r="C74" s="182"/>
      <c r="D74" s="182"/>
      <c r="E74" s="326" t="s">
        <v>15</v>
      </c>
      <c r="F74" s="33" t="s">
        <v>16</v>
      </c>
      <c r="G74" s="241" t="n">
        <v>3</v>
      </c>
      <c r="H74" s="241" t="s">
        <v>67</v>
      </c>
      <c r="I74" s="241" t="n">
        <v>-14</v>
      </c>
      <c r="J74" s="241" t="n">
        <v>45</v>
      </c>
      <c r="K74" s="242" t="s">
        <v>570</v>
      </c>
      <c r="L74" s="243" t="n">
        <f aca="false">IF(J74="",0,(J74/J77)*100)</f>
        <v>95.7446808510638</v>
      </c>
      <c r="M74" s="241" t="n">
        <v>2</v>
      </c>
      <c r="N74" s="244" t="n">
        <v>3</v>
      </c>
      <c r="O74" s="121" t="n">
        <f aca="false">IF(M74=1,1,0)</f>
        <v>0</v>
      </c>
      <c r="P74" s="122" t="n">
        <f aca="false">IF(M74=2,1,0)</f>
        <v>1</v>
      </c>
      <c r="Q74" s="122" t="n">
        <f aca="false">IF(M74=3,1,0)</f>
        <v>0</v>
      </c>
      <c r="R74" s="123" t="n">
        <f aca="false">IF(M74=4,1,0)</f>
        <v>0</v>
      </c>
      <c r="S74" s="185"/>
      <c r="T74" s="182"/>
      <c r="U74" s="62"/>
    </row>
    <row r="75" customFormat="false" ht="20.1" hidden="false" customHeight="true" outlineLevel="0" collapsed="false">
      <c r="B75" s="62"/>
      <c r="C75" s="182"/>
      <c r="D75" s="182"/>
      <c r="E75" s="174" t="s">
        <v>384</v>
      </c>
      <c r="F75" s="175" t="s">
        <v>28</v>
      </c>
      <c r="G75" s="151" t="n">
        <v>1</v>
      </c>
      <c r="H75" s="151" t="s">
        <v>67</v>
      </c>
      <c r="I75" s="151" t="n">
        <v>-14</v>
      </c>
      <c r="J75" s="151" t="n">
        <v>47</v>
      </c>
      <c r="K75" s="151" t="s">
        <v>67</v>
      </c>
      <c r="L75" s="153" t="n">
        <f aca="false">IF(J75="",0,(J75/J77)*100)</f>
        <v>100</v>
      </c>
      <c r="M75" s="151" t="n">
        <v>1</v>
      </c>
      <c r="N75" s="154" t="n">
        <v>6</v>
      </c>
      <c r="O75" s="121" t="n">
        <f aca="false">IF(M75=1,1,0)</f>
        <v>1</v>
      </c>
      <c r="P75" s="122" t="n">
        <f aca="false">IF(M75=2,1,0)</f>
        <v>0</v>
      </c>
      <c r="Q75" s="122" t="n">
        <f aca="false">IF(M75=3,1,0)</f>
        <v>0</v>
      </c>
      <c r="R75" s="123" t="n">
        <f aca="false">IF(M75=4,1,0)</f>
        <v>0</v>
      </c>
      <c r="S75" s="185"/>
      <c r="T75" s="182"/>
      <c r="U75" s="62"/>
    </row>
    <row r="76" customFormat="false" ht="20.1" hidden="false" customHeight="true" outlineLevel="0" collapsed="false">
      <c r="B76" s="62"/>
      <c r="C76" s="182"/>
      <c r="D76" s="186"/>
      <c r="E76" s="349" t="s">
        <v>20</v>
      </c>
      <c r="F76" s="44" t="s">
        <v>21</v>
      </c>
      <c r="G76" s="245" t="n">
        <v>4</v>
      </c>
      <c r="H76" s="245" t="s">
        <v>67</v>
      </c>
      <c r="I76" s="245" t="n">
        <v>-14</v>
      </c>
      <c r="J76" s="245" t="n">
        <v>39</v>
      </c>
      <c r="K76" s="245" t="s">
        <v>67</v>
      </c>
      <c r="L76" s="247" t="n">
        <f aca="false">IF(J76="",0,(J76/J77)*100)</f>
        <v>82.9787234042553</v>
      </c>
      <c r="M76" s="245" t="n">
        <v>4</v>
      </c>
      <c r="N76" s="248" t="n">
        <v>0</v>
      </c>
      <c r="O76" s="127" t="n">
        <f aca="false">IF(M76=1,1,0)</f>
        <v>0</v>
      </c>
      <c r="P76" s="128" t="n">
        <f aca="false">IF(M76=2,1,0)</f>
        <v>0</v>
      </c>
      <c r="Q76" s="128" t="n">
        <f aca="false">IF(M76=3,1,0)</f>
        <v>0</v>
      </c>
      <c r="R76" s="129" t="n">
        <f aca="false">IF(M76=4,1,0)</f>
        <v>1</v>
      </c>
      <c r="S76" s="185"/>
      <c r="T76" s="182"/>
      <c r="U76" s="62"/>
    </row>
    <row r="77" customFormat="false" ht="20.1" hidden="true" customHeight="true" outlineLevel="1" collapsed="false">
      <c r="B77" s="62"/>
      <c r="C77" s="182"/>
      <c r="D77" s="182"/>
      <c r="E77" s="182"/>
      <c r="F77" s="187"/>
      <c r="G77" s="187"/>
      <c r="H77" s="182"/>
      <c r="I77" s="158" t="s">
        <v>89</v>
      </c>
      <c r="J77" s="133" t="n">
        <f aca="false">MAX(J73:J76)</f>
        <v>47</v>
      </c>
      <c r="K77" s="188"/>
      <c r="L77" s="185"/>
      <c r="M77" s="182"/>
      <c r="N77" s="136" t="s">
        <v>90</v>
      </c>
      <c r="O77" s="137" t="n">
        <f aca="false">SUM(O73:O76)</f>
        <v>1</v>
      </c>
      <c r="P77" s="138" t="n">
        <f aca="false">SUM(P73:P76)</f>
        <v>1</v>
      </c>
      <c r="Q77" s="137" t="n">
        <f aca="false">SUM(Q73:Q76)</f>
        <v>1</v>
      </c>
      <c r="R77" s="160" t="n">
        <f aca="false">SUM(R73:R76)</f>
        <v>1</v>
      </c>
      <c r="S77" s="189"/>
      <c r="T77" s="182"/>
      <c r="U77" s="62"/>
    </row>
    <row r="78" customFormat="false" ht="20.1" hidden="false" customHeight="true" outlineLevel="0" collapsed="false">
      <c r="B78" s="62"/>
      <c r="C78" s="182"/>
      <c r="D78" s="182"/>
      <c r="E78" s="182"/>
      <c r="F78" s="182"/>
      <c r="G78" s="182"/>
      <c r="H78" s="182"/>
      <c r="I78" s="182"/>
      <c r="J78" s="182"/>
      <c r="K78" s="182"/>
      <c r="L78" s="182"/>
      <c r="M78" s="182"/>
      <c r="N78" s="182"/>
      <c r="O78" s="182"/>
      <c r="P78" s="182"/>
      <c r="Q78" s="182"/>
      <c r="R78" s="182"/>
      <c r="S78" s="182"/>
      <c r="T78" s="182"/>
      <c r="U78" s="62"/>
    </row>
    <row r="79" customFormat="false" ht="20.1" hidden="false" customHeight="true" outlineLevel="0" collapsed="false">
      <c r="B79" s="62"/>
      <c r="D79" s="5"/>
      <c r="E79" s="5"/>
      <c r="F79" s="5"/>
      <c r="G79" s="5"/>
      <c r="H79" s="5"/>
      <c r="I79" s="5"/>
      <c r="J79" s="5"/>
      <c r="U79" s="62"/>
    </row>
    <row r="80" customFormat="false" ht="30" hidden="false" customHeight="true" outlineLevel="0" collapsed="false">
      <c r="B80" s="62"/>
      <c r="C80" s="190"/>
      <c r="D80" s="191" t="s">
        <v>99</v>
      </c>
      <c r="E80" s="191"/>
      <c r="F80" s="191"/>
      <c r="G80" s="191"/>
      <c r="H80" s="191"/>
      <c r="I80" s="191"/>
      <c r="J80" s="191"/>
      <c r="K80" s="191"/>
      <c r="L80" s="191"/>
      <c r="M80" s="191"/>
      <c r="N80" s="191"/>
      <c r="O80" s="191"/>
      <c r="P80" s="191"/>
      <c r="Q80" s="191"/>
      <c r="R80" s="191"/>
      <c r="S80" s="191"/>
      <c r="T80" s="190"/>
      <c r="U80" s="62"/>
    </row>
    <row r="81" customFormat="false" ht="50.1" hidden="false" customHeight="true" outlineLevel="0" collapsed="false">
      <c r="B81" s="62"/>
      <c r="C81" s="190"/>
      <c r="D81" s="192" t="s">
        <v>53</v>
      </c>
      <c r="E81" s="193" t="s">
        <v>54</v>
      </c>
      <c r="F81" s="194" t="s">
        <v>84</v>
      </c>
      <c r="G81" s="195" t="s">
        <v>100</v>
      </c>
      <c r="H81" s="196" t="s">
        <v>101</v>
      </c>
      <c r="I81" s="196"/>
      <c r="J81" s="197" t="s">
        <v>102</v>
      </c>
      <c r="K81" s="198" t="s">
        <v>103</v>
      </c>
      <c r="L81" s="194" t="s">
        <v>104</v>
      </c>
      <c r="M81" s="198" t="s">
        <v>105</v>
      </c>
      <c r="N81" s="194" t="s">
        <v>106</v>
      </c>
      <c r="O81" s="199"/>
      <c r="P81" s="200"/>
      <c r="Q81" s="200"/>
      <c r="R81" s="200"/>
      <c r="S81" s="193" t="s">
        <v>107</v>
      </c>
      <c r="T81" s="190"/>
      <c r="U81" s="62"/>
    </row>
    <row r="82" customFormat="false" ht="20.1" hidden="false" customHeight="true" outlineLevel="0" collapsed="false">
      <c r="B82" s="62"/>
      <c r="C82" s="190"/>
      <c r="D82" s="425" t="s">
        <v>15</v>
      </c>
      <c r="E82" s="302" t="s">
        <v>16</v>
      </c>
      <c r="F82" s="203" t="n">
        <f aca="false">(K82*6+L82*3+M82*1+N82*0)</f>
        <v>15</v>
      </c>
      <c r="G82" s="203" t="n">
        <v>0</v>
      </c>
      <c r="H82" s="204" t="s">
        <v>67</v>
      </c>
      <c r="I82" s="204"/>
      <c r="J82" s="203" t="n">
        <f aca="false">F82+G82</f>
        <v>15</v>
      </c>
      <c r="K82" s="203" t="n">
        <v>2</v>
      </c>
      <c r="L82" s="203" t="n">
        <v>1</v>
      </c>
      <c r="M82" s="203" t="n">
        <v>0</v>
      </c>
      <c r="N82" s="203" t="n">
        <v>1</v>
      </c>
      <c r="O82" s="203"/>
      <c r="P82" s="203"/>
      <c r="Q82" s="203"/>
      <c r="R82" s="203"/>
      <c r="S82" s="205" t="n">
        <f aca="false">(L47+L56+L65+L74)/4</f>
        <v>93.3638810561395</v>
      </c>
      <c r="T82" s="190"/>
      <c r="U82" s="62"/>
      <c r="W82" s="206"/>
      <c r="X82" s="206"/>
      <c r="Y82" s="206"/>
      <c r="Z82" s="206"/>
    </row>
    <row r="83" customFormat="false" ht="20.1" hidden="false" customHeight="true" outlineLevel="0" collapsed="false">
      <c r="B83" s="62"/>
      <c r="C83" s="190"/>
      <c r="D83" s="207" t="s">
        <v>17</v>
      </c>
      <c r="E83" s="420" t="s">
        <v>18</v>
      </c>
      <c r="F83" s="209" t="n">
        <f aca="false">(K83*6+L83*3+M83*1+N83*0)</f>
        <v>11</v>
      </c>
      <c r="G83" s="209" t="n">
        <v>0</v>
      </c>
      <c r="H83" s="210" t="s">
        <v>67</v>
      </c>
      <c r="I83" s="210"/>
      <c r="J83" s="209" t="n">
        <f aca="false">F83+G83</f>
        <v>11</v>
      </c>
      <c r="K83" s="209" t="n">
        <v>1</v>
      </c>
      <c r="L83" s="209" t="n">
        <v>1</v>
      </c>
      <c r="M83" s="209" t="n">
        <v>2</v>
      </c>
      <c r="N83" s="209" t="n">
        <v>0</v>
      </c>
      <c r="O83" s="209"/>
      <c r="P83" s="209"/>
      <c r="Q83" s="209"/>
      <c r="R83" s="209"/>
      <c r="S83" s="211" t="n">
        <f aca="false">(L46+L55+L64+L73)/4</f>
        <v>94.390246580155</v>
      </c>
      <c r="T83" s="190"/>
      <c r="U83" s="62"/>
      <c r="W83" s="212"/>
      <c r="X83" s="212"/>
      <c r="Y83" s="212"/>
      <c r="Z83" s="212"/>
    </row>
    <row r="84" customFormat="false" ht="20.1" hidden="false" customHeight="true" outlineLevel="0" collapsed="false">
      <c r="B84" s="62"/>
      <c r="C84" s="190"/>
      <c r="D84" s="444" t="s">
        <v>384</v>
      </c>
      <c r="E84" s="208" t="s">
        <v>28</v>
      </c>
      <c r="F84" s="209" t="n">
        <f aca="false">(K84*6+L84*3+M84*1+N84*0)</f>
        <v>10</v>
      </c>
      <c r="G84" s="209" t="n">
        <v>0</v>
      </c>
      <c r="H84" s="210" t="s">
        <v>67</v>
      </c>
      <c r="I84" s="210"/>
      <c r="J84" s="209" t="n">
        <f aca="false">F84+G84</f>
        <v>10</v>
      </c>
      <c r="K84" s="209" t="n">
        <v>1</v>
      </c>
      <c r="L84" s="209" t="n">
        <v>1</v>
      </c>
      <c r="M84" s="209" t="n">
        <v>1</v>
      </c>
      <c r="N84" s="209" t="n">
        <v>1</v>
      </c>
      <c r="O84" s="209"/>
      <c r="P84" s="209"/>
      <c r="Q84" s="209"/>
      <c r="R84" s="209"/>
      <c r="S84" s="211" t="n">
        <f aca="false">(L48+L57+L66+L75)/4</f>
        <v>85.8144342074179</v>
      </c>
      <c r="T84" s="190"/>
      <c r="U84" s="62"/>
      <c r="W84" s="212"/>
      <c r="X84" s="212"/>
      <c r="Y84" s="212"/>
      <c r="Z84" s="212"/>
    </row>
    <row r="85" customFormat="false" ht="20.1" hidden="false" customHeight="true" outlineLevel="0" collapsed="false">
      <c r="B85" s="62"/>
      <c r="C85" s="190"/>
      <c r="D85" s="214" t="s">
        <v>20</v>
      </c>
      <c r="E85" s="421" t="s">
        <v>21</v>
      </c>
      <c r="F85" s="216" t="n">
        <f aca="false">(K85*6+L85*3+M85*1+N85*0)</f>
        <v>4</v>
      </c>
      <c r="G85" s="216" t="n">
        <v>0</v>
      </c>
      <c r="H85" s="217" t="s">
        <v>67</v>
      </c>
      <c r="I85" s="217"/>
      <c r="J85" s="216" t="n">
        <f aca="false">F85+G85</f>
        <v>4</v>
      </c>
      <c r="K85" s="216" t="n">
        <v>0</v>
      </c>
      <c r="L85" s="216" t="n">
        <v>1</v>
      </c>
      <c r="M85" s="216" t="n">
        <v>1</v>
      </c>
      <c r="N85" s="216" t="n">
        <v>2</v>
      </c>
      <c r="O85" s="216"/>
      <c r="P85" s="216"/>
      <c r="Q85" s="216"/>
      <c r="R85" s="216"/>
      <c r="S85" s="218" t="n">
        <f aca="false">(L49+L58+L67+L76)/4</f>
        <v>82.9425435091264</v>
      </c>
      <c r="T85" s="190"/>
      <c r="U85" s="62"/>
      <c r="W85" s="212"/>
      <c r="X85" s="212"/>
      <c r="Y85" s="212"/>
      <c r="Z85" s="212"/>
      <c r="AB85" s="212"/>
      <c r="AC85" s="212"/>
      <c r="AD85" s="212"/>
      <c r="AE85" s="212"/>
    </row>
    <row r="86" customFormat="false" ht="20.1" hidden="false" customHeight="true" outlineLevel="0" collapsed="false">
      <c r="B86" s="62"/>
      <c r="C86" s="190"/>
      <c r="D86" s="422"/>
      <c r="E86" s="422"/>
      <c r="F86" s="275"/>
      <c r="G86" s="275"/>
      <c r="H86" s="423"/>
      <c r="I86" s="423"/>
      <c r="J86" s="275"/>
      <c r="K86" s="275"/>
      <c r="L86" s="275"/>
      <c r="M86" s="275"/>
      <c r="N86" s="275"/>
      <c r="O86" s="275"/>
      <c r="P86" s="275"/>
      <c r="Q86" s="275"/>
      <c r="R86" s="275"/>
      <c r="S86" s="424"/>
      <c r="T86" s="190"/>
      <c r="U86" s="62"/>
      <c r="W86" s="212"/>
      <c r="X86" s="212"/>
      <c r="Y86" s="212"/>
      <c r="Z86" s="212"/>
    </row>
    <row r="87" customFormat="false" ht="20.1" hidden="false" customHeight="true" outlineLevel="0" collapsed="false">
      <c r="B87" s="62"/>
      <c r="C87" s="62"/>
      <c r="D87" s="219"/>
      <c r="E87" s="219"/>
      <c r="F87" s="167"/>
      <c r="G87" s="167"/>
      <c r="H87" s="219"/>
      <c r="I87" s="219"/>
      <c r="J87" s="219"/>
      <c r="K87" s="62"/>
      <c r="L87" s="62"/>
      <c r="M87" s="62"/>
      <c r="N87" s="62"/>
      <c r="O87" s="62"/>
      <c r="P87" s="62"/>
      <c r="Q87" s="62"/>
      <c r="R87" s="62"/>
      <c r="S87" s="62"/>
      <c r="T87" s="62"/>
      <c r="U87" s="62"/>
    </row>
    <row r="88" customFormat="false" ht="20.1" hidden="false" customHeight="true" outlineLevel="0" collapsed="false">
      <c r="D88" s="220"/>
    </row>
    <row r="89" customFormat="false" ht="20.1" hidden="false" customHeight="true" outlineLevel="0" collapsed="false">
      <c r="D89" s="221"/>
    </row>
    <row r="90" customFormat="false" ht="20.1" hidden="false" customHeight="true" outlineLevel="0" collapsed="false">
      <c r="B90" s="62"/>
      <c r="C90" s="62"/>
      <c r="D90" s="63"/>
      <c r="E90" s="63"/>
      <c r="F90" s="63"/>
      <c r="G90" s="63"/>
      <c r="H90" s="62"/>
      <c r="I90" s="62"/>
      <c r="J90" s="62"/>
      <c r="K90" s="62"/>
      <c r="L90" s="62"/>
      <c r="M90" s="62"/>
      <c r="N90" s="62"/>
      <c r="O90" s="62"/>
      <c r="P90" s="62"/>
      <c r="Q90" s="62"/>
      <c r="R90" s="62"/>
      <c r="S90" s="62"/>
      <c r="T90" s="62"/>
      <c r="U90" s="62"/>
    </row>
    <row r="91" customFormat="false" ht="30" hidden="false" customHeight="true" outlineLevel="0" collapsed="false">
      <c r="B91" s="62"/>
      <c r="C91" s="64" t="s">
        <v>108</v>
      </c>
      <c r="D91" s="64"/>
      <c r="E91" s="64"/>
      <c r="F91" s="64"/>
      <c r="G91" s="64"/>
      <c r="H91" s="64"/>
      <c r="I91" s="64"/>
      <c r="J91" s="64"/>
      <c r="K91" s="64"/>
      <c r="L91" s="64"/>
      <c r="M91" s="64"/>
      <c r="N91" s="64"/>
      <c r="O91" s="64"/>
      <c r="P91" s="64"/>
      <c r="Q91" s="64"/>
      <c r="R91" s="64"/>
      <c r="S91" s="64"/>
      <c r="T91" s="64"/>
      <c r="U91" s="62"/>
    </row>
    <row r="92" customFormat="false" ht="20.1" hidden="false" customHeight="true" outlineLevel="0" collapsed="false">
      <c r="B92" s="62"/>
      <c r="U92" s="62"/>
    </row>
    <row r="93" customFormat="false" ht="20.1" hidden="false" customHeight="true" outlineLevel="0" collapsed="false">
      <c r="B93" s="62"/>
      <c r="D93" s="65" t="s">
        <v>53</v>
      </c>
      <c r="E93" s="66" t="s">
        <v>54</v>
      </c>
      <c r="F93" s="67" t="s">
        <v>11</v>
      </c>
      <c r="G93" s="223" t="s">
        <v>55</v>
      </c>
      <c r="H93" s="223"/>
      <c r="I93" s="223"/>
      <c r="J93" s="223"/>
      <c r="K93" s="66" t="s">
        <v>56</v>
      </c>
      <c r="L93" s="68" t="s">
        <v>57</v>
      </c>
      <c r="M93" s="68"/>
      <c r="N93" s="68"/>
      <c r="O93" s="68"/>
      <c r="P93" s="68"/>
      <c r="Q93" s="68"/>
      <c r="R93" s="68"/>
      <c r="S93" s="68"/>
      <c r="U93" s="62"/>
    </row>
    <row r="94" customFormat="false" ht="20.1" hidden="false" customHeight="true" outlineLevel="0" collapsed="false">
      <c r="B94" s="62"/>
      <c r="D94" s="65"/>
      <c r="E94" s="66"/>
      <c r="F94" s="66"/>
      <c r="G94" s="70" t="s">
        <v>58</v>
      </c>
      <c r="H94" s="69" t="s">
        <v>59</v>
      </c>
      <c r="I94" s="67" t="s">
        <v>60</v>
      </c>
      <c r="J94" s="67"/>
      <c r="K94" s="69" t="s">
        <v>61</v>
      </c>
      <c r="L94" s="224" t="s">
        <v>58</v>
      </c>
      <c r="M94" s="225" t="s">
        <v>62</v>
      </c>
      <c r="N94" s="67" t="s">
        <v>60</v>
      </c>
      <c r="O94" s="67"/>
      <c r="P94" s="67"/>
      <c r="Q94" s="67"/>
      <c r="R94" s="67"/>
      <c r="S94" s="67"/>
      <c r="U94" s="62"/>
    </row>
    <row r="95" customFormat="false" ht="15" hidden="false" customHeight="true" outlineLevel="0" collapsed="false">
      <c r="B95" s="62"/>
      <c r="D95" s="456" t="s">
        <v>39</v>
      </c>
      <c r="E95" s="494" t="s">
        <v>40</v>
      </c>
      <c r="F95" s="308" t="n">
        <v>1</v>
      </c>
      <c r="G95" s="72" t="s">
        <v>63</v>
      </c>
      <c r="H95" s="74" t="s">
        <v>64</v>
      </c>
      <c r="I95" s="321" t="s">
        <v>385</v>
      </c>
      <c r="J95" s="321"/>
      <c r="K95" s="652" t="s">
        <v>111</v>
      </c>
      <c r="L95" s="461" t="s">
        <v>67</v>
      </c>
      <c r="M95" s="462" t="s">
        <v>67</v>
      </c>
      <c r="N95" s="463" t="s">
        <v>67</v>
      </c>
      <c r="O95" s="463"/>
      <c r="P95" s="463"/>
      <c r="Q95" s="463"/>
      <c r="R95" s="463"/>
      <c r="S95" s="463"/>
      <c r="U95" s="62"/>
    </row>
    <row r="96" customFormat="false" ht="15" hidden="false" customHeight="true" outlineLevel="0" collapsed="false">
      <c r="B96" s="62"/>
      <c r="D96" s="456"/>
      <c r="E96" s="494"/>
      <c r="F96" s="308"/>
      <c r="G96" s="72"/>
      <c r="H96" s="74"/>
      <c r="I96" s="325" t="s">
        <v>386</v>
      </c>
      <c r="J96" s="325"/>
      <c r="K96" s="652"/>
      <c r="L96" s="461"/>
      <c r="M96" s="462"/>
      <c r="N96" s="463"/>
      <c r="O96" s="463"/>
      <c r="P96" s="463"/>
      <c r="Q96" s="463"/>
      <c r="R96" s="463"/>
      <c r="S96" s="463"/>
      <c r="U96" s="62"/>
    </row>
    <row r="97" customFormat="false" ht="27.95" hidden="false" customHeight="true" outlineLevel="0" collapsed="false">
      <c r="B97" s="62"/>
      <c r="D97" s="40" t="s">
        <v>31</v>
      </c>
      <c r="E97" s="465" t="s">
        <v>32</v>
      </c>
      <c r="F97" s="36" t="n">
        <v>2</v>
      </c>
      <c r="G97" s="80" t="s">
        <v>63</v>
      </c>
      <c r="H97" s="82" t="s">
        <v>331</v>
      </c>
      <c r="I97" s="328" t="s">
        <v>537</v>
      </c>
      <c r="J97" s="328"/>
      <c r="K97" s="468" t="s">
        <v>111</v>
      </c>
      <c r="L97" s="437" t="s">
        <v>67</v>
      </c>
      <c r="M97" s="438" t="s">
        <v>67</v>
      </c>
      <c r="N97" s="439" t="s">
        <v>67</v>
      </c>
      <c r="O97" s="439"/>
      <c r="P97" s="439"/>
      <c r="Q97" s="439"/>
      <c r="R97" s="439"/>
      <c r="S97" s="439"/>
      <c r="U97" s="62"/>
    </row>
    <row r="98" customFormat="false" ht="15" hidden="false" customHeight="true" outlineLevel="0" collapsed="false">
      <c r="B98" s="62"/>
      <c r="D98" s="432" t="s">
        <v>37</v>
      </c>
      <c r="E98" s="433" t="s">
        <v>38</v>
      </c>
      <c r="F98" s="36" t="n">
        <v>3</v>
      </c>
      <c r="G98" s="232" t="s">
        <v>63</v>
      </c>
      <c r="H98" s="355" t="s">
        <v>217</v>
      </c>
      <c r="I98" s="335" t="s">
        <v>218</v>
      </c>
      <c r="J98" s="335"/>
      <c r="K98" s="653" t="s">
        <v>331</v>
      </c>
      <c r="L98" s="437" t="s">
        <v>67</v>
      </c>
      <c r="M98" s="438" t="s">
        <v>67</v>
      </c>
      <c r="N98" s="439" t="s">
        <v>67</v>
      </c>
      <c r="O98" s="439"/>
      <c r="P98" s="439"/>
      <c r="Q98" s="439"/>
      <c r="R98" s="439"/>
      <c r="S98" s="439"/>
      <c r="U98" s="62"/>
    </row>
    <row r="99" customFormat="false" ht="45" hidden="false" customHeight="true" outlineLevel="0" collapsed="false">
      <c r="B99" s="62"/>
      <c r="D99" s="432"/>
      <c r="E99" s="433"/>
      <c r="F99" s="36"/>
      <c r="G99" s="232"/>
      <c r="H99" s="355"/>
      <c r="I99" s="338" t="s">
        <v>371</v>
      </c>
      <c r="J99" s="338"/>
      <c r="K99" s="653"/>
      <c r="L99" s="437"/>
      <c r="M99" s="438"/>
      <c r="N99" s="439"/>
      <c r="O99" s="439"/>
      <c r="P99" s="439"/>
      <c r="Q99" s="439"/>
      <c r="R99" s="439"/>
      <c r="S99" s="439"/>
      <c r="U99" s="62"/>
    </row>
    <row r="100" customFormat="false" ht="15" hidden="false" customHeight="true" outlineLevel="0" collapsed="false">
      <c r="B100" s="62"/>
      <c r="D100" s="349" t="s">
        <v>22</v>
      </c>
      <c r="E100" s="44" t="s">
        <v>23</v>
      </c>
      <c r="F100" s="50" t="n">
        <v>4</v>
      </c>
      <c r="G100" s="358" t="s">
        <v>63</v>
      </c>
      <c r="H100" s="96" t="s">
        <v>264</v>
      </c>
      <c r="I100" s="342" t="s">
        <v>265</v>
      </c>
      <c r="J100" s="342"/>
      <c r="K100" s="654" t="s">
        <v>64</v>
      </c>
      <c r="L100" s="442" t="s">
        <v>67</v>
      </c>
      <c r="M100" s="345" t="s">
        <v>67</v>
      </c>
      <c r="N100" s="239" t="s">
        <v>67</v>
      </c>
      <c r="O100" s="239"/>
      <c r="P100" s="239"/>
      <c r="Q100" s="239"/>
      <c r="R100" s="239"/>
      <c r="S100" s="239"/>
      <c r="U100" s="62"/>
    </row>
    <row r="101" customFormat="false" ht="15" hidden="false" customHeight="true" outlineLevel="0" collapsed="false">
      <c r="B101" s="62"/>
      <c r="D101" s="349"/>
      <c r="E101" s="44"/>
      <c r="F101" s="50"/>
      <c r="G101" s="358"/>
      <c r="H101" s="96"/>
      <c r="I101" s="347" t="s">
        <v>266</v>
      </c>
      <c r="J101" s="347"/>
      <c r="K101" s="654"/>
      <c r="L101" s="442"/>
      <c r="M101" s="345"/>
      <c r="N101" s="345"/>
      <c r="O101" s="239"/>
      <c r="P101" s="239"/>
      <c r="Q101" s="239"/>
      <c r="R101" s="239"/>
      <c r="S101" s="239"/>
      <c r="U101" s="62"/>
    </row>
    <row r="102" customFormat="false" ht="15" hidden="false" customHeight="true" outlineLevel="0" collapsed="false">
      <c r="B102" s="62"/>
      <c r="D102" s="349"/>
      <c r="E102" s="44"/>
      <c r="F102" s="50"/>
      <c r="G102" s="358"/>
      <c r="H102" s="96"/>
      <c r="I102" s="347" t="s">
        <v>429</v>
      </c>
      <c r="J102" s="347"/>
      <c r="K102" s="654"/>
      <c r="L102" s="442"/>
      <c r="M102" s="345"/>
      <c r="N102" s="345"/>
      <c r="O102" s="239"/>
      <c r="P102" s="239"/>
      <c r="Q102" s="239"/>
      <c r="R102" s="239"/>
      <c r="S102" s="239"/>
      <c r="U102" s="62"/>
    </row>
    <row r="103" customFormat="false" ht="15.75" hidden="false" customHeight="true" outlineLevel="0" collapsed="false">
      <c r="B103" s="62"/>
      <c r="D103" s="349"/>
      <c r="E103" s="44"/>
      <c r="F103" s="50"/>
      <c r="G103" s="358"/>
      <c r="H103" s="96"/>
      <c r="I103" s="348" t="s">
        <v>268</v>
      </c>
      <c r="J103" s="348"/>
      <c r="K103" s="654"/>
      <c r="L103" s="442"/>
      <c r="M103" s="345"/>
      <c r="N103" s="345"/>
      <c r="O103" s="239"/>
      <c r="P103" s="239"/>
      <c r="Q103" s="239"/>
      <c r="R103" s="239"/>
      <c r="S103" s="239"/>
      <c r="U103" s="62"/>
    </row>
    <row r="104" customFormat="false" ht="20.1" hidden="false" customHeight="true" outlineLevel="0" collapsed="false">
      <c r="B104" s="62"/>
      <c r="U104" s="62"/>
    </row>
    <row r="105" customFormat="false" ht="20.1" hidden="false" customHeight="true" outlineLevel="0" collapsed="false">
      <c r="B105" s="62"/>
      <c r="C105" s="101"/>
      <c r="D105" s="101"/>
      <c r="E105" s="102" t="str">
        <f aca="false">IF(OR(L95="-",L95= ""),H95,L95)</f>
        <v>Dungeon Petz</v>
      </c>
      <c r="F105" s="102"/>
      <c r="G105" s="102"/>
      <c r="H105" s="102"/>
      <c r="I105" s="102"/>
      <c r="J105" s="102"/>
      <c r="K105" s="102"/>
      <c r="L105" s="102"/>
      <c r="M105" s="102"/>
      <c r="N105" s="102"/>
      <c r="O105" s="103"/>
      <c r="P105" s="103"/>
      <c r="Q105" s="103"/>
      <c r="R105" s="103"/>
      <c r="S105" s="103"/>
      <c r="T105" s="101"/>
      <c r="U105" s="62"/>
    </row>
    <row r="106" customFormat="false" ht="50.1" hidden="false" customHeight="true" outlineLevel="0" collapsed="false">
      <c r="B106" s="62"/>
      <c r="C106" s="101"/>
      <c r="D106" s="103"/>
      <c r="E106" s="65" t="s">
        <v>53</v>
      </c>
      <c r="F106" s="104" t="s">
        <v>76</v>
      </c>
      <c r="G106" s="67" t="s">
        <v>77</v>
      </c>
      <c r="H106" s="66" t="s">
        <v>78</v>
      </c>
      <c r="I106" s="54" t="s">
        <v>79</v>
      </c>
      <c r="J106" s="66" t="s">
        <v>80</v>
      </c>
      <c r="K106" s="105" t="s">
        <v>81</v>
      </c>
      <c r="L106" s="66" t="s">
        <v>82</v>
      </c>
      <c r="M106" s="106" t="s">
        <v>83</v>
      </c>
      <c r="N106" s="67" t="s">
        <v>84</v>
      </c>
      <c r="O106" s="107" t="s">
        <v>85</v>
      </c>
      <c r="P106" s="108" t="s">
        <v>86</v>
      </c>
      <c r="Q106" s="108" t="s">
        <v>87</v>
      </c>
      <c r="R106" s="13" t="s">
        <v>88</v>
      </c>
      <c r="S106" s="103"/>
      <c r="T106" s="101"/>
      <c r="U106" s="62"/>
    </row>
    <row r="107" customFormat="false" ht="20.1" hidden="false" customHeight="true" outlineLevel="0" collapsed="false">
      <c r="B107" s="62"/>
      <c r="C107" s="101"/>
      <c r="D107" s="124"/>
      <c r="E107" s="318" t="s">
        <v>39</v>
      </c>
      <c r="F107" s="16" t="s">
        <v>40</v>
      </c>
      <c r="G107" s="250" t="n">
        <v>3</v>
      </c>
      <c r="H107" s="250" t="s">
        <v>67</v>
      </c>
      <c r="I107" s="250" t="n">
        <v>0</v>
      </c>
      <c r="J107" s="250" t="n">
        <v>67</v>
      </c>
      <c r="K107" s="250" t="s">
        <v>67</v>
      </c>
      <c r="L107" s="253" t="n">
        <f aca="false">IF(J107="",0,(J107/J111)*100)</f>
        <v>90.5405405405405</v>
      </c>
      <c r="M107" s="250" t="n">
        <v>2</v>
      </c>
      <c r="N107" s="254" t="n">
        <v>3</v>
      </c>
      <c r="O107" s="115" t="n">
        <f aca="false">IF(M107=1,1,0)</f>
        <v>0</v>
      </c>
      <c r="P107" s="116" t="n">
        <f aca="false">IF(M107=2,1,0)</f>
        <v>1</v>
      </c>
      <c r="Q107" s="116" t="n">
        <f aca="false">IF(M107=3,1,0)</f>
        <v>0</v>
      </c>
      <c r="R107" s="117" t="n">
        <f aca="false">IF(M107=4,1,0)</f>
        <v>0</v>
      </c>
      <c r="S107" s="118"/>
      <c r="T107" s="101"/>
      <c r="U107" s="62"/>
    </row>
    <row r="108" customFormat="false" ht="20.1" hidden="false" customHeight="true" outlineLevel="0" collapsed="false">
      <c r="B108" s="62"/>
      <c r="C108" s="101"/>
      <c r="D108" s="101"/>
      <c r="E108" s="326" t="s">
        <v>31</v>
      </c>
      <c r="F108" s="33" t="s">
        <v>32</v>
      </c>
      <c r="G108" s="241" t="n">
        <v>1</v>
      </c>
      <c r="H108" s="241" t="s">
        <v>67</v>
      </c>
      <c r="I108" s="241" t="n">
        <v>0</v>
      </c>
      <c r="J108" s="241" t="n">
        <v>47</v>
      </c>
      <c r="K108" s="242" t="s">
        <v>67</v>
      </c>
      <c r="L108" s="243" t="n">
        <f aca="false">IF(J108="",0,(J108/J111)*100)</f>
        <v>63.5135135135135</v>
      </c>
      <c r="M108" s="241" t="n">
        <v>3</v>
      </c>
      <c r="N108" s="244" t="n">
        <v>1</v>
      </c>
      <c r="O108" s="121" t="n">
        <f aca="false">IF(M108=1,1,0)</f>
        <v>0</v>
      </c>
      <c r="P108" s="122" t="n">
        <f aca="false">IF(M108=2,1,0)</f>
        <v>0</v>
      </c>
      <c r="Q108" s="122" t="n">
        <f aca="false">IF(M108=3,1,0)</f>
        <v>1</v>
      </c>
      <c r="R108" s="123" t="n">
        <f aca="false">IF(M108=4,1,0)</f>
        <v>0</v>
      </c>
      <c r="S108" s="118"/>
      <c r="T108" s="101"/>
      <c r="U108" s="62"/>
    </row>
    <row r="109" customFormat="false" ht="20.1" hidden="false" customHeight="true" outlineLevel="0" collapsed="false">
      <c r="B109" s="62"/>
      <c r="C109" s="101"/>
      <c r="D109" s="101"/>
      <c r="E109" s="174" t="s">
        <v>37</v>
      </c>
      <c r="F109" s="175" t="s">
        <v>38</v>
      </c>
      <c r="G109" s="151" t="n">
        <v>4</v>
      </c>
      <c r="H109" s="151" t="s">
        <v>67</v>
      </c>
      <c r="I109" s="151" t="n">
        <v>0</v>
      </c>
      <c r="J109" s="151" t="n">
        <v>74</v>
      </c>
      <c r="K109" s="151" t="s">
        <v>67</v>
      </c>
      <c r="L109" s="153" t="n">
        <f aca="false">IF(J109="",0,(J109/J111)*100)</f>
        <v>100</v>
      </c>
      <c r="M109" s="151" t="n">
        <v>1</v>
      </c>
      <c r="N109" s="154" t="n">
        <v>6</v>
      </c>
      <c r="O109" s="121" t="n">
        <f aca="false">IF(M109=1,1,0)</f>
        <v>1</v>
      </c>
      <c r="P109" s="122" t="n">
        <f aca="false">IF(M109=2,1,0)</f>
        <v>0</v>
      </c>
      <c r="Q109" s="122" t="n">
        <f aca="false">IF(M109=3,1,0)</f>
        <v>0</v>
      </c>
      <c r="R109" s="123" t="n">
        <f aca="false">IF(M109=4,1,0)</f>
        <v>0</v>
      </c>
      <c r="S109" s="118"/>
      <c r="T109" s="101"/>
      <c r="U109" s="62"/>
    </row>
    <row r="110" customFormat="false" ht="20.1" hidden="false" customHeight="true" outlineLevel="0" collapsed="false">
      <c r="B110" s="62"/>
      <c r="C110" s="101"/>
      <c r="D110" s="101"/>
      <c r="E110" s="349" t="s">
        <v>22</v>
      </c>
      <c r="F110" s="44" t="s">
        <v>23</v>
      </c>
      <c r="G110" s="245" t="n">
        <v>2</v>
      </c>
      <c r="H110" s="246" t="s">
        <v>67</v>
      </c>
      <c r="I110" s="245" t="n">
        <v>0</v>
      </c>
      <c r="J110" s="245" t="n">
        <v>11</v>
      </c>
      <c r="K110" s="246" t="s">
        <v>67</v>
      </c>
      <c r="L110" s="247" t="n">
        <f aca="false">IF(J110="",0,(J110/J111)*100)</f>
        <v>14.8648648648649</v>
      </c>
      <c r="M110" s="245" t="n">
        <v>4</v>
      </c>
      <c r="N110" s="248" t="n">
        <v>0</v>
      </c>
      <c r="O110" s="127" t="n">
        <f aca="false">IF(M110=1,1,0)</f>
        <v>0</v>
      </c>
      <c r="P110" s="128" t="n">
        <f aca="false">IF(M110=2,1,0)</f>
        <v>0</v>
      </c>
      <c r="Q110" s="128" t="n">
        <f aca="false">IF(M110=3,1,0)</f>
        <v>0</v>
      </c>
      <c r="R110" s="129" t="n">
        <f aca="false">IF(M110=4,1,0)</f>
        <v>1</v>
      </c>
      <c r="S110" s="118"/>
      <c r="T110" s="101"/>
      <c r="U110" s="62"/>
    </row>
    <row r="111" customFormat="false" ht="20.1" hidden="true" customHeight="true" outlineLevel="1" collapsed="false">
      <c r="B111" s="62"/>
      <c r="C111" s="101"/>
      <c r="D111" s="124"/>
      <c r="E111" s="124"/>
      <c r="F111" s="131"/>
      <c r="G111" s="131"/>
      <c r="H111" s="101"/>
      <c r="I111" s="179" t="s">
        <v>89</v>
      </c>
      <c r="J111" s="133" t="n">
        <f aca="false">MAX(J107:J110)</f>
        <v>74</v>
      </c>
      <c r="K111" s="249"/>
      <c r="L111" s="139"/>
      <c r="M111" s="101"/>
      <c r="N111" s="136" t="s">
        <v>90</v>
      </c>
      <c r="O111" s="137" t="n">
        <f aca="false">SUM(O107:O110)</f>
        <v>1</v>
      </c>
      <c r="P111" s="138" t="n">
        <f aca="false">SUM(P107:P110)</f>
        <v>1</v>
      </c>
      <c r="Q111" s="137" t="n">
        <f aca="false">SUM(Q107:Q110)</f>
        <v>1</v>
      </c>
      <c r="R111" s="160" t="n">
        <f aca="false">SUM(R107:R110)</f>
        <v>1</v>
      </c>
      <c r="S111" s="139"/>
      <c r="T111" s="101"/>
      <c r="U111" s="62"/>
    </row>
    <row r="112" customFormat="false" ht="20.1" hidden="false" customHeight="true" outlineLevel="0" collapsed="false">
      <c r="B112" s="62"/>
      <c r="C112" s="101"/>
      <c r="D112" s="101"/>
      <c r="E112" s="101"/>
      <c r="F112" s="101"/>
      <c r="G112" s="101"/>
      <c r="H112" s="101"/>
      <c r="I112" s="101"/>
      <c r="J112" s="101"/>
      <c r="K112" s="101"/>
      <c r="L112" s="101"/>
      <c r="M112" s="101"/>
      <c r="N112" s="101"/>
      <c r="O112" s="101"/>
      <c r="P112" s="101"/>
      <c r="Q112" s="101"/>
      <c r="R112" s="101"/>
      <c r="S112" s="101"/>
      <c r="T112" s="101"/>
      <c r="U112" s="62"/>
    </row>
    <row r="113" customFormat="false" ht="20.1" hidden="false" customHeight="true" outlineLevel="0" collapsed="false">
      <c r="B113" s="62"/>
      <c r="U113" s="62"/>
    </row>
    <row r="114" customFormat="false" ht="20.1" hidden="false" customHeight="true" outlineLevel="0" collapsed="false">
      <c r="B114" s="62"/>
      <c r="C114" s="141"/>
      <c r="D114" s="141"/>
      <c r="E114" s="142" t="str">
        <f aca="false">IF(OR(L97="-",L97= ""),H97,L97)</f>
        <v>The Ruhr: A Story of Coal Trade</v>
      </c>
      <c r="F114" s="142"/>
      <c r="G114" s="142"/>
      <c r="H114" s="142"/>
      <c r="I114" s="142"/>
      <c r="J114" s="142"/>
      <c r="K114" s="142"/>
      <c r="L114" s="142"/>
      <c r="M114" s="142"/>
      <c r="N114" s="142"/>
      <c r="O114" s="143"/>
      <c r="P114" s="143"/>
      <c r="Q114" s="143"/>
      <c r="R114" s="143"/>
      <c r="S114" s="143"/>
      <c r="T114" s="141"/>
      <c r="U114" s="62"/>
    </row>
    <row r="115" customFormat="false" ht="50.1" hidden="false" customHeight="true" outlineLevel="0" collapsed="false">
      <c r="B115" s="62"/>
      <c r="C115" s="141"/>
      <c r="D115" s="143"/>
      <c r="E115" s="65" t="s">
        <v>53</v>
      </c>
      <c r="F115" s="104" t="s">
        <v>76</v>
      </c>
      <c r="G115" s="67" t="s">
        <v>77</v>
      </c>
      <c r="H115" s="66" t="s">
        <v>78</v>
      </c>
      <c r="I115" s="54" t="s">
        <v>79</v>
      </c>
      <c r="J115" s="66" t="s">
        <v>80</v>
      </c>
      <c r="K115" s="105" t="s">
        <v>81</v>
      </c>
      <c r="L115" s="66" t="s">
        <v>82</v>
      </c>
      <c r="M115" s="106" t="s">
        <v>83</v>
      </c>
      <c r="N115" s="67" t="s">
        <v>84</v>
      </c>
      <c r="O115" s="107" t="s">
        <v>85</v>
      </c>
      <c r="P115" s="108" t="s">
        <v>86</v>
      </c>
      <c r="Q115" s="108" t="s">
        <v>87</v>
      </c>
      <c r="R115" s="13" t="s">
        <v>88</v>
      </c>
      <c r="S115" s="143"/>
      <c r="T115" s="141"/>
      <c r="U115" s="62"/>
    </row>
    <row r="116" customFormat="false" ht="20.1" hidden="false" customHeight="true" outlineLevel="0" collapsed="false">
      <c r="B116" s="62"/>
      <c r="C116" s="141"/>
      <c r="D116" s="148"/>
      <c r="E116" s="403" t="s">
        <v>39</v>
      </c>
      <c r="F116" s="110" t="s">
        <v>40</v>
      </c>
      <c r="G116" s="111" t="n">
        <v>4</v>
      </c>
      <c r="H116" s="111" t="s">
        <v>67</v>
      </c>
      <c r="I116" s="111" t="n">
        <v>0</v>
      </c>
      <c r="J116" s="111" t="n">
        <v>41</v>
      </c>
      <c r="K116" s="111" t="s">
        <v>67</v>
      </c>
      <c r="L116" s="113" t="n">
        <f aca="false">IF(J116="",0,(J116/J120)*100)</f>
        <v>100</v>
      </c>
      <c r="M116" s="111" t="n">
        <v>1</v>
      </c>
      <c r="N116" s="114" t="n">
        <v>4.5</v>
      </c>
      <c r="O116" s="115" t="n">
        <f aca="false">IF(M116=1,1,0)</f>
        <v>1</v>
      </c>
      <c r="P116" s="116" t="n">
        <f aca="false">IF(M116=2,1,0)</f>
        <v>0</v>
      </c>
      <c r="Q116" s="116" t="n">
        <f aca="false">IF(M116=3,1,0)</f>
        <v>0</v>
      </c>
      <c r="R116" s="117" t="n">
        <f aca="false">IF(M116=4,1,0)</f>
        <v>0</v>
      </c>
      <c r="S116" s="147"/>
      <c r="T116" s="141"/>
      <c r="U116" s="62"/>
    </row>
    <row r="117" customFormat="false" ht="20.1" hidden="false" customHeight="true" outlineLevel="0" collapsed="false">
      <c r="B117" s="62"/>
      <c r="C117" s="141"/>
      <c r="D117" s="141"/>
      <c r="E117" s="174" t="s">
        <v>31</v>
      </c>
      <c r="F117" s="175" t="s">
        <v>32</v>
      </c>
      <c r="G117" s="151" t="n">
        <v>3</v>
      </c>
      <c r="H117" s="151" t="s">
        <v>67</v>
      </c>
      <c r="I117" s="151" t="n">
        <v>0</v>
      </c>
      <c r="J117" s="151" t="n">
        <v>41</v>
      </c>
      <c r="K117" s="152" t="s">
        <v>67</v>
      </c>
      <c r="L117" s="153" t="n">
        <f aca="false">IF(J117="",0,(J117/J120)*100)</f>
        <v>100</v>
      </c>
      <c r="M117" s="151" t="n">
        <v>1</v>
      </c>
      <c r="N117" s="154" t="n">
        <v>4.5</v>
      </c>
      <c r="O117" s="121" t="n">
        <f aca="false">IF(M117=1,1,0)</f>
        <v>1</v>
      </c>
      <c r="P117" s="122" t="n">
        <f aca="false">IF(M117=2,1,0)</f>
        <v>0</v>
      </c>
      <c r="Q117" s="122" t="n">
        <f aca="false">IF(M117=3,1,0)</f>
        <v>0</v>
      </c>
      <c r="R117" s="123" t="n">
        <f aca="false">IF(M117=4,1,0)</f>
        <v>0</v>
      </c>
      <c r="S117" s="147"/>
      <c r="T117" s="141"/>
      <c r="U117" s="62"/>
    </row>
    <row r="118" customFormat="false" ht="20.1" hidden="false" customHeight="true" outlineLevel="0" collapsed="false">
      <c r="B118" s="62"/>
      <c r="C118" s="141"/>
      <c r="D118" s="148"/>
      <c r="E118" s="326" t="s">
        <v>37</v>
      </c>
      <c r="F118" s="33" t="s">
        <v>38</v>
      </c>
      <c r="G118" s="241" t="n">
        <v>2</v>
      </c>
      <c r="H118" s="241" t="s">
        <v>67</v>
      </c>
      <c r="I118" s="241" t="n">
        <v>0</v>
      </c>
      <c r="J118" s="241" t="n">
        <v>34</v>
      </c>
      <c r="K118" s="241" t="s">
        <v>67</v>
      </c>
      <c r="L118" s="243" t="n">
        <f aca="false">IF(J118="",0,(J118/J120)*100)</f>
        <v>82.9268292682927</v>
      </c>
      <c r="M118" s="241" t="n">
        <v>3</v>
      </c>
      <c r="N118" s="244" t="n">
        <v>1</v>
      </c>
      <c r="O118" s="121" t="n">
        <f aca="false">IF(M118=1,1,0)</f>
        <v>0</v>
      </c>
      <c r="P118" s="122" t="n">
        <f aca="false">IF(M118=2,1,0)</f>
        <v>0</v>
      </c>
      <c r="Q118" s="122" t="n">
        <f aca="false">IF(M118=3,1,0)</f>
        <v>1</v>
      </c>
      <c r="R118" s="123" t="n">
        <f aca="false">IF(M118=4,1,0)</f>
        <v>0</v>
      </c>
      <c r="S118" s="147"/>
      <c r="T118" s="141"/>
      <c r="U118" s="62"/>
    </row>
    <row r="119" customFormat="false" ht="20.1" hidden="false" customHeight="true" outlineLevel="0" collapsed="false">
      <c r="B119" s="62"/>
      <c r="C119" s="141"/>
      <c r="D119" s="141"/>
      <c r="E119" s="349" t="s">
        <v>22</v>
      </c>
      <c r="F119" s="44" t="s">
        <v>23</v>
      </c>
      <c r="G119" s="245" t="n">
        <v>1</v>
      </c>
      <c r="H119" s="246" t="s">
        <v>67</v>
      </c>
      <c r="I119" s="245" t="n">
        <v>0</v>
      </c>
      <c r="J119" s="245" t="n">
        <v>28</v>
      </c>
      <c r="K119" s="246" t="s">
        <v>67</v>
      </c>
      <c r="L119" s="247" t="n">
        <f aca="false">IF(J119="",0,(J119/J120)*100)</f>
        <v>68.2926829268293</v>
      </c>
      <c r="M119" s="245" t="n">
        <v>4</v>
      </c>
      <c r="N119" s="248" t="n">
        <v>0</v>
      </c>
      <c r="O119" s="127" t="n">
        <f aca="false">IF(M119=1,1,0)</f>
        <v>0</v>
      </c>
      <c r="P119" s="128" t="n">
        <f aca="false">IF(M119=2,1,0)</f>
        <v>0</v>
      </c>
      <c r="Q119" s="128" t="n">
        <f aca="false">IF(M119=3,1,0)</f>
        <v>0</v>
      </c>
      <c r="R119" s="129" t="n">
        <f aca="false">IF(M119=4,1,0)</f>
        <v>1</v>
      </c>
      <c r="S119" s="147"/>
      <c r="T119" s="141"/>
      <c r="U119" s="62"/>
    </row>
    <row r="120" customFormat="false" ht="20.1" hidden="true" customHeight="true" outlineLevel="1" collapsed="false">
      <c r="B120" s="62"/>
      <c r="C120" s="141"/>
      <c r="D120" s="141"/>
      <c r="E120" s="141"/>
      <c r="F120" s="157"/>
      <c r="G120" s="157"/>
      <c r="H120" s="141"/>
      <c r="I120" s="179" t="s">
        <v>89</v>
      </c>
      <c r="J120" s="133" t="n">
        <f aca="false">MAX(J116:J119)</f>
        <v>41</v>
      </c>
      <c r="K120" s="159"/>
      <c r="L120" s="147"/>
      <c r="M120" s="141"/>
      <c r="N120" s="136" t="s">
        <v>90</v>
      </c>
      <c r="O120" s="137" t="n">
        <f aca="false">SUM(O116:O119)</f>
        <v>2</v>
      </c>
      <c r="P120" s="138" t="n">
        <f aca="false">SUM(P116:P119)</f>
        <v>0</v>
      </c>
      <c r="Q120" s="137" t="n">
        <f aca="false">SUM(Q116:Q119)</f>
        <v>1</v>
      </c>
      <c r="R120" s="160" t="n">
        <f aca="false">SUM(R116:R119)</f>
        <v>1</v>
      </c>
      <c r="S120" s="161"/>
      <c r="T120" s="141"/>
      <c r="U120" s="62"/>
    </row>
    <row r="121" customFormat="false" ht="20.1" hidden="false" customHeight="true" outlineLevel="0" collapsed="false">
      <c r="B121" s="62"/>
      <c r="C121" s="141"/>
      <c r="D121" s="141"/>
      <c r="E121" s="141"/>
      <c r="F121" s="141"/>
      <c r="G121" s="141"/>
      <c r="H121" s="141"/>
      <c r="I121" s="141"/>
      <c r="J121" s="141"/>
      <c r="K121" s="141"/>
      <c r="L121" s="141"/>
      <c r="M121" s="141"/>
      <c r="N121" s="141"/>
      <c r="O121" s="141"/>
      <c r="P121" s="141"/>
      <c r="Q121" s="141"/>
      <c r="R121" s="141"/>
      <c r="S121" s="141"/>
      <c r="T121" s="141"/>
      <c r="U121" s="62"/>
    </row>
    <row r="122" customFormat="false" ht="20.1" hidden="false" customHeight="true" outlineLevel="0" collapsed="false">
      <c r="B122" s="62"/>
      <c r="D122" s="162"/>
      <c r="E122" s="162"/>
      <c r="F122" s="162"/>
      <c r="G122" s="162"/>
      <c r="H122" s="163"/>
      <c r="I122" s="162"/>
      <c r="J122" s="162"/>
      <c r="U122" s="62"/>
    </row>
    <row r="123" customFormat="false" ht="20.1" hidden="false" customHeight="true" outlineLevel="0" collapsed="false">
      <c r="B123" s="62"/>
      <c r="C123" s="164"/>
      <c r="D123" s="164"/>
      <c r="E123" s="165" t="str">
        <f aca="false">IF(OR(L98="-",L98= ""),H98,L98)</f>
        <v>Dice Hospital</v>
      </c>
      <c r="F123" s="165"/>
      <c r="G123" s="165"/>
      <c r="H123" s="165"/>
      <c r="I123" s="165"/>
      <c r="J123" s="165"/>
      <c r="K123" s="165"/>
      <c r="L123" s="165"/>
      <c r="M123" s="165"/>
      <c r="N123" s="165"/>
      <c r="O123" s="166"/>
      <c r="P123" s="166"/>
      <c r="Q123" s="166"/>
      <c r="R123" s="166"/>
      <c r="S123" s="166"/>
      <c r="T123" s="164"/>
      <c r="U123" s="167"/>
    </row>
    <row r="124" customFormat="false" ht="50.1" hidden="false" customHeight="true" outlineLevel="0" collapsed="false">
      <c r="B124" s="62"/>
      <c r="C124" s="164"/>
      <c r="D124" s="166"/>
      <c r="E124" s="65" t="s">
        <v>53</v>
      </c>
      <c r="F124" s="104" t="s">
        <v>76</v>
      </c>
      <c r="G124" s="67" t="s">
        <v>77</v>
      </c>
      <c r="H124" s="66" t="s">
        <v>78</v>
      </c>
      <c r="I124" s="54" t="s">
        <v>79</v>
      </c>
      <c r="J124" s="66" t="s">
        <v>80</v>
      </c>
      <c r="K124" s="105" t="s">
        <v>81</v>
      </c>
      <c r="L124" s="66" t="s">
        <v>82</v>
      </c>
      <c r="M124" s="106" t="s">
        <v>83</v>
      </c>
      <c r="N124" s="67" t="s">
        <v>84</v>
      </c>
      <c r="O124" s="107" t="s">
        <v>85</v>
      </c>
      <c r="P124" s="108" t="s">
        <v>86</v>
      </c>
      <c r="Q124" s="108" t="s">
        <v>87</v>
      </c>
      <c r="R124" s="13" t="s">
        <v>88</v>
      </c>
      <c r="S124" s="166"/>
      <c r="T124" s="164"/>
      <c r="U124" s="167"/>
    </row>
    <row r="125" customFormat="false" ht="20.1" hidden="false" customHeight="true" outlineLevel="0" collapsed="false">
      <c r="B125" s="62"/>
      <c r="C125" s="164"/>
      <c r="D125" s="171"/>
      <c r="E125" s="318" t="s">
        <v>39</v>
      </c>
      <c r="F125" s="16" t="s">
        <v>40</v>
      </c>
      <c r="G125" s="250" t="n">
        <v>2</v>
      </c>
      <c r="H125" s="250" t="s">
        <v>221</v>
      </c>
      <c r="I125" s="250" t="n">
        <v>0</v>
      </c>
      <c r="J125" s="250" t="n">
        <v>41</v>
      </c>
      <c r="K125" s="250" t="s">
        <v>67</v>
      </c>
      <c r="L125" s="253" t="n">
        <f aca="false">IF(J125="",0,(J125/J129)*100)</f>
        <v>70.6896551724138</v>
      </c>
      <c r="M125" s="250" t="n">
        <v>3</v>
      </c>
      <c r="N125" s="254" t="n">
        <v>1</v>
      </c>
      <c r="O125" s="115" t="n">
        <f aca="false">IF(M125=1,1,0)</f>
        <v>0</v>
      </c>
      <c r="P125" s="116" t="n">
        <f aca="false">IF(M125=2,1,0)</f>
        <v>0</v>
      </c>
      <c r="Q125" s="116" t="n">
        <f aca="false">IF(M125=3,1,0)</f>
        <v>1</v>
      </c>
      <c r="R125" s="117" t="n">
        <f aca="false">IF(M125=4,1,0)</f>
        <v>0</v>
      </c>
      <c r="S125" s="170"/>
      <c r="T125" s="164"/>
      <c r="U125" s="62"/>
    </row>
    <row r="126" customFormat="false" ht="20.1" hidden="false" customHeight="true" outlineLevel="0" collapsed="false">
      <c r="B126" s="62"/>
      <c r="C126" s="164"/>
      <c r="D126" s="164"/>
      <c r="E126" s="326" t="s">
        <v>31</v>
      </c>
      <c r="F126" s="33" t="s">
        <v>32</v>
      </c>
      <c r="G126" s="241" t="n">
        <v>3</v>
      </c>
      <c r="H126" s="241" t="s">
        <v>571</v>
      </c>
      <c r="I126" s="241" t="n">
        <v>0</v>
      </c>
      <c r="J126" s="241" t="n">
        <v>21</v>
      </c>
      <c r="K126" s="242" t="s">
        <v>67</v>
      </c>
      <c r="L126" s="243" t="n">
        <f aca="false">IF(J126="",0,(J126/J129)*100)</f>
        <v>36.2068965517241</v>
      </c>
      <c r="M126" s="241" t="n">
        <v>4</v>
      </c>
      <c r="N126" s="244" t="n">
        <v>0</v>
      </c>
      <c r="O126" s="121" t="n">
        <f aca="false">IF(M126=1,1,0)</f>
        <v>0</v>
      </c>
      <c r="P126" s="122" t="n">
        <f aca="false">IF(M126=2,1,0)</f>
        <v>0</v>
      </c>
      <c r="Q126" s="122" t="n">
        <f aca="false">IF(M126=3,1,0)</f>
        <v>0</v>
      </c>
      <c r="R126" s="123" t="n">
        <f aca="false">IF(M126=4,1,0)</f>
        <v>1</v>
      </c>
      <c r="S126" s="170"/>
      <c r="T126" s="164"/>
      <c r="U126" s="173"/>
    </row>
    <row r="127" customFormat="false" ht="20.1" hidden="false" customHeight="true" outlineLevel="0" collapsed="false">
      <c r="B127" s="62"/>
      <c r="C127" s="164"/>
      <c r="D127" s="164"/>
      <c r="E127" s="174" t="s">
        <v>37</v>
      </c>
      <c r="F127" s="175" t="s">
        <v>38</v>
      </c>
      <c r="G127" s="151" t="n">
        <v>4</v>
      </c>
      <c r="H127" s="151" t="s">
        <v>377</v>
      </c>
      <c r="I127" s="151" t="n">
        <v>0</v>
      </c>
      <c r="J127" s="151" t="n">
        <v>58</v>
      </c>
      <c r="K127" s="151" t="s">
        <v>67</v>
      </c>
      <c r="L127" s="153" t="n">
        <f aca="false">IF(J127="",0,(J127/J129)*100)</f>
        <v>100</v>
      </c>
      <c r="M127" s="151" t="n">
        <v>1</v>
      </c>
      <c r="N127" s="154" t="n">
        <v>6</v>
      </c>
      <c r="O127" s="121" t="n">
        <f aca="false">IF(M127=1,1,0)</f>
        <v>1</v>
      </c>
      <c r="P127" s="122" t="n">
        <f aca="false">IF(M127=2,1,0)</f>
        <v>0</v>
      </c>
      <c r="Q127" s="122" t="n">
        <f aca="false">IF(M127=3,1,0)</f>
        <v>0</v>
      </c>
      <c r="R127" s="123" t="n">
        <f aca="false">IF(M127=4,1,0)</f>
        <v>0</v>
      </c>
      <c r="S127" s="170"/>
      <c r="T127" s="164"/>
      <c r="U127" s="173"/>
    </row>
    <row r="128" customFormat="false" ht="20.1" hidden="false" customHeight="true" outlineLevel="0" collapsed="false">
      <c r="B128" s="62"/>
      <c r="C128" s="164"/>
      <c r="D128" s="164"/>
      <c r="E128" s="349" t="s">
        <v>22</v>
      </c>
      <c r="F128" s="44" t="s">
        <v>23</v>
      </c>
      <c r="G128" s="245" t="n">
        <v>1</v>
      </c>
      <c r="H128" s="246" t="s">
        <v>376</v>
      </c>
      <c r="I128" s="245" t="n">
        <v>0</v>
      </c>
      <c r="J128" s="245" t="n">
        <v>42</v>
      </c>
      <c r="K128" s="246" t="s">
        <v>67</v>
      </c>
      <c r="L128" s="247" t="n">
        <f aca="false">IF(J128="",0,(J128/J129)*100)</f>
        <v>72.4137931034483</v>
      </c>
      <c r="M128" s="245" t="n">
        <v>2</v>
      </c>
      <c r="N128" s="248" t="n">
        <v>3</v>
      </c>
      <c r="O128" s="127" t="n">
        <f aca="false">IF(M128=1,1,0)</f>
        <v>0</v>
      </c>
      <c r="P128" s="128" t="n">
        <f aca="false">IF(M128=2,1,0)</f>
        <v>1</v>
      </c>
      <c r="Q128" s="128" t="n">
        <f aca="false">IF(M128=3,1,0)</f>
        <v>0</v>
      </c>
      <c r="R128" s="129" t="n">
        <f aca="false">IF(M128=4,1,0)</f>
        <v>0</v>
      </c>
      <c r="S128" s="170"/>
      <c r="T128" s="164"/>
      <c r="U128" s="173"/>
    </row>
    <row r="129" customFormat="false" ht="20.1" hidden="true" customHeight="true" outlineLevel="1" collapsed="false">
      <c r="B129" s="62"/>
      <c r="C129" s="164"/>
      <c r="D129" s="164"/>
      <c r="E129" s="164"/>
      <c r="F129" s="178"/>
      <c r="G129" s="178"/>
      <c r="H129" s="164"/>
      <c r="I129" s="179" t="s">
        <v>89</v>
      </c>
      <c r="J129" s="133" t="n">
        <f aca="false">MAX(J125:J128)</f>
        <v>58</v>
      </c>
      <c r="K129" s="180"/>
      <c r="L129" s="170"/>
      <c r="M129" s="164"/>
      <c r="N129" s="136" t="s">
        <v>90</v>
      </c>
      <c r="O129" s="137" t="n">
        <f aca="false">SUM(O125:O128)</f>
        <v>1</v>
      </c>
      <c r="P129" s="138" t="n">
        <f aca="false">SUM(P125:P128)</f>
        <v>1</v>
      </c>
      <c r="Q129" s="137" t="n">
        <f aca="false">SUM(Q125:Q128)</f>
        <v>1</v>
      </c>
      <c r="R129" s="160" t="n">
        <f aca="false">SUM(R125:R128)</f>
        <v>1</v>
      </c>
      <c r="S129" s="181"/>
      <c r="T129" s="164"/>
      <c r="U129" s="173"/>
    </row>
    <row r="130" customFormat="false" ht="20.1" hidden="false" customHeight="true" outlineLevel="0" collapsed="false">
      <c r="B130" s="62"/>
      <c r="C130" s="164"/>
      <c r="D130" s="164"/>
      <c r="E130" s="164"/>
      <c r="F130" s="164"/>
      <c r="G130" s="164"/>
      <c r="H130" s="164"/>
      <c r="I130" s="164"/>
      <c r="J130" s="164"/>
      <c r="K130" s="164"/>
      <c r="L130" s="164"/>
      <c r="M130" s="164"/>
      <c r="N130" s="164"/>
      <c r="O130" s="164"/>
      <c r="P130" s="164"/>
      <c r="Q130" s="164"/>
      <c r="R130" s="164"/>
      <c r="S130" s="164"/>
      <c r="T130" s="164"/>
      <c r="U130" s="173"/>
    </row>
    <row r="131" customFormat="false" ht="20.1" hidden="false" customHeight="true" outlineLevel="0" collapsed="false">
      <c r="B131" s="62"/>
      <c r="D131" s="162"/>
      <c r="E131" s="162"/>
      <c r="F131" s="162"/>
      <c r="G131" s="162"/>
      <c r="H131" s="163"/>
      <c r="I131" s="162"/>
      <c r="J131" s="162"/>
      <c r="K131" s="162"/>
      <c r="U131" s="62"/>
    </row>
    <row r="132" customFormat="false" ht="20.1" hidden="false" customHeight="true" outlineLevel="0" collapsed="false">
      <c r="B132" s="62"/>
      <c r="C132" s="182"/>
      <c r="D132" s="182"/>
      <c r="E132" s="183" t="str">
        <f aca="false">IF(OR(L100="-",L100= ""),H100,L100)</f>
        <v>Teotihuacan: Die Stadt der Götter</v>
      </c>
      <c r="F132" s="183"/>
      <c r="G132" s="183"/>
      <c r="H132" s="183"/>
      <c r="I132" s="183"/>
      <c r="J132" s="183"/>
      <c r="K132" s="183"/>
      <c r="L132" s="183"/>
      <c r="M132" s="183"/>
      <c r="N132" s="183"/>
      <c r="O132" s="184"/>
      <c r="P132" s="184"/>
      <c r="Q132" s="184"/>
      <c r="R132" s="184"/>
      <c r="S132" s="184"/>
      <c r="T132" s="182"/>
      <c r="U132" s="62"/>
    </row>
    <row r="133" customFormat="false" ht="50.1" hidden="false" customHeight="true" outlineLevel="0" collapsed="false">
      <c r="B133" s="62"/>
      <c r="C133" s="182"/>
      <c r="D133" s="184"/>
      <c r="E133" s="65" t="s">
        <v>53</v>
      </c>
      <c r="F133" s="104" t="s">
        <v>76</v>
      </c>
      <c r="G133" s="67" t="s">
        <v>77</v>
      </c>
      <c r="H133" s="66" t="s">
        <v>78</v>
      </c>
      <c r="I133" s="54" t="s">
        <v>79</v>
      </c>
      <c r="J133" s="66" t="s">
        <v>80</v>
      </c>
      <c r="K133" s="105" t="s">
        <v>81</v>
      </c>
      <c r="L133" s="66" t="s">
        <v>82</v>
      </c>
      <c r="M133" s="106" t="s">
        <v>83</v>
      </c>
      <c r="N133" s="67" t="s">
        <v>84</v>
      </c>
      <c r="O133" s="107" t="s">
        <v>85</v>
      </c>
      <c r="P133" s="108" t="s">
        <v>86</v>
      </c>
      <c r="Q133" s="108" t="s">
        <v>87</v>
      </c>
      <c r="R133" s="13" t="s">
        <v>88</v>
      </c>
      <c r="S133" s="184"/>
      <c r="T133" s="182"/>
      <c r="U133" s="62"/>
    </row>
    <row r="134" customFormat="false" ht="20.1" hidden="false" customHeight="true" outlineLevel="0" collapsed="false">
      <c r="B134" s="62"/>
      <c r="C134" s="182"/>
      <c r="D134" s="182"/>
      <c r="E134" s="318" t="s">
        <v>39</v>
      </c>
      <c r="F134" s="16" t="s">
        <v>40</v>
      </c>
      <c r="G134" s="250" t="n">
        <v>2</v>
      </c>
      <c r="H134" s="250" t="s">
        <v>67</v>
      </c>
      <c r="I134" s="250" t="n">
        <v>0</v>
      </c>
      <c r="J134" s="250" t="n">
        <v>192</v>
      </c>
      <c r="K134" s="250" t="s">
        <v>67</v>
      </c>
      <c r="L134" s="253" t="n">
        <f aca="false">IF(J134="",0,(J134/J138)*100)</f>
        <v>79.6680497925311</v>
      </c>
      <c r="M134" s="250" t="n">
        <v>2</v>
      </c>
      <c r="N134" s="254" t="n">
        <v>3</v>
      </c>
      <c r="O134" s="115" t="n">
        <f aca="false">IF(M134=1,1,0)</f>
        <v>0</v>
      </c>
      <c r="P134" s="116" t="n">
        <f aca="false">IF(M134=2,1,0)</f>
        <v>1</v>
      </c>
      <c r="Q134" s="116" t="n">
        <f aca="false">IF(M134=3,1,0)</f>
        <v>0</v>
      </c>
      <c r="R134" s="117" t="n">
        <f aca="false">IF(M134=4,1,0)</f>
        <v>0</v>
      </c>
      <c r="S134" s="185"/>
      <c r="T134" s="182"/>
      <c r="U134" s="62"/>
    </row>
    <row r="135" customFormat="false" ht="20.1" hidden="false" customHeight="true" outlineLevel="0" collapsed="false">
      <c r="B135" s="62"/>
      <c r="C135" s="182"/>
      <c r="D135" s="182"/>
      <c r="E135" s="326" t="s">
        <v>31</v>
      </c>
      <c r="F135" s="33" t="s">
        <v>32</v>
      </c>
      <c r="G135" s="241" t="n">
        <v>4</v>
      </c>
      <c r="H135" s="241" t="s">
        <v>67</v>
      </c>
      <c r="I135" s="241" t="n">
        <v>0</v>
      </c>
      <c r="J135" s="241" t="n">
        <v>102</v>
      </c>
      <c r="K135" s="242" t="s">
        <v>67</v>
      </c>
      <c r="L135" s="243" t="n">
        <f aca="false">IF(J135="",0,(J135/J138)*100)</f>
        <v>42.3236514522822</v>
      </c>
      <c r="M135" s="241" t="n">
        <v>4</v>
      </c>
      <c r="N135" s="244" t="n">
        <v>0</v>
      </c>
      <c r="O135" s="121" t="n">
        <f aca="false">IF(M135=1,1,0)</f>
        <v>0</v>
      </c>
      <c r="P135" s="122" t="n">
        <f aca="false">IF(M135=2,1,0)</f>
        <v>0</v>
      </c>
      <c r="Q135" s="122" t="n">
        <f aca="false">IF(M135=3,1,0)</f>
        <v>0</v>
      </c>
      <c r="R135" s="123" t="n">
        <f aca="false">IF(M135=4,1,0)</f>
        <v>1</v>
      </c>
      <c r="S135" s="185"/>
      <c r="T135" s="182"/>
      <c r="U135" s="62"/>
    </row>
    <row r="136" customFormat="false" ht="20.1" hidden="false" customHeight="true" outlineLevel="0" collapsed="false">
      <c r="B136" s="62"/>
      <c r="C136" s="182"/>
      <c r="D136" s="182"/>
      <c r="E136" s="326" t="s">
        <v>37</v>
      </c>
      <c r="F136" s="33" t="s">
        <v>38</v>
      </c>
      <c r="G136" s="241" t="n">
        <v>1</v>
      </c>
      <c r="H136" s="241" t="s">
        <v>67</v>
      </c>
      <c r="I136" s="241" t="n">
        <v>0</v>
      </c>
      <c r="J136" s="241" t="n">
        <v>124</v>
      </c>
      <c r="K136" s="241" t="s">
        <v>67</v>
      </c>
      <c r="L136" s="243" t="n">
        <f aca="false">IF(J136="",0,(J136/J138)*100)</f>
        <v>51.4522821576763</v>
      </c>
      <c r="M136" s="241" t="n">
        <v>3</v>
      </c>
      <c r="N136" s="244" t="n">
        <v>1</v>
      </c>
      <c r="O136" s="121" t="n">
        <f aca="false">IF(M136=1,1,0)</f>
        <v>0</v>
      </c>
      <c r="P136" s="122" t="n">
        <f aca="false">IF(M136=2,1,0)</f>
        <v>0</v>
      </c>
      <c r="Q136" s="122" t="n">
        <f aca="false">IF(M136=3,1,0)</f>
        <v>1</v>
      </c>
      <c r="R136" s="123" t="n">
        <f aca="false">IF(M136=4,1,0)</f>
        <v>0</v>
      </c>
      <c r="S136" s="185"/>
      <c r="T136" s="182"/>
      <c r="U136" s="62"/>
    </row>
    <row r="137" customFormat="false" ht="20.1" hidden="false" customHeight="true" outlineLevel="0" collapsed="false">
      <c r="B137" s="62"/>
      <c r="C137" s="182"/>
      <c r="D137" s="186"/>
      <c r="E137" s="350" t="s">
        <v>22</v>
      </c>
      <c r="F137" s="294" t="s">
        <v>23</v>
      </c>
      <c r="G137" s="295" t="n">
        <v>3</v>
      </c>
      <c r="H137" s="296" t="s">
        <v>67</v>
      </c>
      <c r="I137" s="295" t="n">
        <v>0</v>
      </c>
      <c r="J137" s="295" t="n">
        <v>241</v>
      </c>
      <c r="K137" s="296" t="s">
        <v>67</v>
      </c>
      <c r="L137" s="297" t="n">
        <f aca="false">IF(J137="",0,(J137/J138)*100)</f>
        <v>100</v>
      </c>
      <c r="M137" s="295" t="n">
        <v>1</v>
      </c>
      <c r="N137" s="298" t="n">
        <v>6</v>
      </c>
      <c r="O137" s="127" t="n">
        <f aca="false">IF(M137=1,1,0)</f>
        <v>1</v>
      </c>
      <c r="P137" s="128" t="n">
        <f aca="false">IF(M137=2,1,0)</f>
        <v>0</v>
      </c>
      <c r="Q137" s="128" t="n">
        <f aca="false">IF(M137=3,1,0)</f>
        <v>0</v>
      </c>
      <c r="R137" s="129" t="n">
        <f aca="false">IF(M137=4,1,0)</f>
        <v>0</v>
      </c>
      <c r="S137" s="185"/>
      <c r="T137" s="182"/>
      <c r="U137" s="62"/>
    </row>
    <row r="138" customFormat="false" ht="20.1" hidden="true" customHeight="true" outlineLevel="1" collapsed="false">
      <c r="B138" s="62"/>
      <c r="C138" s="182"/>
      <c r="D138" s="182"/>
      <c r="E138" s="182"/>
      <c r="F138" s="187"/>
      <c r="G138" s="187"/>
      <c r="H138" s="182"/>
      <c r="I138" s="179" t="s">
        <v>89</v>
      </c>
      <c r="J138" s="133" t="n">
        <f aca="false">MAX(J134:J137)</f>
        <v>241</v>
      </c>
      <c r="K138" s="188"/>
      <c r="L138" s="185"/>
      <c r="M138" s="182"/>
      <c r="N138" s="136" t="s">
        <v>90</v>
      </c>
      <c r="O138" s="137" t="n">
        <f aca="false">SUM(O134:O137)</f>
        <v>1</v>
      </c>
      <c r="P138" s="138" t="n">
        <f aca="false">SUM(P134:P137)</f>
        <v>1</v>
      </c>
      <c r="Q138" s="137" t="n">
        <f aca="false">SUM(Q134:Q137)</f>
        <v>1</v>
      </c>
      <c r="R138" s="160" t="n">
        <f aca="false">SUM(R134:R137)</f>
        <v>1</v>
      </c>
      <c r="S138" s="189"/>
      <c r="T138" s="182"/>
      <c r="U138" s="62"/>
    </row>
    <row r="139" customFormat="false" ht="20.1" hidden="false" customHeight="true" outlineLevel="0" collapsed="false">
      <c r="B139" s="62"/>
      <c r="C139" s="182"/>
      <c r="D139" s="182"/>
      <c r="E139" s="182"/>
      <c r="F139" s="182"/>
      <c r="G139" s="182"/>
      <c r="H139" s="182"/>
      <c r="I139" s="182"/>
      <c r="J139" s="182"/>
      <c r="K139" s="182"/>
      <c r="L139" s="182"/>
      <c r="M139" s="182"/>
      <c r="N139" s="182"/>
      <c r="O139" s="182"/>
      <c r="P139" s="182"/>
      <c r="Q139" s="182"/>
      <c r="R139" s="182"/>
      <c r="S139" s="182"/>
      <c r="T139" s="182"/>
      <c r="U139" s="62"/>
    </row>
    <row r="140" customFormat="false" ht="20.1" hidden="false" customHeight="true" outlineLevel="0" collapsed="false">
      <c r="B140" s="62"/>
      <c r="D140" s="5"/>
      <c r="E140" s="5"/>
      <c r="F140" s="5"/>
      <c r="G140" s="5"/>
      <c r="H140" s="5"/>
      <c r="I140" s="5"/>
      <c r="J140" s="5"/>
      <c r="U140" s="62"/>
    </row>
    <row r="141" customFormat="false" ht="30" hidden="false" customHeight="true" outlineLevel="0" collapsed="false">
      <c r="B141" s="62"/>
      <c r="C141" s="190"/>
      <c r="D141" s="191" t="s">
        <v>135</v>
      </c>
      <c r="E141" s="191"/>
      <c r="F141" s="191"/>
      <c r="G141" s="191"/>
      <c r="H141" s="191"/>
      <c r="I141" s="191"/>
      <c r="J141" s="191"/>
      <c r="K141" s="191"/>
      <c r="L141" s="191"/>
      <c r="M141" s="191"/>
      <c r="N141" s="191"/>
      <c r="O141" s="191"/>
      <c r="P141" s="191"/>
      <c r="Q141" s="191"/>
      <c r="R141" s="191"/>
      <c r="S141" s="191"/>
      <c r="T141" s="190"/>
      <c r="U141" s="62"/>
    </row>
    <row r="142" customFormat="false" ht="50.1" hidden="false" customHeight="true" outlineLevel="0" collapsed="false">
      <c r="B142" s="62"/>
      <c r="C142" s="190"/>
      <c r="D142" s="192" t="s">
        <v>53</v>
      </c>
      <c r="E142" s="193" t="s">
        <v>54</v>
      </c>
      <c r="F142" s="194" t="s">
        <v>84</v>
      </c>
      <c r="G142" s="195" t="s">
        <v>100</v>
      </c>
      <c r="H142" s="196" t="s">
        <v>101</v>
      </c>
      <c r="I142" s="196"/>
      <c r="J142" s="197" t="s">
        <v>102</v>
      </c>
      <c r="K142" s="198" t="s">
        <v>103</v>
      </c>
      <c r="L142" s="194" t="s">
        <v>104</v>
      </c>
      <c r="M142" s="198" t="s">
        <v>105</v>
      </c>
      <c r="N142" s="194" t="s">
        <v>106</v>
      </c>
      <c r="O142" s="199"/>
      <c r="P142" s="200"/>
      <c r="Q142" s="200"/>
      <c r="R142" s="200"/>
      <c r="S142" s="193" t="s">
        <v>107</v>
      </c>
      <c r="T142" s="190"/>
      <c r="U142" s="62"/>
    </row>
    <row r="143" customFormat="false" ht="20.1" hidden="false" customHeight="true" outlineLevel="0" collapsed="false">
      <c r="B143" s="62"/>
      <c r="C143" s="190"/>
      <c r="D143" s="425" t="s">
        <v>37</v>
      </c>
      <c r="E143" s="302" t="s">
        <v>38</v>
      </c>
      <c r="F143" s="258" t="n">
        <f aca="false">K143*6+L143*3+M143*1+N143*0</f>
        <v>14</v>
      </c>
      <c r="G143" s="259" t="n">
        <v>0</v>
      </c>
      <c r="H143" s="259" t="s">
        <v>67</v>
      </c>
      <c r="I143" s="259"/>
      <c r="J143" s="258" t="n">
        <f aca="false">F143+G143</f>
        <v>14</v>
      </c>
      <c r="K143" s="258" t="n">
        <v>2</v>
      </c>
      <c r="L143" s="258" t="n">
        <v>0</v>
      </c>
      <c r="M143" s="258" t="n">
        <v>2</v>
      </c>
      <c r="N143" s="258" t="n">
        <v>0</v>
      </c>
      <c r="O143" s="260"/>
      <c r="P143" s="259"/>
      <c r="Q143" s="259"/>
      <c r="R143" s="259"/>
      <c r="S143" s="261" t="n">
        <f aca="false">(L109++L118+L127+L136)/4</f>
        <v>83.5947778564923</v>
      </c>
      <c r="T143" s="190"/>
      <c r="U143" s="62"/>
    </row>
    <row r="144" customFormat="false" ht="20.1" hidden="false" customHeight="true" outlineLevel="0" collapsed="false">
      <c r="B144" s="62"/>
      <c r="C144" s="190"/>
      <c r="D144" s="444" t="s">
        <v>39</v>
      </c>
      <c r="E144" s="208" t="s">
        <v>40</v>
      </c>
      <c r="F144" s="426" t="n">
        <f aca="false">K144*6+L144*3+M144*1+N144*0</f>
        <v>11.5</v>
      </c>
      <c r="G144" s="263" t="n">
        <v>0</v>
      </c>
      <c r="H144" s="263" t="s">
        <v>67</v>
      </c>
      <c r="I144" s="263"/>
      <c r="J144" s="426" t="n">
        <f aca="false">F144+G144</f>
        <v>11.5</v>
      </c>
      <c r="K144" s="426" t="n">
        <v>0.5</v>
      </c>
      <c r="L144" s="426" t="n">
        <v>2.5</v>
      </c>
      <c r="M144" s="262" t="n">
        <v>1</v>
      </c>
      <c r="N144" s="262" t="n">
        <v>0</v>
      </c>
      <c r="O144" s="264"/>
      <c r="P144" s="263"/>
      <c r="Q144" s="263"/>
      <c r="R144" s="263"/>
      <c r="S144" s="265" t="n">
        <f aca="false">(L107+L116+L125+L134)/4</f>
        <v>85.2245613763714</v>
      </c>
      <c r="T144" s="190"/>
      <c r="U144" s="62"/>
      <c r="Y144" s="266"/>
      <c r="Z144" s="266"/>
      <c r="AA144" s="267"/>
      <c r="AB144" s="267"/>
      <c r="AC144" s="268"/>
      <c r="AD144" s="268"/>
      <c r="AE144" s="268"/>
    </row>
    <row r="145" customFormat="false" ht="20.1" hidden="false" customHeight="true" outlineLevel="0" collapsed="false">
      <c r="B145" s="62"/>
      <c r="C145" s="190"/>
      <c r="D145" s="444" t="s">
        <v>22</v>
      </c>
      <c r="E145" s="208" t="s">
        <v>23</v>
      </c>
      <c r="F145" s="262" t="n">
        <f aca="false">K145*6+L145*3+M145*1+N145*0</f>
        <v>9</v>
      </c>
      <c r="G145" s="263" t="n">
        <v>0</v>
      </c>
      <c r="H145" s="263" t="s">
        <v>67</v>
      </c>
      <c r="I145" s="263"/>
      <c r="J145" s="262" t="n">
        <f aca="false">F145+G145</f>
        <v>9</v>
      </c>
      <c r="K145" s="262" t="n">
        <v>1</v>
      </c>
      <c r="L145" s="262" t="n">
        <v>1</v>
      </c>
      <c r="M145" s="262" t="n">
        <v>0</v>
      </c>
      <c r="N145" s="262" t="n">
        <v>2</v>
      </c>
      <c r="O145" s="264"/>
      <c r="P145" s="263"/>
      <c r="Q145" s="263"/>
      <c r="R145" s="263"/>
      <c r="S145" s="265" t="n">
        <f aca="false">(L110+L119+L128+L137)/4</f>
        <v>63.8928352237856</v>
      </c>
      <c r="T145" s="190"/>
      <c r="U145" s="62"/>
    </row>
    <row r="146" customFormat="false" ht="20.1" hidden="false" customHeight="true" outlineLevel="0" collapsed="false">
      <c r="B146" s="62"/>
      <c r="C146" s="190"/>
      <c r="D146" s="427" t="s">
        <v>31</v>
      </c>
      <c r="E146" s="215" t="s">
        <v>32</v>
      </c>
      <c r="F146" s="428" t="n">
        <f aca="false">K146*6+L146*3+M146*1+N146*0</f>
        <v>5.5</v>
      </c>
      <c r="G146" s="272" t="n">
        <v>0</v>
      </c>
      <c r="H146" s="272" t="s">
        <v>67</v>
      </c>
      <c r="I146" s="272"/>
      <c r="J146" s="428" t="n">
        <f aca="false">F146+G146</f>
        <v>5.5</v>
      </c>
      <c r="K146" s="428" t="n">
        <v>0.5</v>
      </c>
      <c r="L146" s="428" t="n">
        <v>0.5</v>
      </c>
      <c r="M146" s="271" t="n">
        <v>1</v>
      </c>
      <c r="N146" s="271" t="n">
        <v>2</v>
      </c>
      <c r="O146" s="273"/>
      <c r="P146" s="272"/>
      <c r="Q146" s="272"/>
      <c r="R146" s="272"/>
      <c r="S146" s="274" t="n">
        <f aca="false">(L108+L117+L126+L135)/4</f>
        <v>60.5110153793799</v>
      </c>
      <c r="T146" s="190"/>
      <c r="U146" s="62"/>
    </row>
    <row r="147" customFormat="false" ht="20.1" hidden="false" customHeight="true" outlineLevel="0" collapsed="false">
      <c r="B147" s="62"/>
      <c r="C147" s="190"/>
      <c r="D147" s="422"/>
      <c r="E147" s="422"/>
      <c r="F147" s="429"/>
      <c r="G147" s="377"/>
      <c r="H147" s="430"/>
      <c r="I147" s="430"/>
      <c r="J147" s="429"/>
      <c r="K147" s="429"/>
      <c r="L147" s="429"/>
      <c r="M147" s="429"/>
      <c r="N147" s="429"/>
      <c r="O147" s="376"/>
      <c r="P147" s="377"/>
      <c r="Q147" s="377"/>
      <c r="R147" s="377"/>
      <c r="S147" s="408"/>
      <c r="T147" s="190"/>
      <c r="U147" s="62"/>
    </row>
    <row r="148" customFormat="false" ht="20.1" hidden="false" customHeight="true" outlineLevel="0" collapsed="false">
      <c r="B148" s="62"/>
      <c r="C148" s="62"/>
      <c r="D148" s="219"/>
      <c r="E148" s="219"/>
      <c r="F148" s="167"/>
      <c r="G148" s="167"/>
      <c r="H148" s="219"/>
      <c r="I148" s="219"/>
      <c r="J148" s="219"/>
      <c r="K148" s="62"/>
      <c r="L148" s="62"/>
      <c r="M148" s="62"/>
      <c r="N148" s="62"/>
      <c r="O148" s="62"/>
      <c r="P148" s="62"/>
      <c r="Q148" s="62"/>
      <c r="R148" s="62"/>
      <c r="S148" s="62"/>
      <c r="T148" s="62"/>
      <c r="U148" s="62"/>
    </row>
    <row r="149" customFormat="false" ht="20.1" hidden="false" customHeight="true" outlineLevel="0" collapsed="false"/>
    <row r="150" customFormat="false" ht="20.1" hidden="false" customHeight="true" outlineLevel="0" collapsed="false"/>
    <row r="151" customFormat="false" ht="20.1" hidden="false" customHeight="true" outlineLevel="0" collapsed="false">
      <c r="B151" s="62"/>
      <c r="C151" s="62"/>
      <c r="D151" s="63"/>
      <c r="E151" s="63"/>
      <c r="F151" s="63"/>
      <c r="G151" s="63"/>
      <c r="H151" s="62"/>
      <c r="I151" s="62"/>
      <c r="J151" s="62"/>
      <c r="K151" s="62"/>
      <c r="L151" s="62"/>
      <c r="M151" s="62"/>
      <c r="N151" s="62"/>
      <c r="O151" s="62"/>
      <c r="P151" s="62"/>
      <c r="Q151" s="62"/>
      <c r="R151" s="62"/>
      <c r="S151" s="62"/>
      <c r="T151" s="62"/>
      <c r="U151" s="62"/>
    </row>
    <row r="152" customFormat="false" ht="30" hidden="false" customHeight="true" outlineLevel="0" collapsed="false">
      <c r="B152" s="62"/>
      <c r="C152" s="64" t="s">
        <v>136</v>
      </c>
      <c r="D152" s="64"/>
      <c r="E152" s="64"/>
      <c r="F152" s="64"/>
      <c r="G152" s="64"/>
      <c r="H152" s="64"/>
      <c r="I152" s="64"/>
      <c r="J152" s="64"/>
      <c r="K152" s="64"/>
      <c r="L152" s="64"/>
      <c r="M152" s="64"/>
      <c r="N152" s="64"/>
      <c r="O152" s="64"/>
      <c r="P152" s="64"/>
      <c r="Q152" s="64"/>
      <c r="R152" s="64"/>
      <c r="S152" s="64"/>
      <c r="T152" s="64"/>
      <c r="U152" s="62"/>
    </row>
    <row r="153" customFormat="false" ht="20.1" hidden="false" customHeight="true" outlineLevel="0" collapsed="false">
      <c r="B153" s="62"/>
      <c r="U153" s="62"/>
    </row>
    <row r="154" customFormat="false" ht="20.1" hidden="false" customHeight="true" outlineLevel="0" collapsed="false">
      <c r="B154" s="62"/>
      <c r="D154" s="65" t="s">
        <v>53</v>
      </c>
      <c r="E154" s="66" t="s">
        <v>54</v>
      </c>
      <c r="F154" s="67" t="s">
        <v>11</v>
      </c>
      <c r="G154" s="223" t="s">
        <v>55</v>
      </c>
      <c r="H154" s="223"/>
      <c r="I154" s="223"/>
      <c r="J154" s="223"/>
      <c r="K154" s="66" t="s">
        <v>56</v>
      </c>
      <c r="L154" s="68" t="s">
        <v>57</v>
      </c>
      <c r="M154" s="68"/>
      <c r="N154" s="68"/>
      <c r="O154" s="68"/>
      <c r="P154" s="68"/>
      <c r="Q154" s="68"/>
      <c r="R154" s="68"/>
      <c r="S154" s="68"/>
      <c r="U154" s="62"/>
    </row>
    <row r="155" customFormat="false" ht="20.1" hidden="false" customHeight="true" outlineLevel="0" collapsed="false">
      <c r="B155" s="62"/>
      <c r="D155" s="65"/>
      <c r="E155" s="66"/>
      <c r="F155" s="66"/>
      <c r="G155" s="70" t="s">
        <v>58</v>
      </c>
      <c r="H155" s="69" t="s">
        <v>59</v>
      </c>
      <c r="I155" s="67" t="s">
        <v>60</v>
      </c>
      <c r="J155" s="67"/>
      <c r="K155" s="69" t="s">
        <v>61</v>
      </c>
      <c r="L155" s="224" t="s">
        <v>58</v>
      </c>
      <c r="M155" s="225" t="s">
        <v>62</v>
      </c>
      <c r="N155" s="67" t="s">
        <v>60</v>
      </c>
      <c r="O155" s="67"/>
      <c r="P155" s="67"/>
      <c r="Q155" s="67"/>
      <c r="R155" s="67"/>
      <c r="S155" s="67"/>
      <c r="U155" s="62"/>
    </row>
    <row r="156" customFormat="false" ht="15" hidden="false" customHeight="true" outlineLevel="0" collapsed="false">
      <c r="B156" s="62"/>
      <c r="D156" s="318" t="s">
        <v>29</v>
      </c>
      <c r="E156" s="18" t="s">
        <v>30</v>
      </c>
      <c r="F156" s="23" t="n">
        <v>1</v>
      </c>
      <c r="G156" s="72" t="s">
        <v>63</v>
      </c>
      <c r="H156" s="74" t="s">
        <v>572</v>
      </c>
      <c r="I156" s="321" t="s">
        <v>573</v>
      </c>
      <c r="J156" s="321"/>
      <c r="K156" s="655" t="s">
        <v>143</v>
      </c>
      <c r="L156" s="352" t="s">
        <v>67</v>
      </c>
      <c r="M156" s="324" t="s">
        <v>67</v>
      </c>
      <c r="N156" s="78" t="s">
        <v>67</v>
      </c>
      <c r="O156" s="78"/>
      <c r="P156" s="78"/>
      <c r="Q156" s="78"/>
      <c r="R156" s="78"/>
      <c r="S156" s="78"/>
      <c r="U156" s="62"/>
    </row>
    <row r="157" customFormat="false" ht="15" hidden="false" customHeight="true" outlineLevel="0" collapsed="false">
      <c r="B157" s="62"/>
      <c r="D157" s="318"/>
      <c r="E157" s="18"/>
      <c r="F157" s="23"/>
      <c r="G157" s="72"/>
      <c r="H157" s="74"/>
      <c r="I157" s="325" t="s">
        <v>432</v>
      </c>
      <c r="J157" s="325"/>
      <c r="K157" s="655"/>
      <c r="L157" s="352"/>
      <c r="M157" s="324"/>
      <c r="N157" s="78"/>
      <c r="O157" s="78"/>
      <c r="P157" s="78"/>
      <c r="Q157" s="78"/>
      <c r="R157" s="78"/>
      <c r="S157" s="78"/>
      <c r="U157" s="62"/>
    </row>
    <row r="158" customFormat="false" ht="15" hidden="false" customHeight="true" outlineLevel="0" collapsed="false">
      <c r="B158" s="62"/>
      <c r="D158" s="318"/>
      <c r="E158" s="18"/>
      <c r="F158" s="23"/>
      <c r="G158" s="72"/>
      <c r="H158" s="74"/>
      <c r="I158" s="325" t="s">
        <v>433</v>
      </c>
      <c r="J158" s="325"/>
      <c r="K158" s="655"/>
      <c r="L158" s="352"/>
      <c r="M158" s="324"/>
      <c r="N158" s="78"/>
      <c r="O158" s="78"/>
      <c r="P158" s="78"/>
      <c r="Q158" s="78"/>
      <c r="R158" s="78"/>
      <c r="S158" s="78"/>
      <c r="U158" s="62"/>
    </row>
    <row r="159" customFormat="false" ht="15" hidden="false" customHeight="true" outlineLevel="0" collapsed="false">
      <c r="B159" s="62"/>
      <c r="D159" s="333" t="s">
        <v>43</v>
      </c>
      <c r="E159" s="33" t="s">
        <v>44</v>
      </c>
      <c r="F159" s="31" t="n">
        <v>2</v>
      </c>
      <c r="G159" s="80" t="s">
        <v>63</v>
      </c>
      <c r="H159" s="82" t="s">
        <v>389</v>
      </c>
      <c r="I159" s="328" t="s">
        <v>390</v>
      </c>
      <c r="J159" s="328"/>
      <c r="K159" s="656" t="s">
        <v>143</v>
      </c>
      <c r="L159" s="354" t="s">
        <v>67</v>
      </c>
      <c r="M159" s="331" t="s">
        <v>67</v>
      </c>
      <c r="N159" s="86" t="s">
        <v>67</v>
      </c>
      <c r="O159" s="86"/>
      <c r="P159" s="86"/>
      <c r="Q159" s="86"/>
      <c r="R159" s="86"/>
      <c r="S159" s="86"/>
      <c r="U159" s="62"/>
    </row>
    <row r="160" customFormat="false" ht="15" hidden="false" customHeight="true" outlineLevel="0" collapsed="false">
      <c r="B160" s="62"/>
      <c r="D160" s="333"/>
      <c r="E160" s="33"/>
      <c r="F160" s="31"/>
      <c r="G160" s="80"/>
      <c r="H160" s="82"/>
      <c r="I160" s="332" t="s">
        <v>391</v>
      </c>
      <c r="J160" s="332"/>
      <c r="K160" s="656"/>
      <c r="L160" s="354"/>
      <c r="M160" s="331"/>
      <c r="N160" s="86"/>
      <c r="O160" s="86"/>
      <c r="P160" s="86"/>
      <c r="Q160" s="86"/>
      <c r="R160" s="86"/>
      <c r="S160" s="86"/>
      <c r="U160" s="62"/>
    </row>
    <row r="161" customFormat="false" ht="15" hidden="false" customHeight="true" outlineLevel="0" collapsed="false">
      <c r="B161" s="62"/>
      <c r="D161" s="333"/>
      <c r="E161" s="33"/>
      <c r="F161" s="31"/>
      <c r="G161" s="80"/>
      <c r="H161" s="82"/>
      <c r="I161" s="332" t="s">
        <v>392</v>
      </c>
      <c r="J161" s="332"/>
      <c r="K161" s="656"/>
      <c r="L161" s="354"/>
      <c r="M161" s="331"/>
      <c r="N161" s="86"/>
      <c r="O161" s="86"/>
      <c r="P161" s="86"/>
      <c r="Q161" s="86"/>
      <c r="R161" s="86"/>
      <c r="S161" s="86"/>
      <c r="U161" s="62"/>
    </row>
    <row r="162" customFormat="false" ht="15" hidden="false" customHeight="true" outlineLevel="0" collapsed="false">
      <c r="B162" s="62"/>
      <c r="D162" s="333"/>
      <c r="E162" s="33"/>
      <c r="F162" s="31"/>
      <c r="G162" s="80"/>
      <c r="H162" s="82"/>
      <c r="I162" s="332" t="s">
        <v>393</v>
      </c>
      <c r="J162" s="332"/>
      <c r="K162" s="656"/>
      <c r="L162" s="354"/>
      <c r="M162" s="331"/>
      <c r="N162" s="86"/>
      <c r="O162" s="86"/>
      <c r="P162" s="86"/>
      <c r="Q162" s="86"/>
      <c r="R162" s="86"/>
      <c r="S162" s="86"/>
      <c r="U162" s="62"/>
    </row>
    <row r="163" customFormat="false" ht="15" hidden="false" customHeight="true" outlineLevel="0" collapsed="false">
      <c r="B163" s="62"/>
      <c r="D163" s="333"/>
      <c r="E163" s="33"/>
      <c r="F163" s="31"/>
      <c r="G163" s="80"/>
      <c r="H163" s="82"/>
      <c r="I163" s="332" t="s">
        <v>574</v>
      </c>
      <c r="J163" s="332"/>
      <c r="K163" s="656"/>
      <c r="L163" s="354"/>
      <c r="M163" s="331"/>
      <c r="N163" s="86"/>
      <c r="O163" s="86"/>
      <c r="P163" s="86"/>
      <c r="Q163" s="86"/>
      <c r="R163" s="86"/>
      <c r="S163" s="86"/>
      <c r="U163" s="62"/>
    </row>
    <row r="164" customFormat="false" ht="15" hidden="false" customHeight="true" outlineLevel="0" collapsed="false">
      <c r="B164" s="62"/>
      <c r="D164" s="326" t="s">
        <v>12</v>
      </c>
      <c r="E164" s="32" t="s">
        <v>13</v>
      </c>
      <c r="F164" s="31" t="n">
        <v>3</v>
      </c>
      <c r="G164" s="232" t="s">
        <v>63</v>
      </c>
      <c r="H164" s="355" t="s">
        <v>541</v>
      </c>
      <c r="I164" s="335" t="s">
        <v>542</v>
      </c>
      <c r="J164" s="335"/>
      <c r="K164" s="464" t="s">
        <v>111</v>
      </c>
      <c r="L164" s="354" t="s">
        <v>67</v>
      </c>
      <c r="M164" s="331" t="s">
        <v>67</v>
      </c>
      <c r="N164" s="439" t="s">
        <v>67</v>
      </c>
      <c r="O164" s="439"/>
      <c r="P164" s="439"/>
      <c r="Q164" s="439"/>
      <c r="R164" s="439"/>
      <c r="S164" s="439"/>
      <c r="U164" s="62"/>
    </row>
    <row r="165" customFormat="false" ht="27.95" hidden="false" customHeight="true" outlineLevel="0" collapsed="false">
      <c r="B165" s="62"/>
      <c r="D165" s="326"/>
      <c r="E165" s="32"/>
      <c r="F165" s="31"/>
      <c r="G165" s="232"/>
      <c r="H165" s="355"/>
      <c r="I165" s="338" t="s">
        <v>544</v>
      </c>
      <c r="J165" s="338"/>
      <c r="K165" s="464"/>
      <c r="L165" s="354"/>
      <c r="M165" s="331"/>
      <c r="N165" s="439"/>
      <c r="O165" s="439"/>
      <c r="P165" s="439"/>
      <c r="Q165" s="439"/>
      <c r="R165" s="439"/>
      <c r="S165" s="439"/>
      <c r="U165" s="62"/>
    </row>
    <row r="166" customFormat="false" ht="15" hidden="false" customHeight="true" outlineLevel="0" collapsed="false">
      <c r="B166" s="62"/>
      <c r="D166" s="326"/>
      <c r="E166" s="32"/>
      <c r="F166" s="31"/>
      <c r="G166" s="232"/>
      <c r="H166" s="355"/>
      <c r="I166" s="357" t="s">
        <v>575</v>
      </c>
      <c r="J166" s="357"/>
      <c r="K166" s="464"/>
      <c r="L166" s="354"/>
      <c r="M166" s="331"/>
      <c r="N166" s="439"/>
      <c r="O166" s="439"/>
      <c r="P166" s="439"/>
      <c r="Q166" s="439"/>
      <c r="R166" s="439"/>
      <c r="S166" s="439"/>
      <c r="U166" s="62"/>
    </row>
    <row r="167" customFormat="false" ht="15" hidden="false" customHeight="true" outlineLevel="0" collapsed="false">
      <c r="B167" s="62"/>
      <c r="D167" s="349" t="s">
        <v>33</v>
      </c>
      <c r="E167" s="44" t="s">
        <v>34</v>
      </c>
      <c r="F167" s="50" t="n">
        <v>4</v>
      </c>
      <c r="G167" s="358" t="s">
        <v>63</v>
      </c>
      <c r="H167" s="440" t="s">
        <v>143</v>
      </c>
      <c r="I167" s="286" t="s">
        <v>67</v>
      </c>
      <c r="J167" s="286"/>
      <c r="K167" s="441" t="s">
        <v>111</v>
      </c>
      <c r="L167" s="358" t="s">
        <v>63</v>
      </c>
      <c r="M167" s="657" t="s">
        <v>217</v>
      </c>
      <c r="N167" s="658" t="s">
        <v>218</v>
      </c>
      <c r="O167" s="658"/>
      <c r="P167" s="658"/>
      <c r="Q167" s="658"/>
      <c r="R167" s="658"/>
      <c r="S167" s="658"/>
      <c r="U167" s="62"/>
    </row>
    <row r="168" customFormat="false" ht="45" hidden="false" customHeight="true" outlineLevel="0" collapsed="false">
      <c r="B168" s="62"/>
      <c r="D168" s="349"/>
      <c r="E168" s="44"/>
      <c r="F168" s="50"/>
      <c r="G168" s="358"/>
      <c r="H168" s="440"/>
      <c r="I168" s="286"/>
      <c r="J168" s="286"/>
      <c r="K168" s="441"/>
      <c r="L168" s="358"/>
      <c r="M168" s="657"/>
      <c r="N168" s="348" t="s">
        <v>576</v>
      </c>
      <c r="O168" s="348"/>
      <c r="P168" s="348"/>
      <c r="Q168" s="348"/>
      <c r="R168" s="348"/>
      <c r="S168" s="348"/>
      <c r="U168" s="62"/>
    </row>
    <row r="169" customFormat="false" ht="20.1" hidden="false" customHeight="true" outlineLevel="0" collapsed="false">
      <c r="B169" s="62"/>
      <c r="U169" s="62"/>
    </row>
    <row r="170" customFormat="false" ht="20.1" hidden="false" customHeight="true" outlineLevel="0" collapsed="false">
      <c r="B170" s="62"/>
      <c r="C170" s="101"/>
      <c r="D170" s="101"/>
      <c r="E170" s="102" t="str">
        <f aca="false">IF(OR(L156="-",L156= ""),H156,L156)</f>
        <v>CATAN - Das Spiel</v>
      </c>
      <c r="F170" s="102"/>
      <c r="G170" s="102"/>
      <c r="H170" s="102"/>
      <c r="I170" s="102"/>
      <c r="J170" s="102"/>
      <c r="K170" s="102"/>
      <c r="L170" s="102"/>
      <c r="M170" s="102"/>
      <c r="N170" s="102"/>
      <c r="O170" s="103"/>
      <c r="P170" s="103"/>
      <c r="Q170" s="103"/>
      <c r="R170" s="103"/>
      <c r="S170" s="103"/>
      <c r="T170" s="101"/>
      <c r="U170" s="62"/>
    </row>
    <row r="171" customFormat="false" ht="50.1" hidden="false" customHeight="true" outlineLevel="0" collapsed="false">
      <c r="B171" s="62"/>
      <c r="C171" s="101"/>
      <c r="D171" s="103"/>
      <c r="E171" s="65" t="s">
        <v>53</v>
      </c>
      <c r="F171" s="104" t="s">
        <v>76</v>
      </c>
      <c r="G171" s="67" t="s">
        <v>77</v>
      </c>
      <c r="H171" s="66" t="s">
        <v>78</v>
      </c>
      <c r="I171" s="54" t="s">
        <v>79</v>
      </c>
      <c r="J171" s="66" t="s">
        <v>80</v>
      </c>
      <c r="K171" s="105" t="s">
        <v>81</v>
      </c>
      <c r="L171" s="66" t="s">
        <v>82</v>
      </c>
      <c r="M171" s="106" t="s">
        <v>83</v>
      </c>
      <c r="N171" s="67" t="s">
        <v>84</v>
      </c>
      <c r="O171" s="107" t="s">
        <v>85</v>
      </c>
      <c r="P171" s="108" t="s">
        <v>86</v>
      </c>
      <c r="Q171" s="108" t="s">
        <v>87</v>
      </c>
      <c r="R171" s="13" t="s">
        <v>88</v>
      </c>
      <c r="S171" s="103"/>
      <c r="T171" s="101"/>
      <c r="U171" s="62"/>
    </row>
    <row r="172" customFormat="false" ht="20.1" hidden="false" customHeight="true" outlineLevel="0" collapsed="false">
      <c r="B172" s="62"/>
      <c r="C172" s="101"/>
      <c r="D172" s="124"/>
      <c r="E172" s="403" t="s">
        <v>29</v>
      </c>
      <c r="F172" s="110" t="s">
        <v>30</v>
      </c>
      <c r="G172" s="111" t="n">
        <v>3</v>
      </c>
      <c r="H172" s="111" t="s">
        <v>67</v>
      </c>
      <c r="I172" s="111" t="n">
        <v>0</v>
      </c>
      <c r="J172" s="112" t="n">
        <v>10</v>
      </c>
      <c r="K172" s="111" t="s">
        <v>67</v>
      </c>
      <c r="L172" s="113" t="n">
        <f aca="false">IF(J172="",0,(J172/J176)*100)</f>
        <v>100</v>
      </c>
      <c r="M172" s="111" t="n">
        <v>1</v>
      </c>
      <c r="N172" s="114" t="n">
        <v>6</v>
      </c>
      <c r="O172" s="115" t="n">
        <f aca="false">IF(M172=1,1,0)</f>
        <v>1</v>
      </c>
      <c r="P172" s="116" t="n">
        <f aca="false">IF(M172=2,1,0)</f>
        <v>0</v>
      </c>
      <c r="Q172" s="116" t="n">
        <f aca="false">IF(M172=3,1,0)</f>
        <v>0</v>
      </c>
      <c r="R172" s="117" t="n">
        <f aca="false">IF(M172=4,1,0)</f>
        <v>0</v>
      </c>
      <c r="S172" s="118"/>
      <c r="T172" s="101"/>
      <c r="U172" s="62"/>
    </row>
    <row r="173" customFormat="false" ht="20.1" hidden="false" customHeight="true" outlineLevel="0" collapsed="false">
      <c r="B173" s="62"/>
      <c r="C173" s="101"/>
      <c r="D173" s="101"/>
      <c r="E173" s="79" t="s">
        <v>43</v>
      </c>
      <c r="F173" s="33" t="s">
        <v>44</v>
      </c>
      <c r="G173" s="241" t="n">
        <v>4</v>
      </c>
      <c r="H173" s="241" t="s">
        <v>67</v>
      </c>
      <c r="I173" s="241" t="n">
        <v>0</v>
      </c>
      <c r="J173" s="242" t="n">
        <v>5</v>
      </c>
      <c r="K173" s="242" t="s">
        <v>67</v>
      </c>
      <c r="L173" s="243" t="n">
        <f aca="false">IF(J173="",0,(J173/J176)*100)</f>
        <v>50</v>
      </c>
      <c r="M173" s="241" t="n">
        <v>2</v>
      </c>
      <c r="N173" s="244" t="n">
        <v>2</v>
      </c>
      <c r="O173" s="121" t="n">
        <f aca="false">IF(M173=1,1,0)</f>
        <v>0</v>
      </c>
      <c r="P173" s="122" t="n">
        <f aca="false">IF(M173=2,1,0)</f>
        <v>1</v>
      </c>
      <c r="Q173" s="122" t="n">
        <f aca="false">IF(M173=3,1,0)</f>
        <v>0</v>
      </c>
      <c r="R173" s="123" t="n">
        <f aca="false">IF(M173=4,1,0)</f>
        <v>0</v>
      </c>
      <c r="S173" s="118"/>
      <c r="T173" s="101"/>
      <c r="U173" s="62"/>
    </row>
    <row r="174" customFormat="false" ht="20.1" hidden="false" customHeight="true" outlineLevel="0" collapsed="false">
      <c r="B174" s="62"/>
      <c r="C174" s="101"/>
      <c r="D174" s="101"/>
      <c r="E174" s="326" t="s">
        <v>12</v>
      </c>
      <c r="F174" s="33" t="s">
        <v>13</v>
      </c>
      <c r="G174" s="241" t="n">
        <v>2</v>
      </c>
      <c r="H174" s="241" t="s">
        <v>67</v>
      </c>
      <c r="I174" s="241" t="n">
        <v>0</v>
      </c>
      <c r="J174" s="242" t="n">
        <v>5</v>
      </c>
      <c r="K174" s="242" t="s">
        <v>67</v>
      </c>
      <c r="L174" s="243" t="n">
        <f aca="false">IF(J174="",0,(J174/J176)*100)</f>
        <v>50</v>
      </c>
      <c r="M174" s="241" t="n">
        <v>2</v>
      </c>
      <c r="N174" s="244" t="n">
        <v>2</v>
      </c>
      <c r="O174" s="121" t="n">
        <f aca="false">IF(M174=1,1,0)</f>
        <v>0</v>
      </c>
      <c r="P174" s="122" t="n">
        <f aca="false">IF(M174=2,1,0)</f>
        <v>1</v>
      </c>
      <c r="Q174" s="122" t="n">
        <f aca="false">IF(M174=3,1,0)</f>
        <v>0</v>
      </c>
      <c r="R174" s="123" t="n">
        <f aca="false">IF(M174=4,1,0)</f>
        <v>0</v>
      </c>
      <c r="S174" s="118"/>
      <c r="T174" s="101"/>
      <c r="U174" s="62"/>
    </row>
    <row r="175" customFormat="false" ht="20.1" hidden="false" customHeight="true" outlineLevel="0" collapsed="false">
      <c r="B175" s="62"/>
      <c r="C175" s="101"/>
      <c r="D175" s="101"/>
      <c r="E175" s="349" t="s">
        <v>33</v>
      </c>
      <c r="F175" s="44" t="s">
        <v>34</v>
      </c>
      <c r="G175" s="245" t="n">
        <v>1</v>
      </c>
      <c r="H175" s="246" t="s">
        <v>67</v>
      </c>
      <c r="I175" s="245" t="n">
        <v>0</v>
      </c>
      <c r="J175" s="246" t="n">
        <v>4</v>
      </c>
      <c r="K175" s="246" t="s">
        <v>67</v>
      </c>
      <c r="L175" s="247" t="n">
        <f aca="false">IF(J175="",0,(J175/J176)*100)</f>
        <v>40</v>
      </c>
      <c r="M175" s="245" t="n">
        <v>4</v>
      </c>
      <c r="N175" s="248" t="n">
        <v>0</v>
      </c>
      <c r="O175" s="127" t="n">
        <f aca="false">IF(M175=1,1,0)</f>
        <v>0</v>
      </c>
      <c r="P175" s="128" t="n">
        <f aca="false">IF(M175=2,1,0)</f>
        <v>0</v>
      </c>
      <c r="Q175" s="128" t="n">
        <f aca="false">IF(M175=3,1,0)</f>
        <v>0</v>
      </c>
      <c r="R175" s="129" t="n">
        <f aca="false">IF(M175=4,1,0)</f>
        <v>1</v>
      </c>
      <c r="S175" s="118"/>
      <c r="T175" s="101"/>
      <c r="U175" s="62"/>
    </row>
    <row r="176" customFormat="false" ht="20.1" hidden="true" customHeight="true" outlineLevel="1" collapsed="false">
      <c r="B176" s="62"/>
      <c r="C176" s="101"/>
      <c r="D176" s="124"/>
      <c r="E176" s="124"/>
      <c r="F176" s="131"/>
      <c r="G176" s="131"/>
      <c r="H176" s="101"/>
      <c r="I176" s="179" t="s">
        <v>89</v>
      </c>
      <c r="J176" s="133" t="n">
        <f aca="false">MAX(J172:J175)</f>
        <v>10</v>
      </c>
      <c r="K176" s="249"/>
      <c r="L176" s="139"/>
      <c r="M176" s="101"/>
      <c r="N176" s="136" t="s">
        <v>90</v>
      </c>
      <c r="O176" s="137" t="n">
        <f aca="false">SUM(O172:O175)</f>
        <v>1</v>
      </c>
      <c r="P176" s="138" t="n">
        <f aca="false">SUM(P172:P175)</f>
        <v>2</v>
      </c>
      <c r="Q176" s="137" t="n">
        <f aca="false">SUM(Q172:Q175)</f>
        <v>0</v>
      </c>
      <c r="R176" s="160" t="n">
        <f aca="false">SUM(R172:R175)</f>
        <v>1</v>
      </c>
      <c r="S176" s="139"/>
      <c r="T176" s="101"/>
      <c r="U176" s="62"/>
    </row>
    <row r="177" customFormat="false" ht="20.1" hidden="false" customHeight="true" outlineLevel="0" collapsed="false">
      <c r="B177" s="62"/>
      <c r="C177" s="101"/>
      <c r="D177" s="101"/>
      <c r="E177" s="101"/>
      <c r="F177" s="101"/>
      <c r="G177" s="101"/>
      <c r="H177" s="101"/>
      <c r="I177" s="101"/>
      <c r="J177" s="101"/>
      <c r="K177" s="101"/>
      <c r="L177" s="101"/>
      <c r="M177" s="101"/>
      <c r="N177" s="101"/>
      <c r="O177" s="101"/>
      <c r="P177" s="101"/>
      <c r="Q177" s="101"/>
      <c r="R177" s="101"/>
      <c r="S177" s="101"/>
      <c r="T177" s="101"/>
      <c r="U177" s="62"/>
    </row>
    <row r="178" customFormat="false" ht="20.1" hidden="false" customHeight="true" outlineLevel="0" collapsed="false">
      <c r="B178" s="62"/>
      <c r="U178" s="62"/>
    </row>
    <row r="179" customFormat="false" ht="20.1" hidden="false" customHeight="true" outlineLevel="0" collapsed="false">
      <c r="B179" s="62"/>
      <c r="C179" s="141"/>
      <c r="D179" s="141"/>
      <c r="E179" s="142" t="str">
        <f aca="false">IF(OR(L159="-",L159= ""),H159,L159)</f>
        <v>Great Western Trail</v>
      </c>
      <c r="F179" s="142"/>
      <c r="G179" s="142"/>
      <c r="H179" s="142"/>
      <c r="I179" s="142"/>
      <c r="J179" s="142"/>
      <c r="K179" s="142"/>
      <c r="L179" s="142"/>
      <c r="M179" s="142"/>
      <c r="N179" s="142"/>
      <c r="O179" s="143"/>
      <c r="P179" s="143"/>
      <c r="Q179" s="143"/>
      <c r="R179" s="143"/>
      <c r="S179" s="143"/>
      <c r="T179" s="141"/>
      <c r="U179" s="62"/>
    </row>
    <row r="180" customFormat="false" ht="50.1" hidden="false" customHeight="true" outlineLevel="0" collapsed="false">
      <c r="B180" s="62"/>
      <c r="C180" s="141"/>
      <c r="D180" s="143"/>
      <c r="E180" s="65" t="s">
        <v>53</v>
      </c>
      <c r="F180" s="104" t="s">
        <v>76</v>
      </c>
      <c r="G180" s="67" t="s">
        <v>77</v>
      </c>
      <c r="H180" s="66" t="s">
        <v>78</v>
      </c>
      <c r="I180" s="54" t="s">
        <v>79</v>
      </c>
      <c r="J180" s="66" t="s">
        <v>80</v>
      </c>
      <c r="K180" s="105" t="s">
        <v>81</v>
      </c>
      <c r="L180" s="66" t="s">
        <v>82</v>
      </c>
      <c r="M180" s="106" t="s">
        <v>83</v>
      </c>
      <c r="N180" s="67" t="s">
        <v>84</v>
      </c>
      <c r="O180" s="107" t="s">
        <v>85</v>
      </c>
      <c r="P180" s="108" t="s">
        <v>86</v>
      </c>
      <c r="Q180" s="108" t="s">
        <v>87</v>
      </c>
      <c r="R180" s="13" t="s">
        <v>88</v>
      </c>
      <c r="S180" s="143"/>
      <c r="T180" s="141"/>
      <c r="U180" s="62"/>
    </row>
    <row r="181" customFormat="false" ht="20.1" hidden="false" customHeight="true" outlineLevel="0" collapsed="false">
      <c r="B181" s="62"/>
      <c r="C181" s="141"/>
      <c r="D181" s="148"/>
      <c r="E181" s="318" t="s">
        <v>29</v>
      </c>
      <c r="F181" s="16" t="s">
        <v>30</v>
      </c>
      <c r="G181" s="250" t="n">
        <v>3</v>
      </c>
      <c r="H181" s="250" t="s">
        <v>67</v>
      </c>
      <c r="I181" s="250" t="n">
        <v>0</v>
      </c>
      <c r="J181" s="251" t="n">
        <v>49</v>
      </c>
      <c r="K181" s="250" t="s">
        <v>67</v>
      </c>
      <c r="L181" s="253" t="n">
        <f aca="false">IF(J181="",0,(J181/J185)*100)</f>
        <v>44.1441441441441</v>
      </c>
      <c r="M181" s="250" t="n">
        <v>4</v>
      </c>
      <c r="N181" s="254" t="n">
        <v>0</v>
      </c>
      <c r="O181" s="115" t="n">
        <f aca="false">IF(M181=1,1,0)</f>
        <v>0</v>
      </c>
      <c r="P181" s="116" t="n">
        <f aca="false">IF(M181=2,1,0)</f>
        <v>0</v>
      </c>
      <c r="Q181" s="116" t="n">
        <f aca="false">IF(M181=3,1,0)</f>
        <v>0</v>
      </c>
      <c r="R181" s="117" t="n">
        <f aca="false">IF(M181=4,1,0)</f>
        <v>1</v>
      </c>
      <c r="S181" s="147"/>
      <c r="T181" s="141"/>
      <c r="U181" s="62"/>
    </row>
    <row r="182" customFormat="false" ht="20.1" hidden="false" customHeight="true" outlineLevel="0" collapsed="false">
      <c r="B182" s="62"/>
      <c r="C182" s="141"/>
      <c r="D182" s="141"/>
      <c r="E182" s="149" t="s">
        <v>43</v>
      </c>
      <c r="F182" s="175" t="s">
        <v>44</v>
      </c>
      <c r="G182" s="151" t="n">
        <v>4</v>
      </c>
      <c r="H182" s="151" t="s">
        <v>67</v>
      </c>
      <c r="I182" s="151" t="n">
        <v>0</v>
      </c>
      <c r="J182" s="152" t="n">
        <v>111</v>
      </c>
      <c r="K182" s="152" t="s">
        <v>67</v>
      </c>
      <c r="L182" s="153" t="n">
        <f aca="false">IF(J182="",0,(J182/J185)*100)</f>
        <v>100</v>
      </c>
      <c r="M182" s="151" t="n">
        <v>1</v>
      </c>
      <c r="N182" s="154" t="n">
        <v>6</v>
      </c>
      <c r="O182" s="121" t="n">
        <f aca="false">IF(M182=1,1,0)</f>
        <v>1</v>
      </c>
      <c r="P182" s="122" t="n">
        <f aca="false">IF(M182=2,1,0)</f>
        <v>0</v>
      </c>
      <c r="Q182" s="122" t="n">
        <f aca="false">IF(M182=3,1,0)</f>
        <v>0</v>
      </c>
      <c r="R182" s="123" t="n">
        <f aca="false">IF(M182=4,1,0)</f>
        <v>0</v>
      </c>
      <c r="S182" s="147"/>
      <c r="T182" s="141"/>
      <c r="U182" s="62"/>
    </row>
    <row r="183" customFormat="false" ht="20.1" hidden="false" customHeight="true" outlineLevel="0" collapsed="false">
      <c r="B183" s="62"/>
      <c r="C183" s="141"/>
      <c r="D183" s="148"/>
      <c r="E183" s="326" t="s">
        <v>12</v>
      </c>
      <c r="F183" s="33" t="s">
        <v>13</v>
      </c>
      <c r="G183" s="241" t="n">
        <v>2</v>
      </c>
      <c r="H183" s="241" t="s">
        <v>67</v>
      </c>
      <c r="I183" s="241" t="n">
        <v>0</v>
      </c>
      <c r="J183" s="242" t="n">
        <v>59</v>
      </c>
      <c r="K183" s="242" t="s">
        <v>67</v>
      </c>
      <c r="L183" s="243" t="n">
        <f aca="false">IF(J183="",0,(J183/J185)*100)</f>
        <v>53.1531531531532</v>
      </c>
      <c r="M183" s="241" t="n">
        <v>3</v>
      </c>
      <c r="N183" s="244" t="n">
        <v>1</v>
      </c>
      <c r="O183" s="121" t="n">
        <f aca="false">IF(M183=1,1,0)</f>
        <v>0</v>
      </c>
      <c r="P183" s="122" t="n">
        <f aca="false">IF(M183=2,1,0)</f>
        <v>0</v>
      </c>
      <c r="Q183" s="122" t="n">
        <f aca="false">IF(M183=3,1,0)</f>
        <v>1</v>
      </c>
      <c r="R183" s="123" t="n">
        <f aca="false">IF(M183=4,1,0)</f>
        <v>0</v>
      </c>
      <c r="S183" s="147"/>
      <c r="T183" s="141"/>
      <c r="U183" s="62"/>
    </row>
    <row r="184" customFormat="false" ht="20.1" hidden="false" customHeight="true" outlineLevel="0" collapsed="false">
      <c r="B184" s="62"/>
      <c r="C184" s="141"/>
      <c r="D184" s="141"/>
      <c r="E184" s="349" t="s">
        <v>33</v>
      </c>
      <c r="F184" s="44" t="s">
        <v>34</v>
      </c>
      <c r="G184" s="245" t="n">
        <v>1</v>
      </c>
      <c r="H184" s="246" t="s">
        <v>67</v>
      </c>
      <c r="I184" s="245" t="n">
        <v>0</v>
      </c>
      <c r="J184" s="246" t="n">
        <v>99</v>
      </c>
      <c r="K184" s="246" t="s">
        <v>67</v>
      </c>
      <c r="L184" s="247" t="n">
        <f aca="false">IF(J184="",0,(J184/J185)*100)</f>
        <v>89.1891891891892</v>
      </c>
      <c r="M184" s="245" t="n">
        <v>2</v>
      </c>
      <c r="N184" s="248" t="n">
        <v>3</v>
      </c>
      <c r="O184" s="127" t="n">
        <f aca="false">IF(M184=1,1,0)</f>
        <v>0</v>
      </c>
      <c r="P184" s="128" t="n">
        <f aca="false">IF(M184=2,1,0)</f>
        <v>1</v>
      </c>
      <c r="Q184" s="128" t="n">
        <f aca="false">IF(M184=3,1,0)</f>
        <v>0</v>
      </c>
      <c r="R184" s="129" t="n">
        <f aca="false">IF(M184=4,1,0)</f>
        <v>0</v>
      </c>
      <c r="S184" s="147"/>
      <c r="T184" s="141"/>
      <c r="U184" s="62"/>
    </row>
    <row r="185" customFormat="false" ht="20.1" hidden="true" customHeight="true" outlineLevel="1" collapsed="false">
      <c r="B185" s="62"/>
      <c r="C185" s="141"/>
      <c r="D185" s="141"/>
      <c r="E185" s="141"/>
      <c r="F185" s="157"/>
      <c r="G185" s="157"/>
      <c r="H185" s="141"/>
      <c r="I185" s="179" t="s">
        <v>89</v>
      </c>
      <c r="J185" s="133" t="n">
        <f aca="false">MAX(J181:J184)</f>
        <v>111</v>
      </c>
      <c r="K185" s="159"/>
      <c r="L185" s="147"/>
      <c r="M185" s="141"/>
      <c r="N185" s="136" t="s">
        <v>90</v>
      </c>
      <c r="O185" s="137" t="n">
        <f aca="false">SUM(O181:O184)</f>
        <v>1</v>
      </c>
      <c r="P185" s="138" t="n">
        <f aca="false">SUM(P181:P184)</f>
        <v>1</v>
      </c>
      <c r="Q185" s="137" t="n">
        <f aca="false">SUM(Q181:Q184)</f>
        <v>1</v>
      </c>
      <c r="R185" s="160" t="n">
        <f aca="false">SUM(R181:R184)</f>
        <v>1</v>
      </c>
      <c r="S185" s="161"/>
      <c r="T185" s="141"/>
      <c r="U185" s="62"/>
    </row>
    <row r="186" customFormat="false" ht="20.1" hidden="false" customHeight="true" outlineLevel="0" collapsed="false">
      <c r="B186" s="62"/>
      <c r="C186" s="141"/>
      <c r="D186" s="141"/>
      <c r="E186" s="141"/>
      <c r="F186" s="141"/>
      <c r="G186" s="141"/>
      <c r="H186" s="141"/>
      <c r="I186" s="141"/>
      <c r="J186" s="141"/>
      <c r="K186" s="141"/>
      <c r="L186" s="141"/>
      <c r="M186" s="141"/>
      <c r="N186" s="141"/>
      <c r="O186" s="141"/>
      <c r="P186" s="141"/>
      <c r="Q186" s="141"/>
      <c r="R186" s="141"/>
      <c r="S186" s="141"/>
      <c r="T186" s="141"/>
      <c r="U186" s="62"/>
    </row>
    <row r="187" customFormat="false" ht="20.1" hidden="false" customHeight="true" outlineLevel="0" collapsed="false">
      <c r="B187" s="62"/>
      <c r="D187" s="162"/>
      <c r="E187" s="162"/>
      <c r="F187" s="162"/>
      <c r="G187" s="162"/>
      <c r="H187" s="163"/>
      <c r="I187" s="162"/>
      <c r="J187" s="162"/>
      <c r="U187" s="62"/>
    </row>
    <row r="188" customFormat="false" ht="20.1" hidden="false" customHeight="true" outlineLevel="0" collapsed="false">
      <c r="B188" s="62"/>
      <c r="C188" s="164"/>
      <c r="D188" s="164"/>
      <c r="E188" s="165" t="str">
        <f aca="false">IF(OR(L164="-",L164= ""),H164,L164)</f>
        <v>Flügelschlag</v>
      </c>
      <c r="F188" s="165"/>
      <c r="G188" s="165"/>
      <c r="H188" s="165"/>
      <c r="I188" s="165"/>
      <c r="J188" s="165"/>
      <c r="K188" s="165"/>
      <c r="L188" s="165"/>
      <c r="M188" s="165"/>
      <c r="N188" s="165"/>
      <c r="O188" s="166"/>
      <c r="P188" s="166"/>
      <c r="Q188" s="166"/>
      <c r="R188" s="166"/>
      <c r="S188" s="166"/>
      <c r="T188" s="164"/>
      <c r="U188" s="167"/>
    </row>
    <row r="189" customFormat="false" ht="50.1" hidden="false" customHeight="true" outlineLevel="0" collapsed="false">
      <c r="B189" s="62"/>
      <c r="C189" s="164"/>
      <c r="D189" s="166"/>
      <c r="E189" s="65" t="s">
        <v>53</v>
      </c>
      <c r="F189" s="104" t="s">
        <v>76</v>
      </c>
      <c r="G189" s="67" t="s">
        <v>77</v>
      </c>
      <c r="H189" s="66" t="s">
        <v>78</v>
      </c>
      <c r="I189" s="54" t="s">
        <v>79</v>
      </c>
      <c r="J189" s="66" t="s">
        <v>80</v>
      </c>
      <c r="K189" s="105" t="s">
        <v>81</v>
      </c>
      <c r="L189" s="66" t="s">
        <v>82</v>
      </c>
      <c r="M189" s="106" t="s">
        <v>83</v>
      </c>
      <c r="N189" s="67" t="s">
        <v>84</v>
      </c>
      <c r="O189" s="107" t="s">
        <v>85</v>
      </c>
      <c r="P189" s="108" t="s">
        <v>86</v>
      </c>
      <c r="Q189" s="108" t="s">
        <v>87</v>
      </c>
      <c r="R189" s="13" t="s">
        <v>88</v>
      </c>
      <c r="S189" s="166"/>
      <c r="T189" s="164"/>
      <c r="U189" s="167"/>
    </row>
    <row r="190" customFormat="false" ht="20.1" hidden="false" customHeight="true" outlineLevel="0" collapsed="false">
      <c r="B190" s="62"/>
      <c r="C190" s="164"/>
      <c r="D190" s="171"/>
      <c r="E190" s="318" t="s">
        <v>29</v>
      </c>
      <c r="F190" s="16" t="s">
        <v>30</v>
      </c>
      <c r="G190" s="250" t="n">
        <v>1</v>
      </c>
      <c r="H190" s="250" t="s">
        <v>67</v>
      </c>
      <c r="I190" s="250" t="n">
        <v>0</v>
      </c>
      <c r="J190" s="251" t="n">
        <v>53</v>
      </c>
      <c r="K190" s="250" t="s">
        <v>67</v>
      </c>
      <c r="L190" s="253" t="n">
        <f aca="false">IF(J190="",0,(J190/J194)*100)</f>
        <v>63.0952380952381</v>
      </c>
      <c r="M190" s="250" t="n">
        <v>4</v>
      </c>
      <c r="N190" s="254" t="n">
        <v>0</v>
      </c>
      <c r="O190" s="115" t="n">
        <f aca="false">IF(M190=1,1,0)</f>
        <v>0</v>
      </c>
      <c r="P190" s="116" t="n">
        <f aca="false">IF(M190=2,1,0)</f>
        <v>0</v>
      </c>
      <c r="Q190" s="116" t="n">
        <f aca="false">IF(M190=3,1,0)</f>
        <v>0</v>
      </c>
      <c r="R190" s="117" t="n">
        <f aca="false">IF(M190=4,1,0)</f>
        <v>1</v>
      </c>
      <c r="S190" s="170"/>
      <c r="T190" s="164"/>
      <c r="U190" s="62"/>
    </row>
    <row r="191" customFormat="false" ht="20.1" hidden="false" customHeight="true" outlineLevel="0" collapsed="false">
      <c r="B191" s="62"/>
      <c r="C191" s="164"/>
      <c r="D191" s="164"/>
      <c r="E191" s="79" t="s">
        <v>43</v>
      </c>
      <c r="F191" s="33" t="s">
        <v>44</v>
      </c>
      <c r="G191" s="241" t="n">
        <v>2</v>
      </c>
      <c r="H191" s="241" t="s">
        <v>67</v>
      </c>
      <c r="I191" s="241" t="n">
        <v>0</v>
      </c>
      <c r="J191" s="242" t="n">
        <v>73</v>
      </c>
      <c r="K191" s="242" t="s">
        <v>67</v>
      </c>
      <c r="L191" s="243" t="n">
        <f aca="false">IF(J191="",0,(J191/J194)*100)</f>
        <v>86.9047619047619</v>
      </c>
      <c r="M191" s="241" t="n">
        <v>2</v>
      </c>
      <c r="N191" s="244" t="n">
        <v>3</v>
      </c>
      <c r="O191" s="121" t="n">
        <f aca="false">IF(M191=1,1,0)</f>
        <v>0</v>
      </c>
      <c r="P191" s="122" t="n">
        <f aca="false">IF(M191=2,1,0)</f>
        <v>1</v>
      </c>
      <c r="Q191" s="122" t="n">
        <f aca="false">IF(M191=3,1,0)</f>
        <v>0</v>
      </c>
      <c r="R191" s="123" t="n">
        <f aca="false">IF(M191=4,1,0)</f>
        <v>0</v>
      </c>
      <c r="S191" s="170"/>
      <c r="T191" s="164"/>
      <c r="U191" s="173"/>
    </row>
    <row r="192" customFormat="false" ht="20.1" hidden="false" customHeight="true" outlineLevel="0" collapsed="false">
      <c r="B192" s="62"/>
      <c r="C192" s="164"/>
      <c r="D192" s="164"/>
      <c r="E192" s="174" t="s">
        <v>12</v>
      </c>
      <c r="F192" s="175" t="s">
        <v>13</v>
      </c>
      <c r="G192" s="151" t="n">
        <v>3</v>
      </c>
      <c r="H192" s="151" t="s">
        <v>67</v>
      </c>
      <c r="I192" s="151" t="n">
        <v>0</v>
      </c>
      <c r="J192" s="152" t="n">
        <v>84</v>
      </c>
      <c r="K192" s="152" t="s">
        <v>67</v>
      </c>
      <c r="L192" s="153" t="n">
        <f aca="false">IF(J192="",0,(J192/J194)*100)</f>
        <v>100</v>
      </c>
      <c r="M192" s="151" t="n">
        <v>1</v>
      </c>
      <c r="N192" s="154" t="n">
        <v>6</v>
      </c>
      <c r="O192" s="121" t="n">
        <f aca="false">IF(M192=1,1,0)</f>
        <v>1</v>
      </c>
      <c r="P192" s="122" t="n">
        <f aca="false">IF(M192=2,1,0)</f>
        <v>0</v>
      </c>
      <c r="Q192" s="122" t="n">
        <f aca="false">IF(M192=3,1,0)</f>
        <v>0</v>
      </c>
      <c r="R192" s="123" t="n">
        <f aca="false">IF(M192=4,1,0)</f>
        <v>0</v>
      </c>
      <c r="S192" s="170"/>
      <c r="T192" s="164"/>
      <c r="U192" s="173"/>
    </row>
    <row r="193" customFormat="false" ht="20.1" hidden="false" customHeight="true" outlineLevel="0" collapsed="false">
      <c r="B193" s="62"/>
      <c r="C193" s="164"/>
      <c r="D193" s="164"/>
      <c r="E193" s="349" t="s">
        <v>33</v>
      </c>
      <c r="F193" s="44" t="s">
        <v>34</v>
      </c>
      <c r="G193" s="245" t="n">
        <v>4</v>
      </c>
      <c r="H193" s="246" t="s">
        <v>67</v>
      </c>
      <c r="I193" s="245" t="n">
        <v>0</v>
      </c>
      <c r="J193" s="246" t="n">
        <v>59</v>
      </c>
      <c r="K193" s="246" t="s">
        <v>67</v>
      </c>
      <c r="L193" s="247" t="n">
        <f aca="false">IF(J193="",0,(J193/J194)*100)</f>
        <v>70.2380952380952</v>
      </c>
      <c r="M193" s="245" t="n">
        <v>3</v>
      </c>
      <c r="N193" s="248" t="n">
        <v>1</v>
      </c>
      <c r="O193" s="127" t="n">
        <f aca="false">IF(M193=1,1,0)</f>
        <v>0</v>
      </c>
      <c r="P193" s="128" t="n">
        <f aca="false">IF(M193=2,1,0)</f>
        <v>0</v>
      </c>
      <c r="Q193" s="128" t="n">
        <f aca="false">IF(M193=3,1,0)</f>
        <v>1</v>
      </c>
      <c r="R193" s="129" t="n">
        <f aca="false">IF(M193=4,1,0)</f>
        <v>0</v>
      </c>
      <c r="S193" s="170"/>
      <c r="T193" s="164"/>
      <c r="U193" s="173"/>
    </row>
    <row r="194" customFormat="false" ht="20.1" hidden="true" customHeight="true" outlineLevel="1" collapsed="false">
      <c r="B194" s="62"/>
      <c r="C194" s="164"/>
      <c r="D194" s="164"/>
      <c r="E194" s="164"/>
      <c r="F194" s="178"/>
      <c r="G194" s="178"/>
      <c r="H194" s="164"/>
      <c r="I194" s="179" t="s">
        <v>89</v>
      </c>
      <c r="J194" s="133" t="n">
        <f aca="false">MAX(J190:J193)</f>
        <v>84</v>
      </c>
      <c r="K194" s="180"/>
      <c r="L194" s="170"/>
      <c r="M194" s="164"/>
      <c r="N194" s="136" t="s">
        <v>90</v>
      </c>
      <c r="O194" s="137" t="n">
        <f aca="false">SUM(O190:O193)</f>
        <v>1</v>
      </c>
      <c r="P194" s="138" t="n">
        <f aca="false">SUM(P190:P193)</f>
        <v>1</v>
      </c>
      <c r="Q194" s="137" t="n">
        <f aca="false">SUM(Q190:Q193)</f>
        <v>1</v>
      </c>
      <c r="R194" s="160" t="n">
        <f aca="false">SUM(R190:R193)</f>
        <v>1</v>
      </c>
      <c r="S194" s="181"/>
      <c r="T194" s="164"/>
      <c r="U194" s="173"/>
    </row>
    <row r="195" customFormat="false" ht="20.1" hidden="false" customHeight="true" outlineLevel="0" collapsed="false">
      <c r="B195" s="62"/>
      <c r="C195" s="164"/>
      <c r="D195" s="164"/>
      <c r="E195" s="164"/>
      <c r="F195" s="164"/>
      <c r="G195" s="164"/>
      <c r="H195" s="164"/>
      <c r="I195" s="164"/>
      <c r="J195" s="164"/>
      <c r="K195" s="164"/>
      <c r="L195" s="164"/>
      <c r="M195" s="164"/>
      <c r="N195" s="164"/>
      <c r="O195" s="164"/>
      <c r="P195" s="164"/>
      <c r="Q195" s="164"/>
      <c r="R195" s="164"/>
      <c r="S195" s="164"/>
      <c r="T195" s="164"/>
      <c r="U195" s="173"/>
    </row>
    <row r="196" customFormat="false" ht="20.1" hidden="false" customHeight="true" outlineLevel="0" collapsed="false">
      <c r="B196" s="62"/>
      <c r="D196" s="162"/>
      <c r="E196" s="162"/>
      <c r="F196" s="162"/>
      <c r="G196" s="162"/>
      <c r="H196" s="163"/>
      <c r="I196" s="162"/>
      <c r="J196" s="162"/>
      <c r="K196" s="162"/>
      <c r="U196" s="62"/>
    </row>
    <row r="197" customFormat="false" ht="20.1" hidden="false" customHeight="true" outlineLevel="0" collapsed="false">
      <c r="B197" s="62"/>
      <c r="C197" s="182"/>
      <c r="D197" s="182"/>
      <c r="E197" s="183" t="str">
        <f aca="false">IF(OR(M167="-",M167= ""),H167,M167)</f>
        <v>Dice Hospital</v>
      </c>
      <c r="F197" s="183"/>
      <c r="G197" s="183"/>
      <c r="H197" s="183"/>
      <c r="I197" s="183"/>
      <c r="J197" s="183"/>
      <c r="K197" s="183"/>
      <c r="L197" s="183"/>
      <c r="M197" s="183"/>
      <c r="N197" s="183"/>
      <c r="O197" s="184"/>
      <c r="P197" s="184"/>
      <c r="Q197" s="184"/>
      <c r="R197" s="184"/>
      <c r="S197" s="184"/>
      <c r="T197" s="182"/>
      <c r="U197" s="62"/>
    </row>
    <row r="198" customFormat="false" ht="50.1" hidden="false" customHeight="true" outlineLevel="0" collapsed="false">
      <c r="B198" s="62"/>
      <c r="C198" s="182"/>
      <c r="D198" s="184"/>
      <c r="E198" s="65" t="s">
        <v>53</v>
      </c>
      <c r="F198" s="104" t="s">
        <v>76</v>
      </c>
      <c r="G198" s="67" t="s">
        <v>77</v>
      </c>
      <c r="H198" s="66" t="s">
        <v>78</v>
      </c>
      <c r="I198" s="54" t="s">
        <v>79</v>
      </c>
      <c r="J198" s="66" t="s">
        <v>80</v>
      </c>
      <c r="K198" s="105" t="s">
        <v>81</v>
      </c>
      <c r="L198" s="66" t="s">
        <v>82</v>
      </c>
      <c r="M198" s="106" t="s">
        <v>83</v>
      </c>
      <c r="N198" s="67" t="s">
        <v>84</v>
      </c>
      <c r="O198" s="107" t="s">
        <v>85</v>
      </c>
      <c r="P198" s="108" t="s">
        <v>86</v>
      </c>
      <c r="Q198" s="108" t="s">
        <v>87</v>
      </c>
      <c r="R198" s="13" t="s">
        <v>88</v>
      </c>
      <c r="S198" s="184"/>
      <c r="T198" s="182"/>
      <c r="U198" s="62"/>
    </row>
    <row r="199" customFormat="false" ht="20.1" hidden="false" customHeight="true" outlineLevel="0" collapsed="false">
      <c r="B199" s="62"/>
      <c r="C199" s="182"/>
      <c r="D199" s="182"/>
      <c r="E199" s="318" t="s">
        <v>29</v>
      </c>
      <c r="F199" s="16" t="s">
        <v>30</v>
      </c>
      <c r="G199" s="250" t="n">
        <v>2</v>
      </c>
      <c r="H199" s="250" t="s">
        <v>376</v>
      </c>
      <c r="I199" s="250" t="n">
        <v>0</v>
      </c>
      <c r="J199" s="251" t="n">
        <v>29</v>
      </c>
      <c r="K199" s="250" t="s">
        <v>67</v>
      </c>
      <c r="L199" s="253" t="n">
        <f aca="false">IF(J199="",0,(J199/J203)*100)</f>
        <v>51.7857142857143</v>
      </c>
      <c r="M199" s="250" t="n">
        <v>3</v>
      </c>
      <c r="N199" s="254" t="n">
        <v>1</v>
      </c>
      <c r="O199" s="115" t="n">
        <f aca="false">IF(M199=1,1,0)</f>
        <v>0</v>
      </c>
      <c r="P199" s="116" t="n">
        <f aca="false">IF(M199=2,1,0)</f>
        <v>0</v>
      </c>
      <c r="Q199" s="116" t="n">
        <f aca="false">IF(M199=3,1,0)</f>
        <v>1</v>
      </c>
      <c r="R199" s="117" t="n">
        <f aca="false">IF(M199=4,1,0)</f>
        <v>0</v>
      </c>
      <c r="S199" s="185"/>
      <c r="T199" s="182"/>
      <c r="U199" s="62"/>
    </row>
    <row r="200" customFormat="false" ht="20.1" hidden="false" customHeight="true" outlineLevel="0" collapsed="false">
      <c r="B200" s="62"/>
      <c r="C200" s="182"/>
      <c r="D200" s="182"/>
      <c r="E200" s="79" t="s">
        <v>43</v>
      </c>
      <c r="F200" s="33" t="s">
        <v>44</v>
      </c>
      <c r="G200" s="241" t="n">
        <v>3</v>
      </c>
      <c r="H200" s="241" t="s">
        <v>221</v>
      </c>
      <c r="I200" s="241" t="n">
        <v>0</v>
      </c>
      <c r="J200" s="242" t="n">
        <v>13</v>
      </c>
      <c r="K200" s="242" t="s">
        <v>67</v>
      </c>
      <c r="L200" s="243" t="n">
        <f aca="false">IF(J200="",0,(J200/J203)*100)</f>
        <v>23.2142857142857</v>
      </c>
      <c r="M200" s="241" t="n">
        <v>4</v>
      </c>
      <c r="N200" s="244" t="n">
        <v>0</v>
      </c>
      <c r="O200" s="121" t="n">
        <f aca="false">IF(M200=1,1,0)</f>
        <v>0</v>
      </c>
      <c r="P200" s="122" t="n">
        <f aca="false">IF(M200=2,1,0)</f>
        <v>0</v>
      </c>
      <c r="Q200" s="122" t="n">
        <f aca="false">IF(M200=3,1,0)</f>
        <v>0</v>
      </c>
      <c r="R200" s="123" t="n">
        <f aca="false">IF(M200=4,1,0)</f>
        <v>1</v>
      </c>
      <c r="S200" s="185"/>
      <c r="T200" s="182"/>
      <c r="U200" s="62"/>
    </row>
    <row r="201" customFormat="false" ht="20.1" hidden="false" customHeight="true" outlineLevel="0" collapsed="false">
      <c r="B201" s="62"/>
      <c r="C201" s="182"/>
      <c r="D201" s="182"/>
      <c r="E201" s="326" t="s">
        <v>12</v>
      </c>
      <c r="F201" s="33" t="s">
        <v>13</v>
      </c>
      <c r="G201" s="241" t="n">
        <v>1</v>
      </c>
      <c r="H201" s="241" t="s">
        <v>294</v>
      </c>
      <c r="I201" s="241" t="n">
        <v>0</v>
      </c>
      <c r="J201" s="242" t="n">
        <v>42</v>
      </c>
      <c r="K201" s="242" t="s">
        <v>67</v>
      </c>
      <c r="L201" s="243" t="n">
        <f aca="false">IF(J201="",0,(J201/J203)*100)</f>
        <v>75</v>
      </c>
      <c r="M201" s="241" t="n">
        <v>2</v>
      </c>
      <c r="N201" s="244" t="n">
        <v>3</v>
      </c>
      <c r="O201" s="121" t="n">
        <f aca="false">IF(M201=1,1,0)</f>
        <v>0</v>
      </c>
      <c r="P201" s="122" t="n">
        <f aca="false">IF(M201=2,1,0)</f>
        <v>1</v>
      </c>
      <c r="Q201" s="122" t="n">
        <f aca="false">IF(M201=3,1,0)</f>
        <v>0</v>
      </c>
      <c r="R201" s="123" t="n">
        <f aca="false">IF(M201=4,1,0)</f>
        <v>0</v>
      </c>
      <c r="S201" s="185"/>
      <c r="T201" s="182"/>
      <c r="U201" s="62"/>
    </row>
    <row r="202" customFormat="false" ht="20.1" hidden="false" customHeight="true" outlineLevel="0" collapsed="false">
      <c r="B202" s="62"/>
      <c r="C202" s="182"/>
      <c r="D202" s="186"/>
      <c r="E202" s="350" t="s">
        <v>33</v>
      </c>
      <c r="F202" s="294" t="s">
        <v>34</v>
      </c>
      <c r="G202" s="295" t="n">
        <v>4</v>
      </c>
      <c r="H202" s="296" t="s">
        <v>577</v>
      </c>
      <c r="I202" s="295" t="n">
        <v>0</v>
      </c>
      <c r="J202" s="296" t="n">
        <v>56</v>
      </c>
      <c r="K202" s="296" t="s">
        <v>67</v>
      </c>
      <c r="L202" s="297" t="n">
        <f aca="false">IF(J202="",0,(J202/J203)*100)</f>
        <v>100</v>
      </c>
      <c r="M202" s="295" t="n">
        <v>1</v>
      </c>
      <c r="N202" s="298" t="n">
        <v>6</v>
      </c>
      <c r="O202" s="127" t="n">
        <f aca="false">IF(M202=1,1,0)</f>
        <v>1</v>
      </c>
      <c r="P202" s="128" t="n">
        <f aca="false">IF(M202=2,1,0)</f>
        <v>0</v>
      </c>
      <c r="Q202" s="128" t="n">
        <f aca="false">IF(M202=3,1,0)</f>
        <v>0</v>
      </c>
      <c r="R202" s="129" t="n">
        <f aca="false">IF(M202=4,1,0)</f>
        <v>0</v>
      </c>
      <c r="S202" s="185"/>
      <c r="T202" s="182"/>
      <c r="U202" s="62"/>
    </row>
    <row r="203" customFormat="false" ht="20.1" hidden="true" customHeight="true" outlineLevel="1" collapsed="false">
      <c r="B203" s="62"/>
      <c r="C203" s="182"/>
      <c r="D203" s="182"/>
      <c r="E203" s="182"/>
      <c r="F203" s="187"/>
      <c r="G203" s="187"/>
      <c r="H203" s="182"/>
      <c r="I203" s="179" t="s">
        <v>89</v>
      </c>
      <c r="J203" s="133" t="n">
        <f aca="false">MAX(J199:J202)</f>
        <v>56</v>
      </c>
      <c r="K203" s="188"/>
      <c r="L203" s="185"/>
      <c r="M203" s="182"/>
      <c r="N203" s="136" t="s">
        <v>90</v>
      </c>
      <c r="O203" s="137" t="n">
        <f aca="false">SUM(O199:O202)</f>
        <v>1</v>
      </c>
      <c r="P203" s="138" t="n">
        <f aca="false">SUM(P199:P202)</f>
        <v>1</v>
      </c>
      <c r="Q203" s="137" t="n">
        <f aca="false">SUM(Q199:Q202)</f>
        <v>1</v>
      </c>
      <c r="R203" s="160" t="n">
        <f aca="false">SUM(R199:R202)</f>
        <v>1</v>
      </c>
      <c r="S203" s="189"/>
      <c r="T203" s="182"/>
      <c r="U203" s="62"/>
    </row>
    <row r="204" customFormat="false" ht="20.1" hidden="false" customHeight="true" outlineLevel="0" collapsed="false">
      <c r="B204" s="62"/>
      <c r="C204" s="182"/>
      <c r="D204" s="182"/>
      <c r="E204" s="182"/>
      <c r="F204" s="182"/>
      <c r="G204" s="182"/>
      <c r="H204" s="182"/>
      <c r="I204" s="182"/>
      <c r="J204" s="182"/>
      <c r="K204" s="182"/>
      <c r="L204" s="182"/>
      <c r="M204" s="182"/>
      <c r="N204" s="182"/>
      <c r="O204" s="182"/>
      <c r="P204" s="182"/>
      <c r="Q204" s="182"/>
      <c r="R204" s="182"/>
      <c r="S204" s="182"/>
      <c r="T204" s="182"/>
      <c r="U204" s="62"/>
    </row>
    <row r="205" customFormat="false" ht="20.1" hidden="false" customHeight="true" outlineLevel="0" collapsed="false">
      <c r="B205" s="62"/>
      <c r="D205" s="5"/>
      <c r="E205" s="5"/>
      <c r="F205" s="5"/>
      <c r="G205" s="5"/>
      <c r="H205" s="5"/>
      <c r="I205" s="5"/>
      <c r="J205" s="5"/>
      <c r="U205" s="62"/>
    </row>
    <row r="206" customFormat="false" ht="30" hidden="false" customHeight="true" outlineLevel="0" collapsed="false">
      <c r="B206" s="62"/>
      <c r="C206" s="190"/>
      <c r="D206" s="191" t="s">
        <v>149</v>
      </c>
      <c r="E206" s="191"/>
      <c r="F206" s="191"/>
      <c r="G206" s="191"/>
      <c r="H206" s="191"/>
      <c r="I206" s="191"/>
      <c r="J206" s="191"/>
      <c r="K206" s="191"/>
      <c r="L206" s="191"/>
      <c r="M206" s="191"/>
      <c r="N206" s="191"/>
      <c r="O206" s="191"/>
      <c r="P206" s="191"/>
      <c r="Q206" s="191"/>
      <c r="R206" s="191"/>
      <c r="S206" s="191"/>
      <c r="T206" s="190"/>
      <c r="U206" s="62"/>
    </row>
    <row r="207" customFormat="false" ht="50.1" hidden="false" customHeight="true" outlineLevel="0" collapsed="false">
      <c r="B207" s="62"/>
      <c r="C207" s="190"/>
      <c r="D207" s="192" t="s">
        <v>53</v>
      </c>
      <c r="E207" s="193" t="s">
        <v>54</v>
      </c>
      <c r="F207" s="194" t="s">
        <v>84</v>
      </c>
      <c r="G207" s="195" t="s">
        <v>100</v>
      </c>
      <c r="H207" s="196" t="s">
        <v>101</v>
      </c>
      <c r="I207" s="196"/>
      <c r="J207" s="197" t="s">
        <v>102</v>
      </c>
      <c r="K207" s="198" t="s">
        <v>103</v>
      </c>
      <c r="L207" s="194" t="s">
        <v>104</v>
      </c>
      <c r="M207" s="198" t="s">
        <v>105</v>
      </c>
      <c r="N207" s="194" t="s">
        <v>106</v>
      </c>
      <c r="O207" s="199"/>
      <c r="P207" s="200"/>
      <c r="Q207" s="200"/>
      <c r="R207" s="200"/>
      <c r="S207" s="193" t="s">
        <v>107</v>
      </c>
      <c r="T207" s="190"/>
      <c r="U207" s="62"/>
    </row>
    <row r="208" customFormat="false" ht="20.1" hidden="false" customHeight="true" outlineLevel="0" collapsed="false">
      <c r="B208" s="62"/>
      <c r="C208" s="190"/>
      <c r="D208" s="425" t="s">
        <v>12</v>
      </c>
      <c r="E208" s="302" t="s">
        <v>13</v>
      </c>
      <c r="F208" s="258" t="n">
        <f aca="false">K208*6+L208*3+M208*1+N208*0</f>
        <v>12</v>
      </c>
      <c r="G208" s="259" t="n">
        <v>0</v>
      </c>
      <c r="H208" s="259" t="s">
        <v>67</v>
      </c>
      <c r="I208" s="259"/>
      <c r="J208" s="258" t="n">
        <f aca="false">F208+G208</f>
        <v>12</v>
      </c>
      <c r="K208" s="258" t="n">
        <v>1</v>
      </c>
      <c r="L208" s="505" t="n">
        <v>1.5</v>
      </c>
      <c r="M208" s="505" t="n">
        <v>1.5</v>
      </c>
      <c r="N208" s="258" t="n">
        <v>0</v>
      </c>
      <c r="O208" s="260"/>
      <c r="P208" s="259"/>
      <c r="Q208" s="259"/>
      <c r="R208" s="259"/>
      <c r="S208" s="261" t="n">
        <f aca="false">(L174+L183+L192+L201)/4</f>
        <v>69.5382882882883</v>
      </c>
      <c r="T208" s="190"/>
      <c r="U208" s="62"/>
    </row>
    <row r="209" customFormat="false" ht="20.1" hidden="false" customHeight="true" outlineLevel="0" collapsed="false">
      <c r="B209" s="62"/>
      <c r="C209" s="190"/>
      <c r="D209" s="213" t="s">
        <v>43</v>
      </c>
      <c r="E209" s="208" t="s">
        <v>44</v>
      </c>
      <c r="F209" s="262" t="n">
        <f aca="false">K209*6+L209*3+M209*1+N209*0</f>
        <v>11</v>
      </c>
      <c r="G209" s="263" t="n">
        <v>0</v>
      </c>
      <c r="H209" s="263" t="s">
        <v>67</v>
      </c>
      <c r="I209" s="263"/>
      <c r="J209" s="262" t="n">
        <f aca="false">F209+G209</f>
        <v>11</v>
      </c>
      <c r="K209" s="262" t="n">
        <v>1</v>
      </c>
      <c r="L209" s="426" t="n">
        <v>1.5</v>
      </c>
      <c r="M209" s="426" t="n">
        <v>0.5</v>
      </c>
      <c r="N209" s="262" t="n">
        <v>1</v>
      </c>
      <c r="O209" s="264"/>
      <c r="P209" s="263"/>
      <c r="Q209" s="263"/>
      <c r="R209" s="263"/>
      <c r="S209" s="265" t="n">
        <f aca="false">(L173+L182+L191+L200)/4</f>
        <v>65.0297619047619</v>
      </c>
      <c r="T209" s="190"/>
      <c r="U209" s="62"/>
      <c r="Y209" s="266"/>
      <c r="Z209" s="266"/>
      <c r="AA209" s="267"/>
      <c r="AB209" s="267"/>
      <c r="AC209" s="268"/>
      <c r="AD209" s="268"/>
      <c r="AE209" s="268"/>
    </row>
    <row r="210" customFormat="false" ht="20.1" hidden="false" customHeight="true" outlineLevel="0" collapsed="false">
      <c r="B210" s="62"/>
      <c r="C210" s="190"/>
      <c r="D210" s="444" t="s">
        <v>33</v>
      </c>
      <c r="E210" s="208" t="s">
        <v>34</v>
      </c>
      <c r="F210" s="262" t="n">
        <f aca="false">K210*6+L210*3+M210*1+N210*0</f>
        <v>10</v>
      </c>
      <c r="G210" s="263" t="n">
        <v>0</v>
      </c>
      <c r="H210" s="263" t="s">
        <v>67</v>
      </c>
      <c r="I210" s="263"/>
      <c r="J210" s="262" t="n">
        <f aca="false">F210+G210</f>
        <v>10</v>
      </c>
      <c r="K210" s="262" t="n">
        <v>1</v>
      </c>
      <c r="L210" s="262" t="n">
        <v>1</v>
      </c>
      <c r="M210" s="262" t="n">
        <v>1</v>
      </c>
      <c r="N210" s="262" t="n">
        <v>1</v>
      </c>
      <c r="O210" s="264"/>
      <c r="P210" s="263"/>
      <c r="Q210" s="263"/>
      <c r="R210" s="263"/>
      <c r="S210" s="265" t="n">
        <f aca="false">(L175++L184+L193+L202)/4</f>
        <v>74.8568211068211</v>
      </c>
      <c r="T210" s="190"/>
      <c r="U210" s="62"/>
    </row>
    <row r="211" customFormat="false" ht="20.1" hidden="false" customHeight="true" outlineLevel="0" collapsed="false">
      <c r="B211" s="62"/>
      <c r="C211" s="190"/>
      <c r="D211" s="427" t="s">
        <v>29</v>
      </c>
      <c r="E211" s="215" t="s">
        <v>30</v>
      </c>
      <c r="F211" s="271" t="n">
        <f aca="false">K211*6+L211*3+M211*1+N211*0</f>
        <v>7</v>
      </c>
      <c r="G211" s="272" t="n">
        <v>0</v>
      </c>
      <c r="H211" s="272" t="s">
        <v>67</v>
      </c>
      <c r="I211" s="272"/>
      <c r="J211" s="271" t="n">
        <f aca="false">F211+G211</f>
        <v>7</v>
      </c>
      <c r="K211" s="271" t="n">
        <v>1</v>
      </c>
      <c r="L211" s="271" t="n">
        <v>0</v>
      </c>
      <c r="M211" s="271" t="n">
        <v>1</v>
      </c>
      <c r="N211" s="271" t="n">
        <v>2</v>
      </c>
      <c r="O211" s="273"/>
      <c r="P211" s="272"/>
      <c r="Q211" s="272"/>
      <c r="R211" s="272"/>
      <c r="S211" s="274" t="n">
        <f aca="false">(L172+L181+L190+L199)/4</f>
        <v>64.7562741312741</v>
      </c>
      <c r="T211" s="190"/>
      <c r="U211" s="62"/>
    </row>
    <row r="212" customFormat="false" ht="20.1" hidden="false" customHeight="true" outlineLevel="0" collapsed="false">
      <c r="B212" s="62"/>
      <c r="C212" s="190"/>
      <c r="D212" s="445"/>
      <c r="E212" s="445"/>
      <c r="F212" s="429"/>
      <c r="G212" s="377"/>
      <c r="H212" s="430"/>
      <c r="I212" s="430"/>
      <c r="J212" s="429"/>
      <c r="K212" s="429"/>
      <c r="L212" s="429"/>
      <c r="M212" s="429"/>
      <c r="N212" s="429"/>
      <c r="O212" s="376"/>
      <c r="P212" s="377"/>
      <c r="Q212" s="377"/>
      <c r="R212" s="377"/>
      <c r="S212" s="408"/>
      <c r="T212" s="190"/>
      <c r="U212" s="62"/>
    </row>
    <row r="213" customFormat="false" ht="20.1" hidden="false" customHeight="true" outlineLevel="0" collapsed="false">
      <c r="B213" s="62"/>
      <c r="C213" s="62"/>
      <c r="D213" s="219"/>
      <c r="E213" s="219"/>
      <c r="F213" s="167"/>
      <c r="G213" s="167"/>
      <c r="H213" s="219"/>
      <c r="I213" s="219"/>
      <c r="J213" s="219"/>
      <c r="K213" s="62"/>
      <c r="L213" s="62"/>
      <c r="M213" s="62"/>
      <c r="N213" s="62"/>
      <c r="O213" s="62"/>
      <c r="P213" s="62"/>
      <c r="Q213" s="62"/>
      <c r="R213" s="62"/>
      <c r="S213" s="62"/>
      <c r="T213" s="62"/>
      <c r="U213" s="62"/>
    </row>
    <row r="214" customFormat="false" ht="20.1" hidden="false" customHeight="true" outlineLevel="0" collapsed="false"/>
  </sheetData>
  <mergeCells count="224">
    <mergeCell ref="A1:N2"/>
    <mergeCell ref="B4:H4"/>
    <mergeCell ref="J4:L4"/>
    <mergeCell ref="B5:C5"/>
    <mergeCell ref="B6:C6"/>
    <mergeCell ref="K6:K9"/>
    <mergeCell ref="B7:C7"/>
    <mergeCell ref="B8:C8"/>
    <mergeCell ref="B9:C9"/>
    <mergeCell ref="B10:C10"/>
    <mergeCell ref="K10:K13"/>
    <mergeCell ref="B11:C11"/>
    <mergeCell ref="B12:C12"/>
    <mergeCell ref="B13:C13"/>
    <mergeCell ref="B14:C14"/>
    <mergeCell ref="K14:K17"/>
    <mergeCell ref="B15:C15"/>
    <mergeCell ref="B16:C16"/>
    <mergeCell ref="B17:C17"/>
    <mergeCell ref="J18:K18"/>
    <mergeCell ref="B19:G19"/>
    <mergeCell ref="B20:C20"/>
    <mergeCell ref="B21:C21"/>
    <mergeCell ref="B22:C22"/>
    <mergeCell ref="C25:T25"/>
    <mergeCell ref="D27:D28"/>
    <mergeCell ref="E27:E28"/>
    <mergeCell ref="F27:F28"/>
    <mergeCell ref="G27:J27"/>
    <mergeCell ref="L27:S27"/>
    <mergeCell ref="I28:J28"/>
    <mergeCell ref="N28:S28"/>
    <mergeCell ref="I29:J29"/>
    <mergeCell ref="N29:S29"/>
    <mergeCell ref="D30:D32"/>
    <mergeCell ref="E30:E32"/>
    <mergeCell ref="F30:F32"/>
    <mergeCell ref="G30:G32"/>
    <mergeCell ref="H30:H32"/>
    <mergeCell ref="I30:J30"/>
    <mergeCell ref="K30:K32"/>
    <mergeCell ref="L30:L32"/>
    <mergeCell ref="M30:M32"/>
    <mergeCell ref="N30:S32"/>
    <mergeCell ref="I31:J31"/>
    <mergeCell ref="I32:J32"/>
    <mergeCell ref="D33:D36"/>
    <mergeCell ref="E33:E36"/>
    <mergeCell ref="F33:F36"/>
    <mergeCell ref="G33:G36"/>
    <mergeCell ref="H33:H36"/>
    <mergeCell ref="I33:J33"/>
    <mergeCell ref="K33:K36"/>
    <mergeCell ref="L33:L36"/>
    <mergeCell ref="M33:M36"/>
    <mergeCell ref="N33:S36"/>
    <mergeCell ref="I34:J34"/>
    <mergeCell ref="I35:J35"/>
    <mergeCell ref="I36:J36"/>
    <mergeCell ref="D37:D42"/>
    <mergeCell ref="E37:E42"/>
    <mergeCell ref="F37:F42"/>
    <mergeCell ref="G37:G42"/>
    <mergeCell ref="H37:H42"/>
    <mergeCell ref="I37:J37"/>
    <mergeCell ref="K37:K42"/>
    <mergeCell ref="L37:L42"/>
    <mergeCell ref="M37:M42"/>
    <mergeCell ref="N37:S42"/>
    <mergeCell ref="I38:J38"/>
    <mergeCell ref="I39:J39"/>
    <mergeCell ref="I40:J40"/>
    <mergeCell ref="I41:J41"/>
    <mergeCell ref="I42:J42"/>
    <mergeCell ref="E44:N44"/>
    <mergeCell ref="F50:G50"/>
    <mergeCell ref="F51:G51"/>
    <mergeCell ref="E53:N53"/>
    <mergeCell ref="F59:G59"/>
    <mergeCell ref="E62:N62"/>
    <mergeCell ref="F68:G68"/>
    <mergeCell ref="E71:N71"/>
    <mergeCell ref="F77:G77"/>
    <mergeCell ref="D80:S80"/>
    <mergeCell ref="H81:I81"/>
    <mergeCell ref="H82:I82"/>
    <mergeCell ref="H83:I83"/>
    <mergeCell ref="H84:I84"/>
    <mergeCell ref="H85:I85"/>
    <mergeCell ref="H86:I86"/>
    <mergeCell ref="C91:T91"/>
    <mergeCell ref="D93:D94"/>
    <mergeCell ref="E93:E94"/>
    <mergeCell ref="F93:F94"/>
    <mergeCell ref="G93:J93"/>
    <mergeCell ref="L93:S93"/>
    <mergeCell ref="I94:J94"/>
    <mergeCell ref="N94:S94"/>
    <mergeCell ref="D95:D96"/>
    <mergeCell ref="E95:E96"/>
    <mergeCell ref="F95:F96"/>
    <mergeCell ref="G95:G96"/>
    <mergeCell ref="H95:H96"/>
    <mergeCell ref="I95:J95"/>
    <mergeCell ref="K95:K96"/>
    <mergeCell ref="L95:L96"/>
    <mergeCell ref="M95:M96"/>
    <mergeCell ref="N95:S96"/>
    <mergeCell ref="I96:J96"/>
    <mergeCell ref="I97:J97"/>
    <mergeCell ref="N97:S97"/>
    <mergeCell ref="D98:D99"/>
    <mergeCell ref="E98:E99"/>
    <mergeCell ref="F98:F99"/>
    <mergeCell ref="G98:G99"/>
    <mergeCell ref="H98:H99"/>
    <mergeCell ref="I98:J98"/>
    <mergeCell ref="K98:K99"/>
    <mergeCell ref="L98:L99"/>
    <mergeCell ref="M98:M99"/>
    <mergeCell ref="N98:S99"/>
    <mergeCell ref="I99:J99"/>
    <mergeCell ref="D100:D103"/>
    <mergeCell ref="E100:E103"/>
    <mergeCell ref="F100:F103"/>
    <mergeCell ref="G100:G103"/>
    <mergeCell ref="H100:H103"/>
    <mergeCell ref="I100:J100"/>
    <mergeCell ref="K100:K103"/>
    <mergeCell ref="L100:L103"/>
    <mergeCell ref="M100:M103"/>
    <mergeCell ref="N100:S103"/>
    <mergeCell ref="I101:J101"/>
    <mergeCell ref="I102:J102"/>
    <mergeCell ref="I103:J103"/>
    <mergeCell ref="E105:N105"/>
    <mergeCell ref="F111:G111"/>
    <mergeCell ref="E114:N114"/>
    <mergeCell ref="F120:G120"/>
    <mergeCell ref="E123:N123"/>
    <mergeCell ref="F129:G129"/>
    <mergeCell ref="E132:N132"/>
    <mergeCell ref="F138:G138"/>
    <mergeCell ref="D141:S141"/>
    <mergeCell ref="H142:I142"/>
    <mergeCell ref="H143:I143"/>
    <mergeCell ref="H144:I144"/>
    <mergeCell ref="Y144:Z144"/>
    <mergeCell ref="H145:I145"/>
    <mergeCell ref="H146:I146"/>
    <mergeCell ref="H147:I147"/>
    <mergeCell ref="C152:T152"/>
    <mergeCell ref="D154:D155"/>
    <mergeCell ref="E154:E155"/>
    <mergeCell ref="F154:F155"/>
    <mergeCell ref="G154:J154"/>
    <mergeCell ref="L154:S154"/>
    <mergeCell ref="I155:J155"/>
    <mergeCell ref="N155:S155"/>
    <mergeCell ref="D156:D158"/>
    <mergeCell ref="E156:E158"/>
    <mergeCell ref="F156:F158"/>
    <mergeCell ref="G156:G158"/>
    <mergeCell ref="H156:H158"/>
    <mergeCell ref="I156:J156"/>
    <mergeCell ref="K156:K158"/>
    <mergeCell ref="L156:L158"/>
    <mergeCell ref="M156:M158"/>
    <mergeCell ref="N156:S158"/>
    <mergeCell ref="I157:J157"/>
    <mergeCell ref="I158:J158"/>
    <mergeCell ref="D159:D163"/>
    <mergeCell ref="E159:E163"/>
    <mergeCell ref="F159:F163"/>
    <mergeCell ref="G159:G163"/>
    <mergeCell ref="H159:H163"/>
    <mergeCell ref="I159:J159"/>
    <mergeCell ref="K159:K163"/>
    <mergeCell ref="L159:L163"/>
    <mergeCell ref="M159:M163"/>
    <mergeCell ref="N159:S163"/>
    <mergeCell ref="I160:J160"/>
    <mergeCell ref="I161:J161"/>
    <mergeCell ref="I162:J162"/>
    <mergeCell ref="I163:J163"/>
    <mergeCell ref="D164:D166"/>
    <mergeCell ref="E164:E166"/>
    <mergeCell ref="F164:F166"/>
    <mergeCell ref="G164:G166"/>
    <mergeCell ref="H164:H166"/>
    <mergeCell ref="I164:J164"/>
    <mergeCell ref="K164:K166"/>
    <mergeCell ref="L164:L166"/>
    <mergeCell ref="M164:M166"/>
    <mergeCell ref="N164:S166"/>
    <mergeCell ref="I165:J165"/>
    <mergeCell ref="I166:J166"/>
    <mergeCell ref="D167:D168"/>
    <mergeCell ref="E167:E168"/>
    <mergeCell ref="F167:F168"/>
    <mergeCell ref="G167:G168"/>
    <mergeCell ref="H167:H168"/>
    <mergeCell ref="I167:J168"/>
    <mergeCell ref="K167:K168"/>
    <mergeCell ref="L167:L168"/>
    <mergeCell ref="M167:M168"/>
    <mergeCell ref="N167:S167"/>
    <mergeCell ref="N168:S168"/>
    <mergeCell ref="E170:N170"/>
    <mergeCell ref="F176:G176"/>
    <mergeCell ref="E179:N179"/>
    <mergeCell ref="F185:G185"/>
    <mergeCell ref="E188:N188"/>
    <mergeCell ref="F194:G194"/>
    <mergeCell ref="E197:N197"/>
    <mergeCell ref="F203:G203"/>
    <mergeCell ref="D206:S206"/>
    <mergeCell ref="H207:I207"/>
    <mergeCell ref="H208:I208"/>
    <mergeCell ref="H209:I209"/>
    <mergeCell ref="Y209:Z209"/>
    <mergeCell ref="H210:I210"/>
    <mergeCell ref="H211:I211"/>
    <mergeCell ref="H212:I212"/>
  </mergeCells>
  <conditionalFormatting sqref="D21:G22 B6:H16 B17:C17 D17:H18">
    <cfRule type="expression" priority="2" aboveAverage="0" equalAverage="0" bottom="0" percent="0" rank="0" text="" dxfId="1136">
      <formula>$H6="Nein"</formula>
    </cfRule>
    <cfRule type="expression" priority="3" aboveAverage="0" equalAverage="0" bottom="0" percent="0" rank="0" text="" dxfId="1137">
      <formula>$H6="Ja"</formula>
    </cfRule>
  </conditionalFormatting>
  <conditionalFormatting sqref="D83:E83">
    <cfRule type="expression" priority="4" aboveAverage="0" equalAverage="0" bottom="0" percent="0" rank="0" text="" dxfId="1138">
      <formula>$I83="Nein"</formula>
    </cfRule>
    <cfRule type="expression" priority="5" aboveAverage="0" equalAverage="0" bottom="0" percent="0" rank="0" text="" dxfId="1139">
      <formula>$I83="Ja"</formula>
    </cfRule>
  </conditionalFormatting>
  <conditionalFormatting sqref="D212:E212">
    <cfRule type="expression" priority="6" aboveAverage="0" equalAverage="0" bottom="0" percent="0" rank="0" text="" dxfId="1140">
      <formula>$I212="Nein"</formula>
    </cfRule>
    <cfRule type="expression" priority="7" aboveAverage="0" equalAverage="0" bottom="0" percent="0" rank="0" text="" dxfId="1141">
      <formula>$I212="Ja"</formula>
    </cfRule>
  </conditionalFormatting>
  <conditionalFormatting sqref="D86:E86">
    <cfRule type="expression" priority="8" aboveAverage="0" equalAverage="0" bottom="0" percent="0" rank="0" text="" dxfId="1142">
      <formula>$I86="Nein"</formula>
    </cfRule>
    <cfRule type="expression" priority="9" aboveAverage="0" equalAverage="0" bottom="0" percent="0" rank="0" text="" dxfId="1143">
      <formula>$I86="Ja"</formula>
    </cfRule>
  </conditionalFormatting>
  <conditionalFormatting sqref="D83:E83">
    <cfRule type="expression" priority="10" aboveAverage="0" equalAverage="0" bottom="0" percent="0" rank="0" text="" dxfId="1144">
      <formula>$I83="Nein"</formula>
    </cfRule>
    <cfRule type="expression" priority="11" aboveAverage="0" equalAverage="0" bottom="0" percent="0" rank="0" text="" dxfId="1145">
      <formula>$I83="Ja"</formula>
    </cfRule>
  </conditionalFormatting>
  <conditionalFormatting sqref="D147:E147">
    <cfRule type="expression" priority="12" aboveAverage="0" equalAverage="0" bottom="0" percent="0" rank="0" text="" dxfId="1146">
      <formula>$I147="Nein"</formula>
    </cfRule>
    <cfRule type="expression" priority="13" aboveAverage="0" equalAverage="0" bottom="0" percent="0" rank="0" text="" dxfId="1147">
      <formula>$I147="Ja"</formula>
    </cfRule>
  </conditionalFormatting>
  <conditionalFormatting sqref="E46:F49">
    <cfRule type="expression" priority="14" aboveAverage="0" equalAverage="0" bottom="0" percent="0" rank="0" text="" dxfId="1148">
      <formula>$H46="Nein"</formula>
    </cfRule>
    <cfRule type="expression" priority="15" aboveAverage="0" equalAverage="0" bottom="0" percent="0" rank="0" text="" dxfId="1149">
      <formula>$H46="Ja"</formula>
    </cfRule>
  </conditionalFormatting>
  <conditionalFormatting sqref="E55:F58">
    <cfRule type="expression" priority="16" aboveAverage="0" equalAverage="0" bottom="0" percent="0" rank="0" text="" dxfId="1150">
      <formula>$H55="Nein"</formula>
    </cfRule>
    <cfRule type="expression" priority="17" aboveAverage="0" equalAverage="0" bottom="0" percent="0" rank="0" text="" dxfId="1151">
      <formula>$H55="Ja"</formula>
    </cfRule>
  </conditionalFormatting>
  <conditionalFormatting sqref="E64:F67">
    <cfRule type="expression" priority="18" aboveAverage="0" equalAverage="0" bottom="0" percent="0" rank="0" text="" dxfId="1152">
      <formula>$H64="Nein"</formula>
    </cfRule>
    <cfRule type="expression" priority="19" aboveAverage="0" equalAverage="0" bottom="0" percent="0" rank="0" text="" dxfId="1153">
      <formula>$H64="Ja"</formula>
    </cfRule>
  </conditionalFormatting>
  <conditionalFormatting sqref="E73:F76">
    <cfRule type="expression" priority="20" aboveAverage="0" equalAverage="0" bottom="0" percent="0" rank="0" text="" dxfId="1154">
      <formula>$H73="Nein"</formula>
    </cfRule>
    <cfRule type="expression" priority="21" aboveAverage="0" equalAverage="0" bottom="0" percent="0" rank="0" text="" dxfId="1155">
      <formula>$H73="Ja"</formula>
    </cfRule>
  </conditionalFormatting>
  <conditionalFormatting sqref="D82:E82">
    <cfRule type="expression" priority="22" aboveAverage="0" equalAverage="0" bottom="0" percent="0" rank="0" text="" dxfId="1156">
      <formula>$H82="Nein"</formula>
    </cfRule>
    <cfRule type="expression" priority="23" aboveAverage="0" equalAverage="0" bottom="0" percent="0" rank="0" text="" dxfId="1157">
      <formula>$H82="Ja"</formula>
    </cfRule>
  </conditionalFormatting>
  <conditionalFormatting sqref="D85:E85">
    <cfRule type="expression" priority="24" aboveAverage="0" equalAverage="0" bottom="0" percent="0" rank="0" text="" dxfId="1158">
      <formula>$I85="Nein"</formula>
    </cfRule>
    <cfRule type="expression" priority="25" aboveAverage="0" equalAverage="0" bottom="0" percent="0" rank="0" text="" dxfId="1159">
      <formula>$I85="Ja"</formula>
    </cfRule>
  </conditionalFormatting>
  <conditionalFormatting sqref="D85:E85">
    <cfRule type="expression" priority="26" aboveAverage="0" equalAverage="0" bottom="0" percent="0" rank="0" text="" dxfId="1160">
      <formula>$I85="Nein"</formula>
    </cfRule>
    <cfRule type="expression" priority="27" aboveAverage="0" equalAverage="0" bottom="0" percent="0" rank="0" text="" dxfId="1161">
      <formula>$I85="Ja"</formula>
    </cfRule>
  </conditionalFormatting>
  <conditionalFormatting sqref="D84:E84">
    <cfRule type="expression" priority="28" aboveAverage="0" equalAverage="0" bottom="0" percent="0" rank="0" text="" dxfId="1162">
      <formula>$H84="Nein"</formula>
    </cfRule>
    <cfRule type="expression" priority="29" aboveAverage="0" equalAverage="0" bottom="0" percent="0" rank="0" text="" dxfId="1163">
      <formula>$H84="Ja"</formula>
    </cfRule>
  </conditionalFormatting>
  <conditionalFormatting sqref="E107:F110">
    <cfRule type="expression" priority="30" aboveAverage="0" equalAverage="0" bottom="0" percent="0" rank="0" text="" dxfId="1164">
      <formula>$H107="Nein"</formula>
    </cfRule>
    <cfRule type="expression" priority="31" aboveAverage="0" equalAverage="0" bottom="0" percent="0" rank="0" text="" dxfId="1165">
      <formula>$H107="Ja"</formula>
    </cfRule>
  </conditionalFormatting>
  <conditionalFormatting sqref="E116:F119">
    <cfRule type="expression" priority="32" aboveAverage="0" equalAverage="0" bottom="0" percent="0" rank="0" text="" dxfId="1166">
      <formula>$H116="Nein"</formula>
    </cfRule>
    <cfRule type="expression" priority="33" aboveAverage="0" equalAverage="0" bottom="0" percent="0" rank="0" text="" dxfId="1167">
      <formula>$H116="Ja"</formula>
    </cfRule>
  </conditionalFormatting>
  <conditionalFormatting sqref="E125:F128">
    <cfRule type="expression" priority="34" aboveAverage="0" equalAverage="0" bottom="0" percent="0" rank="0" text="" dxfId="1168">
      <formula>$H125="Nein"</formula>
    </cfRule>
    <cfRule type="expression" priority="35" aboveAverage="0" equalAverage="0" bottom="0" percent="0" rank="0" text="" dxfId="1169">
      <formula>$H125="Ja"</formula>
    </cfRule>
  </conditionalFormatting>
  <conditionalFormatting sqref="E134:F137">
    <cfRule type="expression" priority="36" aboveAverage="0" equalAverage="0" bottom="0" percent="0" rank="0" text="" dxfId="1170">
      <formula>$H134="Nein"</formula>
    </cfRule>
    <cfRule type="expression" priority="37" aboveAverage="0" equalAverage="0" bottom="0" percent="0" rank="0" text="" dxfId="1171">
      <formula>$H134="Ja"</formula>
    </cfRule>
  </conditionalFormatting>
  <conditionalFormatting sqref="D143:E143">
    <cfRule type="expression" priority="38" aboveAverage="0" equalAverage="0" bottom="0" percent="0" rank="0" text="" dxfId="1172">
      <formula>$H143="Nein"</formula>
    </cfRule>
    <cfRule type="expression" priority="39" aboveAverage="0" equalAverage="0" bottom="0" percent="0" rank="0" text="" dxfId="1173">
      <formula>$H143="Ja"</formula>
    </cfRule>
  </conditionalFormatting>
  <conditionalFormatting sqref="D144:E144">
    <cfRule type="expression" priority="40" aboveAverage="0" equalAverage="0" bottom="0" percent="0" rank="0" text="" dxfId="1174">
      <formula>$H144="Nein"</formula>
    </cfRule>
    <cfRule type="expression" priority="41" aboveAverage="0" equalAverage="0" bottom="0" percent="0" rank="0" text="" dxfId="1175">
      <formula>$H144="Ja"</formula>
    </cfRule>
  </conditionalFormatting>
  <conditionalFormatting sqref="D145:E145">
    <cfRule type="expression" priority="42" aboveAverage="0" equalAverage="0" bottom="0" percent="0" rank="0" text="" dxfId="1176">
      <formula>$H145="Nein"</formula>
    </cfRule>
    <cfRule type="expression" priority="43" aboveAverage="0" equalAverage="0" bottom="0" percent="0" rank="0" text="" dxfId="1177">
      <formula>$H145="Ja"</formula>
    </cfRule>
  </conditionalFormatting>
  <conditionalFormatting sqref="D146:E146">
    <cfRule type="expression" priority="44" aboveAverage="0" equalAverage="0" bottom="0" percent="0" rank="0" text="" dxfId="1178">
      <formula>$H146="Nein"</formula>
    </cfRule>
    <cfRule type="expression" priority="45" aboveAverage="0" equalAverage="0" bottom="0" percent="0" rank="0" text="" dxfId="1179">
      <formula>$H146="Ja"</formula>
    </cfRule>
  </conditionalFormatting>
  <conditionalFormatting sqref="E172:F175">
    <cfRule type="expression" priority="46" aboveAverage="0" equalAverage="0" bottom="0" percent="0" rank="0" text="" dxfId="1180">
      <formula>$H172="Nein"</formula>
    </cfRule>
    <cfRule type="expression" priority="47" aboveAverage="0" equalAverage="0" bottom="0" percent="0" rank="0" text="" dxfId="1181">
      <formula>$H172="Ja"</formula>
    </cfRule>
  </conditionalFormatting>
  <conditionalFormatting sqref="E181:F184">
    <cfRule type="expression" priority="48" aboveAverage="0" equalAverage="0" bottom="0" percent="0" rank="0" text="" dxfId="1182">
      <formula>$H181="Nein"</formula>
    </cfRule>
    <cfRule type="expression" priority="49" aboveAverage="0" equalAverage="0" bottom="0" percent="0" rank="0" text="" dxfId="1183">
      <formula>$H181="Ja"</formula>
    </cfRule>
  </conditionalFormatting>
  <conditionalFormatting sqref="E190:F193">
    <cfRule type="expression" priority="50" aboveAverage="0" equalAverage="0" bottom="0" percent="0" rank="0" text="" dxfId="1184">
      <formula>$H190="Nein"</formula>
    </cfRule>
    <cfRule type="expression" priority="51" aboveAverage="0" equalAverage="0" bottom="0" percent="0" rank="0" text="" dxfId="1185">
      <formula>$H190="Ja"</formula>
    </cfRule>
  </conditionalFormatting>
  <conditionalFormatting sqref="E199:F202">
    <cfRule type="expression" priority="52" aboveAverage="0" equalAverage="0" bottom="0" percent="0" rank="0" text="" dxfId="1186">
      <formula>$H199="Nein"</formula>
    </cfRule>
    <cfRule type="expression" priority="53" aboveAverage="0" equalAverage="0" bottom="0" percent="0" rank="0" text="" dxfId="1187">
      <formula>$H199="Ja"</formula>
    </cfRule>
  </conditionalFormatting>
  <conditionalFormatting sqref="D208:E208">
    <cfRule type="expression" priority="54" aboveAverage="0" equalAverage="0" bottom="0" percent="0" rank="0" text="" dxfId="1188">
      <formula>$H208="Nein"</formula>
    </cfRule>
    <cfRule type="expression" priority="55" aboveAverage="0" equalAverage="0" bottom="0" percent="0" rank="0" text="" dxfId="1189">
      <formula>$H208="Ja"</formula>
    </cfRule>
  </conditionalFormatting>
  <conditionalFormatting sqref="D209:E209">
    <cfRule type="expression" priority="56" aboveAverage="0" equalAverage="0" bottom="0" percent="0" rank="0" text="" dxfId="1190">
      <formula>$H209="Nein"</formula>
    </cfRule>
    <cfRule type="expression" priority="57" aboveAverage="0" equalAverage="0" bottom="0" percent="0" rank="0" text="" dxfId="1191">
      <formula>$H209="Ja"</formula>
    </cfRule>
  </conditionalFormatting>
  <conditionalFormatting sqref="D210:E210">
    <cfRule type="expression" priority="58" aboveAverage="0" equalAverage="0" bottom="0" percent="0" rank="0" text="" dxfId="1192">
      <formula>$H210="Nein"</formula>
    </cfRule>
    <cfRule type="expression" priority="59" aboveAverage="0" equalAverage="0" bottom="0" percent="0" rank="0" text="" dxfId="1193">
      <formula>$H210="Ja"</formula>
    </cfRule>
  </conditionalFormatting>
  <conditionalFormatting sqref="D211:E211">
    <cfRule type="expression" priority="60" aboveAverage="0" equalAverage="0" bottom="0" percent="0" rank="0" text="" dxfId="1194">
      <formula>$H211="Nein"</formula>
    </cfRule>
    <cfRule type="expression" priority="61" aboveAverage="0" equalAverage="0" bottom="0" percent="0" rank="0" text="" dxfId="1195">
      <formula>$H211="Ja"</formula>
    </cfRule>
  </conditionalFormatting>
  <dataValidations count="1">
    <dataValidation allowBlank="true" operator="between" showDropDown="false" showErrorMessage="true" showInputMessage="true" sqref="H6:H18 N22"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221"/>
  <sheetViews>
    <sheetView showFormulas="false" showGridLines="false" showRowColHeaders="true" showZeros="true" rightToLeft="false" tabSelected="true" showOutlineSymbols="true" defaultGridColor="true" view="normal" topLeftCell="A208" colorId="64" zoomScale="80" zoomScaleNormal="80" zoomScalePageLayoutView="100" workbookViewId="0">
      <selection pane="topLeft" activeCell="K243" activeCellId="0" sqref="K243"/>
    </sheetView>
  </sheetViews>
  <sheetFormatPr defaultColWidth="11.43359375" defaultRowHeight="15" zeroHeight="false" outlineLevelRow="1" outlineLevelCol="1"/>
  <cols>
    <col collapsed="false" customWidth="true" hidden="false" outlineLevel="0" max="3" min="1" style="1" width="3.71"/>
    <col collapsed="false" customWidth="true" hidden="false" outlineLevel="0" max="14" min="4" style="1" width="20.71"/>
    <col collapsed="false" customWidth="true" hidden="true" outlineLevel="1" max="18" min="15" style="1" width="20.71"/>
    <col collapsed="false" customWidth="true" hidden="false" outlineLevel="0" max="19" min="19" style="1" width="20.71"/>
    <col collapsed="false" customWidth="true" hidden="false" outlineLevel="0" max="21" min="20" style="1" width="3.71"/>
    <col collapsed="false" customWidth="true" hidden="false" outlineLevel="0" max="22" min="22" style="1" width="15.88"/>
    <col collapsed="false" customWidth="true" hidden="false" outlineLevel="0" max="24" min="23" style="1" width="20.71"/>
    <col collapsed="false" customWidth="false" hidden="false" outlineLevel="0" max="1024" min="25" style="1" width="11.42"/>
  </cols>
  <sheetData>
    <row r="1" customFormat="false" ht="15" hidden="false" customHeight="false" outlineLevel="0" collapsed="false">
      <c r="A1" s="2" t="s">
        <v>578</v>
      </c>
      <c r="B1" s="2"/>
      <c r="C1" s="2"/>
      <c r="D1" s="2"/>
      <c r="E1" s="2"/>
      <c r="F1" s="2"/>
      <c r="G1" s="2"/>
      <c r="H1" s="2"/>
      <c r="I1" s="2"/>
      <c r="J1" s="2"/>
      <c r="K1" s="2"/>
      <c r="L1" s="2"/>
      <c r="M1" s="2"/>
      <c r="N1" s="2"/>
    </row>
    <row r="2" customFormat="false" ht="15" hidden="false" customHeight="false" outlineLevel="0" collapsed="false">
      <c r="A2" s="2"/>
      <c r="B2" s="2"/>
      <c r="C2" s="2"/>
      <c r="D2" s="2"/>
      <c r="E2" s="2"/>
      <c r="F2" s="2"/>
      <c r="G2" s="2"/>
      <c r="H2" s="2"/>
      <c r="I2" s="2"/>
      <c r="J2" s="2"/>
      <c r="K2" s="2"/>
      <c r="L2" s="2"/>
      <c r="M2" s="2"/>
      <c r="N2" s="2"/>
    </row>
    <row r="3" customFormat="false" ht="20.1" hidden="false" customHeight="true" outlineLevel="0" collapsed="false"/>
    <row r="4" customFormat="false" ht="15.75" hidden="false" customHeight="false" outlineLevel="0" collapsed="false">
      <c r="B4" s="3" t="s">
        <v>579</v>
      </c>
      <c r="C4" s="3"/>
      <c r="D4" s="3"/>
      <c r="E4" s="3"/>
      <c r="F4" s="3"/>
      <c r="G4" s="3"/>
      <c r="H4" s="3"/>
      <c r="J4" s="3" t="s">
        <v>2</v>
      </c>
      <c r="K4" s="3"/>
      <c r="L4" s="3"/>
      <c r="O4" s="4"/>
      <c r="P4" s="4"/>
      <c r="Q4" s="4"/>
      <c r="R4" s="5"/>
      <c r="S4" s="4"/>
      <c r="T4" s="4"/>
      <c r="U4" s="4"/>
      <c r="V4" s="4"/>
    </row>
    <row r="5" customFormat="false" ht="50.1" hidden="false" customHeight="true" outlineLevel="0" collapsed="false">
      <c r="B5" s="54" t="s">
        <v>580</v>
      </c>
      <c r="C5" s="54"/>
      <c r="D5" s="303" t="s">
        <v>4</v>
      </c>
      <c r="E5" s="9" t="s">
        <v>5</v>
      </c>
      <c r="F5" s="9" t="s">
        <v>6</v>
      </c>
      <c r="G5" s="57" t="s">
        <v>8</v>
      </c>
      <c r="H5" s="9" t="s">
        <v>581</v>
      </c>
      <c r="J5" s="11" t="s">
        <v>4</v>
      </c>
      <c r="K5" s="12" t="s">
        <v>10</v>
      </c>
      <c r="L5" s="13" t="s">
        <v>11</v>
      </c>
      <c r="O5" s="5"/>
      <c r="Q5" s="4"/>
      <c r="R5" s="4"/>
      <c r="S5" s="4"/>
      <c r="T5" s="5"/>
      <c r="U5" s="5"/>
    </row>
    <row r="6" customFormat="false" ht="20.1" hidden="false" customHeight="true" outlineLevel="0" collapsed="false">
      <c r="B6" s="14" t="n">
        <v>1</v>
      </c>
      <c r="C6" s="14"/>
      <c r="D6" s="18" t="s">
        <v>15</v>
      </c>
      <c r="E6" s="18" t="s">
        <v>16</v>
      </c>
      <c r="F6" s="18" t="s">
        <v>16</v>
      </c>
      <c r="G6" s="18" t="s">
        <v>16</v>
      </c>
      <c r="H6" s="304" t="s">
        <v>14</v>
      </c>
      <c r="J6" s="21" t="str">
        <f aca="false">D6</f>
        <v>Devid Fulterer</v>
      </c>
      <c r="K6" s="22" t="n">
        <v>1</v>
      </c>
      <c r="L6" s="23" t="n">
        <v>1</v>
      </c>
      <c r="O6" s="24"/>
      <c r="T6" s="24"/>
      <c r="U6" s="24"/>
    </row>
    <row r="7" customFormat="false" ht="20.1" hidden="false" customHeight="true" outlineLevel="0" collapsed="false">
      <c r="B7" s="25" t="n">
        <v>2</v>
      </c>
      <c r="C7" s="25"/>
      <c r="D7" s="32" t="s">
        <v>17</v>
      </c>
      <c r="E7" s="32" t="s">
        <v>18</v>
      </c>
      <c r="F7" s="32" t="s">
        <v>19</v>
      </c>
      <c r="G7" s="32" t="s">
        <v>19</v>
      </c>
      <c r="H7" s="305" t="s">
        <v>14</v>
      </c>
      <c r="J7" s="30" t="str">
        <f aca="false">D7</f>
        <v>Judith Fulterer</v>
      </c>
      <c r="K7" s="22"/>
      <c r="L7" s="31" t="n">
        <v>2</v>
      </c>
      <c r="O7" s="24"/>
      <c r="T7" s="24"/>
      <c r="U7" s="24"/>
    </row>
    <row r="8" customFormat="false" ht="20.1" hidden="false" customHeight="true" outlineLevel="0" collapsed="false">
      <c r="B8" s="25" t="n">
        <v>3</v>
      </c>
      <c r="C8" s="25"/>
      <c r="D8" s="33" t="s">
        <v>384</v>
      </c>
      <c r="E8" s="32" t="s">
        <v>28</v>
      </c>
      <c r="F8" s="306" t="s">
        <v>28</v>
      </c>
      <c r="G8" s="32" t="s">
        <v>28</v>
      </c>
      <c r="H8" s="305" t="s">
        <v>14</v>
      </c>
      <c r="J8" s="30" t="str">
        <f aca="false">D8</f>
        <v>Pauline Micke</v>
      </c>
      <c r="K8" s="22"/>
      <c r="L8" s="31" t="n">
        <v>3</v>
      </c>
      <c r="O8" s="24"/>
      <c r="T8" s="24"/>
      <c r="U8" s="24"/>
    </row>
    <row r="9" customFormat="false" ht="20.1" hidden="false" customHeight="true" outlineLevel="0" collapsed="false">
      <c r="B9" s="25" t="n">
        <v>4</v>
      </c>
      <c r="C9" s="25"/>
      <c r="D9" s="33" t="s">
        <v>37</v>
      </c>
      <c r="E9" s="33" t="s">
        <v>38</v>
      </c>
      <c r="F9" s="34" t="s">
        <v>38</v>
      </c>
      <c r="G9" s="32" t="s">
        <v>35</v>
      </c>
      <c r="H9" s="305" t="s">
        <v>14</v>
      </c>
      <c r="J9" s="35" t="str">
        <f aca="false">D9</f>
        <v>Bea Kittner</v>
      </c>
      <c r="K9" s="22"/>
      <c r="L9" s="36" t="n">
        <v>4</v>
      </c>
      <c r="O9" s="24"/>
      <c r="T9" s="24"/>
      <c r="U9" s="24"/>
    </row>
    <row r="10" customFormat="false" ht="20.1" hidden="false" customHeight="true" outlineLevel="0" collapsed="false">
      <c r="B10" s="25" t="n">
        <v>5</v>
      </c>
      <c r="C10" s="25"/>
      <c r="D10" s="32" t="s">
        <v>20</v>
      </c>
      <c r="E10" s="32" t="s">
        <v>21</v>
      </c>
      <c r="F10" s="32" t="s">
        <v>21</v>
      </c>
      <c r="G10" s="32" t="s">
        <v>21</v>
      </c>
      <c r="H10" s="305" t="s">
        <v>14</v>
      </c>
      <c r="J10" s="21" t="str">
        <f aca="false">D10</f>
        <v>Andreas Micke</v>
      </c>
      <c r="K10" s="37" t="n">
        <v>2</v>
      </c>
      <c r="L10" s="23" t="n">
        <v>1</v>
      </c>
      <c r="O10" s="24"/>
      <c r="T10" s="24"/>
      <c r="U10" s="24"/>
    </row>
    <row r="11" customFormat="false" ht="20.1" hidden="false" customHeight="true" outlineLevel="0" collapsed="false">
      <c r="B11" s="25" t="n">
        <v>6</v>
      </c>
      <c r="C11" s="25"/>
      <c r="D11" s="33" t="s">
        <v>39</v>
      </c>
      <c r="E11" s="33" t="s">
        <v>40</v>
      </c>
      <c r="F11" s="34" t="s">
        <v>40</v>
      </c>
      <c r="G11" s="32" t="s">
        <v>40</v>
      </c>
      <c r="H11" s="305" t="s">
        <v>14</v>
      </c>
      <c r="J11" s="30" t="str">
        <f aca="false">D11</f>
        <v>Markus Hagenauer</v>
      </c>
      <c r="K11" s="37"/>
      <c r="L11" s="31" t="n">
        <v>2</v>
      </c>
      <c r="O11" s="24"/>
      <c r="T11" s="24"/>
      <c r="U11" s="24"/>
    </row>
    <row r="12" customFormat="false" ht="20.1" hidden="false" customHeight="true" outlineLevel="0" collapsed="false">
      <c r="B12" s="25" t="n">
        <v>7</v>
      </c>
      <c r="C12" s="25"/>
      <c r="D12" s="32" t="s">
        <v>12</v>
      </c>
      <c r="E12" s="32" t="s">
        <v>13</v>
      </c>
      <c r="F12" s="32" t="s">
        <v>13</v>
      </c>
      <c r="G12" s="32" t="s">
        <v>13</v>
      </c>
      <c r="H12" s="305" t="s">
        <v>14</v>
      </c>
      <c r="J12" s="30" t="str">
        <f aca="false">D12</f>
        <v>Jonas Röhrig</v>
      </c>
      <c r="K12" s="37"/>
      <c r="L12" s="31" t="n">
        <v>3</v>
      </c>
      <c r="O12" s="24"/>
      <c r="T12" s="24"/>
      <c r="U12" s="24"/>
    </row>
    <row r="13" customFormat="false" ht="20.1" hidden="false" customHeight="true" outlineLevel="0" collapsed="false">
      <c r="B13" s="25" t="n">
        <v>8</v>
      </c>
      <c r="C13" s="25"/>
      <c r="D13" s="26" t="s">
        <v>43</v>
      </c>
      <c r="E13" s="33" t="s">
        <v>44</v>
      </c>
      <c r="F13" s="34" t="s">
        <v>44</v>
      </c>
      <c r="G13" s="28" t="s">
        <v>44</v>
      </c>
      <c r="H13" s="29" t="s">
        <v>14</v>
      </c>
      <c r="J13" s="35" t="str">
        <f aca="false">D13</f>
        <v>Fabian Spaniol</v>
      </c>
      <c r="K13" s="37"/>
      <c r="L13" s="36" t="n">
        <v>4</v>
      </c>
      <c r="O13" s="24"/>
      <c r="T13" s="24"/>
      <c r="U13" s="24"/>
    </row>
    <row r="14" customFormat="false" ht="20.1" hidden="false" customHeight="true" outlineLevel="0" collapsed="false">
      <c r="B14" s="25" t="n">
        <v>9</v>
      </c>
      <c r="C14" s="25"/>
      <c r="D14" s="33" t="s">
        <v>31</v>
      </c>
      <c r="E14" s="33" t="s">
        <v>32</v>
      </c>
      <c r="F14" s="34" t="s">
        <v>32</v>
      </c>
      <c r="G14" s="32" t="s">
        <v>32</v>
      </c>
      <c r="H14" s="305" t="s">
        <v>14</v>
      </c>
      <c r="J14" s="21" t="str">
        <f aca="false">D14</f>
        <v>Daniel Zimmermann</v>
      </c>
      <c r="K14" s="22" t="n">
        <v>3</v>
      </c>
      <c r="L14" s="23" t="n">
        <v>1</v>
      </c>
      <c r="O14" s="24"/>
      <c r="T14" s="24"/>
      <c r="U14" s="24"/>
    </row>
    <row r="15" customFormat="false" ht="20.1" hidden="false" customHeight="true" outlineLevel="0" collapsed="false">
      <c r="B15" s="25" t="n">
        <v>10</v>
      </c>
      <c r="C15" s="25"/>
      <c r="D15" s="33" t="s">
        <v>29</v>
      </c>
      <c r="E15" s="33" t="s">
        <v>30</v>
      </c>
      <c r="F15" s="34" t="s">
        <v>30</v>
      </c>
      <c r="G15" s="32" t="s">
        <v>30</v>
      </c>
      <c r="H15" s="305" t="s">
        <v>14</v>
      </c>
      <c r="J15" s="30" t="str">
        <f aca="false">D15</f>
        <v>Kai Maibaum</v>
      </c>
      <c r="K15" s="22"/>
      <c r="L15" s="31" t="n">
        <v>2</v>
      </c>
      <c r="O15" s="24"/>
      <c r="T15" s="24"/>
      <c r="U15" s="24"/>
    </row>
    <row r="16" customFormat="false" ht="20.1" hidden="false" customHeight="true" outlineLevel="0" collapsed="false">
      <c r="B16" s="25" t="n">
        <v>11</v>
      </c>
      <c r="C16" s="25"/>
      <c r="D16" s="26" t="s">
        <v>560</v>
      </c>
      <c r="E16" s="33" t="s">
        <v>561</v>
      </c>
      <c r="F16" s="34" t="s">
        <v>561</v>
      </c>
      <c r="G16" s="28" t="s">
        <v>35</v>
      </c>
      <c r="H16" s="305" t="s">
        <v>36</v>
      </c>
      <c r="J16" s="39" t="str">
        <f aca="false">D16</f>
        <v>Alexander Bürgel</v>
      </c>
      <c r="K16" s="22"/>
      <c r="L16" s="31" t="n">
        <v>3</v>
      </c>
      <c r="O16" s="24"/>
      <c r="T16" s="24"/>
      <c r="U16" s="24"/>
    </row>
    <row r="17" customFormat="false" ht="20.1" hidden="false" customHeight="true" outlineLevel="0" collapsed="false">
      <c r="B17" s="42" t="n">
        <v>12</v>
      </c>
      <c r="C17" s="42"/>
      <c r="D17" s="43" t="s">
        <v>562</v>
      </c>
      <c r="E17" s="44" t="s">
        <v>563</v>
      </c>
      <c r="F17" s="45" t="s">
        <v>563</v>
      </c>
      <c r="G17" s="47" t="s">
        <v>35</v>
      </c>
      <c r="H17" s="309" t="s">
        <v>14</v>
      </c>
      <c r="J17" s="49" t="str">
        <f aca="false">D17</f>
        <v>Charlotte Schöpges</v>
      </c>
      <c r="K17" s="22"/>
      <c r="L17" s="50" t="n">
        <v>4</v>
      </c>
      <c r="O17" s="24"/>
      <c r="T17" s="24"/>
      <c r="U17" s="24"/>
    </row>
    <row r="18" customFormat="false" ht="20.1" hidden="false" customHeight="true" outlineLevel="0" collapsed="false">
      <c r="D18" s="162"/>
      <c r="E18" s="162"/>
      <c r="F18" s="162"/>
      <c r="G18" s="162"/>
      <c r="H18" s="310"/>
      <c r="J18" s="51" t="s">
        <v>582</v>
      </c>
      <c r="K18" s="51"/>
      <c r="L18" s="52" t="n">
        <f aca="false">ROWS(L6:L17)</f>
        <v>12</v>
      </c>
      <c r="N18" s="4"/>
      <c r="O18" s="4"/>
      <c r="Q18" s="4"/>
      <c r="R18" s="4"/>
      <c r="S18" s="4"/>
      <c r="T18" s="4"/>
    </row>
    <row r="19" customFormat="false" ht="15.75" hidden="false" customHeight="false" outlineLevel="0" collapsed="false">
      <c r="B19" s="3" t="s">
        <v>583</v>
      </c>
      <c r="C19" s="3"/>
      <c r="D19" s="3"/>
      <c r="E19" s="3"/>
      <c r="F19" s="3"/>
      <c r="G19" s="3"/>
      <c r="K19" s="53"/>
      <c r="L19" s="53"/>
      <c r="M19" s="53"/>
      <c r="N19" s="5"/>
      <c r="O19" s="4"/>
      <c r="P19" s="4"/>
      <c r="R19" s="4"/>
      <c r="S19" s="4"/>
      <c r="T19" s="4"/>
      <c r="U19" s="4"/>
    </row>
    <row r="20" customFormat="false" ht="30.75" hidden="false" customHeight="true" outlineLevel="0" collapsed="false">
      <c r="B20" s="54" t="s">
        <v>51</v>
      </c>
      <c r="C20" s="54"/>
      <c r="D20" s="55" t="s">
        <v>4</v>
      </c>
      <c r="E20" s="9" t="s">
        <v>5</v>
      </c>
      <c r="F20" s="9" t="s">
        <v>6</v>
      </c>
      <c r="G20" s="57" t="s">
        <v>8</v>
      </c>
      <c r="K20" s="53"/>
      <c r="L20" s="53"/>
      <c r="M20" s="53"/>
      <c r="N20" s="5"/>
      <c r="O20" s="4"/>
      <c r="P20" s="4"/>
      <c r="R20" s="4"/>
      <c r="S20" s="4"/>
      <c r="T20" s="4"/>
      <c r="U20" s="4"/>
    </row>
    <row r="21" customFormat="false" ht="20.1" hidden="false" customHeight="true" outlineLevel="0" collapsed="false">
      <c r="B21" s="534" t="n">
        <v>1</v>
      </c>
      <c r="C21" s="534"/>
      <c r="D21" s="453" t="s">
        <v>33</v>
      </c>
      <c r="E21" s="313" t="s">
        <v>34</v>
      </c>
      <c r="F21" s="314" t="s">
        <v>35</v>
      </c>
      <c r="G21" s="316" t="s">
        <v>35</v>
      </c>
      <c r="N21" s="4"/>
      <c r="O21" s="4"/>
      <c r="Q21" s="4"/>
      <c r="R21" s="4"/>
      <c r="S21" s="4"/>
      <c r="T21" s="4"/>
    </row>
    <row r="22" customFormat="false" ht="20.1" hidden="false" customHeight="true" outlineLevel="0" collapsed="false">
      <c r="L22" s="53"/>
      <c r="M22" s="53"/>
      <c r="N22" s="53"/>
      <c r="O22" s="5"/>
      <c r="P22" s="4"/>
      <c r="Q22" s="4"/>
      <c r="S22" s="4"/>
      <c r="T22" s="4"/>
      <c r="U22" s="4"/>
      <c r="V22" s="4"/>
    </row>
    <row r="23" customFormat="false" ht="20.1" hidden="false" customHeight="true" outlineLevel="0" collapsed="false">
      <c r="B23" s="62"/>
      <c r="C23" s="62"/>
      <c r="D23" s="63"/>
      <c r="E23" s="63"/>
      <c r="F23" s="63"/>
      <c r="G23" s="63"/>
      <c r="H23" s="62"/>
      <c r="I23" s="62"/>
      <c r="J23" s="62"/>
      <c r="K23" s="62"/>
      <c r="L23" s="62"/>
      <c r="M23" s="62"/>
      <c r="N23" s="62"/>
      <c r="O23" s="62"/>
      <c r="P23" s="62"/>
      <c r="Q23" s="62"/>
      <c r="R23" s="62"/>
      <c r="S23" s="62"/>
      <c r="T23" s="62"/>
      <c r="U23" s="62"/>
    </row>
    <row r="24" customFormat="false" ht="30" hidden="false" customHeight="true" outlineLevel="0" collapsed="false">
      <c r="B24" s="62"/>
      <c r="C24" s="64" t="s">
        <v>52</v>
      </c>
      <c r="D24" s="64"/>
      <c r="E24" s="64"/>
      <c r="F24" s="64"/>
      <c r="G24" s="64"/>
      <c r="H24" s="64"/>
      <c r="I24" s="64"/>
      <c r="J24" s="64"/>
      <c r="K24" s="64"/>
      <c r="L24" s="64"/>
      <c r="M24" s="64"/>
      <c r="N24" s="64"/>
      <c r="O24" s="64"/>
      <c r="P24" s="64"/>
      <c r="Q24" s="64"/>
      <c r="R24" s="64"/>
      <c r="S24" s="64"/>
      <c r="T24" s="64"/>
      <c r="U24" s="62"/>
    </row>
    <row r="25" customFormat="false" ht="20.1" hidden="false" customHeight="true" outlineLevel="0" collapsed="false">
      <c r="B25" s="62"/>
      <c r="U25" s="62"/>
    </row>
    <row r="26" customFormat="false" ht="20.1" hidden="false" customHeight="true" outlineLevel="0" collapsed="false">
      <c r="B26" s="62"/>
      <c r="D26" s="65" t="s">
        <v>53</v>
      </c>
      <c r="E26" s="66" t="s">
        <v>54</v>
      </c>
      <c r="F26" s="67" t="s">
        <v>11</v>
      </c>
      <c r="G26" s="66" t="s">
        <v>55</v>
      </c>
      <c r="H26" s="66"/>
      <c r="I26" s="66"/>
      <c r="J26" s="66"/>
      <c r="K26" s="66" t="s">
        <v>56</v>
      </c>
      <c r="L26" s="68" t="s">
        <v>57</v>
      </c>
      <c r="M26" s="68"/>
      <c r="N26" s="68"/>
      <c r="O26" s="68"/>
      <c r="P26" s="68"/>
      <c r="Q26" s="68"/>
      <c r="R26" s="68"/>
      <c r="S26" s="68"/>
      <c r="U26" s="62"/>
    </row>
    <row r="27" customFormat="false" ht="20.1" hidden="false" customHeight="true" outlineLevel="0" collapsed="false">
      <c r="B27" s="62"/>
      <c r="D27" s="65"/>
      <c r="E27" s="66"/>
      <c r="F27" s="66"/>
      <c r="G27" s="317" t="s">
        <v>58</v>
      </c>
      <c r="H27" s="317" t="s">
        <v>59</v>
      </c>
      <c r="I27" s="226" t="s">
        <v>60</v>
      </c>
      <c r="J27" s="226"/>
      <c r="K27" s="69" t="s">
        <v>61</v>
      </c>
      <c r="L27" s="69" t="s">
        <v>58</v>
      </c>
      <c r="M27" s="70" t="s">
        <v>62</v>
      </c>
      <c r="N27" s="67" t="s">
        <v>60</v>
      </c>
      <c r="O27" s="67"/>
      <c r="P27" s="67"/>
      <c r="Q27" s="67"/>
      <c r="R27" s="67"/>
      <c r="S27" s="67"/>
      <c r="U27" s="62"/>
    </row>
    <row r="28" customFormat="false" ht="15" hidden="false" customHeight="true" outlineLevel="0" collapsed="false">
      <c r="B28" s="62"/>
      <c r="D28" s="318" t="s">
        <v>15</v>
      </c>
      <c r="E28" s="16" t="s">
        <v>16</v>
      </c>
      <c r="F28" s="23" t="n">
        <v>1</v>
      </c>
      <c r="G28" s="72" t="s">
        <v>63</v>
      </c>
      <c r="H28" s="320" t="s">
        <v>68</v>
      </c>
      <c r="I28" s="321" t="s">
        <v>584</v>
      </c>
      <c r="J28" s="321"/>
      <c r="K28" s="659" t="s">
        <v>64</v>
      </c>
      <c r="L28" s="352" t="s">
        <v>67</v>
      </c>
      <c r="M28" s="324" t="s">
        <v>67</v>
      </c>
      <c r="N28" s="78" t="s">
        <v>67</v>
      </c>
      <c r="O28" s="78"/>
      <c r="P28" s="78"/>
      <c r="Q28" s="78"/>
      <c r="R28" s="78"/>
      <c r="S28" s="78"/>
      <c r="U28" s="62"/>
    </row>
    <row r="29" customFormat="false" ht="27.95" hidden="false" customHeight="true" outlineLevel="0" collapsed="false">
      <c r="B29" s="62"/>
      <c r="D29" s="318"/>
      <c r="E29" s="16"/>
      <c r="F29" s="23"/>
      <c r="G29" s="72"/>
      <c r="H29" s="320"/>
      <c r="I29" s="325" t="s">
        <v>585</v>
      </c>
      <c r="J29" s="325"/>
      <c r="K29" s="659"/>
      <c r="L29" s="352"/>
      <c r="M29" s="324"/>
      <c r="N29" s="78"/>
      <c r="O29" s="78"/>
      <c r="P29" s="78"/>
      <c r="Q29" s="78"/>
      <c r="R29" s="78"/>
      <c r="S29" s="78"/>
      <c r="U29" s="62"/>
    </row>
    <row r="30" customFormat="false" ht="15" hidden="false" customHeight="true" outlineLevel="0" collapsed="false">
      <c r="B30" s="62"/>
      <c r="D30" s="318"/>
      <c r="E30" s="16"/>
      <c r="F30" s="23"/>
      <c r="G30" s="72"/>
      <c r="H30" s="320"/>
      <c r="I30" s="325" t="s">
        <v>318</v>
      </c>
      <c r="J30" s="325"/>
      <c r="K30" s="659"/>
      <c r="L30" s="352"/>
      <c r="M30" s="324"/>
      <c r="N30" s="78"/>
      <c r="O30" s="78"/>
      <c r="P30" s="78"/>
      <c r="Q30" s="78"/>
      <c r="R30" s="78"/>
      <c r="S30" s="78"/>
      <c r="U30" s="62"/>
    </row>
    <row r="31" customFormat="false" ht="15" hidden="false" customHeight="true" outlineLevel="0" collapsed="false">
      <c r="B31" s="62"/>
      <c r="D31" s="318"/>
      <c r="E31" s="16"/>
      <c r="F31" s="23"/>
      <c r="G31" s="72"/>
      <c r="H31" s="320"/>
      <c r="I31" s="325" t="s">
        <v>586</v>
      </c>
      <c r="J31" s="325"/>
      <c r="K31" s="659"/>
      <c r="L31" s="352"/>
      <c r="M31" s="324"/>
      <c r="N31" s="78"/>
      <c r="O31" s="78"/>
      <c r="P31" s="78"/>
      <c r="Q31" s="78"/>
      <c r="R31" s="78"/>
      <c r="S31" s="78"/>
      <c r="U31" s="62"/>
    </row>
    <row r="32" customFormat="false" ht="15" hidden="false" customHeight="true" outlineLevel="0" collapsed="false">
      <c r="B32" s="62"/>
      <c r="D32" s="318"/>
      <c r="E32" s="16"/>
      <c r="F32" s="23"/>
      <c r="G32" s="72"/>
      <c r="H32" s="320"/>
      <c r="I32" s="325" t="s">
        <v>587</v>
      </c>
      <c r="J32" s="325"/>
      <c r="K32" s="659"/>
      <c r="L32" s="352"/>
      <c r="M32" s="324"/>
      <c r="N32" s="78"/>
      <c r="O32" s="78"/>
      <c r="P32" s="78"/>
      <c r="Q32" s="78"/>
      <c r="R32" s="78"/>
      <c r="S32" s="78"/>
      <c r="U32" s="62"/>
    </row>
    <row r="33" customFormat="false" ht="15" hidden="false" customHeight="true" outlineLevel="0" collapsed="false">
      <c r="B33" s="62"/>
      <c r="D33" s="318"/>
      <c r="E33" s="16"/>
      <c r="F33" s="23"/>
      <c r="G33" s="72"/>
      <c r="H33" s="320"/>
      <c r="I33" s="325" t="s">
        <v>588</v>
      </c>
      <c r="J33" s="325"/>
      <c r="K33" s="659"/>
      <c r="L33" s="352"/>
      <c r="M33" s="324"/>
      <c r="N33" s="78"/>
      <c r="O33" s="78"/>
      <c r="P33" s="78"/>
      <c r="Q33" s="78"/>
      <c r="R33" s="78"/>
      <c r="S33" s="78"/>
      <c r="U33" s="62"/>
    </row>
    <row r="34" customFormat="false" ht="15" hidden="false" customHeight="true" outlineLevel="0" collapsed="false">
      <c r="B34" s="62"/>
      <c r="D34" s="318"/>
      <c r="E34" s="16"/>
      <c r="F34" s="23"/>
      <c r="G34" s="72"/>
      <c r="H34" s="320"/>
      <c r="I34" s="325" t="s">
        <v>589</v>
      </c>
      <c r="J34" s="325"/>
      <c r="K34" s="659"/>
      <c r="L34" s="352"/>
      <c r="M34" s="324"/>
      <c r="N34" s="78"/>
      <c r="O34" s="78"/>
      <c r="P34" s="78"/>
      <c r="Q34" s="78"/>
      <c r="R34" s="78"/>
      <c r="S34" s="78"/>
      <c r="U34" s="62"/>
    </row>
    <row r="35" customFormat="false" ht="15" hidden="false" customHeight="true" outlineLevel="0" collapsed="false">
      <c r="B35" s="62"/>
      <c r="D35" s="318"/>
      <c r="E35" s="16"/>
      <c r="F35" s="23"/>
      <c r="G35" s="72"/>
      <c r="H35" s="320"/>
      <c r="I35" s="360" t="s">
        <v>323</v>
      </c>
      <c r="J35" s="360"/>
      <c r="K35" s="659"/>
      <c r="L35" s="352"/>
      <c r="M35" s="324"/>
      <c r="N35" s="78"/>
      <c r="O35" s="78"/>
      <c r="P35" s="78"/>
      <c r="Q35" s="78"/>
      <c r="R35" s="78"/>
      <c r="S35" s="78"/>
      <c r="U35" s="62"/>
    </row>
    <row r="36" customFormat="false" ht="14.45" hidden="false" customHeight="true" outlineLevel="0" collapsed="false">
      <c r="B36" s="62"/>
      <c r="D36" s="326" t="s">
        <v>17</v>
      </c>
      <c r="E36" s="306" t="s">
        <v>18</v>
      </c>
      <c r="F36" s="31" t="n">
        <v>2</v>
      </c>
      <c r="G36" s="80" t="s">
        <v>63</v>
      </c>
      <c r="H36" s="82" t="s">
        <v>64</v>
      </c>
      <c r="I36" s="328" t="s">
        <v>385</v>
      </c>
      <c r="J36" s="328"/>
      <c r="K36" s="541" t="s">
        <v>68</v>
      </c>
      <c r="L36" s="327" t="s">
        <v>63</v>
      </c>
      <c r="M36" s="384" t="s">
        <v>590</v>
      </c>
      <c r="N36" s="281" t="s">
        <v>591</v>
      </c>
      <c r="O36" s="281"/>
      <c r="P36" s="281"/>
      <c r="Q36" s="281"/>
      <c r="R36" s="281"/>
      <c r="S36" s="281"/>
      <c r="U36" s="62"/>
    </row>
    <row r="37" customFormat="false" ht="14.45" hidden="false" customHeight="true" outlineLevel="0" collapsed="false">
      <c r="B37" s="62"/>
      <c r="D37" s="326"/>
      <c r="E37" s="306"/>
      <c r="F37" s="31"/>
      <c r="G37" s="80"/>
      <c r="H37" s="82"/>
      <c r="I37" s="361" t="s">
        <v>386</v>
      </c>
      <c r="J37" s="361"/>
      <c r="K37" s="541"/>
      <c r="L37" s="327"/>
      <c r="M37" s="384"/>
      <c r="N37" s="281"/>
      <c r="O37" s="281"/>
      <c r="P37" s="281"/>
      <c r="Q37" s="281"/>
      <c r="R37" s="281"/>
      <c r="S37" s="281"/>
      <c r="U37" s="62"/>
    </row>
    <row r="38" customFormat="false" ht="15" hidden="false" customHeight="true" outlineLevel="0" collapsed="false">
      <c r="B38" s="62"/>
      <c r="D38" s="333" t="s">
        <v>384</v>
      </c>
      <c r="E38" s="33" t="s">
        <v>28</v>
      </c>
      <c r="F38" s="31" t="n">
        <v>3</v>
      </c>
      <c r="G38" s="87" t="s">
        <v>114</v>
      </c>
      <c r="H38" s="89" t="s">
        <v>470</v>
      </c>
      <c r="I38" s="335" t="s">
        <v>471</v>
      </c>
      <c r="J38" s="335"/>
      <c r="K38" s="660" t="s">
        <v>64</v>
      </c>
      <c r="L38" s="330" t="s">
        <v>67</v>
      </c>
      <c r="M38" s="331" t="s">
        <v>67</v>
      </c>
      <c r="N38" s="337" t="s">
        <v>67</v>
      </c>
      <c r="O38" s="337"/>
      <c r="P38" s="337"/>
      <c r="Q38" s="337"/>
      <c r="R38" s="337"/>
      <c r="S38" s="337"/>
      <c r="U38" s="62"/>
    </row>
    <row r="39" customFormat="false" ht="15" hidden="false" customHeight="true" outlineLevel="0" collapsed="false">
      <c r="B39" s="62"/>
      <c r="D39" s="333"/>
      <c r="E39" s="33"/>
      <c r="F39" s="31"/>
      <c r="G39" s="87"/>
      <c r="H39" s="89"/>
      <c r="I39" s="338" t="s">
        <v>565</v>
      </c>
      <c r="J39" s="338"/>
      <c r="K39" s="660"/>
      <c r="L39" s="330"/>
      <c r="M39" s="331"/>
      <c r="N39" s="337"/>
      <c r="O39" s="337"/>
      <c r="P39" s="337"/>
      <c r="Q39" s="337"/>
      <c r="R39" s="337"/>
      <c r="S39" s="337"/>
      <c r="U39" s="62"/>
    </row>
    <row r="40" customFormat="false" ht="15" hidden="false" customHeight="true" outlineLevel="0" collapsed="false">
      <c r="B40" s="62"/>
      <c r="D40" s="333"/>
      <c r="E40" s="33"/>
      <c r="F40" s="31"/>
      <c r="G40" s="87"/>
      <c r="H40" s="89"/>
      <c r="I40" s="338" t="s">
        <v>473</v>
      </c>
      <c r="J40" s="338"/>
      <c r="K40" s="660"/>
      <c r="L40" s="330"/>
      <c r="M40" s="331"/>
      <c r="N40" s="337"/>
      <c r="O40" s="337"/>
      <c r="P40" s="337"/>
      <c r="Q40" s="337"/>
      <c r="R40" s="337"/>
      <c r="S40" s="337"/>
      <c r="U40" s="62"/>
    </row>
    <row r="41" customFormat="false" ht="27.95" hidden="false" customHeight="true" outlineLevel="0" collapsed="false">
      <c r="B41" s="62"/>
      <c r="D41" s="333"/>
      <c r="E41" s="33"/>
      <c r="F41" s="31"/>
      <c r="G41" s="87"/>
      <c r="H41" s="89"/>
      <c r="I41" s="338" t="s">
        <v>566</v>
      </c>
      <c r="J41" s="338"/>
      <c r="K41" s="660"/>
      <c r="L41" s="330"/>
      <c r="M41" s="331"/>
      <c r="N41" s="337"/>
      <c r="O41" s="337"/>
      <c r="P41" s="337"/>
      <c r="Q41" s="337"/>
      <c r="R41" s="337"/>
      <c r="S41" s="337"/>
      <c r="U41" s="62"/>
    </row>
    <row r="42" customFormat="false" ht="15" hidden="false" customHeight="true" outlineLevel="0" collapsed="false">
      <c r="B42" s="62"/>
      <c r="D42" s="362" t="s">
        <v>20</v>
      </c>
      <c r="E42" s="44" t="s">
        <v>21</v>
      </c>
      <c r="F42" s="340" t="n">
        <v>4</v>
      </c>
      <c r="G42" s="491" t="s">
        <v>63</v>
      </c>
      <c r="H42" s="341" t="s">
        <v>217</v>
      </c>
      <c r="I42" s="342" t="s">
        <v>218</v>
      </c>
      <c r="J42" s="342"/>
      <c r="K42" s="441" t="s">
        <v>111</v>
      </c>
      <c r="L42" s="344" t="s">
        <v>67</v>
      </c>
      <c r="M42" s="345" t="s">
        <v>67</v>
      </c>
      <c r="N42" s="346" t="s">
        <v>67</v>
      </c>
      <c r="O42" s="346"/>
      <c r="P42" s="346"/>
      <c r="Q42" s="346"/>
      <c r="R42" s="346"/>
      <c r="S42" s="346"/>
      <c r="U42" s="62"/>
    </row>
    <row r="43" customFormat="false" ht="42" hidden="false" customHeight="true" outlineLevel="0" collapsed="false">
      <c r="B43" s="62"/>
      <c r="D43" s="362"/>
      <c r="E43" s="44"/>
      <c r="F43" s="340"/>
      <c r="G43" s="491"/>
      <c r="H43" s="341"/>
      <c r="I43" s="348" t="s">
        <v>371</v>
      </c>
      <c r="J43" s="348"/>
      <c r="K43" s="441"/>
      <c r="L43" s="344"/>
      <c r="M43" s="345"/>
      <c r="N43" s="346"/>
      <c r="O43" s="346"/>
      <c r="P43" s="346"/>
      <c r="Q43" s="346"/>
      <c r="R43" s="346"/>
      <c r="S43" s="346"/>
      <c r="U43" s="62"/>
    </row>
    <row r="44" customFormat="false" ht="20.1" hidden="false" customHeight="true" outlineLevel="0" collapsed="false">
      <c r="B44" s="62"/>
      <c r="U44" s="62"/>
    </row>
    <row r="45" customFormat="false" ht="20.1" hidden="false" customHeight="true" outlineLevel="0" collapsed="false">
      <c r="B45" s="62"/>
      <c r="C45" s="101"/>
      <c r="D45" s="101"/>
      <c r="E45" s="102" t="str">
        <f aca="false">IF(OR(M28="-",M28= ""),H28,M28)</f>
        <v>Terra Mystica</v>
      </c>
      <c r="F45" s="102"/>
      <c r="G45" s="102"/>
      <c r="H45" s="102"/>
      <c r="I45" s="102"/>
      <c r="J45" s="102"/>
      <c r="K45" s="102"/>
      <c r="L45" s="102"/>
      <c r="M45" s="102"/>
      <c r="N45" s="102"/>
      <c r="O45" s="103"/>
      <c r="P45" s="103"/>
      <c r="Q45" s="103"/>
      <c r="R45" s="103"/>
      <c r="S45" s="103"/>
      <c r="T45" s="101"/>
      <c r="U45" s="62"/>
    </row>
    <row r="46" customFormat="false" ht="50.1" hidden="false" customHeight="true" outlineLevel="0" collapsed="false">
      <c r="B46" s="62"/>
      <c r="C46" s="101"/>
      <c r="D46" s="103"/>
      <c r="E46" s="65" t="s">
        <v>53</v>
      </c>
      <c r="F46" s="104" t="s">
        <v>76</v>
      </c>
      <c r="G46" s="67" t="s">
        <v>77</v>
      </c>
      <c r="H46" s="66" t="s">
        <v>78</v>
      </c>
      <c r="I46" s="54" t="s">
        <v>79</v>
      </c>
      <c r="J46" s="66" t="s">
        <v>80</v>
      </c>
      <c r="K46" s="105" t="s">
        <v>81</v>
      </c>
      <c r="L46" s="66" t="s">
        <v>82</v>
      </c>
      <c r="M46" s="106" t="s">
        <v>83</v>
      </c>
      <c r="N46" s="67" t="s">
        <v>84</v>
      </c>
      <c r="O46" s="107" t="s">
        <v>85</v>
      </c>
      <c r="P46" s="108" t="s">
        <v>86</v>
      </c>
      <c r="Q46" s="108" t="s">
        <v>87</v>
      </c>
      <c r="R46" s="108" t="s">
        <v>88</v>
      </c>
      <c r="S46" s="103"/>
      <c r="T46" s="101"/>
      <c r="U46" s="62"/>
    </row>
    <row r="47" customFormat="false" ht="20.1" hidden="false" customHeight="true" outlineLevel="0" collapsed="false">
      <c r="B47" s="62"/>
      <c r="C47" s="101"/>
      <c r="D47" s="101"/>
      <c r="E47" s="380" t="s">
        <v>15</v>
      </c>
      <c r="F47" s="18" t="s">
        <v>16</v>
      </c>
      <c r="G47" s="144" t="n">
        <v>4</v>
      </c>
      <c r="H47" s="144" t="s">
        <v>592</v>
      </c>
      <c r="I47" s="144" t="n">
        <v>40</v>
      </c>
      <c r="J47" s="144" t="n">
        <v>173</v>
      </c>
      <c r="K47" s="144" t="s">
        <v>67</v>
      </c>
      <c r="L47" s="146" t="n">
        <f aca="false">IF(J47="",0,(J47/J51)*100)</f>
        <v>94.5355191256831</v>
      </c>
      <c r="M47" s="144" t="n">
        <v>2</v>
      </c>
      <c r="N47" s="23" t="n">
        <v>3</v>
      </c>
      <c r="O47" s="115" t="n">
        <f aca="false">IF(M47=1,1,0)</f>
        <v>0</v>
      </c>
      <c r="P47" s="116" t="n">
        <f aca="false">IF(M47=2,1,0)</f>
        <v>1</v>
      </c>
      <c r="Q47" s="116" t="n">
        <f aca="false">IF(M47=3,1,0)</f>
        <v>0</v>
      </c>
      <c r="R47" s="117" t="n">
        <f aca="false">IF(M47=4,1,0)</f>
        <v>0</v>
      </c>
      <c r="S47" s="118"/>
      <c r="T47" s="101"/>
      <c r="U47" s="62"/>
    </row>
    <row r="48" customFormat="false" ht="20.1" hidden="false" customHeight="true" outlineLevel="0" collapsed="false">
      <c r="B48" s="62"/>
      <c r="C48" s="101"/>
      <c r="D48" s="101"/>
      <c r="E48" s="333" t="s">
        <v>17</v>
      </c>
      <c r="F48" s="32" t="s">
        <v>18</v>
      </c>
      <c r="G48" s="119" t="n">
        <v>2</v>
      </c>
      <c r="H48" s="119" t="s">
        <v>93</v>
      </c>
      <c r="I48" s="119" t="n">
        <v>21</v>
      </c>
      <c r="J48" s="119" t="n">
        <v>139</v>
      </c>
      <c r="K48" s="119" t="s">
        <v>67</v>
      </c>
      <c r="L48" s="120" t="n">
        <f aca="false">IF(J48="",0,(J48/J51)*100)</f>
        <v>75.9562841530055</v>
      </c>
      <c r="M48" s="119" t="n">
        <v>3</v>
      </c>
      <c r="N48" s="31" t="n">
        <v>1</v>
      </c>
      <c r="O48" s="121" t="n">
        <f aca="false">IF(M48=1,1,0)</f>
        <v>0</v>
      </c>
      <c r="P48" s="122" t="n">
        <f aca="false">IF(M48=2,1,0)</f>
        <v>0</v>
      </c>
      <c r="Q48" s="122" t="n">
        <f aca="false">IF(M48=3,1,0)</f>
        <v>1</v>
      </c>
      <c r="R48" s="123" t="n">
        <f aca="false">IF(M48=4,1,0)</f>
        <v>0</v>
      </c>
      <c r="S48" s="118"/>
      <c r="T48" s="101"/>
      <c r="U48" s="62"/>
    </row>
    <row r="49" customFormat="false" ht="20.1" hidden="false" customHeight="true" outlineLevel="0" collapsed="false">
      <c r="B49" s="62"/>
      <c r="C49" s="101"/>
      <c r="D49" s="101"/>
      <c r="E49" s="333" t="s">
        <v>384</v>
      </c>
      <c r="F49" s="32" t="s">
        <v>28</v>
      </c>
      <c r="G49" s="119" t="n">
        <v>1</v>
      </c>
      <c r="H49" s="119" t="s">
        <v>593</v>
      </c>
      <c r="I49" s="119" t="n">
        <v>40</v>
      </c>
      <c r="J49" s="119" t="n">
        <v>112</v>
      </c>
      <c r="K49" s="119" t="s">
        <v>67</v>
      </c>
      <c r="L49" s="120" t="n">
        <f aca="false">IF(J49="",0,(J49/J51)*100)</f>
        <v>61.2021857923497</v>
      </c>
      <c r="M49" s="119" t="n">
        <v>4</v>
      </c>
      <c r="N49" s="31" t="n">
        <v>0</v>
      </c>
      <c r="O49" s="121" t="n">
        <f aca="false">IF(M49=1,1,0)</f>
        <v>0</v>
      </c>
      <c r="P49" s="122" t="n">
        <f aca="false">IF(M49=2,1,0)</f>
        <v>0</v>
      </c>
      <c r="Q49" s="122" t="n">
        <f aca="false">IF(M49=3,1,0)</f>
        <v>0</v>
      </c>
      <c r="R49" s="123" t="n">
        <f aca="false">IF(M49=4,1,0)</f>
        <v>1</v>
      </c>
      <c r="S49" s="118"/>
      <c r="T49" s="101"/>
      <c r="U49" s="62"/>
    </row>
    <row r="50" customFormat="false" ht="20.1" hidden="false" customHeight="true" outlineLevel="0" collapsed="false">
      <c r="B50" s="62"/>
      <c r="C50" s="101"/>
      <c r="D50" s="124"/>
      <c r="E50" s="350" t="s">
        <v>37</v>
      </c>
      <c r="F50" s="294" t="s">
        <v>38</v>
      </c>
      <c r="G50" s="295" t="n">
        <v>3</v>
      </c>
      <c r="H50" s="295" t="s">
        <v>94</v>
      </c>
      <c r="I50" s="295" t="n">
        <v>33</v>
      </c>
      <c r="J50" s="295" t="n">
        <v>183</v>
      </c>
      <c r="K50" s="295" t="s">
        <v>67</v>
      </c>
      <c r="L50" s="297" t="n">
        <f aca="false">IF(J50="",0,(J50/J51)*100)</f>
        <v>100</v>
      </c>
      <c r="M50" s="295" t="n">
        <v>1</v>
      </c>
      <c r="N50" s="298" t="n">
        <v>6</v>
      </c>
      <c r="O50" s="127" t="n">
        <f aca="false">IF(M50=1,1,0)</f>
        <v>1</v>
      </c>
      <c r="P50" s="128" t="n">
        <f aca="false">IF(M50=2,1,0)</f>
        <v>0</v>
      </c>
      <c r="Q50" s="128" t="n">
        <f aca="false">IF(M50=3,1,0)</f>
        <v>0</v>
      </c>
      <c r="R50" s="129" t="n">
        <f aca="false">IF(M50=4,1,0)</f>
        <v>0</v>
      </c>
      <c r="S50" s="118"/>
      <c r="T50" s="101"/>
      <c r="U50" s="62"/>
    </row>
    <row r="51" customFormat="false" ht="20.1" hidden="true" customHeight="true" outlineLevel="1" collapsed="false">
      <c r="B51" s="62"/>
      <c r="C51" s="101"/>
      <c r="D51" s="130"/>
      <c r="E51" s="130"/>
      <c r="F51" s="131"/>
      <c r="G51" s="131"/>
      <c r="H51" s="101"/>
      <c r="I51" s="132" t="s">
        <v>89</v>
      </c>
      <c r="J51" s="133" t="n">
        <f aca="false">MAX(J47:J50)</f>
        <v>183</v>
      </c>
      <c r="K51" s="134"/>
      <c r="L51" s="135"/>
      <c r="M51" s="101"/>
      <c r="N51" s="136" t="s">
        <v>90</v>
      </c>
      <c r="O51" s="137" t="n">
        <f aca="false">SUM(O47:O50)</f>
        <v>1</v>
      </c>
      <c r="P51" s="138" t="n">
        <f aca="false">SUM(P47:P50)</f>
        <v>1</v>
      </c>
      <c r="Q51" s="137" t="n">
        <f aca="false">SUM(Q47:Q50)</f>
        <v>1</v>
      </c>
      <c r="R51" s="137" t="n">
        <f aca="false">SUM(R47:R50)</f>
        <v>1</v>
      </c>
      <c r="S51" s="139"/>
      <c r="T51" s="101"/>
      <c r="U51" s="62"/>
    </row>
    <row r="52" customFormat="false" ht="20.1" hidden="false" customHeight="true" outlineLevel="0" collapsed="false">
      <c r="B52" s="62"/>
      <c r="C52" s="101"/>
      <c r="D52" s="101"/>
      <c r="E52" s="101"/>
      <c r="F52" s="140"/>
      <c r="G52" s="140"/>
      <c r="H52" s="103"/>
      <c r="I52" s="101"/>
      <c r="J52" s="101"/>
      <c r="K52" s="101"/>
      <c r="L52" s="101"/>
      <c r="M52" s="101"/>
      <c r="N52" s="101"/>
      <c r="O52" s="101"/>
      <c r="P52" s="101"/>
      <c r="Q52" s="101"/>
      <c r="R52" s="101"/>
      <c r="S52" s="101"/>
      <c r="T52" s="101"/>
      <c r="U52" s="62"/>
    </row>
    <row r="53" customFormat="false" ht="20.1" hidden="false" customHeight="true" outlineLevel="0" collapsed="false">
      <c r="B53" s="62"/>
      <c r="U53" s="62"/>
    </row>
    <row r="54" customFormat="false" ht="20.1" hidden="false" customHeight="true" outlineLevel="0" collapsed="false">
      <c r="B54" s="62"/>
      <c r="C54" s="141"/>
      <c r="D54" s="141"/>
      <c r="E54" s="142" t="str">
        <f aca="false">IF(OR(M36="-",M36= ""),H36,M36)</f>
        <v>Die verlorenen Ruinen 
von Arnak</v>
      </c>
      <c r="F54" s="142"/>
      <c r="G54" s="142"/>
      <c r="H54" s="142"/>
      <c r="I54" s="142"/>
      <c r="J54" s="142"/>
      <c r="K54" s="142"/>
      <c r="L54" s="142"/>
      <c r="M54" s="142"/>
      <c r="N54" s="142"/>
      <c r="O54" s="143"/>
      <c r="P54" s="143"/>
      <c r="Q54" s="143"/>
      <c r="R54" s="143"/>
      <c r="S54" s="143"/>
      <c r="T54" s="141"/>
      <c r="U54" s="62"/>
    </row>
    <row r="55" customFormat="false" ht="50.1" hidden="false" customHeight="true" outlineLevel="0" collapsed="false">
      <c r="B55" s="62"/>
      <c r="C55" s="141"/>
      <c r="D55" s="143"/>
      <c r="E55" s="65" t="s">
        <v>53</v>
      </c>
      <c r="F55" s="104" t="s">
        <v>76</v>
      </c>
      <c r="G55" s="67" t="s">
        <v>77</v>
      </c>
      <c r="H55" s="66" t="s">
        <v>78</v>
      </c>
      <c r="I55" s="54" t="s">
        <v>79</v>
      </c>
      <c r="J55" s="66" t="s">
        <v>80</v>
      </c>
      <c r="K55" s="105" t="s">
        <v>81</v>
      </c>
      <c r="L55" s="66" t="s">
        <v>82</v>
      </c>
      <c r="M55" s="106" t="s">
        <v>83</v>
      </c>
      <c r="N55" s="67" t="s">
        <v>84</v>
      </c>
      <c r="O55" s="107" t="s">
        <v>85</v>
      </c>
      <c r="P55" s="108" t="s">
        <v>86</v>
      </c>
      <c r="Q55" s="108" t="s">
        <v>87</v>
      </c>
      <c r="R55" s="108" t="s">
        <v>88</v>
      </c>
      <c r="S55" s="143"/>
      <c r="T55" s="141"/>
      <c r="U55" s="62"/>
    </row>
    <row r="56" customFormat="false" ht="20.1" hidden="false" customHeight="true" outlineLevel="0" collapsed="false">
      <c r="B56" s="62"/>
      <c r="C56" s="141"/>
      <c r="D56" s="141"/>
      <c r="E56" s="380" t="s">
        <v>15</v>
      </c>
      <c r="F56" s="18" t="s">
        <v>16</v>
      </c>
      <c r="G56" s="144" t="n">
        <v>1</v>
      </c>
      <c r="H56" s="144" t="s">
        <v>67</v>
      </c>
      <c r="I56" s="144" t="n">
        <v>0</v>
      </c>
      <c r="J56" s="144" t="n">
        <v>61</v>
      </c>
      <c r="K56" s="144" t="s">
        <v>67</v>
      </c>
      <c r="L56" s="146" t="n">
        <f aca="false">IF(J56="",0,(J56/J60)*100)</f>
        <v>69.3181818181818</v>
      </c>
      <c r="M56" s="144" t="n">
        <v>3</v>
      </c>
      <c r="N56" s="23" t="n">
        <v>1</v>
      </c>
      <c r="O56" s="115" t="n">
        <f aca="false">IF(M56=1,1,0)</f>
        <v>0</v>
      </c>
      <c r="P56" s="116" t="n">
        <f aca="false">IF(M56=2,1,0)</f>
        <v>0</v>
      </c>
      <c r="Q56" s="116" t="n">
        <f aca="false">IF(M56=3,1,0)</f>
        <v>1</v>
      </c>
      <c r="R56" s="117" t="n">
        <f aca="false">IF(M56=4,1,0)</f>
        <v>0</v>
      </c>
      <c r="S56" s="147"/>
      <c r="T56" s="141"/>
      <c r="U56" s="62"/>
    </row>
    <row r="57" customFormat="false" ht="20.1" hidden="false" customHeight="true" outlineLevel="0" collapsed="false">
      <c r="B57" s="62"/>
      <c r="C57" s="141"/>
      <c r="D57" s="148"/>
      <c r="E57" s="174" t="s">
        <v>17</v>
      </c>
      <c r="F57" s="175" t="s">
        <v>18</v>
      </c>
      <c r="G57" s="151" t="n">
        <v>2</v>
      </c>
      <c r="H57" s="151" t="s">
        <v>67</v>
      </c>
      <c r="I57" s="151" t="n">
        <v>0</v>
      </c>
      <c r="J57" s="151" t="n">
        <v>88</v>
      </c>
      <c r="K57" s="151" t="s">
        <v>67</v>
      </c>
      <c r="L57" s="153" t="n">
        <f aca="false">IF(J57="",0,(J57/J60)*100)</f>
        <v>100</v>
      </c>
      <c r="M57" s="151" t="n">
        <v>1</v>
      </c>
      <c r="N57" s="154" t="n">
        <v>6</v>
      </c>
      <c r="O57" s="121" t="n">
        <f aca="false">IF(M57=1,1,0)</f>
        <v>1</v>
      </c>
      <c r="P57" s="122" t="n">
        <f aca="false">IF(M57=2,1,0)</f>
        <v>0</v>
      </c>
      <c r="Q57" s="122" t="n">
        <f aca="false">IF(M57=3,1,0)</f>
        <v>0</v>
      </c>
      <c r="R57" s="123" t="n">
        <f aca="false">IF(M57=4,1,0)</f>
        <v>0</v>
      </c>
      <c r="S57" s="147"/>
      <c r="T57" s="141"/>
      <c r="U57" s="62"/>
    </row>
    <row r="58" customFormat="false" ht="20.1" hidden="false" customHeight="true" outlineLevel="0" collapsed="false">
      <c r="B58" s="62"/>
      <c r="C58" s="141"/>
      <c r="D58" s="141"/>
      <c r="E58" s="333" t="s">
        <v>384</v>
      </c>
      <c r="F58" s="32" t="s">
        <v>28</v>
      </c>
      <c r="G58" s="119" t="n">
        <v>4</v>
      </c>
      <c r="H58" s="119" t="s">
        <v>67</v>
      </c>
      <c r="I58" s="119" t="n">
        <v>0</v>
      </c>
      <c r="J58" s="119" t="n">
        <v>48</v>
      </c>
      <c r="K58" s="119" t="s">
        <v>67</v>
      </c>
      <c r="L58" s="120" t="n">
        <f aca="false">IF(J58="",0,(J58/J60)*100)</f>
        <v>54.5454545454545</v>
      </c>
      <c r="M58" s="119" t="n">
        <v>4</v>
      </c>
      <c r="N58" s="31" t="n">
        <v>0</v>
      </c>
      <c r="O58" s="121" t="n">
        <f aca="false">IF(M58=1,1,0)</f>
        <v>0</v>
      </c>
      <c r="P58" s="122" t="n">
        <f aca="false">IF(M58=2,1,0)</f>
        <v>0</v>
      </c>
      <c r="Q58" s="122" t="n">
        <f aca="false">IF(M58=3,1,0)</f>
        <v>0</v>
      </c>
      <c r="R58" s="123" t="n">
        <f aca="false">IF(M58=4,1,0)</f>
        <v>1</v>
      </c>
      <c r="S58" s="147"/>
      <c r="T58" s="141"/>
      <c r="U58" s="62"/>
    </row>
    <row r="59" customFormat="false" ht="20.1" hidden="false" customHeight="true" outlineLevel="0" collapsed="false">
      <c r="B59" s="62"/>
      <c r="C59" s="141"/>
      <c r="D59" s="141"/>
      <c r="E59" s="362" t="s">
        <v>37</v>
      </c>
      <c r="F59" s="46" t="s">
        <v>38</v>
      </c>
      <c r="G59" s="125" t="n">
        <v>3</v>
      </c>
      <c r="H59" s="125" t="s">
        <v>67</v>
      </c>
      <c r="I59" s="125" t="n">
        <v>0</v>
      </c>
      <c r="J59" s="125" t="n">
        <v>62</v>
      </c>
      <c r="K59" s="125" t="s">
        <v>67</v>
      </c>
      <c r="L59" s="126" t="n">
        <f aca="false">IF(J59="",0,(J59/J60)*100)</f>
        <v>70.4545454545455</v>
      </c>
      <c r="M59" s="125" t="n">
        <v>2</v>
      </c>
      <c r="N59" s="50" t="n">
        <v>3</v>
      </c>
      <c r="O59" s="127" t="n">
        <f aca="false">IF(M59=1,1,0)</f>
        <v>0</v>
      </c>
      <c r="P59" s="128" t="n">
        <f aca="false">IF(M59=2,1,0)</f>
        <v>1</v>
      </c>
      <c r="Q59" s="128" t="n">
        <f aca="false">IF(M59=3,1,0)</f>
        <v>0</v>
      </c>
      <c r="R59" s="129" t="n">
        <f aca="false">IF(M59=4,1,0)</f>
        <v>0</v>
      </c>
      <c r="S59" s="147"/>
      <c r="T59" s="141"/>
      <c r="U59" s="62"/>
    </row>
    <row r="60" customFormat="false" ht="20.1" hidden="true" customHeight="true" outlineLevel="1" collapsed="false">
      <c r="B60" s="62"/>
      <c r="C60" s="141"/>
      <c r="D60" s="141"/>
      <c r="E60" s="141"/>
      <c r="F60" s="157"/>
      <c r="G60" s="157"/>
      <c r="H60" s="141"/>
      <c r="I60" s="158" t="s">
        <v>89</v>
      </c>
      <c r="J60" s="133" t="n">
        <f aca="false">MAX(J56:J59)</f>
        <v>88</v>
      </c>
      <c r="K60" s="159"/>
      <c r="L60" s="147"/>
      <c r="M60" s="141"/>
      <c r="N60" s="136" t="s">
        <v>90</v>
      </c>
      <c r="O60" s="137" t="n">
        <f aca="false">SUM(O56:O59)</f>
        <v>1</v>
      </c>
      <c r="P60" s="138" t="n">
        <f aca="false">SUM(P56:P59)</f>
        <v>1</v>
      </c>
      <c r="Q60" s="137" t="n">
        <f aca="false">SUM(Q56:Q59)</f>
        <v>1</v>
      </c>
      <c r="R60" s="160" t="n">
        <f aca="false">SUM(R56:R59)</f>
        <v>1</v>
      </c>
      <c r="S60" s="161"/>
      <c r="T60" s="141"/>
      <c r="U60" s="62"/>
    </row>
    <row r="61" customFormat="false" ht="20.1" hidden="false" customHeight="true" outlineLevel="0" collapsed="false">
      <c r="B61" s="62"/>
      <c r="C61" s="141"/>
      <c r="D61" s="141"/>
      <c r="E61" s="141"/>
      <c r="F61" s="141"/>
      <c r="G61" s="141"/>
      <c r="H61" s="141"/>
      <c r="I61" s="141"/>
      <c r="J61" s="141"/>
      <c r="K61" s="141"/>
      <c r="L61" s="141"/>
      <c r="M61" s="141"/>
      <c r="N61" s="141"/>
      <c r="O61" s="141"/>
      <c r="P61" s="141"/>
      <c r="Q61" s="141"/>
      <c r="R61" s="141"/>
      <c r="S61" s="141"/>
      <c r="T61" s="141"/>
      <c r="U61" s="62"/>
    </row>
    <row r="62" customFormat="false" ht="20.1" hidden="false" customHeight="true" outlineLevel="0" collapsed="false">
      <c r="B62" s="62"/>
      <c r="D62" s="162"/>
      <c r="E62" s="162"/>
      <c r="F62" s="162"/>
      <c r="G62" s="162"/>
      <c r="H62" s="163"/>
      <c r="I62" s="162"/>
      <c r="J62" s="162"/>
      <c r="U62" s="62"/>
    </row>
    <row r="63" customFormat="false" ht="20.1" hidden="false" customHeight="true" outlineLevel="0" collapsed="false">
      <c r="B63" s="62"/>
      <c r="C63" s="164"/>
      <c r="D63" s="164"/>
      <c r="E63" s="165" t="str">
        <f aca="false">IF(OR(M38="-",M38= ""),H38,M38)</f>
        <v>Grand Austria Hotel</v>
      </c>
      <c r="F63" s="165"/>
      <c r="G63" s="165"/>
      <c r="H63" s="165"/>
      <c r="I63" s="165"/>
      <c r="J63" s="165"/>
      <c r="K63" s="165"/>
      <c r="L63" s="165"/>
      <c r="M63" s="165"/>
      <c r="N63" s="165"/>
      <c r="O63" s="166"/>
      <c r="P63" s="166"/>
      <c r="Q63" s="166"/>
      <c r="R63" s="166"/>
      <c r="S63" s="166"/>
      <c r="T63" s="164"/>
      <c r="U63" s="167"/>
      <c r="V63" s="168"/>
      <c r="W63" s="168"/>
    </row>
    <row r="64" customFormat="false" ht="50.1" hidden="false" customHeight="true" outlineLevel="0" collapsed="false">
      <c r="B64" s="62"/>
      <c r="C64" s="164"/>
      <c r="D64" s="166"/>
      <c r="E64" s="65" t="s">
        <v>53</v>
      </c>
      <c r="F64" s="104" t="s">
        <v>76</v>
      </c>
      <c r="G64" s="67" t="s">
        <v>77</v>
      </c>
      <c r="H64" s="66" t="s">
        <v>78</v>
      </c>
      <c r="I64" s="54" t="s">
        <v>79</v>
      </c>
      <c r="J64" s="66" t="s">
        <v>80</v>
      </c>
      <c r="K64" s="105" t="s">
        <v>81</v>
      </c>
      <c r="L64" s="66" t="s">
        <v>82</v>
      </c>
      <c r="M64" s="106" t="s">
        <v>83</v>
      </c>
      <c r="N64" s="67" t="s">
        <v>84</v>
      </c>
      <c r="O64" s="107" t="s">
        <v>85</v>
      </c>
      <c r="P64" s="108" t="s">
        <v>86</v>
      </c>
      <c r="Q64" s="108" t="s">
        <v>87</v>
      </c>
      <c r="R64" s="13" t="s">
        <v>88</v>
      </c>
      <c r="S64" s="166"/>
      <c r="T64" s="164"/>
      <c r="U64" s="167"/>
      <c r="V64" s="168"/>
      <c r="W64" s="168"/>
    </row>
    <row r="65" customFormat="false" ht="20.1" hidden="false" customHeight="true" outlineLevel="0" collapsed="false">
      <c r="B65" s="62"/>
      <c r="C65" s="164"/>
      <c r="D65" s="164"/>
      <c r="E65" s="380" t="s">
        <v>15</v>
      </c>
      <c r="F65" s="18" t="s">
        <v>16</v>
      </c>
      <c r="G65" s="144" t="n">
        <v>2</v>
      </c>
      <c r="H65" s="144" t="s">
        <v>67</v>
      </c>
      <c r="I65" s="144" t="n">
        <v>0</v>
      </c>
      <c r="J65" s="144" t="n">
        <v>149</v>
      </c>
      <c r="K65" s="144" t="s">
        <v>67</v>
      </c>
      <c r="L65" s="146" t="n">
        <f aca="false">IF(J65="",0,(J65/J69)*100)</f>
        <v>96.1290322580645</v>
      </c>
      <c r="M65" s="144" t="n">
        <v>3</v>
      </c>
      <c r="N65" s="23" t="n">
        <v>1</v>
      </c>
      <c r="O65" s="115" t="n">
        <f aca="false">IF(M65=1,1,0)</f>
        <v>0</v>
      </c>
      <c r="P65" s="116" t="n">
        <f aca="false">IF(M65=2,1,0)</f>
        <v>0</v>
      </c>
      <c r="Q65" s="116" t="n">
        <f aca="false">IF(M65=3,1,0)</f>
        <v>1</v>
      </c>
      <c r="R65" s="117" t="n">
        <f aca="false">IF(M65=4,1,0)</f>
        <v>0</v>
      </c>
      <c r="S65" s="170"/>
      <c r="T65" s="164"/>
      <c r="U65" s="62"/>
    </row>
    <row r="66" customFormat="false" ht="20.1" hidden="false" customHeight="true" outlineLevel="0" collapsed="false">
      <c r="B66" s="62"/>
      <c r="C66" s="164"/>
      <c r="D66" s="171"/>
      <c r="E66" s="333" t="s">
        <v>17</v>
      </c>
      <c r="F66" s="32" t="s">
        <v>19</v>
      </c>
      <c r="G66" s="119" t="n">
        <v>3</v>
      </c>
      <c r="H66" s="119" t="s">
        <v>67</v>
      </c>
      <c r="I66" s="119" t="n">
        <v>0</v>
      </c>
      <c r="J66" s="119" t="n">
        <v>122</v>
      </c>
      <c r="K66" s="119" t="s">
        <v>67</v>
      </c>
      <c r="L66" s="120" t="n">
        <f aca="false">IF(J66="",0,(J66/J69)*100)</f>
        <v>78.7096774193549</v>
      </c>
      <c r="M66" s="119" t="n">
        <v>4</v>
      </c>
      <c r="N66" s="31" t="n">
        <v>0</v>
      </c>
      <c r="O66" s="121" t="n">
        <f aca="false">IF(M66=1,1,0)</f>
        <v>0</v>
      </c>
      <c r="P66" s="122" t="n">
        <f aca="false">IF(M66=2,1,0)</f>
        <v>0</v>
      </c>
      <c r="Q66" s="122" t="n">
        <f aca="false">IF(M66=3,1,0)</f>
        <v>0</v>
      </c>
      <c r="R66" s="123" t="n">
        <f aca="false">IF(M66=4,1,0)</f>
        <v>1</v>
      </c>
      <c r="S66" s="170"/>
      <c r="T66" s="164"/>
      <c r="U66" s="173"/>
    </row>
    <row r="67" customFormat="false" ht="20.1" hidden="false" customHeight="true" outlineLevel="0" collapsed="false">
      <c r="B67" s="62"/>
      <c r="C67" s="164"/>
      <c r="D67" s="164"/>
      <c r="E67" s="174" t="s">
        <v>384</v>
      </c>
      <c r="F67" s="175" t="s">
        <v>28</v>
      </c>
      <c r="G67" s="151" t="n">
        <v>4</v>
      </c>
      <c r="H67" s="151" t="s">
        <v>67</v>
      </c>
      <c r="I67" s="151" t="n">
        <v>0</v>
      </c>
      <c r="J67" s="151" t="n">
        <v>155</v>
      </c>
      <c r="K67" s="151" t="s">
        <v>67</v>
      </c>
      <c r="L67" s="153" t="n">
        <f aca="false">IF(J67="",0,(J67/J69)*100)</f>
        <v>100</v>
      </c>
      <c r="M67" s="151" t="n">
        <v>1</v>
      </c>
      <c r="N67" s="154" t="n">
        <v>6</v>
      </c>
      <c r="O67" s="121" t="n">
        <f aca="false">IF(M67=1,1,0)</f>
        <v>1</v>
      </c>
      <c r="P67" s="122" t="n">
        <f aca="false">IF(M67=2,1,0)</f>
        <v>0</v>
      </c>
      <c r="Q67" s="122" t="n">
        <f aca="false">IF(M67=3,1,0)</f>
        <v>0</v>
      </c>
      <c r="R67" s="123" t="n">
        <f aca="false">IF(M67=4,1,0)</f>
        <v>0</v>
      </c>
      <c r="S67" s="170"/>
      <c r="T67" s="164"/>
      <c r="U67" s="173"/>
    </row>
    <row r="68" customFormat="false" ht="20.1" hidden="false" customHeight="true" outlineLevel="0" collapsed="false">
      <c r="B68" s="62"/>
      <c r="C68" s="164"/>
      <c r="D68" s="164"/>
      <c r="E68" s="362" t="s">
        <v>37</v>
      </c>
      <c r="F68" s="46" t="s">
        <v>38</v>
      </c>
      <c r="G68" s="125" t="n">
        <v>1</v>
      </c>
      <c r="H68" s="125" t="s">
        <v>67</v>
      </c>
      <c r="I68" s="125" t="n">
        <v>0</v>
      </c>
      <c r="J68" s="125" t="n">
        <v>152</v>
      </c>
      <c r="K68" s="125" t="s">
        <v>67</v>
      </c>
      <c r="L68" s="126" t="n">
        <f aca="false">IF(J68="",0,(J68/J69)*100)</f>
        <v>98.0645161290323</v>
      </c>
      <c r="M68" s="125" t="n">
        <v>2</v>
      </c>
      <c r="N68" s="50" t="n">
        <v>3</v>
      </c>
      <c r="O68" s="127" t="n">
        <f aca="false">IF(M68=1,1,0)</f>
        <v>0</v>
      </c>
      <c r="P68" s="128" t="n">
        <f aca="false">IF(M68=2,1,0)</f>
        <v>1</v>
      </c>
      <c r="Q68" s="128" t="n">
        <f aca="false">IF(M68=3,1,0)</f>
        <v>0</v>
      </c>
      <c r="R68" s="129" t="n">
        <f aca="false">IF(M68=4,1,0)</f>
        <v>0</v>
      </c>
      <c r="S68" s="170"/>
      <c r="T68" s="164"/>
      <c r="U68" s="173"/>
    </row>
    <row r="69" customFormat="false" ht="20.1" hidden="true" customHeight="true" outlineLevel="1" collapsed="false">
      <c r="B69" s="62"/>
      <c r="C69" s="164"/>
      <c r="D69" s="164"/>
      <c r="E69" s="164"/>
      <c r="F69" s="178"/>
      <c r="G69" s="178"/>
      <c r="H69" s="164"/>
      <c r="I69" s="179" t="s">
        <v>89</v>
      </c>
      <c r="J69" s="133" t="n">
        <f aca="false">MAX(J65:J68)</f>
        <v>155</v>
      </c>
      <c r="K69" s="180"/>
      <c r="L69" s="170"/>
      <c r="M69" s="164"/>
      <c r="N69" s="136"/>
      <c r="O69" s="137" t="n">
        <f aca="false">SUM(O65:O68)</f>
        <v>1</v>
      </c>
      <c r="P69" s="138" t="n">
        <f aca="false">SUM(P65:P68)</f>
        <v>1</v>
      </c>
      <c r="Q69" s="137" t="n">
        <f aca="false">SUM(Q65:Q68)</f>
        <v>1</v>
      </c>
      <c r="R69" s="160" t="n">
        <f aca="false">SUM(R65:R68)</f>
        <v>1</v>
      </c>
      <c r="S69" s="181"/>
      <c r="T69" s="164"/>
      <c r="U69" s="173"/>
    </row>
    <row r="70" customFormat="false" ht="20.1" hidden="false" customHeight="true" outlineLevel="0" collapsed="false">
      <c r="B70" s="62"/>
      <c r="C70" s="164"/>
      <c r="D70" s="164"/>
      <c r="E70" s="164"/>
      <c r="F70" s="164"/>
      <c r="G70" s="164"/>
      <c r="H70" s="164"/>
      <c r="I70" s="164"/>
      <c r="J70" s="164"/>
      <c r="K70" s="164"/>
      <c r="L70" s="164"/>
      <c r="M70" s="164"/>
      <c r="N70" s="164"/>
      <c r="O70" s="164"/>
      <c r="P70" s="164"/>
      <c r="Q70" s="164"/>
      <c r="R70" s="164"/>
      <c r="S70" s="164"/>
      <c r="T70" s="164"/>
      <c r="U70" s="173"/>
    </row>
    <row r="71" customFormat="false" ht="20.1" hidden="false" customHeight="true" outlineLevel="0" collapsed="false">
      <c r="B71" s="62"/>
      <c r="D71" s="162"/>
      <c r="E71" s="162"/>
      <c r="F71" s="162"/>
      <c r="G71" s="162"/>
      <c r="H71" s="163"/>
      <c r="I71" s="162"/>
      <c r="J71" s="162"/>
      <c r="K71" s="162"/>
      <c r="U71" s="62"/>
    </row>
    <row r="72" customFormat="false" ht="20.1" hidden="false" customHeight="true" outlineLevel="0" collapsed="false">
      <c r="B72" s="62"/>
      <c r="C72" s="182"/>
      <c r="D72" s="182"/>
      <c r="E72" s="183" t="str">
        <f aca="false">IF(OR(M42="-",M42= ""),H42,M42)</f>
        <v>Dice Hospital</v>
      </c>
      <c r="F72" s="183"/>
      <c r="G72" s="183"/>
      <c r="H72" s="183"/>
      <c r="I72" s="183"/>
      <c r="J72" s="183"/>
      <c r="K72" s="183"/>
      <c r="L72" s="183"/>
      <c r="M72" s="183"/>
      <c r="N72" s="183"/>
      <c r="O72" s="184"/>
      <c r="P72" s="184"/>
      <c r="Q72" s="184"/>
      <c r="R72" s="184"/>
      <c r="S72" s="184"/>
      <c r="T72" s="182"/>
      <c r="U72" s="62"/>
    </row>
    <row r="73" customFormat="false" ht="50.1" hidden="false" customHeight="true" outlineLevel="0" collapsed="false">
      <c r="B73" s="62"/>
      <c r="C73" s="182"/>
      <c r="D73" s="184"/>
      <c r="E73" s="65" t="s">
        <v>53</v>
      </c>
      <c r="F73" s="104" t="s">
        <v>76</v>
      </c>
      <c r="G73" s="67" t="s">
        <v>77</v>
      </c>
      <c r="H73" s="66" t="s">
        <v>78</v>
      </c>
      <c r="I73" s="54" t="s">
        <v>79</v>
      </c>
      <c r="J73" s="66" t="s">
        <v>80</v>
      </c>
      <c r="K73" s="105" t="s">
        <v>81</v>
      </c>
      <c r="L73" s="66" t="s">
        <v>82</v>
      </c>
      <c r="M73" s="106" t="s">
        <v>83</v>
      </c>
      <c r="N73" s="67" t="s">
        <v>84</v>
      </c>
      <c r="O73" s="107" t="s">
        <v>85</v>
      </c>
      <c r="P73" s="108" t="s">
        <v>86</v>
      </c>
      <c r="Q73" s="108" t="s">
        <v>87</v>
      </c>
      <c r="R73" s="13" t="s">
        <v>88</v>
      </c>
      <c r="S73" s="184"/>
      <c r="T73" s="182"/>
      <c r="U73" s="62"/>
    </row>
    <row r="74" customFormat="false" ht="20.1" hidden="false" customHeight="true" outlineLevel="0" collapsed="false">
      <c r="B74" s="62"/>
      <c r="C74" s="182"/>
      <c r="D74" s="182"/>
      <c r="E74" s="403" t="s">
        <v>15</v>
      </c>
      <c r="F74" s="110" t="s">
        <v>16</v>
      </c>
      <c r="G74" s="111" t="n">
        <v>4</v>
      </c>
      <c r="H74" s="111" t="s">
        <v>67</v>
      </c>
      <c r="I74" s="111" t="n">
        <v>0</v>
      </c>
      <c r="J74" s="111" t="n">
        <v>59</v>
      </c>
      <c r="K74" s="111" t="s">
        <v>67</v>
      </c>
      <c r="L74" s="113" t="n">
        <f aca="false">IF(J74="",0,(J74/J78)*100)</f>
        <v>100</v>
      </c>
      <c r="M74" s="111" t="n">
        <v>1</v>
      </c>
      <c r="N74" s="114" t="n">
        <v>6</v>
      </c>
      <c r="O74" s="115" t="n">
        <f aca="false">IF(M74=1,1,0)</f>
        <v>1</v>
      </c>
      <c r="P74" s="116" t="n">
        <f aca="false">IF(M74=2,1,0)</f>
        <v>0</v>
      </c>
      <c r="Q74" s="116" t="n">
        <f aca="false">IF(M74=3,1,0)</f>
        <v>0</v>
      </c>
      <c r="R74" s="117" t="n">
        <f aca="false">IF(M74=4,1,0)</f>
        <v>0</v>
      </c>
      <c r="S74" s="185"/>
      <c r="T74" s="182"/>
      <c r="U74" s="62"/>
    </row>
    <row r="75" customFormat="false" ht="20.1" hidden="false" customHeight="true" outlineLevel="0" collapsed="false">
      <c r="B75" s="62"/>
      <c r="C75" s="182"/>
      <c r="D75" s="182"/>
      <c r="E75" s="333" t="s">
        <v>17</v>
      </c>
      <c r="F75" s="32" t="s">
        <v>18</v>
      </c>
      <c r="G75" s="119" t="n">
        <v>1</v>
      </c>
      <c r="H75" s="119" t="s">
        <v>67</v>
      </c>
      <c r="I75" s="119" t="n">
        <v>0</v>
      </c>
      <c r="J75" s="119" t="n">
        <v>56</v>
      </c>
      <c r="K75" s="119" t="s">
        <v>67</v>
      </c>
      <c r="L75" s="120" t="n">
        <f aca="false">IF(J75="",0,(J75/J78)*100)</f>
        <v>94.9152542372881</v>
      </c>
      <c r="M75" s="119" t="n">
        <v>2</v>
      </c>
      <c r="N75" s="31" t="n">
        <v>3</v>
      </c>
      <c r="O75" s="121" t="n">
        <f aca="false">IF(M75=1,1,0)</f>
        <v>0</v>
      </c>
      <c r="P75" s="122" t="n">
        <f aca="false">IF(M75=2,1,0)</f>
        <v>1</v>
      </c>
      <c r="Q75" s="122" t="n">
        <f aca="false">IF(M75=3,1,0)</f>
        <v>0</v>
      </c>
      <c r="R75" s="123" t="n">
        <f aca="false">IF(M75=4,1,0)</f>
        <v>0</v>
      </c>
      <c r="S75" s="185"/>
      <c r="T75" s="182"/>
      <c r="U75" s="62"/>
    </row>
    <row r="76" customFormat="false" ht="20.1" hidden="false" customHeight="true" outlineLevel="0" collapsed="false">
      <c r="B76" s="62"/>
      <c r="C76" s="182"/>
      <c r="D76" s="182"/>
      <c r="E76" s="333" t="s">
        <v>384</v>
      </c>
      <c r="F76" s="32" t="s">
        <v>28</v>
      </c>
      <c r="G76" s="119" t="n">
        <v>3</v>
      </c>
      <c r="H76" s="119" t="s">
        <v>67</v>
      </c>
      <c r="I76" s="119" t="n">
        <v>0</v>
      </c>
      <c r="J76" s="119" t="n">
        <v>28</v>
      </c>
      <c r="K76" s="119" t="s">
        <v>67</v>
      </c>
      <c r="L76" s="120" t="n">
        <f aca="false">IF(J76="",0,(J76/J78)*100)</f>
        <v>47.4576271186441</v>
      </c>
      <c r="M76" s="119" t="n">
        <v>4</v>
      </c>
      <c r="N76" s="31" t="n">
        <v>0</v>
      </c>
      <c r="O76" s="121" t="n">
        <f aca="false">IF(M76=1,1,0)</f>
        <v>0</v>
      </c>
      <c r="P76" s="122" t="n">
        <f aca="false">IF(M76=2,1,0)</f>
        <v>0</v>
      </c>
      <c r="Q76" s="122" t="n">
        <f aca="false">IF(M76=3,1,0)</f>
        <v>0</v>
      </c>
      <c r="R76" s="123" t="n">
        <f aca="false">IF(M76=4,1,0)</f>
        <v>1</v>
      </c>
      <c r="S76" s="185"/>
      <c r="T76" s="182"/>
      <c r="U76" s="62"/>
    </row>
    <row r="77" customFormat="false" ht="20.1" hidden="false" customHeight="true" outlineLevel="0" collapsed="false">
      <c r="B77" s="62"/>
      <c r="C77" s="182"/>
      <c r="D77" s="186"/>
      <c r="E77" s="362" t="s">
        <v>37</v>
      </c>
      <c r="F77" s="46" t="s">
        <v>38</v>
      </c>
      <c r="G77" s="125" t="n">
        <v>2</v>
      </c>
      <c r="H77" s="125" t="s">
        <v>67</v>
      </c>
      <c r="I77" s="125" t="n">
        <v>0</v>
      </c>
      <c r="J77" s="125" t="n">
        <v>40</v>
      </c>
      <c r="K77" s="125" t="s">
        <v>67</v>
      </c>
      <c r="L77" s="126" t="n">
        <f aca="false">IF(J77="",0,(J77/J78)*100)</f>
        <v>67.7966101694915</v>
      </c>
      <c r="M77" s="125" t="n">
        <v>3</v>
      </c>
      <c r="N77" s="50" t="n">
        <v>1</v>
      </c>
      <c r="O77" s="127" t="n">
        <f aca="false">IF(M77=1,1,0)</f>
        <v>0</v>
      </c>
      <c r="P77" s="128" t="n">
        <f aca="false">IF(M77=2,1,0)</f>
        <v>0</v>
      </c>
      <c r="Q77" s="128" t="n">
        <f aca="false">IF(M77=3,1,0)</f>
        <v>1</v>
      </c>
      <c r="R77" s="129" t="n">
        <f aca="false">IF(M77=4,1,0)</f>
        <v>0</v>
      </c>
      <c r="S77" s="185"/>
      <c r="T77" s="182"/>
      <c r="U77" s="62"/>
    </row>
    <row r="78" customFormat="false" ht="20.1" hidden="true" customHeight="true" outlineLevel="1" collapsed="false">
      <c r="B78" s="62"/>
      <c r="C78" s="182"/>
      <c r="D78" s="182"/>
      <c r="E78" s="182"/>
      <c r="F78" s="187"/>
      <c r="G78" s="187"/>
      <c r="H78" s="182"/>
      <c r="I78" s="158" t="s">
        <v>89</v>
      </c>
      <c r="J78" s="133" t="n">
        <f aca="false">MAX(J74:J77)</f>
        <v>59</v>
      </c>
      <c r="K78" s="188"/>
      <c r="L78" s="185"/>
      <c r="M78" s="182"/>
      <c r="N78" s="136" t="s">
        <v>90</v>
      </c>
      <c r="O78" s="137" t="n">
        <f aca="false">SUM(O74:O77)</f>
        <v>1</v>
      </c>
      <c r="P78" s="138" t="n">
        <f aca="false">SUM(P74:P77)</f>
        <v>1</v>
      </c>
      <c r="Q78" s="137" t="n">
        <f aca="false">SUM(Q74:Q77)</f>
        <v>1</v>
      </c>
      <c r="R78" s="160" t="n">
        <f aca="false">SUM(R74:R77)</f>
        <v>1</v>
      </c>
      <c r="S78" s="189"/>
      <c r="T78" s="182"/>
      <c r="U78" s="62"/>
    </row>
    <row r="79" customFormat="false" ht="20.1" hidden="false" customHeight="true" outlineLevel="0" collapsed="false">
      <c r="B79" s="62"/>
      <c r="C79" s="182"/>
      <c r="D79" s="182"/>
      <c r="E79" s="182"/>
      <c r="F79" s="182"/>
      <c r="G79" s="182"/>
      <c r="H79" s="182"/>
      <c r="I79" s="182"/>
      <c r="J79" s="182"/>
      <c r="K79" s="182"/>
      <c r="L79" s="182"/>
      <c r="M79" s="182"/>
      <c r="N79" s="182"/>
      <c r="O79" s="182"/>
      <c r="P79" s="182"/>
      <c r="Q79" s="182"/>
      <c r="R79" s="182"/>
      <c r="S79" s="182"/>
      <c r="T79" s="182"/>
      <c r="U79" s="62"/>
    </row>
    <row r="80" customFormat="false" ht="20.1" hidden="false" customHeight="true" outlineLevel="0" collapsed="false">
      <c r="B80" s="62"/>
      <c r="D80" s="5"/>
      <c r="E80" s="5"/>
      <c r="F80" s="5"/>
      <c r="G80" s="5"/>
      <c r="H80" s="5"/>
      <c r="I80" s="5"/>
      <c r="J80" s="5"/>
      <c r="U80" s="62"/>
    </row>
    <row r="81" customFormat="false" ht="30" hidden="false" customHeight="true" outlineLevel="0" collapsed="false">
      <c r="B81" s="62"/>
      <c r="C81" s="190"/>
      <c r="D81" s="191" t="s">
        <v>99</v>
      </c>
      <c r="E81" s="191"/>
      <c r="F81" s="191"/>
      <c r="G81" s="191"/>
      <c r="H81" s="191"/>
      <c r="I81" s="191"/>
      <c r="J81" s="191"/>
      <c r="K81" s="191"/>
      <c r="L81" s="191"/>
      <c r="M81" s="191"/>
      <c r="N81" s="191"/>
      <c r="O81" s="191"/>
      <c r="P81" s="191"/>
      <c r="Q81" s="191"/>
      <c r="R81" s="191"/>
      <c r="S81" s="191"/>
      <c r="T81" s="190"/>
      <c r="U81" s="62"/>
    </row>
    <row r="82" customFormat="false" ht="50.1" hidden="false" customHeight="true" outlineLevel="0" collapsed="false">
      <c r="B82" s="62"/>
      <c r="C82" s="190"/>
      <c r="D82" s="192" t="s">
        <v>53</v>
      </c>
      <c r="E82" s="193" t="s">
        <v>54</v>
      </c>
      <c r="F82" s="194" t="s">
        <v>84</v>
      </c>
      <c r="G82" s="195" t="s">
        <v>100</v>
      </c>
      <c r="H82" s="196" t="s">
        <v>101</v>
      </c>
      <c r="I82" s="196"/>
      <c r="J82" s="197" t="s">
        <v>102</v>
      </c>
      <c r="K82" s="198" t="s">
        <v>103</v>
      </c>
      <c r="L82" s="194" t="s">
        <v>104</v>
      </c>
      <c r="M82" s="198" t="s">
        <v>105</v>
      </c>
      <c r="N82" s="194" t="s">
        <v>106</v>
      </c>
      <c r="O82" s="199"/>
      <c r="P82" s="200"/>
      <c r="Q82" s="200"/>
      <c r="R82" s="200"/>
      <c r="S82" s="193" t="s">
        <v>107</v>
      </c>
      <c r="T82" s="190"/>
      <c r="U82" s="62"/>
    </row>
    <row r="83" customFormat="false" ht="20.1" hidden="false" customHeight="true" outlineLevel="0" collapsed="false">
      <c r="B83" s="62"/>
      <c r="C83" s="190"/>
      <c r="D83" s="407" t="s">
        <v>37</v>
      </c>
      <c r="E83" s="419" t="s">
        <v>38</v>
      </c>
      <c r="F83" s="203" t="n">
        <f aca="false">(K83*6+L83*3+M83*1+N83*0)</f>
        <v>13</v>
      </c>
      <c r="G83" s="203" t="n">
        <v>0</v>
      </c>
      <c r="H83" s="204" t="s">
        <v>67</v>
      </c>
      <c r="I83" s="204"/>
      <c r="J83" s="203" t="n">
        <f aca="false">F83+G83</f>
        <v>13</v>
      </c>
      <c r="K83" s="203" t="n">
        <v>1</v>
      </c>
      <c r="L83" s="203" t="n">
        <v>2</v>
      </c>
      <c r="M83" s="203" t="n">
        <v>1</v>
      </c>
      <c r="N83" s="203" t="n">
        <v>0</v>
      </c>
      <c r="O83" s="203"/>
      <c r="P83" s="203"/>
      <c r="Q83" s="203"/>
      <c r="R83" s="203"/>
      <c r="S83" s="205" t="n">
        <f aca="false">(L50+L59+L68+L77)/4</f>
        <v>84.0789179382673</v>
      </c>
      <c r="T83" s="190"/>
      <c r="U83" s="62"/>
      <c r="W83" s="206"/>
      <c r="X83" s="206"/>
      <c r="Y83" s="206"/>
      <c r="Z83" s="206"/>
    </row>
    <row r="84" customFormat="false" ht="20.1" hidden="false" customHeight="true" outlineLevel="0" collapsed="false">
      <c r="B84" s="62"/>
      <c r="C84" s="190"/>
      <c r="D84" s="207" t="s">
        <v>15</v>
      </c>
      <c r="E84" s="420" t="s">
        <v>16</v>
      </c>
      <c r="F84" s="209" t="n">
        <f aca="false">(K84*6+L84*3+M84*1+N84*0)</f>
        <v>11</v>
      </c>
      <c r="G84" s="209" t="n">
        <v>0</v>
      </c>
      <c r="H84" s="210" t="s">
        <v>67</v>
      </c>
      <c r="I84" s="210"/>
      <c r="J84" s="209" t="n">
        <f aca="false">F84+G84</f>
        <v>11</v>
      </c>
      <c r="K84" s="209" t="n">
        <v>1</v>
      </c>
      <c r="L84" s="209" t="n">
        <v>1</v>
      </c>
      <c r="M84" s="209" t="n">
        <v>2</v>
      </c>
      <c r="N84" s="209" t="n">
        <v>0</v>
      </c>
      <c r="O84" s="209"/>
      <c r="P84" s="209"/>
      <c r="Q84" s="209"/>
      <c r="R84" s="209"/>
      <c r="S84" s="211" t="n">
        <f aca="false">(L47+L56+L65+L74)/4</f>
        <v>89.9956833004824</v>
      </c>
      <c r="T84" s="190"/>
      <c r="U84" s="62"/>
      <c r="W84" s="212"/>
      <c r="X84" s="212"/>
      <c r="Y84" s="212"/>
      <c r="Z84" s="212"/>
    </row>
    <row r="85" customFormat="false" ht="20.1" hidden="false" customHeight="true" outlineLevel="0" collapsed="false">
      <c r="B85" s="62"/>
      <c r="C85" s="190"/>
      <c r="D85" s="207" t="s">
        <v>17</v>
      </c>
      <c r="E85" s="420" t="s">
        <v>18</v>
      </c>
      <c r="F85" s="209" t="n">
        <f aca="false">(K85*6+L85*3+M85*1+N85*0)</f>
        <v>10</v>
      </c>
      <c r="G85" s="209" t="n">
        <v>0</v>
      </c>
      <c r="H85" s="210" t="s">
        <v>67</v>
      </c>
      <c r="I85" s="210"/>
      <c r="J85" s="209" t="n">
        <f aca="false">F85+G85</f>
        <v>10</v>
      </c>
      <c r="K85" s="209" t="n">
        <v>1</v>
      </c>
      <c r="L85" s="209" t="n">
        <v>1</v>
      </c>
      <c r="M85" s="209" t="n">
        <v>1</v>
      </c>
      <c r="N85" s="209" t="n">
        <v>1</v>
      </c>
      <c r="O85" s="209"/>
      <c r="P85" s="209"/>
      <c r="Q85" s="209"/>
      <c r="R85" s="209"/>
      <c r="S85" s="211" t="n">
        <f aca="false">(L48+L57+L66+L75)/4</f>
        <v>87.3953039524121</v>
      </c>
      <c r="T85" s="190"/>
      <c r="U85" s="62"/>
      <c r="W85" s="212"/>
      <c r="X85" s="212"/>
      <c r="Y85" s="212"/>
      <c r="Z85" s="212"/>
    </row>
    <row r="86" customFormat="false" ht="20.1" hidden="false" customHeight="true" outlineLevel="0" collapsed="false">
      <c r="B86" s="62"/>
      <c r="C86" s="190"/>
      <c r="D86" s="214" t="s">
        <v>384</v>
      </c>
      <c r="E86" s="421" t="s">
        <v>28</v>
      </c>
      <c r="F86" s="216" t="n">
        <f aca="false">(K86*6+L86*3+M86*1+N86*0)</f>
        <v>6</v>
      </c>
      <c r="G86" s="216" t="n">
        <v>0</v>
      </c>
      <c r="H86" s="217" t="s">
        <v>67</v>
      </c>
      <c r="I86" s="217"/>
      <c r="J86" s="216" t="n">
        <f aca="false">F86+G86</f>
        <v>6</v>
      </c>
      <c r="K86" s="216" t="n">
        <v>1</v>
      </c>
      <c r="L86" s="216" t="n">
        <v>0</v>
      </c>
      <c r="M86" s="216" t="n">
        <v>0</v>
      </c>
      <c r="N86" s="216" t="n">
        <v>3</v>
      </c>
      <c r="O86" s="216"/>
      <c r="P86" s="216"/>
      <c r="Q86" s="216"/>
      <c r="R86" s="216"/>
      <c r="S86" s="218" t="n">
        <f aca="false">(L49+L58+L67+L76)/4</f>
        <v>65.8013168641121</v>
      </c>
      <c r="T86" s="190"/>
      <c r="U86" s="62"/>
      <c r="W86" s="212"/>
      <c r="X86" s="212"/>
      <c r="Y86" s="212"/>
      <c r="Z86" s="212"/>
      <c r="AB86" s="212"/>
      <c r="AC86" s="212"/>
      <c r="AD86" s="212"/>
      <c r="AE86" s="212"/>
    </row>
    <row r="87" customFormat="false" ht="20.1" hidden="false" customHeight="true" outlineLevel="0" collapsed="false">
      <c r="B87" s="62"/>
      <c r="C87" s="190"/>
      <c r="D87" s="422"/>
      <c r="E87" s="422"/>
      <c r="F87" s="275"/>
      <c r="G87" s="275"/>
      <c r="H87" s="423"/>
      <c r="I87" s="423"/>
      <c r="J87" s="275"/>
      <c r="K87" s="275"/>
      <c r="L87" s="275"/>
      <c r="M87" s="275"/>
      <c r="N87" s="275"/>
      <c r="O87" s="275"/>
      <c r="P87" s="275"/>
      <c r="Q87" s="275"/>
      <c r="R87" s="275"/>
      <c r="S87" s="424"/>
      <c r="T87" s="190"/>
      <c r="U87" s="62"/>
      <c r="W87" s="212"/>
      <c r="X87" s="212"/>
      <c r="Y87" s="212"/>
      <c r="Z87" s="212"/>
    </row>
    <row r="88" customFormat="false" ht="20.1" hidden="false" customHeight="true" outlineLevel="0" collapsed="false">
      <c r="B88" s="62"/>
      <c r="C88" s="62"/>
      <c r="D88" s="219"/>
      <c r="E88" s="219"/>
      <c r="F88" s="167"/>
      <c r="G88" s="167"/>
      <c r="H88" s="219"/>
      <c r="I88" s="219"/>
      <c r="J88" s="219"/>
      <c r="K88" s="62"/>
      <c r="L88" s="62"/>
      <c r="M88" s="62"/>
      <c r="N88" s="62"/>
      <c r="O88" s="62"/>
      <c r="P88" s="62"/>
      <c r="Q88" s="62"/>
      <c r="R88" s="62"/>
      <c r="S88" s="62"/>
      <c r="T88" s="62"/>
      <c r="U88" s="62"/>
    </row>
    <row r="89" customFormat="false" ht="20.1" hidden="false" customHeight="true" outlineLevel="0" collapsed="false">
      <c r="D89" s="220"/>
    </row>
    <row r="90" customFormat="false" ht="20.1" hidden="false" customHeight="true" outlineLevel="0" collapsed="false">
      <c r="D90" s="221"/>
    </row>
    <row r="91" customFormat="false" ht="20.1" hidden="false" customHeight="true" outlineLevel="0" collapsed="false">
      <c r="B91" s="62"/>
      <c r="C91" s="62"/>
      <c r="D91" s="63"/>
      <c r="E91" s="63"/>
      <c r="F91" s="63"/>
      <c r="G91" s="63"/>
      <c r="H91" s="62"/>
      <c r="I91" s="62"/>
      <c r="J91" s="62"/>
      <c r="K91" s="62"/>
      <c r="L91" s="62"/>
      <c r="M91" s="62"/>
      <c r="N91" s="62"/>
      <c r="O91" s="62"/>
      <c r="P91" s="62"/>
      <c r="Q91" s="62"/>
      <c r="R91" s="62"/>
      <c r="S91" s="62"/>
      <c r="T91" s="62"/>
      <c r="U91" s="62"/>
    </row>
    <row r="92" customFormat="false" ht="30" hidden="false" customHeight="true" outlineLevel="0" collapsed="false">
      <c r="B92" s="62"/>
      <c r="C92" s="64" t="s">
        <v>108</v>
      </c>
      <c r="D92" s="64"/>
      <c r="E92" s="64"/>
      <c r="F92" s="64"/>
      <c r="G92" s="64"/>
      <c r="H92" s="64"/>
      <c r="I92" s="64"/>
      <c r="J92" s="64"/>
      <c r="K92" s="64"/>
      <c r="L92" s="64"/>
      <c r="M92" s="64"/>
      <c r="N92" s="64"/>
      <c r="O92" s="64"/>
      <c r="P92" s="64"/>
      <c r="Q92" s="64"/>
      <c r="R92" s="64"/>
      <c r="S92" s="64"/>
      <c r="T92" s="64"/>
      <c r="U92" s="62"/>
    </row>
    <row r="93" customFormat="false" ht="20.1" hidden="false" customHeight="true" outlineLevel="0" collapsed="false">
      <c r="B93" s="62"/>
      <c r="U93" s="62"/>
    </row>
    <row r="94" customFormat="false" ht="20.1" hidden="false" customHeight="true" outlineLevel="0" collapsed="false">
      <c r="B94" s="62"/>
      <c r="D94" s="65" t="s">
        <v>53</v>
      </c>
      <c r="E94" s="66" t="s">
        <v>54</v>
      </c>
      <c r="F94" s="67" t="s">
        <v>11</v>
      </c>
      <c r="G94" s="223" t="s">
        <v>55</v>
      </c>
      <c r="H94" s="223"/>
      <c r="I94" s="223"/>
      <c r="J94" s="223"/>
      <c r="K94" s="66" t="s">
        <v>56</v>
      </c>
      <c r="L94" s="68" t="s">
        <v>57</v>
      </c>
      <c r="M94" s="68"/>
      <c r="N94" s="68"/>
      <c r="O94" s="68"/>
      <c r="P94" s="68"/>
      <c r="Q94" s="68"/>
      <c r="R94" s="68"/>
      <c r="S94" s="68"/>
      <c r="U94" s="62"/>
    </row>
    <row r="95" customFormat="false" ht="20.1" hidden="false" customHeight="true" outlineLevel="0" collapsed="false">
      <c r="B95" s="62"/>
      <c r="D95" s="65"/>
      <c r="E95" s="66"/>
      <c r="F95" s="66"/>
      <c r="G95" s="70" t="s">
        <v>58</v>
      </c>
      <c r="H95" s="69" t="s">
        <v>59</v>
      </c>
      <c r="I95" s="67" t="s">
        <v>60</v>
      </c>
      <c r="J95" s="67"/>
      <c r="K95" s="69" t="s">
        <v>61</v>
      </c>
      <c r="L95" s="224" t="s">
        <v>58</v>
      </c>
      <c r="M95" s="225" t="s">
        <v>62</v>
      </c>
      <c r="N95" s="67" t="s">
        <v>60</v>
      </c>
      <c r="O95" s="67"/>
      <c r="P95" s="67"/>
      <c r="Q95" s="67"/>
      <c r="R95" s="67"/>
      <c r="S95" s="67"/>
      <c r="U95" s="62"/>
    </row>
    <row r="96" customFormat="false" ht="27.95" hidden="false" customHeight="true" outlineLevel="0" collapsed="false">
      <c r="B96" s="62"/>
      <c r="D96" s="456" t="s">
        <v>20</v>
      </c>
      <c r="E96" s="494" t="s">
        <v>21</v>
      </c>
      <c r="F96" s="308" t="n">
        <v>1</v>
      </c>
      <c r="G96" s="72" t="s">
        <v>63</v>
      </c>
      <c r="H96" s="74" t="s">
        <v>303</v>
      </c>
      <c r="I96" s="321" t="s">
        <v>304</v>
      </c>
      <c r="J96" s="321"/>
      <c r="K96" s="563" t="s">
        <v>111</v>
      </c>
      <c r="L96" s="461" t="s">
        <v>67</v>
      </c>
      <c r="M96" s="462" t="s">
        <v>67</v>
      </c>
      <c r="N96" s="463" t="s">
        <v>67</v>
      </c>
      <c r="O96" s="463"/>
      <c r="P96" s="463"/>
      <c r="Q96" s="463"/>
      <c r="R96" s="463"/>
      <c r="S96" s="463"/>
      <c r="U96" s="62"/>
    </row>
    <row r="97" customFormat="false" ht="15" hidden="false" customHeight="true" outlineLevel="0" collapsed="false">
      <c r="B97" s="62"/>
      <c r="D97" s="456"/>
      <c r="E97" s="494"/>
      <c r="F97" s="308"/>
      <c r="G97" s="72"/>
      <c r="H97" s="74"/>
      <c r="I97" s="325" t="s">
        <v>305</v>
      </c>
      <c r="J97" s="325"/>
      <c r="K97" s="563"/>
      <c r="L97" s="461"/>
      <c r="M97" s="462"/>
      <c r="N97" s="463"/>
      <c r="O97" s="463"/>
      <c r="P97" s="463"/>
      <c r="Q97" s="463"/>
      <c r="R97" s="463"/>
      <c r="S97" s="463"/>
      <c r="U97" s="62"/>
    </row>
    <row r="98" customFormat="false" ht="15" hidden="false" customHeight="true" outlineLevel="0" collapsed="false">
      <c r="B98" s="62"/>
      <c r="D98" s="456"/>
      <c r="E98" s="494"/>
      <c r="F98" s="308"/>
      <c r="G98" s="72"/>
      <c r="H98" s="74"/>
      <c r="I98" s="325" t="s">
        <v>306</v>
      </c>
      <c r="J98" s="325"/>
      <c r="K98" s="563"/>
      <c r="L98" s="461"/>
      <c r="M98" s="462"/>
      <c r="N98" s="463"/>
      <c r="O98" s="463"/>
      <c r="P98" s="463"/>
      <c r="Q98" s="463"/>
      <c r="R98" s="463"/>
      <c r="S98" s="463"/>
      <c r="U98" s="62"/>
    </row>
    <row r="99" customFormat="false" ht="15" hidden="false" customHeight="true" outlineLevel="0" collapsed="false">
      <c r="B99" s="62"/>
      <c r="D99" s="456"/>
      <c r="E99" s="494"/>
      <c r="F99" s="308"/>
      <c r="G99" s="72"/>
      <c r="H99" s="74"/>
      <c r="I99" s="325" t="s">
        <v>307</v>
      </c>
      <c r="J99" s="325"/>
      <c r="K99" s="563"/>
      <c r="L99" s="461"/>
      <c r="M99" s="462"/>
      <c r="N99" s="463"/>
      <c r="O99" s="463"/>
      <c r="P99" s="463"/>
      <c r="Q99" s="463"/>
      <c r="R99" s="463"/>
      <c r="S99" s="463"/>
      <c r="U99" s="62"/>
    </row>
    <row r="100" customFormat="false" ht="15" hidden="false" customHeight="true" outlineLevel="0" collapsed="false">
      <c r="B100" s="62"/>
      <c r="D100" s="456"/>
      <c r="E100" s="494"/>
      <c r="F100" s="308"/>
      <c r="G100" s="72"/>
      <c r="H100" s="74"/>
      <c r="I100" s="325" t="s">
        <v>308</v>
      </c>
      <c r="J100" s="325"/>
      <c r="K100" s="563"/>
      <c r="L100" s="461"/>
      <c r="M100" s="462"/>
      <c r="N100" s="463"/>
      <c r="O100" s="463"/>
      <c r="P100" s="463"/>
      <c r="Q100" s="463"/>
      <c r="R100" s="463"/>
      <c r="S100" s="463"/>
      <c r="U100" s="62"/>
    </row>
    <row r="101" customFormat="false" ht="42" hidden="false" customHeight="true" outlineLevel="0" collapsed="false">
      <c r="B101" s="62"/>
      <c r="D101" s="456"/>
      <c r="E101" s="494"/>
      <c r="F101" s="308"/>
      <c r="G101" s="72"/>
      <c r="H101" s="74"/>
      <c r="I101" s="325" t="s">
        <v>309</v>
      </c>
      <c r="J101" s="325"/>
      <c r="K101" s="563"/>
      <c r="L101" s="461"/>
      <c r="M101" s="462"/>
      <c r="N101" s="463"/>
      <c r="O101" s="463"/>
      <c r="P101" s="463"/>
      <c r="Q101" s="463"/>
      <c r="R101" s="463"/>
      <c r="S101" s="463"/>
      <c r="U101" s="62"/>
    </row>
    <row r="102" customFormat="false" ht="14.45" hidden="false" customHeight="true" outlineLevel="0" collapsed="false">
      <c r="B102" s="62"/>
      <c r="D102" s="333" t="s">
        <v>39</v>
      </c>
      <c r="E102" s="33" t="s">
        <v>40</v>
      </c>
      <c r="F102" s="31" t="n">
        <v>2</v>
      </c>
      <c r="G102" s="80" t="s">
        <v>63</v>
      </c>
      <c r="H102" s="82" t="s">
        <v>400</v>
      </c>
      <c r="I102" s="281" t="s">
        <v>401</v>
      </c>
      <c r="J102" s="281"/>
      <c r="K102" s="385" t="s">
        <v>111</v>
      </c>
      <c r="L102" s="80" t="s">
        <v>63</v>
      </c>
      <c r="M102" s="82" t="s">
        <v>594</v>
      </c>
      <c r="N102" s="328" t="s">
        <v>595</v>
      </c>
      <c r="O102" s="328"/>
      <c r="P102" s="328"/>
      <c r="Q102" s="328"/>
      <c r="R102" s="328"/>
      <c r="S102" s="328"/>
      <c r="U102" s="62"/>
    </row>
    <row r="103" customFormat="false" ht="14.45" hidden="false" customHeight="true" outlineLevel="0" collapsed="false">
      <c r="B103" s="62"/>
      <c r="D103" s="333"/>
      <c r="E103" s="33"/>
      <c r="F103" s="31"/>
      <c r="G103" s="80"/>
      <c r="H103" s="82"/>
      <c r="I103" s="82"/>
      <c r="J103" s="281"/>
      <c r="K103" s="385"/>
      <c r="L103" s="80"/>
      <c r="M103" s="82"/>
      <c r="N103" s="332" t="s">
        <v>596</v>
      </c>
      <c r="O103" s="332"/>
      <c r="P103" s="332"/>
      <c r="Q103" s="332"/>
      <c r="R103" s="332"/>
      <c r="S103" s="332"/>
      <c r="U103" s="62"/>
    </row>
    <row r="104" customFormat="false" ht="14.45" hidden="false" customHeight="true" outlineLevel="0" collapsed="false">
      <c r="B104" s="62"/>
      <c r="D104" s="333"/>
      <c r="E104" s="33"/>
      <c r="F104" s="31"/>
      <c r="G104" s="80"/>
      <c r="H104" s="82"/>
      <c r="I104" s="82"/>
      <c r="J104" s="281"/>
      <c r="K104" s="385"/>
      <c r="L104" s="80"/>
      <c r="M104" s="82"/>
      <c r="N104" s="332" t="s">
        <v>597</v>
      </c>
      <c r="O104" s="332"/>
      <c r="P104" s="332"/>
      <c r="Q104" s="332"/>
      <c r="R104" s="332"/>
      <c r="S104" s="332"/>
      <c r="U104" s="62"/>
    </row>
    <row r="105" customFormat="false" ht="14.45" hidden="false" customHeight="true" outlineLevel="0" collapsed="false">
      <c r="B105" s="62"/>
      <c r="D105" s="333"/>
      <c r="E105" s="33"/>
      <c r="F105" s="31"/>
      <c r="G105" s="80"/>
      <c r="H105" s="82"/>
      <c r="I105" s="82"/>
      <c r="J105" s="281"/>
      <c r="K105" s="385"/>
      <c r="L105" s="80"/>
      <c r="M105" s="82"/>
      <c r="N105" s="361" t="s">
        <v>598</v>
      </c>
      <c r="O105" s="361"/>
      <c r="P105" s="361"/>
      <c r="Q105" s="361"/>
      <c r="R105" s="361"/>
      <c r="S105" s="361"/>
      <c r="U105" s="62"/>
    </row>
    <row r="106" customFormat="false" ht="15" hidden="false" customHeight="true" outlineLevel="0" collapsed="false">
      <c r="B106" s="62"/>
      <c r="D106" s="432" t="s">
        <v>12</v>
      </c>
      <c r="E106" s="433" t="s">
        <v>13</v>
      </c>
      <c r="F106" s="36" t="n">
        <v>3</v>
      </c>
      <c r="G106" s="232" t="s">
        <v>63</v>
      </c>
      <c r="H106" s="355" t="s">
        <v>541</v>
      </c>
      <c r="I106" s="338" t="s">
        <v>542</v>
      </c>
      <c r="J106" s="338"/>
      <c r="K106" s="633" t="s">
        <v>400</v>
      </c>
      <c r="L106" s="437" t="s">
        <v>67</v>
      </c>
      <c r="M106" s="438" t="s">
        <v>67</v>
      </c>
      <c r="N106" s="439" t="s">
        <v>67</v>
      </c>
      <c r="O106" s="439"/>
      <c r="P106" s="439"/>
      <c r="Q106" s="439"/>
      <c r="R106" s="439"/>
      <c r="S106" s="439"/>
      <c r="U106" s="62"/>
    </row>
    <row r="107" customFormat="false" ht="15" hidden="false" customHeight="true" outlineLevel="0" collapsed="false">
      <c r="B107" s="62"/>
      <c r="D107" s="432"/>
      <c r="E107" s="433"/>
      <c r="F107" s="36"/>
      <c r="G107" s="232"/>
      <c r="H107" s="355"/>
      <c r="I107" s="338" t="s">
        <v>544</v>
      </c>
      <c r="J107" s="338"/>
      <c r="K107" s="633"/>
      <c r="L107" s="437"/>
      <c r="M107" s="438"/>
      <c r="N107" s="439"/>
      <c r="O107" s="439"/>
      <c r="P107" s="439"/>
      <c r="Q107" s="439"/>
      <c r="R107" s="439"/>
      <c r="S107" s="439"/>
      <c r="U107" s="62"/>
    </row>
    <row r="108" customFormat="false" ht="15" hidden="false" customHeight="true" outlineLevel="0" collapsed="false">
      <c r="B108" s="62"/>
      <c r="D108" s="432"/>
      <c r="E108" s="433"/>
      <c r="F108" s="36"/>
      <c r="G108" s="232"/>
      <c r="H108" s="355"/>
      <c r="I108" s="338" t="s">
        <v>575</v>
      </c>
      <c r="J108" s="338"/>
      <c r="K108" s="633"/>
      <c r="L108" s="437"/>
      <c r="M108" s="438"/>
      <c r="N108" s="439"/>
      <c r="O108" s="439"/>
      <c r="P108" s="439"/>
      <c r="Q108" s="439"/>
      <c r="R108" s="439"/>
      <c r="S108" s="439"/>
      <c r="U108" s="62"/>
    </row>
    <row r="109" customFormat="false" ht="15" hidden="false" customHeight="true" outlineLevel="0" collapsed="false">
      <c r="B109" s="62"/>
      <c r="D109" s="349" t="s">
        <v>43</v>
      </c>
      <c r="E109" s="44" t="s">
        <v>44</v>
      </c>
      <c r="F109" s="50" t="n">
        <v>4</v>
      </c>
      <c r="G109" s="358" t="s">
        <v>63</v>
      </c>
      <c r="H109" s="96" t="s">
        <v>389</v>
      </c>
      <c r="I109" s="342" t="s">
        <v>390</v>
      </c>
      <c r="J109" s="342"/>
      <c r="K109" s="651" t="s">
        <v>400</v>
      </c>
      <c r="L109" s="442" t="s">
        <v>67</v>
      </c>
      <c r="M109" s="345" t="s">
        <v>67</v>
      </c>
      <c r="N109" s="239" t="s">
        <v>67</v>
      </c>
      <c r="O109" s="239"/>
      <c r="P109" s="239"/>
      <c r="Q109" s="239"/>
      <c r="R109" s="239"/>
      <c r="S109" s="239"/>
      <c r="U109" s="62"/>
    </row>
    <row r="110" customFormat="false" ht="15" hidden="false" customHeight="true" outlineLevel="0" collapsed="false">
      <c r="B110" s="62"/>
      <c r="D110" s="349"/>
      <c r="E110" s="44"/>
      <c r="F110" s="50"/>
      <c r="G110" s="358"/>
      <c r="H110" s="96"/>
      <c r="I110" s="347" t="s">
        <v>391</v>
      </c>
      <c r="J110" s="347"/>
      <c r="K110" s="651"/>
      <c r="L110" s="442"/>
      <c r="M110" s="345"/>
      <c r="N110" s="345"/>
      <c r="O110" s="239"/>
      <c r="P110" s="239"/>
      <c r="Q110" s="239"/>
      <c r="R110" s="239"/>
      <c r="S110" s="239"/>
      <c r="U110" s="62"/>
    </row>
    <row r="111" customFormat="false" ht="15" hidden="false" customHeight="true" outlineLevel="0" collapsed="false">
      <c r="A111" s="1" t="s">
        <v>599</v>
      </c>
      <c r="B111" s="62"/>
      <c r="D111" s="349"/>
      <c r="E111" s="44"/>
      <c r="F111" s="50"/>
      <c r="G111" s="358"/>
      <c r="H111" s="96"/>
      <c r="I111" s="347" t="s">
        <v>392</v>
      </c>
      <c r="J111" s="347"/>
      <c r="K111" s="651"/>
      <c r="L111" s="442"/>
      <c r="M111" s="345"/>
      <c r="N111" s="345"/>
      <c r="O111" s="239"/>
      <c r="P111" s="239"/>
      <c r="Q111" s="239"/>
      <c r="R111" s="239"/>
      <c r="S111" s="239"/>
      <c r="U111" s="62"/>
    </row>
    <row r="112" customFormat="false" ht="15" hidden="false" customHeight="true" outlineLevel="0" collapsed="false">
      <c r="B112" s="62"/>
      <c r="D112" s="349"/>
      <c r="E112" s="44"/>
      <c r="F112" s="50"/>
      <c r="G112" s="358"/>
      <c r="H112" s="96"/>
      <c r="I112" s="347" t="s">
        <v>393</v>
      </c>
      <c r="J112" s="347"/>
      <c r="K112" s="651"/>
      <c r="L112" s="442"/>
      <c r="M112" s="345"/>
      <c r="N112" s="345"/>
      <c r="O112" s="239"/>
      <c r="P112" s="239"/>
      <c r="Q112" s="239"/>
      <c r="R112" s="239"/>
      <c r="S112" s="239"/>
      <c r="U112" s="62"/>
    </row>
    <row r="113" customFormat="false" ht="15.75" hidden="false" customHeight="true" outlineLevel="0" collapsed="false">
      <c r="B113" s="62"/>
      <c r="D113" s="349"/>
      <c r="E113" s="44"/>
      <c r="F113" s="50"/>
      <c r="G113" s="358"/>
      <c r="H113" s="96"/>
      <c r="I113" s="348" t="s">
        <v>574</v>
      </c>
      <c r="J113" s="348"/>
      <c r="K113" s="651"/>
      <c r="L113" s="442"/>
      <c r="M113" s="345"/>
      <c r="N113" s="345"/>
      <c r="O113" s="239"/>
      <c r="P113" s="239"/>
      <c r="Q113" s="239"/>
      <c r="R113" s="239"/>
      <c r="S113" s="239"/>
      <c r="U113" s="62"/>
    </row>
    <row r="114" customFormat="false" ht="20.1" hidden="false" customHeight="true" outlineLevel="0" collapsed="false">
      <c r="B114" s="62"/>
      <c r="U114" s="62"/>
    </row>
    <row r="115" customFormat="false" ht="20.1" hidden="false" customHeight="true" outlineLevel="0" collapsed="false">
      <c r="B115" s="62"/>
      <c r="C115" s="101"/>
      <c r="D115" s="101"/>
      <c r="E115" s="102" t="str">
        <f aca="false">IF(OR(L96="-",L96= ""),H96,L96)</f>
        <v>Clans of Caledonia</v>
      </c>
      <c r="F115" s="102"/>
      <c r="G115" s="102"/>
      <c r="H115" s="102"/>
      <c r="I115" s="102"/>
      <c r="J115" s="102"/>
      <c r="K115" s="102"/>
      <c r="L115" s="102"/>
      <c r="M115" s="102"/>
      <c r="N115" s="102"/>
      <c r="O115" s="103"/>
      <c r="P115" s="103"/>
      <c r="Q115" s="103"/>
      <c r="R115" s="103"/>
      <c r="S115" s="103"/>
      <c r="T115" s="101"/>
      <c r="U115" s="62"/>
    </row>
    <row r="116" customFormat="false" ht="50.1" hidden="false" customHeight="true" outlineLevel="0" collapsed="false">
      <c r="B116" s="62"/>
      <c r="C116" s="101"/>
      <c r="D116" s="103"/>
      <c r="E116" s="65" t="s">
        <v>53</v>
      </c>
      <c r="F116" s="104" t="s">
        <v>76</v>
      </c>
      <c r="G116" s="67" t="s">
        <v>77</v>
      </c>
      <c r="H116" s="66" t="s">
        <v>78</v>
      </c>
      <c r="I116" s="54" t="s">
        <v>79</v>
      </c>
      <c r="J116" s="66" t="s">
        <v>80</v>
      </c>
      <c r="K116" s="105" t="s">
        <v>81</v>
      </c>
      <c r="L116" s="66" t="s">
        <v>82</v>
      </c>
      <c r="M116" s="106" t="s">
        <v>83</v>
      </c>
      <c r="N116" s="67" t="s">
        <v>84</v>
      </c>
      <c r="O116" s="107" t="s">
        <v>85</v>
      </c>
      <c r="P116" s="108" t="s">
        <v>86</v>
      </c>
      <c r="Q116" s="108" t="s">
        <v>87</v>
      </c>
      <c r="R116" s="13" t="s">
        <v>88</v>
      </c>
      <c r="S116" s="103"/>
      <c r="T116" s="101"/>
      <c r="U116" s="62"/>
    </row>
    <row r="117" customFormat="false" ht="20.1" hidden="false" customHeight="true" outlineLevel="0" collapsed="false">
      <c r="B117" s="62"/>
      <c r="C117" s="101"/>
      <c r="D117" s="124"/>
      <c r="E117" s="403" t="s">
        <v>20</v>
      </c>
      <c r="F117" s="110" t="s">
        <v>21</v>
      </c>
      <c r="G117" s="111" t="n">
        <v>1</v>
      </c>
      <c r="H117" s="111" t="s">
        <v>448</v>
      </c>
      <c r="I117" s="111" t="n">
        <v>-10</v>
      </c>
      <c r="J117" s="111" t="n">
        <v>148</v>
      </c>
      <c r="K117" s="111" t="s">
        <v>67</v>
      </c>
      <c r="L117" s="113" t="n">
        <f aca="false">IF(J117="",0,(J117/J121)*100)</f>
        <v>100</v>
      </c>
      <c r="M117" s="111" t="n">
        <v>1</v>
      </c>
      <c r="N117" s="114" t="n">
        <v>6</v>
      </c>
      <c r="O117" s="115" t="n">
        <f aca="false">IF(M117=1,1,0)</f>
        <v>1</v>
      </c>
      <c r="P117" s="116" t="n">
        <f aca="false">IF(M117=2,1,0)</f>
        <v>0</v>
      </c>
      <c r="Q117" s="116" t="n">
        <f aca="false">IF(M117=3,1,0)</f>
        <v>0</v>
      </c>
      <c r="R117" s="117" t="n">
        <f aca="false">IF(M117=4,1,0)</f>
        <v>0</v>
      </c>
      <c r="S117" s="118"/>
      <c r="T117" s="101"/>
      <c r="U117" s="62"/>
    </row>
    <row r="118" customFormat="false" ht="27.95" hidden="false" customHeight="true" outlineLevel="0" collapsed="false">
      <c r="B118" s="62"/>
      <c r="C118" s="101"/>
      <c r="D118" s="101"/>
      <c r="E118" s="326" t="s">
        <v>39</v>
      </c>
      <c r="F118" s="33" t="s">
        <v>40</v>
      </c>
      <c r="G118" s="241" t="n">
        <v>3</v>
      </c>
      <c r="H118" s="241" t="s">
        <v>315</v>
      </c>
      <c r="I118" s="241" t="n">
        <v>0</v>
      </c>
      <c r="J118" s="241" t="n">
        <v>134</v>
      </c>
      <c r="K118" s="242" t="s">
        <v>600</v>
      </c>
      <c r="L118" s="243" t="n">
        <f aca="false">IF(J118="",0,(J118/J121)*100)</f>
        <v>90.5405405405405</v>
      </c>
      <c r="M118" s="241" t="n">
        <v>3</v>
      </c>
      <c r="N118" s="244" t="n">
        <v>1</v>
      </c>
      <c r="O118" s="121" t="n">
        <f aca="false">IF(M118=1,1,0)</f>
        <v>0</v>
      </c>
      <c r="P118" s="122" t="n">
        <f aca="false">IF(M118=2,1,0)</f>
        <v>0</v>
      </c>
      <c r="Q118" s="122" t="n">
        <f aca="false">IF(M118=3,1,0)</f>
        <v>1</v>
      </c>
      <c r="R118" s="123" t="n">
        <f aca="false">IF(M118=4,1,0)</f>
        <v>0</v>
      </c>
      <c r="S118" s="118"/>
      <c r="T118" s="101"/>
      <c r="U118" s="62"/>
    </row>
    <row r="119" customFormat="false" ht="20.1" hidden="false" customHeight="true" outlineLevel="0" collapsed="false">
      <c r="B119" s="62"/>
      <c r="C119" s="101"/>
      <c r="D119" s="101"/>
      <c r="E119" s="326" t="s">
        <v>12</v>
      </c>
      <c r="F119" s="33" t="s">
        <v>13</v>
      </c>
      <c r="G119" s="241" t="n">
        <v>4</v>
      </c>
      <c r="H119" s="241" t="s">
        <v>601</v>
      </c>
      <c r="I119" s="241" t="n">
        <v>-17</v>
      </c>
      <c r="J119" s="241" t="n">
        <v>106</v>
      </c>
      <c r="K119" s="241" t="s">
        <v>67</v>
      </c>
      <c r="L119" s="243" t="n">
        <f aca="false">IF(J119="",0,(J119/J121)*100)</f>
        <v>71.6216216216216</v>
      </c>
      <c r="M119" s="241" t="n">
        <v>4</v>
      </c>
      <c r="N119" s="244" t="n">
        <v>0</v>
      </c>
      <c r="O119" s="121" t="n">
        <f aca="false">IF(M119=1,1,0)</f>
        <v>0</v>
      </c>
      <c r="P119" s="122" t="n">
        <f aca="false">IF(M119=2,1,0)</f>
        <v>0</v>
      </c>
      <c r="Q119" s="122" t="n">
        <f aca="false">IF(M119=3,1,0)</f>
        <v>0</v>
      </c>
      <c r="R119" s="123" t="n">
        <f aca="false">IF(M119=4,1,0)</f>
        <v>1</v>
      </c>
      <c r="S119" s="118"/>
      <c r="T119" s="101"/>
      <c r="U119" s="62"/>
    </row>
    <row r="120" customFormat="false" ht="27.95" hidden="false" customHeight="true" outlineLevel="0" collapsed="false">
      <c r="B120" s="62"/>
      <c r="C120" s="101"/>
      <c r="D120" s="101"/>
      <c r="E120" s="234" t="s">
        <v>43</v>
      </c>
      <c r="F120" s="44" t="s">
        <v>44</v>
      </c>
      <c r="G120" s="245" t="n">
        <v>2</v>
      </c>
      <c r="H120" s="246" t="s">
        <v>312</v>
      </c>
      <c r="I120" s="245" t="n">
        <v>-7</v>
      </c>
      <c r="J120" s="245" t="n">
        <v>134</v>
      </c>
      <c r="K120" s="246" t="s">
        <v>602</v>
      </c>
      <c r="L120" s="247" t="n">
        <f aca="false">IF(J120="",0,(J120/J121)*100)</f>
        <v>90.5405405405405</v>
      </c>
      <c r="M120" s="245" t="n">
        <v>2</v>
      </c>
      <c r="N120" s="248" t="n">
        <v>3</v>
      </c>
      <c r="O120" s="127" t="n">
        <f aca="false">IF(M120=1,1,0)</f>
        <v>0</v>
      </c>
      <c r="P120" s="128" t="n">
        <f aca="false">IF(M120=2,1,0)</f>
        <v>1</v>
      </c>
      <c r="Q120" s="128" t="n">
        <f aca="false">IF(M120=3,1,0)</f>
        <v>0</v>
      </c>
      <c r="R120" s="129" t="n">
        <f aca="false">IF(M120=4,1,0)</f>
        <v>0</v>
      </c>
      <c r="S120" s="118"/>
      <c r="T120" s="101"/>
      <c r="U120" s="62"/>
    </row>
    <row r="121" customFormat="false" ht="20.1" hidden="true" customHeight="true" outlineLevel="1" collapsed="false">
      <c r="B121" s="62"/>
      <c r="C121" s="101"/>
      <c r="D121" s="124"/>
      <c r="E121" s="124"/>
      <c r="F121" s="131"/>
      <c r="G121" s="131"/>
      <c r="H121" s="101"/>
      <c r="I121" s="179" t="s">
        <v>89</v>
      </c>
      <c r="J121" s="133" t="n">
        <f aca="false">MAX(J117:J120)</f>
        <v>148</v>
      </c>
      <c r="K121" s="249"/>
      <c r="L121" s="139"/>
      <c r="M121" s="101"/>
      <c r="N121" s="136" t="s">
        <v>90</v>
      </c>
      <c r="O121" s="137" t="n">
        <f aca="false">SUM(O117:O120)</f>
        <v>1</v>
      </c>
      <c r="P121" s="138" t="n">
        <f aca="false">SUM(P117:P120)</f>
        <v>1</v>
      </c>
      <c r="Q121" s="137" t="n">
        <f aca="false">SUM(Q117:Q120)</f>
        <v>1</v>
      </c>
      <c r="R121" s="160" t="n">
        <f aca="false">SUM(R117:R120)</f>
        <v>1</v>
      </c>
      <c r="S121" s="139"/>
      <c r="T121" s="101"/>
      <c r="U121" s="62"/>
    </row>
    <row r="122" customFormat="false" ht="20.1" hidden="false" customHeight="true" outlineLevel="0" collapsed="false">
      <c r="B122" s="62"/>
      <c r="C122" s="101"/>
      <c r="D122" s="101"/>
      <c r="E122" s="101"/>
      <c r="F122" s="101"/>
      <c r="G122" s="101"/>
      <c r="H122" s="101"/>
      <c r="I122" s="101"/>
      <c r="J122" s="101"/>
      <c r="K122" s="101"/>
      <c r="L122" s="101"/>
      <c r="M122" s="101"/>
      <c r="N122" s="101"/>
      <c r="O122" s="101"/>
      <c r="P122" s="101"/>
      <c r="Q122" s="101"/>
      <c r="R122" s="101"/>
      <c r="S122" s="101"/>
      <c r="T122" s="101"/>
      <c r="U122" s="62"/>
    </row>
    <row r="123" customFormat="false" ht="20.1" hidden="false" customHeight="true" outlineLevel="0" collapsed="false">
      <c r="B123" s="62"/>
      <c r="U123" s="62"/>
    </row>
    <row r="124" customFormat="false" ht="20.1" hidden="false" customHeight="true" outlineLevel="0" collapsed="false">
      <c r="B124" s="62"/>
      <c r="C124" s="141"/>
      <c r="D124" s="141"/>
      <c r="E124" s="142" t="str">
        <f aca="false">IF(OR(M102="-",M102= ""),H102,M102)</f>
        <v>Im Jahr des Drachen</v>
      </c>
      <c r="F124" s="142"/>
      <c r="G124" s="142"/>
      <c r="H124" s="142"/>
      <c r="I124" s="142"/>
      <c r="J124" s="142"/>
      <c r="K124" s="142"/>
      <c r="L124" s="142"/>
      <c r="M124" s="142"/>
      <c r="N124" s="142"/>
      <c r="O124" s="143"/>
      <c r="P124" s="143"/>
      <c r="Q124" s="143"/>
      <c r="R124" s="143"/>
      <c r="S124" s="143"/>
      <c r="T124" s="141"/>
      <c r="U124" s="62"/>
    </row>
    <row r="125" customFormat="false" ht="50.1" hidden="false" customHeight="true" outlineLevel="0" collapsed="false">
      <c r="B125" s="62"/>
      <c r="C125" s="141"/>
      <c r="D125" s="143"/>
      <c r="E125" s="65" t="s">
        <v>53</v>
      </c>
      <c r="F125" s="104" t="s">
        <v>76</v>
      </c>
      <c r="G125" s="67" t="s">
        <v>77</v>
      </c>
      <c r="H125" s="66" t="s">
        <v>78</v>
      </c>
      <c r="I125" s="54" t="s">
        <v>79</v>
      </c>
      <c r="J125" s="66" t="s">
        <v>80</v>
      </c>
      <c r="K125" s="105" t="s">
        <v>81</v>
      </c>
      <c r="L125" s="66" t="s">
        <v>82</v>
      </c>
      <c r="M125" s="106" t="s">
        <v>83</v>
      </c>
      <c r="N125" s="67" t="s">
        <v>84</v>
      </c>
      <c r="O125" s="107" t="s">
        <v>85</v>
      </c>
      <c r="P125" s="108" t="s">
        <v>86</v>
      </c>
      <c r="Q125" s="108" t="s">
        <v>87</v>
      </c>
      <c r="R125" s="13" t="s">
        <v>88</v>
      </c>
      <c r="S125" s="143"/>
      <c r="T125" s="141"/>
      <c r="U125" s="62"/>
    </row>
    <row r="126" customFormat="false" ht="20.1" hidden="false" customHeight="true" outlineLevel="0" collapsed="false">
      <c r="B126" s="62"/>
      <c r="C126" s="141"/>
      <c r="D126" s="148"/>
      <c r="E126" s="318" t="s">
        <v>20</v>
      </c>
      <c r="F126" s="16" t="s">
        <v>21</v>
      </c>
      <c r="G126" s="250" t="n">
        <v>1</v>
      </c>
      <c r="H126" s="250" t="s">
        <v>67</v>
      </c>
      <c r="I126" s="250" t="n">
        <v>0</v>
      </c>
      <c r="J126" s="250" t="n">
        <v>84</v>
      </c>
      <c r="K126" s="250" t="s">
        <v>67</v>
      </c>
      <c r="L126" s="253" t="n">
        <f aca="false">IF(J126="",0,(J126/J130)*100)</f>
        <v>91.304347826087</v>
      </c>
      <c r="M126" s="250" t="n">
        <v>3</v>
      </c>
      <c r="N126" s="254" t="n">
        <v>1</v>
      </c>
      <c r="O126" s="115" t="n">
        <f aca="false">IF(M126=1,1,0)</f>
        <v>0</v>
      </c>
      <c r="P126" s="116" t="n">
        <f aca="false">IF(M126=2,1,0)</f>
        <v>0</v>
      </c>
      <c r="Q126" s="116" t="n">
        <f aca="false">IF(M126=3,1,0)</f>
        <v>1</v>
      </c>
      <c r="R126" s="117" t="n">
        <f aca="false">IF(M126=4,1,0)</f>
        <v>0</v>
      </c>
      <c r="S126" s="147"/>
      <c r="T126" s="141"/>
      <c r="U126" s="62"/>
    </row>
    <row r="127" customFormat="false" ht="20.1" hidden="false" customHeight="true" outlineLevel="0" collapsed="false">
      <c r="B127" s="62"/>
      <c r="C127" s="141"/>
      <c r="D127" s="141"/>
      <c r="E127" s="174" t="s">
        <v>39</v>
      </c>
      <c r="F127" s="175" t="s">
        <v>40</v>
      </c>
      <c r="G127" s="151" t="n">
        <v>2</v>
      </c>
      <c r="H127" s="151" t="s">
        <v>67</v>
      </c>
      <c r="I127" s="151" t="n">
        <v>0</v>
      </c>
      <c r="J127" s="151" t="n">
        <v>92</v>
      </c>
      <c r="K127" s="152" t="s">
        <v>67</v>
      </c>
      <c r="L127" s="153" t="n">
        <f aca="false">IF(J127="",0,(J127/J130)*100)</f>
        <v>100</v>
      </c>
      <c r="M127" s="151" t="n">
        <v>1</v>
      </c>
      <c r="N127" s="154" t="n">
        <v>6</v>
      </c>
      <c r="O127" s="121" t="n">
        <f aca="false">IF(M127=1,1,0)</f>
        <v>1</v>
      </c>
      <c r="P127" s="122" t="n">
        <f aca="false">IF(M127=2,1,0)</f>
        <v>0</v>
      </c>
      <c r="Q127" s="122" t="n">
        <f aca="false">IF(M127=3,1,0)</f>
        <v>0</v>
      </c>
      <c r="R127" s="123" t="n">
        <f aca="false">IF(M127=4,1,0)</f>
        <v>0</v>
      </c>
      <c r="S127" s="147"/>
      <c r="T127" s="141"/>
      <c r="U127" s="62"/>
    </row>
    <row r="128" customFormat="false" ht="20.1" hidden="false" customHeight="true" outlineLevel="0" collapsed="false">
      <c r="B128" s="62"/>
      <c r="C128" s="141"/>
      <c r="D128" s="148"/>
      <c r="E128" s="326" t="s">
        <v>12</v>
      </c>
      <c r="F128" s="33" t="s">
        <v>13</v>
      </c>
      <c r="G128" s="241" t="n">
        <v>4</v>
      </c>
      <c r="H128" s="241" t="s">
        <v>67</v>
      </c>
      <c r="I128" s="241" t="n">
        <v>0</v>
      </c>
      <c r="J128" s="241" t="n">
        <v>85</v>
      </c>
      <c r="K128" s="241" t="s">
        <v>67</v>
      </c>
      <c r="L128" s="243" t="n">
        <f aca="false">IF(J128="",0,(J128/J130)*100)</f>
        <v>92.3913043478261</v>
      </c>
      <c r="M128" s="241" t="n">
        <v>2</v>
      </c>
      <c r="N128" s="244" t="n">
        <v>3</v>
      </c>
      <c r="O128" s="121" t="n">
        <f aca="false">IF(M128=1,1,0)</f>
        <v>0</v>
      </c>
      <c r="P128" s="122" t="n">
        <f aca="false">IF(M128=2,1,0)</f>
        <v>1</v>
      </c>
      <c r="Q128" s="122" t="n">
        <f aca="false">IF(M128=3,1,0)</f>
        <v>0</v>
      </c>
      <c r="R128" s="123" t="n">
        <f aca="false">IF(M128=4,1,0)</f>
        <v>0</v>
      </c>
      <c r="S128" s="147"/>
      <c r="T128" s="141"/>
      <c r="U128" s="62"/>
    </row>
    <row r="129" customFormat="false" ht="20.1" hidden="false" customHeight="true" outlineLevel="0" collapsed="false">
      <c r="B129" s="62"/>
      <c r="C129" s="141"/>
      <c r="D129" s="141"/>
      <c r="E129" s="234" t="s">
        <v>43</v>
      </c>
      <c r="F129" s="44" t="s">
        <v>44</v>
      </c>
      <c r="G129" s="245" t="n">
        <v>3</v>
      </c>
      <c r="H129" s="246" t="s">
        <v>67</v>
      </c>
      <c r="I129" s="245" t="n">
        <v>0</v>
      </c>
      <c r="J129" s="245" t="n">
        <v>66</v>
      </c>
      <c r="K129" s="246" t="s">
        <v>67</v>
      </c>
      <c r="L129" s="247" t="n">
        <f aca="false">IF(J129="",0,(J129/J130)*100)</f>
        <v>71.7391304347826</v>
      </c>
      <c r="M129" s="245" t="n">
        <v>4</v>
      </c>
      <c r="N129" s="248" t="n">
        <v>0</v>
      </c>
      <c r="O129" s="127" t="n">
        <f aca="false">IF(M129=1,1,0)</f>
        <v>0</v>
      </c>
      <c r="P129" s="128" t="n">
        <f aca="false">IF(M129=2,1,0)</f>
        <v>0</v>
      </c>
      <c r="Q129" s="128" t="n">
        <f aca="false">IF(M129=3,1,0)</f>
        <v>0</v>
      </c>
      <c r="R129" s="129" t="n">
        <f aca="false">IF(M129=4,1,0)</f>
        <v>1</v>
      </c>
      <c r="S129" s="147"/>
      <c r="T129" s="141"/>
      <c r="U129" s="62"/>
    </row>
    <row r="130" customFormat="false" ht="20.1" hidden="true" customHeight="true" outlineLevel="1" collapsed="false">
      <c r="B130" s="62"/>
      <c r="C130" s="141"/>
      <c r="D130" s="141"/>
      <c r="E130" s="141"/>
      <c r="F130" s="157"/>
      <c r="G130" s="157"/>
      <c r="H130" s="141"/>
      <c r="I130" s="179" t="s">
        <v>89</v>
      </c>
      <c r="J130" s="133" t="n">
        <f aca="false">MAX(J126:J129)</f>
        <v>92</v>
      </c>
      <c r="K130" s="159"/>
      <c r="L130" s="147"/>
      <c r="M130" s="141"/>
      <c r="N130" s="136" t="s">
        <v>90</v>
      </c>
      <c r="O130" s="137" t="n">
        <f aca="false">SUM(O126:O129)</f>
        <v>1</v>
      </c>
      <c r="P130" s="138" t="n">
        <f aca="false">SUM(P126:P129)</f>
        <v>1</v>
      </c>
      <c r="Q130" s="137" t="n">
        <f aca="false">SUM(Q126:Q129)</f>
        <v>1</v>
      </c>
      <c r="R130" s="160" t="n">
        <f aca="false">SUM(R126:R129)</f>
        <v>1</v>
      </c>
      <c r="S130" s="161"/>
      <c r="T130" s="141"/>
      <c r="U130" s="62"/>
    </row>
    <row r="131" customFormat="false" ht="20.1" hidden="false" customHeight="true" outlineLevel="0" collapsed="false">
      <c r="B131" s="62"/>
      <c r="C131" s="141"/>
      <c r="D131" s="141"/>
      <c r="E131" s="141"/>
      <c r="F131" s="141"/>
      <c r="G131" s="141"/>
      <c r="H131" s="141"/>
      <c r="I131" s="141"/>
      <c r="J131" s="141"/>
      <c r="K131" s="141"/>
      <c r="L131" s="141"/>
      <c r="M131" s="141"/>
      <c r="N131" s="141"/>
      <c r="O131" s="141"/>
      <c r="P131" s="141"/>
      <c r="Q131" s="141"/>
      <c r="R131" s="141"/>
      <c r="S131" s="141"/>
      <c r="T131" s="141"/>
      <c r="U131" s="62"/>
    </row>
    <row r="132" customFormat="false" ht="20.1" hidden="false" customHeight="true" outlineLevel="0" collapsed="false">
      <c r="B132" s="62"/>
      <c r="D132" s="162"/>
      <c r="E132" s="162"/>
      <c r="F132" s="162"/>
      <c r="G132" s="162"/>
      <c r="H132" s="163"/>
      <c r="I132" s="162"/>
      <c r="J132" s="162"/>
      <c r="U132" s="62"/>
    </row>
    <row r="133" customFormat="false" ht="20.1" hidden="false" customHeight="true" outlineLevel="0" collapsed="false">
      <c r="B133" s="62"/>
      <c r="C133" s="164"/>
      <c r="D133" s="164"/>
      <c r="E133" s="165" t="str">
        <f aca="false">IF(OR(L106="-",L106= ""),H106,L106)</f>
        <v>Flügelschlag</v>
      </c>
      <c r="F133" s="165"/>
      <c r="G133" s="165"/>
      <c r="H133" s="165"/>
      <c r="I133" s="165"/>
      <c r="J133" s="165"/>
      <c r="K133" s="165"/>
      <c r="L133" s="165"/>
      <c r="M133" s="165"/>
      <c r="N133" s="165"/>
      <c r="O133" s="166"/>
      <c r="P133" s="166"/>
      <c r="Q133" s="166"/>
      <c r="R133" s="166"/>
      <c r="S133" s="166"/>
      <c r="T133" s="164"/>
      <c r="U133" s="167"/>
    </row>
    <row r="134" customFormat="false" ht="50.1" hidden="false" customHeight="true" outlineLevel="0" collapsed="false">
      <c r="B134" s="62"/>
      <c r="C134" s="164"/>
      <c r="D134" s="166"/>
      <c r="E134" s="65" t="s">
        <v>53</v>
      </c>
      <c r="F134" s="104" t="s">
        <v>76</v>
      </c>
      <c r="G134" s="67" t="s">
        <v>77</v>
      </c>
      <c r="H134" s="66" t="s">
        <v>78</v>
      </c>
      <c r="I134" s="54" t="s">
        <v>79</v>
      </c>
      <c r="J134" s="66" t="s">
        <v>80</v>
      </c>
      <c r="K134" s="105" t="s">
        <v>81</v>
      </c>
      <c r="L134" s="66" t="s">
        <v>82</v>
      </c>
      <c r="M134" s="106" t="s">
        <v>83</v>
      </c>
      <c r="N134" s="67" t="s">
        <v>84</v>
      </c>
      <c r="O134" s="107" t="s">
        <v>85</v>
      </c>
      <c r="P134" s="108" t="s">
        <v>86</v>
      </c>
      <c r="Q134" s="108" t="s">
        <v>87</v>
      </c>
      <c r="R134" s="13" t="s">
        <v>88</v>
      </c>
      <c r="S134" s="166"/>
      <c r="T134" s="164"/>
      <c r="U134" s="167"/>
    </row>
    <row r="135" customFormat="false" ht="20.1" hidden="false" customHeight="true" outlineLevel="0" collapsed="false">
      <c r="B135" s="62"/>
      <c r="C135" s="164"/>
      <c r="D135" s="171"/>
      <c r="E135" s="403" t="s">
        <v>20</v>
      </c>
      <c r="F135" s="110" t="s">
        <v>21</v>
      </c>
      <c r="G135" s="111" t="n">
        <v>4</v>
      </c>
      <c r="H135" s="111" t="s">
        <v>67</v>
      </c>
      <c r="I135" s="111" t="n">
        <v>0</v>
      </c>
      <c r="J135" s="111" t="n">
        <v>109</v>
      </c>
      <c r="K135" s="111" t="s">
        <v>67</v>
      </c>
      <c r="L135" s="113" t="n">
        <f aca="false">IF(J135="",0,(J135/J139)*100)</f>
        <v>100</v>
      </c>
      <c r="M135" s="111" t="n">
        <v>1</v>
      </c>
      <c r="N135" s="114" t="n">
        <v>6</v>
      </c>
      <c r="O135" s="115" t="n">
        <f aca="false">IF(M135=1,1,0)</f>
        <v>1</v>
      </c>
      <c r="P135" s="116" t="n">
        <f aca="false">IF(M135=2,1,0)</f>
        <v>0</v>
      </c>
      <c r="Q135" s="116" t="n">
        <f aca="false">IF(M135=3,1,0)</f>
        <v>0</v>
      </c>
      <c r="R135" s="117" t="n">
        <f aca="false">IF(M135=4,1,0)</f>
        <v>0</v>
      </c>
      <c r="S135" s="170"/>
      <c r="T135" s="164"/>
      <c r="U135" s="62"/>
    </row>
    <row r="136" customFormat="false" ht="20.1" hidden="false" customHeight="true" outlineLevel="0" collapsed="false">
      <c r="B136" s="62"/>
      <c r="C136" s="164"/>
      <c r="D136" s="164"/>
      <c r="E136" s="326" t="s">
        <v>39</v>
      </c>
      <c r="F136" s="33" t="s">
        <v>40</v>
      </c>
      <c r="G136" s="241" t="n">
        <v>2</v>
      </c>
      <c r="H136" s="241" t="s">
        <v>67</v>
      </c>
      <c r="I136" s="241" t="n">
        <v>0</v>
      </c>
      <c r="J136" s="241" t="n">
        <v>65</v>
      </c>
      <c r="K136" s="242" t="s">
        <v>67</v>
      </c>
      <c r="L136" s="243" t="n">
        <f aca="false">IF(J136="",0,(J136/J139)*100)</f>
        <v>59.6330275229358</v>
      </c>
      <c r="M136" s="241" t="n">
        <v>4</v>
      </c>
      <c r="N136" s="244" t="n">
        <v>0</v>
      </c>
      <c r="O136" s="121" t="n">
        <f aca="false">IF(M136=1,1,0)</f>
        <v>0</v>
      </c>
      <c r="P136" s="122" t="n">
        <f aca="false">IF(M136=2,1,0)</f>
        <v>0</v>
      </c>
      <c r="Q136" s="122" t="n">
        <f aca="false">IF(M136=3,1,0)</f>
        <v>0</v>
      </c>
      <c r="R136" s="123" t="n">
        <f aca="false">IF(M136=4,1,0)</f>
        <v>1</v>
      </c>
      <c r="S136" s="170"/>
      <c r="T136" s="164"/>
      <c r="U136" s="173"/>
    </row>
    <row r="137" customFormat="false" ht="20.1" hidden="false" customHeight="true" outlineLevel="0" collapsed="false">
      <c r="B137" s="62"/>
      <c r="C137" s="164"/>
      <c r="D137" s="164"/>
      <c r="E137" s="326" t="s">
        <v>12</v>
      </c>
      <c r="F137" s="33" t="s">
        <v>13</v>
      </c>
      <c r="G137" s="241" t="n">
        <v>3</v>
      </c>
      <c r="H137" s="241" t="s">
        <v>67</v>
      </c>
      <c r="I137" s="241" t="n">
        <v>0</v>
      </c>
      <c r="J137" s="241" t="n">
        <v>89</v>
      </c>
      <c r="K137" s="241" t="s">
        <v>67</v>
      </c>
      <c r="L137" s="243" t="n">
        <f aca="false">IF(J137="",0,(J137/J139)*100)</f>
        <v>81.651376146789</v>
      </c>
      <c r="M137" s="241" t="n">
        <v>2</v>
      </c>
      <c r="N137" s="244" t="n">
        <v>3</v>
      </c>
      <c r="O137" s="121" t="n">
        <f aca="false">IF(M137=1,1,0)</f>
        <v>0</v>
      </c>
      <c r="P137" s="122" t="n">
        <f aca="false">IF(M137=2,1,0)</f>
        <v>1</v>
      </c>
      <c r="Q137" s="122" t="n">
        <f aca="false">IF(M137=3,1,0)</f>
        <v>0</v>
      </c>
      <c r="R137" s="123" t="n">
        <f aca="false">IF(M137=4,1,0)</f>
        <v>0</v>
      </c>
      <c r="S137" s="170"/>
      <c r="T137" s="164"/>
      <c r="U137" s="173"/>
    </row>
    <row r="138" customFormat="false" ht="20.1" hidden="false" customHeight="true" outlineLevel="0" collapsed="false">
      <c r="B138" s="62"/>
      <c r="C138" s="164"/>
      <c r="D138" s="164"/>
      <c r="E138" s="234" t="s">
        <v>43</v>
      </c>
      <c r="F138" s="44" t="s">
        <v>44</v>
      </c>
      <c r="G138" s="245" t="n">
        <v>1</v>
      </c>
      <c r="H138" s="246" t="s">
        <v>67</v>
      </c>
      <c r="I138" s="245" t="n">
        <v>0</v>
      </c>
      <c r="J138" s="245" t="n">
        <v>88</v>
      </c>
      <c r="K138" s="246" t="s">
        <v>67</v>
      </c>
      <c r="L138" s="247" t="n">
        <f aca="false">IF(J138="",0,(J138/J139)*100)</f>
        <v>80.7339449541285</v>
      </c>
      <c r="M138" s="245" t="n">
        <v>3</v>
      </c>
      <c r="N138" s="248" t="n">
        <v>1</v>
      </c>
      <c r="O138" s="127" t="n">
        <f aca="false">IF(M138=1,1,0)</f>
        <v>0</v>
      </c>
      <c r="P138" s="128" t="n">
        <f aca="false">IF(M138=2,1,0)</f>
        <v>0</v>
      </c>
      <c r="Q138" s="128" t="n">
        <f aca="false">IF(M138=3,1,0)</f>
        <v>1</v>
      </c>
      <c r="R138" s="129" t="n">
        <f aca="false">IF(M138=4,1,0)</f>
        <v>0</v>
      </c>
      <c r="S138" s="170"/>
      <c r="T138" s="164"/>
      <c r="U138" s="173"/>
    </row>
    <row r="139" customFormat="false" ht="20.1" hidden="true" customHeight="true" outlineLevel="1" collapsed="false">
      <c r="B139" s="62"/>
      <c r="C139" s="164"/>
      <c r="D139" s="164"/>
      <c r="E139" s="164"/>
      <c r="F139" s="178"/>
      <c r="G139" s="178"/>
      <c r="H139" s="164"/>
      <c r="I139" s="179" t="s">
        <v>89</v>
      </c>
      <c r="J139" s="133" t="n">
        <f aca="false">MAX(J135:J138)</f>
        <v>109</v>
      </c>
      <c r="K139" s="180"/>
      <c r="L139" s="170"/>
      <c r="M139" s="164"/>
      <c r="N139" s="136" t="s">
        <v>90</v>
      </c>
      <c r="O139" s="137" t="n">
        <f aca="false">SUM(O135:O138)</f>
        <v>1</v>
      </c>
      <c r="P139" s="138" t="n">
        <f aca="false">SUM(P135:P138)</f>
        <v>1</v>
      </c>
      <c r="Q139" s="137" t="n">
        <f aca="false">SUM(Q135:Q138)</f>
        <v>1</v>
      </c>
      <c r="R139" s="160" t="n">
        <f aca="false">SUM(R135:R138)</f>
        <v>1</v>
      </c>
      <c r="S139" s="181"/>
      <c r="T139" s="164"/>
      <c r="U139" s="173"/>
    </row>
    <row r="140" customFormat="false" ht="20.1" hidden="false" customHeight="true" outlineLevel="0" collapsed="false">
      <c r="B140" s="62"/>
      <c r="C140" s="164"/>
      <c r="D140" s="164"/>
      <c r="E140" s="164"/>
      <c r="F140" s="164"/>
      <c r="G140" s="164"/>
      <c r="H140" s="164"/>
      <c r="I140" s="164"/>
      <c r="J140" s="164"/>
      <c r="K140" s="164"/>
      <c r="L140" s="164"/>
      <c r="M140" s="164"/>
      <c r="N140" s="164"/>
      <c r="O140" s="164"/>
      <c r="P140" s="164"/>
      <c r="Q140" s="164"/>
      <c r="R140" s="164"/>
      <c r="S140" s="164"/>
      <c r="T140" s="164"/>
      <c r="U140" s="173"/>
    </row>
    <row r="141" customFormat="false" ht="20.1" hidden="false" customHeight="true" outlineLevel="0" collapsed="false">
      <c r="B141" s="62"/>
      <c r="D141" s="162"/>
      <c r="E141" s="162"/>
      <c r="F141" s="162"/>
      <c r="G141" s="162"/>
      <c r="H141" s="163"/>
      <c r="I141" s="162"/>
      <c r="J141" s="162"/>
      <c r="K141" s="162"/>
      <c r="U141" s="62"/>
    </row>
    <row r="142" customFormat="false" ht="20.1" hidden="false" customHeight="true" outlineLevel="0" collapsed="false">
      <c r="B142" s="62"/>
      <c r="C142" s="182"/>
      <c r="D142" s="182"/>
      <c r="E142" s="183" t="str">
        <f aca="false">IF(OR(L109="-",L109= ""),H109,L109)</f>
        <v>Great Western Trail</v>
      </c>
      <c r="F142" s="183"/>
      <c r="G142" s="183"/>
      <c r="H142" s="183"/>
      <c r="I142" s="183"/>
      <c r="J142" s="183"/>
      <c r="K142" s="183"/>
      <c r="L142" s="183"/>
      <c r="M142" s="183"/>
      <c r="N142" s="183"/>
      <c r="O142" s="184"/>
      <c r="P142" s="184"/>
      <c r="Q142" s="184"/>
      <c r="R142" s="184"/>
      <c r="S142" s="184"/>
      <c r="T142" s="182"/>
      <c r="U142" s="62"/>
    </row>
    <row r="143" customFormat="false" ht="50.1" hidden="false" customHeight="true" outlineLevel="0" collapsed="false">
      <c r="B143" s="62"/>
      <c r="C143" s="182"/>
      <c r="D143" s="184"/>
      <c r="E143" s="65" t="s">
        <v>53</v>
      </c>
      <c r="F143" s="104" t="s">
        <v>76</v>
      </c>
      <c r="G143" s="67" t="s">
        <v>77</v>
      </c>
      <c r="H143" s="66" t="s">
        <v>78</v>
      </c>
      <c r="I143" s="54" t="s">
        <v>79</v>
      </c>
      <c r="J143" s="66" t="s">
        <v>80</v>
      </c>
      <c r="K143" s="105" t="s">
        <v>81</v>
      </c>
      <c r="L143" s="66" t="s">
        <v>82</v>
      </c>
      <c r="M143" s="106" t="s">
        <v>83</v>
      </c>
      <c r="N143" s="67" t="s">
        <v>84</v>
      </c>
      <c r="O143" s="107" t="s">
        <v>85</v>
      </c>
      <c r="P143" s="108" t="s">
        <v>86</v>
      </c>
      <c r="Q143" s="108" t="s">
        <v>87</v>
      </c>
      <c r="R143" s="13" t="s">
        <v>88</v>
      </c>
      <c r="S143" s="184"/>
      <c r="T143" s="182"/>
      <c r="U143" s="62"/>
    </row>
    <row r="144" customFormat="false" ht="20.1" hidden="false" customHeight="true" outlineLevel="0" collapsed="false">
      <c r="B144" s="62"/>
      <c r="C144" s="182"/>
      <c r="D144" s="182"/>
      <c r="E144" s="318" t="s">
        <v>20</v>
      </c>
      <c r="F144" s="16" t="s">
        <v>21</v>
      </c>
      <c r="G144" s="250" t="n">
        <v>1</v>
      </c>
      <c r="H144" s="250" t="s">
        <v>67</v>
      </c>
      <c r="I144" s="250" t="n">
        <v>0</v>
      </c>
      <c r="J144" s="250" t="n">
        <v>43</v>
      </c>
      <c r="K144" s="250" t="s">
        <v>67</v>
      </c>
      <c r="L144" s="253" t="n">
        <f aca="false">IF(J144="",0,(J144/J148)*100)</f>
        <v>53.0864197530864</v>
      </c>
      <c r="M144" s="250" t="n">
        <v>3</v>
      </c>
      <c r="N144" s="254" t="n">
        <v>1</v>
      </c>
      <c r="O144" s="115" t="n">
        <f aca="false">IF(M144=1,1,0)</f>
        <v>0</v>
      </c>
      <c r="P144" s="116" t="n">
        <f aca="false">IF(M144=2,1,0)</f>
        <v>0</v>
      </c>
      <c r="Q144" s="116" t="n">
        <f aca="false">IF(M144=3,1,0)</f>
        <v>1</v>
      </c>
      <c r="R144" s="117" t="n">
        <f aca="false">IF(M144=4,1,0)</f>
        <v>0</v>
      </c>
      <c r="S144" s="185"/>
      <c r="T144" s="182"/>
      <c r="U144" s="62"/>
    </row>
    <row r="145" customFormat="false" ht="20.1" hidden="false" customHeight="true" outlineLevel="0" collapsed="false">
      <c r="B145" s="62"/>
      <c r="C145" s="182"/>
      <c r="D145" s="182"/>
      <c r="E145" s="326" t="s">
        <v>39</v>
      </c>
      <c r="F145" s="33" t="s">
        <v>40</v>
      </c>
      <c r="G145" s="241" t="n">
        <v>4</v>
      </c>
      <c r="H145" s="241" t="s">
        <v>67</v>
      </c>
      <c r="I145" s="241" t="n">
        <v>0</v>
      </c>
      <c r="J145" s="241" t="n">
        <v>35</v>
      </c>
      <c r="K145" s="242" t="s">
        <v>67</v>
      </c>
      <c r="L145" s="243" t="n">
        <f aca="false">IF(J145="",0,(J145/J148)*100)</f>
        <v>43.2098765432099</v>
      </c>
      <c r="M145" s="241" t="n">
        <v>4</v>
      </c>
      <c r="N145" s="244" t="n">
        <v>0</v>
      </c>
      <c r="O145" s="121" t="n">
        <f aca="false">IF(M145=1,1,0)</f>
        <v>0</v>
      </c>
      <c r="P145" s="122" t="n">
        <f aca="false">IF(M145=2,1,0)</f>
        <v>0</v>
      </c>
      <c r="Q145" s="122" t="n">
        <f aca="false">IF(M145=3,1,0)</f>
        <v>0</v>
      </c>
      <c r="R145" s="123" t="n">
        <f aca="false">IF(M145=4,1,0)</f>
        <v>1</v>
      </c>
      <c r="S145" s="185"/>
      <c r="T145" s="182"/>
      <c r="U145" s="62"/>
    </row>
    <row r="146" customFormat="false" ht="20.1" hidden="false" customHeight="true" outlineLevel="0" collapsed="false">
      <c r="B146" s="62"/>
      <c r="C146" s="182"/>
      <c r="D146" s="182"/>
      <c r="E146" s="174" t="s">
        <v>12</v>
      </c>
      <c r="F146" s="175" t="s">
        <v>13</v>
      </c>
      <c r="G146" s="151" t="n">
        <v>2</v>
      </c>
      <c r="H146" s="151" t="s">
        <v>67</v>
      </c>
      <c r="I146" s="151" t="n">
        <v>0</v>
      </c>
      <c r="J146" s="151" t="n">
        <v>81</v>
      </c>
      <c r="K146" s="151" t="s">
        <v>67</v>
      </c>
      <c r="L146" s="153" t="n">
        <f aca="false">IF(J146="",0,(J146/J148)*100)</f>
        <v>100</v>
      </c>
      <c r="M146" s="151" t="n">
        <v>1</v>
      </c>
      <c r="N146" s="154" t="n">
        <v>6</v>
      </c>
      <c r="O146" s="121" t="n">
        <f aca="false">IF(M146=1,1,0)</f>
        <v>1</v>
      </c>
      <c r="P146" s="122" t="n">
        <f aca="false">IF(M146=2,1,0)</f>
        <v>0</v>
      </c>
      <c r="Q146" s="122" t="n">
        <f aca="false">IF(M146=3,1,0)</f>
        <v>0</v>
      </c>
      <c r="R146" s="123" t="n">
        <f aca="false">IF(M146=4,1,0)</f>
        <v>0</v>
      </c>
      <c r="S146" s="185"/>
      <c r="T146" s="182"/>
      <c r="U146" s="62"/>
    </row>
    <row r="147" customFormat="false" ht="20.1" hidden="false" customHeight="true" outlineLevel="0" collapsed="false">
      <c r="B147" s="62"/>
      <c r="C147" s="182"/>
      <c r="D147" s="186"/>
      <c r="E147" s="234" t="s">
        <v>43</v>
      </c>
      <c r="F147" s="44" t="s">
        <v>44</v>
      </c>
      <c r="G147" s="245" t="n">
        <v>3</v>
      </c>
      <c r="H147" s="246" t="s">
        <v>67</v>
      </c>
      <c r="I147" s="245" t="n">
        <v>0</v>
      </c>
      <c r="J147" s="245" t="n">
        <v>66</v>
      </c>
      <c r="K147" s="246" t="s">
        <v>67</v>
      </c>
      <c r="L147" s="247" t="n">
        <f aca="false">IF(J147="",0,(J147/J148)*100)</f>
        <v>81.4814814814815</v>
      </c>
      <c r="M147" s="245" t="n">
        <v>2</v>
      </c>
      <c r="N147" s="248" t="n">
        <v>3</v>
      </c>
      <c r="O147" s="127" t="n">
        <f aca="false">IF(M147=1,1,0)</f>
        <v>0</v>
      </c>
      <c r="P147" s="128" t="n">
        <f aca="false">IF(M147=2,1,0)</f>
        <v>1</v>
      </c>
      <c r="Q147" s="128" t="n">
        <f aca="false">IF(M147=3,1,0)</f>
        <v>0</v>
      </c>
      <c r="R147" s="129" t="n">
        <f aca="false">IF(M147=4,1,0)</f>
        <v>0</v>
      </c>
      <c r="S147" s="185"/>
      <c r="T147" s="182"/>
      <c r="U147" s="62"/>
    </row>
    <row r="148" customFormat="false" ht="20.1" hidden="true" customHeight="true" outlineLevel="1" collapsed="false">
      <c r="B148" s="62"/>
      <c r="C148" s="182"/>
      <c r="D148" s="182"/>
      <c r="E148" s="182"/>
      <c r="F148" s="187"/>
      <c r="G148" s="187"/>
      <c r="H148" s="182"/>
      <c r="I148" s="179" t="s">
        <v>89</v>
      </c>
      <c r="J148" s="133" t="n">
        <f aca="false">MAX(J144:J147)</f>
        <v>81</v>
      </c>
      <c r="K148" s="188"/>
      <c r="L148" s="185"/>
      <c r="M148" s="182"/>
      <c r="N148" s="136" t="s">
        <v>90</v>
      </c>
      <c r="O148" s="137" t="n">
        <f aca="false">SUM(O144:O147)</f>
        <v>1</v>
      </c>
      <c r="P148" s="138" t="n">
        <f aca="false">SUM(P144:P147)</f>
        <v>1</v>
      </c>
      <c r="Q148" s="137" t="n">
        <f aca="false">SUM(Q144:Q147)</f>
        <v>1</v>
      </c>
      <c r="R148" s="160" t="n">
        <f aca="false">SUM(R144:R147)</f>
        <v>1</v>
      </c>
      <c r="S148" s="189"/>
      <c r="T148" s="182"/>
      <c r="U148" s="62"/>
    </row>
    <row r="149" customFormat="false" ht="20.1" hidden="false" customHeight="true" outlineLevel="0" collapsed="false">
      <c r="B149" s="62"/>
      <c r="C149" s="182"/>
      <c r="D149" s="182"/>
      <c r="E149" s="182"/>
      <c r="F149" s="182"/>
      <c r="G149" s="182"/>
      <c r="H149" s="182"/>
      <c r="I149" s="182"/>
      <c r="J149" s="182"/>
      <c r="K149" s="182"/>
      <c r="L149" s="182"/>
      <c r="M149" s="182"/>
      <c r="N149" s="182"/>
      <c r="O149" s="182"/>
      <c r="P149" s="182"/>
      <c r="Q149" s="182"/>
      <c r="R149" s="182"/>
      <c r="S149" s="182"/>
      <c r="T149" s="182"/>
      <c r="U149" s="62"/>
    </row>
    <row r="150" customFormat="false" ht="20.1" hidden="false" customHeight="true" outlineLevel="0" collapsed="false">
      <c r="B150" s="62"/>
      <c r="D150" s="5"/>
      <c r="E150" s="5"/>
      <c r="F150" s="5"/>
      <c r="G150" s="5"/>
      <c r="H150" s="5"/>
      <c r="I150" s="5"/>
      <c r="J150" s="5"/>
      <c r="U150" s="62"/>
    </row>
    <row r="151" customFormat="false" ht="30" hidden="false" customHeight="true" outlineLevel="0" collapsed="false">
      <c r="B151" s="62"/>
      <c r="C151" s="190"/>
      <c r="D151" s="191" t="s">
        <v>135</v>
      </c>
      <c r="E151" s="191"/>
      <c r="F151" s="191"/>
      <c r="G151" s="191"/>
      <c r="H151" s="191"/>
      <c r="I151" s="191"/>
      <c r="J151" s="191"/>
      <c r="K151" s="191"/>
      <c r="L151" s="191"/>
      <c r="M151" s="191"/>
      <c r="N151" s="191"/>
      <c r="O151" s="191"/>
      <c r="P151" s="191"/>
      <c r="Q151" s="191"/>
      <c r="R151" s="191"/>
      <c r="S151" s="191"/>
      <c r="T151" s="190"/>
      <c r="U151" s="62"/>
    </row>
    <row r="152" customFormat="false" ht="50.1" hidden="false" customHeight="true" outlineLevel="0" collapsed="false">
      <c r="B152" s="62"/>
      <c r="C152" s="190"/>
      <c r="D152" s="192" t="s">
        <v>53</v>
      </c>
      <c r="E152" s="193" t="s">
        <v>54</v>
      </c>
      <c r="F152" s="194" t="s">
        <v>84</v>
      </c>
      <c r="G152" s="195" t="s">
        <v>100</v>
      </c>
      <c r="H152" s="196" t="s">
        <v>101</v>
      </c>
      <c r="I152" s="196"/>
      <c r="J152" s="197" t="s">
        <v>102</v>
      </c>
      <c r="K152" s="198" t="s">
        <v>103</v>
      </c>
      <c r="L152" s="194" t="s">
        <v>104</v>
      </c>
      <c r="M152" s="198" t="s">
        <v>105</v>
      </c>
      <c r="N152" s="194" t="s">
        <v>106</v>
      </c>
      <c r="O152" s="199"/>
      <c r="P152" s="200"/>
      <c r="Q152" s="200"/>
      <c r="R152" s="200"/>
      <c r="S152" s="193" t="s">
        <v>107</v>
      </c>
      <c r="T152" s="190"/>
      <c r="U152" s="62"/>
    </row>
    <row r="153" customFormat="false" ht="20.1" hidden="false" customHeight="true" outlineLevel="0" collapsed="false">
      <c r="B153" s="62"/>
      <c r="C153" s="190"/>
      <c r="D153" s="425" t="s">
        <v>20</v>
      </c>
      <c r="E153" s="302" t="s">
        <v>21</v>
      </c>
      <c r="F153" s="258" t="n">
        <f aca="false">K153*6+L153*3+M153*1+N153*0</f>
        <v>14</v>
      </c>
      <c r="G153" s="259" t="n">
        <v>0</v>
      </c>
      <c r="H153" s="259" t="s">
        <v>67</v>
      </c>
      <c r="I153" s="259"/>
      <c r="J153" s="258" t="n">
        <f aca="false">F153+G153</f>
        <v>14</v>
      </c>
      <c r="K153" s="258" t="n">
        <v>2</v>
      </c>
      <c r="L153" s="258" t="n">
        <v>0</v>
      </c>
      <c r="M153" s="258" t="n">
        <v>2</v>
      </c>
      <c r="N153" s="258" t="n">
        <v>0</v>
      </c>
      <c r="O153" s="260"/>
      <c r="P153" s="259"/>
      <c r="Q153" s="259"/>
      <c r="R153" s="259"/>
      <c r="S153" s="261" t="n">
        <f aca="false">(L117++L126+L135+L144)/4</f>
        <v>86.0976918947933</v>
      </c>
      <c r="T153" s="190"/>
      <c r="U153" s="62"/>
    </row>
    <row r="154" customFormat="false" ht="20.1" hidden="false" customHeight="true" outlineLevel="0" collapsed="false">
      <c r="B154" s="62"/>
      <c r="C154" s="190"/>
      <c r="D154" s="444" t="s">
        <v>12</v>
      </c>
      <c r="E154" s="208" t="s">
        <v>13</v>
      </c>
      <c r="F154" s="262" t="n">
        <f aca="false">K154*6+L154*3+M154*1+N154*0</f>
        <v>12</v>
      </c>
      <c r="G154" s="263" t="n">
        <v>0</v>
      </c>
      <c r="H154" s="263" t="s">
        <v>67</v>
      </c>
      <c r="I154" s="263"/>
      <c r="J154" s="262" t="n">
        <f aca="false">F154+G154</f>
        <v>12</v>
      </c>
      <c r="K154" s="262" t="n">
        <v>1</v>
      </c>
      <c r="L154" s="262" t="n">
        <v>2</v>
      </c>
      <c r="M154" s="262" t="n">
        <v>0</v>
      </c>
      <c r="N154" s="262" t="n">
        <v>1</v>
      </c>
      <c r="O154" s="264"/>
      <c r="P154" s="263"/>
      <c r="Q154" s="263"/>
      <c r="R154" s="263"/>
      <c r="S154" s="265" t="n">
        <f aca="false">(L119+L128+L137+L146)/4</f>
        <v>86.4160755290592</v>
      </c>
      <c r="T154" s="190"/>
      <c r="U154" s="62"/>
      <c r="Y154" s="266"/>
      <c r="Z154" s="266"/>
      <c r="AA154" s="267"/>
      <c r="AB154" s="267"/>
      <c r="AC154" s="268"/>
      <c r="AD154" s="268"/>
      <c r="AE154" s="268"/>
    </row>
    <row r="155" customFormat="false" ht="20.1" hidden="false" customHeight="true" outlineLevel="0" collapsed="false">
      <c r="B155" s="62"/>
      <c r="C155" s="190"/>
      <c r="D155" s="444" t="s">
        <v>39</v>
      </c>
      <c r="E155" s="208" t="s">
        <v>40</v>
      </c>
      <c r="F155" s="262" t="n">
        <f aca="false">K155*6+L155*3+M155*1+N155*0</f>
        <v>7</v>
      </c>
      <c r="G155" s="263" t="n">
        <v>0</v>
      </c>
      <c r="H155" s="263" t="s">
        <v>67</v>
      </c>
      <c r="I155" s="263"/>
      <c r="J155" s="262" t="n">
        <f aca="false">F155+G155</f>
        <v>7</v>
      </c>
      <c r="K155" s="262" t="n">
        <v>1</v>
      </c>
      <c r="L155" s="262" t="n">
        <v>0</v>
      </c>
      <c r="M155" s="262" t="n">
        <v>1</v>
      </c>
      <c r="N155" s="262" t="n">
        <v>2</v>
      </c>
      <c r="O155" s="264"/>
      <c r="P155" s="263"/>
      <c r="Q155" s="263"/>
      <c r="R155" s="263"/>
      <c r="S155" s="265" t="n">
        <f aca="false">(L118+L127+L136+L145)/4</f>
        <v>73.3458611516715</v>
      </c>
      <c r="T155" s="190"/>
      <c r="U155" s="62"/>
    </row>
    <row r="156" customFormat="false" ht="20.1" hidden="false" customHeight="true" outlineLevel="0" collapsed="false">
      <c r="B156" s="62"/>
      <c r="C156" s="190"/>
      <c r="D156" s="270" t="s">
        <v>43</v>
      </c>
      <c r="E156" s="215" t="s">
        <v>44</v>
      </c>
      <c r="F156" s="271" t="n">
        <f aca="false">K156*6+L156*3+M156*1+N156*0</f>
        <v>7</v>
      </c>
      <c r="G156" s="272" t="n">
        <v>0</v>
      </c>
      <c r="H156" s="272" t="s">
        <v>67</v>
      </c>
      <c r="I156" s="272"/>
      <c r="J156" s="271" t="n">
        <f aca="false">F156+G156</f>
        <v>7</v>
      </c>
      <c r="K156" s="271" t="n">
        <v>0</v>
      </c>
      <c r="L156" s="271" t="n">
        <v>2</v>
      </c>
      <c r="M156" s="271" t="n">
        <v>1</v>
      </c>
      <c r="N156" s="271" t="n">
        <v>1</v>
      </c>
      <c r="O156" s="273"/>
      <c r="P156" s="272"/>
      <c r="Q156" s="272"/>
      <c r="R156" s="272"/>
      <c r="S156" s="274" t="n">
        <f aca="false">(L120+L129+L138+L147)/4</f>
        <v>81.1237743527333</v>
      </c>
      <c r="T156" s="190"/>
      <c r="U156" s="62"/>
    </row>
    <row r="157" customFormat="false" ht="20.1" hidden="false" customHeight="true" outlineLevel="0" collapsed="false">
      <c r="B157" s="62"/>
      <c r="C157" s="190"/>
      <c r="D157" s="422"/>
      <c r="E157" s="422"/>
      <c r="F157" s="429"/>
      <c r="G157" s="377"/>
      <c r="H157" s="430"/>
      <c r="I157" s="430"/>
      <c r="J157" s="429"/>
      <c r="K157" s="429"/>
      <c r="L157" s="429"/>
      <c r="M157" s="429"/>
      <c r="N157" s="429"/>
      <c r="O157" s="376"/>
      <c r="P157" s="377"/>
      <c r="Q157" s="377"/>
      <c r="R157" s="377"/>
      <c r="S157" s="408"/>
      <c r="T157" s="190"/>
      <c r="U157" s="62"/>
    </row>
    <row r="158" customFormat="false" ht="20.1" hidden="false" customHeight="true" outlineLevel="0" collapsed="false">
      <c r="B158" s="62"/>
      <c r="C158" s="62"/>
      <c r="D158" s="219"/>
      <c r="E158" s="219"/>
      <c r="F158" s="167"/>
      <c r="G158" s="167"/>
      <c r="H158" s="219"/>
      <c r="I158" s="219"/>
      <c r="J158" s="219"/>
      <c r="K158" s="62"/>
      <c r="L158" s="62"/>
      <c r="M158" s="62"/>
      <c r="N158" s="62"/>
      <c r="O158" s="62"/>
      <c r="P158" s="62"/>
      <c r="Q158" s="62"/>
      <c r="R158" s="62"/>
      <c r="S158" s="62"/>
      <c r="T158" s="62"/>
      <c r="U158" s="62"/>
    </row>
    <row r="159" customFormat="false" ht="20.1" hidden="false" customHeight="true" outlineLevel="0" collapsed="false"/>
    <row r="160" customFormat="false" ht="20.1" hidden="false" customHeight="true" outlineLevel="0" collapsed="false"/>
    <row r="161" customFormat="false" ht="20.1" hidden="false" customHeight="true" outlineLevel="0" collapsed="false">
      <c r="B161" s="62"/>
      <c r="C161" s="62"/>
      <c r="D161" s="63"/>
      <c r="E161" s="63"/>
      <c r="F161" s="63"/>
      <c r="G161" s="63"/>
      <c r="H161" s="62"/>
      <c r="I161" s="62"/>
      <c r="J161" s="62"/>
      <c r="K161" s="62"/>
      <c r="L161" s="62"/>
      <c r="M161" s="62"/>
      <c r="N161" s="62"/>
      <c r="O161" s="62"/>
      <c r="P161" s="62"/>
      <c r="Q161" s="62"/>
      <c r="R161" s="62"/>
      <c r="S161" s="62"/>
      <c r="T161" s="62"/>
      <c r="U161" s="62"/>
    </row>
    <row r="162" customFormat="false" ht="30" hidden="false" customHeight="true" outlineLevel="0" collapsed="false">
      <c r="B162" s="62"/>
      <c r="C162" s="64" t="s">
        <v>136</v>
      </c>
      <c r="D162" s="64"/>
      <c r="E162" s="64"/>
      <c r="F162" s="64"/>
      <c r="G162" s="64"/>
      <c r="H162" s="64"/>
      <c r="I162" s="64"/>
      <c r="J162" s="64"/>
      <c r="K162" s="64"/>
      <c r="L162" s="64"/>
      <c r="M162" s="64"/>
      <c r="N162" s="64"/>
      <c r="O162" s="64"/>
      <c r="P162" s="64"/>
      <c r="Q162" s="64"/>
      <c r="R162" s="64"/>
      <c r="S162" s="64"/>
      <c r="T162" s="64"/>
      <c r="U162" s="62"/>
    </row>
    <row r="163" customFormat="false" ht="20.1" hidden="false" customHeight="true" outlineLevel="0" collapsed="false">
      <c r="B163" s="62"/>
      <c r="U163" s="62"/>
    </row>
    <row r="164" customFormat="false" ht="20.1" hidden="false" customHeight="true" outlineLevel="0" collapsed="false">
      <c r="B164" s="62"/>
      <c r="D164" s="65" t="s">
        <v>53</v>
      </c>
      <c r="E164" s="66" t="s">
        <v>54</v>
      </c>
      <c r="F164" s="67" t="s">
        <v>11</v>
      </c>
      <c r="G164" s="223" t="s">
        <v>55</v>
      </c>
      <c r="H164" s="223"/>
      <c r="I164" s="223"/>
      <c r="J164" s="223"/>
      <c r="K164" s="66" t="s">
        <v>56</v>
      </c>
      <c r="L164" s="68" t="s">
        <v>57</v>
      </c>
      <c r="M164" s="68"/>
      <c r="N164" s="68"/>
      <c r="O164" s="68"/>
      <c r="P164" s="68"/>
      <c r="Q164" s="68"/>
      <c r="R164" s="68"/>
      <c r="S164" s="68"/>
      <c r="U164" s="62"/>
    </row>
    <row r="165" customFormat="false" ht="20.1" hidden="false" customHeight="true" outlineLevel="0" collapsed="false">
      <c r="B165" s="62"/>
      <c r="D165" s="65"/>
      <c r="E165" s="66"/>
      <c r="F165" s="66"/>
      <c r="G165" s="70" t="s">
        <v>58</v>
      </c>
      <c r="H165" s="69" t="s">
        <v>59</v>
      </c>
      <c r="I165" s="67" t="s">
        <v>60</v>
      </c>
      <c r="J165" s="67"/>
      <c r="K165" s="69" t="s">
        <v>61</v>
      </c>
      <c r="L165" s="224" t="s">
        <v>58</v>
      </c>
      <c r="M165" s="225" t="s">
        <v>62</v>
      </c>
      <c r="N165" s="67" t="s">
        <v>60</v>
      </c>
      <c r="O165" s="67"/>
      <c r="P165" s="67"/>
      <c r="Q165" s="67"/>
      <c r="R165" s="67"/>
      <c r="S165" s="67"/>
      <c r="U165" s="62"/>
    </row>
    <row r="166" customFormat="false" ht="27.95" hidden="false" customHeight="true" outlineLevel="0" collapsed="false">
      <c r="B166" s="62"/>
      <c r="D166" s="318" t="s">
        <v>31</v>
      </c>
      <c r="E166" s="18" t="s">
        <v>32</v>
      </c>
      <c r="F166" s="23" t="n">
        <v>1</v>
      </c>
      <c r="G166" s="72" t="s">
        <v>114</v>
      </c>
      <c r="H166" s="74" t="s">
        <v>115</v>
      </c>
      <c r="I166" s="321" t="s">
        <v>434</v>
      </c>
      <c r="J166" s="321"/>
      <c r="K166" s="431" t="s">
        <v>111</v>
      </c>
      <c r="L166" s="352" t="s">
        <v>67</v>
      </c>
      <c r="M166" s="324" t="s">
        <v>67</v>
      </c>
      <c r="N166" s="78" t="s">
        <v>67</v>
      </c>
      <c r="O166" s="78"/>
      <c r="P166" s="78"/>
      <c r="Q166" s="78"/>
      <c r="R166" s="78"/>
      <c r="S166" s="78"/>
      <c r="U166" s="62"/>
    </row>
    <row r="167" customFormat="false" ht="15" hidden="false" customHeight="true" outlineLevel="0" collapsed="false">
      <c r="B167" s="62"/>
      <c r="D167" s="318"/>
      <c r="E167" s="18"/>
      <c r="F167" s="23"/>
      <c r="G167" s="72"/>
      <c r="H167" s="74"/>
      <c r="I167" s="325" t="s">
        <v>435</v>
      </c>
      <c r="J167" s="325"/>
      <c r="K167" s="431"/>
      <c r="L167" s="352"/>
      <c r="M167" s="324"/>
      <c r="N167" s="78"/>
      <c r="O167" s="78"/>
      <c r="P167" s="78"/>
      <c r="Q167" s="78"/>
      <c r="R167" s="78"/>
      <c r="S167" s="78"/>
      <c r="U167" s="62"/>
    </row>
    <row r="168" customFormat="false" ht="15" hidden="false" customHeight="true" outlineLevel="0" collapsed="false">
      <c r="B168" s="62"/>
      <c r="D168" s="318"/>
      <c r="E168" s="18"/>
      <c r="F168" s="23"/>
      <c r="G168" s="72"/>
      <c r="H168" s="74"/>
      <c r="I168" s="628" t="s">
        <v>436</v>
      </c>
      <c r="J168" s="628"/>
      <c r="K168" s="431"/>
      <c r="L168" s="352"/>
      <c r="M168" s="324"/>
      <c r="N168" s="78"/>
      <c r="O168" s="78"/>
      <c r="P168" s="78"/>
      <c r="Q168" s="78"/>
      <c r="R168" s="78"/>
      <c r="S168" s="78"/>
      <c r="U168" s="62"/>
    </row>
    <row r="169" customFormat="false" ht="15" hidden="false" customHeight="true" outlineLevel="0" collapsed="false">
      <c r="B169" s="62"/>
      <c r="D169" s="318"/>
      <c r="E169" s="18"/>
      <c r="F169" s="23"/>
      <c r="G169" s="72"/>
      <c r="H169" s="74"/>
      <c r="I169" s="325" t="s">
        <v>244</v>
      </c>
      <c r="J169" s="325"/>
      <c r="K169" s="431"/>
      <c r="L169" s="352"/>
      <c r="M169" s="324"/>
      <c r="N169" s="78"/>
      <c r="O169" s="78"/>
      <c r="P169" s="78"/>
      <c r="Q169" s="78"/>
      <c r="R169" s="78"/>
      <c r="S169" s="78"/>
      <c r="U169" s="62"/>
    </row>
    <row r="170" customFormat="false" ht="15" hidden="false" customHeight="true" outlineLevel="0" collapsed="false">
      <c r="B170" s="62"/>
      <c r="D170" s="333" t="s">
        <v>29</v>
      </c>
      <c r="E170" s="33" t="s">
        <v>30</v>
      </c>
      <c r="F170" s="31" t="n">
        <v>2</v>
      </c>
      <c r="G170" s="80" t="s">
        <v>63</v>
      </c>
      <c r="H170" s="82" t="s">
        <v>264</v>
      </c>
      <c r="I170" s="328" t="s">
        <v>265</v>
      </c>
      <c r="J170" s="328"/>
      <c r="K170" s="661" t="s">
        <v>603</v>
      </c>
      <c r="L170" s="354" t="s">
        <v>67</v>
      </c>
      <c r="M170" s="331" t="s">
        <v>67</v>
      </c>
      <c r="N170" s="86" t="s">
        <v>67</v>
      </c>
      <c r="O170" s="86"/>
      <c r="P170" s="86"/>
      <c r="Q170" s="86"/>
      <c r="R170" s="86"/>
      <c r="S170" s="86"/>
      <c r="U170" s="62"/>
    </row>
    <row r="171" customFormat="false" ht="15" hidden="false" customHeight="true" outlineLevel="0" collapsed="false">
      <c r="B171" s="62"/>
      <c r="D171" s="333"/>
      <c r="E171" s="33"/>
      <c r="F171" s="31"/>
      <c r="G171" s="80"/>
      <c r="H171" s="82"/>
      <c r="I171" s="332" t="s">
        <v>266</v>
      </c>
      <c r="J171" s="332"/>
      <c r="K171" s="661"/>
      <c r="L171" s="354"/>
      <c r="M171" s="331"/>
      <c r="N171" s="86"/>
      <c r="O171" s="86"/>
      <c r="P171" s="86"/>
      <c r="Q171" s="86"/>
      <c r="R171" s="86"/>
      <c r="S171" s="86"/>
      <c r="U171" s="62"/>
    </row>
    <row r="172" customFormat="false" ht="15" hidden="false" customHeight="true" outlineLevel="0" collapsed="false">
      <c r="B172" s="62"/>
      <c r="D172" s="333"/>
      <c r="E172" s="33"/>
      <c r="F172" s="31"/>
      <c r="G172" s="80"/>
      <c r="H172" s="82"/>
      <c r="I172" s="332" t="s">
        <v>429</v>
      </c>
      <c r="J172" s="332"/>
      <c r="K172" s="661"/>
      <c r="L172" s="354"/>
      <c r="M172" s="331"/>
      <c r="N172" s="86"/>
      <c r="O172" s="86"/>
      <c r="P172" s="86"/>
      <c r="Q172" s="86"/>
      <c r="R172" s="86"/>
      <c r="S172" s="86"/>
      <c r="U172" s="62"/>
    </row>
    <row r="173" customFormat="false" ht="15" hidden="false" customHeight="true" outlineLevel="0" collapsed="false">
      <c r="B173" s="62"/>
      <c r="D173" s="333"/>
      <c r="E173" s="33"/>
      <c r="F173" s="31"/>
      <c r="G173" s="80"/>
      <c r="H173" s="82"/>
      <c r="I173" s="332" t="s">
        <v>268</v>
      </c>
      <c r="J173" s="332"/>
      <c r="K173" s="661"/>
      <c r="L173" s="354"/>
      <c r="M173" s="331"/>
      <c r="N173" s="86"/>
      <c r="O173" s="86"/>
      <c r="P173" s="86"/>
      <c r="Q173" s="86"/>
      <c r="R173" s="86"/>
      <c r="S173" s="86"/>
      <c r="U173" s="62"/>
    </row>
    <row r="174" customFormat="false" ht="20.1" hidden="false" customHeight="true" outlineLevel="0" collapsed="false">
      <c r="B174" s="62"/>
      <c r="D174" s="432" t="s">
        <v>560</v>
      </c>
      <c r="E174" s="433" t="s">
        <v>561</v>
      </c>
      <c r="F174" s="36" t="n">
        <v>3</v>
      </c>
      <c r="G174" s="434" t="s">
        <v>114</v>
      </c>
      <c r="H174" s="435" t="s">
        <v>603</v>
      </c>
      <c r="I174" s="335" t="s">
        <v>604</v>
      </c>
      <c r="J174" s="335"/>
      <c r="K174" s="662" t="s">
        <v>115</v>
      </c>
      <c r="L174" s="606" t="s">
        <v>67</v>
      </c>
      <c r="M174" s="438" t="s">
        <v>67</v>
      </c>
      <c r="N174" s="439" t="s">
        <v>67</v>
      </c>
      <c r="O174" s="439"/>
      <c r="P174" s="439"/>
      <c r="Q174" s="439"/>
      <c r="R174" s="439"/>
      <c r="S174" s="439"/>
      <c r="U174" s="62"/>
    </row>
    <row r="175" customFormat="false" ht="30" hidden="false" customHeight="true" outlineLevel="0" collapsed="false">
      <c r="B175" s="62"/>
      <c r="D175" s="349" t="s">
        <v>562</v>
      </c>
      <c r="E175" s="44" t="s">
        <v>563</v>
      </c>
      <c r="F175" s="50" t="n">
        <v>4</v>
      </c>
      <c r="G175" s="358" t="s">
        <v>63</v>
      </c>
      <c r="H175" s="440" t="s">
        <v>605</v>
      </c>
      <c r="I175" s="286" t="s">
        <v>606</v>
      </c>
      <c r="J175" s="286"/>
      <c r="K175" s="441" t="s">
        <v>111</v>
      </c>
      <c r="L175" s="663" t="s">
        <v>67</v>
      </c>
      <c r="M175" s="664" t="s">
        <v>67</v>
      </c>
      <c r="N175" s="239" t="s">
        <v>67</v>
      </c>
      <c r="O175" s="239"/>
      <c r="P175" s="239"/>
      <c r="Q175" s="239"/>
      <c r="R175" s="239"/>
      <c r="S175" s="239"/>
      <c r="U175" s="62"/>
    </row>
    <row r="176" customFormat="false" ht="20.1" hidden="false" customHeight="true" outlineLevel="0" collapsed="false">
      <c r="B176" s="62"/>
      <c r="U176" s="62"/>
    </row>
    <row r="177" customFormat="false" ht="20.1" hidden="false" customHeight="true" outlineLevel="0" collapsed="false">
      <c r="B177" s="62"/>
      <c r="C177" s="101"/>
      <c r="D177" s="101"/>
      <c r="E177" s="102" t="str">
        <f aca="false">IF(OR(L166="-",L166= ""),H166,L166)</f>
        <v>Orakel von Delphi</v>
      </c>
      <c r="F177" s="102"/>
      <c r="G177" s="102"/>
      <c r="H177" s="102"/>
      <c r="I177" s="102"/>
      <c r="J177" s="102"/>
      <c r="K177" s="102"/>
      <c r="L177" s="102"/>
      <c r="M177" s="102"/>
      <c r="N177" s="102"/>
      <c r="O177" s="103"/>
      <c r="P177" s="103"/>
      <c r="Q177" s="103"/>
      <c r="R177" s="103"/>
      <c r="S177" s="103"/>
      <c r="T177" s="101"/>
      <c r="U177" s="62"/>
    </row>
    <row r="178" customFormat="false" ht="50.1" hidden="false" customHeight="true" outlineLevel="0" collapsed="false">
      <c r="B178" s="62"/>
      <c r="C178" s="101"/>
      <c r="D178" s="103"/>
      <c r="E178" s="65" t="s">
        <v>53</v>
      </c>
      <c r="F178" s="104" t="s">
        <v>76</v>
      </c>
      <c r="G178" s="67" t="s">
        <v>77</v>
      </c>
      <c r="H178" s="66" t="s">
        <v>78</v>
      </c>
      <c r="I178" s="54" t="s">
        <v>79</v>
      </c>
      <c r="J178" s="66" t="s">
        <v>80</v>
      </c>
      <c r="K178" s="105" t="s">
        <v>81</v>
      </c>
      <c r="L178" s="66" t="s">
        <v>82</v>
      </c>
      <c r="M178" s="106" t="s">
        <v>83</v>
      </c>
      <c r="N178" s="67" t="s">
        <v>84</v>
      </c>
      <c r="O178" s="107" t="s">
        <v>85</v>
      </c>
      <c r="P178" s="108" t="s">
        <v>86</v>
      </c>
      <c r="Q178" s="108" t="s">
        <v>87</v>
      </c>
      <c r="R178" s="13" t="s">
        <v>88</v>
      </c>
      <c r="S178" s="103"/>
      <c r="T178" s="101"/>
      <c r="U178" s="62"/>
    </row>
    <row r="179" customFormat="false" ht="42" hidden="false" customHeight="true" outlineLevel="0" collapsed="false">
      <c r="B179" s="62"/>
      <c r="C179" s="101"/>
      <c r="D179" s="124"/>
      <c r="E179" s="403" t="s">
        <v>31</v>
      </c>
      <c r="F179" s="110" t="s">
        <v>32</v>
      </c>
      <c r="G179" s="111" t="n">
        <v>1</v>
      </c>
      <c r="H179" s="111" t="s">
        <v>128</v>
      </c>
      <c r="I179" s="111" t="s">
        <v>67</v>
      </c>
      <c r="J179" s="112" t="s">
        <v>127</v>
      </c>
      <c r="K179" s="111" t="s">
        <v>67</v>
      </c>
      <c r="L179" s="113" t="n">
        <v>100</v>
      </c>
      <c r="M179" s="111" t="n">
        <v>1</v>
      </c>
      <c r="N179" s="114" t="n">
        <v>6</v>
      </c>
      <c r="O179" s="115" t="n">
        <f aca="false">IF(M179=1,1,0)</f>
        <v>1</v>
      </c>
      <c r="P179" s="116" t="n">
        <f aca="false">IF(M179=2,1,0)</f>
        <v>0</v>
      </c>
      <c r="Q179" s="116" t="n">
        <f aca="false">IF(M179=3,1,0)</f>
        <v>0</v>
      </c>
      <c r="R179" s="117" t="n">
        <f aca="false">IF(M179=4,1,0)</f>
        <v>0</v>
      </c>
      <c r="S179" s="118"/>
      <c r="T179" s="101"/>
      <c r="U179" s="62"/>
    </row>
    <row r="180" customFormat="false" ht="42" hidden="false" customHeight="true" outlineLevel="0" collapsed="false">
      <c r="B180" s="62"/>
      <c r="C180" s="101"/>
      <c r="D180" s="101"/>
      <c r="E180" s="326" t="s">
        <v>29</v>
      </c>
      <c r="F180" s="33" t="s">
        <v>30</v>
      </c>
      <c r="G180" s="241" t="n">
        <v>3</v>
      </c>
      <c r="H180" s="241" t="s">
        <v>258</v>
      </c>
      <c r="I180" s="241" t="s">
        <v>67</v>
      </c>
      <c r="J180" s="242" t="s">
        <v>129</v>
      </c>
      <c r="K180" s="242" t="s">
        <v>607</v>
      </c>
      <c r="L180" s="243" t="n">
        <f aca="false">(L188+L197+L208)/3</f>
        <v>60.8297778378342</v>
      </c>
      <c r="M180" s="241" t="n">
        <v>3</v>
      </c>
      <c r="N180" s="244" t="n">
        <v>1</v>
      </c>
      <c r="O180" s="121" t="n">
        <f aca="false">IF(M180=1,1,0)</f>
        <v>0</v>
      </c>
      <c r="P180" s="122" t="n">
        <f aca="false">IF(M180=2,1,0)</f>
        <v>0</v>
      </c>
      <c r="Q180" s="122" t="n">
        <f aca="false">IF(M180=3,1,0)</f>
        <v>1</v>
      </c>
      <c r="R180" s="123" t="n">
        <f aca="false">IF(M180=4,1,0)</f>
        <v>0</v>
      </c>
      <c r="S180" s="118"/>
      <c r="T180" s="101"/>
      <c r="U180" s="62"/>
    </row>
    <row r="181" customFormat="false" ht="42" hidden="false" customHeight="true" outlineLevel="0" collapsed="false">
      <c r="B181" s="62"/>
      <c r="C181" s="101"/>
      <c r="D181" s="101"/>
      <c r="E181" s="79" t="s">
        <v>560</v>
      </c>
      <c r="F181" s="33" t="s">
        <v>561</v>
      </c>
      <c r="G181" s="241" t="n">
        <v>2</v>
      </c>
      <c r="H181" s="241" t="s">
        <v>126</v>
      </c>
      <c r="I181" s="241" t="s">
        <v>67</v>
      </c>
      <c r="J181" s="242" t="s">
        <v>325</v>
      </c>
      <c r="K181" s="242" t="s">
        <v>67</v>
      </c>
      <c r="L181" s="243" t="n">
        <f aca="false">(L190+L198+L206)/3</f>
        <v>42.1876949568655</v>
      </c>
      <c r="M181" s="241" t="n">
        <v>4</v>
      </c>
      <c r="N181" s="244" t="n">
        <v>0</v>
      </c>
      <c r="O181" s="121" t="n">
        <f aca="false">IF(M181=1,1,0)</f>
        <v>0</v>
      </c>
      <c r="P181" s="122" t="n">
        <f aca="false">IF(M181=2,1,0)</f>
        <v>0</v>
      </c>
      <c r="Q181" s="122" t="n">
        <f aca="false">IF(M181=3,1,0)</f>
        <v>0</v>
      </c>
      <c r="R181" s="123" t="n">
        <f aca="false">IF(M181=4,1,0)</f>
        <v>1</v>
      </c>
      <c r="S181" s="118"/>
      <c r="T181" s="101"/>
      <c r="U181" s="62"/>
    </row>
    <row r="182" customFormat="false" ht="42" hidden="false" customHeight="true" outlineLevel="0" collapsed="false">
      <c r="B182" s="62"/>
      <c r="C182" s="101"/>
      <c r="D182" s="101"/>
      <c r="E182" s="234" t="s">
        <v>562</v>
      </c>
      <c r="F182" s="44" t="s">
        <v>563</v>
      </c>
      <c r="G182" s="245" t="n">
        <v>4</v>
      </c>
      <c r="H182" s="246" t="s">
        <v>131</v>
      </c>
      <c r="I182" s="245" t="s">
        <v>67</v>
      </c>
      <c r="J182" s="246" t="s">
        <v>129</v>
      </c>
      <c r="K182" s="246" t="s">
        <v>608</v>
      </c>
      <c r="L182" s="247" t="n">
        <f aca="false">(L191+L200+L207)/3</f>
        <v>84.7681511475177</v>
      </c>
      <c r="M182" s="245" t="n">
        <v>2</v>
      </c>
      <c r="N182" s="248" t="n">
        <v>3</v>
      </c>
      <c r="O182" s="127" t="n">
        <f aca="false">IF(M182=1,1,0)</f>
        <v>0</v>
      </c>
      <c r="P182" s="128" t="n">
        <f aca="false">IF(M182=2,1,0)</f>
        <v>1</v>
      </c>
      <c r="Q182" s="128" t="n">
        <f aca="false">IF(M182=3,1,0)</f>
        <v>0</v>
      </c>
      <c r="R182" s="129" t="n">
        <f aca="false">IF(M182=4,1,0)</f>
        <v>0</v>
      </c>
      <c r="S182" s="118"/>
      <c r="T182" s="101"/>
      <c r="U182" s="62"/>
    </row>
    <row r="183" customFormat="false" ht="20.1" hidden="true" customHeight="true" outlineLevel="1" collapsed="false">
      <c r="B183" s="62"/>
      <c r="C183" s="101"/>
      <c r="D183" s="124"/>
      <c r="E183" s="124"/>
      <c r="F183" s="131"/>
      <c r="G183" s="131"/>
      <c r="H183" s="101"/>
      <c r="I183" s="179" t="s">
        <v>89</v>
      </c>
      <c r="J183" s="133" t="n">
        <f aca="false">MAX(J179:J182)</f>
        <v>0</v>
      </c>
      <c r="K183" s="249"/>
      <c r="L183" s="139"/>
      <c r="M183" s="101"/>
      <c r="N183" s="136" t="s">
        <v>90</v>
      </c>
      <c r="O183" s="137" t="n">
        <f aca="false">SUM(O179:O182)</f>
        <v>1</v>
      </c>
      <c r="P183" s="138" t="n">
        <f aca="false">SUM(P179:P182)</f>
        <v>1</v>
      </c>
      <c r="Q183" s="137" t="n">
        <f aca="false">SUM(Q179:Q182)</f>
        <v>1</v>
      </c>
      <c r="R183" s="160" t="n">
        <f aca="false">SUM(R179:R182)</f>
        <v>1</v>
      </c>
      <c r="S183" s="139"/>
      <c r="T183" s="101"/>
      <c r="U183" s="62"/>
    </row>
    <row r="184" customFormat="false" ht="20.1" hidden="false" customHeight="true" outlineLevel="0" collapsed="false">
      <c r="B184" s="62"/>
      <c r="C184" s="101"/>
      <c r="D184" s="101"/>
      <c r="E184" s="101"/>
      <c r="F184" s="101"/>
      <c r="G184" s="101"/>
      <c r="H184" s="101"/>
      <c r="I184" s="101"/>
      <c r="J184" s="101"/>
      <c r="K184" s="101"/>
      <c r="L184" s="101"/>
      <c r="M184" s="101"/>
      <c r="N184" s="101"/>
      <c r="O184" s="101"/>
      <c r="P184" s="101"/>
      <c r="Q184" s="101"/>
      <c r="R184" s="101"/>
      <c r="S184" s="101"/>
      <c r="T184" s="101"/>
      <c r="U184" s="62"/>
    </row>
    <row r="185" customFormat="false" ht="20.1" hidden="false" customHeight="true" outlineLevel="0" collapsed="false">
      <c r="B185" s="62"/>
      <c r="U185" s="62"/>
    </row>
    <row r="186" customFormat="false" ht="20.1" hidden="false" customHeight="true" outlineLevel="0" collapsed="false">
      <c r="B186" s="62"/>
      <c r="C186" s="141"/>
      <c r="D186" s="141"/>
      <c r="E186" s="142" t="str">
        <f aca="false">IF(OR(L170="-",L170= ""),H170,L170)</f>
        <v>Teotihuacan: Die Stadt der Götter</v>
      </c>
      <c r="F186" s="142"/>
      <c r="G186" s="142"/>
      <c r="H186" s="142"/>
      <c r="I186" s="142"/>
      <c r="J186" s="142"/>
      <c r="K186" s="142"/>
      <c r="L186" s="142"/>
      <c r="M186" s="142"/>
      <c r="N186" s="142"/>
      <c r="O186" s="143"/>
      <c r="P186" s="143"/>
      <c r="Q186" s="143"/>
      <c r="R186" s="143"/>
      <c r="S186" s="143"/>
      <c r="T186" s="141"/>
      <c r="U186" s="62"/>
    </row>
    <row r="187" customFormat="false" ht="50.1" hidden="false" customHeight="true" outlineLevel="0" collapsed="false">
      <c r="B187" s="62"/>
      <c r="C187" s="141"/>
      <c r="D187" s="143"/>
      <c r="E187" s="65" t="s">
        <v>53</v>
      </c>
      <c r="F187" s="104" t="s">
        <v>76</v>
      </c>
      <c r="G187" s="67" t="s">
        <v>77</v>
      </c>
      <c r="H187" s="66" t="s">
        <v>78</v>
      </c>
      <c r="I187" s="54" t="s">
        <v>79</v>
      </c>
      <c r="J187" s="66" t="s">
        <v>80</v>
      </c>
      <c r="K187" s="105" t="s">
        <v>81</v>
      </c>
      <c r="L187" s="66" t="s">
        <v>82</v>
      </c>
      <c r="M187" s="106" t="s">
        <v>83</v>
      </c>
      <c r="N187" s="67" t="s">
        <v>84</v>
      </c>
      <c r="O187" s="107" t="s">
        <v>85</v>
      </c>
      <c r="P187" s="108" t="s">
        <v>86</v>
      </c>
      <c r="Q187" s="108" t="s">
        <v>87</v>
      </c>
      <c r="R187" s="13" t="s">
        <v>88</v>
      </c>
      <c r="S187" s="143"/>
      <c r="T187" s="141"/>
      <c r="U187" s="62"/>
    </row>
    <row r="188" customFormat="false" ht="20.1" hidden="false" customHeight="true" outlineLevel="0" collapsed="false">
      <c r="B188" s="62"/>
      <c r="C188" s="141"/>
      <c r="D188" s="148"/>
      <c r="E188" s="318" t="s">
        <v>31</v>
      </c>
      <c r="F188" s="16" t="s">
        <v>32</v>
      </c>
      <c r="G188" s="250" t="n">
        <v>2</v>
      </c>
      <c r="H188" s="250" t="s">
        <v>67</v>
      </c>
      <c r="I188" s="250" t="n">
        <v>0</v>
      </c>
      <c r="J188" s="251" t="n">
        <v>98</v>
      </c>
      <c r="K188" s="250" t="s">
        <v>67</v>
      </c>
      <c r="L188" s="253" t="n">
        <f aca="false">IF(J188="",0,(J188/J192)*100)</f>
        <v>56.9767441860465</v>
      </c>
      <c r="M188" s="250" t="n">
        <v>3</v>
      </c>
      <c r="N188" s="254" t="n">
        <v>1</v>
      </c>
      <c r="O188" s="115" t="n">
        <f aca="false">IF(M188=1,1,0)</f>
        <v>0</v>
      </c>
      <c r="P188" s="116" t="n">
        <f aca="false">IF(M188=2,1,0)</f>
        <v>0</v>
      </c>
      <c r="Q188" s="116" t="n">
        <f aca="false">IF(M188=3,1,0)</f>
        <v>1</v>
      </c>
      <c r="R188" s="117" t="n">
        <f aca="false">IF(M188=4,1,0)</f>
        <v>0</v>
      </c>
      <c r="S188" s="147"/>
      <c r="T188" s="141"/>
      <c r="U188" s="62"/>
    </row>
    <row r="189" customFormat="false" ht="20.1" hidden="false" customHeight="true" outlineLevel="0" collapsed="false">
      <c r="B189" s="62"/>
      <c r="C189" s="141"/>
      <c r="D189" s="141"/>
      <c r="E189" s="174" t="s">
        <v>29</v>
      </c>
      <c r="F189" s="175" t="s">
        <v>30</v>
      </c>
      <c r="G189" s="151" t="n">
        <v>3</v>
      </c>
      <c r="H189" s="151" t="s">
        <v>67</v>
      </c>
      <c r="I189" s="151" t="n">
        <v>0</v>
      </c>
      <c r="J189" s="152" t="n">
        <v>172</v>
      </c>
      <c r="K189" s="152" t="s">
        <v>67</v>
      </c>
      <c r="L189" s="153" t="n">
        <f aca="false">IF(J189="",0,(J189/J192)*100)</f>
        <v>100</v>
      </c>
      <c r="M189" s="151" t="n">
        <v>1</v>
      </c>
      <c r="N189" s="154" t="n">
        <v>6</v>
      </c>
      <c r="O189" s="121" t="n">
        <f aca="false">IF(M189=1,1,0)</f>
        <v>1</v>
      </c>
      <c r="P189" s="122" t="n">
        <f aca="false">IF(M189=2,1,0)</f>
        <v>0</v>
      </c>
      <c r="Q189" s="122" t="n">
        <f aca="false">IF(M189=3,1,0)</f>
        <v>0</v>
      </c>
      <c r="R189" s="123" t="n">
        <f aca="false">IF(M189=4,1,0)</f>
        <v>0</v>
      </c>
      <c r="S189" s="147"/>
      <c r="T189" s="141"/>
      <c r="U189" s="62"/>
    </row>
    <row r="190" customFormat="false" ht="20.1" hidden="false" customHeight="true" outlineLevel="0" collapsed="false">
      <c r="B190" s="62"/>
      <c r="C190" s="141"/>
      <c r="D190" s="148"/>
      <c r="E190" s="79" t="s">
        <v>560</v>
      </c>
      <c r="F190" s="33" t="s">
        <v>561</v>
      </c>
      <c r="G190" s="241" t="n">
        <v>4</v>
      </c>
      <c r="H190" s="241" t="s">
        <v>67</v>
      </c>
      <c r="I190" s="241" t="n">
        <v>0</v>
      </c>
      <c r="J190" s="242" t="n">
        <v>82</v>
      </c>
      <c r="K190" s="242" t="s">
        <v>67</v>
      </c>
      <c r="L190" s="243" t="n">
        <f aca="false">IF(J190="",0,(J190/J192)*100)</f>
        <v>47.6744186046512</v>
      </c>
      <c r="M190" s="241" t="n">
        <v>4</v>
      </c>
      <c r="N190" s="244" t="n">
        <v>0</v>
      </c>
      <c r="O190" s="121" t="n">
        <f aca="false">IF(M190=1,1,0)</f>
        <v>0</v>
      </c>
      <c r="P190" s="122" t="n">
        <f aca="false">IF(M190=2,1,0)</f>
        <v>0</v>
      </c>
      <c r="Q190" s="122" t="n">
        <f aca="false">IF(M190=3,1,0)</f>
        <v>0</v>
      </c>
      <c r="R190" s="123" t="n">
        <f aca="false">IF(M190=4,1,0)</f>
        <v>1</v>
      </c>
      <c r="S190" s="147"/>
      <c r="T190" s="141"/>
      <c r="U190" s="62"/>
    </row>
    <row r="191" customFormat="false" ht="20.1" hidden="false" customHeight="true" outlineLevel="0" collapsed="false">
      <c r="B191" s="62"/>
      <c r="C191" s="141"/>
      <c r="D191" s="141"/>
      <c r="E191" s="234" t="s">
        <v>562</v>
      </c>
      <c r="F191" s="44" t="s">
        <v>563</v>
      </c>
      <c r="G191" s="245" t="n">
        <v>1</v>
      </c>
      <c r="H191" s="246" t="s">
        <v>67</v>
      </c>
      <c r="I191" s="245" t="n">
        <v>0</v>
      </c>
      <c r="J191" s="246" t="n">
        <v>153</v>
      </c>
      <c r="K191" s="246" t="s">
        <v>67</v>
      </c>
      <c r="L191" s="247" t="n">
        <f aca="false">IF(J191="",0,(J191/J192)*100)</f>
        <v>88.953488372093</v>
      </c>
      <c r="M191" s="245" t="n">
        <v>2</v>
      </c>
      <c r="N191" s="248" t="n">
        <v>3</v>
      </c>
      <c r="O191" s="127" t="n">
        <f aca="false">IF(M191=1,1,0)</f>
        <v>0</v>
      </c>
      <c r="P191" s="128" t="n">
        <f aca="false">IF(M191=2,1,0)</f>
        <v>1</v>
      </c>
      <c r="Q191" s="128" t="n">
        <f aca="false">IF(M191=3,1,0)</f>
        <v>0</v>
      </c>
      <c r="R191" s="129" t="n">
        <f aca="false">IF(M191=4,1,0)</f>
        <v>0</v>
      </c>
      <c r="S191" s="147"/>
      <c r="T191" s="141"/>
      <c r="U191" s="62"/>
    </row>
    <row r="192" customFormat="false" ht="20.1" hidden="true" customHeight="true" outlineLevel="1" collapsed="false">
      <c r="B192" s="62"/>
      <c r="C192" s="141"/>
      <c r="D192" s="141"/>
      <c r="E192" s="141"/>
      <c r="F192" s="157"/>
      <c r="G192" s="157"/>
      <c r="H192" s="141"/>
      <c r="I192" s="179" t="s">
        <v>89</v>
      </c>
      <c r="J192" s="133" t="n">
        <f aca="false">MAX(J188:J191)</f>
        <v>172</v>
      </c>
      <c r="K192" s="159"/>
      <c r="L192" s="147"/>
      <c r="M192" s="141"/>
      <c r="N192" s="136" t="s">
        <v>90</v>
      </c>
      <c r="O192" s="137" t="n">
        <f aca="false">SUM(O188:O191)</f>
        <v>1</v>
      </c>
      <c r="P192" s="138" t="n">
        <f aca="false">SUM(P188:P191)</f>
        <v>1</v>
      </c>
      <c r="Q192" s="137" t="n">
        <f aca="false">SUM(Q188:Q191)</f>
        <v>1</v>
      </c>
      <c r="R192" s="160" t="n">
        <f aca="false">SUM(R188:R191)</f>
        <v>1</v>
      </c>
      <c r="S192" s="161"/>
      <c r="T192" s="141"/>
      <c r="U192" s="62"/>
    </row>
    <row r="193" customFormat="false" ht="20.1" hidden="false" customHeight="true" outlineLevel="0" collapsed="false">
      <c r="B193" s="62"/>
      <c r="C193" s="141"/>
      <c r="D193" s="141"/>
      <c r="E193" s="141"/>
      <c r="F193" s="141"/>
      <c r="G193" s="141"/>
      <c r="H193" s="141"/>
      <c r="I193" s="141"/>
      <c r="J193" s="141"/>
      <c r="K193" s="141"/>
      <c r="L193" s="141"/>
      <c r="M193" s="141"/>
      <c r="N193" s="141"/>
      <c r="O193" s="141"/>
      <c r="P193" s="141"/>
      <c r="Q193" s="141"/>
      <c r="R193" s="141"/>
      <c r="S193" s="141"/>
      <c r="T193" s="141"/>
      <c r="U193" s="62"/>
    </row>
    <row r="194" customFormat="false" ht="20.1" hidden="false" customHeight="true" outlineLevel="0" collapsed="false">
      <c r="B194" s="62"/>
      <c r="D194" s="162"/>
      <c r="E194" s="162"/>
      <c r="F194" s="162"/>
      <c r="G194" s="162"/>
      <c r="H194" s="163"/>
      <c r="I194" s="162"/>
      <c r="J194" s="162"/>
      <c r="U194" s="62"/>
    </row>
    <row r="195" customFormat="false" ht="20.1" hidden="false" customHeight="true" outlineLevel="0" collapsed="false">
      <c r="B195" s="62"/>
      <c r="C195" s="164"/>
      <c r="D195" s="164"/>
      <c r="E195" s="165" t="str">
        <f aca="false">IF(OR(L174="-",L174= ""),H174,L174)</f>
        <v>Torres</v>
      </c>
      <c r="F195" s="165"/>
      <c r="G195" s="165"/>
      <c r="H195" s="165"/>
      <c r="I195" s="165"/>
      <c r="J195" s="165"/>
      <c r="K195" s="165"/>
      <c r="L195" s="165"/>
      <c r="M195" s="165"/>
      <c r="N195" s="165"/>
      <c r="O195" s="166"/>
      <c r="P195" s="166"/>
      <c r="Q195" s="166"/>
      <c r="R195" s="166"/>
      <c r="S195" s="166"/>
      <c r="T195" s="164"/>
      <c r="U195" s="167"/>
    </row>
    <row r="196" customFormat="false" ht="50.1" hidden="false" customHeight="true" outlineLevel="0" collapsed="false">
      <c r="B196" s="62"/>
      <c r="C196" s="164"/>
      <c r="D196" s="166"/>
      <c r="E196" s="65" t="s">
        <v>53</v>
      </c>
      <c r="F196" s="104" t="s">
        <v>76</v>
      </c>
      <c r="G196" s="67" t="s">
        <v>77</v>
      </c>
      <c r="H196" s="66" t="s">
        <v>78</v>
      </c>
      <c r="I196" s="54" t="s">
        <v>79</v>
      </c>
      <c r="J196" s="66" t="s">
        <v>80</v>
      </c>
      <c r="K196" s="105" t="s">
        <v>81</v>
      </c>
      <c r="L196" s="66" t="s">
        <v>82</v>
      </c>
      <c r="M196" s="106" t="s">
        <v>83</v>
      </c>
      <c r="N196" s="67" t="s">
        <v>84</v>
      </c>
      <c r="O196" s="107" t="s">
        <v>85</v>
      </c>
      <c r="P196" s="108" t="s">
        <v>86</v>
      </c>
      <c r="Q196" s="108" t="s">
        <v>87</v>
      </c>
      <c r="R196" s="13" t="s">
        <v>88</v>
      </c>
      <c r="S196" s="166"/>
      <c r="T196" s="164"/>
      <c r="U196" s="167"/>
    </row>
    <row r="197" customFormat="false" ht="20.1" hidden="false" customHeight="true" outlineLevel="0" collapsed="false">
      <c r="B197" s="62"/>
      <c r="C197" s="164"/>
      <c r="D197" s="171"/>
      <c r="E197" s="318" t="s">
        <v>31</v>
      </c>
      <c r="F197" s="16" t="s">
        <v>32</v>
      </c>
      <c r="G197" s="250" t="n">
        <v>4</v>
      </c>
      <c r="H197" s="250" t="s">
        <v>67</v>
      </c>
      <c r="I197" s="250" t="n">
        <v>0</v>
      </c>
      <c r="J197" s="251" t="n">
        <v>156</v>
      </c>
      <c r="K197" s="250" t="s">
        <v>67</v>
      </c>
      <c r="L197" s="253" t="n">
        <f aca="false">IF(J197="",0,(J197/J201)*100)</f>
        <v>71.889400921659</v>
      </c>
      <c r="M197" s="250" t="n">
        <v>3</v>
      </c>
      <c r="N197" s="254" t="n">
        <v>1</v>
      </c>
      <c r="O197" s="115" t="n">
        <f aca="false">IF(M197=1,1,0)</f>
        <v>0</v>
      </c>
      <c r="P197" s="116" t="n">
        <f aca="false">IF(M197=2,1,0)</f>
        <v>0</v>
      </c>
      <c r="Q197" s="116" t="n">
        <f aca="false">IF(M197=3,1,0)</f>
        <v>1</v>
      </c>
      <c r="R197" s="117" t="n">
        <f aca="false">IF(M197=4,1,0)</f>
        <v>0</v>
      </c>
      <c r="S197" s="170"/>
      <c r="T197" s="164"/>
      <c r="U197" s="62"/>
    </row>
    <row r="198" customFormat="false" ht="20.1" hidden="false" customHeight="true" outlineLevel="0" collapsed="false">
      <c r="B198" s="62"/>
      <c r="C198" s="164"/>
      <c r="D198" s="164"/>
      <c r="E198" s="326" t="s">
        <v>29</v>
      </c>
      <c r="F198" s="33" t="s">
        <v>30</v>
      </c>
      <c r="G198" s="241" t="n">
        <v>2</v>
      </c>
      <c r="H198" s="241" t="s">
        <v>67</v>
      </c>
      <c r="I198" s="241" t="n">
        <v>0</v>
      </c>
      <c r="J198" s="242" t="n">
        <v>102</v>
      </c>
      <c r="K198" s="242" t="s">
        <v>67</v>
      </c>
      <c r="L198" s="243" t="n">
        <f aca="false">IF(J198="",0,(J198/J201)*100)</f>
        <v>47.0046082949309</v>
      </c>
      <c r="M198" s="241" t="n">
        <v>4</v>
      </c>
      <c r="N198" s="244" t="n">
        <v>0</v>
      </c>
      <c r="O198" s="121" t="n">
        <f aca="false">IF(M198=1,1,0)</f>
        <v>0</v>
      </c>
      <c r="P198" s="122" t="n">
        <f aca="false">IF(M198=2,1,0)</f>
        <v>0</v>
      </c>
      <c r="Q198" s="122" t="n">
        <f aca="false">IF(M198=3,1,0)</f>
        <v>0</v>
      </c>
      <c r="R198" s="123" t="n">
        <f aca="false">IF(M198=4,1,0)</f>
        <v>1</v>
      </c>
      <c r="S198" s="170"/>
      <c r="T198" s="164"/>
      <c r="U198" s="173"/>
    </row>
    <row r="199" customFormat="false" ht="20.1" hidden="false" customHeight="true" outlineLevel="0" collapsed="false">
      <c r="B199" s="62"/>
      <c r="C199" s="164"/>
      <c r="D199" s="164"/>
      <c r="E199" s="149" t="s">
        <v>560</v>
      </c>
      <c r="F199" s="175" t="s">
        <v>561</v>
      </c>
      <c r="G199" s="151" t="n">
        <v>1</v>
      </c>
      <c r="H199" s="151" t="s">
        <v>67</v>
      </c>
      <c r="I199" s="151" t="n">
        <v>0</v>
      </c>
      <c r="J199" s="152" t="n">
        <v>217</v>
      </c>
      <c r="K199" s="152" t="s">
        <v>67</v>
      </c>
      <c r="L199" s="153" t="n">
        <f aca="false">IF(J199="",0,(J199/J201)*100)</f>
        <v>100</v>
      </c>
      <c r="M199" s="151" t="n">
        <v>1</v>
      </c>
      <c r="N199" s="154" t="n">
        <v>6</v>
      </c>
      <c r="O199" s="121" t="n">
        <f aca="false">IF(M199=1,1,0)</f>
        <v>1</v>
      </c>
      <c r="P199" s="122" t="n">
        <f aca="false">IF(M199=2,1,0)</f>
        <v>0</v>
      </c>
      <c r="Q199" s="122" t="n">
        <f aca="false">IF(M199=3,1,0)</f>
        <v>0</v>
      </c>
      <c r="R199" s="123" t="n">
        <f aca="false">IF(M199=4,1,0)</f>
        <v>0</v>
      </c>
      <c r="S199" s="170"/>
      <c r="T199" s="164"/>
      <c r="U199" s="173"/>
    </row>
    <row r="200" customFormat="false" ht="20.1" hidden="false" customHeight="true" outlineLevel="0" collapsed="false">
      <c r="B200" s="62"/>
      <c r="C200" s="164"/>
      <c r="D200" s="164"/>
      <c r="E200" s="234" t="s">
        <v>562</v>
      </c>
      <c r="F200" s="44" t="s">
        <v>563</v>
      </c>
      <c r="G200" s="245" t="n">
        <v>3</v>
      </c>
      <c r="H200" s="246" t="s">
        <v>67</v>
      </c>
      <c r="I200" s="245" t="n">
        <v>0</v>
      </c>
      <c r="J200" s="246" t="n">
        <v>211</v>
      </c>
      <c r="K200" s="246" t="s">
        <v>67</v>
      </c>
      <c r="L200" s="247" t="n">
        <f aca="false">IF(J200="",0,(J200/J201)*100)</f>
        <v>97.2350230414747</v>
      </c>
      <c r="M200" s="245" t="n">
        <v>2</v>
      </c>
      <c r="N200" s="248" t="n">
        <v>3</v>
      </c>
      <c r="O200" s="127" t="n">
        <f aca="false">IF(M200=1,1,0)</f>
        <v>0</v>
      </c>
      <c r="P200" s="128" t="n">
        <f aca="false">IF(M200=2,1,0)</f>
        <v>1</v>
      </c>
      <c r="Q200" s="128" t="n">
        <f aca="false">IF(M200=3,1,0)</f>
        <v>0</v>
      </c>
      <c r="R200" s="129" t="n">
        <f aca="false">IF(M200=4,1,0)</f>
        <v>0</v>
      </c>
      <c r="S200" s="170"/>
      <c r="T200" s="164"/>
      <c r="U200" s="173"/>
    </row>
    <row r="201" customFormat="false" ht="20.1" hidden="true" customHeight="true" outlineLevel="1" collapsed="false">
      <c r="B201" s="62"/>
      <c r="C201" s="164"/>
      <c r="D201" s="164"/>
      <c r="E201" s="164"/>
      <c r="F201" s="178"/>
      <c r="G201" s="178"/>
      <c r="H201" s="164"/>
      <c r="I201" s="179" t="s">
        <v>89</v>
      </c>
      <c r="J201" s="133" t="n">
        <f aca="false">MAX(J197:J200)</f>
        <v>217</v>
      </c>
      <c r="K201" s="180"/>
      <c r="L201" s="170"/>
      <c r="M201" s="164"/>
      <c r="N201" s="136" t="s">
        <v>90</v>
      </c>
      <c r="O201" s="137" t="n">
        <f aca="false">SUM(O197:O200)</f>
        <v>1</v>
      </c>
      <c r="P201" s="138" t="n">
        <f aca="false">SUM(P197:P200)</f>
        <v>1</v>
      </c>
      <c r="Q201" s="137" t="n">
        <f aca="false">SUM(Q197:Q200)</f>
        <v>1</v>
      </c>
      <c r="R201" s="160" t="n">
        <f aca="false">SUM(R197:R200)</f>
        <v>1</v>
      </c>
      <c r="S201" s="181"/>
      <c r="T201" s="164"/>
      <c r="U201" s="173"/>
    </row>
    <row r="202" customFormat="false" ht="20.1" hidden="false" customHeight="true" outlineLevel="0" collapsed="false">
      <c r="B202" s="62"/>
      <c r="C202" s="164"/>
      <c r="D202" s="164"/>
      <c r="E202" s="164"/>
      <c r="F202" s="164"/>
      <c r="G202" s="164"/>
      <c r="H202" s="164"/>
      <c r="I202" s="164"/>
      <c r="J202" s="164"/>
      <c r="K202" s="164"/>
      <c r="L202" s="164"/>
      <c r="M202" s="164"/>
      <c r="N202" s="164"/>
      <c r="O202" s="164"/>
      <c r="P202" s="164"/>
      <c r="Q202" s="164"/>
      <c r="R202" s="164"/>
      <c r="S202" s="164"/>
      <c r="T202" s="164"/>
      <c r="U202" s="173"/>
    </row>
    <row r="203" customFormat="false" ht="20.1" hidden="false" customHeight="true" outlineLevel="0" collapsed="false">
      <c r="B203" s="62"/>
      <c r="D203" s="162"/>
      <c r="E203" s="162"/>
      <c r="F203" s="162"/>
      <c r="G203" s="162"/>
      <c r="H203" s="163"/>
      <c r="I203" s="162"/>
      <c r="J203" s="162"/>
      <c r="K203" s="162"/>
      <c r="U203" s="62"/>
    </row>
    <row r="204" customFormat="false" ht="20.1" hidden="false" customHeight="true" outlineLevel="0" collapsed="false">
      <c r="B204" s="62"/>
      <c r="C204" s="182"/>
      <c r="D204" s="182"/>
      <c r="E204" s="183" t="str">
        <f aca="false">IF(OR(M175="-",M175= ""),H175,M175)</f>
        <v>Zug um Zug</v>
      </c>
      <c r="F204" s="183"/>
      <c r="G204" s="183"/>
      <c r="H204" s="183"/>
      <c r="I204" s="183"/>
      <c r="J204" s="183"/>
      <c r="K204" s="183"/>
      <c r="L204" s="183"/>
      <c r="M204" s="183"/>
      <c r="N204" s="183"/>
      <c r="O204" s="184"/>
      <c r="P204" s="184"/>
      <c r="Q204" s="184"/>
      <c r="R204" s="184"/>
      <c r="S204" s="184"/>
      <c r="T204" s="182"/>
      <c r="U204" s="62"/>
    </row>
    <row r="205" customFormat="false" ht="50.1" hidden="false" customHeight="true" outlineLevel="0" collapsed="false">
      <c r="B205" s="62"/>
      <c r="C205" s="182"/>
      <c r="D205" s="184"/>
      <c r="E205" s="65" t="s">
        <v>53</v>
      </c>
      <c r="F205" s="104" t="s">
        <v>76</v>
      </c>
      <c r="G205" s="67" t="s">
        <v>77</v>
      </c>
      <c r="H205" s="66" t="s">
        <v>78</v>
      </c>
      <c r="I205" s="54" t="s">
        <v>79</v>
      </c>
      <c r="J205" s="66" t="s">
        <v>80</v>
      </c>
      <c r="K205" s="105" t="s">
        <v>81</v>
      </c>
      <c r="L205" s="66" t="s">
        <v>82</v>
      </c>
      <c r="M205" s="106" t="s">
        <v>83</v>
      </c>
      <c r="N205" s="67" t="s">
        <v>84</v>
      </c>
      <c r="O205" s="107" t="s">
        <v>85</v>
      </c>
      <c r="P205" s="108" t="s">
        <v>86</v>
      </c>
      <c r="Q205" s="108" t="s">
        <v>87</v>
      </c>
      <c r="R205" s="13" t="s">
        <v>88</v>
      </c>
      <c r="S205" s="184"/>
      <c r="T205" s="182"/>
      <c r="U205" s="62"/>
    </row>
    <row r="206" customFormat="false" ht="20.1" hidden="false" customHeight="true" outlineLevel="0" collapsed="false">
      <c r="B206" s="62"/>
      <c r="C206" s="182"/>
      <c r="D206" s="182"/>
      <c r="E206" s="318" t="s">
        <v>31</v>
      </c>
      <c r="F206" s="16" t="s">
        <v>32</v>
      </c>
      <c r="G206" s="250" t="n">
        <v>3</v>
      </c>
      <c r="H206" s="250" t="s">
        <v>67</v>
      </c>
      <c r="I206" s="250" t="n">
        <v>0</v>
      </c>
      <c r="J206" s="251" t="n">
        <v>44</v>
      </c>
      <c r="K206" s="250" t="s">
        <v>67</v>
      </c>
      <c r="L206" s="253" t="n">
        <f aca="false">IF(J206="",0,(J206/J210)*100)</f>
        <v>31.8840579710145</v>
      </c>
      <c r="M206" s="250" t="n">
        <v>4</v>
      </c>
      <c r="N206" s="254" t="n">
        <v>0</v>
      </c>
      <c r="O206" s="115" t="n">
        <f aca="false">IF(M206=1,1,0)</f>
        <v>0</v>
      </c>
      <c r="P206" s="116" t="n">
        <f aca="false">IF(M206=2,1,0)</f>
        <v>0</v>
      </c>
      <c r="Q206" s="116" t="n">
        <f aca="false">IF(M206=3,1,0)</f>
        <v>0</v>
      </c>
      <c r="R206" s="117" t="n">
        <f aca="false">IF(M206=4,1,0)</f>
        <v>1</v>
      </c>
      <c r="S206" s="185"/>
      <c r="T206" s="182"/>
      <c r="U206" s="62"/>
    </row>
    <row r="207" customFormat="false" ht="20.1" hidden="false" customHeight="true" outlineLevel="0" collapsed="false">
      <c r="B207" s="62"/>
      <c r="C207" s="182"/>
      <c r="D207" s="182"/>
      <c r="E207" s="326" t="s">
        <v>29</v>
      </c>
      <c r="F207" s="33" t="s">
        <v>30</v>
      </c>
      <c r="G207" s="241" t="n">
        <v>2</v>
      </c>
      <c r="H207" s="241" t="s">
        <v>67</v>
      </c>
      <c r="I207" s="241" t="n">
        <v>0</v>
      </c>
      <c r="J207" s="242" t="n">
        <v>94</v>
      </c>
      <c r="K207" s="242" t="s">
        <v>67</v>
      </c>
      <c r="L207" s="243" t="n">
        <f aca="false">IF(J207="",0,(J207/J210)*100)</f>
        <v>68.1159420289855</v>
      </c>
      <c r="M207" s="241" t="n">
        <v>2</v>
      </c>
      <c r="N207" s="244" t="n">
        <v>3</v>
      </c>
      <c r="O207" s="121" t="n">
        <f aca="false">IF(M207=1,1,0)</f>
        <v>0</v>
      </c>
      <c r="P207" s="122" t="n">
        <f aca="false">IF(M207=2,1,0)</f>
        <v>1</v>
      </c>
      <c r="Q207" s="122" t="n">
        <f aca="false">IF(M207=3,1,0)</f>
        <v>0</v>
      </c>
      <c r="R207" s="123" t="n">
        <f aca="false">IF(M207=4,1,0)</f>
        <v>0</v>
      </c>
      <c r="S207" s="185"/>
      <c r="T207" s="182"/>
      <c r="U207" s="62"/>
    </row>
    <row r="208" customFormat="false" ht="20.1" hidden="false" customHeight="true" outlineLevel="0" collapsed="false">
      <c r="B208" s="62"/>
      <c r="C208" s="182"/>
      <c r="D208" s="182"/>
      <c r="E208" s="79" t="s">
        <v>560</v>
      </c>
      <c r="F208" s="33" t="s">
        <v>561</v>
      </c>
      <c r="G208" s="241" t="n">
        <v>1</v>
      </c>
      <c r="H208" s="241" t="s">
        <v>67</v>
      </c>
      <c r="I208" s="241" t="n">
        <v>0</v>
      </c>
      <c r="J208" s="242" t="n">
        <v>74</v>
      </c>
      <c r="K208" s="242" t="s">
        <v>67</v>
      </c>
      <c r="L208" s="243" t="n">
        <f aca="false">IF(J208="",0,(J208/J210)*100)</f>
        <v>53.6231884057971</v>
      </c>
      <c r="M208" s="241" t="n">
        <v>3</v>
      </c>
      <c r="N208" s="244" t="n">
        <v>1</v>
      </c>
      <c r="O208" s="121" t="n">
        <f aca="false">IF(M208=1,1,0)</f>
        <v>0</v>
      </c>
      <c r="P208" s="122" t="n">
        <f aca="false">IF(M208=2,1,0)</f>
        <v>0</v>
      </c>
      <c r="Q208" s="122" t="n">
        <f aca="false">IF(M208=3,1,0)</f>
        <v>1</v>
      </c>
      <c r="R208" s="123" t="n">
        <f aca="false">IF(M208=4,1,0)</f>
        <v>0</v>
      </c>
      <c r="S208" s="185"/>
      <c r="T208" s="182"/>
      <c r="U208" s="62"/>
    </row>
    <row r="209" customFormat="false" ht="20.1" hidden="false" customHeight="true" outlineLevel="0" collapsed="false">
      <c r="B209" s="62"/>
      <c r="C209" s="182"/>
      <c r="D209" s="186"/>
      <c r="E209" s="293" t="s">
        <v>562</v>
      </c>
      <c r="F209" s="294" t="s">
        <v>563</v>
      </c>
      <c r="G209" s="295" t="n">
        <v>4</v>
      </c>
      <c r="H209" s="296" t="s">
        <v>67</v>
      </c>
      <c r="I209" s="295" t="n">
        <v>0</v>
      </c>
      <c r="J209" s="296" t="n">
        <v>138</v>
      </c>
      <c r="K209" s="296" t="s">
        <v>67</v>
      </c>
      <c r="L209" s="297" t="n">
        <f aca="false">IF(J209="",0,(J209/J210)*100)</f>
        <v>100</v>
      </c>
      <c r="M209" s="295" t="n">
        <v>1</v>
      </c>
      <c r="N209" s="298" t="n">
        <v>6</v>
      </c>
      <c r="O209" s="127" t="n">
        <f aca="false">IF(M209=1,1,0)</f>
        <v>1</v>
      </c>
      <c r="P209" s="128" t="n">
        <f aca="false">IF(M209=2,1,0)</f>
        <v>0</v>
      </c>
      <c r="Q209" s="128" t="n">
        <f aca="false">IF(M209=3,1,0)</f>
        <v>0</v>
      </c>
      <c r="R209" s="129" t="n">
        <f aca="false">IF(M209=4,1,0)</f>
        <v>0</v>
      </c>
      <c r="S209" s="185"/>
      <c r="T209" s="182"/>
      <c r="U209" s="62"/>
    </row>
    <row r="210" customFormat="false" ht="20.1" hidden="true" customHeight="true" outlineLevel="1" collapsed="false">
      <c r="B210" s="62"/>
      <c r="C210" s="182"/>
      <c r="D210" s="182"/>
      <c r="E210" s="182"/>
      <c r="F210" s="187"/>
      <c r="G210" s="187"/>
      <c r="H210" s="182"/>
      <c r="I210" s="179" t="s">
        <v>89</v>
      </c>
      <c r="J210" s="133" t="n">
        <f aca="false">MAX(J206:J209)</f>
        <v>138</v>
      </c>
      <c r="K210" s="188"/>
      <c r="L210" s="185"/>
      <c r="M210" s="182"/>
      <c r="N210" s="136" t="s">
        <v>90</v>
      </c>
      <c r="O210" s="137" t="n">
        <f aca="false">SUM(O206:O209)</f>
        <v>1</v>
      </c>
      <c r="P210" s="138" t="n">
        <f aca="false">SUM(P206:P209)</f>
        <v>1</v>
      </c>
      <c r="Q210" s="137" t="n">
        <f aca="false">SUM(Q206:Q209)</f>
        <v>1</v>
      </c>
      <c r="R210" s="160" t="n">
        <f aca="false">SUM(R206:R209)</f>
        <v>1</v>
      </c>
      <c r="S210" s="189"/>
      <c r="T210" s="182"/>
      <c r="U210" s="62"/>
    </row>
    <row r="211" customFormat="false" ht="20.1" hidden="false" customHeight="true" outlineLevel="0" collapsed="false">
      <c r="B211" s="62"/>
      <c r="C211" s="182"/>
      <c r="D211" s="182"/>
      <c r="E211" s="182"/>
      <c r="F211" s="182"/>
      <c r="G211" s="182"/>
      <c r="H211" s="182"/>
      <c r="I211" s="182"/>
      <c r="J211" s="182"/>
      <c r="K211" s="182"/>
      <c r="L211" s="182"/>
      <c r="M211" s="182"/>
      <c r="N211" s="182"/>
      <c r="O211" s="182"/>
      <c r="P211" s="182"/>
      <c r="Q211" s="182"/>
      <c r="R211" s="182"/>
      <c r="S211" s="182"/>
      <c r="T211" s="182"/>
      <c r="U211" s="62"/>
    </row>
    <row r="212" customFormat="false" ht="20.1" hidden="false" customHeight="true" outlineLevel="0" collapsed="false">
      <c r="B212" s="62"/>
      <c r="D212" s="5"/>
      <c r="E212" s="5"/>
      <c r="F212" s="5"/>
      <c r="G212" s="5"/>
      <c r="H212" s="5"/>
      <c r="I212" s="5"/>
      <c r="J212" s="5"/>
      <c r="U212" s="62"/>
    </row>
    <row r="213" customFormat="false" ht="30" hidden="false" customHeight="true" outlineLevel="0" collapsed="false">
      <c r="B213" s="62"/>
      <c r="C213" s="190"/>
      <c r="D213" s="191" t="s">
        <v>149</v>
      </c>
      <c r="E213" s="191"/>
      <c r="F213" s="191"/>
      <c r="G213" s="191"/>
      <c r="H213" s="191"/>
      <c r="I213" s="191"/>
      <c r="J213" s="191"/>
      <c r="K213" s="191"/>
      <c r="L213" s="191"/>
      <c r="M213" s="191"/>
      <c r="N213" s="191"/>
      <c r="O213" s="191"/>
      <c r="P213" s="191"/>
      <c r="Q213" s="191"/>
      <c r="R213" s="191"/>
      <c r="S213" s="191"/>
      <c r="T213" s="190"/>
      <c r="U213" s="62"/>
    </row>
    <row r="214" customFormat="false" ht="50.1" hidden="false" customHeight="true" outlineLevel="0" collapsed="false">
      <c r="B214" s="62"/>
      <c r="C214" s="190"/>
      <c r="D214" s="192" t="s">
        <v>53</v>
      </c>
      <c r="E214" s="193" t="s">
        <v>54</v>
      </c>
      <c r="F214" s="194" t="s">
        <v>84</v>
      </c>
      <c r="G214" s="195" t="s">
        <v>100</v>
      </c>
      <c r="H214" s="196" t="s">
        <v>101</v>
      </c>
      <c r="I214" s="196"/>
      <c r="J214" s="197" t="s">
        <v>102</v>
      </c>
      <c r="K214" s="198" t="s">
        <v>103</v>
      </c>
      <c r="L214" s="194" t="s">
        <v>104</v>
      </c>
      <c r="M214" s="198" t="s">
        <v>105</v>
      </c>
      <c r="N214" s="194" t="s">
        <v>106</v>
      </c>
      <c r="O214" s="199"/>
      <c r="P214" s="200"/>
      <c r="Q214" s="200"/>
      <c r="R214" s="200"/>
      <c r="S214" s="193" t="s">
        <v>107</v>
      </c>
      <c r="T214" s="190"/>
      <c r="U214" s="62"/>
    </row>
    <row r="215" customFormat="false" ht="20.1" hidden="false" customHeight="true" outlineLevel="0" collapsed="false">
      <c r="B215" s="62"/>
      <c r="C215" s="190"/>
      <c r="D215" s="201" t="s">
        <v>562</v>
      </c>
      <c r="E215" s="302" t="s">
        <v>563</v>
      </c>
      <c r="F215" s="258" t="n">
        <f aca="false">K215*6+L215*3+M215*1+N215*0</f>
        <v>15</v>
      </c>
      <c r="G215" s="259" t="n">
        <v>0</v>
      </c>
      <c r="H215" s="259" t="s">
        <v>67</v>
      </c>
      <c r="I215" s="259"/>
      <c r="J215" s="258" t="n">
        <f aca="false">F215+G215</f>
        <v>15</v>
      </c>
      <c r="K215" s="258" t="n">
        <v>1</v>
      </c>
      <c r="L215" s="258" t="n">
        <v>3</v>
      </c>
      <c r="M215" s="258" t="n">
        <v>0</v>
      </c>
      <c r="N215" s="258" t="n">
        <v>0</v>
      </c>
      <c r="O215" s="260"/>
      <c r="P215" s="259"/>
      <c r="Q215" s="259"/>
      <c r="R215" s="259"/>
      <c r="S215" s="261" t="n">
        <f aca="false">(L182+L191+L200+L209)/4</f>
        <v>92.7391656402714</v>
      </c>
      <c r="T215" s="190"/>
      <c r="U215" s="62"/>
    </row>
    <row r="216" customFormat="false" ht="20.1" hidden="false" customHeight="true" outlineLevel="0" collapsed="false">
      <c r="B216" s="62"/>
      <c r="C216" s="190"/>
      <c r="D216" s="444" t="s">
        <v>29</v>
      </c>
      <c r="E216" s="208" t="s">
        <v>30</v>
      </c>
      <c r="F216" s="262" t="n">
        <f aca="false">K216*6+L216*3+M216*1+N216*0</f>
        <v>10</v>
      </c>
      <c r="G216" s="263" t="n">
        <v>0</v>
      </c>
      <c r="H216" s="263" t="s">
        <v>67</v>
      </c>
      <c r="I216" s="263"/>
      <c r="J216" s="262" t="n">
        <f aca="false">F216+G216</f>
        <v>10</v>
      </c>
      <c r="K216" s="262" t="n">
        <v>1</v>
      </c>
      <c r="L216" s="262" t="n">
        <v>1</v>
      </c>
      <c r="M216" s="262" t="n">
        <v>1</v>
      </c>
      <c r="N216" s="262" t="n">
        <v>1</v>
      </c>
      <c r="O216" s="264"/>
      <c r="P216" s="263"/>
      <c r="Q216" s="263"/>
      <c r="R216" s="263"/>
      <c r="S216" s="265" t="n">
        <f aca="false">(L180+L189+L198+L207)/4</f>
        <v>68.9875820404376</v>
      </c>
      <c r="T216" s="190"/>
      <c r="U216" s="62"/>
      <c r="Y216" s="266"/>
      <c r="Z216" s="266"/>
      <c r="AA216" s="267"/>
      <c r="AB216" s="267"/>
      <c r="AC216" s="268"/>
      <c r="AD216" s="268"/>
      <c r="AE216" s="268"/>
    </row>
    <row r="217" customFormat="false" ht="20.1" hidden="false" customHeight="true" outlineLevel="0" collapsed="false">
      <c r="B217" s="62"/>
      <c r="C217" s="190"/>
      <c r="D217" s="444" t="s">
        <v>31</v>
      </c>
      <c r="E217" s="208" t="s">
        <v>32</v>
      </c>
      <c r="F217" s="262" t="n">
        <f aca="false">K217*6+L217*3+M217*1+N217*0</f>
        <v>8</v>
      </c>
      <c r="G217" s="263" t="n">
        <v>0</v>
      </c>
      <c r="H217" s="263" t="s">
        <v>67</v>
      </c>
      <c r="I217" s="263"/>
      <c r="J217" s="262" t="n">
        <f aca="false">F217+G217</f>
        <v>8</v>
      </c>
      <c r="K217" s="262" t="n">
        <v>1</v>
      </c>
      <c r="L217" s="262" t="n">
        <v>0</v>
      </c>
      <c r="M217" s="262" t="n">
        <v>2</v>
      </c>
      <c r="N217" s="262" t="n">
        <v>1</v>
      </c>
      <c r="O217" s="264"/>
      <c r="P217" s="263"/>
      <c r="Q217" s="263"/>
      <c r="R217" s="263"/>
      <c r="S217" s="265" t="n">
        <f aca="false">(L179++L188+L197+L206)/4</f>
        <v>65.18755076968</v>
      </c>
      <c r="T217" s="190"/>
      <c r="U217" s="62"/>
    </row>
    <row r="218" customFormat="false" ht="20.1" hidden="false" customHeight="true" outlineLevel="0" collapsed="false">
      <c r="B218" s="62"/>
      <c r="C218" s="190"/>
      <c r="D218" s="270" t="s">
        <v>560</v>
      </c>
      <c r="E218" s="215" t="s">
        <v>561</v>
      </c>
      <c r="F218" s="271" t="n">
        <f aca="false">K218*6+L218*3+M218*1+N218*0</f>
        <v>7</v>
      </c>
      <c r="G218" s="272" t="n">
        <v>0</v>
      </c>
      <c r="H218" s="272" t="s">
        <v>67</v>
      </c>
      <c r="I218" s="272"/>
      <c r="J218" s="271" t="n">
        <f aca="false">F218+G218</f>
        <v>7</v>
      </c>
      <c r="K218" s="271" t="n">
        <v>1</v>
      </c>
      <c r="L218" s="271" t="n">
        <v>0</v>
      </c>
      <c r="M218" s="271" t="n">
        <v>1</v>
      </c>
      <c r="N218" s="271" t="n">
        <v>2</v>
      </c>
      <c r="O218" s="273"/>
      <c r="P218" s="272"/>
      <c r="Q218" s="272"/>
      <c r="R218" s="272"/>
      <c r="S218" s="274" t="n">
        <f aca="false">(L181+L190+L199+L208)/4</f>
        <v>60.8713254918284</v>
      </c>
      <c r="T218" s="190"/>
      <c r="U218" s="62"/>
    </row>
    <row r="219" customFormat="false" ht="20.1" hidden="false" customHeight="true" outlineLevel="0" collapsed="false">
      <c r="B219" s="62"/>
      <c r="C219" s="190"/>
      <c r="D219" s="445"/>
      <c r="E219" s="445"/>
      <c r="F219" s="429"/>
      <c r="G219" s="377"/>
      <c r="H219" s="430"/>
      <c r="I219" s="430"/>
      <c r="J219" s="429"/>
      <c r="K219" s="429"/>
      <c r="L219" s="429"/>
      <c r="M219" s="429"/>
      <c r="N219" s="429"/>
      <c r="O219" s="376"/>
      <c r="P219" s="377"/>
      <c r="Q219" s="377"/>
      <c r="R219" s="377"/>
      <c r="S219" s="408"/>
      <c r="T219" s="190"/>
      <c r="U219" s="62"/>
    </row>
    <row r="220" customFormat="false" ht="20.1" hidden="false" customHeight="true" outlineLevel="0" collapsed="false">
      <c r="B220" s="62"/>
      <c r="C220" s="62"/>
      <c r="D220" s="219"/>
      <c r="E220" s="219"/>
      <c r="F220" s="167"/>
      <c r="G220" s="167"/>
      <c r="H220" s="219"/>
      <c r="I220" s="219"/>
      <c r="J220" s="219"/>
      <c r="K220" s="62"/>
      <c r="L220" s="62"/>
      <c r="M220" s="62"/>
      <c r="N220" s="62"/>
      <c r="O220" s="62"/>
      <c r="P220" s="62"/>
      <c r="Q220" s="62"/>
      <c r="R220" s="62"/>
      <c r="S220" s="62"/>
      <c r="T220" s="62"/>
      <c r="U220" s="62"/>
    </row>
    <row r="221" customFormat="false" ht="20.1" hidden="false" customHeight="true" outlineLevel="0" collapsed="false"/>
  </sheetData>
  <mergeCells count="231">
    <mergeCell ref="A1:N2"/>
    <mergeCell ref="B4:H4"/>
    <mergeCell ref="J4:L4"/>
    <mergeCell ref="B5:C5"/>
    <mergeCell ref="B6:C6"/>
    <mergeCell ref="K6:K9"/>
    <mergeCell ref="B7:C7"/>
    <mergeCell ref="B8:C8"/>
    <mergeCell ref="B9:C9"/>
    <mergeCell ref="B10:C10"/>
    <mergeCell ref="K10:K13"/>
    <mergeCell ref="B11:C11"/>
    <mergeCell ref="B12:C12"/>
    <mergeCell ref="B13:C13"/>
    <mergeCell ref="B14:C14"/>
    <mergeCell ref="K14:K17"/>
    <mergeCell ref="B15:C15"/>
    <mergeCell ref="B16:C16"/>
    <mergeCell ref="B17:C17"/>
    <mergeCell ref="J18:K18"/>
    <mergeCell ref="B19:G19"/>
    <mergeCell ref="B20:C20"/>
    <mergeCell ref="B21:C21"/>
    <mergeCell ref="C24:T24"/>
    <mergeCell ref="D26:D27"/>
    <mergeCell ref="E26:E27"/>
    <mergeCell ref="F26:F27"/>
    <mergeCell ref="G26:J26"/>
    <mergeCell ref="L26:S26"/>
    <mergeCell ref="I27:J27"/>
    <mergeCell ref="N27:S27"/>
    <mergeCell ref="D28:D35"/>
    <mergeCell ref="E28:E35"/>
    <mergeCell ref="F28:F35"/>
    <mergeCell ref="G28:G35"/>
    <mergeCell ref="H28:H35"/>
    <mergeCell ref="I28:J28"/>
    <mergeCell ref="K28:K35"/>
    <mergeCell ref="L28:L35"/>
    <mergeCell ref="M28:M35"/>
    <mergeCell ref="N28:S35"/>
    <mergeCell ref="I29:J29"/>
    <mergeCell ref="I30:J30"/>
    <mergeCell ref="I31:J31"/>
    <mergeCell ref="I32:J32"/>
    <mergeCell ref="I33:J33"/>
    <mergeCell ref="I34:J34"/>
    <mergeCell ref="I35:J35"/>
    <mergeCell ref="D36:D37"/>
    <mergeCell ref="E36:E37"/>
    <mergeCell ref="F36:F37"/>
    <mergeCell ref="G36:G37"/>
    <mergeCell ref="H36:H37"/>
    <mergeCell ref="I36:J36"/>
    <mergeCell ref="K36:K37"/>
    <mergeCell ref="L36:L37"/>
    <mergeCell ref="M36:M37"/>
    <mergeCell ref="N36:S37"/>
    <mergeCell ref="I37:J37"/>
    <mergeCell ref="D38:D41"/>
    <mergeCell ref="E38:E41"/>
    <mergeCell ref="F38:F41"/>
    <mergeCell ref="G38:G41"/>
    <mergeCell ref="H38:H41"/>
    <mergeCell ref="I38:J38"/>
    <mergeCell ref="K38:K41"/>
    <mergeCell ref="L38:L41"/>
    <mergeCell ref="M38:M41"/>
    <mergeCell ref="N38:S41"/>
    <mergeCell ref="I39:J39"/>
    <mergeCell ref="I40:J40"/>
    <mergeCell ref="I41:J41"/>
    <mergeCell ref="D42:D43"/>
    <mergeCell ref="E42:E43"/>
    <mergeCell ref="F42:F43"/>
    <mergeCell ref="G42:G43"/>
    <mergeCell ref="H42:H43"/>
    <mergeCell ref="I42:J42"/>
    <mergeCell ref="K42:K43"/>
    <mergeCell ref="L42:L43"/>
    <mergeCell ref="M42:M43"/>
    <mergeCell ref="N42:S43"/>
    <mergeCell ref="I43:J43"/>
    <mergeCell ref="E45:N45"/>
    <mergeCell ref="F51:G51"/>
    <mergeCell ref="F52:G52"/>
    <mergeCell ref="E54:N54"/>
    <mergeCell ref="F60:G60"/>
    <mergeCell ref="E63:N63"/>
    <mergeCell ref="F69:G69"/>
    <mergeCell ref="E72:N72"/>
    <mergeCell ref="F78:G78"/>
    <mergeCell ref="D81:S81"/>
    <mergeCell ref="H82:I82"/>
    <mergeCell ref="H83:I83"/>
    <mergeCell ref="H84:I84"/>
    <mergeCell ref="H85:I85"/>
    <mergeCell ref="H86:I86"/>
    <mergeCell ref="H87:I87"/>
    <mergeCell ref="C92:T92"/>
    <mergeCell ref="D94:D95"/>
    <mergeCell ref="E94:E95"/>
    <mergeCell ref="F94:F95"/>
    <mergeCell ref="G94:J94"/>
    <mergeCell ref="L94:S94"/>
    <mergeCell ref="I95:J95"/>
    <mergeCell ref="N95:S95"/>
    <mergeCell ref="D96:D101"/>
    <mergeCell ref="E96:E101"/>
    <mergeCell ref="F96:F101"/>
    <mergeCell ref="G96:G101"/>
    <mergeCell ref="H96:H101"/>
    <mergeCell ref="I96:J96"/>
    <mergeCell ref="K96:K101"/>
    <mergeCell ref="L96:L101"/>
    <mergeCell ref="M96:M101"/>
    <mergeCell ref="N96:S101"/>
    <mergeCell ref="I97:J97"/>
    <mergeCell ref="I98:J98"/>
    <mergeCell ref="I99:J99"/>
    <mergeCell ref="I100:J100"/>
    <mergeCell ref="I101:J101"/>
    <mergeCell ref="D102:D105"/>
    <mergeCell ref="E102:E105"/>
    <mergeCell ref="F102:F105"/>
    <mergeCell ref="G102:G105"/>
    <mergeCell ref="H102:H105"/>
    <mergeCell ref="I102:J105"/>
    <mergeCell ref="K102:K105"/>
    <mergeCell ref="L102:L105"/>
    <mergeCell ref="M102:M105"/>
    <mergeCell ref="N102:S102"/>
    <mergeCell ref="N103:S103"/>
    <mergeCell ref="N104:S104"/>
    <mergeCell ref="N105:S105"/>
    <mergeCell ref="D106:D108"/>
    <mergeCell ref="E106:E108"/>
    <mergeCell ref="F106:F108"/>
    <mergeCell ref="G106:G108"/>
    <mergeCell ref="H106:H108"/>
    <mergeCell ref="I106:J106"/>
    <mergeCell ref="K106:K108"/>
    <mergeCell ref="L106:L108"/>
    <mergeCell ref="M106:M108"/>
    <mergeCell ref="N106:S108"/>
    <mergeCell ref="I107:J107"/>
    <mergeCell ref="I108:J108"/>
    <mergeCell ref="D109:D113"/>
    <mergeCell ref="E109:E113"/>
    <mergeCell ref="F109:F113"/>
    <mergeCell ref="G109:G113"/>
    <mergeCell ref="H109:H113"/>
    <mergeCell ref="I109:J109"/>
    <mergeCell ref="K109:K113"/>
    <mergeCell ref="L109:L113"/>
    <mergeCell ref="M109:M113"/>
    <mergeCell ref="N109:S113"/>
    <mergeCell ref="I110:J110"/>
    <mergeCell ref="I111:J111"/>
    <mergeCell ref="I112:J112"/>
    <mergeCell ref="I113:J113"/>
    <mergeCell ref="E115:N115"/>
    <mergeCell ref="F121:G121"/>
    <mergeCell ref="E124:N124"/>
    <mergeCell ref="F130:G130"/>
    <mergeCell ref="E133:N133"/>
    <mergeCell ref="F139:G139"/>
    <mergeCell ref="E142:N142"/>
    <mergeCell ref="F148:G148"/>
    <mergeCell ref="D151:S151"/>
    <mergeCell ref="H152:I152"/>
    <mergeCell ref="H153:I153"/>
    <mergeCell ref="H154:I154"/>
    <mergeCell ref="Y154:Z154"/>
    <mergeCell ref="H155:I155"/>
    <mergeCell ref="H156:I156"/>
    <mergeCell ref="H157:I157"/>
    <mergeCell ref="C162:T162"/>
    <mergeCell ref="D164:D165"/>
    <mergeCell ref="E164:E165"/>
    <mergeCell ref="F164:F165"/>
    <mergeCell ref="G164:J164"/>
    <mergeCell ref="L164:S164"/>
    <mergeCell ref="I165:J165"/>
    <mergeCell ref="N165:S165"/>
    <mergeCell ref="D166:D169"/>
    <mergeCell ref="E166:E169"/>
    <mergeCell ref="F166:F169"/>
    <mergeCell ref="G166:G169"/>
    <mergeCell ref="H166:H169"/>
    <mergeCell ref="I166:J166"/>
    <mergeCell ref="K166:K169"/>
    <mergeCell ref="L166:L169"/>
    <mergeCell ref="M166:M169"/>
    <mergeCell ref="N166:S169"/>
    <mergeCell ref="I167:J167"/>
    <mergeCell ref="I168:J168"/>
    <mergeCell ref="I169:J169"/>
    <mergeCell ref="D170:D173"/>
    <mergeCell ref="E170:E173"/>
    <mergeCell ref="F170:F173"/>
    <mergeCell ref="G170:G173"/>
    <mergeCell ref="H170:H173"/>
    <mergeCell ref="I170:J170"/>
    <mergeCell ref="K170:K173"/>
    <mergeCell ref="L170:L173"/>
    <mergeCell ref="M170:M173"/>
    <mergeCell ref="N170:S173"/>
    <mergeCell ref="I171:J171"/>
    <mergeCell ref="I172:J172"/>
    <mergeCell ref="I173:J173"/>
    <mergeCell ref="I174:J174"/>
    <mergeCell ref="N174:S174"/>
    <mergeCell ref="I175:J175"/>
    <mergeCell ref="N175:S175"/>
    <mergeCell ref="E177:N177"/>
    <mergeCell ref="F183:G183"/>
    <mergeCell ref="E186:N186"/>
    <mergeCell ref="F192:G192"/>
    <mergeCell ref="E195:N195"/>
    <mergeCell ref="F201:G201"/>
    <mergeCell ref="E204:N204"/>
    <mergeCell ref="F210:G210"/>
    <mergeCell ref="D213:S213"/>
    <mergeCell ref="H214:I214"/>
    <mergeCell ref="H215:I215"/>
    <mergeCell ref="H216:I216"/>
    <mergeCell ref="Y216:Z216"/>
    <mergeCell ref="H217:I217"/>
    <mergeCell ref="H218:I218"/>
    <mergeCell ref="H219:I219"/>
  </mergeCells>
  <conditionalFormatting sqref="B17:C17 D17:H18 B6:H16 D21:G21">
    <cfRule type="expression" priority="2" aboveAverage="0" equalAverage="0" bottom="0" percent="0" rank="0" text="" dxfId="1196">
      <formula>$H6="Nein"</formula>
    </cfRule>
    <cfRule type="expression" priority="3" aboveAverage="0" equalAverage="0" bottom="0" percent="0" rank="0" text="" dxfId="1197">
      <formula>$H6="Ja"</formula>
    </cfRule>
  </conditionalFormatting>
  <conditionalFormatting sqref="D219:E219">
    <cfRule type="expression" priority="4" aboveAverage="0" equalAverage="0" bottom="0" percent="0" rank="0" text="" dxfId="1198">
      <formula>$I219="Nein"</formula>
    </cfRule>
    <cfRule type="expression" priority="5" aboveAverage="0" equalAverage="0" bottom="0" percent="0" rank="0" text="" dxfId="1199">
      <formula>$I219="Ja"</formula>
    </cfRule>
  </conditionalFormatting>
  <conditionalFormatting sqref="D87:E87">
    <cfRule type="expression" priority="6" aboveAverage="0" equalAverage="0" bottom="0" percent="0" rank="0" text="" dxfId="1200">
      <formula>$I87="Nein"</formula>
    </cfRule>
    <cfRule type="expression" priority="7" aboveAverage="0" equalAverage="0" bottom="0" percent="0" rank="0" text="" dxfId="1201">
      <formula>$I87="Ja"</formula>
    </cfRule>
  </conditionalFormatting>
  <conditionalFormatting sqref="D157:E157">
    <cfRule type="expression" priority="8" aboveAverage="0" equalAverage="0" bottom="0" percent="0" rank="0" text="" dxfId="1202">
      <formula>$I157="Nein"</formula>
    </cfRule>
    <cfRule type="expression" priority="9" aboveAverage="0" equalAverage="0" bottom="0" percent="0" rank="0" text="" dxfId="1203">
      <formula>$I157="Ja"</formula>
    </cfRule>
  </conditionalFormatting>
  <conditionalFormatting sqref="E47:F50">
    <cfRule type="expression" priority="10" aboveAverage="0" equalAverage="0" bottom="0" percent="0" rank="0" text="" dxfId="1204">
      <formula>$H47="Nein"</formula>
    </cfRule>
    <cfRule type="expression" priority="11" aboveAverage="0" equalAverage="0" bottom="0" percent="0" rank="0" text="" dxfId="1205">
      <formula>$H47="Ja"</formula>
    </cfRule>
  </conditionalFormatting>
  <conditionalFormatting sqref="E56:F59">
    <cfRule type="expression" priority="12" aboveAverage="0" equalAverage="0" bottom="0" percent="0" rank="0" text="" dxfId="1206">
      <formula>$H56="Nein"</formula>
    </cfRule>
    <cfRule type="expression" priority="13" aboveAverage="0" equalAverage="0" bottom="0" percent="0" rank="0" text="" dxfId="1207">
      <formula>$H56="Ja"</formula>
    </cfRule>
  </conditionalFormatting>
  <conditionalFormatting sqref="E65:F68">
    <cfRule type="expression" priority="14" aboveAverage="0" equalAverage="0" bottom="0" percent="0" rank="0" text="" dxfId="1208">
      <formula>$H65="Nein"</formula>
    </cfRule>
    <cfRule type="expression" priority="15" aboveAverage="0" equalAverage="0" bottom="0" percent="0" rank="0" text="" dxfId="1209">
      <formula>$H65="Ja"</formula>
    </cfRule>
  </conditionalFormatting>
  <conditionalFormatting sqref="E74:F77">
    <cfRule type="expression" priority="16" aboveAverage="0" equalAverage="0" bottom="0" percent="0" rank="0" text="" dxfId="1210">
      <formula>$H74="Nein"</formula>
    </cfRule>
    <cfRule type="expression" priority="17" aboveAverage="0" equalAverage="0" bottom="0" percent="0" rank="0" text="" dxfId="1211">
      <formula>$H74="Ja"</formula>
    </cfRule>
  </conditionalFormatting>
  <conditionalFormatting sqref="D83:E83">
    <cfRule type="expression" priority="18" aboveAverage="0" equalAverage="0" bottom="0" percent="0" rank="0" text="" dxfId="1212">
      <formula>$H83="Nein"</formula>
    </cfRule>
    <cfRule type="expression" priority="19" aboveAverage="0" equalAverage="0" bottom="0" percent="0" rank="0" text="" dxfId="1213">
      <formula>$H83="Ja"</formula>
    </cfRule>
  </conditionalFormatting>
  <conditionalFormatting sqref="D84:E84">
    <cfRule type="expression" priority="20" aboveAverage="0" equalAverage="0" bottom="0" percent="0" rank="0" text="" dxfId="1214">
      <formula>$H84="Nein"</formula>
    </cfRule>
    <cfRule type="expression" priority="21" aboveAverage="0" equalAverage="0" bottom="0" percent="0" rank="0" text="" dxfId="1215">
      <formula>$H84="Ja"</formula>
    </cfRule>
  </conditionalFormatting>
  <conditionalFormatting sqref="D86:E86">
    <cfRule type="expression" priority="22" aboveAverage="0" equalAverage="0" bottom="0" percent="0" rank="0" text="" dxfId="1216">
      <formula>$H86="Nein"</formula>
    </cfRule>
    <cfRule type="expression" priority="23" aboveAverage="0" equalAverage="0" bottom="0" percent="0" rank="0" text="" dxfId="1217">
      <formula>$H86="Ja"</formula>
    </cfRule>
  </conditionalFormatting>
  <conditionalFormatting sqref="D85:E85">
    <cfRule type="expression" priority="24" aboveAverage="0" equalAverage="0" bottom="0" percent="0" rank="0" text="" dxfId="1218">
      <formula>$H85="Nein"</formula>
    </cfRule>
    <cfRule type="expression" priority="25" aboveAverage="0" equalAverage="0" bottom="0" percent="0" rank="0" text="" dxfId="1219">
      <formula>$H85="Ja"</formula>
    </cfRule>
  </conditionalFormatting>
  <conditionalFormatting sqref="E117:F120">
    <cfRule type="expression" priority="26" aboveAverage="0" equalAverage="0" bottom="0" percent="0" rank="0" text="" dxfId="1220">
      <formula>$H117="Nein"</formula>
    </cfRule>
    <cfRule type="expression" priority="27" aboveAverage="0" equalAverage="0" bottom="0" percent="0" rank="0" text="" dxfId="1221">
      <formula>$H117="Ja"</formula>
    </cfRule>
  </conditionalFormatting>
  <conditionalFormatting sqref="E126:F129">
    <cfRule type="expression" priority="28" aboveAverage="0" equalAverage="0" bottom="0" percent="0" rank="0" text="" dxfId="1222">
      <formula>$H126="Nein"</formula>
    </cfRule>
    <cfRule type="expression" priority="29" aboveAverage="0" equalAverage="0" bottom="0" percent="0" rank="0" text="" dxfId="1223">
      <formula>$H126="Ja"</formula>
    </cfRule>
  </conditionalFormatting>
  <conditionalFormatting sqref="E135:F138">
    <cfRule type="expression" priority="30" aboveAverage="0" equalAverage="0" bottom="0" percent="0" rank="0" text="" dxfId="1224">
      <formula>$H135="Nein"</formula>
    </cfRule>
    <cfRule type="expression" priority="31" aboveAverage="0" equalAverage="0" bottom="0" percent="0" rank="0" text="" dxfId="1225">
      <formula>$H135="Ja"</formula>
    </cfRule>
  </conditionalFormatting>
  <conditionalFormatting sqref="E144:F147">
    <cfRule type="expression" priority="32" aboveAverage="0" equalAverage="0" bottom="0" percent="0" rank="0" text="" dxfId="1226">
      <formula>$H144="Nein"</formula>
    </cfRule>
    <cfRule type="expression" priority="33" aboveAverage="0" equalAverage="0" bottom="0" percent="0" rank="0" text="" dxfId="1227">
      <formula>$H144="Ja"</formula>
    </cfRule>
  </conditionalFormatting>
  <conditionalFormatting sqref="E179:F182">
    <cfRule type="expression" priority="34" aboveAverage="0" equalAverage="0" bottom="0" percent="0" rank="0" text="" dxfId="1228">
      <formula>$H179="Nein"</formula>
    </cfRule>
    <cfRule type="expression" priority="35" aboveAverage="0" equalAverage="0" bottom="0" percent="0" rank="0" text="" dxfId="1229">
      <formula>$H179="Ja"</formula>
    </cfRule>
  </conditionalFormatting>
  <conditionalFormatting sqref="E188:F191">
    <cfRule type="expression" priority="36" aboveAverage="0" equalAverage="0" bottom="0" percent="0" rank="0" text="" dxfId="1230">
      <formula>$H188="Nein"</formula>
    </cfRule>
    <cfRule type="expression" priority="37" aboveAverage="0" equalAverage="0" bottom="0" percent="0" rank="0" text="" dxfId="1231">
      <formula>$H188="Ja"</formula>
    </cfRule>
  </conditionalFormatting>
  <conditionalFormatting sqref="E197:F200">
    <cfRule type="expression" priority="38" aboveAverage="0" equalAverage="0" bottom="0" percent="0" rank="0" text="" dxfId="1232">
      <formula>$H197="Nein"</formula>
    </cfRule>
    <cfRule type="expression" priority="39" aboveAverage="0" equalAverage="0" bottom="0" percent="0" rank="0" text="" dxfId="1233">
      <formula>$H197="Ja"</formula>
    </cfRule>
  </conditionalFormatting>
  <conditionalFormatting sqref="E206:F209">
    <cfRule type="expression" priority="40" aboveAverage="0" equalAverage="0" bottom="0" percent="0" rank="0" text="" dxfId="1234">
      <formula>$H206="Nein"</formula>
    </cfRule>
    <cfRule type="expression" priority="41" aboveAverage="0" equalAverage="0" bottom="0" percent="0" rank="0" text="" dxfId="1235">
      <formula>$H206="Ja"</formula>
    </cfRule>
  </conditionalFormatting>
  <conditionalFormatting sqref="D215:E215">
    <cfRule type="expression" priority="42" aboveAverage="0" equalAverage="0" bottom="0" percent="0" rank="0" text="" dxfId="1236">
      <formula>$H215="Nein"</formula>
    </cfRule>
    <cfRule type="expression" priority="43" aboveAverage="0" equalAverage="0" bottom="0" percent="0" rank="0" text="" dxfId="1237">
      <formula>$H215="Ja"</formula>
    </cfRule>
  </conditionalFormatting>
  <conditionalFormatting sqref="D216:E216">
    <cfRule type="expression" priority="44" aboveAverage="0" equalAverage="0" bottom="0" percent="0" rank="0" text="" dxfId="1238">
      <formula>$H216="Nein"</formula>
    </cfRule>
    <cfRule type="expression" priority="45" aboveAverage="0" equalAverage="0" bottom="0" percent="0" rank="0" text="" dxfId="1239">
      <formula>$H216="Ja"</formula>
    </cfRule>
  </conditionalFormatting>
  <conditionalFormatting sqref="D218:E218">
    <cfRule type="expression" priority="46" aboveAverage="0" equalAverage="0" bottom="0" percent="0" rank="0" text="" dxfId="1240">
      <formula>$H218="Nein"</formula>
    </cfRule>
    <cfRule type="expression" priority="47" aboveAverage="0" equalAverage="0" bottom="0" percent="0" rank="0" text="" dxfId="1241">
      <formula>$H218="Ja"</formula>
    </cfRule>
  </conditionalFormatting>
  <conditionalFormatting sqref="D217:E217">
    <cfRule type="expression" priority="48" aboveAverage="0" equalAverage="0" bottom="0" percent="0" rank="0" text="" dxfId="1242">
      <formula>$H217="Nein"</formula>
    </cfRule>
    <cfRule type="expression" priority="49" aboveAverage="0" equalAverage="0" bottom="0" percent="0" rank="0" text="" dxfId="1243">
      <formula>$H217="Ja"</formula>
    </cfRule>
  </conditionalFormatting>
  <conditionalFormatting sqref="D153:E153">
    <cfRule type="expression" priority="50" aboveAverage="0" equalAverage="0" bottom="0" percent="0" rank="0" text="" dxfId="1244">
      <formula>$H153="Nein"</formula>
    </cfRule>
    <cfRule type="expression" priority="51" aboveAverage="0" equalAverage="0" bottom="0" percent="0" rank="0" text="" dxfId="1245">
      <formula>$H153="Ja"</formula>
    </cfRule>
  </conditionalFormatting>
  <conditionalFormatting sqref="D154:E154">
    <cfRule type="expression" priority="52" aboveAverage="0" equalAverage="0" bottom="0" percent="0" rank="0" text="" dxfId="1246">
      <formula>$H154="Nein"</formula>
    </cfRule>
    <cfRule type="expression" priority="53" aboveAverage="0" equalAverage="0" bottom="0" percent="0" rank="0" text="" dxfId="1247">
      <formula>$H154="Ja"</formula>
    </cfRule>
  </conditionalFormatting>
  <conditionalFormatting sqref="D156:E156">
    <cfRule type="expression" priority="54" aboveAverage="0" equalAverage="0" bottom="0" percent="0" rank="0" text="" dxfId="1248">
      <formula>$H156="Nein"</formula>
    </cfRule>
    <cfRule type="expression" priority="55" aboveAverage="0" equalAverage="0" bottom="0" percent="0" rank="0" text="" dxfId="1249">
      <formula>$H156="Ja"</formula>
    </cfRule>
  </conditionalFormatting>
  <conditionalFormatting sqref="D155:E155">
    <cfRule type="expression" priority="56" aboveAverage="0" equalAverage="0" bottom="0" percent="0" rank="0" text="" dxfId="1250">
      <formula>$H155="Nein"</formula>
    </cfRule>
    <cfRule type="expression" priority="57" aboveAverage="0" equalAverage="0" bottom="0" percent="0" rank="0" text="" dxfId="1251">
      <formula>$H155="Ja"</formula>
    </cfRule>
  </conditionalFormatting>
  <dataValidations count="1">
    <dataValidation allowBlank="true" operator="between" showDropDown="false" showErrorMessage="true" showInputMessage="true" sqref="H6:H18"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B45"/>
  <sheetViews>
    <sheetView showFormulas="false" showGridLines="false" showRowColHeaders="true" showZeros="true" rightToLeft="false" tabSelected="false" showOutlineSymbols="true" defaultGridColor="true" view="normal" topLeftCell="A1" colorId="64" zoomScale="68" zoomScaleNormal="68" zoomScalePageLayoutView="100" workbookViewId="0">
      <selection pane="topLeft" activeCell="M25" activeCellId="0" sqref="M25"/>
    </sheetView>
  </sheetViews>
  <sheetFormatPr defaultColWidth="10.7421875" defaultRowHeight="20.1" zeroHeight="false" outlineLevelRow="0" outlineLevelCol="0"/>
  <cols>
    <col collapsed="false" customWidth="true" hidden="false" outlineLevel="0" max="1" min="1" style="0" width="6.71"/>
    <col collapsed="false" customWidth="true" hidden="false" outlineLevel="0" max="2" min="2" style="665" width="7.57"/>
    <col collapsed="false" customWidth="true" hidden="false" outlineLevel="0" max="3" min="3" style="0" width="21.43"/>
    <col collapsed="false" customWidth="true" hidden="false" outlineLevel="0" max="6" min="4" style="0" width="17.71"/>
    <col collapsed="false" customWidth="true" hidden="false" outlineLevel="0" max="7" min="7" style="0" width="18.58"/>
    <col collapsed="false" customWidth="true" hidden="false" outlineLevel="0" max="8" min="8" style="0" width="15.57"/>
    <col collapsed="false" customWidth="true" hidden="false" outlineLevel="0" max="9" min="9" style="0" width="18.85"/>
    <col collapsed="false" customWidth="true" hidden="false" outlineLevel="0" max="10" min="10" style="0" width="17.29"/>
    <col collapsed="false" customWidth="true" hidden="false" outlineLevel="0" max="23" min="11" style="0" width="13.7"/>
  </cols>
  <sheetData>
    <row r="1" customFormat="false" ht="20.1" hidden="false" customHeight="true" outlineLevel="0" collapsed="false">
      <c r="A1" s="666" t="s">
        <v>609</v>
      </c>
      <c r="B1" s="666"/>
      <c r="C1" s="666"/>
      <c r="D1" s="666"/>
      <c r="E1" s="666"/>
      <c r="F1" s="666"/>
      <c r="G1" s="666"/>
      <c r="H1" s="666"/>
      <c r="I1" s="666"/>
      <c r="J1" s="666"/>
      <c r="K1" s="666"/>
      <c r="L1" s="666"/>
      <c r="M1" s="666"/>
      <c r="N1" s="666"/>
      <c r="O1" s="666"/>
      <c r="P1" s="666"/>
      <c r="Q1" s="666"/>
      <c r="R1" s="666"/>
      <c r="S1" s="666"/>
      <c r="T1" s="666"/>
      <c r="U1" s="666"/>
      <c r="V1" s="666"/>
      <c r="W1" s="666"/>
      <c r="X1" s="666"/>
      <c r="Y1" s="667"/>
      <c r="Z1" s="667"/>
      <c r="AA1" s="667"/>
      <c r="AB1" s="667"/>
    </row>
    <row r="2" customFormat="false" ht="20.1" hidden="false" customHeight="true" outlineLevel="0" collapsed="false">
      <c r="A2" s="666"/>
      <c r="B2" s="666"/>
      <c r="C2" s="666"/>
      <c r="D2" s="666"/>
      <c r="E2" s="666"/>
      <c r="F2" s="666"/>
      <c r="G2" s="666"/>
      <c r="H2" s="666"/>
      <c r="I2" s="666"/>
      <c r="J2" s="666"/>
      <c r="K2" s="666"/>
      <c r="L2" s="666"/>
      <c r="M2" s="666"/>
      <c r="N2" s="666"/>
      <c r="O2" s="666"/>
      <c r="P2" s="666"/>
      <c r="Q2" s="666"/>
      <c r="R2" s="666"/>
      <c r="S2" s="666"/>
      <c r="T2" s="666"/>
      <c r="U2" s="666"/>
      <c r="V2" s="666"/>
      <c r="W2" s="666"/>
      <c r="X2" s="666"/>
      <c r="Y2" s="667"/>
      <c r="Z2" s="667"/>
      <c r="AA2" s="667"/>
      <c r="AB2" s="667"/>
    </row>
    <row r="3" s="670" customFormat="true" ht="35.1" hidden="false" customHeight="true" outlineLevel="0" collapsed="false">
      <c r="A3" s="668" t="s">
        <v>610</v>
      </c>
      <c r="B3" s="668"/>
      <c r="C3" s="668"/>
      <c r="D3" s="668"/>
      <c r="E3" s="668"/>
      <c r="F3" s="668"/>
      <c r="G3" s="668"/>
      <c r="H3" s="668"/>
      <c r="I3" s="668"/>
      <c r="J3" s="668"/>
      <c r="K3" s="668"/>
      <c r="L3" s="668"/>
      <c r="M3" s="668"/>
      <c r="N3" s="668"/>
      <c r="O3" s="668"/>
      <c r="P3" s="668"/>
      <c r="Q3" s="668"/>
      <c r="R3" s="668"/>
      <c r="S3" s="668"/>
      <c r="T3" s="668"/>
      <c r="U3" s="668"/>
      <c r="V3" s="668"/>
      <c r="W3" s="668"/>
      <c r="X3" s="668"/>
      <c r="Y3" s="669"/>
      <c r="Z3" s="669"/>
      <c r="AA3" s="669"/>
      <c r="AB3" s="669"/>
    </row>
    <row r="4" customFormat="false" ht="20.1" hidden="false" customHeight="true" outlineLevel="0" collapsed="false">
      <c r="A4" s="667"/>
      <c r="B4" s="671"/>
      <c r="C4" s="667"/>
      <c r="D4" s="667"/>
      <c r="E4" s="667"/>
      <c r="F4" s="667"/>
      <c r="G4" s="667"/>
      <c r="H4" s="667"/>
      <c r="I4" s="667"/>
      <c r="J4" s="667"/>
      <c r="K4" s="667"/>
      <c r="L4" s="667"/>
      <c r="M4" s="667"/>
      <c r="N4" s="667"/>
      <c r="O4" s="667"/>
      <c r="P4" s="667"/>
      <c r="Q4" s="667"/>
      <c r="R4" s="667"/>
      <c r="S4" s="667"/>
      <c r="T4" s="667"/>
      <c r="U4" s="667"/>
      <c r="V4" s="667"/>
      <c r="W4" s="667"/>
      <c r="X4" s="667"/>
      <c r="Y4" s="667"/>
      <c r="Z4" s="667"/>
      <c r="AA4" s="667"/>
      <c r="AB4" s="667"/>
    </row>
    <row r="5" s="5" customFormat="true" ht="35.1" hidden="false" customHeight="true" outlineLevel="0" collapsed="false">
      <c r="A5" s="672"/>
      <c r="B5" s="107" t="s">
        <v>611</v>
      </c>
      <c r="C5" s="673" t="s">
        <v>4</v>
      </c>
      <c r="D5" s="674" t="s">
        <v>612</v>
      </c>
      <c r="E5" s="674" t="s">
        <v>613</v>
      </c>
      <c r="F5" s="674" t="s">
        <v>614</v>
      </c>
      <c r="G5" s="675" t="s">
        <v>8</v>
      </c>
      <c r="H5" s="676" t="s">
        <v>615</v>
      </c>
      <c r="I5" s="677" t="s">
        <v>616</v>
      </c>
      <c r="J5" s="677" t="s">
        <v>617</v>
      </c>
      <c r="K5" s="678" t="s">
        <v>618</v>
      </c>
      <c r="L5" s="673" t="s">
        <v>619</v>
      </c>
      <c r="M5" s="677" t="s">
        <v>620</v>
      </c>
      <c r="N5" s="677" t="s">
        <v>621</v>
      </c>
      <c r="O5" s="678" t="s">
        <v>622</v>
      </c>
      <c r="P5" s="673" t="s">
        <v>623</v>
      </c>
      <c r="Q5" s="677" t="s">
        <v>624</v>
      </c>
      <c r="R5" s="677" t="s">
        <v>625</v>
      </c>
      <c r="S5" s="678" t="s">
        <v>626</v>
      </c>
      <c r="T5" s="673" t="s">
        <v>627</v>
      </c>
      <c r="U5" s="677" t="s">
        <v>628</v>
      </c>
      <c r="V5" s="677" t="s">
        <v>629</v>
      </c>
      <c r="W5" s="678" t="s">
        <v>630</v>
      </c>
      <c r="X5" s="672"/>
      <c r="Y5" s="672"/>
      <c r="Z5" s="672"/>
      <c r="AA5" s="672"/>
      <c r="AB5" s="672"/>
    </row>
    <row r="6" s="24" customFormat="true" ht="35.1" hidden="false" customHeight="true" outlineLevel="0" collapsed="false">
      <c r="A6" s="679"/>
      <c r="B6" s="680" t="n">
        <v>1</v>
      </c>
      <c r="C6" s="681" t="s">
        <v>17</v>
      </c>
      <c r="D6" s="682" t="s">
        <v>18</v>
      </c>
      <c r="E6" s="682" t="s">
        <v>19</v>
      </c>
      <c r="F6" s="682" t="s">
        <v>19</v>
      </c>
      <c r="G6" s="683" t="s">
        <v>19</v>
      </c>
      <c r="H6" s="684" t="s">
        <v>631</v>
      </c>
      <c r="I6" s="685" t="s">
        <v>632</v>
      </c>
      <c r="J6" s="685" t="s">
        <v>633</v>
      </c>
      <c r="K6" s="686" t="s">
        <v>67</v>
      </c>
      <c r="L6" s="684" t="s">
        <v>67</v>
      </c>
      <c r="M6" s="685" t="s">
        <v>67</v>
      </c>
      <c r="N6" s="685" t="s">
        <v>67</v>
      </c>
      <c r="O6" s="683" t="s">
        <v>67</v>
      </c>
      <c r="P6" s="687" t="s">
        <v>67</v>
      </c>
      <c r="Q6" s="682" t="s">
        <v>67</v>
      </c>
      <c r="R6" s="682" t="s">
        <v>67</v>
      </c>
      <c r="S6" s="683" t="s">
        <v>67</v>
      </c>
      <c r="T6" s="687" t="s">
        <v>67</v>
      </c>
      <c r="U6" s="682" t="s">
        <v>67</v>
      </c>
      <c r="V6" s="682" t="s">
        <v>67</v>
      </c>
      <c r="W6" s="688" t="s">
        <v>67</v>
      </c>
      <c r="X6" s="679"/>
      <c r="Y6" s="679"/>
      <c r="Z6" s="679"/>
      <c r="AA6" s="679"/>
      <c r="AB6" s="679"/>
    </row>
    <row r="7" s="24" customFormat="true" ht="35.1" hidden="false" customHeight="true" outlineLevel="0" collapsed="false">
      <c r="A7" s="679"/>
      <c r="B7" s="689" t="n">
        <v>2</v>
      </c>
      <c r="C7" s="690" t="s">
        <v>15</v>
      </c>
      <c r="D7" s="691" t="s">
        <v>16</v>
      </c>
      <c r="E7" s="691" t="s">
        <v>16</v>
      </c>
      <c r="F7" s="691" t="s">
        <v>16</v>
      </c>
      <c r="G7" s="692" t="s">
        <v>16</v>
      </c>
      <c r="H7" s="693" t="s">
        <v>634</v>
      </c>
      <c r="I7" s="694" t="s">
        <v>635</v>
      </c>
      <c r="J7" s="694" t="s">
        <v>636</v>
      </c>
      <c r="K7" s="695" t="s">
        <v>637</v>
      </c>
      <c r="L7" s="693" t="s">
        <v>67</v>
      </c>
      <c r="M7" s="691" t="s">
        <v>67</v>
      </c>
      <c r="N7" s="691" t="s">
        <v>67</v>
      </c>
      <c r="O7" s="692" t="s">
        <v>67</v>
      </c>
      <c r="P7" s="696" t="s">
        <v>67</v>
      </c>
      <c r="Q7" s="691" t="s">
        <v>67</v>
      </c>
      <c r="R7" s="691" t="s">
        <v>67</v>
      </c>
      <c r="S7" s="692" t="s">
        <v>67</v>
      </c>
      <c r="T7" s="696" t="s">
        <v>67</v>
      </c>
      <c r="U7" s="691" t="s">
        <v>67</v>
      </c>
      <c r="V7" s="691" t="s">
        <v>67</v>
      </c>
      <c r="W7" s="697" t="s">
        <v>67</v>
      </c>
      <c r="X7" s="679"/>
      <c r="Y7" s="679"/>
      <c r="Z7" s="679"/>
      <c r="AA7" s="679"/>
      <c r="AB7" s="679"/>
    </row>
    <row r="8" s="24" customFormat="true" ht="35.1" hidden="false" customHeight="true" outlineLevel="0" collapsed="false">
      <c r="A8" s="679"/>
      <c r="B8" s="698" t="n">
        <v>3</v>
      </c>
      <c r="C8" s="699" t="s">
        <v>12</v>
      </c>
      <c r="D8" s="700" t="s">
        <v>13</v>
      </c>
      <c r="E8" s="700" t="s">
        <v>13</v>
      </c>
      <c r="F8" s="700" t="s">
        <v>13</v>
      </c>
      <c r="G8" s="701" t="s">
        <v>13</v>
      </c>
      <c r="H8" s="702" t="s">
        <v>638</v>
      </c>
      <c r="I8" s="703" t="s">
        <v>639</v>
      </c>
      <c r="J8" s="703" t="s">
        <v>640</v>
      </c>
      <c r="K8" s="704" t="s">
        <v>641</v>
      </c>
      <c r="L8" s="702" t="s">
        <v>67</v>
      </c>
      <c r="M8" s="703" t="s">
        <v>642</v>
      </c>
      <c r="N8" s="703" t="s">
        <v>67</v>
      </c>
      <c r="O8" s="704" t="s">
        <v>67</v>
      </c>
      <c r="P8" s="702" t="s">
        <v>643</v>
      </c>
      <c r="Q8" s="703" t="s">
        <v>67</v>
      </c>
      <c r="R8" s="703" t="s">
        <v>67</v>
      </c>
      <c r="S8" s="701" t="s">
        <v>67</v>
      </c>
      <c r="T8" s="702" t="s">
        <v>67</v>
      </c>
      <c r="U8" s="703" t="s">
        <v>67</v>
      </c>
      <c r="V8" s="703" t="s">
        <v>67</v>
      </c>
      <c r="W8" s="705" t="s">
        <v>67</v>
      </c>
      <c r="X8" s="679"/>
      <c r="Y8" s="679"/>
      <c r="Z8" s="679"/>
      <c r="AA8" s="679"/>
      <c r="AB8" s="679"/>
    </row>
    <row r="9" s="24" customFormat="true" ht="35.1" hidden="false" customHeight="true" outlineLevel="0" collapsed="false">
      <c r="A9" s="679"/>
      <c r="B9" s="706" t="n">
        <v>4</v>
      </c>
      <c r="C9" s="707" t="s">
        <v>22</v>
      </c>
      <c r="D9" s="119" t="s">
        <v>23</v>
      </c>
      <c r="E9" s="119" t="s">
        <v>23</v>
      </c>
      <c r="F9" s="119" t="s">
        <v>23</v>
      </c>
      <c r="G9" s="383" t="s">
        <v>23</v>
      </c>
      <c r="H9" s="590" t="s">
        <v>637</v>
      </c>
      <c r="I9" s="155" t="s">
        <v>644</v>
      </c>
      <c r="J9" s="155" t="s">
        <v>67</v>
      </c>
      <c r="K9" s="708" t="s">
        <v>67</v>
      </c>
      <c r="L9" s="590" t="s">
        <v>645</v>
      </c>
      <c r="M9" s="155" t="s">
        <v>67</v>
      </c>
      <c r="N9" s="155" t="s">
        <v>643</v>
      </c>
      <c r="O9" s="383" t="s">
        <v>67</v>
      </c>
      <c r="P9" s="590" t="s">
        <v>646</v>
      </c>
      <c r="Q9" s="155" t="s">
        <v>647</v>
      </c>
      <c r="R9" s="119" t="s">
        <v>67</v>
      </c>
      <c r="S9" s="383" t="s">
        <v>67</v>
      </c>
      <c r="T9" s="122" t="s">
        <v>67</v>
      </c>
      <c r="U9" s="119" t="s">
        <v>67</v>
      </c>
      <c r="V9" s="119" t="s">
        <v>67</v>
      </c>
      <c r="W9" s="31" t="s">
        <v>67</v>
      </c>
      <c r="X9" s="679"/>
      <c r="Y9" s="679"/>
      <c r="Z9" s="679"/>
      <c r="AA9" s="679"/>
      <c r="AB9" s="679"/>
    </row>
    <row r="10" s="24" customFormat="true" ht="35.1" hidden="false" customHeight="true" outlineLevel="0" collapsed="false">
      <c r="A10" s="679"/>
      <c r="B10" s="709" t="s">
        <v>648</v>
      </c>
      <c r="C10" s="710" t="s">
        <v>384</v>
      </c>
      <c r="D10" s="711" t="s">
        <v>28</v>
      </c>
      <c r="E10" s="712" t="s">
        <v>28</v>
      </c>
      <c r="F10" s="711" t="s">
        <v>28</v>
      </c>
      <c r="G10" s="713" t="s">
        <v>28</v>
      </c>
      <c r="H10" s="714" t="s">
        <v>649</v>
      </c>
      <c r="I10" s="152" t="s">
        <v>67</v>
      </c>
      <c r="J10" s="152" t="s">
        <v>650</v>
      </c>
      <c r="K10" s="715" t="s">
        <v>651</v>
      </c>
      <c r="L10" s="714" t="s">
        <v>67</v>
      </c>
      <c r="M10" s="152" t="s">
        <v>639</v>
      </c>
      <c r="N10" s="152" t="s">
        <v>652</v>
      </c>
      <c r="O10" s="715" t="s">
        <v>637</v>
      </c>
      <c r="P10" s="714" t="s">
        <v>653</v>
      </c>
      <c r="Q10" s="151" t="s">
        <v>67</v>
      </c>
      <c r="R10" s="152" t="s">
        <v>67</v>
      </c>
      <c r="S10" s="716" t="s">
        <v>67</v>
      </c>
      <c r="T10" s="714" t="s">
        <v>67</v>
      </c>
      <c r="U10" s="151" t="s">
        <v>67</v>
      </c>
      <c r="V10" s="152" t="s">
        <v>67</v>
      </c>
      <c r="W10" s="154" t="s">
        <v>67</v>
      </c>
      <c r="X10" s="679"/>
      <c r="Y10" s="679"/>
      <c r="Z10" s="679"/>
      <c r="AA10" s="679"/>
      <c r="AB10" s="679"/>
    </row>
    <row r="11" s="24" customFormat="true" ht="35.1" hidden="false" customHeight="true" outlineLevel="0" collapsed="false">
      <c r="A11" s="679"/>
      <c r="B11" s="706" t="n">
        <v>5</v>
      </c>
      <c r="C11" s="717" t="s">
        <v>37</v>
      </c>
      <c r="D11" s="241" t="s">
        <v>38</v>
      </c>
      <c r="E11" s="155" t="s">
        <v>38</v>
      </c>
      <c r="F11" s="718" t="s">
        <v>35</v>
      </c>
      <c r="G11" s="719" t="s">
        <v>35</v>
      </c>
      <c r="H11" s="590" t="s">
        <v>651</v>
      </c>
      <c r="I11" s="119" t="s">
        <v>67</v>
      </c>
      <c r="J11" s="119" t="s">
        <v>67</v>
      </c>
      <c r="K11" s="708" t="s">
        <v>654</v>
      </c>
      <c r="L11" s="590" t="s">
        <v>655</v>
      </c>
      <c r="M11" s="119" t="s">
        <v>67</v>
      </c>
      <c r="N11" s="155" t="s">
        <v>656</v>
      </c>
      <c r="O11" s="708" t="s">
        <v>67</v>
      </c>
      <c r="P11" s="590" t="s">
        <v>637</v>
      </c>
      <c r="Q11" s="155" t="s">
        <v>67</v>
      </c>
      <c r="R11" s="155" t="s">
        <v>67</v>
      </c>
      <c r="S11" s="708" t="s">
        <v>640</v>
      </c>
      <c r="T11" s="590" t="s">
        <v>644</v>
      </c>
      <c r="U11" s="155" t="s">
        <v>67</v>
      </c>
      <c r="V11" s="119" t="s">
        <v>67</v>
      </c>
      <c r="W11" s="720" t="s">
        <v>67</v>
      </c>
      <c r="X11" s="679"/>
      <c r="Y11" s="679"/>
      <c r="Z11" s="679"/>
      <c r="AA11" s="679"/>
      <c r="AB11" s="679"/>
    </row>
    <row r="12" s="24" customFormat="true" ht="35.1" hidden="false" customHeight="true" outlineLevel="0" collapsed="false">
      <c r="A12" s="679"/>
      <c r="B12" s="706" t="n">
        <v>6</v>
      </c>
      <c r="C12" s="717" t="s">
        <v>33</v>
      </c>
      <c r="D12" s="718" t="s">
        <v>34</v>
      </c>
      <c r="E12" s="155" t="s">
        <v>35</v>
      </c>
      <c r="F12" s="718" t="s">
        <v>35</v>
      </c>
      <c r="G12" s="719" t="s">
        <v>35</v>
      </c>
      <c r="H12" s="122" t="s">
        <v>67</v>
      </c>
      <c r="I12" s="155" t="s">
        <v>657</v>
      </c>
      <c r="J12" s="155" t="s">
        <v>67</v>
      </c>
      <c r="K12" s="708" t="s">
        <v>658</v>
      </c>
      <c r="L12" s="590" t="s">
        <v>638</v>
      </c>
      <c r="M12" s="155" t="s">
        <v>67</v>
      </c>
      <c r="N12" s="155" t="s">
        <v>67</v>
      </c>
      <c r="O12" s="708" t="s">
        <v>67</v>
      </c>
      <c r="P12" s="590" t="s">
        <v>640</v>
      </c>
      <c r="Q12" s="155" t="s">
        <v>67</v>
      </c>
      <c r="R12" s="155" t="s">
        <v>643</v>
      </c>
      <c r="S12" s="383" t="s">
        <v>67</v>
      </c>
      <c r="T12" s="590" t="s">
        <v>67</v>
      </c>
      <c r="U12" s="155" t="s">
        <v>67</v>
      </c>
      <c r="V12" s="155" t="s">
        <v>67</v>
      </c>
      <c r="W12" s="31" t="s">
        <v>67</v>
      </c>
      <c r="X12" s="679"/>
      <c r="Y12" s="679"/>
      <c r="Z12" s="679"/>
      <c r="AA12" s="679"/>
      <c r="AB12" s="679"/>
    </row>
    <row r="13" s="24" customFormat="true" ht="35.1" hidden="false" customHeight="true" outlineLevel="0" collapsed="false">
      <c r="A13" s="679"/>
      <c r="B13" s="706" t="n">
        <v>7</v>
      </c>
      <c r="C13" s="707" t="s">
        <v>20</v>
      </c>
      <c r="D13" s="718" t="s">
        <v>21</v>
      </c>
      <c r="E13" s="718" t="s">
        <v>21</v>
      </c>
      <c r="F13" s="718" t="s">
        <v>21</v>
      </c>
      <c r="G13" s="719" t="s">
        <v>21</v>
      </c>
      <c r="H13" s="590" t="s">
        <v>67</v>
      </c>
      <c r="I13" s="155" t="s">
        <v>67</v>
      </c>
      <c r="J13" s="155" t="s">
        <v>637</v>
      </c>
      <c r="K13" s="708" t="s">
        <v>659</v>
      </c>
      <c r="L13" s="590" t="s">
        <v>660</v>
      </c>
      <c r="M13" s="155" t="s">
        <v>67</v>
      </c>
      <c r="N13" s="155" t="s">
        <v>649</v>
      </c>
      <c r="O13" s="708" t="s">
        <v>67</v>
      </c>
      <c r="P13" s="590" t="s">
        <v>67</v>
      </c>
      <c r="Q13" s="155" t="s">
        <v>661</v>
      </c>
      <c r="R13" s="119" t="s">
        <v>67</v>
      </c>
      <c r="S13" s="383" t="s">
        <v>67</v>
      </c>
      <c r="T13" s="590" t="s">
        <v>67</v>
      </c>
      <c r="U13" s="119" t="s">
        <v>67</v>
      </c>
      <c r="V13" s="119" t="s">
        <v>67</v>
      </c>
      <c r="W13" s="31" t="s">
        <v>67</v>
      </c>
      <c r="X13" s="679"/>
      <c r="Y13" s="679"/>
      <c r="Z13" s="679"/>
      <c r="AA13" s="679"/>
      <c r="AB13" s="679"/>
    </row>
    <row r="14" s="24" customFormat="true" ht="35.1" hidden="false" customHeight="true" outlineLevel="0" collapsed="false">
      <c r="A14" s="679"/>
      <c r="B14" s="706" t="n">
        <v>8</v>
      </c>
      <c r="C14" s="717" t="s">
        <v>39</v>
      </c>
      <c r="D14" s="241" t="s">
        <v>40</v>
      </c>
      <c r="E14" s="155" t="s">
        <v>40</v>
      </c>
      <c r="F14" s="718" t="s">
        <v>40</v>
      </c>
      <c r="G14" s="719" t="s">
        <v>40</v>
      </c>
      <c r="H14" s="122" t="s">
        <v>67</v>
      </c>
      <c r="I14" s="119" t="s">
        <v>67</v>
      </c>
      <c r="J14" s="119" t="s">
        <v>67</v>
      </c>
      <c r="K14" s="708" t="s">
        <v>662</v>
      </c>
      <c r="L14" s="590" t="s">
        <v>663</v>
      </c>
      <c r="M14" s="155" t="s">
        <v>643</v>
      </c>
      <c r="N14" s="155" t="s">
        <v>664</v>
      </c>
      <c r="O14" s="708" t="s">
        <v>639</v>
      </c>
      <c r="P14" s="590" t="s">
        <v>67</v>
      </c>
      <c r="Q14" s="155" t="s">
        <v>665</v>
      </c>
      <c r="R14" s="155" t="s">
        <v>640</v>
      </c>
      <c r="S14" s="708" t="s">
        <v>67</v>
      </c>
      <c r="T14" s="122" t="s">
        <v>67</v>
      </c>
      <c r="U14" s="155" t="s">
        <v>67</v>
      </c>
      <c r="V14" s="155" t="s">
        <v>67</v>
      </c>
      <c r="W14" s="31" t="s">
        <v>67</v>
      </c>
      <c r="X14" s="679"/>
      <c r="Y14" s="679"/>
      <c r="Z14" s="679"/>
      <c r="AA14" s="679"/>
      <c r="AB14" s="679"/>
    </row>
    <row r="15" s="24" customFormat="true" ht="35.1" hidden="false" customHeight="true" outlineLevel="0" collapsed="false">
      <c r="A15" s="679"/>
      <c r="B15" s="706" t="n">
        <v>9</v>
      </c>
      <c r="C15" s="717" t="s">
        <v>47</v>
      </c>
      <c r="D15" s="241" t="s">
        <v>48</v>
      </c>
      <c r="E15" s="155" t="s">
        <v>48</v>
      </c>
      <c r="F15" s="718" t="s">
        <v>35</v>
      </c>
      <c r="G15" s="719" t="s">
        <v>48</v>
      </c>
      <c r="H15" s="122" t="s">
        <v>67</v>
      </c>
      <c r="I15" s="119" t="s">
        <v>67</v>
      </c>
      <c r="J15" s="119" t="s">
        <v>67</v>
      </c>
      <c r="K15" s="708" t="s">
        <v>67</v>
      </c>
      <c r="L15" s="590" t="s">
        <v>637</v>
      </c>
      <c r="M15" s="155" t="s">
        <v>67</v>
      </c>
      <c r="N15" s="155" t="s">
        <v>67</v>
      </c>
      <c r="O15" s="708" t="s">
        <v>67</v>
      </c>
      <c r="P15" s="590" t="s">
        <v>644</v>
      </c>
      <c r="Q15" s="155" t="s">
        <v>67</v>
      </c>
      <c r="R15" s="155" t="s">
        <v>67</v>
      </c>
      <c r="S15" s="383" t="s">
        <v>67</v>
      </c>
      <c r="T15" s="590" t="s">
        <v>640</v>
      </c>
      <c r="U15" s="155" t="s">
        <v>67</v>
      </c>
      <c r="V15" s="155" t="s">
        <v>67</v>
      </c>
      <c r="W15" s="31" t="s">
        <v>67</v>
      </c>
      <c r="X15" s="679"/>
      <c r="Y15" s="679"/>
      <c r="Z15" s="679"/>
      <c r="AA15" s="679"/>
      <c r="AB15" s="679"/>
    </row>
    <row r="16" s="24" customFormat="true" ht="35.1" hidden="false" customHeight="true" outlineLevel="0" collapsed="false">
      <c r="A16" s="679"/>
      <c r="B16" s="706" t="n">
        <v>10</v>
      </c>
      <c r="C16" s="717" t="s">
        <v>29</v>
      </c>
      <c r="D16" s="241" t="s">
        <v>30</v>
      </c>
      <c r="E16" s="155" t="s">
        <v>30</v>
      </c>
      <c r="F16" s="718" t="s">
        <v>30</v>
      </c>
      <c r="G16" s="719" t="s">
        <v>30</v>
      </c>
      <c r="H16" s="122" t="s">
        <v>67</v>
      </c>
      <c r="I16" s="155" t="s">
        <v>67</v>
      </c>
      <c r="J16" s="119" t="s">
        <v>67</v>
      </c>
      <c r="K16" s="708" t="s">
        <v>67</v>
      </c>
      <c r="L16" s="590" t="s">
        <v>67</v>
      </c>
      <c r="M16" s="155" t="s">
        <v>666</v>
      </c>
      <c r="N16" s="155" t="s">
        <v>639</v>
      </c>
      <c r="O16" s="708" t="s">
        <v>667</v>
      </c>
      <c r="P16" s="590" t="s">
        <v>67</v>
      </c>
      <c r="Q16" s="155" t="s">
        <v>651</v>
      </c>
      <c r="R16" s="155" t="s">
        <v>665</v>
      </c>
      <c r="S16" s="708" t="s">
        <v>643</v>
      </c>
      <c r="T16" s="590" t="s">
        <v>67</v>
      </c>
      <c r="U16" s="155" t="s">
        <v>67</v>
      </c>
      <c r="V16" s="119" t="s">
        <v>67</v>
      </c>
      <c r="W16" s="720" t="s">
        <v>67</v>
      </c>
      <c r="X16" s="679"/>
      <c r="Y16" s="679"/>
      <c r="Z16" s="679"/>
      <c r="AA16" s="679"/>
      <c r="AB16" s="679"/>
    </row>
    <row r="17" s="24" customFormat="true" ht="35.1" hidden="false" customHeight="true" outlineLevel="0" collapsed="false">
      <c r="A17" s="679"/>
      <c r="B17" s="706" t="n">
        <v>11</v>
      </c>
      <c r="C17" s="707" t="s">
        <v>24</v>
      </c>
      <c r="D17" s="241" t="s">
        <v>25</v>
      </c>
      <c r="E17" s="155" t="s">
        <v>26</v>
      </c>
      <c r="F17" s="718" t="s">
        <v>26</v>
      </c>
      <c r="G17" s="719" t="s">
        <v>25</v>
      </c>
      <c r="H17" s="590" t="s">
        <v>67</v>
      </c>
      <c r="I17" s="155" t="s">
        <v>67</v>
      </c>
      <c r="J17" s="155" t="s">
        <v>67</v>
      </c>
      <c r="K17" s="708" t="s">
        <v>67</v>
      </c>
      <c r="L17" s="590" t="s">
        <v>67</v>
      </c>
      <c r="M17" s="155" t="s">
        <v>652</v>
      </c>
      <c r="N17" s="155" t="s">
        <v>637</v>
      </c>
      <c r="O17" s="708" t="s">
        <v>67</v>
      </c>
      <c r="P17" s="590" t="s">
        <v>647</v>
      </c>
      <c r="Q17" s="119" t="s">
        <v>67</v>
      </c>
      <c r="R17" s="119" t="s">
        <v>67</v>
      </c>
      <c r="S17" s="383" t="s">
        <v>67</v>
      </c>
      <c r="T17" s="590" t="s">
        <v>67</v>
      </c>
      <c r="U17" s="119" t="s">
        <v>67</v>
      </c>
      <c r="V17" s="119" t="s">
        <v>67</v>
      </c>
      <c r="W17" s="31" t="s">
        <v>67</v>
      </c>
      <c r="X17" s="679"/>
      <c r="Y17" s="679"/>
      <c r="Z17" s="679"/>
      <c r="AA17" s="679"/>
      <c r="AB17" s="679"/>
    </row>
    <row r="18" s="24" customFormat="true" ht="35.1" hidden="false" customHeight="true" outlineLevel="0" collapsed="false">
      <c r="A18" s="679"/>
      <c r="B18" s="706" t="n">
        <v>12</v>
      </c>
      <c r="C18" s="717" t="s">
        <v>31</v>
      </c>
      <c r="D18" s="241" t="s">
        <v>32</v>
      </c>
      <c r="E18" s="155" t="s">
        <v>32</v>
      </c>
      <c r="F18" s="718" t="s">
        <v>32</v>
      </c>
      <c r="G18" s="719" t="s">
        <v>32</v>
      </c>
      <c r="H18" s="122" t="s">
        <v>67</v>
      </c>
      <c r="I18" s="119" t="s">
        <v>67</v>
      </c>
      <c r="J18" s="119" t="s">
        <v>67</v>
      </c>
      <c r="K18" s="708" t="s">
        <v>67</v>
      </c>
      <c r="L18" s="590" t="s">
        <v>67</v>
      </c>
      <c r="M18" s="155" t="s">
        <v>668</v>
      </c>
      <c r="N18" s="155" t="s">
        <v>67</v>
      </c>
      <c r="O18" s="708" t="s">
        <v>669</v>
      </c>
      <c r="P18" s="590" t="s">
        <v>658</v>
      </c>
      <c r="Q18" s="155" t="s">
        <v>670</v>
      </c>
      <c r="R18" s="155" t="s">
        <v>651</v>
      </c>
      <c r="S18" s="708" t="s">
        <v>637</v>
      </c>
      <c r="T18" s="122" t="s">
        <v>67</v>
      </c>
      <c r="U18" s="155" t="s">
        <v>67</v>
      </c>
      <c r="V18" s="119" t="s">
        <v>67</v>
      </c>
      <c r="W18" s="720" t="s">
        <v>67</v>
      </c>
      <c r="X18" s="679"/>
      <c r="Y18" s="679"/>
      <c r="Z18" s="679"/>
      <c r="AA18" s="679"/>
      <c r="AB18" s="679"/>
    </row>
    <row r="19" s="24" customFormat="true" ht="35.1" hidden="false" customHeight="true" outlineLevel="0" collapsed="false">
      <c r="A19" s="679"/>
      <c r="B19" s="706" t="n">
        <v>13</v>
      </c>
      <c r="C19" s="717" t="s">
        <v>43</v>
      </c>
      <c r="D19" s="241" t="s">
        <v>44</v>
      </c>
      <c r="E19" s="155" t="s">
        <v>44</v>
      </c>
      <c r="F19" s="718" t="s">
        <v>44</v>
      </c>
      <c r="G19" s="719" t="s">
        <v>44</v>
      </c>
      <c r="H19" s="122" t="s">
        <v>67</v>
      </c>
      <c r="I19" s="119" t="s">
        <v>67</v>
      </c>
      <c r="J19" s="119" t="s">
        <v>67</v>
      </c>
      <c r="K19" s="383" t="s">
        <v>67</v>
      </c>
      <c r="L19" s="590" t="s">
        <v>67</v>
      </c>
      <c r="M19" s="119" t="s">
        <v>67</v>
      </c>
      <c r="N19" s="155"/>
      <c r="O19" s="708" t="s">
        <v>671</v>
      </c>
      <c r="P19" s="590" t="s">
        <v>672</v>
      </c>
      <c r="Q19" s="155" t="s">
        <v>650</v>
      </c>
      <c r="R19" s="155" t="s">
        <v>67</v>
      </c>
      <c r="S19" s="708" t="s">
        <v>67</v>
      </c>
      <c r="T19" s="590" t="s">
        <v>637</v>
      </c>
      <c r="U19" s="155" t="s">
        <v>67</v>
      </c>
      <c r="V19" s="155" t="s">
        <v>640</v>
      </c>
      <c r="W19" s="720" t="s">
        <v>67</v>
      </c>
      <c r="X19" s="679"/>
      <c r="Y19" s="679"/>
      <c r="Z19" s="679"/>
      <c r="AA19" s="679"/>
      <c r="AB19" s="679"/>
    </row>
    <row r="20" s="24" customFormat="true" ht="35.1" hidden="false" customHeight="true" outlineLevel="0" collapsed="false">
      <c r="A20" s="679"/>
      <c r="B20" s="706" t="n">
        <v>14</v>
      </c>
      <c r="C20" s="717" t="s">
        <v>562</v>
      </c>
      <c r="D20" s="241" t="s">
        <v>563</v>
      </c>
      <c r="E20" s="155" t="s">
        <v>563</v>
      </c>
      <c r="F20" s="718" t="s">
        <v>35</v>
      </c>
      <c r="G20" s="719" t="s">
        <v>35</v>
      </c>
      <c r="H20" s="122" t="s">
        <v>67</v>
      </c>
      <c r="I20" s="119" t="s">
        <v>67</v>
      </c>
      <c r="J20" s="119" t="s">
        <v>67</v>
      </c>
      <c r="K20" s="383" t="s">
        <v>67</v>
      </c>
      <c r="L20" s="590" t="s">
        <v>67</v>
      </c>
      <c r="M20" s="119" t="s">
        <v>67</v>
      </c>
      <c r="N20" s="155" t="s">
        <v>67</v>
      </c>
      <c r="O20" s="708" t="s">
        <v>67</v>
      </c>
      <c r="P20" s="590" t="s">
        <v>651</v>
      </c>
      <c r="Q20" s="155" t="s">
        <v>67</v>
      </c>
      <c r="R20" s="155" t="s">
        <v>67</v>
      </c>
      <c r="S20" s="708" t="s">
        <v>67</v>
      </c>
      <c r="T20" s="590" t="s">
        <v>67</v>
      </c>
      <c r="U20" s="155" t="s">
        <v>67</v>
      </c>
      <c r="V20" s="155" t="s">
        <v>67</v>
      </c>
      <c r="W20" s="720" t="s">
        <v>67</v>
      </c>
      <c r="X20" s="679"/>
      <c r="Y20" s="679"/>
      <c r="Z20" s="679"/>
      <c r="AA20" s="679"/>
      <c r="AB20" s="679"/>
    </row>
    <row r="21" s="24" customFormat="true" ht="35.1" hidden="false" customHeight="true" outlineLevel="0" collapsed="false">
      <c r="A21" s="679"/>
      <c r="B21" s="706" t="n">
        <v>15</v>
      </c>
      <c r="C21" s="717" t="s">
        <v>45</v>
      </c>
      <c r="D21" s="241" t="s">
        <v>46</v>
      </c>
      <c r="E21" s="155" t="s">
        <v>46</v>
      </c>
      <c r="F21" s="718" t="s">
        <v>35</v>
      </c>
      <c r="G21" s="719" t="s">
        <v>35</v>
      </c>
      <c r="H21" s="122" t="s">
        <v>67</v>
      </c>
      <c r="I21" s="119" t="s">
        <v>67</v>
      </c>
      <c r="J21" s="119" t="s">
        <v>67</v>
      </c>
      <c r="K21" s="383" t="s">
        <v>67</v>
      </c>
      <c r="L21" s="590" t="s">
        <v>67</v>
      </c>
      <c r="M21" s="119" t="s">
        <v>67</v>
      </c>
      <c r="N21" s="119" t="s">
        <v>67</v>
      </c>
      <c r="O21" s="383" t="s">
        <v>67</v>
      </c>
      <c r="P21" s="122" t="s">
        <v>67</v>
      </c>
      <c r="Q21" s="155" t="s">
        <v>67</v>
      </c>
      <c r="R21" s="155" t="s">
        <v>672</v>
      </c>
      <c r="S21" s="708" t="s">
        <v>67</v>
      </c>
      <c r="T21" s="590" t="s">
        <v>67</v>
      </c>
      <c r="U21" s="155" t="s">
        <v>665</v>
      </c>
      <c r="V21" s="119" t="s">
        <v>67</v>
      </c>
      <c r="W21" s="720" t="s">
        <v>640</v>
      </c>
      <c r="X21" s="679"/>
      <c r="Y21" s="679"/>
      <c r="Z21" s="679"/>
      <c r="AA21" s="679"/>
      <c r="AB21" s="679"/>
    </row>
    <row r="22" s="24" customFormat="true" ht="35.1" hidden="false" customHeight="true" outlineLevel="0" collapsed="false">
      <c r="A22" s="679"/>
      <c r="B22" s="721" t="n">
        <v>16</v>
      </c>
      <c r="C22" s="722" t="s">
        <v>560</v>
      </c>
      <c r="D22" s="723" t="s">
        <v>561</v>
      </c>
      <c r="E22" s="724" t="s">
        <v>561</v>
      </c>
      <c r="F22" s="725" t="s">
        <v>35</v>
      </c>
      <c r="G22" s="726" t="s">
        <v>35</v>
      </c>
      <c r="H22" s="727" t="s">
        <v>67</v>
      </c>
      <c r="I22" s="725" t="s">
        <v>67</v>
      </c>
      <c r="J22" s="725" t="s">
        <v>67</v>
      </c>
      <c r="K22" s="499" t="s">
        <v>67</v>
      </c>
      <c r="L22" s="728" t="s">
        <v>67</v>
      </c>
      <c r="M22" s="725" t="s">
        <v>67</v>
      </c>
      <c r="N22" s="725" t="s">
        <v>67</v>
      </c>
      <c r="O22" s="499" t="s">
        <v>67</v>
      </c>
      <c r="P22" s="727" t="s">
        <v>67</v>
      </c>
      <c r="Q22" s="724" t="s">
        <v>67</v>
      </c>
      <c r="R22" s="724" t="s">
        <v>67</v>
      </c>
      <c r="S22" s="729" t="s">
        <v>651</v>
      </c>
      <c r="T22" s="728" t="s">
        <v>67</v>
      </c>
      <c r="U22" s="724" t="s">
        <v>67</v>
      </c>
      <c r="V22" s="725" t="s">
        <v>67</v>
      </c>
      <c r="W22" s="730" t="s">
        <v>67</v>
      </c>
      <c r="X22" s="679"/>
      <c r="Y22" s="679"/>
      <c r="Z22" s="679"/>
      <c r="AA22" s="679"/>
      <c r="AB22" s="679"/>
    </row>
    <row r="23" s="24" customFormat="true" ht="35.1" hidden="false" customHeight="true" outlineLevel="0" collapsed="false">
      <c r="A23" s="679"/>
      <c r="B23" s="731" t="n">
        <v>17</v>
      </c>
      <c r="C23" s="732" t="s">
        <v>41</v>
      </c>
      <c r="D23" s="245" t="s">
        <v>42</v>
      </c>
      <c r="E23" s="156" t="s">
        <v>42</v>
      </c>
      <c r="F23" s="733" t="s">
        <v>35</v>
      </c>
      <c r="G23" s="734" t="s">
        <v>35</v>
      </c>
      <c r="H23" s="128" t="s">
        <v>67</v>
      </c>
      <c r="I23" s="125" t="s">
        <v>67</v>
      </c>
      <c r="J23" s="125" t="s">
        <v>67</v>
      </c>
      <c r="K23" s="396" t="s">
        <v>67</v>
      </c>
      <c r="L23" s="603" t="s">
        <v>67</v>
      </c>
      <c r="M23" s="125" t="s">
        <v>67</v>
      </c>
      <c r="N23" s="125" t="s">
        <v>67</v>
      </c>
      <c r="O23" s="396" t="s">
        <v>67</v>
      </c>
      <c r="P23" s="128" t="s">
        <v>67</v>
      </c>
      <c r="Q23" s="156" t="s">
        <v>67</v>
      </c>
      <c r="R23" s="156" t="s">
        <v>67</v>
      </c>
      <c r="S23" s="735" t="s">
        <v>67</v>
      </c>
      <c r="T23" s="128" t="s">
        <v>67</v>
      </c>
      <c r="U23" s="156" t="s">
        <v>640</v>
      </c>
      <c r="V23" s="125" t="s">
        <v>67</v>
      </c>
      <c r="W23" s="736" t="s">
        <v>67</v>
      </c>
      <c r="X23" s="679"/>
      <c r="Y23" s="679"/>
      <c r="Z23" s="679"/>
      <c r="AA23" s="679"/>
      <c r="AB23" s="679"/>
    </row>
    <row r="24" s="24" customFormat="true" ht="35.1" hidden="false" customHeight="true" outlineLevel="0" collapsed="false">
      <c r="A24" s="679"/>
      <c r="B24" s="672"/>
      <c r="C24" s="679"/>
      <c r="D24" s="679"/>
      <c r="E24" s="679"/>
      <c r="F24" s="679"/>
      <c r="G24" s="679"/>
      <c r="H24" s="679"/>
      <c r="I24" s="679"/>
      <c r="J24" s="679"/>
      <c r="K24" s="679"/>
      <c r="L24" s="679"/>
      <c r="M24" s="679"/>
      <c r="N24" s="679"/>
      <c r="O24" s="679"/>
      <c r="P24" s="679"/>
      <c r="Q24" s="679"/>
      <c r="R24" s="679"/>
      <c r="S24" s="679"/>
      <c r="T24" s="679"/>
      <c r="U24" s="679"/>
      <c r="V24" s="679"/>
      <c r="W24" s="679"/>
      <c r="X24" s="679"/>
      <c r="Y24" s="679"/>
      <c r="Z24" s="679"/>
      <c r="AA24" s="679"/>
      <c r="AB24" s="679"/>
    </row>
    <row r="25" s="24" customFormat="true" ht="35.1" hidden="false" customHeight="true" outlineLevel="0" collapsed="false">
      <c r="A25" s="679"/>
      <c r="B25" s="672"/>
      <c r="C25" s="737"/>
      <c r="D25" s="738"/>
      <c r="E25" s="739"/>
      <c r="F25" s="679"/>
      <c r="G25" s="679"/>
      <c r="H25" s="739"/>
      <c r="I25" s="679"/>
      <c r="J25" s="679"/>
      <c r="K25" s="739"/>
      <c r="L25" s="739"/>
      <c r="M25" s="679"/>
      <c r="N25" s="739"/>
      <c r="O25" s="739"/>
      <c r="P25" s="739"/>
      <c r="Q25" s="739"/>
      <c r="R25" s="739"/>
      <c r="S25" s="739"/>
      <c r="T25" s="739"/>
      <c r="U25" s="739"/>
      <c r="V25" s="679"/>
      <c r="W25" s="739"/>
      <c r="X25" s="679"/>
      <c r="Y25" s="679"/>
      <c r="Z25" s="679"/>
      <c r="AA25" s="679"/>
      <c r="AB25" s="679"/>
    </row>
    <row r="26" s="24" customFormat="true" ht="35.1" hidden="false" customHeight="true" outlineLevel="0" collapsed="false">
      <c r="A26" s="679"/>
      <c r="B26" s="672"/>
      <c r="C26" s="679"/>
      <c r="D26" s="679"/>
      <c r="E26" s="679"/>
      <c r="F26" s="679"/>
      <c r="G26" s="679"/>
      <c r="H26" s="679"/>
      <c r="I26" s="679"/>
      <c r="J26" s="679"/>
      <c r="K26" s="679"/>
      <c r="L26" s="679"/>
      <c r="M26" s="679"/>
      <c r="N26" s="679"/>
      <c r="O26" s="679"/>
      <c r="P26" s="679"/>
      <c r="Q26" s="679"/>
      <c r="R26" s="679"/>
      <c r="S26" s="679"/>
      <c r="T26" s="679"/>
      <c r="U26" s="679"/>
      <c r="V26" s="679"/>
      <c r="W26" s="679"/>
      <c r="X26" s="679"/>
      <c r="Y26" s="679"/>
      <c r="Z26" s="679"/>
      <c r="AA26" s="679"/>
      <c r="AB26" s="679"/>
    </row>
    <row r="27" customFormat="false" ht="20.1" hidden="false" customHeight="true" outlineLevel="0" collapsed="false">
      <c r="A27" s="667"/>
      <c r="B27" s="671"/>
      <c r="C27" s="667"/>
      <c r="D27" s="667"/>
      <c r="E27" s="667"/>
      <c r="F27" s="667"/>
      <c r="G27" s="667"/>
      <c r="H27" s="667"/>
      <c r="I27" s="667"/>
      <c r="J27" s="667"/>
      <c r="K27" s="667"/>
      <c r="L27" s="667"/>
      <c r="M27" s="667"/>
      <c r="N27" s="667"/>
      <c r="O27" s="667"/>
      <c r="P27" s="667"/>
      <c r="Q27" s="667"/>
      <c r="R27" s="667"/>
      <c r="S27" s="667"/>
      <c r="T27" s="667"/>
      <c r="U27" s="667"/>
      <c r="V27" s="667"/>
      <c r="W27" s="667"/>
      <c r="X27" s="667"/>
      <c r="Y27" s="667"/>
      <c r="Z27" s="667"/>
      <c r="AA27" s="667"/>
      <c r="AB27" s="667"/>
    </row>
    <row r="28" customFormat="false" ht="20.1" hidden="false" customHeight="true" outlineLevel="0" collapsed="false">
      <c r="A28" s="667"/>
      <c r="B28" s="671"/>
      <c r="C28" s="667"/>
      <c r="D28" s="667"/>
      <c r="E28" s="667"/>
      <c r="F28" s="667"/>
      <c r="G28" s="667"/>
      <c r="H28" s="667"/>
      <c r="I28" s="667"/>
      <c r="J28" s="667"/>
      <c r="K28" s="667"/>
      <c r="L28" s="667"/>
      <c r="M28" s="667"/>
      <c r="N28" s="667"/>
      <c r="O28" s="667"/>
      <c r="P28" s="667"/>
      <c r="Q28" s="667"/>
      <c r="R28" s="667"/>
      <c r="S28" s="667"/>
      <c r="T28" s="667"/>
      <c r="U28" s="667"/>
      <c r="V28" s="667"/>
      <c r="W28" s="667"/>
      <c r="X28" s="667"/>
      <c r="Y28" s="667"/>
      <c r="Z28" s="667"/>
      <c r="AA28" s="667"/>
      <c r="AB28" s="667"/>
    </row>
    <row r="29" customFormat="false" ht="20.1" hidden="false" customHeight="true" outlineLevel="0" collapsed="false">
      <c r="A29" s="667"/>
      <c r="B29" s="671"/>
      <c r="C29" s="667"/>
      <c r="D29" s="667"/>
      <c r="E29" s="667"/>
      <c r="F29" s="667"/>
      <c r="G29" s="667"/>
      <c r="H29" s="667"/>
      <c r="I29" s="667"/>
      <c r="J29" s="667"/>
      <c r="K29" s="667"/>
      <c r="L29" s="667"/>
      <c r="M29" s="667"/>
      <c r="N29" s="667"/>
      <c r="O29" s="667"/>
      <c r="P29" s="667"/>
      <c r="Q29" s="667"/>
      <c r="R29" s="667"/>
      <c r="S29" s="667"/>
      <c r="T29" s="667"/>
      <c r="U29" s="667"/>
      <c r="V29" s="667"/>
      <c r="W29" s="667"/>
      <c r="X29" s="667"/>
      <c r="Y29" s="667"/>
      <c r="Z29" s="667"/>
      <c r="AA29" s="667"/>
      <c r="AB29" s="667"/>
    </row>
    <row r="30" customFormat="false" ht="20.1" hidden="false" customHeight="true" outlineLevel="0" collapsed="false">
      <c r="A30" s="667"/>
      <c r="B30" s="671"/>
      <c r="C30" s="667"/>
      <c r="D30" s="667"/>
      <c r="E30" s="667"/>
      <c r="F30" s="667"/>
      <c r="G30" s="667"/>
      <c r="H30" s="667"/>
      <c r="I30" s="667"/>
      <c r="J30" s="667"/>
      <c r="K30" s="667"/>
      <c r="L30" s="667"/>
      <c r="M30" s="667"/>
      <c r="N30" s="667"/>
      <c r="O30" s="667"/>
      <c r="P30" s="667"/>
      <c r="Q30" s="667"/>
      <c r="R30" s="667"/>
      <c r="S30" s="667"/>
      <c r="T30" s="667"/>
      <c r="U30" s="667"/>
      <c r="V30" s="667"/>
      <c r="W30" s="667"/>
      <c r="X30" s="667"/>
      <c r="Y30" s="667"/>
      <c r="Z30" s="667"/>
      <c r="AA30" s="667"/>
      <c r="AB30" s="667"/>
    </row>
    <row r="31" customFormat="false" ht="20.1" hidden="false" customHeight="true" outlineLevel="0" collapsed="false">
      <c r="A31" s="667"/>
      <c r="B31" s="671"/>
      <c r="C31" s="667"/>
      <c r="D31" s="667"/>
      <c r="E31" s="667"/>
      <c r="F31" s="667"/>
      <c r="G31" s="667"/>
      <c r="H31" s="667"/>
      <c r="I31" s="667"/>
      <c r="J31" s="667"/>
      <c r="K31" s="667"/>
      <c r="L31" s="667"/>
      <c r="M31" s="667"/>
      <c r="N31" s="667"/>
      <c r="O31" s="667"/>
      <c r="P31" s="667"/>
      <c r="Q31" s="667"/>
      <c r="R31" s="667"/>
      <c r="S31" s="667"/>
      <c r="T31" s="667"/>
      <c r="U31" s="667"/>
      <c r="V31" s="667"/>
      <c r="W31" s="667"/>
      <c r="X31" s="667"/>
      <c r="Y31" s="667"/>
      <c r="Z31" s="667"/>
      <c r="AA31" s="667"/>
      <c r="AB31" s="667"/>
    </row>
    <row r="32" customFormat="false" ht="20.1" hidden="false" customHeight="true" outlineLevel="0" collapsed="false">
      <c r="A32" s="667"/>
      <c r="B32" s="671"/>
      <c r="C32" s="667"/>
      <c r="D32" s="667"/>
      <c r="E32" s="667"/>
      <c r="F32" s="667"/>
      <c r="G32" s="667"/>
      <c r="H32" s="667"/>
      <c r="I32" s="667"/>
      <c r="J32" s="667"/>
      <c r="K32" s="667"/>
      <c r="L32" s="667"/>
      <c r="M32" s="667"/>
      <c r="N32" s="667"/>
      <c r="O32" s="667"/>
      <c r="P32" s="667"/>
      <c r="Q32" s="667"/>
      <c r="R32" s="667"/>
      <c r="S32" s="667"/>
      <c r="T32" s="667"/>
      <c r="U32" s="667"/>
      <c r="V32" s="667"/>
      <c r="W32" s="667"/>
      <c r="X32" s="667"/>
      <c r="Y32" s="667"/>
      <c r="Z32" s="667"/>
      <c r="AA32" s="667"/>
      <c r="AB32" s="667"/>
    </row>
    <row r="33" customFormat="false" ht="20.1" hidden="false" customHeight="true" outlineLevel="0" collapsed="false">
      <c r="A33" s="667"/>
      <c r="B33" s="671"/>
      <c r="C33" s="667"/>
      <c r="D33" s="667"/>
      <c r="E33" s="667"/>
      <c r="F33" s="667"/>
      <c r="G33" s="667"/>
      <c r="H33" s="667"/>
      <c r="I33" s="667"/>
      <c r="J33" s="667"/>
      <c r="K33" s="667"/>
      <c r="L33" s="667"/>
      <c r="M33" s="667"/>
      <c r="N33" s="667"/>
      <c r="O33" s="667"/>
      <c r="P33" s="667"/>
      <c r="Q33" s="667"/>
      <c r="R33" s="667"/>
      <c r="S33" s="667"/>
      <c r="T33" s="667"/>
      <c r="U33" s="667"/>
      <c r="V33" s="667"/>
      <c r="W33" s="667"/>
      <c r="X33" s="667"/>
      <c r="Y33" s="667"/>
      <c r="Z33" s="667"/>
      <c r="AA33" s="667"/>
      <c r="AB33" s="667"/>
    </row>
    <row r="34" customFormat="false" ht="20.1" hidden="false" customHeight="true" outlineLevel="0" collapsed="false">
      <c r="A34" s="667"/>
      <c r="B34" s="671"/>
      <c r="C34" s="667"/>
      <c r="D34" s="667"/>
      <c r="E34" s="667"/>
      <c r="F34" s="667"/>
      <c r="G34" s="667"/>
      <c r="H34" s="667"/>
      <c r="I34" s="667"/>
      <c r="J34" s="667"/>
      <c r="K34" s="667"/>
      <c r="L34" s="667"/>
      <c r="M34" s="667"/>
      <c r="N34" s="667"/>
      <c r="O34" s="667"/>
      <c r="P34" s="667"/>
      <c r="Q34" s="667"/>
      <c r="R34" s="667"/>
      <c r="S34" s="667"/>
      <c r="T34" s="667"/>
      <c r="U34" s="667"/>
      <c r="V34" s="667"/>
      <c r="W34" s="667"/>
      <c r="X34" s="667"/>
      <c r="Y34" s="667"/>
      <c r="Z34" s="667"/>
      <c r="AA34" s="667"/>
      <c r="AB34" s="667"/>
    </row>
    <row r="35" customFormat="false" ht="20.1" hidden="false" customHeight="true" outlineLevel="0" collapsed="false">
      <c r="A35" s="667"/>
      <c r="B35" s="671"/>
      <c r="C35" s="667"/>
      <c r="D35" s="667"/>
      <c r="E35" s="667"/>
      <c r="F35" s="667"/>
      <c r="G35" s="667"/>
      <c r="H35" s="667"/>
      <c r="I35" s="667"/>
      <c r="J35" s="667"/>
      <c r="K35" s="667"/>
      <c r="L35" s="667"/>
      <c r="M35" s="667"/>
      <c r="N35" s="667"/>
      <c r="O35" s="667"/>
      <c r="P35" s="667"/>
      <c r="Q35" s="667"/>
      <c r="R35" s="667"/>
      <c r="S35" s="667"/>
      <c r="T35" s="667"/>
      <c r="U35" s="667"/>
      <c r="V35" s="667"/>
      <c r="W35" s="667"/>
      <c r="X35" s="667"/>
      <c r="Y35" s="667"/>
      <c r="Z35" s="667"/>
      <c r="AA35" s="667"/>
      <c r="AB35" s="667"/>
    </row>
    <row r="36" customFormat="false" ht="20.1" hidden="false" customHeight="true" outlineLevel="0" collapsed="false">
      <c r="A36" s="667"/>
      <c r="B36" s="671"/>
      <c r="C36" s="667"/>
      <c r="D36" s="667"/>
      <c r="E36" s="667"/>
      <c r="F36" s="667"/>
      <c r="G36" s="667"/>
      <c r="H36" s="667"/>
      <c r="I36" s="667"/>
      <c r="J36" s="667"/>
      <c r="K36" s="667"/>
      <c r="L36" s="667"/>
      <c r="M36" s="667"/>
      <c r="N36" s="667"/>
      <c r="O36" s="667"/>
      <c r="P36" s="667"/>
      <c r="Q36" s="667"/>
      <c r="R36" s="667"/>
      <c r="S36" s="667"/>
      <c r="T36" s="667"/>
      <c r="U36" s="667"/>
      <c r="V36" s="667"/>
      <c r="W36" s="667"/>
      <c r="X36" s="667"/>
      <c r="Y36" s="667"/>
      <c r="Z36" s="667"/>
      <c r="AA36" s="667"/>
      <c r="AB36" s="667"/>
    </row>
    <row r="37" customFormat="false" ht="20.1" hidden="false" customHeight="true" outlineLevel="0" collapsed="false">
      <c r="A37" s="667"/>
      <c r="B37" s="671"/>
      <c r="C37" s="667"/>
      <c r="D37" s="667"/>
      <c r="E37" s="667"/>
      <c r="F37" s="667"/>
      <c r="G37" s="667"/>
      <c r="H37" s="667"/>
      <c r="I37" s="667"/>
      <c r="J37" s="667"/>
      <c r="K37" s="667"/>
      <c r="L37" s="667"/>
      <c r="M37" s="667"/>
      <c r="N37" s="667"/>
      <c r="O37" s="667"/>
      <c r="P37" s="667"/>
      <c r="Q37" s="667"/>
      <c r="R37" s="667"/>
      <c r="S37" s="667"/>
      <c r="T37" s="667"/>
      <c r="U37" s="667"/>
      <c r="V37" s="667"/>
      <c r="W37" s="667"/>
      <c r="X37" s="667"/>
      <c r="Y37" s="667"/>
      <c r="Z37" s="667"/>
      <c r="AA37" s="667"/>
      <c r="AB37" s="667"/>
    </row>
    <row r="38" customFormat="false" ht="20.1" hidden="false" customHeight="true" outlineLevel="0" collapsed="false">
      <c r="A38" s="667"/>
      <c r="B38" s="671"/>
      <c r="C38" s="667"/>
      <c r="D38" s="667"/>
      <c r="E38" s="667"/>
      <c r="F38" s="667"/>
      <c r="G38" s="667"/>
      <c r="H38" s="667"/>
      <c r="I38" s="667"/>
      <c r="J38" s="667"/>
      <c r="K38" s="667"/>
      <c r="L38" s="667"/>
      <c r="M38" s="667"/>
      <c r="N38" s="667"/>
      <c r="O38" s="667"/>
      <c r="P38" s="667"/>
      <c r="Q38" s="667"/>
      <c r="R38" s="667"/>
      <c r="S38" s="667"/>
      <c r="T38" s="667"/>
      <c r="U38" s="667"/>
      <c r="V38" s="667"/>
      <c r="W38" s="667"/>
      <c r="X38" s="667"/>
      <c r="Y38" s="667"/>
      <c r="Z38" s="667"/>
      <c r="AA38" s="667"/>
      <c r="AB38" s="667"/>
    </row>
    <row r="39" customFormat="false" ht="20.1" hidden="false" customHeight="true" outlineLevel="0" collapsed="false">
      <c r="A39" s="667"/>
      <c r="B39" s="671"/>
      <c r="C39" s="667"/>
      <c r="D39" s="667"/>
      <c r="E39" s="667"/>
      <c r="F39" s="667"/>
      <c r="G39" s="667"/>
      <c r="H39" s="667"/>
      <c r="I39" s="667"/>
      <c r="J39" s="667"/>
      <c r="K39" s="667"/>
      <c r="L39" s="667"/>
      <c r="M39" s="667"/>
      <c r="N39" s="667"/>
      <c r="O39" s="667"/>
      <c r="P39" s="667"/>
      <c r="Q39" s="667"/>
      <c r="R39" s="667"/>
      <c r="S39" s="667"/>
      <c r="T39" s="667"/>
      <c r="U39" s="667"/>
      <c r="V39" s="667"/>
      <c r="W39" s="667"/>
      <c r="X39" s="667"/>
      <c r="Y39" s="667"/>
      <c r="Z39" s="667"/>
      <c r="AA39" s="667"/>
      <c r="AB39" s="667"/>
    </row>
    <row r="40" customFormat="false" ht="20.1" hidden="false" customHeight="true" outlineLevel="0" collapsed="false">
      <c r="A40" s="667"/>
      <c r="B40" s="671"/>
      <c r="C40" s="667"/>
      <c r="D40" s="667"/>
      <c r="E40" s="667"/>
      <c r="F40" s="667"/>
      <c r="G40" s="667"/>
      <c r="H40" s="667"/>
      <c r="I40" s="667"/>
      <c r="J40" s="667"/>
      <c r="K40" s="667"/>
      <c r="L40" s="667"/>
      <c r="M40" s="667"/>
      <c r="N40" s="667"/>
      <c r="O40" s="667"/>
      <c r="P40" s="667"/>
      <c r="Q40" s="667"/>
      <c r="R40" s="667"/>
      <c r="S40" s="667"/>
      <c r="T40" s="667"/>
      <c r="U40" s="667"/>
      <c r="V40" s="667"/>
      <c r="W40" s="667"/>
      <c r="X40" s="667"/>
      <c r="Y40" s="667"/>
      <c r="Z40" s="667"/>
      <c r="AA40" s="667"/>
      <c r="AB40" s="667"/>
    </row>
    <row r="41" customFormat="false" ht="20.1" hidden="false" customHeight="true" outlineLevel="0" collapsed="false">
      <c r="A41" s="667"/>
      <c r="B41" s="671"/>
      <c r="C41" s="667"/>
      <c r="D41" s="667"/>
      <c r="E41" s="667"/>
      <c r="F41" s="667"/>
      <c r="G41" s="667"/>
      <c r="H41" s="667"/>
      <c r="I41" s="667"/>
      <c r="J41" s="667"/>
      <c r="K41" s="667"/>
      <c r="L41" s="667"/>
      <c r="M41" s="667"/>
      <c r="N41" s="667"/>
      <c r="O41" s="667"/>
      <c r="P41" s="667"/>
      <c r="Q41" s="667"/>
      <c r="R41" s="667"/>
      <c r="S41" s="667"/>
      <c r="T41" s="667"/>
      <c r="U41" s="667"/>
      <c r="V41" s="667"/>
      <c r="W41" s="667"/>
      <c r="X41" s="667"/>
      <c r="Y41" s="667"/>
      <c r="Z41" s="667"/>
      <c r="AA41" s="667"/>
      <c r="AB41" s="667"/>
    </row>
    <row r="42" customFormat="false" ht="20.1" hidden="false" customHeight="true" outlineLevel="0" collapsed="false">
      <c r="A42" s="667"/>
      <c r="B42" s="671"/>
      <c r="C42" s="667"/>
      <c r="D42" s="667"/>
      <c r="E42" s="667"/>
      <c r="F42" s="667"/>
      <c r="G42" s="667"/>
      <c r="H42" s="667"/>
      <c r="I42" s="667"/>
      <c r="J42" s="667"/>
      <c r="K42" s="667"/>
      <c r="L42" s="667"/>
      <c r="M42" s="667"/>
      <c r="N42" s="667"/>
      <c r="O42" s="667"/>
      <c r="P42" s="667"/>
      <c r="Q42" s="667"/>
      <c r="R42" s="667"/>
      <c r="S42" s="667"/>
      <c r="T42" s="667"/>
      <c r="U42" s="667"/>
      <c r="V42" s="667"/>
      <c r="W42" s="667"/>
      <c r="X42" s="667"/>
      <c r="Y42" s="667"/>
      <c r="Z42" s="667"/>
      <c r="AA42" s="667"/>
      <c r="AB42" s="667"/>
    </row>
    <row r="43" customFormat="false" ht="20.1" hidden="false" customHeight="true" outlineLevel="0" collapsed="false">
      <c r="A43" s="667"/>
      <c r="B43" s="671"/>
      <c r="C43" s="667"/>
      <c r="D43" s="667"/>
      <c r="E43" s="667"/>
      <c r="F43" s="667"/>
      <c r="G43" s="667"/>
      <c r="H43" s="667"/>
      <c r="I43" s="667"/>
      <c r="J43" s="667"/>
      <c r="K43" s="667"/>
      <c r="L43" s="667"/>
      <c r="M43" s="667"/>
      <c r="N43" s="667"/>
      <c r="O43" s="667"/>
      <c r="P43" s="667"/>
      <c r="Q43" s="667"/>
      <c r="R43" s="667"/>
      <c r="S43" s="667"/>
      <c r="T43" s="667"/>
      <c r="U43" s="667"/>
      <c r="V43" s="667"/>
      <c r="W43" s="667"/>
      <c r="X43" s="667"/>
      <c r="Y43" s="667"/>
      <c r="Z43" s="667"/>
      <c r="AA43" s="667"/>
      <c r="AB43" s="667"/>
    </row>
    <row r="44" customFormat="false" ht="20.1" hidden="false" customHeight="true" outlineLevel="0" collapsed="false">
      <c r="A44" s="667"/>
      <c r="B44" s="671"/>
      <c r="C44" s="667"/>
      <c r="D44" s="667"/>
      <c r="E44" s="667"/>
      <c r="F44" s="667"/>
      <c r="G44" s="667"/>
      <c r="H44" s="667"/>
      <c r="I44" s="667"/>
      <c r="J44" s="667"/>
      <c r="K44" s="667"/>
      <c r="L44" s="667"/>
      <c r="M44" s="667"/>
      <c r="N44" s="667"/>
      <c r="O44" s="667"/>
      <c r="P44" s="667"/>
      <c r="Q44" s="667"/>
      <c r="R44" s="667"/>
      <c r="S44" s="667"/>
      <c r="T44" s="667"/>
      <c r="U44" s="667"/>
      <c r="V44" s="667"/>
      <c r="W44" s="667"/>
      <c r="X44" s="667"/>
      <c r="Y44" s="667"/>
      <c r="Z44" s="667"/>
      <c r="AA44" s="667"/>
      <c r="AB44" s="667"/>
    </row>
    <row r="45" customFormat="false" ht="20.1" hidden="false" customHeight="true" outlineLevel="0" collapsed="false">
      <c r="A45" s="667"/>
      <c r="B45" s="671"/>
      <c r="C45" s="667"/>
      <c r="D45" s="667"/>
      <c r="E45" s="667"/>
      <c r="F45" s="667"/>
      <c r="G45" s="667"/>
      <c r="H45" s="667"/>
      <c r="I45" s="667"/>
      <c r="J45" s="667"/>
      <c r="K45" s="667"/>
      <c r="L45" s="667"/>
      <c r="M45" s="667"/>
      <c r="N45" s="667"/>
      <c r="O45" s="667"/>
      <c r="P45" s="667"/>
      <c r="Q45" s="667"/>
      <c r="R45" s="667"/>
      <c r="S45" s="667"/>
      <c r="T45" s="667"/>
      <c r="U45" s="667"/>
      <c r="V45" s="667"/>
      <c r="W45" s="667"/>
      <c r="X45" s="667"/>
      <c r="Y45" s="667"/>
      <c r="Z45" s="667"/>
      <c r="AA45" s="667"/>
      <c r="AB45" s="667"/>
    </row>
  </sheetData>
  <mergeCells count="2">
    <mergeCell ref="A1:X2"/>
    <mergeCell ref="A3:X3"/>
  </mergeCells>
  <conditionalFormatting sqref="C15:G16 C10:G10 C19:G20 C12:G13">
    <cfRule type="expression" priority="2" aboveAverage="0" equalAverage="0" bottom="0" percent="0" rank="0" text="" dxfId="1252">
      <formula>$I10="Nein"</formula>
    </cfRule>
    <cfRule type="expression" priority="3" aboveAverage="0" equalAverage="0" bottom="0" percent="0" rank="0" text="" dxfId="1253">
      <formula>$I10="Ja"</formula>
    </cfRule>
  </conditionalFormatting>
  <conditionalFormatting sqref="C14:G14">
    <cfRule type="expression" priority="4" aboveAverage="0" equalAverage="0" bottom="0" percent="0" rank="0" text="" dxfId="1254">
      <formula>$I14="Nein"</formula>
    </cfRule>
    <cfRule type="expression" priority="5" aboveAverage="0" equalAverage="0" bottom="0" percent="0" rank="0" text="" dxfId="1255">
      <formula>$I14="Ja"</formula>
    </cfRule>
  </conditionalFormatting>
  <conditionalFormatting sqref="C21:G22">
    <cfRule type="expression" priority="6" aboveAverage="0" equalAverage="0" bottom="0" percent="0" rank="0" text="" dxfId="1256">
      <formula>$I21="Nein"</formula>
    </cfRule>
    <cfRule type="expression" priority="7" aboveAverage="0" equalAverage="0" bottom="0" percent="0" rank="0" text="" dxfId="1257">
      <formula>$I21="Ja"</formula>
    </cfRule>
  </conditionalFormatting>
  <conditionalFormatting sqref="C23:G23">
    <cfRule type="expression" priority="8" aboveAverage="0" equalAverage="0" bottom="0" percent="0" rank="0" text="" dxfId="1258">
      <formula>$I23="Nein"</formula>
    </cfRule>
    <cfRule type="expression" priority="9" aboveAverage="0" equalAverage="0" bottom="0" percent="0" rank="0" text="" dxfId="1259">
      <formula>$I23="Ja"</formula>
    </cfRule>
  </conditionalFormatting>
  <conditionalFormatting sqref="C23:G23">
    <cfRule type="expression" priority="10" aboveAverage="0" equalAverage="0" bottom="0" percent="0" rank="0" text="" dxfId="1260">
      <formula>$I23="Nein"</formula>
    </cfRule>
    <cfRule type="expression" priority="11" aboveAverage="0" equalAverage="0" bottom="0" percent="0" rank="0" text="" dxfId="1261">
      <formula>$I23="Ja"</formula>
    </cfRule>
  </conditionalFormatting>
  <conditionalFormatting sqref="C21:G22">
    <cfRule type="expression" priority="12" aboveAverage="0" equalAverage="0" bottom="0" percent="0" rank="0" text="" dxfId="1262">
      <formula>$I21="Nein"</formula>
    </cfRule>
    <cfRule type="expression" priority="13" aboveAverage="0" equalAverage="0" bottom="0" percent="0" rank="0" text="" dxfId="1263">
      <formula>$I21="Ja"</formula>
    </cfRule>
  </conditionalFormatting>
  <conditionalFormatting sqref="C14:G14">
    <cfRule type="expression" priority="14" aboveAverage="0" equalAverage="0" bottom="0" percent="0" rank="0" text="" dxfId="1264">
      <formula>$I14="Nein"</formula>
    </cfRule>
    <cfRule type="expression" priority="15" aboveAverage="0" equalAverage="0" bottom="0" percent="0" rank="0" text="" dxfId="1265">
      <formula>$I14="Ja"</formula>
    </cfRule>
  </conditionalFormatting>
  <conditionalFormatting sqref="C14:G14">
    <cfRule type="expression" priority="16" aboveAverage="0" equalAverage="0" bottom="0" percent="0" rank="0" text="" dxfId="1266">
      <formula>$I14="Nein"</formula>
    </cfRule>
    <cfRule type="expression" priority="17" aboveAverage="0" equalAverage="0" bottom="0" percent="0" rank="0" text="" dxfId="1267">
      <formula>$I14="Ja"</formula>
    </cfRule>
  </conditionalFormatting>
  <conditionalFormatting sqref="C14:G14">
    <cfRule type="expression" priority="18" aboveAverage="0" equalAverage="0" bottom="0" percent="0" rank="0" text="" dxfId="1268">
      <formula>$I14="Nein"</formula>
    </cfRule>
    <cfRule type="expression" priority="19" aboveAverage="0" equalAverage="0" bottom="0" percent="0" rank="0" text="" dxfId="1269">
      <formula>$I14="Ja"</formula>
    </cfRule>
  </conditionalFormatting>
  <conditionalFormatting sqref="C14:G14">
    <cfRule type="expression" priority="20" aboveAverage="0" equalAverage="0" bottom="0" percent="0" rank="0" text="" dxfId="1270">
      <formula>$I14="Nein"</formula>
    </cfRule>
    <cfRule type="expression" priority="21" aboveAverage="0" equalAverage="0" bottom="0" percent="0" rank="0" text="" dxfId="1271">
      <formula>$I14="Ja"</formula>
    </cfRule>
  </conditionalFormatting>
  <conditionalFormatting sqref="C14:G14">
    <cfRule type="expression" priority="22" aboveAverage="0" equalAverage="0" bottom="0" percent="0" rank="0" text="" dxfId="1272">
      <formula>$I14="Nein"</formula>
    </cfRule>
    <cfRule type="expression" priority="23" aboveAverage="0" equalAverage="0" bottom="0" percent="0" rank="0" text="" dxfId="1273">
      <formula>$I14="Ja"</formula>
    </cfRule>
  </conditionalFormatting>
  <conditionalFormatting sqref="C14:G14">
    <cfRule type="expression" priority="24" aboveAverage="0" equalAverage="0" bottom="0" percent="0" rank="0" text="" dxfId="1274">
      <formula>$I14="Nein"</formula>
    </cfRule>
    <cfRule type="expression" priority="25" aboveAverage="0" equalAverage="0" bottom="0" percent="0" rank="0" text="" dxfId="1275">
      <formula>$I14="Ja"</formula>
    </cfRule>
  </conditionalFormatting>
  <conditionalFormatting sqref="C14:G14">
    <cfRule type="expression" priority="26" aboveAverage="0" equalAverage="0" bottom="0" percent="0" rank="0" text="" dxfId="1276">
      <formula>$I14="Nein"</formula>
    </cfRule>
    <cfRule type="expression" priority="27" aboveAverage="0" equalAverage="0" bottom="0" percent="0" rank="0" text="" dxfId="1277">
      <formula>$I14="Ja"</formula>
    </cfRule>
  </conditionalFormatting>
  <conditionalFormatting sqref="C13:G13">
    <cfRule type="expression" priority="28" aboveAverage="0" equalAverage="0" bottom="0" percent="0" rank="0" text="" dxfId="1278">
      <formula>$I13="Nein"</formula>
    </cfRule>
    <cfRule type="expression" priority="29" aboveAverage="0" equalAverage="0" bottom="0" percent="0" rank="0" text="" dxfId="1279">
      <formula>$I13="Ja"</formula>
    </cfRule>
  </conditionalFormatting>
  <conditionalFormatting sqref="C17:G17">
    <cfRule type="expression" priority="30" aboveAverage="0" equalAverage="0" bottom="0" percent="0" rank="0" text="" dxfId="1280">
      <formula>$I17="Nein"</formula>
    </cfRule>
    <cfRule type="expression" priority="31" aboveAverage="0" equalAverage="0" bottom="0" percent="0" rank="0" text="" dxfId="1281">
      <formula>$I17="Ja"</formula>
    </cfRule>
  </conditionalFormatting>
  <conditionalFormatting sqref="C17:G17">
    <cfRule type="expression" priority="32" aboveAverage="0" equalAverage="0" bottom="0" percent="0" rank="0" text="" dxfId="1282">
      <formula>$I17="Nein"</formula>
    </cfRule>
    <cfRule type="expression" priority="33" aboveAverage="0" equalAverage="0" bottom="0" percent="0" rank="0" text="" dxfId="1283">
      <formula>$I17="Ja"</formula>
    </cfRule>
  </conditionalFormatting>
  <conditionalFormatting sqref="C17:G17">
    <cfRule type="expression" priority="34" aboveAverage="0" equalAverage="0" bottom="0" percent="0" rank="0" text="" dxfId="1284">
      <formula>$I17="Nein"</formula>
    </cfRule>
    <cfRule type="expression" priority="35" aboveAverage="0" equalAverage="0" bottom="0" percent="0" rank="0" text="" dxfId="1285">
      <formula>$I17="Ja"</formula>
    </cfRule>
  </conditionalFormatting>
  <conditionalFormatting sqref="C17:G17">
    <cfRule type="expression" priority="36" aboveAverage="0" equalAverage="0" bottom="0" percent="0" rank="0" text="" dxfId="1286">
      <formula>$I17="Nein"</formula>
    </cfRule>
    <cfRule type="expression" priority="37" aboveAverage="0" equalAverage="0" bottom="0" percent="0" rank="0" text="" dxfId="1287">
      <formula>$I17="Ja"</formula>
    </cfRule>
  </conditionalFormatting>
  <conditionalFormatting sqref="C17:G17">
    <cfRule type="expression" priority="38" aboveAverage="0" equalAverage="0" bottom="0" percent="0" rank="0" text="" dxfId="1288">
      <formula>$I17="Nein"</formula>
    </cfRule>
    <cfRule type="expression" priority="39" aboveAverage="0" equalAverage="0" bottom="0" percent="0" rank="0" text="" dxfId="1289">
      <formula>$I17="Ja"</formula>
    </cfRule>
  </conditionalFormatting>
  <conditionalFormatting sqref="C17:G17">
    <cfRule type="expression" priority="40" aboveAverage="0" equalAverage="0" bottom="0" percent="0" rank="0" text="" dxfId="1290">
      <formula>$I17="Nein"</formula>
    </cfRule>
    <cfRule type="expression" priority="41" aboveAverage="0" equalAverage="0" bottom="0" percent="0" rank="0" text="" dxfId="1291">
      <formula>$I17="Ja"</formula>
    </cfRule>
  </conditionalFormatting>
  <conditionalFormatting sqref="C17:G17">
    <cfRule type="expression" priority="42" aboveAverage="0" equalAverage="0" bottom="0" percent="0" rank="0" text="" dxfId="1292">
      <formula>$I17="Nein"</formula>
    </cfRule>
    <cfRule type="expression" priority="43" aboveAverage="0" equalAverage="0" bottom="0" percent="0" rank="0" text="" dxfId="1293">
      <formula>$I17="Ja"</formula>
    </cfRule>
  </conditionalFormatting>
  <conditionalFormatting sqref="C17:G17">
    <cfRule type="expression" priority="44" aboveAverage="0" equalAverage="0" bottom="0" percent="0" rank="0" text="" dxfId="1294">
      <formula>$I17="Nein"</formula>
    </cfRule>
    <cfRule type="expression" priority="45" aboveAverage="0" equalAverage="0" bottom="0" percent="0" rank="0" text="" dxfId="1295">
      <formula>$I17="Ja"</formula>
    </cfRule>
  </conditionalFormatting>
  <conditionalFormatting sqref="C17:G17">
    <cfRule type="expression" priority="46" aboveAverage="0" equalAverage="0" bottom="0" percent="0" rank="0" text="" dxfId="1296">
      <formula>$I17="Nein"</formula>
    </cfRule>
    <cfRule type="expression" priority="47" aboveAverage="0" equalAverage="0" bottom="0" percent="0" rank="0" text="" dxfId="1297">
      <formula>$I17="Ja"</formula>
    </cfRule>
  </conditionalFormatting>
  <conditionalFormatting sqref="C17:G17">
    <cfRule type="expression" priority="48" aboveAverage="0" equalAverage="0" bottom="0" percent="0" rank="0" text="" dxfId="1298">
      <formula>$I17="Nein"</formula>
    </cfRule>
    <cfRule type="expression" priority="49" aboveAverage="0" equalAverage="0" bottom="0" percent="0" rank="0" text="" dxfId="1299">
      <formula>$I17="Ja"</formula>
    </cfRule>
  </conditionalFormatting>
  <conditionalFormatting sqref="C17:G17">
    <cfRule type="expression" priority="50" aboveAverage="0" equalAverage="0" bottom="0" percent="0" rank="0" text="" dxfId="1300">
      <formula>$I17="Nein"</formula>
    </cfRule>
    <cfRule type="expression" priority="51" aboveAverage="0" equalAverage="0" bottom="0" percent="0" rank="0" text="" dxfId="1301">
      <formula>$I17="Ja"</formula>
    </cfRule>
  </conditionalFormatting>
  <conditionalFormatting sqref="C17:G17">
    <cfRule type="expression" priority="52" aboveAverage="0" equalAverage="0" bottom="0" percent="0" rank="0" text="" dxfId="1302">
      <formula>$I17="Nein"</formula>
    </cfRule>
    <cfRule type="expression" priority="53" aboveAverage="0" equalAverage="0" bottom="0" percent="0" rank="0" text="" dxfId="1303">
      <formula>$I17="Ja"</formula>
    </cfRule>
  </conditionalFormatting>
  <conditionalFormatting sqref="C17:G17">
    <cfRule type="expression" priority="54" aboveAverage="0" equalAverage="0" bottom="0" percent="0" rank="0" text="" dxfId="1304">
      <formula>$I17="Nein"</formula>
    </cfRule>
    <cfRule type="expression" priority="55" aboveAverage="0" equalAverage="0" bottom="0" percent="0" rank="0" text="" dxfId="1305">
      <formula>$I17="Ja"</formula>
    </cfRule>
  </conditionalFormatting>
  <conditionalFormatting sqref="C17:G17">
    <cfRule type="expression" priority="56" aboveAverage="0" equalAverage="0" bottom="0" percent="0" rank="0" text="" dxfId="1306">
      <formula>$I17="Nein"</formula>
    </cfRule>
    <cfRule type="expression" priority="57" aboveAverage="0" equalAverage="0" bottom="0" percent="0" rank="0" text="" dxfId="1307">
      <formula>$I17="Ja"</formula>
    </cfRule>
  </conditionalFormatting>
  <conditionalFormatting sqref="C17:G17">
    <cfRule type="expression" priority="58" aboveAverage="0" equalAverage="0" bottom="0" percent="0" rank="0" text="" dxfId="1308">
      <formula>$I17="Nein"</formula>
    </cfRule>
    <cfRule type="expression" priority="59" aboveAverage="0" equalAverage="0" bottom="0" percent="0" rank="0" text="" dxfId="1309">
      <formula>$I17="Ja"</formula>
    </cfRule>
  </conditionalFormatting>
  <conditionalFormatting sqref="C17:G17">
    <cfRule type="expression" priority="60" aboveAverage="0" equalAverage="0" bottom="0" percent="0" rank="0" text="" dxfId="1310">
      <formula>$I17="Nein"</formula>
    </cfRule>
    <cfRule type="expression" priority="61" aboveAverage="0" equalAverage="0" bottom="0" percent="0" rank="0" text="" dxfId="1311">
      <formula>$I17="Ja"</formula>
    </cfRule>
  </conditionalFormatting>
  <conditionalFormatting sqref="C17:G17">
    <cfRule type="expression" priority="62" aboveAverage="0" equalAverage="0" bottom="0" percent="0" rank="0" text="" dxfId="1312">
      <formula>$I17="Nein"</formula>
    </cfRule>
    <cfRule type="expression" priority="63" aboveAverage="0" equalAverage="0" bottom="0" percent="0" rank="0" text="" dxfId="1313">
      <formula>$I17="Ja"</formula>
    </cfRule>
  </conditionalFormatting>
  <conditionalFormatting sqref="C17:G17">
    <cfRule type="expression" priority="64" aboveAverage="0" equalAverage="0" bottom="0" percent="0" rank="0" text="" dxfId="1314">
      <formula>$I17="Nein"</formula>
    </cfRule>
    <cfRule type="expression" priority="65" aboveAverage="0" equalAverage="0" bottom="0" percent="0" rank="0" text="" dxfId="1315">
      <formula>$I17="Ja"</formula>
    </cfRule>
  </conditionalFormatting>
  <conditionalFormatting sqref="C17:G17">
    <cfRule type="expression" priority="66" aboveAverage="0" equalAverage="0" bottom="0" percent="0" rank="0" text="" dxfId="1316">
      <formula>$I17="Nein"</formula>
    </cfRule>
    <cfRule type="expression" priority="67" aboveAverage="0" equalAverage="0" bottom="0" percent="0" rank="0" text="" dxfId="1317">
      <formula>$I17="Ja"</formula>
    </cfRule>
  </conditionalFormatting>
  <conditionalFormatting sqref="C17:G17">
    <cfRule type="expression" priority="68" aboveAverage="0" equalAverage="0" bottom="0" percent="0" rank="0" text="" dxfId="1318">
      <formula>$I17="Nein"</formula>
    </cfRule>
    <cfRule type="expression" priority="69" aboveAverage="0" equalAverage="0" bottom="0" percent="0" rank="0" text="" dxfId="1319">
      <formula>$I17="Ja"</formula>
    </cfRule>
  </conditionalFormatting>
  <conditionalFormatting sqref="C17:G17">
    <cfRule type="expression" priority="70" aboveAverage="0" equalAverage="0" bottom="0" percent="0" rank="0" text="" dxfId="1320">
      <formula>$I17="Nein"</formula>
    </cfRule>
    <cfRule type="expression" priority="71" aboveAverage="0" equalAverage="0" bottom="0" percent="0" rank="0" text="" dxfId="1321">
      <formula>$I17="Ja"</formula>
    </cfRule>
  </conditionalFormatting>
  <conditionalFormatting sqref="C17:G17">
    <cfRule type="expression" priority="72" aboveAverage="0" equalAverage="0" bottom="0" percent="0" rank="0" text="" dxfId="1322">
      <formula>$I17="Nein"</formula>
    </cfRule>
    <cfRule type="expression" priority="73" aboveAverage="0" equalAverage="0" bottom="0" percent="0" rank="0" text="" dxfId="1323">
      <formula>$I17="Ja"</formula>
    </cfRule>
  </conditionalFormatting>
  <conditionalFormatting sqref="C17:G17">
    <cfRule type="expression" priority="74" aboveAverage="0" equalAverage="0" bottom="0" percent="0" rank="0" text="" dxfId="1324">
      <formula>$I17="Nein"</formula>
    </cfRule>
    <cfRule type="expression" priority="75" aboveAverage="0" equalAverage="0" bottom="0" percent="0" rank="0" text="" dxfId="1325">
      <formula>$I17="Ja"</formula>
    </cfRule>
  </conditionalFormatting>
  <conditionalFormatting sqref="C17:G17">
    <cfRule type="expression" priority="76" aboveAverage="0" equalAverage="0" bottom="0" percent="0" rank="0" text="" dxfId="1326">
      <formula>$I17="Nein"</formula>
    </cfRule>
    <cfRule type="expression" priority="77" aboveAverage="0" equalAverage="0" bottom="0" percent="0" rank="0" text="" dxfId="1327">
      <formula>$I17="Ja"</formula>
    </cfRule>
  </conditionalFormatting>
  <conditionalFormatting sqref="C17:G17">
    <cfRule type="expression" priority="78" aboveAverage="0" equalAverage="0" bottom="0" percent="0" rank="0" text="" dxfId="1328">
      <formula>$I17="Nein"</formula>
    </cfRule>
    <cfRule type="expression" priority="79" aboveAverage="0" equalAverage="0" bottom="0" percent="0" rank="0" text="" dxfId="1329">
      <formula>$I17="Ja"</formula>
    </cfRule>
  </conditionalFormatting>
  <conditionalFormatting sqref="C17:G17">
    <cfRule type="expression" priority="80" aboveAverage="0" equalAverage="0" bottom="0" percent="0" rank="0" text="" dxfId="1330">
      <formula>$I17="Nein"</formula>
    </cfRule>
    <cfRule type="expression" priority="81" aboveAverage="0" equalAverage="0" bottom="0" percent="0" rank="0" text="" dxfId="1331">
      <formula>$I17="Ja"</formula>
    </cfRule>
  </conditionalFormatting>
  <conditionalFormatting sqref="C15:G15">
    <cfRule type="expression" priority="82" aboveAverage="0" equalAverage="0" bottom="0" percent="0" rank="0" text="" dxfId="1332">
      <formula>$I15="Nein"</formula>
    </cfRule>
    <cfRule type="expression" priority="83" aboveAverage="0" equalAverage="0" bottom="0" percent="0" rank="0" text="" dxfId="1333">
      <formula>$I15="Ja"</formula>
    </cfRule>
  </conditionalFormatting>
  <conditionalFormatting sqref="C15:G15">
    <cfRule type="expression" priority="84" aboveAverage="0" equalAverage="0" bottom="0" percent="0" rank="0" text="" dxfId="1334">
      <formula>$I15="Nein"</formula>
    </cfRule>
    <cfRule type="expression" priority="85" aboveAverage="0" equalAverage="0" bottom="0" percent="0" rank="0" text="" dxfId="1335">
      <formula>$I15="Ja"</formula>
    </cfRule>
  </conditionalFormatting>
  <conditionalFormatting sqref="C15:G15">
    <cfRule type="expression" priority="86" aboveAverage="0" equalAverage="0" bottom="0" percent="0" rank="0" text="" dxfId="1336">
      <formula>$I15="Nein"</formula>
    </cfRule>
    <cfRule type="expression" priority="87" aboveAverage="0" equalAverage="0" bottom="0" percent="0" rank="0" text="" dxfId="1337">
      <formula>$I15="Ja"</formula>
    </cfRule>
  </conditionalFormatting>
  <conditionalFormatting sqref="C15:G15">
    <cfRule type="expression" priority="88" aboveAverage="0" equalAverage="0" bottom="0" percent="0" rank="0" text="" dxfId="1338">
      <formula>$I15="Nein"</formula>
    </cfRule>
    <cfRule type="expression" priority="89" aboveAverage="0" equalAverage="0" bottom="0" percent="0" rank="0" text="" dxfId="1339">
      <formula>$I15="Ja"</formula>
    </cfRule>
  </conditionalFormatting>
  <conditionalFormatting sqref="C15:G15">
    <cfRule type="expression" priority="90" aboveAverage="0" equalAverage="0" bottom="0" percent="0" rank="0" text="" dxfId="1340">
      <formula>$I15="Nein"</formula>
    </cfRule>
    <cfRule type="expression" priority="91" aboveAverage="0" equalAverage="0" bottom="0" percent="0" rank="0" text="" dxfId="1341">
      <formula>$I15="Ja"</formula>
    </cfRule>
  </conditionalFormatting>
  <conditionalFormatting sqref="C15:G15">
    <cfRule type="expression" priority="92" aboveAverage="0" equalAverage="0" bottom="0" percent="0" rank="0" text="" dxfId="1342">
      <formula>$I15="Nein"</formula>
    </cfRule>
    <cfRule type="expression" priority="93" aboveAverage="0" equalAverage="0" bottom="0" percent="0" rank="0" text="" dxfId="1343">
      <formula>$I15="Ja"</formula>
    </cfRule>
  </conditionalFormatting>
  <conditionalFormatting sqref="C15:G15">
    <cfRule type="expression" priority="94" aboveAverage="0" equalAverage="0" bottom="0" percent="0" rank="0" text="" dxfId="1344">
      <formula>$I15="Nein"</formula>
    </cfRule>
    <cfRule type="expression" priority="95" aboveAverage="0" equalAverage="0" bottom="0" percent="0" rank="0" text="" dxfId="1345">
      <formula>$I15="Ja"</formula>
    </cfRule>
  </conditionalFormatting>
  <conditionalFormatting sqref="C15:G15">
    <cfRule type="expression" priority="96" aboveAverage="0" equalAverage="0" bottom="0" percent="0" rank="0" text="" dxfId="1346">
      <formula>$I15="Nein"</formula>
    </cfRule>
    <cfRule type="expression" priority="97" aboveAverage="0" equalAverage="0" bottom="0" percent="0" rank="0" text="" dxfId="1347">
      <formula>$I15="Ja"</formula>
    </cfRule>
  </conditionalFormatting>
  <conditionalFormatting sqref="C14:G14">
    <cfRule type="expression" priority="98" aboveAverage="0" equalAverage="0" bottom="0" percent="0" rank="0" text="" dxfId="1348">
      <formula>$I14="Nein"</formula>
    </cfRule>
    <cfRule type="expression" priority="99" aboveAverage="0" equalAverage="0" bottom="0" percent="0" rank="0" text="" dxfId="1349">
      <formula>$I14="Ja"</formula>
    </cfRule>
  </conditionalFormatting>
  <conditionalFormatting sqref="C18:G18">
    <cfRule type="expression" priority="100" aboveAverage="0" equalAverage="0" bottom="0" percent="0" rank="0" text="" dxfId="1350">
      <formula>$I18="Nein"</formula>
    </cfRule>
    <cfRule type="expression" priority="101" aboveAverage="0" equalAverage="0" bottom="0" percent="0" rank="0" text="" dxfId="1351">
      <formula>$I18="Ja"</formula>
    </cfRule>
  </conditionalFormatting>
  <conditionalFormatting sqref="C18:G18">
    <cfRule type="expression" priority="102" aboveAverage="0" equalAverage="0" bottom="0" percent="0" rank="0" text="" dxfId="1352">
      <formula>$I18="Nein"</formula>
    </cfRule>
    <cfRule type="expression" priority="103" aboveAverage="0" equalAverage="0" bottom="0" percent="0" rank="0" text="" dxfId="1353">
      <formula>$I18="Ja"</formula>
    </cfRule>
  </conditionalFormatting>
  <conditionalFormatting sqref="C18:G18">
    <cfRule type="expression" priority="104" aboveAverage="0" equalAverage="0" bottom="0" percent="0" rank="0" text="" dxfId="1354">
      <formula>$I18="Nein"</formula>
    </cfRule>
    <cfRule type="expression" priority="105" aboveAverage="0" equalAverage="0" bottom="0" percent="0" rank="0" text="" dxfId="1355">
      <formula>$I18="Ja"</formula>
    </cfRule>
  </conditionalFormatting>
  <conditionalFormatting sqref="C25:G25">
    <cfRule type="expression" priority="106" aboveAverage="0" equalAverage="0" bottom="0" percent="0" rank="0" text="" dxfId="1356">
      <formula>$I25="Nein"</formula>
    </cfRule>
    <cfRule type="expression" priority="107" aboveAverage="0" equalAverage="0" bottom="0" percent="0" rank="0" text="" dxfId="1357">
      <formula>$I25="Ja"</formula>
    </cfRule>
  </conditionalFormatting>
  <conditionalFormatting sqref="C25:G25">
    <cfRule type="expression" priority="108" aboveAverage="0" equalAverage="0" bottom="0" percent="0" rank="0" text="" dxfId="1358">
      <formula>$I25="Nein"</formula>
    </cfRule>
    <cfRule type="expression" priority="109" aboveAverage="0" equalAverage="0" bottom="0" percent="0" rank="0" text="" dxfId="1359">
      <formula>$I25="Ja"</formula>
    </cfRule>
  </conditionalFormatting>
  <conditionalFormatting sqref="C11:G11">
    <cfRule type="expression" priority="110" aboveAverage="0" equalAverage="0" bottom="0" percent="0" rank="0" text="" dxfId="1360">
      <formula>$I11="Nein"</formula>
    </cfRule>
    <cfRule type="expression" priority="111" aboveAverage="0" equalAverage="0" bottom="0" percent="0" rank="0" text="" dxfId="1361">
      <formula>$I11="Ja"</formula>
    </cfRule>
  </conditionalFormatting>
  <conditionalFormatting sqref="C11:G11">
    <cfRule type="expression" priority="112" aboveAverage="0" equalAverage="0" bottom="0" percent="0" rank="0" text="" dxfId="1362">
      <formula>$I11="Nein"</formula>
    </cfRule>
    <cfRule type="expression" priority="113" aboveAverage="0" equalAverage="0" bottom="0" percent="0" rank="0" text="" dxfId="1363">
      <formula>$I11="Ja"</formula>
    </cfRule>
  </conditionalFormatting>
  <printOptions headings="false" gridLines="false" gridLinesSet="true" horizontalCentered="false" verticalCentered="false"/>
  <pageMargins left="0.7" right="0.7" top="0.7875" bottom="0.78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B2:E84"/>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1" ySplit="3" topLeftCell="B4" activePane="bottomRight" state="frozen"/>
      <selection pane="topLeft" activeCell="A1" activeCellId="0" sqref="A1"/>
      <selection pane="topRight" activeCell="B1" activeCellId="0" sqref="B1"/>
      <selection pane="bottomLeft" activeCell="A4" activeCellId="0" sqref="A4"/>
      <selection pane="bottomRight" activeCell="B51" activeCellId="0" sqref="B51"/>
    </sheetView>
  </sheetViews>
  <sheetFormatPr defaultColWidth="10.7421875" defaultRowHeight="15" zeroHeight="false" outlineLevelRow="0" outlineLevelCol="0"/>
  <cols>
    <col collapsed="false" customWidth="true" hidden="false" outlineLevel="0" max="2" min="2" style="0" width="19.14"/>
    <col collapsed="false" customWidth="true" hidden="false" outlineLevel="0" max="3" min="3" style="0" width="14.28"/>
    <col collapsed="false" customWidth="true" hidden="false" outlineLevel="0" max="4" min="4" style="0" width="51"/>
  </cols>
  <sheetData>
    <row r="2" customFormat="false" ht="15.75" hidden="false" customHeight="false" outlineLevel="0" collapsed="false"/>
    <row r="3" customFormat="false" ht="45.75" hidden="false" customHeight="false" outlineLevel="0" collapsed="false">
      <c r="B3" s="303" t="s">
        <v>4</v>
      </c>
      <c r="C3" s="9" t="s">
        <v>5</v>
      </c>
      <c r="D3" s="740" t="s">
        <v>673</v>
      </c>
      <c r="E3" s="741" t="s">
        <v>674</v>
      </c>
    </row>
    <row r="4" customFormat="false" ht="15" hidden="false" customHeight="false" outlineLevel="0" collapsed="false">
      <c r="B4" s="742" t="s">
        <v>384</v>
      </c>
      <c r="C4" s="743" t="s">
        <v>28</v>
      </c>
      <c r="D4" s="744" t="s">
        <v>115</v>
      </c>
      <c r="E4" s="745" t="n">
        <v>2</v>
      </c>
    </row>
    <row r="5" customFormat="false" ht="15" hidden="false" customHeight="false" outlineLevel="0" collapsed="false">
      <c r="B5" s="742"/>
      <c r="C5" s="743"/>
      <c r="D5" s="746" t="s">
        <v>117</v>
      </c>
      <c r="E5" s="747" t="n">
        <v>5</v>
      </c>
    </row>
    <row r="6" customFormat="false" ht="15" hidden="false" customHeight="false" outlineLevel="0" collapsed="false">
      <c r="B6" s="742"/>
      <c r="C6" s="743"/>
      <c r="D6" s="748" t="s">
        <v>470</v>
      </c>
      <c r="E6" s="749" t="n">
        <v>2</v>
      </c>
    </row>
    <row r="7" customFormat="false" ht="15.75" hidden="false" customHeight="false" outlineLevel="0" collapsed="false">
      <c r="B7" s="742"/>
      <c r="C7" s="743"/>
      <c r="D7" s="750" t="s">
        <v>109</v>
      </c>
      <c r="E7" s="751" t="n">
        <v>1</v>
      </c>
    </row>
    <row r="8" customFormat="false" ht="15" hidden="false" customHeight="false" outlineLevel="0" collapsed="false">
      <c r="B8" s="752" t="s">
        <v>17</v>
      </c>
      <c r="C8" s="753" t="s">
        <v>18</v>
      </c>
      <c r="D8" s="754" t="s">
        <v>72</v>
      </c>
      <c r="E8" s="755" t="n">
        <v>3</v>
      </c>
    </row>
    <row r="9" customFormat="false" ht="15" hidden="false" customHeight="false" outlineLevel="0" collapsed="false">
      <c r="B9" s="752"/>
      <c r="C9" s="753"/>
      <c r="D9" s="748" t="s">
        <v>178</v>
      </c>
      <c r="E9" s="749" t="n">
        <v>2</v>
      </c>
    </row>
    <row r="10" customFormat="false" ht="15" hidden="false" customHeight="false" outlineLevel="0" collapsed="false">
      <c r="B10" s="752"/>
      <c r="C10" s="753"/>
      <c r="D10" s="748" t="s">
        <v>247</v>
      </c>
      <c r="E10" s="749" t="n">
        <v>2</v>
      </c>
    </row>
    <row r="11" customFormat="false" ht="15" hidden="false" customHeight="false" outlineLevel="0" collapsed="false">
      <c r="B11" s="752"/>
      <c r="C11" s="753"/>
      <c r="D11" s="748" t="s">
        <v>301</v>
      </c>
      <c r="E11" s="749" t="n">
        <v>2</v>
      </c>
    </row>
    <row r="12" customFormat="false" ht="15" hidden="false" customHeight="false" outlineLevel="0" collapsed="false">
      <c r="B12" s="752"/>
      <c r="C12" s="753"/>
      <c r="D12" s="756" t="s">
        <v>531</v>
      </c>
      <c r="E12" s="757" t="n">
        <v>1</v>
      </c>
    </row>
    <row r="13" customFormat="false" ht="15.75" hidden="false" customHeight="false" outlineLevel="0" collapsed="false">
      <c r="B13" s="752"/>
      <c r="C13" s="753"/>
      <c r="D13" s="756" t="s">
        <v>200</v>
      </c>
      <c r="E13" s="757" t="n">
        <v>1</v>
      </c>
    </row>
    <row r="14" customFormat="false" ht="15" hidden="false" customHeight="false" outlineLevel="0" collapsed="false">
      <c r="B14" s="635" t="s">
        <v>15</v>
      </c>
      <c r="C14" s="494" t="s">
        <v>16</v>
      </c>
      <c r="D14" s="758" t="s">
        <v>68</v>
      </c>
      <c r="E14" s="759" t="n">
        <v>1</v>
      </c>
    </row>
    <row r="15" customFormat="false" ht="15" hidden="false" customHeight="false" outlineLevel="0" collapsed="false">
      <c r="B15" s="635"/>
      <c r="C15" s="494"/>
      <c r="D15" s="748" t="s">
        <v>173</v>
      </c>
      <c r="E15" s="749" t="n">
        <v>2</v>
      </c>
    </row>
    <row r="16" customFormat="false" ht="15" hidden="false" customHeight="false" outlineLevel="0" collapsed="false">
      <c r="B16" s="635"/>
      <c r="C16" s="494"/>
      <c r="D16" s="760" t="s">
        <v>230</v>
      </c>
      <c r="E16" s="761" t="n">
        <v>1</v>
      </c>
    </row>
    <row r="17" customFormat="false" ht="15" hidden="false" customHeight="false" outlineLevel="0" collapsed="false">
      <c r="B17" s="635"/>
      <c r="C17" s="494"/>
      <c r="D17" s="760" t="s">
        <v>302</v>
      </c>
      <c r="E17" s="761" t="n">
        <v>1</v>
      </c>
    </row>
    <row r="18" customFormat="false" ht="15" hidden="false" customHeight="false" outlineLevel="0" collapsed="false">
      <c r="B18" s="635"/>
      <c r="C18" s="494"/>
      <c r="D18" s="760" t="s">
        <v>112</v>
      </c>
      <c r="E18" s="761" t="n">
        <v>1</v>
      </c>
    </row>
    <row r="19" customFormat="false" ht="15" hidden="false" customHeight="false" outlineLevel="0" collapsed="false">
      <c r="B19" s="635"/>
      <c r="C19" s="494"/>
      <c r="D19" s="760" t="s">
        <v>389</v>
      </c>
      <c r="E19" s="761" t="n">
        <v>1</v>
      </c>
    </row>
    <row r="20" customFormat="false" ht="15" hidden="false" customHeight="false" outlineLevel="0" collapsed="false">
      <c r="B20" s="635"/>
      <c r="C20" s="494"/>
      <c r="D20" s="760" t="s">
        <v>264</v>
      </c>
      <c r="E20" s="761" t="n">
        <v>1</v>
      </c>
    </row>
    <row r="21" customFormat="false" ht="15.75" hidden="false" customHeight="false" outlineLevel="0" collapsed="false">
      <c r="B21" s="635"/>
      <c r="C21" s="494"/>
      <c r="D21" s="762" t="s">
        <v>457</v>
      </c>
      <c r="E21" s="763" t="n">
        <v>3</v>
      </c>
    </row>
    <row r="22" customFormat="false" ht="15" hidden="false" customHeight="false" outlineLevel="0" collapsed="false">
      <c r="B22" s="456" t="s">
        <v>39</v>
      </c>
      <c r="C22" s="457" t="s">
        <v>40</v>
      </c>
      <c r="D22" s="758" t="s">
        <v>143</v>
      </c>
      <c r="E22" s="759" t="n">
        <v>1</v>
      </c>
    </row>
    <row r="23" customFormat="false" ht="15" hidden="false" customHeight="false" outlineLevel="0" collapsed="false">
      <c r="B23" s="456"/>
      <c r="C23" s="457"/>
      <c r="D23" s="764" t="s">
        <v>64</v>
      </c>
      <c r="E23" s="765" t="n">
        <v>1</v>
      </c>
    </row>
    <row r="24" customFormat="false" ht="15" hidden="false" customHeight="false" outlineLevel="0" collapsed="false">
      <c r="B24" s="456"/>
      <c r="C24" s="457"/>
      <c r="D24" s="760" t="s">
        <v>206</v>
      </c>
      <c r="E24" s="761" t="n">
        <v>1</v>
      </c>
    </row>
    <row r="25" customFormat="false" ht="15" hidden="false" customHeight="false" outlineLevel="0" collapsed="false">
      <c r="B25" s="456"/>
      <c r="C25" s="457"/>
      <c r="D25" s="748" t="s">
        <v>277</v>
      </c>
      <c r="E25" s="749" t="n">
        <v>2</v>
      </c>
    </row>
    <row r="26" customFormat="false" ht="15" hidden="false" customHeight="false" outlineLevel="0" collapsed="false">
      <c r="B26" s="456"/>
      <c r="C26" s="457"/>
      <c r="D26" s="760" t="s">
        <v>369</v>
      </c>
      <c r="E26" s="761" t="n">
        <v>1</v>
      </c>
    </row>
    <row r="27" customFormat="false" ht="15" hidden="false" customHeight="false" outlineLevel="0" collapsed="false">
      <c r="B27" s="456"/>
      <c r="C27" s="457"/>
      <c r="D27" s="760" t="s">
        <v>400</v>
      </c>
      <c r="E27" s="761" t="n">
        <v>1</v>
      </c>
    </row>
    <row r="28" customFormat="false" ht="15" hidden="false" customHeight="false" outlineLevel="0" collapsed="false">
      <c r="B28" s="456"/>
      <c r="C28" s="457"/>
      <c r="D28" s="760" t="s">
        <v>138</v>
      </c>
      <c r="E28" s="761" t="n">
        <v>1</v>
      </c>
    </row>
    <row r="29" customFormat="false" ht="15" hidden="false" customHeight="false" outlineLevel="0" collapsed="false">
      <c r="B29" s="456"/>
      <c r="C29" s="457"/>
      <c r="D29" s="748" t="s">
        <v>470</v>
      </c>
      <c r="E29" s="749" t="n">
        <v>2</v>
      </c>
    </row>
    <row r="30" customFormat="false" ht="15.75" hidden="false" customHeight="false" outlineLevel="0" collapsed="false">
      <c r="B30" s="456"/>
      <c r="C30" s="457"/>
      <c r="D30" s="756" t="s">
        <v>531</v>
      </c>
      <c r="E30" s="757" t="n">
        <v>1</v>
      </c>
    </row>
    <row r="31" customFormat="false" ht="15" hidden="false" customHeight="false" outlineLevel="0" collapsed="false">
      <c r="B31" s="456" t="s">
        <v>37</v>
      </c>
      <c r="C31" s="457" t="s">
        <v>38</v>
      </c>
      <c r="D31" s="744" t="s">
        <v>109</v>
      </c>
      <c r="E31" s="745" t="n">
        <v>2</v>
      </c>
    </row>
    <row r="32" customFormat="false" ht="15" hidden="false" customHeight="false" outlineLevel="0" collapsed="false">
      <c r="B32" s="456"/>
      <c r="C32" s="457"/>
      <c r="D32" s="748" t="s">
        <v>217</v>
      </c>
      <c r="E32" s="749" t="n">
        <v>2</v>
      </c>
    </row>
    <row r="33" customFormat="false" ht="15" hidden="false" customHeight="false" outlineLevel="0" collapsed="false">
      <c r="B33" s="456"/>
      <c r="C33" s="457"/>
      <c r="D33" s="748" t="s">
        <v>281</v>
      </c>
      <c r="E33" s="749" t="n">
        <v>2</v>
      </c>
    </row>
    <row r="34" customFormat="false" ht="15" hidden="false" customHeight="false" outlineLevel="0" collapsed="false">
      <c r="B34" s="456"/>
      <c r="C34" s="457"/>
      <c r="D34" s="766" t="s">
        <v>115</v>
      </c>
      <c r="E34" s="767" t="n">
        <v>3</v>
      </c>
    </row>
    <row r="35" customFormat="false" ht="15" hidden="false" customHeight="false" outlineLevel="0" collapsed="false">
      <c r="B35" s="456"/>
      <c r="C35" s="457"/>
      <c r="D35" s="760" t="s">
        <v>475</v>
      </c>
      <c r="E35" s="761" t="n">
        <v>1</v>
      </c>
    </row>
    <row r="36" customFormat="false" ht="15.75" hidden="false" customHeight="false" outlineLevel="0" collapsed="false">
      <c r="B36" s="456"/>
      <c r="C36" s="457"/>
      <c r="D36" s="756" t="s">
        <v>470</v>
      </c>
      <c r="E36" s="757" t="n">
        <v>1</v>
      </c>
    </row>
    <row r="37" customFormat="false" ht="15" hidden="false" customHeight="false" outlineLevel="0" collapsed="false">
      <c r="B37" s="456" t="s">
        <v>31</v>
      </c>
      <c r="C37" s="457" t="s">
        <v>32</v>
      </c>
      <c r="D37" s="758" t="s">
        <v>138</v>
      </c>
      <c r="E37" s="759" t="n">
        <v>1</v>
      </c>
    </row>
    <row r="38" customFormat="false" ht="15" hidden="false" customHeight="false" outlineLevel="0" collapsed="false">
      <c r="B38" s="456"/>
      <c r="C38" s="457"/>
      <c r="D38" s="760" t="s">
        <v>200</v>
      </c>
      <c r="E38" s="761" t="n">
        <v>1</v>
      </c>
    </row>
    <row r="39" customFormat="false" ht="15" hidden="false" customHeight="false" outlineLevel="0" collapsed="false">
      <c r="B39" s="456"/>
      <c r="C39" s="457"/>
      <c r="D39" s="760" t="s">
        <v>115</v>
      </c>
      <c r="E39" s="761" t="n">
        <v>1</v>
      </c>
    </row>
    <row r="40" customFormat="false" ht="15" hidden="false" customHeight="false" outlineLevel="0" collapsed="false">
      <c r="B40" s="456"/>
      <c r="C40" s="457"/>
      <c r="D40" s="748" t="s">
        <v>331</v>
      </c>
      <c r="E40" s="749" t="n">
        <v>2</v>
      </c>
    </row>
    <row r="41" customFormat="false" ht="15" hidden="false" customHeight="false" outlineLevel="0" collapsed="false">
      <c r="B41" s="456"/>
      <c r="C41" s="457"/>
      <c r="D41" s="760" t="s">
        <v>490</v>
      </c>
      <c r="E41" s="761" t="n">
        <v>1</v>
      </c>
    </row>
    <row r="42" customFormat="false" ht="15" hidden="false" customHeight="false" outlineLevel="0" collapsed="false">
      <c r="B42" s="456"/>
      <c r="C42" s="457"/>
      <c r="D42" s="748" t="s">
        <v>496</v>
      </c>
      <c r="E42" s="749" t="n">
        <v>2</v>
      </c>
    </row>
    <row r="43" customFormat="false" ht="15.75" hidden="false" customHeight="false" outlineLevel="0" collapsed="false">
      <c r="B43" s="456"/>
      <c r="C43" s="457"/>
      <c r="D43" s="756" t="s">
        <v>538</v>
      </c>
      <c r="E43" s="757" t="n">
        <v>1</v>
      </c>
    </row>
    <row r="44" customFormat="false" ht="15" hidden="false" customHeight="false" outlineLevel="0" collapsed="false">
      <c r="B44" s="635" t="s">
        <v>20</v>
      </c>
      <c r="C44" s="494" t="s">
        <v>21</v>
      </c>
      <c r="D44" s="768" t="s">
        <v>74</v>
      </c>
      <c r="E44" s="769" t="n">
        <v>3</v>
      </c>
    </row>
    <row r="45" customFormat="false" ht="15" hidden="false" customHeight="false" outlineLevel="0" collapsed="false">
      <c r="B45" s="635"/>
      <c r="C45" s="494"/>
      <c r="D45" s="748" t="s">
        <v>303</v>
      </c>
      <c r="E45" s="749" t="n">
        <v>2</v>
      </c>
    </row>
    <row r="46" customFormat="false" ht="15" hidden="false" customHeight="false" outlineLevel="0" collapsed="false">
      <c r="B46" s="635"/>
      <c r="C46" s="494"/>
      <c r="D46" s="748" t="s">
        <v>408</v>
      </c>
      <c r="E46" s="749" t="n">
        <v>2</v>
      </c>
    </row>
    <row r="47" customFormat="false" ht="15" hidden="false" customHeight="false" outlineLevel="0" collapsed="false">
      <c r="B47" s="635"/>
      <c r="C47" s="494"/>
      <c r="D47" s="760" t="s">
        <v>439</v>
      </c>
      <c r="E47" s="761" t="n">
        <v>1</v>
      </c>
    </row>
    <row r="48" customFormat="false" ht="15" hidden="false" customHeight="false" outlineLevel="0" collapsed="false">
      <c r="B48" s="635"/>
      <c r="C48" s="494"/>
      <c r="D48" s="760" t="s">
        <v>470</v>
      </c>
      <c r="E48" s="761" t="n">
        <v>1</v>
      </c>
    </row>
    <row r="49" customFormat="false" ht="15" hidden="false" customHeight="false" outlineLevel="0" collapsed="false">
      <c r="B49" s="635"/>
      <c r="C49" s="494"/>
      <c r="D49" s="760" t="s">
        <v>516</v>
      </c>
      <c r="E49" s="761" t="n">
        <v>1</v>
      </c>
    </row>
    <row r="50" customFormat="false" ht="15.75" hidden="false" customHeight="false" outlineLevel="0" collapsed="false">
      <c r="B50" s="635"/>
      <c r="C50" s="494"/>
      <c r="D50" s="756" t="s">
        <v>541</v>
      </c>
      <c r="E50" s="757" t="n">
        <v>1</v>
      </c>
    </row>
    <row r="51" customFormat="false" ht="15" hidden="false" customHeight="false" outlineLevel="0" collapsed="false">
      <c r="B51" s="456" t="s">
        <v>29</v>
      </c>
      <c r="C51" s="457" t="s">
        <v>30</v>
      </c>
      <c r="D51" s="744" t="s">
        <v>117</v>
      </c>
      <c r="E51" s="745" t="n">
        <v>2</v>
      </c>
    </row>
    <row r="52" customFormat="false" ht="15" hidden="false" customHeight="false" outlineLevel="0" collapsed="false">
      <c r="B52" s="456"/>
      <c r="C52" s="457"/>
      <c r="D52" s="760" t="s">
        <v>213</v>
      </c>
      <c r="E52" s="761" t="n">
        <v>1</v>
      </c>
    </row>
    <row r="53" customFormat="false" ht="15" hidden="false" customHeight="false" outlineLevel="0" collapsed="false">
      <c r="B53" s="456"/>
      <c r="C53" s="457"/>
      <c r="D53" s="760" t="s">
        <v>68</v>
      </c>
      <c r="E53" s="761" t="n">
        <v>1</v>
      </c>
    </row>
    <row r="54" customFormat="false" ht="15" hidden="false" customHeight="false" outlineLevel="0" collapsed="false">
      <c r="B54" s="456"/>
      <c r="C54" s="457"/>
      <c r="D54" s="760" t="s">
        <v>366</v>
      </c>
      <c r="E54" s="761" t="n">
        <v>1</v>
      </c>
    </row>
    <row r="55" customFormat="false" ht="15" hidden="false" customHeight="false" outlineLevel="0" collapsed="false">
      <c r="B55" s="456"/>
      <c r="C55" s="457"/>
      <c r="D55" s="760" t="s">
        <v>397</v>
      </c>
      <c r="E55" s="761" t="n">
        <v>1</v>
      </c>
    </row>
    <row r="56" customFormat="false" ht="15" hidden="false" customHeight="false" outlineLevel="0" collapsed="false">
      <c r="B56" s="456"/>
      <c r="C56" s="457"/>
      <c r="D56" s="748" t="s">
        <v>430</v>
      </c>
      <c r="E56" s="749" t="n">
        <v>2</v>
      </c>
    </row>
    <row r="57" customFormat="false" ht="15" hidden="false" customHeight="false" outlineLevel="0" collapsed="false">
      <c r="B57" s="456"/>
      <c r="C57" s="457"/>
      <c r="D57" s="760" t="s">
        <v>455</v>
      </c>
      <c r="E57" s="761" t="n">
        <v>1</v>
      </c>
    </row>
    <row r="58" customFormat="false" ht="15.75" hidden="false" customHeight="false" outlineLevel="0" collapsed="false">
      <c r="B58" s="456"/>
      <c r="C58" s="457"/>
      <c r="D58" s="756" t="s">
        <v>546</v>
      </c>
      <c r="E58" s="757" t="n">
        <v>1</v>
      </c>
    </row>
    <row r="59" customFormat="false" ht="15" hidden="false" customHeight="false" outlineLevel="0" collapsed="false">
      <c r="B59" s="456" t="s">
        <v>43</v>
      </c>
      <c r="C59" s="457" t="s">
        <v>44</v>
      </c>
      <c r="D59" s="744" t="s">
        <v>68</v>
      </c>
      <c r="E59" s="745" t="n">
        <v>2</v>
      </c>
    </row>
    <row r="60" customFormat="false" ht="15" hidden="false" customHeight="false" outlineLevel="0" collapsed="false">
      <c r="B60" s="456"/>
      <c r="C60" s="457"/>
      <c r="D60" s="760" t="s">
        <v>109</v>
      </c>
      <c r="E60" s="761" t="n">
        <v>1</v>
      </c>
    </row>
    <row r="61" customFormat="false" ht="15" hidden="false" customHeight="false" outlineLevel="0" collapsed="false">
      <c r="B61" s="456"/>
      <c r="C61" s="457"/>
      <c r="D61" s="760" t="s">
        <v>389</v>
      </c>
      <c r="E61" s="761" t="n">
        <v>1</v>
      </c>
    </row>
    <row r="62" customFormat="false" ht="15" hidden="false" customHeight="false" outlineLevel="0" collapsed="false">
      <c r="B62" s="456"/>
      <c r="C62" s="457"/>
      <c r="D62" s="760" t="s">
        <v>154</v>
      </c>
      <c r="E62" s="761" t="n">
        <v>1</v>
      </c>
    </row>
    <row r="63" customFormat="false" ht="15" hidden="false" customHeight="false" outlineLevel="0" collapsed="false">
      <c r="B63" s="456"/>
      <c r="C63" s="457"/>
      <c r="D63" s="748" t="s">
        <v>334</v>
      </c>
      <c r="E63" s="749" t="n">
        <v>2</v>
      </c>
    </row>
    <row r="64" customFormat="false" ht="15" hidden="false" customHeight="false" outlineLevel="0" collapsed="false">
      <c r="B64" s="456"/>
      <c r="C64" s="457"/>
      <c r="D64" s="760" t="s">
        <v>209</v>
      </c>
      <c r="E64" s="761" t="n">
        <v>1</v>
      </c>
    </row>
    <row r="65" customFormat="false" ht="15.75" hidden="false" customHeight="false" outlineLevel="0" collapsed="false">
      <c r="B65" s="456"/>
      <c r="C65" s="457"/>
      <c r="D65" s="756" t="s">
        <v>217</v>
      </c>
      <c r="E65" s="757" t="n">
        <v>1</v>
      </c>
    </row>
    <row r="66" customFormat="false" ht="15" hidden="false" customHeight="false" outlineLevel="0" collapsed="false">
      <c r="B66" s="635" t="s">
        <v>22</v>
      </c>
      <c r="C66" s="494" t="s">
        <v>23</v>
      </c>
      <c r="D66" s="768" t="s">
        <v>109</v>
      </c>
      <c r="E66" s="769" t="n">
        <v>3</v>
      </c>
    </row>
    <row r="67" customFormat="false" ht="15" hidden="false" customHeight="false" outlineLevel="0" collapsed="false">
      <c r="B67" s="635"/>
      <c r="C67" s="494"/>
      <c r="D67" s="760" t="s">
        <v>117</v>
      </c>
      <c r="E67" s="761" t="n">
        <v>1</v>
      </c>
    </row>
    <row r="68" customFormat="false" ht="15" hidden="false" customHeight="false" outlineLevel="0" collapsed="false">
      <c r="B68" s="635"/>
      <c r="C68" s="494"/>
      <c r="D68" s="760" t="s">
        <v>264</v>
      </c>
      <c r="E68" s="761" t="n">
        <v>1</v>
      </c>
    </row>
    <row r="69" customFormat="false" ht="15" hidden="false" customHeight="false" outlineLevel="0" collapsed="false">
      <c r="B69" s="635"/>
      <c r="C69" s="494"/>
      <c r="D69" s="760" t="s">
        <v>115</v>
      </c>
      <c r="E69" s="761" t="n">
        <v>1</v>
      </c>
    </row>
    <row r="70" customFormat="false" ht="15" hidden="false" customHeight="false" outlineLevel="0" collapsed="false">
      <c r="B70" s="635"/>
      <c r="C70" s="494"/>
      <c r="D70" s="748" t="s">
        <v>409</v>
      </c>
      <c r="E70" s="749" t="n">
        <v>2</v>
      </c>
    </row>
    <row r="71" customFormat="false" ht="15.75" hidden="false" customHeight="false" outlineLevel="0" collapsed="false">
      <c r="B71" s="635"/>
      <c r="C71" s="494"/>
      <c r="D71" s="756" t="s">
        <v>411</v>
      </c>
      <c r="E71" s="757" t="n">
        <v>1</v>
      </c>
    </row>
    <row r="72" customFormat="false" ht="15" hidden="false" customHeight="false" outlineLevel="0" collapsed="false">
      <c r="B72" s="635" t="s">
        <v>12</v>
      </c>
      <c r="C72" s="494" t="s">
        <v>13</v>
      </c>
      <c r="D72" s="744" t="s">
        <v>64</v>
      </c>
      <c r="E72" s="745" t="n">
        <v>2</v>
      </c>
    </row>
    <row r="73" customFormat="false" ht="15" hidden="false" customHeight="false" outlineLevel="0" collapsed="false">
      <c r="B73" s="635"/>
      <c r="C73" s="494"/>
      <c r="D73" s="760" t="s">
        <v>180</v>
      </c>
      <c r="E73" s="761" t="n">
        <v>1</v>
      </c>
    </row>
    <row r="74" customFormat="false" ht="15" hidden="false" customHeight="false" outlineLevel="0" collapsed="false">
      <c r="B74" s="635"/>
      <c r="C74" s="494"/>
      <c r="D74" s="760" t="s">
        <v>264</v>
      </c>
      <c r="E74" s="761" t="n">
        <v>1</v>
      </c>
    </row>
    <row r="75" customFormat="false" ht="15" hidden="false" customHeight="false" outlineLevel="0" collapsed="false">
      <c r="B75" s="635"/>
      <c r="C75" s="494"/>
      <c r="D75" s="760" t="s">
        <v>310</v>
      </c>
      <c r="E75" s="761" t="n">
        <v>1</v>
      </c>
    </row>
    <row r="76" customFormat="false" ht="15" hidden="false" customHeight="false" outlineLevel="0" collapsed="false">
      <c r="B76" s="635"/>
      <c r="C76" s="494"/>
      <c r="D76" s="760" t="s">
        <v>350</v>
      </c>
      <c r="E76" s="761" t="n">
        <v>1</v>
      </c>
    </row>
    <row r="77" customFormat="false" ht="15" hidden="false" customHeight="false" outlineLevel="0" collapsed="false">
      <c r="B77" s="635"/>
      <c r="C77" s="494"/>
      <c r="D77" s="760" t="s">
        <v>541</v>
      </c>
      <c r="E77" s="761" t="n">
        <v>1</v>
      </c>
    </row>
    <row r="78" customFormat="false" ht="15" hidden="false" customHeight="false" outlineLevel="0" collapsed="false">
      <c r="B78" s="635"/>
      <c r="C78" s="494"/>
      <c r="D78" s="760" t="s">
        <v>247</v>
      </c>
      <c r="E78" s="761" t="n">
        <v>1</v>
      </c>
    </row>
    <row r="79" customFormat="false" ht="15.75" hidden="false" customHeight="false" outlineLevel="0" collapsed="false">
      <c r="B79" s="635"/>
      <c r="C79" s="494"/>
      <c r="D79" s="756" t="s">
        <v>461</v>
      </c>
      <c r="E79" s="757" t="n">
        <v>1</v>
      </c>
    </row>
    <row r="80" customFormat="false" ht="15" hidden="false" customHeight="false" outlineLevel="0" collapsed="false">
      <c r="B80" s="770" t="s">
        <v>33</v>
      </c>
      <c r="C80" s="315" t="s">
        <v>34</v>
      </c>
      <c r="D80" s="758" t="s">
        <v>140</v>
      </c>
      <c r="E80" s="759" t="n">
        <v>1</v>
      </c>
    </row>
    <row r="81" customFormat="false" ht="15" hidden="false" customHeight="false" outlineLevel="0" collapsed="false">
      <c r="B81" s="770"/>
      <c r="C81" s="315"/>
      <c r="D81" s="748" t="s">
        <v>217</v>
      </c>
      <c r="E81" s="749" t="n">
        <v>2</v>
      </c>
    </row>
    <row r="82" customFormat="false" ht="15" hidden="false" customHeight="false" outlineLevel="0" collapsed="false">
      <c r="B82" s="770"/>
      <c r="C82" s="315"/>
      <c r="D82" s="760" t="s">
        <v>395</v>
      </c>
      <c r="E82" s="761" t="n">
        <v>1</v>
      </c>
    </row>
    <row r="83" customFormat="false" ht="15" hidden="false" customHeight="false" outlineLevel="0" collapsed="false">
      <c r="B83" s="770"/>
      <c r="C83" s="315"/>
      <c r="D83" s="760" t="s">
        <v>425</v>
      </c>
      <c r="E83" s="761" t="n">
        <v>1</v>
      </c>
    </row>
    <row r="84" customFormat="false" ht="15.75" hidden="false" customHeight="false" outlineLevel="0" collapsed="false">
      <c r="B84" s="770"/>
      <c r="C84" s="315"/>
      <c r="D84" s="750" t="s">
        <v>455</v>
      </c>
      <c r="E84" s="751" t="n">
        <v>1</v>
      </c>
    </row>
  </sheetData>
  <mergeCells count="24">
    <mergeCell ref="B4:B7"/>
    <mergeCell ref="C4:C7"/>
    <mergeCell ref="B8:B13"/>
    <mergeCell ref="C8:C13"/>
    <mergeCell ref="B14:B21"/>
    <mergeCell ref="C14:C21"/>
    <mergeCell ref="B22:B30"/>
    <mergeCell ref="C22:C30"/>
    <mergeCell ref="B31:B36"/>
    <mergeCell ref="C31:C36"/>
    <mergeCell ref="B37:B43"/>
    <mergeCell ref="C37:C43"/>
    <mergeCell ref="B44:B50"/>
    <mergeCell ref="C44:C50"/>
    <mergeCell ref="B51:B58"/>
    <mergeCell ref="C51:C58"/>
    <mergeCell ref="B59:B65"/>
    <mergeCell ref="C59:C65"/>
    <mergeCell ref="B66:B71"/>
    <mergeCell ref="C66:C71"/>
    <mergeCell ref="B72:B79"/>
    <mergeCell ref="C72:C79"/>
    <mergeCell ref="B80:B84"/>
    <mergeCell ref="C80:C84"/>
  </mergeCells>
  <conditionalFormatting sqref="B4:C4 B8:C8 B14:C14 B22:C23 B31:C31 B37:C37 B44:C44 B51:C51 B59:C59 B66:C66">
    <cfRule type="expression" priority="2" aboveAverage="0" equalAverage="0" bottom="0" percent="0" rank="0" text="" dxfId="1364">
      <formula>$H4="Nein"</formula>
    </cfRule>
    <cfRule type="expression" priority="3" aboveAverage="0" equalAverage="0" bottom="0" percent="0" rank="0" text="" dxfId="1365">
      <formula>$H4="Ja"</formula>
    </cfRule>
  </conditionalFormatting>
  <conditionalFormatting sqref="B72:C72">
    <cfRule type="expression" priority="4" aboveAverage="0" equalAverage="0" bottom="0" percent="0" rank="0" text="" dxfId="1366">
      <formula>$I72="Nein"</formula>
    </cfRule>
    <cfRule type="expression" priority="5" aboveAverage="0" equalAverage="0" bottom="0" percent="0" rank="0" text="" dxfId="1367">
      <formula>$I72="Ja"</formula>
    </cfRule>
  </conditionalFormatting>
  <conditionalFormatting sqref="B72:C72">
    <cfRule type="expression" priority="6" aboveAverage="0" equalAverage="0" bottom="0" percent="0" rank="0" text="" dxfId="1368">
      <formula>$I72="Nein"</formula>
    </cfRule>
    <cfRule type="expression" priority="7" aboveAverage="0" equalAverage="0" bottom="0" percent="0" rank="0" text="" dxfId="1369">
      <formula>$I72="Ja"</formula>
    </cfRule>
  </conditionalFormatting>
  <conditionalFormatting sqref="B80:C80">
    <cfRule type="expression" priority="8" aboveAverage="0" equalAverage="0" bottom="0" percent="0" rank="0" text="" dxfId="1370">
      <formula>$I80="Nein"</formula>
    </cfRule>
    <cfRule type="expression" priority="9" aboveAverage="0" equalAverage="0" bottom="0" percent="0" rank="0" text="" dxfId="1371">
      <formula>$I80="Ja"</formula>
    </cfRule>
  </conditionalFormatting>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3:B11"/>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4" activeCellId="0" sqref="A4"/>
    </sheetView>
  </sheetViews>
  <sheetFormatPr defaultColWidth="11.43359375" defaultRowHeight="17.1" zeroHeight="false" outlineLevelRow="0" outlineLevelCol="0"/>
  <cols>
    <col collapsed="false" customWidth="true" hidden="false" outlineLevel="0" max="1" min="1" style="1" width="18.71"/>
    <col collapsed="false" customWidth="true" hidden="false" outlineLevel="0" max="2" min="2" style="1" width="183.57"/>
    <col collapsed="false" customWidth="false" hidden="false" outlineLevel="0" max="1024" min="3" style="1" width="11.42"/>
  </cols>
  <sheetData>
    <row r="3" customFormat="false" ht="17.1" hidden="false" customHeight="true" outlineLevel="0" collapsed="false">
      <c r="A3" s="771" t="s">
        <v>115</v>
      </c>
      <c r="B3" s="771"/>
    </row>
    <row r="4" customFormat="false" ht="17.1" hidden="false" customHeight="true" outlineLevel="0" collapsed="false">
      <c r="A4" s="772" t="s">
        <v>126</v>
      </c>
      <c r="B4" s="773" t="s">
        <v>675</v>
      </c>
    </row>
    <row r="5" customFormat="false" ht="17.1" hidden="false" customHeight="true" outlineLevel="0" collapsed="false">
      <c r="A5" s="30" t="s">
        <v>128</v>
      </c>
      <c r="B5" s="577" t="s">
        <v>676</v>
      </c>
    </row>
    <row r="6" customFormat="false" ht="17.1" hidden="false" customHeight="true" outlineLevel="0" collapsed="false">
      <c r="A6" s="30" t="s">
        <v>437</v>
      </c>
      <c r="B6" s="577" t="s">
        <v>677</v>
      </c>
    </row>
    <row r="7" customFormat="false" ht="17.1" hidden="false" customHeight="true" outlineLevel="0" collapsed="false">
      <c r="A7" s="30" t="s">
        <v>257</v>
      </c>
      <c r="B7" s="577" t="s">
        <v>678</v>
      </c>
    </row>
    <row r="8" customFormat="false" ht="17.1" hidden="false" customHeight="true" outlineLevel="0" collapsed="false">
      <c r="A8" s="30" t="s">
        <v>131</v>
      </c>
      <c r="B8" s="577" t="s">
        <v>679</v>
      </c>
    </row>
    <row r="9" customFormat="false" ht="17.1" hidden="false" customHeight="true" outlineLevel="0" collapsed="false">
      <c r="A9" s="30" t="s">
        <v>259</v>
      </c>
      <c r="B9" s="577" t="s">
        <v>680</v>
      </c>
    </row>
    <row r="10" customFormat="false" ht="17.1" hidden="false" customHeight="true" outlineLevel="0" collapsed="false">
      <c r="A10" s="30" t="s">
        <v>133</v>
      </c>
      <c r="B10" s="577" t="s">
        <v>681</v>
      </c>
    </row>
    <row r="11" customFormat="false" ht="17.1" hidden="false" customHeight="true" outlineLevel="0" collapsed="false">
      <c r="A11" s="483" t="s">
        <v>258</v>
      </c>
      <c r="B11" s="648" t="s">
        <v>682</v>
      </c>
    </row>
  </sheetData>
  <mergeCells count="1">
    <mergeCell ref="A3:B3"/>
  </mergeCells>
  <printOptions headings="false" gridLines="false" gridLinesSet="true" horizontalCentered="false" verticalCentered="false"/>
  <pageMargins left="0.7" right="0.7" top="0.7875" bottom="0.78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1</TotalTime>
  <Application>LibreOffice/7.0.4.2$Linux_X86_64 LibreOffice_project/00$Build-2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2020-04-14T00:23:52Z</dcterms:created>
  <dc:creator>Ginooo</dc:creator>
  <dc:description/>
  <dc:language>en-US</dc:language>
  <cp:lastModifiedBy/>
  <dcterms:modified xsi:type="dcterms:W3CDTF">2023-06-03T09:44:37Z</dcterms:modified>
  <cp:revision>3</cp:revision>
  <dc:subject/>
  <dc:title/>
</cp:coreProperties>
</file>

<file path=docProps/custom.xml><?xml version="1.0" encoding="utf-8"?>
<Properties xmlns="http://schemas.openxmlformats.org/officeDocument/2006/custom-properties" xmlns:vt="http://schemas.openxmlformats.org/officeDocument/2006/docPropsVTypes"/>
</file>